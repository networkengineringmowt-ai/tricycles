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MP Data Analysis\C-5 Analysis Complete-Ivan\STN127 ARUA-KOBOKO\MCC\"/>
    </mc:Choice>
  </mc:AlternateContent>
  <xr:revisionPtr revIDLastSave="0" documentId="13_ncr:1_{67EEF529-D436-41CD-881A-D20ED1A7443D}" xr6:coauthVersionLast="45" xr6:coauthVersionMax="45" xr10:uidLastSave="{00000000-0000-0000-0000-000000000000}"/>
  <bookViews>
    <workbookView xWindow="-120" yWindow="-120" windowWidth="20730" windowHeight="11160" tabRatio="920" firstSheet="11" activeTab="16" xr2:uid="{00000000-000D-0000-FFFF-FFFF00000000}"/>
  </bookViews>
  <sheets>
    <sheet name="31.07 Koboko-Arua" sheetId="93" r:id="rId1"/>
    <sheet name="31.07 Arua-Koboko" sheetId="94" r:id="rId2"/>
    <sheet name="01.08 Koboko-Arua" sheetId="95" r:id="rId3"/>
    <sheet name="01.08 Arua-Koboko" sheetId="96" r:id="rId4"/>
    <sheet name="02.08 Koboko-Arua-24h" sheetId="101" r:id="rId5"/>
    <sheet name="02.08 Arua-Koboko-24h" sheetId="109" r:id="rId6"/>
    <sheet name="03.08 Koboko-Arua-24h" sheetId="105" r:id="rId7"/>
    <sheet name="03.08 Arua-Koboko-24h" sheetId="110" r:id="rId8"/>
    <sheet name="04.08 Koboko-Arua" sheetId="97" r:id="rId9"/>
    <sheet name="04.08 Arua-Koboko" sheetId="98" r:id="rId10"/>
    <sheet name="05.08 Koboko-Arua" sheetId="99" r:id="rId11"/>
    <sheet name="05.08 Arua-Koboko" sheetId="100" r:id="rId12"/>
    <sheet name="06.08 Koboko-Arua" sheetId="103" r:id="rId13"/>
    <sheet name="06.08 Arua-Koboko" sheetId="104" r:id="rId14"/>
    <sheet name="Avg Week Koboko-Arua" sheetId="107" r:id="rId15"/>
    <sheet name="Avg Week Arua-Koboko" sheetId="108" r:id="rId16"/>
    <sheet name="Avg Week Arua-Koboko-2Dir" sheetId="111" r:id="rId17"/>
  </sheets>
  <definedNames>
    <definedName name="_xlnm.Print_Area" localSheetId="3">'01.08 Arua-Koboko'!$A$1:$AF$60</definedName>
    <definedName name="_xlnm.Print_Area" localSheetId="2">'01.08 Koboko-Arua'!$A$1:$AF$60</definedName>
    <definedName name="_xlnm.Print_Area" localSheetId="5">'02.08 Arua-Koboko-24h'!$A$1:$AF$108</definedName>
    <definedName name="_xlnm.Print_Area" localSheetId="4">'02.08 Koboko-Arua-24h'!$A$1:$AF$108</definedName>
    <definedName name="_xlnm.Print_Area" localSheetId="7">'03.08 Arua-Koboko-24h'!$A$1:$AF$108</definedName>
    <definedName name="_xlnm.Print_Area" localSheetId="6">'03.08 Koboko-Arua-24h'!$A$1:$AF$108</definedName>
    <definedName name="_xlnm.Print_Area" localSheetId="9">'04.08 Arua-Koboko'!$A$1:$AF$60</definedName>
    <definedName name="_xlnm.Print_Area" localSheetId="8">'04.08 Koboko-Arua'!$A$1:$AF$60</definedName>
    <definedName name="_xlnm.Print_Area" localSheetId="11">'05.08 Arua-Koboko'!$A$1:$AF$60</definedName>
    <definedName name="_xlnm.Print_Area" localSheetId="10">'05.08 Koboko-Arua'!$A$1:$AF$60</definedName>
    <definedName name="_xlnm.Print_Area" localSheetId="13">'06.08 Arua-Koboko'!$A$1:$AF$60</definedName>
    <definedName name="_xlnm.Print_Area" localSheetId="12">'06.08 Koboko-Arua'!$A$1:$AF$60</definedName>
    <definedName name="_xlnm.Print_Area" localSheetId="1">'31.07 Arua-Koboko'!$A$1:$AF$60</definedName>
    <definedName name="_xlnm.Print_Area" localSheetId="0">'31.07 Koboko-Arua'!$A$1:$AF$60</definedName>
    <definedName name="_xlnm.Print_Area" localSheetId="15">'Avg Week Arua-Koboko'!$A$1:$AF$108</definedName>
    <definedName name="_xlnm.Print_Area" localSheetId="16">'Avg Week Arua-Koboko-2Dir'!$A$1:$AF$108</definedName>
    <definedName name="_xlnm.Print_Area" localSheetId="14">'Avg Week Koboko-Arua'!$A$1:$AF$108</definedName>
    <definedName name="_xlnm.Print_Titles" localSheetId="3">'01.08 Arua-Koboko'!$1:$8</definedName>
    <definedName name="_xlnm.Print_Titles" localSheetId="2">'01.08 Koboko-Arua'!$1:$8</definedName>
    <definedName name="_xlnm.Print_Titles" localSheetId="5">'02.08 Arua-Koboko-24h'!$1:$8</definedName>
    <definedName name="_xlnm.Print_Titles" localSheetId="4">'02.08 Koboko-Arua-24h'!$1:$8</definedName>
    <definedName name="_xlnm.Print_Titles" localSheetId="7">'03.08 Arua-Koboko-24h'!$1:$8</definedName>
    <definedName name="_xlnm.Print_Titles" localSheetId="6">'03.08 Koboko-Arua-24h'!$1:$8</definedName>
    <definedName name="_xlnm.Print_Titles" localSheetId="9">'04.08 Arua-Koboko'!$1:$8</definedName>
    <definedName name="_xlnm.Print_Titles" localSheetId="8">'04.08 Koboko-Arua'!$1:$8</definedName>
    <definedName name="_xlnm.Print_Titles" localSheetId="11">'05.08 Arua-Koboko'!$1:$8</definedName>
    <definedName name="_xlnm.Print_Titles" localSheetId="10">'05.08 Koboko-Arua'!$1:$8</definedName>
    <definedName name="_xlnm.Print_Titles" localSheetId="13">'06.08 Arua-Koboko'!$1:$8</definedName>
    <definedName name="_xlnm.Print_Titles" localSheetId="12">'06.08 Koboko-Arua'!$1:$8</definedName>
    <definedName name="_xlnm.Print_Titles" localSheetId="1">'31.07 Arua-Koboko'!$1:$8</definedName>
    <definedName name="_xlnm.Print_Titles" localSheetId="0">'31.07 Koboko-Arua'!$1:$8</definedName>
    <definedName name="_xlnm.Print_Titles" localSheetId="15">'Avg Week Arua-Koboko'!$1:$8</definedName>
    <definedName name="_xlnm.Print_Titles" localSheetId="16">'Avg Week Arua-Koboko-2Dir'!$1:$8</definedName>
    <definedName name="_xlnm.Print_Titles" localSheetId="14">'Avg Week Koboko-Arua'!$1:$8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9" i="108" l="1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F60" i="111" s="1"/>
  <c r="G60" i="108"/>
  <c r="H60" i="108"/>
  <c r="I60" i="108"/>
  <c r="J60" i="108"/>
  <c r="J60" i="111" s="1"/>
  <c r="K60" i="108"/>
  <c r="L60" i="108"/>
  <c r="M60" i="108"/>
  <c r="N60" i="108"/>
  <c r="N60" i="111" s="1"/>
  <c r="C61" i="108"/>
  <c r="D61" i="108"/>
  <c r="E61" i="108"/>
  <c r="F61" i="108"/>
  <c r="F61" i="111" s="1"/>
  <c r="G61" i="108"/>
  <c r="H61" i="108"/>
  <c r="I61" i="108"/>
  <c r="J61" i="108"/>
  <c r="J61" i="111" s="1"/>
  <c r="K61" i="108"/>
  <c r="L61" i="108"/>
  <c r="M61" i="108"/>
  <c r="N61" i="108"/>
  <c r="N61" i="111" s="1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F63" i="111" s="1"/>
  <c r="G63" i="108"/>
  <c r="H63" i="108"/>
  <c r="I63" i="108"/>
  <c r="J63" i="108"/>
  <c r="J63" i="111" s="1"/>
  <c r="K63" i="108"/>
  <c r="L63" i="108"/>
  <c r="M63" i="108"/>
  <c r="N63" i="108"/>
  <c r="N63" i="111" s="1"/>
  <c r="C64" i="108"/>
  <c r="D64" i="108"/>
  <c r="E64" i="108"/>
  <c r="F64" i="108"/>
  <c r="F64" i="111" s="1"/>
  <c r="G64" i="108"/>
  <c r="H64" i="108"/>
  <c r="I64" i="108"/>
  <c r="J64" i="108"/>
  <c r="J64" i="111" s="1"/>
  <c r="K64" i="108"/>
  <c r="L64" i="108"/>
  <c r="M64" i="108"/>
  <c r="N64" i="108"/>
  <c r="N64" i="111" s="1"/>
  <c r="C65" i="108"/>
  <c r="D65" i="108"/>
  <c r="E65" i="108"/>
  <c r="F65" i="108"/>
  <c r="F65" i="111" s="1"/>
  <c r="G65" i="108"/>
  <c r="H65" i="108"/>
  <c r="I65" i="108"/>
  <c r="J65" i="108"/>
  <c r="J65" i="111" s="1"/>
  <c r="K65" i="108"/>
  <c r="L65" i="108"/>
  <c r="M65" i="108"/>
  <c r="N65" i="108"/>
  <c r="N65" i="111" s="1"/>
  <c r="C66" i="108"/>
  <c r="D66" i="108"/>
  <c r="E66" i="108"/>
  <c r="F66" i="108"/>
  <c r="G66" i="108"/>
  <c r="H66" i="108"/>
  <c r="I66" i="108"/>
  <c r="Y24" i="108" s="1"/>
  <c r="J66" i="108"/>
  <c r="K66" i="108"/>
  <c r="L66" i="108"/>
  <c r="M66" i="108"/>
  <c r="N66" i="108"/>
  <c r="C67" i="108"/>
  <c r="D67" i="108"/>
  <c r="E67" i="108"/>
  <c r="F67" i="108"/>
  <c r="F67" i="111" s="1"/>
  <c r="G67" i="108"/>
  <c r="H67" i="108"/>
  <c r="I67" i="108"/>
  <c r="J67" i="108"/>
  <c r="J67" i="111" s="1"/>
  <c r="K67" i="108"/>
  <c r="L67" i="108"/>
  <c r="M67" i="108"/>
  <c r="N67" i="108"/>
  <c r="N67" i="111" s="1"/>
  <c r="C68" i="108"/>
  <c r="D68" i="108"/>
  <c r="E68" i="108"/>
  <c r="F68" i="108"/>
  <c r="F68" i="111" s="1"/>
  <c r="G68" i="108"/>
  <c r="H68" i="108"/>
  <c r="I68" i="108"/>
  <c r="J68" i="108"/>
  <c r="J68" i="111" s="1"/>
  <c r="K68" i="108"/>
  <c r="L68" i="108"/>
  <c r="M68" i="108"/>
  <c r="N68" i="108"/>
  <c r="N68" i="111" s="1"/>
  <c r="C69" i="108"/>
  <c r="D69" i="108"/>
  <c r="E69" i="108"/>
  <c r="F69" i="108"/>
  <c r="F69" i="111" s="1"/>
  <c r="G69" i="108"/>
  <c r="H69" i="108"/>
  <c r="I69" i="108"/>
  <c r="J69" i="108"/>
  <c r="J69" i="111" s="1"/>
  <c r="K69" i="108"/>
  <c r="L69" i="108"/>
  <c r="M69" i="108"/>
  <c r="N69" i="108"/>
  <c r="N69" i="111" s="1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F71" i="111" s="1"/>
  <c r="G71" i="108"/>
  <c r="H71" i="108"/>
  <c r="I71" i="108"/>
  <c r="J71" i="108"/>
  <c r="J71" i="111" s="1"/>
  <c r="K71" i="108"/>
  <c r="L71" i="108"/>
  <c r="M71" i="108"/>
  <c r="N71" i="108"/>
  <c r="N71" i="111" s="1"/>
  <c r="C72" i="108"/>
  <c r="D72" i="108"/>
  <c r="E72" i="108"/>
  <c r="F72" i="108"/>
  <c r="F72" i="111" s="1"/>
  <c r="G72" i="108"/>
  <c r="H72" i="108"/>
  <c r="I72" i="108"/>
  <c r="J72" i="108"/>
  <c r="J72" i="111" s="1"/>
  <c r="K72" i="108"/>
  <c r="L72" i="108"/>
  <c r="M72" i="108"/>
  <c r="N72" i="108"/>
  <c r="N72" i="111" s="1"/>
  <c r="C73" i="108"/>
  <c r="D73" i="108"/>
  <c r="E73" i="108"/>
  <c r="F73" i="108"/>
  <c r="G73" i="108"/>
  <c r="H73" i="108"/>
  <c r="I73" i="108"/>
  <c r="J73" i="108"/>
  <c r="J73" i="111" s="1"/>
  <c r="K73" i="108"/>
  <c r="L73" i="108"/>
  <c r="M73" i="108"/>
  <c r="N73" i="108"/>
  <c r="N73" i="111" s="1"/>
  <c r="C74" i="108"/>
  <c r="D74" i="108"/>
  <c r="E74" i="108"/>
  <c r="U26" i="108" s="1"/>
  <c r="F74" i="108"/>
  <c r="G74" i="108"/>
  <c r="H74" i="108"/>
  <c r="I74" i="108"/>
  <c r="Y26" i="108" s="1"/>
  <c r="J74" i="108"/>
  <c r="K74" i="108"/>
  <c r="L74" i="108"/>
  <c r="M74" i="108"/>
  <c r="N74" i="108"/>
  <c r="C75" i="108"/>
  <c r="D75" i="108"/>
  <c r="E75" i="108"/>
  <c r="F75" i="108"/>
  <c r="F75" i="111" s="1"/>
  <c r="G75" i="108"/>
  <c r="H75" i="108"/>
  <c r="I75" i="108"/>
  <c r="J75" i="108"/>
  <c r="J75" i="111" s="1"/>
  <c r="K75" i="108"/>
  <c r="L75" i="108"/>
  <c r="M75" i="108"/>
  <c r="N75" i="108"/>
  <c r="N75" i="111" s="1"/>
  <c r="C76" i="108"/>
  <c r="D76" i="108"/>
  <c r="E76" i="108"/>
  <c r="F76" i="108"/>
  <c r="F76" i="111" s="1"/>
  <c r="G76" i="108"/>
  <c r="H76" i="108"/>
  <c r="I76" i="108"/>
  <c r="J76" i="108"/>
  <c r="J76" i="111" s="1"/>
  <c r="K76" i="108"/>
  <c r="L76" i="108"/>
  <c r="M76" i="108"/>
  <c r="N76" i="108"/>
  <c r="N76" i="111" s="1"/>
  <c r="C77" i="108"/>
  <c r="D77" i="108"/>
  <c r="E77" i="108"/>
  <c r="F77" i="108"/>
  <c r="F77" i="111" s="1"/>
  <c r="G77" i="108"/>
  <c r="H77" i="108"/>
  <c r="I77" i="108"/>
  <c r="J77" i="108"/>
  <c r="J77" i="111" s="1"/>
  <c r="K77" i="108"/>
  <c r="L77" i="108"/>
  <c r="M77" i="108"/>
  <c r="N77" i="108"/>
  <c r="N77" i="111" s="1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F79" i="111" s="1"/>
  <c r="G79" i="108"/>
  <c r="H79" i="108"/>
  <c r="I79" i="108"/>
  <c r="J79" i="108"/>
  <c r="J79" i="111" s="1"/>
  <c r="K79" i="108"/>
  <c r="L79" i="108"/>
  <c r="M79" i="108"/>
  <c r="N79" i="108"/>
  <c r="N79" i="111" s="1"/>
  <c r="C80" i="108"/>
  <c r="D80" i="108"/>
  <c r="E80" i="108"/>
  <c r="F80" i="108"/>
  <c r="F80" i="111" s="1"/>
  <c r="G80" i="108"/>
  <c r="H80" i="108"/>
  <c r="I80" i="108"/>
  <c r="J80" i="108"/>
  <c r="J80" i="111" s="1"/>
  <c r="K80" i="108"/>
  <c r="L80" i="108"/>
  <c r="M80" i="108"/>
  <c r="N80" i="108"/>
  <c r="N80" i="111" s="1"/>
  <c r="C81" i="108"/>
  <c r="D81" i="108"/>
  <c r="E81" i="108"/>
  <c r="F81" i="108"/>
  <c r="F81" i="111" s="1"/>
  <c r="G81" i="108"/>
  <c r="H81" i="108"/>
  <c r="I81" i="108"/>
  <c r="J81" i="108"/>
  <c r="J81" i="111" s="1"/>
  <c r="K81" i="108"/>
  <c r="L81" i="108"/>
  <c r="M81" i="108"/>
  <c r="N81" i="108"/>
  <c r="N81" i="111" s="1"/>
  <c r="C82" i="108"/>
  <c r="D82" i="108"/>
  <c r="E82" i="108"/>
  <c r="U28" i="108" s="1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F83" i="111" s="1"/>
  <c r="G83" i="108"/>
  <c r="H83" i="108"/>
  <c r="I83" i="108"/>
  <c r="J83" i="108"/>
  <c r="J83" i="111" s="1"/>
  <c r="K83" i="108"/>
  <c r="L83" i="108"/>
  <c r="M83" i="108"/>
  <c r="N83" i="108"/>
  <c r="N83" i="111" s="1"/>
  <c r="C84" i="108"/>
  <c r="D84" i="108"/>
  <c r="E84" i="108"/>
  <c r="F84" i="108"/>
  <c r="F84" i="111" s="1"/>
  <c r="G84" i="108"/>
  <c r="H84" i="108"/>
  <c r="I84" i="108"/>
  <c r="J84" i="108"/>
  <c r="J84" i="111" s="1"/>
  <c r="K84" i="108"/>
  <c r="L84" i="108"/>
  <c r="M84" i="108"/>
  <c r="N84" i="108"/>
  <c r="N84" i="111" s="1"/>
  <c r="C85" i="108"/>
  <c r="D85" i="108"/>
  <c r="E85" i="108"/>
  <c r="F85" i="108"/>
  <c r="F85" i="111" s="1"/>
  <c r="G85" i="108"/>
  <c r="H85" i="108"/>
  <c r="I85" i="108"/>
  <c r="J85" i="108"/>
  <c r="J85" i="111" s="1"/>
  <c r="K85" i="108"/>
  <c r="L85" i="108"/>
  <c r="M85" i="108"/>
  <c r="N85" i="108"/>
  <c r="N85" i="111" s="1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F87" i="111" s="1"/>
  <c r="G87" i="108"/>
  <c r="H87" i="108"/>
  <c r="I87" i="108"/>
  <c r="J87" i="108"/>
  <c r="J87" i="111" s="1"/>
  <c r="K87" i="108"/>
  <c r="L87" i="108"/>
  <c r="M87" i="108"/>
  <c r="N87" i="108"/>
  <c r="N87" i="111" s="1"/>
  <c r="C88" i="108"/>
  <c r="D88" i="108"/>
  <c r="E88" i="108"/>
  <c r="F88" i="108"/>
  <c r="F88" i="111" s="1"/>
  <c r="G88" i="108"/>
  <c r="H88" i="108"/>
  <c r="I88" i="108"/>
  <c r="J88" i="108"/>
  <c r="J88" i="111" s="1"/>
  <c r="K88" i="108"/>
  <c r="L88" i="108"/>
  <c r="M88" i="108"/>
  <c r="N88" i="108"/>
  <c r="N88" i="111" s="1"/>
  <c r="C89" i="108"/>
  <c r="D89" i="108"/>
  <c r="E89" i="108"/>
  <c r="F89" i="108"/>
  <c r="G89" i="108"/>
  <c r="H89" i="108"/>
  <c r="I89" i="108"/>
  <c r="J89" i="108"/>
  <c r="J89" i="111" s="1"/>
  <c r="K89" i="108"/>
  <c r="L89" i="108"/>
  <c r="M89" i="108"/>
  <c r="N89" i="108"/>
  <c r="N89" i="111" s="1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F91" i="111" s="1"/>
  <c r="G91" i="108"/>
  <c r="H91" i="108"/>
  <c r="I91" i="108"/>
  <c r="J91" i="108"/>
  <c r="J91" i="111" s="1"/>
  <c r="K91" i="108"/>
  <c r="L91" i="108"/>
  <c r="M91" i="108"/>
  <c r="N91" i="108"/>
  <c r="N91" i="111" s="1"/>
  <c r="C92" i="108"/>
  <c r="D92" i="108"/>
  <c r="E92" i="108"/>
  <c r="F92" i="108"/>
  <c r="F92" i="111" s="1"/>
  <c r="G92" i="108"/>
  <c r="H92" i="108"/>
  <c r="I92" i="108"/>
  <c r="J92" i="108"/>
  <c r="J92" i="111" s="1"/>
  <c r="K92" i="108"/>
  <c r="L92" i="108"/>
  <c r="M92" i="108"/>
  <c r="N92" i="108"/>
  <c r="N92" i="111" s="1"/>
  <c r="C93" i="108"/>
  <c r="D93" i="108"/>
  <c r="E93" i="108"/>
  <c r="F93" i="108"/>
  <c r="F93" i="111" s="1"/>
  <c r="G93" i="108"/>
  <c r="H93" i="108"/>
  <c r="I93" i="108"/>
  <c r="J93" i="108"/>
  <c r="J93" i="111" s="1"/>
  <c r="K93" i="108"/>
  <c r="L93" i="108"/>
  <c r="M93" i="108"/>
  <c r="N93" i="108"/>
  <c r="N93" i="111" s="1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F95" i="111" s="1"/>
  <c r="G95" i="108"/>
  <c r="H95" i="108"/>
  <c r="I95" i="108"/>
  <c r="J95" i="108"/>
  <c r="J95" i="111" s="1"/>
  <c r="K95" i="108"/>
  <c r="L95" i="108"/>
  <c r="M95" i="108"/>
  <c r="N95" i="108"/>
  <c r="N95" i="111" s="1"/>
  <c r="C96" i="108"/>
  <c r="D96" i="108"/>
  <c r="E96" i="108"/>
  <c r="F96" i="108"/>
  <c r="F96" i="111" s="1"/>
  <c r="G96" i="108"/>
  <c r="H96" i="108"/>
  <c r="I96" i="108"/>
  <c r="J96" i="108"/>
  <c r="J96" i="111" s="1"/>
  <c r="K96" i="108"/>
  <c r="L96" i="108"/>
  <c r="M96" i="108"/>
  <c r="N96" i="108"/>
  <c r="N96" i="111" s="1"/>
  <c r="C97" i="108"/>
  <c r="D97" i="108"/>
  <c r="E97" i="108"/>
  <c r="F97" i="108"/>
  <c r="F97" i="111" s="1"/>
  <c r="G97" i="108"/>
  <c r="H97" i="108"/>
  <c r="I97" i="108"/>
  <c r="J97" i="108"/>
  <c r="J97" i="111" s="1"/>
  <c r="K97" i="108"/>
  <c r="L97" i="108"/>
  <c r="M97" i="108"/>
  <c r="N97" i="108"/>
  <c r="N97" i="111" s="1"/>
  <c r="C98" i="108"/>
  <c r="D98" i="108"/>
  <c r="E98" i="108"/>
  <c r="U32" i="108" s="1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F99" i="111" s="1"/>
  <c r="G99" i="108"/>
  <c r="H99" i="108"/>
  <c r="I99" i="108"/>
  <c r="J99" i="108"/>
  <c r="J99" i="111" s="1"/>
  <c r="K99" i="108"/>
  <c r="L99" i="108"/>
  <c r="M99" i="108"/>
  <c r="N99" i="108"/>
  <c r="N99" i="111" s="1"/>
  <c r="C100" i="108"/>
  <c r="D100" i="108"/>
  <c r="E100" i="108"/>
  <c r="F100" i="108"/>
  <c r="F100" i="111" s="1"/>
  <c r="G100" i="108"/>
  <c r="H100" i="108"/>
  <c r="I100" i="108"/>
  <c r="J100" i="108"/>
  <c r="J100" i="111" s="1"/>
  <c r="K100" i="108"/>
  <c r="L100" i="108"/>
  <c r="M100" i="108"/>
  <c r="N100" i="108"/>
  <c r="N100" i="111" s="1"/>
  <c r="C101" i="108"/>
  <c r="D101" i="108"/>
  <c r="E101" i="108"/>
  <c r="F101" i="108"/>
  <c r="F101" i="111" s="1"/>
  <c r="G101" i="108"/>
  <c r="H101" i="108"/>
  <c r="I101" i="108"/>
  <c r="J101" i="108"/>
  <c r="J101" i="111" s="1"/>
  <c r="K101" i="108"/>
  <c r="L101" i="108"/>
  <c r="M101" i="108"/>
  <c r="N101" i="108"/>
  <c r="N101" i="111" s="1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N102" i="111" s="1"/>
  <c r="C103" i="108"/>
  <c r="D103" i="108"/>
  <c r="E103" i="108"/>
  <c r="F103" i="108"/>
  <c r="F103" i="111" s="1"/>
  <c r="G103" i="108"/>
  <c r="H103" i="108"/>
  <c r="I103" i="108"/>
  <c r="J103" i="108"/>
  <c r="J103" i="111" s="1"/>
  <c r="K103" i="108"/>
  <c r="L103" i="108"/>
  <c r="M103" i="108"/>
  <c r="N103" i="108"/>
  <c r="N103" i="111" s="1"/>
  <c r="C104" i="108"/>
  <c r="D104" i="108"/>
  <c r="E104" i="108"/>
  <c r="F104" i="108"/>
  <c r="F104" i="111" s="1"/>
  <c r="G104" i="108"/>
  <c r="H104" i="108"/>
  <c r="I104" i="108"/>
  <c r="J104" i="108"/>
  <c r="J104" i="111" s="1"/>
  <c r="K104" i="108"/>
  <c r="L104" i="108"/>
  <c r="M104" i="108"/>
  <c r="N104" i="108"/>
  <c r="N104" i="111" s="1"/>
  <c r="C105" i="108"/>
  <c r="D105" i="108"/>
  <c r="E105" i="108"/>
  <c r="F105" i="108"/>
  <c r="G105" i="108"/>
  <c r="H105" i="108"/>
  <c r="I105" i="108"/>
  <c r="J105" i="108"/>
  <c r="J105" i="111" s="1"/>
  <c r="K105" i="108"/>
  <c r="L105" i="108"/>
  <c r="M105" i="108"/>
  <c r="N105" i="108"/>
  <c r="N105" i="111" s="1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C58" i="108"/>
  <c r="C59" i="107"/>
  <c r="D59" i="107"/>
  <c r="E59" i="107"/>
  <c r="F59" i="107"/>
  <c r="G59" i="107"/>
  <c r="H59" i="107"/>
  <c r="I59" i="107"/>
  <c r="J59" i="107"/>
  <c r="K59" i="107"/>
  <c r="L59" i="107"/>
  <c r="M59" i="107"/>
  <c r="N59" i="107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I85" i="111" s="1"/>
  <c r="J85" i="107"/>
  <c r="K85" i="107"/>
  <c r="L85" i="107"/>
  <c r="M85" i="107"/>
  <c r="N85" i="107"/>
  <c r="C86" i="107"/>
  <c r="D86" i="107"/>
  <c r="E86" i="107"/>
  <c r="F86" i="107"/>
  <c r="G86" i="107"/>
  <c r="H86" i="107"/>
  <c r="I86" i="107"/>
  <c r="J86" i="107"/>
  <c r="K86" i="107"/>
  <c r="L86" i="107"/>
  <c r="M86" i="107"/>
  <c r="M86" i="111" s="1"/>
  <c r="AC29" i="111" s="1"/>
  <c r="N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E88" i="111" s="1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I89" i="111" s="1"/>
  <c r="J89" i="107"/>
  <c r="K89" i="107"/>
  <c r="L89" i="107"/>
  <c r="M89" i="107"/>
  <c r="N89" i="107"/>
  <c r="C90" i="107"/>
  <c r="D90" i="107"/>
  <c r="E90" i="107"/>
  <c r="F90" i="107"/>
  <c r="G90" i="107"/>
  <c r="H90" i="107"/>
  <c r="I90" i="107"/>
  <c r="J90" i="107"/>
  <c r="K90" i="107"/>
  <c r="L90" i="107"/>
  <c r="M90" i="107"/>
  <c r="M90" i="111" s="1"/>
  <c r="N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E92" i="111" s="1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I93" i="111" s="1"/>
  <c r="J93" i="107"/>
  <c r="K93" i="107"/>
  <c r="L93" i="107"/>
  <c r="M93" i="107"/>
  <c r="N93" i="107"/>
  <c r="C94" i="107"/>
  <c r="D94" i="107"/>
  <c r="E94" i="107"/>
  <c r="F94" i="107"/>
  <c r="G94" i="107"/>
  <c r="H94" i="107"/>
  <c r="I94" i="107"/>
  <c r="J94" i="107"/>
  <c r="K94" i="107"/>
  <c r="L94" i="107"/>
  <c r="M94" i="107"/>
  <c r="M94" i="111" s="1"/>
  <c r="N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E96" i="111" s="1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I97" i="111" s="1"/>
  <c r="J97" i="107"/>
  <c r="K97" i="107"/>
  <c r="L97" i="107"/>
  <c r="M97" i="107"/>
  <c r="N97" i="107"/>
  <c r="C98" i="107"/>
  <c r="D98" i="107"/>
  <c r="E98" i="107"/>
  <c r="F98" i="107"/>
  <c r="G98" i="107"/>
  <c r="H98" i="107"/>
  <c r="I98" i="107"/>
  <c r="J98" i="107"/>
  <c r="K98" i="107"/>
  <c r="L98" i="107"/>
  <c r="M98" i="107"/>
  <c r="M98" i="111" s="1"/>
  <c r="AC32" i="111" s="1"/>
  <c r="N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E100" i="111" s="1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I101" i="111" s="1"/>
  <c r="J101" i="107"/>
  <c r="K101" i="107"/>
  <c r="L101" i="107"/>
  <c r="M101" i="107"/>
  <c r="N101" i="107"/>
  <c r="C102" i="107"/>
  <c r="D102" i="107"/>
  <c r="E102" i="107"/>
  <c r="U33" i="107" s="1"/>
  <c r="F102" i="107"/>
  <c r="G102" i="107"/>
  <c r="H102" i="107"/>
  <c r="I102" i="107"/>
  <c r="J102" i="107"/>
  <c r="K102" i="107"/>
  <c r="L102" i="107"/>
  <c r="M102" i="107"/>
  <c r="M102" i="111" s="1"/>
  <c r="N102" i="107"/>
  <c r="C103" i="107"/>
  <c r="D103" i="107"/>
  <c r="E103" i="107"/>
  <c r="E103" i="111" s="1"/>
  <c r="F103" i="107"/>
  <c r="G103" i="107"/>
  <c r="H103" i="107"/>
  <c r="I103" i="107"/>
  <c r="I103" i="111" s="1"/>
  <c r="J103" i="107"/>
  <c r="K103" i="107"/>
  <c r="L103" i="107"/>
  <c r="M103" i="107"/>
  <c r="M103" i="111" s="1"/>
  <c r="N103" i="107"/>
  <c r="C104" i="107"/>
  <c r="D104" i="107"/>
  <c r="E104" i="107"/>
  <c r="O104" i="107" s="1"/>
  <c r="F104" i="107"/>
  <c r="G104" i="107"/>
  <c r="H104" i="107"/>
  <c r="I104" i="107"/>
  <c r="I104" i="111" s="1"/>
  <c r="J104" i="107"/>
  <c r="K104" i="107"/>
  <c r="L104" i="107"/>
  <c r="M104" i="107"/>
  <c r="M104" i="111" s="1"/>
  <c r="N104" i="107"/>
  <c r="C105" i="107"/>
  <c r="D105" i="107"/>
  <c r="E105" i="107"/>
  <c r="E105" i="111" s="1"/>
  <c r="F105" i="107"/>
  <c r="G105" i="107"/>
  <c r="H105" i="107"/>
  <c r="I105" i="107"/>
  <c r="I105" i="111" s="1"/>
  <c r="J105" i="107"/>
  <c r="K105" i="107"/>
  <c r="L105" i="107"/>
  <c r="M105" i="107"/>
  <c r="M105" i="111" s="1"/>
  <c r="N105" i="107"/>
  <c r="D58" i="107"/>
  <c r="E58" i="107"/>
  <c r="F58" i="107"/>
  <c r="F58" i="111" s="1"/>
  <c r="G58" i="107"/>
  <c r="W22" i="107" s="1"/>
  <c r="H58" i="107"/>
  <c r="I58" i="107"/>
  <c r="J58" i="107"/>
  <c r="J58" i="111" s="1"/>
  <c r="K58" i="107"/>
  <c r="AA22" i="107" s="1"/>
  <c r="L58" i="107"/>
  <c r="M58" i="107"/>
  <c r="N58" i="107"/>
  <c r="C58" i="107"/>
  <c r="C59" i="111"/>
  <c r="D59" i="111"/>
  <c r="E59" i="111"/>
  <c r="G59" i="111"/>
  <c r="H59" i="111"/>
  <c r="I59" i="111"/>
  <c r="Y22" i="111" s="1"/>
  <c r="K59" i="111"/>
  <c r="L59" i="111"/>
  <c r="M59" i="111"/>
  <c r="C60" i="111"/>
  <c r="D60" i="111"/>
  <c r="E60" i="111"/>
  <c r="G60" i="111"/>
  <c r="H60" i="111"/>
  <c r="I60" i="111"/>
  <c r="K60" i="111"/>
  <c r="L60" i="111"/>
  <c r="M60" i="111"/>
  <c r="C61" i="111"/>
  <c r="D61" i="111"/>
  <c r="E61" i="111"/>
  <c r="G61" i="111"/>
  <c r="H61" i="111"/>
  <c r="I61" i="111"/>
  <c r="K61" i="111"/>
  <c r="L61" i="111"/>
  <c r="M61" i="111"/>
  <c r="C62" i="111"/>
  <c r="D62" i="111"/>
  <c r="E62" i="111"/>
  <c r="U23" i="111" s="1"/>
  <c r="G62" i="111"/>
  <c r="H62" i="111"/>
  <c r="I62" i="111"/>
  <c r="K62" i="111"/>
  <c r="L62" i="111"/>
  <c r="M62" i="111"/>
  <c r="C63" i="111"/>
  <c r="D63" i="111"/>
  <c r="E63" i="111"/>
  <c r="G63" i="111"/>
  <c r="H63" i="111"/>
  <c r="I63" i="111"/>
  <c r="K63" i="111"/>
  <c r="L63" i="111"/>
  <c r="M63" i="111"/>
  <c r="C64" i="111"/>
  <c r="D64" i="111"/>
  <c r="E64" i="111"/>
  <c r="G64" i="111"/>
  <c r="H64" i="111"/>
  <c r="I64" i="111"/>
  <c r="K64" i="111"/>
  <c r="L64" i="111"/>
  <c r="M64" i="111"/>
  <c r="C65" i="111"/>
  <c r="D65" i="111"/>
  <c r="E65" i="111"/>
  <c r="G65" i="111"/>
  <c r="H65" i="111"/>
  <c r="I65" i="111"/>
  <c r="K65" i="111"/>
  <c r="L65" i="111"/>
  <c r="M65" i="111"/>
  <c r="C66" i="111"/>
  <c r="D66" i="111"/>
  <c r="E66" i="111"/>
  <c r="G66" i="111"/>
  <c r="H66" i="111"/>
  <c r="I66" i="111"/>
  <c r="K66" i="111"/>
  <c r="L66" i="111"/>
  <c r="M66" i="111"/>
  <c r="C67" i="111"/>
  <c r="D67" i="111"/>
  <c r="E67" i="111"/>
  <c r="G67" i="111"/>
  <c r="H67" i="111"/>
  <c r="I67" i="111"/>
  <c r="K67" i="111"/>
  <c r="L67" i="111"/>
  <c r="M67" i="111"/>
  <c r="C68" i="111"/>
  <c r="D68" i="111"/>
  <c r="E68" i="111"/>
  <c r="G68" i="111"/>
  <c r="H68" i="111"/>
  <c r="I68" i="111"/>
  <c r="K68" i="111"/>
  <c r="L68" i="111"/>
  <c r="M68" i="111"/>
  <c r="C69" i="111"/>
  <c r="D69" i="111"/>
  <c r="E69" i="111"/>
  <c r="G69" i="111"/>
  <c r="H69" i="111"/>
  <c r="I69" i="111"/>
  <c r="K69" i="111"/>
  <c r="L69" i="111"/>
  <c r="M69" i="111"/>
  <c r="C70" i="111"/>
  <c r="D70" i="111"/>
  <c r="E70" i="111"/>
  <c r="G70" i="111"/>
  <c r="H70" i="111"/>
  <c r="I70" i="111"/>
  <c r="K70" i="111"/>
  <c r="L70" i="111"/>
  <c r="M70" i="111"/>
  <c r="C71" i="111"/>
  <c r="D71" i="111"/>
  <c r="E71" i="111"/>
  <c r="G71" i="111"/>
  <c r="H71" i="111"/>
  <c r="I71" i="111"/>
  <c r="K71" i="111"/>
  <c r="L71" i="111"/>
  <c r="M71" i="111"/>
  <c r="C72" i="111"/>
  <c r="D72" i="111"/>
  <c r="E72" i="111"/>
  <c r="G72" i="111"/>
  <c r="H72" i="111"/>
  <c r="I72" i="111"/>
  <c r="K72" i="111"/>
  <c r="L72" i="111"/>
  <c r="M72" i="111"/>
  <c r="C73" i="111"/>
  <c r="D73" i="111"/>
  <c r="E73" i="111"/>
  <c r="G73" i="111"/>
  <c r="H73" i="111"/>
  <c r="I73" i="111"/>
  <c r="K73" i="111"/>
  <c r="L73" i="111"/>
  <c r="M73" i="111"/>
  <c r="C74" i="111"/>
  <c r="D74" i="111"/>
  <c r="E74" i="111"/>
  <c r="U26" i="111" s="1"/>
  <c r="G74" i="111"/>
  <c r="H74" i="111"/>
  <c r="I74" i="111"/>
  <c r="K74" i="111"/>
  <c r="L74" i="111"/>
  <c r="M74" i="111"/>
  <c r="C75" i="111"/>
  <c r="D75" i="111"/>
  <c r="E75" i="111"/>
  <c r="G75" i="111"/>
  <c r="H75" i="111"/>
  <c r="I75" i="111"/>
  <c r="K75" i="111"/>
  <c r="L75" i="111"/>
  <c r="M75" i="111"/>
  <c r="C76" i="111"/>
  <c r="D76" i="111"/>
  <c r="E76" i="111"/>
  <c r="G76" i="111"/>
  <c r="H76" i="111"/>
  <c r="I76" i="111"/>
  <c r="K76" i="111"/>
  <c r="L76" i="111"/>
  <c r="M76" i="111"/>
  <c r="C77" i="111"/>
  <c r="D77" i="111"/>
  <c r="E77" i="111"/>
  <c r="G77" i="111"/>
  <c r="H77" i="111"/>
  <c r="I77" i="111"/>
  <c r="K77" i="111"/>
  <c r="L77" i="111"/>
  <c r="M77" i="111"/>
  <c r="C78" i="111"/>
  <c r="D78" i="111"/>
  <c r="E78" i="111"/>
  <c r="U27" i="111" s="1"/>
  <c r="G78" i="111"/>
  <c r="H78" i="111"/>
  <c r="I78" i="111"/>
  <c r="K78" i="111"/>
  <c r="L78" i="111"/>
  <c r="M78" i="111"/>
  <c r="C79" i="111"/>
  <c r="D79" i="111"/>
  <c r="E79" i="111"/>
  <c r="G79" i="111"/>
  <c r="H79" i="111"/>
  <c r="I79" i="111"/>
  <c r="K79" i="111"/>
  <c r="L79" i="111"/>
  <c r="M79" i="111"/>
  <c r="C80" i="111"/>
  <c r="D80" i="111"/>
  <c r="E80" i="111"/>
  <c r="G80" i="111"/>
  <c r="H80" i="111"/>
  <c r="I80" i="111"/>
  <c r="K80" i="111"/>
  <c r="L80" i="111"/>
  <c r="M80" i="111"/>
  <c r="C81" i="111"/>
  <c r="D81" i="111"/>
  <c r="E81" i="111"/>
  <c r="G81" i="111"/>
  <c r="H81" i="111"/>
  <c r="I81" i="111"/>
  <c r="K81" i="111"/>
  <c r="L81" i="111"/>
  <c r="M81" i="111"/>
  <c r="C82" i="111"/>
  <c r="D82" i="111"/>
  <c r="E82" i="111"/>
  <c r="G82" i="111"/>
  <c r="H82" i="111"/>
  <c r="I82" i="111"/>
  <c r="K82" i="111"/>
  <c r="L82" i="111"/>
  <c r="M82" i="111"/>
  <c r="C83" i="111"/>
  <c r="D83" i="111"/>
  <c r="E83" i="111"/>
  <c r="G83" i="111"/>
  <c r="H83" i="111"/>
  <c r="I83" i="111"/>
  <c r="K83" i="111"/>
  <c r="L83" i="111"/>
  <c r="M83" i="111"/>
  <c r="C84" i="111"/>
  <c r="D84" i="111"/>
  <c r="E84" i="111"/>
  <c r="G84" i="111"/>
  <c r="H84" i="111"/>
  <c r="I84" i="111"/>
  <c r="K84" i="111"/>
  <c r="L84" i="111"/>
  <c r="M84" i="111"/>
  <c r="C85" i="111"/>
  <c r="D85" i="111"/>
  <c r="E85" i="111"/>
  <c r="G85" i="111"/>
  <c r="H85" i="111"/>
  <c r="K85" i="111"/>
  <c r="L85" i="111"/>
  <c r="M85" i="111"/>
  <c r="C86" i="111"/>
  <c r="D86" i="111"/>
  <c r="E86" i="111"/>
  <c r="G86" i="111"/>
  <c r="H86" i="111"/>
  <c r="I86" i="111"/>
  <c r="K86" i="111"/>
  <c r="L86" i="111"/>
  <c r="C87" i="111"/>
  <c r="D87" i="111"/>
  <c r="E87" i="111"/>
  <c r="G87" i="111"/>
  <c r="H87" i="111"/>
  <c r="I87" i="111"/>
  <c r="K87" i="111"/>
  <c r="L87" i="111"/>
  <c r="M87" i="111"/>
  <c r="C88" i="111"/>
  <c r="D88" i="111"/>
  <c r="G88" i="111"/>
  <c r="H88" i="111"/>
  <c r="I88" i="111"/>
  <c r="K88" i="111"/>
  <c r="L88" i="111"/>
  <c r="M88" i="111"/>
  <c r="C89" i="111"/>
  <c r="D89" i="111"/>
  <c r="E89" i="111"/>
  <c r="G89" i="111"/>
  <c r="H89" i="111"/>
  <c r="K89" i="111"/>
  <c r="L89" i="111"/>
  <c r="M89" i="111"/>
  <c r="C90" i="111"/>
  <c r="D90" i="111"/>
  <c r="E90" i="111"/>
  <c r="G90" i="111"/>
  <c r="H90" i="111"/>
  <c r="I90" i="111"/>
  <c r="K90" i="111"/>
  <c r="L90" i="111"/>
  <c r="C91" i="111"/>
  <c r="D91" i="111"/>
  <c r="E91" i="111"/>
  <c r="G91" i="111"/>
  <c r="H91" i="111"/>
  <c r="I91" i="111"/>
  <c r="K91" i="111"/>
  <c r="L91" i="111"/>
  <c r="M91" i="111"/>
  <c r="C92" i="111"/>
  <c r="D92" i="111"/>
  <c r="G92" i="111"/>
  <c r="H92" i="111"/>
  <c r="I92" i="111"/>
  <c r="K92" i="111"/>
  <c r="L92" i="111"/>
  <c r="M92" i="111"/>
  <c r="C93" i="111"/>
  <c r="D93" i="111"/>
  <c r="E93" i="111"/>
  <c r="G93" i="111"/>
  <c r="H93" i="111"/>
  <c r="K93" i="111"/>
  <c r="L93" i="111"/>
  <c r="M93" i="111"/>
  <c r="C94" i="111"/>
  <c r="D94" i="111"/>
  <c r="E94" i="111"/>
  <c r="G94" i="111"/>
  <c r="H94" i="111"/>
  <c r="I94" i="111"/>
  <c r="K94" i="111"/>
  <c r="L94" i="111"/>
  <c r="C95" i="111"/>
  <c r="D95" i="111"/>
  <c r="E95" i="111"/>
  <c r="G95" i="111"/>
  <c r="H95" i="111"/>
  <c r="I95" i="111"/>
  <c r="K95" i="111"/>
  <c r="L95" i="111"/>
  <c r="M95" i="111"/>
  <c r="C96" i="111"/>
  <c r="D96" i="111"/>
  <c r="G96" i="111"/>
  <c r="H96" i="111"/>
  <c r="I96" i="111"/>
  <c r="K96" i="111"/>
  <c r="L96" i="111"/>
  <c r="M96" i="111"/>
  <c r="C97" i="111"/>
  <c r="D97" i="111"/>
  <c r="E97" i="111"/>
  <c r="G97" i="111"/>
  <c r="H97" i="111"/>
  <c r="K97" i="111"/>
  <c r="L97" i="111"/>
  <c r="M97" i="111"/>
  <c r="C98" i="111"/>
  <c r="D98" i="111"/>
  <c r="E98" i="111"/>
  <c r="G98" i="111"/>
  <c r="H98" i="111"/>
  <c r="I98" i="111"/>
  <c r="K98" i="111"/>
  <c r="L98" i="111"/>
  <c r="C99" i="111"/>
  <c r="D99" i="111"/>
  <c r="E99" i="111"/>
  <c r="G99" i="111"/>
  <c r="H99" i="111"/>
  <c r="I99" i="111"/>
  <c r="K99" i="111"/>
  <c r="L99" i="111"/>
  <c r="M99" i="111"/>
  <c r="C100" i="111"/>
  <c r="D100" i="111"/>
  <c r="G100" i="111"/>
  <c r="H100" i="111"/>
  <c r="I100" i="111"/>
  <c r="K100" i="111"/>
  <c r="L100" i="111"/>
  <c r="M100" i="111"/>
  <c r="C101" i="111"/>
  <c r="D101" i="111"/>
  <c r="E101" i="111"/>
  <c r="G101" i="111"/>
  <c r="H101" i="111"/>
  <c r="K101" i="111"/>
  <c r="L101" i="111"/>
  <c r="M101" i="111"/>
  <c r="C102" i="111"/>
  <c r="D102" i="111"/>
  <c r="E102" i="111"/>
  <c r="G102" i="111"/>
  <c r="H102" i="111"/>
  <c r="I102" i="111"/>
  <c r="K102" i="111"/>
  <c r="L102" i="111"/>
  <c r="C103" i="111"/>
  <c r="D103" i="111"/>
  <c r="G103" i="111"/>
  <c r="H103" i="111"/>
  <c r="K103" i="111"/>
  <c r="L103" i="111"/>
  <c r="C104" i="111"/>
  <c r="D104" i="111"/>
  <c r="G104" i="111"/>
  <c r="H104" i="111"/>
  <c r="K104" i="111"/>
  <c r="L104" i="111"/>
  <c r="C105" i="111"/>
  <c r="D105" i="111"/>
  <c r="G105" i="111"/>
  <c r="H105" i="111"/>
  <c r="K105" i="111"/>
  <c r="AA33" i="111" s="1"/>
  <c r="L105" i="111"/>
  <c r="D58" i="111"/>
  <c r="E58" i="111"/>
  <c r="H58" i="111"/>
  <c r="I58" i="111"/>
  <c r="L58" i="111"/>
  <c r="M58" i="111"/>
  <c r="AC33" i="107"/>
  <c r="AA33" i="107"/>
  <c r="W33" i="107"/>
  <c r="S33" i="107"/>
  <c r="AB32" i="107"/>
  <c r="AA32" i="107"/>
  <c r="X32" i="107"/>
  <c r="W32" i="107"/>
  <c r="T32" i="107"/>
  <c r="S32" i="107"/>
  <c r="AA31" i="107"/>
  <c r="Y31" i="107"/>
  <c r="W31" i="107"/>
  <c r="S31" i="107"/>
  <c r="AB30" i="107"/>
  <c r="AA30" i="107"/>
  <c r="X30" i="107"/>
  <c r="W30" i="107"/>
  <c r="T30" i="107"/>
  <c r="S30" i="107"/>
  <c r="AA29" i="107"/>
  <c r="W29" i="107"/>
  <c r="S29" i="107"/>
  <c r="AB28" i="107"/>
  <c r="AA28" i="107"/>
  <c r="X28" i="107"/>
  <c r="W28" i="107"/>
  <c r="T28" i="107"/>
  <c r="S28" i="107"/>
  <c r="AA27" i="107"/>
  <c r="W27" i="107"/>
  <c r="S27" i="107"/>
  <c r="AB26" i="107"/>
  <c r="AA26" i="107"/>
  <c r="X26" i="107"/>
  <c r="W26" i="107"/>
  <c r="T26" i="107"/>
  <c r="S26" i="107"/>
  <c r="AA25" i="107"/>
  <c r="Y25" i="107"/>
  <c r="W25" i="107"/>
  <c r="S25" i="107"/>
  <c r="AB24" i="107"/>
  <c r="AA24" i="107"/>
  <c r="X24" i="107"/>
  <c r="W24" i="107"/>
  <c r="T24" i="107"/>
  <c r="S24" i="107"/>
  <c r="AA23" i="107"/>
  <c r="W23" i="107"/>
  <c r="S23" i="107"/>
  <c r="AB22" i="107"/>
  <c r="T22" i="107"/>
  <c r="AB33" i="108"/>
  <c r="AA33" i="108"/>
  <c r="X33" i="108"/>
  <c r="W33" i="108"/>
  <c r="T33" i="108"/>
  <c r="S33" i="108"/>
  <c r="AC32" i="108"/>
  <c r="AB32" i="108"/>
  <c r="AA32" i="108"/>
  <c r="X32" i="108"/>
  <c r="W32" i="108"/>
  <c r="T32" i="108"/>
  <c r="S32" i="108"/>
  <c r="AB31" i="108"/>
  <c r="AA31" i="108"/>
  <c r="X31" i="108"/>
  <c r="W31" i="108"/>
  <c r="T31" i="108"/>
  <c r="S31" i="108"/>
  <c r="AB30" i="108"/>
  <c r="AA30" i="108"/>
  <c r="Y30" i="108"/>
  <c r="X30" i="108"/>
  <c r="W30" i="108"/>
  <c r="U30" i="108"/>
  <c r="T30" i="108"/>
  <c r="S30" i="108"/>
  <c r="AB29" i="108"/>
  <c r="AA29" i="108"/>
  <c r="X29" i="108"/>
  <c r="W29" i="108"/>
  <c r="T29" i="108"/>
  <c r="S29" i="108"/>
  <c r="AC28" i="108"/>
  <c r="AB28" i="108"/>
  <c r="AA28" i="108"/>
  <c r="Y28" i="108"/>
  <c r="X28" i="108"/>
  <c r="W28" i="108"/>
  <c r="T28" i="108"/>
  <c r="S28" i="108"/>
  <c r="AB27" i="108"/>
  <c r="AA27" i="108"/>
  <c r="X27" i="108"/>
  <c r="W27" i="108"/>
  <c r="T27" i="108"/>
  <c r="S27" i="108"/>
  <c r="AC26" i="108"/>
  <c r="AB26" i="108"/>
  <c r="AA26" i="108"/>
  <c r="X26" i="108"/>
  <c r="W26" i="108"/>
  <c r="T26" i="108"/>
  <c r="S26" i="108"/>
  <c r="AB25" i="108"/>
  <c r="AA25" i="108"/>
  <c r="X25" i="108"/>
  <c r="W25" i="108"/>
  <c r="T25" i="108"/>
  <c r="S25" i="108"/>
  <c r="AB24" i="108"/>
  <c r="AA24" i="108"/>
  <c r="X24" i="108"/>
  <c r="W24" i="108"/>
  <c r="U24" i="108"/>
  <c r="T24" i="108"/>
  <c r="S24" i="108"/>
  <c r="AB23" i="108"/>
  <c r="AA23" i="108"/>
  <c r="X23" i="108"/>
  <c r="W23" i="108"/>
  <c r="T23" i="108"/>
  <c r="S23" i="108"/>
  <c r="AB22" i="108"/>
  <c r="Y22" i="108"/>
  <c r="X22" i="108"/>
  <c r="T22" i="108"/>
  <c r="X33" i="111"/>
  <c r="W33" i="111"/>
  <c r="T33" i="111"/>
  <c r="S33" i="111"/>
  <c r="AB32" i="111"/>
  <c r="AA32" i="111"/>
  <c r="X32" i="111"/>
  <c r="W32" i="111"/>
  <c r="T32" i="111"/>
  <c r="S32" i="111"/>
  <c r="AB31" i="111"/>
  <c r="AA31" i="111"/>
  <c r="X31" i="111"/>
  <c r="W31" i="111"/>
  <c r="S31" i="111"/>
  <c r="AB30" i="111"/>
  <c r="AA30" i="111"/>
  <c r="W30" i="111"/>
  <c r="T30" i="111"/>
  <c r="S30" i="111"/>
  <c r="AA29" i="111"/>
  <c r="X29" i="111"/>
  <c r="W29" i="111"/>
  <c r="T29" i="111"/>
  <c r="S29" i="111"/>
  <c r="AB28" i="111"/>
  <c r="AA28" i="111"/>
  <c r="X28" i="111"/>
  <c r="W28" i="111"/>
  <c r="T28" i="111"/>
  <c r="S28" i="111"/>
  <c r="AB27" i="111"/>
  <c r="AA27" i="111"/>
  <c r="X27" i="111"/>
  <c r="W27" i="111"/>
  <c r="S27" i="111"/>
  <c r="AB26" i="111"/>
  <c r="AA26" i="111"/>
  <c r="W26" i="111"/>
  <c r="T26" i="111"/>
  <c r="S26" i="111"/>
  <c r="AA25" i="111"/>
  <c r="X25" i="111"/>
  <c r="W25" i="111"/>
  <c r="T25" i="111"/>
  <c r="S25" i="111"/>
  <c r="AB24" i="111"/>
  <c r="AA24" i="111"/>
  <c r="X24" i="111"/>
  <c r="W24" i="111"/>
  <c r="T24" i="111"/>
  <c r="S24" i="111"/>
  <c r="AB23" i="111"/>
  <c r="AA23" i="111"/>
  <c r="X23" i="111"/>
  <c r="W23" i="111"/>
  <c r="S23" i="111"/>
  <c r="AB22" i="111"/>
  <c r="X22" i="111"/>
  <c r="T22" i="111"/>
  <c r="AC33" i="111" l="1"/>
  <c r="P88" i="111"/>
  <c r="O88" i="111"/>
  <c r="P96" i="111"/>
  <c r="O96" i="111"/>
  <c r="U31" i="111"/>
  <c r="P58" i="108"/>
  <c r="O58" i="108"/>
  <c r="S22" i="108"/>
  <c r="Z33" i="108"/>
  <c r="J102" i="111"/>
  <c r="AD31" i="108"/>
  <c r="N94" i="111"/>
  <c r="P94" i="111" s="1"/>
  <c r="V31" i="108"/>
  <c r="F94" i="111"/>
  <c r="AD30" i="108"/>
  <c r="N90" i="111"/>
  <c r="AD30" i="111" s="1"/>
  <c r="V30" i="108"/>
  <c r="F90" i="111"/>
  <c r="AD29" i="108"/>
  <c r="N86" i="111"/>
  <c r="AD29" i="111" s="1"/>
  <c r="Z28" i="108"/>
  <c r="J82" i="111"/>
  <c r="V28" i="108"/>
  <c r="F82" i="111"/>
  <c r="V28" i="111" s="1"/>
  <c r="AD27" i="108"/>
  <c r="N78" i="111"/>
  <c r="V27" i="108"/>
  <c r="F78" i="111"/>
  <c r="V27" i="111" s="1"/>
  <c r="AD26" i="108"/>
  <c r="N74" i="111"/>
  <c r="Z26" i="108"/>
  <c r="J74" i="111"/>
  <c r="Z26" i="111" s="1"/>
  <c r="F73" i="111"/>
  <c r="O73" i="108"/>
  <c r="P73" i="108"/>
  <c r="Z25" i="108"/>
  <c r="J70" i="111"/>
  <c r="V25" i="108"/>
  <c r="F70" i="111"/>
  <c r="AD24" i="108"/>
  <c r="N66" i="111"/>
  <c r="V24" i="108"/>
  <c r="F66" i="111"/>
  <c r="AD23" i="108"/>
  <c r="N62" i="111"/>
  <c r="V23" i="108"/>
  <c r="F62" i="111"/>
  <c r="P62" i="111" s="1"/>
  <c r="Z22" i="108"/>
  <c r="J59" i="111"/>
  <c r="G58" i="111"/>
  <c r="W22" i="111" s="1"/>
  <c r="P97" i="111"/>
  <c r="O97" i="111"/>
  <c r="Y29" i="111"/>
  <c r="P81" i="111"/>
  <c r="O81" i="111"/>
  <c r="Y25" i="111"/>
  <c r="P65" i="111"/>
  <c r="O65" i="111"/>
  <c r="C58" i="111"/>
  <c r="E104" i="111"/>
  <c r="U33" i="111" s="1"/>
  <c r="AC28" i="111"/>
  <c r="P80" i="111"/>
  <c r="O80" i="111"/>
  <c r="P72" i="111"/>
  <c r="O72" i="111"/>
  <c r="AC25" i="111"/>
  <c r="AC24" i="111"/>
  <c r="P64" i="111"/>
  <c r="O64" i="111"/>
  <c r="U30" i="111"/>
  <c r="P105" i="108"/>
  <c r="AF33" i="108" s="1"/>
  <c r="O105" i="108"/>
  <c r="AD33" i="108"/>
  <c r="V33" i="108"/>
  <c r="F102" i="111"/>
  <c r="AD32" i="108"/>
  <c r="N98" i="111"/>
  <c r="Z32" i="108"/>
  <c r="J98" i="111"/>
  <c r="Z32" i="111" s="1"/>
  <c r="V32" i="108"/>
  <c r="F98" i="111"/>
  <c r="Z31" i="108"/>
  <c r="J94" i="111"/>
  <c r="Z30" i="108"/>
  <c r="J90" i="111"/>
  <c r="F89" i="111"/>
  <c r="O89" i="108"/>
  <c r="P89" i="108"/>
  <c r="Z29" i="108"/>
  <c r="J86" i="111"/>
  <c r="V29" i="108"/>
  <c r="F86" i="111"/>
  <c r="V29" i="111" s="1"/>
  <c r="AD28" i="108"/>
  <c r="N82" i="111"/>
  <c r="Z27" i="108"/>
  <c r="J78" i="111"/>
  <c r="Z27" i="111" s="1"/>
  <c r="V26" i="108"/>
  <c r="F74" i="111"/>
  <c r="AD25" i="108"/>
  <c r="N70" i="111"/>
  <c r="P70" i="111" s="1"/>
  <c r="Z24" i="108"/>
  <c r="J66" i="111"/>
  <c r="Z23" i="108"/>
  <c r="J62" i="111"/>
  <c r="Z23" i="111" s="1"/>
  <c r="AD22" i="108"/>
  <c r="N59" i="111"/>
  <c r="V22" i="108"/>
  <c r="F59" i="111"/>
  <c r="V22" i="111" s="1"/>
  <c r="K58" i="111"/>
  <c r="AA22" i="111" s="1"/>
  <c r="F105" i="111"/>
  <c r="O105" i="111" s="1"/>
  <c r="Y33" i="111"/>
  <c r="Y30" i="111"/>
  <c r="O89" i="111"/>
  <c r="P89" i="111"/>
  <c r="Y26" i="111"/>
  <c r="P73" i="111"/>
  <c r="O73" i="111"/>
  <c r="O105" i="107"/>
  <c r="P105" i="107"/>
  <c r="P104" i="107"/>
  <c r="Y33" i="107"/>
  <c r="P100" i="107"/>
  <c r="O100" i="107"/>
  <c r="AE32" i="107" s="1"/>
  <c r="AC32" i="107"/>
  <c r="Y32" i="107"/>
  <c r="U32" i="107"/>
  <c r="P97" i="107"/>
  <c r="O97" i="107"/>
  <c r="P96" i="107"/>
  <c r="O96" i="107"/>
  <c r="AC31" i="107"/>
  <c r="U31" i="107"/>
  <c r="P92" i="107"/>
  <c r="O92" i="107"/>
  <c r="AC30" i="107"/>
  <c r="Y30" i="107"/>
  <c r="U30" i="107"/>
  <c r="P89" i="107"/>
  <c r="O89" i="107"/>
  <c r="P88" i="107"/>
  <c r="O88" i="107"/>
  <c r="AC29" i="107"/>
  <c r="Y29" i="107"/>
  <c r="U29" i="107"/>
  <c r="P85" i="107"/>
  <c r="O85" i="107"/>
  <c r="P84" i="107"/>
  <c r="O84" i="107"/>
  <c r="AE28" i="107" s="1"/>
  <c r="AC28" i="107"/>
  <c r="Y28" i="107"/>
  <c r="U28" i="107"/>
  <c r="P81" i="107"/>
  <c r="O81" i="107"/>
  <c r="P80" i="107"/>
  <c r="O80" i="107"/>
  <c r="AC27" i="107"/>
  <c r="Y27" i="107"/>
  <c r="U27" i="107"/>
  <c r="P77" i="107"/>
  <c r="AF26" i="107" s="1"/>
  <c r="O77" i="107"/>
  <c r="P76" i="107"/>
  <c r="O76" i="107"/>
  <c r="AC26" i="107"/>
  <c r="Y26" i="107"/>
  <c r="U26" i="107"/>
  <c r="P73" i="107"/>
  <c r="O73" i="107"/>
  <c r="P72" i="107"/>
  <c r="AC25" i="107"/>
  <c r="U25" i="107"/>
  <c r="P69" i="107"/>
  <c r="O69" i="107"/>
  <c r="P68" i="107"/>
  <c r="O68" i="107"/>
  <c r="AC24" i="107"/>
  <c r="Y24" i="107"/>
  <c r="U24" i="107"/>
  <c r="P65" i="107"/>
  <c r="O65" i="107"/>
  <c r="P64" i="107"/>
  <c r="O64" i="107"/>
  <c r="AC23" i="107"/>
  <c r="Y23" i="107"/>
  <c r="U23" i="107"/>
  <c r="P61" i="107"/>
  <c r="O61" i="107"/>
  <c r="P60" i="107"/>
  <c r="O60" i="107"/>
  <c r="AE22" i="107" s="1"/>
  <c r="AC22" i="107"/>
  <c r="Y22" i="107"/>
  <c r="U22" i="107"/>
  <c r="O72" i="107"/>
  <c r="AE25" i="107" s="1"/>
  <c r="P104" i="108"/>
  <c r="P97" i="108"/>
  <c r="P96" i="108"/>
  <c r="AF31" i="108" s="1"/>
  <c r="P88" i="108"/>
  <c r="P81" i="108"/>
  <c r="P80" i="108"/>
  <c r="P72" i="108"/>
  <c r="P65" i="108"/>
  <c r="P64" i="108"/>
  <c r="P58" i="107"/>
  <c r="O58" i="107"/>
  <c r="S22" i="107"/>
  <c r="AD33" i="107"/>
  <c r="Z33" i="107"/>
  <c r="V33" i="107"/>
  <c r="AD32" i="107"/>
  <c r="Z32" i="107"/>
  <c r="V32" i="107"/>
  <c r="AD31" i="107"/>
  <c r="Z31" i="107"/>
  <c r="V31" i="107"/>
  <c r="AD30" i="107"/>
  <c r="Z30" i="107"/>
  <c r="V30" i="107"/>
  <c r="AD29" i="107"/>
  <c r="Z29" i="107"/>
  <c r="V29" i="107"/>
  <c r="AD28" i="107"/>
  <c r="Z28" i="107"/>
  <c r="V28" i="107"/>
  <c r="AD27" i="107"/>
  <c r="Z27" i="107"/>
  <c r="V27" i="107"/>
  <c r="AD26" i="107"/>
  <c r="Z26" i="107"/>
  <c r="V26" i="107"/>
  <c r="AD25" i="107"/>
  <c r="Z25" i="107"/>
  <c r="V25" i="107"/>
  <c r="AD24" i="107"/>
  <c r="Z24" i="107"/>
  <c r="V24" i="107"/>
  <c r="AD23" i="107"/>
  <c r="Z23" i="107"/>
  <c r="V23" i="107"/>
  <c r="N58" i="111"/>
  <c r="AC33" i="108"/>
  <c r="Y33" i="108"/>
  <c r="P101" i="108"/>
  <c r="O101" i="108"/>
  <c r="P100" i="108"/>
  <c r="O100" i="108"/>
  <c r="Y32" i="108"/>
  <c r="AC31" i="108"/>
  <c r="Y31" i="108"/>
  <c r="P93" i="108"/>
  <c r="O93" i="108"/>
  <c r="P92" i="108"/>
  <c r="O92" i="108"/>
  <c r="AC30" i="108"/>
  <c r="AC29" i="108"/>
  <c r="Y29" i="108"/>
  <c r="P85" i="108"/>
  <c r="O85" i="108"/>
  <c r="P84" i="108"/>
  <c r="O84" i="108"/>
  <c r="AC27" i="108"/>
  <c r="Y27" i="108"/>
  <c r="P77" i="108"/>
  <c r="O77" i="108"/>
  <c r="P76" i="108"/>
  <c r="O76" i="108"/>
  <c r="AE26" i="108" s="1"/>
  <c r="AC25" i="108"/>
  <c r="Y25" i="108"/>
  <c r="U25" i="108"/>
  <c r="P69" i="108"/>
  <c r="O69" i="108"/>
  <c r="P68" i="108"/>
  <c r="O68" i="108"/>
  <c r="AC24" i="108"/>
  <c r="AC23" i="108"/>
  <c r="Y23" i="108"/>
  <c r="U23" i="108"/>
  <c r="P61" i="108"/>
  <c r="AF22" i="108" s="1"/>
  <c r="O61" i="108"/>
  <c r="P60" i="108"/>
  <c r="O60" i="108"/>
  <c r="AC22" i="108"/>
  <c r="U22" i="108"/>
  <c r="O104" i="108"/>
  <c r="O88" i="108"/>
  <c r="O72" i="108"/>
  <c r="P61" i="111"/>
  <c r="P60" i="111"/>
  <c r="P101" i="107"/>
  <c r="P93" i="107"/>
  <c r="AF30" i="107" s="1"/>
  <c r="O97" i="108"/>
  <c r="O81" i="108"/>
  <c r="O65" i="108"/>
  <c r="U33" i="108"/>
  <c r="U31" i="108"/>
  <c r="U29" i="108"/>
  <c r="U27" i="108"/>
  <c r="P101" i="111"/>
  <c r="AF32" i="111" s="1"/>
  <c r="P100" i="111"/>
  <c r="P93" i="111"/>
  <c r="P92" i="111"/>
  <c r="P85" i="111"/>
  <c r="P84" i="111"/>
  <c r="P77" i="111"/>
  <c r="P76" i="111"/>
  <c r="P69" i="111"/>
  <c r="P68" i="111"/>
  <c r="O96" i="108"/>
  <c r="O80" i="108"/>
  <c r="AE27" i="108" s="1"/>
  <c r="O64" i="108"/>
  <c r="AB33" i="107"/>
  <c r="X33" i="107"/>
  <c r="T33" i="107"/>
  <c r="AB31" i="107"/>
  <c r="X31" i="107"/>
  <c r="T31" i="107"/>
  <c r="O83" i="107"/>
  <c r="P79" i="107"/>
  <c r="P75" i="107"/>
  <c r="P71" i="107"/>
  <c r="P67" i="107"/>
  <c r="P63" i="107"/>
  <c r="P59" i="107"/>
  <c r="O101" i="107"/>
  <c r="O93" i="107"/>
  <c r="P83" i="108"/>
  <c r="P79" i="108"/>
  <c r="P75" i="108"/>
  <c r="P71" i="108"/>
  <c r="P67" i="108"/>
  <c r="P63" i="108"/>
  <c r="P59" i="108"/>
  <c r="O101" i="111"/>
  <c r="O93" i="111"/>
  <c r="O85" i="111"/>
  <c r="O77" i="111"/>
  <c r="O69" i="111"/>
  <c r="O61" i="111"/>
  <c r="P103" i="111"/>
  <c r="O103" i="111"/>
  <c r="P102" i="111"/>
  <c r="O102" i="111"/>
  <c r="P99" i="111"/>
  <c r="O99" i="111"/>
  <c r="P98" i="111"/>
  <c r="O98" i="111"/>
  <c r="P95" i="111"/>
  <c r="O95" i="111"/>
  <c r="O94" i="111"/>
  <c r="P91" i="111"/>
  <c r="O91" i="111"/>
  <c r="O90" i="111"/>
  <c r="P87" i="111"/>
  <c r="O87" i="111"/>
  <c r="O86" i="111"/>
  <c r="P83" i="111"/>
  <c r="O83" i="111"/>
  <c r="O82" i="111"/>
  <c r="P79" i="111"/>
  <c r="O79" i="111"/>
  <c r="O78" i="111"/>
  <c r="P75" i="111"/>
  <c r="O75" i="111"/>
  <c r="O74" i="111"/>
  <c r="P71" i="111"/>
  <c r="O71" i="111"/>
  <c r="O70" i="111"/>
  <c r="P67" i="111"/>
  <c r="O67" i="111"/>
  <c r="P66" i="111"/>
  <c r="O66" i="111"/>
  <c r="P63" i="111"/>
  <c r="P103" i="107"/>
  <c r="P102" i="107"/>
  <c r="P99" i="107"/>
  <c r="P98" i="107"/>
  <c r="AF32" i="107" s="1"/>
  <c r="P95" i="107"/>
  <c r="P94" i="107"/>
  <c r="P91" i="107"/>
  <c r="P90" i="107"/>
  <c r="P87" i="107"/>
  <c r="P86" i="107"/>
  <c r="P83" i="107"/>
  <c r="P82" i="107"/>
  <c r="AF28" i="107" s="1"/>
  <c r="P78" i="107"/>
  <c r="P74" i="107"/>
  <c r="P70" i="107"/>
  <c r="P66" i="107"/>
  <c r="P62" i="107"/>
  <c r="P103" i="108"/>
  <c r="P102" i="108"/>
  <c r="P99" i="108"/>
  <c r="P98" i="108"/>
  <c r="P95" i="108"/>
  <c r="P94" i="108"/>
  <c r="P91" i="108"/>
  <c r="P90" i="108"/>
  <c r="P87" i="108"/>
  <c r="P86" i="108"/>
  <c r="P82" i="108"/>
  <c r="P78" i="108"/>
  <c r="AF27" i="108" s="1"/>
  <c r="P74" i="108"/>
  <c r="P70" i="108"/>
  <c r="P66" i="108"/>
  <c r="P62" i="108"/>
  <c r="AF23" i="108" s="1"/>
  <c r="O100" i="111"/>
  <c r="O92" i="111"/>
  <c r="O84" i="111"/>
  <c r="O76" i="111"/>
  <c r="AE26" i="111" s="1"/>
  <c r="O68" i="111"/>
  <c r="O60" i="111"/>
  <c r="AB29" i="107"/>
  <c r="X29" i="107"/>
  <c r="T29" i="107"/>
  <c r="AB27" i="107"/>
  <c r="X27" i="107"/>
  <c r="T27" i="107"/>
  <c r="AB25" i="107"/>
  <c r="X25" i="107"/>
  <c r="T25" i="107"/>
  <c r="AB23" i="107"/>
  <c r="X23" i="107"/>
  <c r="T23" i="107"/>
  <c r="X22" i="107"/>
  <c r="O103" i="107"/>
  <c r="O99" i="107"/>
  <c r="O95" i="107"/>
  <c r="O91" i="107"/>
  <c r="O87" i="107"/>
  <c r="O79" i="107"/>
  <c r="O75" i="107"/>
  <c r="O71" i="107"/>
  <c r="O67" i="107"/>
  <c r="O63" i="107"/>
  <c r="O59" i="107"/>
  <c r="O103" i="108"/>
  <c r="O99" i="108"/>
  <c r="O95" i="108"/>
  <c r="O91" i="108"/>
  <c r="O87" i="108"/>
  <c r="O83" i="108"/>
  <c r="O79" i="108"/>
  <c r="O75" i="108"/>
  <c r="O71" i="108"/>
  <c r="O67" i="108"/>
  <c r="O63" i="108"/>
  <c r="O59" i="108"/>
  <c r="O63" i="111"/>
  <c r="O59" i="111"/>
  <c r="O102" i="107"/>
  <c r="AE33" i="107" s="1"/>
  <c r="O98" i="107"/>
  <c r="O94" i="107"/>
  <c r="O90" i="107"/>
  <c r="O86" i="107"/>
  <c r="O82" i="107"/>
  <c r="O78" i="107"/>
  <c r="O74" i="107"/>
  <c r="O70" i="107"/>
  <c r="O66" i="107"/>
  <c r="O62" i="107"/>
  <c r="O102" i="108"/>
  <c r="AE33" i="108" s="1"/>
  <c r="O98" i="108"/>
  <c r="O94" i="108"/>
  <c r="O90" i="108"/>
  <c r="O86" i="108"/>
  <c r="O82" i="108"/>
  <c r="O78" i="108"/>
  <c r="O74" i="108"/>
  <c r="O70" i="108"/>
  <c r="AE25" i="108" s="1"/>
  <c r="O66" i="108"/>
  <c r="O62" i="108"/>
  <c r="U32" i="111"/>
  <c r="Y31" i="111"/>
  <c r="AC30" i="111"/>
  <c r="U28" i="111"/>
  <c r="Y27" i="111"/>
  <c r="AC26" i="111"/>
  <c r="U25" i="111"/>
  <c r="Y24" i="111"/>
  <c r="Y23" i="111"/>
  <c r="U22" i="111"/>
  <c r="AB33" i="111"/>
  <c r="T31" i="111"/>
  <c r="X30" i="111"/>
  <c r="AB29" i="111"/>
  <c r="T27" i="111"/>
  <c r="X26" i="111"/>
  <c r="AB25" i="111"/>
  <c r="T23" i="111"/>
  <c r="AD28" i="111"/>
  <c r="Y32" i="111"/>
  <c r="AC31" i="111"/>
  <c r="U29" i="111"/>
  <c r="Y28" i="111"/>
  <c r="AC27" i="111"/>
  <c r="U24" i="111"/>
  <c r="AC23" i="111"/>
  <c r="AC22" i="111"/>
  <c r="Z33" i="111"/>
  <c r="AD32" i="111"/>
  <c r="V32" i="111"/>
  <c r="Z31" i="111"/>
  <c r="V30" i="111"/>
  <c r="Z29" i="111"/>
  <c r="V26" i="111"/>
  <c r="AD33" i="111"/>
  <c r="V33" i="111"/>
  <c r="V31" i="111"/>
  <c r="Z30" i="111"/>
  <c r="Z28" i="111"/>
  <c r="AD27" i="111"/>
  <c r="AD26" i="111"/>
  <c r="Z25" i="111"/>
  <c r="V24" i="111"/>
  <c r="Z22" i="107"/>
  <c r="V25" i="111"/>
  <c r="AD24" i="111"/>
  <c r="Z24" i="111"/>
  <c r="AD23" i="111"/>
  <c r="V23" i="111"/>
  <c r="AD22" i="107"/>
  <c r="V22" i="107"/>
  <c r="AD22" i="111"/>
  <c r="Z22" i="111"/>
  <c r="AF28" i="111" l="1"/>
  <c r="AF27" i="107"/>
  <c r="AF25" i="111"/>
  <c r="AF29" i="108"/>
  <c r="AE31" i="111"/>
  <c r="AD25" i="111"/>
  <c r="AD31" i="111"/>
  <c r="O62" i="111"/>
  <c r="AE23" i="111" s="1"/>
  <c r="AE28" i="111"/>
  <c r="P59" i="111"/>
  <c r="AF24" i="111"/>
  <c r="P74" i="111"/>
  <c r="P78" i="111"/>
  <c r="P82" i="111"/>
  <c r="P86" i="111"/>
  <c r="AF29" i="111" s="1"/>
  <c r="P90" i="111"/>
  <c r="AF30" i="111" s="1"/>
  <c r="AE23" i="108"/>
  <c r="AE29" i="108"/>
  <c r="AF25" i="108"/>
  <c r="AF24" i="107"/>
  <c r="AE27" i="107"/>
  <c r="AF31" i="107"/>
  <c r="AF33" i="107"/>
  <c r="AE27" i="111"/>
  <c r="S22" i="111"/>
  <c r="P58" i="111"/>
  <c r="O58" i="111"/>
  <c r="AE22" i="111" s="1"/>
  <c r="AF31" i="111"/>
  <c r="AE30" i="111"/>
  <c r="AF26" i="111"/>
  <c r="AF24" i="108"/>
  <c r="AE28" i="108"/>
  <c r="AF30" i="108"/>
  <c r="AF23" i="107"/>
  <c r="AE24" i="107"/>
  <c r="AF25" i="107"/>
  <c r="AE26" i="107"/>
  <c r="AF29" i="107"/>
  <c r="AE30" i="107"/>
  <c r="AE31" i="107"/>
  <c r="AF27" i="111"/>
  <c r="P105" i="111"/>
  <c r="P104" i="111"/>
  <c r="AF33" i="111" s="1"/>
  <c r="O104" i="111"/>
  <c r="AE33" i="111" s="1"/>
  <c r="AE29" i="111"/>
  <c r="AE24" i="108"/>
  <c r="AE32" i="108"/>
  <c r="AE24" i="111"/>
  <c r="AE32" i="111"/>
  <c r="AE31" i="108"/>
  <c r="AF22" i="111"/>
  <c r="AE22" i="108"/>
  <c r="AF26" i="108"/>
  <c r="AF28" i="108"/>
  <c r="AE30" i="108"/>
  <c r="AF32" i="108"/>
  <c r="AF22" i="107"/>
  <c r="AE23" i="107"/>
  <c r="AE29" i="107"/>
  <c r="AE25" i="111"/>
  <c r="AF23" i="111"/>
  <c r="T11" i="104"/>
  <c r="T12" i="104"/>
  <c r="AB11" i="104"/>
  <c r="AB12" i="104"/>
  <c r="O10" i="104"/>
  <c r="S10" i="104"/>
  <c r="T10" i="104"/>
  <c r="U10" i="104"/>
  <c r="V10" i="104"/>
  <c r="W10" i="104"/>
  <c r="X10" i="104"/>
  <c r="Y10" i="104"/>
  <c r="Z10" i="104"/>
  <c r="AA10" i="104"/>
  <c r="AC10" i="104"/>
  <c r="AD10" i="104"/>
  <c r="O11" i="104"/>
  <c r="P11" i="104"/>
  <c r="S11" i="104"/>
  <c r="U11" i="104"/>
  <c r="V11" i="104"/>
  <c r="W11" i="104"/>
  <c r="X11" i="104"/>
  <c r="Y11" i="104"/>
  <c r="Z11" i="104"/>
  <c r="AA11" i="104"/>
  <c r="AC11" i="104"/>
  <c r="AD11" i="104"/>
  <c r="O12" i="104"/>
  <c r="P12" i="104"/>
  <c r="S12" i="104"/>
  <c r="U12" i="104"/>
  <c r="V12" i="104"/>
  <c r="W12" i="104"/>
  <c r="X12" i="104"/>
  <c r="Y12" i="104"/>
  <c r="Z12" i="104"/>
  <c r="AA12" i="104"/>
  <c r="AC12" i="104"/>
  <c r="AD12" i="104"/>
  <c r="N58" i="95"/>
  <c r="D58" i="94"/>
  <c r="M58" i="94"/>
  <c r="K58" i="94"/>
  <c r="J58" i="94"/>
  <c r="I58" i="94"/>
  <c r="H58" i="94"/>
  <c r="G58" i="94"/>
  <c r="F58" i="94"/>
  <c r="E58" i="94"/>
  <c r="C58" i="94"/>
  <c r="AB10" i="104" l="1"/>
  <c r="P10" i="104"/>
  <c r="C3" i="94" l="1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4" l="1"/>
  <c r="K5" i="108" s="1"/>
  <c r="K5" i="111" s="1"/>
  <c r="K5" i="107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AA39" i="101" s="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6" i="95" l="1"/>
  <c r="Y39" i="109"/>
  <c r="V27" i="103"/>
  <c r="U39" i="109"/>
  <c r="AD38" i="101"/>
  <c r="X26" i="98"/>
  <c r="AA27" i="99"/>
  <c r="X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Y15" i="108" s="1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U16" i="108" s="1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U18" i="108" s="1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5" i="108" s="1"/>
  <c r="AA16" i="94"/>
  <c r="K34" i="108"/>
  <c r="AA18" i="94"/>
  <c r="K42" i="108"/>
  <c r="AA18" i="108" s="1"/>
  <c r="M54" i="108"/>
  <c r="M50" i="108"/>
  <c r="M46" i="108"/>
  <c r="C42" i="108"/>
  <c r="S18" i="108" s="1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S17" i="108" s="1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AA21" i="108" s="1"/>
  <c r="C55" i="108"/>
  <c r="G55" i="108"/>
  <c r="K55" i="108"/>
  <c r="C56" i="108"/>
  <c r="G56" i="108"/>
  <c r="K56" i="108"/>
  <c r="C57" i="108"/>
  <c r="G57" i="108"/>
  <c r="K57" i="108"/>
  <c r="N12" i="108"/>
  <c r="F14" i="108"/>
  <c r="V11" i="108" s="1"/>
  <c r="J15" i="108"/>
  <c r="N16" i="108"/>
  <c r="F18" i="108"/>
  <c r="V12" i="108" s="1"/>
  <c r="J19" i="108"/>
  <c r="N20" i="108"/>
  <c r="J23" i="108"/>
  <c r="N24" i="108"/>
  <c r="F24" i="108"/>
  <c r="Z13" i="109"/>
  <c r="P12" i="110"/>
  <c r="F16" i="108"/>
  <c r="J17" i="108"/>
  <c r="I54" i="108"/>
  <c r="Y21" i="108" s="1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U13" i="108" s="1"/>
  <c r="G22" i="108"/>
  <c r="W13" i="108" s="1"/>
  <c r="I22" i="108"/>
  <c r="K22" i="108"/>
  <c r="M22" i="108"/>
  <c r="AC13" i="108" s="1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AA20" i="108" s="1"/>
  <c r="G50" i="108"/>
  <c r="C50" i="108"/>
  <c r="K46" i="108"/>
  <c r="G46" i="108"/>
  <c r="W19" i="108" s="1"/>
  <c r="G38" i="108"/>
  <c r="G30" i="108"/>
  <c r="G26" i="108"/>
  <c r="W14" i="108" s="1"/>
  <c r="F22" i="108"/>
  <c r="H12" i="108"/>
  <c r="L12" i="108"/>
  <c r="D13" i="108"/>
  <c r="H13" i="108"/>
  <c r="L13" i="108"/>
  <c r="D14" i="108"/>
  <c r="H14" i="108"/>
  <c r="L14" i="108"/>
  <c r="AB11" i="108" s="1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AB12" i="108" s="1"/>
  <c r="D19" i="108"/>
  <c r="H19" i="108"/>
  <c r="L19" i="108"/>
  <c r="D20" i="108"/>
  <c r="H20" i="108"/>
  <c r="L20" i="108"/>
  <c r="D21" i="108"/>
  <c r="H21" i="108"/>
  <c r="L21" i="108"/>
  <c r="D22" i="108"/>
  <c r="H22" i="108"/>
  <c r="X13" i="108" s="1"/>
  <c r="L22" i="108"/>
  <c r="AB13" i="108" s="1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8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U12" i="101"/>
  <c r="W12" i="101"/>
  <c r="Y12" i="101"/>
  <c r="AA12" i="101"/>
  <c r="AC12" i="101"/>
  <c r="V26" i="103"/>
  <c r="AD26" i="103"/>
  <c r="F58" i="104"/>
  <c r="J58" i="104"/>
  <c r="N58" i="104"/>
  <c r="P14" i="104"/>
  <c r="P18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3" i="104"/>
  <c r="AF10" i="104" s="1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O13" i="104"/>
  <c r="AE10" i="104" s="1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X10" i="94"/>
  <c r="AB10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B20" i="107" l="1"/>
  <c r="X18" i="107"/>
  <c r="L106" i="108"/>
  <c r="AB10" i="108"/>
  <c r="Z18" i="108"/>
  <c r="Z17" i="108"/>
  <c r="Z16" i="108"/>
  <c r="Z15" i="108"/>
  <c r="Z14" i="108"/>
  <c r="V13" i="108"/>
  <c r="W35" i="108"/>
  <c r="AC14" i="108"/>
  <c r="AA12" i="108"/>
  <c r="AA11" i="108"/>
  <c r="Z20" i="108"/>
  <c r="Z19" i="108"/>
  <c r="AD12" i="108"/>
  <c r="Z11" i="108"/>
  <c r="L106" i="107"/>
  <c r="AB10" i="107"/>
  <c r="H106" i="107"/>
  <c r="X10" i="107"/>
  <c r="D106" i="107"/>
  <c r="T10" i="107"/>
  <c r="AA21" i="107"/>
  <c r="W21" i="107"/>
  <c r="S21" i="107"/>
  <c r="AA20" i="107"/>
  <c r="W20" i="107"/>
  <c r="S20" i="107"/>
  <c r="AA19" i="107"/>
  <c r="W19" i="107"/>
  <c r="S19" i="107"/>
  <c r="AA18" i="107"/>
  <c r="W18" i="107"/>
  <c r="S18" i="107"/>
  <c r="AA17" i="107"/>
  <c r="W17" i="107"/>
  <c r="S17" i="107"/>
  <c r="AA16" i="107"/>
  <c r="W16" i="107"/>
  <c r="S16" i="107"/>
  <c r="AA15" i="107"/>
  <c r="W15" i="107"/>
  <c r="S15" i="107"/>
  <c r="AA14" i="107"/>
  <c r="W14" i="107"/>
  <c r="S14" i="107"/>
  <c r="AA13" i="107"/>
  <c r="W13" i="107"/>
  <c r="S13" i="107"/>
  <c r="AA12" i="107"/>
  <c r="W12" i="107"/>
  <c r="S12" i="107"/>
  <c r="AA11" i="107"/>
  <c r="AA37" i="107" s="1"/>
  <c r="W11" i="107"/>
  <c r="S11" i="107"/>
  <c r="C106" i="108"/>
  <c r="S10" i="108"/>
  <c r="X18" i="108"/>
  <c r="X17" i="108"/>
  <c r="X16" i="108"/>
  <c r="X15" i="108"/>
  <c r="X38" i="108" s="1"/>
  <c r="X14" i="108"/>
  <c r="X12" i="108"/>
  <c r="X11" i="108"/>
  <c r="AA19" i="108"/>
  <c r="S21" i="108"/>
  <c r="S19" i="108"/>
  <c r="F106" i="108"/>
  <c r="V10" i="108"/>
  <c r="AC19" i="108"/>
  <c r="Y19" i="108"/>
  <c r="AC18" i="108"/>
  <c r="Y17" i="108"/>
  <c r="AC16" i="108"/>
  <c r="U15" i="108"/>
  <c r="Y14" i="108"/>
  <c r="Y12" i="108"/>
  <c r="Y11" i="108"/>
  <c r="M106" i="108"/>
  <c r="AC10" i="108"/>
  <c r="E106" i="108"/>
  <c r="U10" i="108"/>
  <c r="X21" i="108"/>
  <c r="X20" i="108"/>
  <c r="X19" i="108"/>
  <c r="AD13" i="108"/>
  <c r="Z12" i="108"/>
  <c r="M106" i="107"/>
  <c r="AC10" i="107"/>
  <c r="I106" i="107"/>
  <c r="Y10" i="107"/>
  <c r="AB21" i="107"/>
  <c r="T21" i="107"/>
  <c r="T20" i="107"/>
  <c r="AB19" i="107"/>
  <c r="T19" i="107"/>
  <c r="AB18" i="107"/>
  <c r="AB17" i="107"/>
  <c r="X17" i="107"/>
  <c r="AB16" i="107"/>
  <c r="X16" i="107"/>
  <c r="AB15" i="107"/>
  <c r="X15" i="107"/>
  <c r="AB14" i="107"/>
  <c r="X14" i="107"/>
  <c r="AB13" i="107"/>
  <c r="T13" i="107"/>
  <c r="X12" i="107"/>
  <c r="X11" i="107"/>
  <c r="G106" i="107"/>
  <c r="W10" i="107"/>
  <c r="Z21" i="107"/>
  <c r="AD20" i="107"/>
  <c r="Z20" i="107"/>
  <c r="V20" i="107"/>
  <c r="AD19" i="107"/>
  <c r="Z19" i="107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AD13" i="107"/>
  <c r="Z13" i="107"/>
  <c r="V13" i="107"/>
  <c r="AD12" i="107"/>
  <c r="Z12" i="107"/>
  <c r="V12" i="107"/>
  <c r="AD11" i="107"/>
  <c r="Z11" i="107"/>
  <c r="V11" i="107"/>
  <c r="D106" i="108"/>
  <c r="T10" i="108"/>
  <c r="V19" i="108"/>
  <c r="AD18" i="108"/>
  <c r="V18" i="108"/>
  <c r="AD17" i="108"/>
  <c r="V17" i="108"/>
  <c r="AD16" i="108"/>
  <c r="V16" i="108"/>
  <c r="AD15" i="108"/>
  <c r="V15" i="108"/>
  <c r="AD14" i="108"/>
  <c r="V14" i="108"/>
  <c r="T13" i="108"/>
  <c r="T12" i="108"/>
  <c r="T11" i="108"/>
  <c r="W15" i="108"/>
  <c r="W38" i="108" s="1"/>
  <c r="S20" i="108"/>
  <c r="W21" i="108"/>
  <c r="AA13" i="108"/>
  <c r="S13" i="108"/>
  <c r="U20" i="108"/>
  <c r="S14" i="108"/>
  <c r="AC20" i="108"/>
  <c r="AA16" i="108"/>
  <c r="AA14" i="108"/>
  <c r="U19" i="108"/>
  <c r="Y18" i="108"/>
  <c r="U17" i="108"/>
  <c r="Y16" i="108"/>
  <c r="U14" i="108"/>
  <c r="U38" i="108" s="1"/>
  <c r="W12" i="108"/>
  <c r="W11" i="108"/>
  <c r="K106" i="108"/>
  <c r="AA10" i="108"/>
  <c r="AD21" i="108"/>
  <c r="V21" i="108"/>
  <c r="AD20" i="108"/>
  <c r="V20" i="108"/>
  <c r="AD19" i="108"/>
  <c r="Z13" i="108"/>
  <c r="AB26" i="98"/>
  <c r="E106" i="107"/>
  <c r="U10" i="107"/>
  <c r="X21" i="107"/>
  <c r="X20" i="107"/>
  <c r="X19" i="107"/>
  <c r="T18" i="107"/>
  <c r="T17" i="107"/>
  <c r="T16" i="107"/>
  <c r="T15" i="107"/>
  <c r="T14" i="107"/>
  <c r="X13" i="107"/>
  <c r="AB12" i="107"/>
  <c r="T12" i="107"/>
  <c r="AB11" i="107"/>
  <c r="T11" i="107"/>
  <c r="J106" i="108"/>
  <c r="Z10" i="108"/>
  <c r="AA17" i="108"/>
  <c r="S12" i="108"/>
  <c r="S11" i="108"/>
  <c r="G106" i="108"/>
  <c r="W10" i="108"/>
  <c r="Z21" i="108"/>
  <c r="C106" i="107"/>
  <c r="S10" i="107"/>
  <c r="K106" i="107"/>
  <c r="AA10" i="107"/>
  <c r="AD21" i="107"/>
  <c r="V21" i="107"/>
  <c r="N106" i="107"/>
  <c r="AD10" i="107"/>
  <c r="J106" i="107"/>
  <c r="Z10" i="107"/>
  <c r="F106" i="107"/>
  <c r="V10" i="107"/>
  <c r="AC21" i="107"/>
  <c r="Y21" i="107"/>
  <c r="U21" i="107"/>
  <c r="AC20" i="107"/>
  <c r="Y20" i="107"/>
  <c r="U20" i="107"/>
  <c r="U36" i="107" s="1"/>
  <c r="AC19" i="107"/>
  <c r="Y19" i="107"/>
  <c r="U19" i="107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AC38" i="107" s="1"/>
  <c r="Y14" i="107"/>
  <c r="U14" i="107"/>
  <c r="AC13" i="107"/>
  <c r="Y13" i="107"/>
  <c r="Y35" i="107" s="1"/>
  <c r="U13" i="107"/>
  <c r="AC12" i="107"/>
  <c r="Y12" i="107"/>
  <c r="U12" i="107"/>
  <c r="AC11" i="107"/>
  <c r="Y11" i="107"/>
  <c r="U11" i="107"/>
  <c r="X36" i="101"/>
  <c r="H106" i="108"/>
  <c r="X10" i="108"/>
  <c r="AB18" i="108"/>
  <c r="T18" i="108"/>
  <c r="AB17" i="108"/>
  <c r="T17" i="108"/>
  <c r="AB16" i="108"/>
  <c r="T16" i="108"/>
  <c r="AB15" i="108"/>
  <c r="T15" i="108"/>
  <c r="AB14" i="108"/>
  <c r="AB38" i="108" s="1"/>
  <c r="T14" i="108"/>
  <c r="W17" i="108"/>
  <c r="W20" i="108"/>
  <c r="W39" i="108" s="1"/>
  <c r="Y13" i="108"/>
  <c r="Y20" i="108"/>
  <c r="Y36" i="108" s="1"/>
  <c r="S15" i="108"/>
  <c r="U21" i="108"/>
  <c r="N106" i="108"/>
  <c r="AD10" i="108"/>
  <c r="S16" i="108"/>
  <c r="AC21" i="108"/>
  <c r="W18" i="108"/>
  <c r="AC17" i="108"/>
  <c r="W16" i="108"/>
  <c r="AC15" i="108"/>
  <c r="AC35" i="108" s="1"/>
  <c r="AC12" i="108"/>
  <c r="U12" i="108"/>
  <c r="AC11" i="108"/>
  <c r="U11" i="108"/>
  <c r="I106" i="108"/>
  <c r="Y10" i="108"/>
  <c r="AB21" i="108"/>
  <c r="T21" i="108"/>
  <c r="T36" i="108" s="1"/>
  <c r="AB20" i="108"/>
  <c r="T20" i="108"/>
  <c r="AB19" i="108"/>
  <c r="AD11" i="108"/>
  <c r="Y38" i="105"/>
  <c r="X26" i="103"/>
  <c r="AF11" i="104"/>
  <c r="AE12" i="104"/>
  <c r="AE11" i="104"/>
  <c r="AF12" i="104"/>
  <c r="U38" i="109"/>
  <c r="AF32" i="101"/>
  <c r="AF33" i="101"/>
  <c r="AF25" i="101"/>
  <c r="AF28" i="101"/>
  <c r="S38" i="105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S20" i="111" s="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U18" i="111" s="1"/>
  <c r="C42" i="111"/>
  <c r="S18" i="111" s="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AD13" i="111" s="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X11" i="111" s="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AD20" i="111" s="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AD18" i="111" s="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AD16" i="111" s="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AD14" i="111" s="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V13" i="111" s="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Z11" i="111" s="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U15" i="111" s="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U13" i="111" s="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U11" i="111" s="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P34" i="108"/>
  <c r="AF16" i="108" s="1"/>
  <c r="O54" i="108"/>
  <c r="O42" i="108"/>
  <c r="AE18" i="108" s="1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AE19" i="107" s="1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AE17" i="107" s="1"/>
  <c r="P37" i="107"/>
  <c r="O36" i="107"/>
  <c r="O35" i="107"/>
  <c r="O34" i="107"/>
  <c r="AE16" i="107" s="1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O16" i="107"/>
  <c r="O14" i="107"/>
  <c r="O12" i="107"/>
  <c r="P26" i="107"/>
  <c r="P38" i="107"/>
  <c r="AF17" i="107" s="1"/>
  <c r="P30" i="107"/>
  <c r="AF15" i="107" s="1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A28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N60" i="95" s="1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N59" i="95" s="1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AE10" i="94"/>
  <c r="AF10" i="94"/>
  <c r="P58" i="94"/>
  <c r="C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F13" i="107" l="1"/>
  <c r="O106" i="108"/>
  <c r="H108" i="108" s="1"/>
  <c r="AE10" i="108"/>
  <c r="G106" i="111"/>
  <c r="W10" i="111"/>
  <c r="S36" i="111"/>
  <c r="S39" i="111"/>
  <c r="F106" i="111"/>
  <c r="V10" i="111"/>
  <c r="AB38" i="111"/>
  <c r="AB35" i="111"/>
  <c r="W15" i="111"/>
  <c r="M106" i="111"/>
  <c r="AC10" i="111"/>
  <c r="W21" i="111"/>
  <c r="D106" i="111"/>
  <c r="T10" i="111"/>
  <c r="T39" i="108"/>
  <c r="Z37" i="107"/>
  <c r="Z34" i="107"/>
  <c r="Z40" i="107"/>
  <c r="Z41" i="107"/>
  <c r="Z41" i="108"/>
  <c r="Z34" i="108"/>
  <c r="Z37" i="108"/>
  <c r="Z40" i="108"/>
  <c r="AA40" i="108"/>
  <c r="AA34" i="108"/>
  <c r="AA41" i="108"/>
  <c r="AA42" i="108" s="1"/>
  <c r="U39" i="108"/>
  <c r="V39" i="108"/>
  <c r="V36" i="108"/>
  <c r="Z39" i="107"/>
  <c r="Z36" i="107"/>
  <c r="AC40" i="107"/>
  <c r="AC37" i="107"/>
  <c r="AC41" i="107"/>
  <c r="AC34" i="107"/>
  <c r="X36" i="108"/>
  <c r="X39" i="108"/>
  <c r="V34" i="108"/>
  <c r="V37" i="108"/>
  <c r="V40" i="108"/>
  <c r="V41" i="108"/>
  <c r="S40" i="108"/>
  <c r="S34" i="108"/>
  <c r="S41" i="108"/>
  <c r="S37" i="108"/>
  <c r="S35" i="107"/>
  <c r="S38" i="107"/>
  <c r="AA39" i="107"/>
  <c r="AA36" i="107"/>
  <c r="V35" i="108"/>
  <c r="V38" i="108"/>
  <c r="AB40" i="108"/>
  <c r="AB37" i="108"/>
  <c r="AB41" i="108"/>
  <c r="AB42" i="108" s="1"/>
  <c r="AB34" i="108"/>
  <c r="O106" i="107"/>
  <c r="AE10" i="107"/>
  <c r="AE15" i="107"/>
  <c r="AF14" i="107"/>
  <c r="AE12" i="107"/>
  <c r="AF18" i="107"/>
  <c r="AF19" i="107"/>
  <c r="AF20" i="107"/>
  <c r="AE21" i="107"/>
  <c r="AF12" i="107"/>
  <c r="AE16" i="108"/>
  <c r="AF18" i="108"/>
  <c r="AF11" i="108"/>
  <c r="AE13" i="108"/>
  <c r="AF17" i="108"/>
  <c r="S42" i="110"/>
  <c r="K106" i="111"/>
  <c r="AA10" i="111"/>
  <c r="Y11" i="111"/>
  <c r="Y12" i="111"/>
  <c r="Y13" i="111"/>
  <c r="Y14" i="111"/>
  <c r="AC15" i="111"/>
  <c r="AC16" i="111"/>
  <c r="W18" i="111"/>
  <c r="Y20" i="111"/>
  <c r="Y39" i="111" s="1"/>
  <c r="U21" i="111"/>
  <c r="H106" i="111"/>
  <c r="X10" i="111"/>
  <c r="T11" i="111"/>
  <c r="T12" i="111"/>
  <c r="T13" i="111"/>
  <c r="AA11" i="111"/>
  <c r="AA12" i="111"/>
  <c r="AA13" i="111"/>
  <c r="AA14" i="111"/>
  <c r="Y15" i="111"/>
  <c r="Y16" i="111"/>
  <c r="AD11" i="111"/>
  <c r="C106" i="111"/>
  <c r="S10" i="111"/>
  <c r="AA17" i="111"/>
  <c r="Y18" i="111"/>
  <c r="W19" i="111"/>
  <c r="U20" i="111"/>
  <c r="Y21" i="111"/>
  <c r="J106" i="111"/>
  <c r="Z10" i="111"/>
  <c r="AB36" i="108"/>
  <c r="AB39" i="108"/>
  <c r="AC35" i="107"/>
  <c r="U39" i="107"/>
  <c r="Y36" i="107"/>
  <c r="U36" i="108"/>
  <c r="T38" i="108"/>
  <c r="T35" i="108"/>
  <c r="T40" i="108"/>
  <c r="T41" i="108"/>
  <c r="T42" i="108" s="1"/>
  <c r="T34" i="108"/>
  <c r="T37" i="108"/>
  <c r="V35" i="107"/>
  <c r="V38" i="107"/>
  <c r="AD39" i="107"/>
  <c r="AD36" i="107"/>
  <c r="T36" i="107"/>
  <c r="T39" i="107"/>
  <c r="AC34" i="108"/>
  <c r="AC40" i="108"/>
  <c r="AC41" i="108"/>
  <c r="AC37" i="108"/>
  <c r="Y38" i="108"/>
  <c r="X35" i="108"/>
  <c r="W38" i="107"/>
  <c r="W35" i="107"/>
  <c r="X40" i="107"/>
  <c r="X37" i="107"/>
  <c r="X41" i="107"/>
  <c r="X42" i="107" s="1"/>
  <c r="X34" i="107"/>
  <c r="AA37" i="108"/>
  <c r="AB35" i="108"/>
  <c r="AD39" i="111"/>
  <c r="AD36" i="111"/>
  <c r="AB36" i="111"/>
  <c r="AB39" i="111"/>
  <c r="S40" i="107"/>
  <c r="S37" i="107"/>
  <c r="S41" i="107"/>
  <c r="S34" i="107"/>
  <c r="P106" i="107"/>
  <c r="AF10" i="107"/>
  <c r="AF16" i="107"/>
  <c r="AE18" i="107"/>
  <c r="AE36" i="107"/>
  <c r="AE39" i="107"/>
  <c r="AE20" i="107"/>
  <c r="AF21" i="107"/>
  <c r="AF11" i="107"/>
  <c r="AF15" i="108"/>
  <c r="AE20" i="108"/>
  <c r="AE36" i="108" s="1"/>
  <c r="AE14" i="108"/>
  <c r="P106" i="108"/>
  <c r="AF10" i="108"/>
  <c r="AC11" i="111"/>
  <c r="AC12" i="111"/>
  <c r="AC13" i="111"/>
  <c r="Y17" i="111"/>
  <c r="AC18" i="111"/>
  <c r="AA19" i="111"/>
  <c r="AC21" i="111"/>
  <c r="N106" i="111"/>
  <c r="AD10" i="111"/>
  <c r="V12" i="111"/>
  <c r="V14" i="111"/>
  <c r="V15" i="111"/>
  <c r="V16" i="111"/>
  <c r="V35" i="111" s="1"/>
  <c r="V17" i="111"/>
  <c r="V38" i="111" s="1"/>
  <c r="V18" i="111"/>
  <c r="V19" i="111"/>
  <c r="V20" i="111"/>
  <c r="V21" i="111"/>
  <c r="AC14" i="111"/>
  <c r="AA15" i="111"/>
  <c r="AA16" i="111"/>
  <c r="T14" i="111"/>
  <c r="T15" i="111"/>
  <c r="T16" i="111"/>
  <c r="T17" i="111"/>
  <c r="T18" i="111"/>
  <c r="T19" i="111"/>
  <c r="T20" i="111"/>
  <c r="T21" i="111"/>
  <c r="E106" i="111"/>
  <c r="U10" i="111"/>
  <c r="AA18" i="111"/>
  <c r="AA20" i="111"/>
  <c r="AA21" i="111"/>
  <c r="L106" i="111"/>
  <c r="AB10" i="111"/>
  <c r="Y41" i="108"/>
  <c r="Y37" i="108"/>
  <c r="Y40" i="108"/>
  <c r="Y34" i="108"/>
  <c r="AD40" i="108"/>
  <c r="AD41" i="108"/>
  <c r="AD42" i="108" s="1"/>
  <c r="AD34" i="108"/>
  <c r="AD37" i="108"/>
  <c r="X40" i="108"/>
  <c r="X41" i="108"/>
  <c r="X42" i="108" s="1"/>
  <c r="X34" i="108"/>
  <c r="X37" i="108"/>
  <c r="U38" i="107"/>
  <c r="Y39" i="107"/>
  <c r="AC36" i="107"/>
  <c r="V34" i="107"/>
  <c r="V37" i="107"/>
  <c r="V40" i="107"/>
  <c r="V41" i="107"/>
  <c r="AD41" i="107"/>
  <c r="AD40" i="107"/>
  <c r="AD42" i="107" s="1"/>
  <c r="AD34" i="107"/>
  <c r="AD37" i="107"/>
  <c r="AA40" i="107"/>
  <c r="AA41" i="107"/>
  <c r="AA42" i="107" s="1"/>
  <c r="AA34" i="107"/>
  <c r="X38" i="107"/>
  <c r="X35" i="107"/>
  <c r="Z35" i="108"/>
  <c r="Z38" i="108"/>
  <c r="S38" i="108"/>
  <c r="S35" i="108"/>
  <c r="Z35" i="107"/>
  <c r="Z38" i="107"/>
  <c r="W40" i="107"/>
  <c r="W34" i="107"/>
  <c r="W41" i="107"/>
  <c r="W42" i="107" s="1"/>
  <c r="T38" i="107"/>
  <c r="T35" i="107"/>
  <c r="AB36" i="107"/>
  <c r="AB39" i="107"/>
  <c r="Y41" i="107"/>
  <c r="Y34" i="107"/>
  <c r="Y40" i="107"/>
  <c r="Y37" i="107"/>
  <c r="Y39" i="108"/>
  <c r="S36" i="108"/>
  <c r="S39" i="108"/>
  <c r="AA36" i="108"/>
  <c r="AA39" i="108"/>
  <c r="AA35" i="107"/>
  <c r="AA38" i="107"/>
  <c r="S36" i="107"/>
  <c r="S39" i="107"/>
  <c r="W36" i="108"/>
  <c r="AF12" i="108"/>
  <c r="AE12" i="108"/>
  <c r="AF19" i="108"/>
  <c r="W38" i="111"/>
  <c r="W35" i="111"/>
  <c r="U16" i="111"/>
  <c r="U35" i="111" s="1"/>
  <c r="Z12" i="111"/>
  <c r="AD35" i="111"/>
  <c r="AD38" i="111"/>
  <c r="U17" i="111"/>
  <c r="U19" i="111"/>
  <c r="U39" i="111" s="1"/>
  <c r="X36" i="107"/>
  <c r="X39" i="107"/>
  <c r="AE11" i="107"/>
  <c r="AE13" i="107"/>
  <c r="AE21" i="108"/>
  <c r="AF21" i="108"/>
  <c r="AF14" i="108"/>
  <c r="AE11" i="108"/>
  <c r="AE15" i="108"/>
  <c r="AE17" i="108"/>
  <c r="AF13" i="108"/>
  <c r="AC17" i="111"/>
  <c r="AB12" i="111"/>
  <c r="Z13" i="111"/>
  <c r="Z14" i="111"/>
  <c r="Z15" i="111"/>
  <c r="Z16" i="111"/>
  <c r="Z17" i="111"/>
  <c r="Z18" i="111"/>
  <c r="Z19" i="111"/>
  <c r="Z20" i="111"/>
  <c r="Z21" i="111"/>
  <c r="S11" i="111"/>
  <c r="S12" i="111"/>
  <c r="S13" i="111"/>
  <c r="S14" i="111"/>
  <c r="V11" i="111"/>
  <c r="X12" i="111"/>
  <c r="X13" i="111"/>
  <c r="X14" i="111"/>
  <c r="X15" i="111"/>
  <c r="X16" i="111"/>
  <c r="X17" i="111"/>
  <c r="X18" i="111"/>
  <c r="X19" i="111"/>
  <c r="X20" i="111"/>
  <c r="X21" i="111"/>
  <c r="I106" i="111"/>
  <c r="Y10" i="111"/>
  <c r="S17" i="111"/>
  <c r="AC20" i="111"/>
  <c r="AC36" i="111" s="1"/>
  <c r="Y35" i="108"/>
  <c r="U35" i="107"/>
  <c r="Y38" i="107"/>
  <c r="AC39" i="107"/>
  <c r="W40" i="108"/>
  <c r="W37" i="108"/>
  <c r="W34" i="108"/>
  <c r="W41" i="108"/>
  <c r="U40" i="107"/>
  <c r="U34" i="107"/>
  <c r="U41" i="107"/>
  <c r="U37" i="107"/>
  <c r="AD39" i="108"/>
  <c r="AD36" i="108"/>
  <c r="AC36" i="108"/>
  <c r="AA35" i="108"/>
  <c r="AA38" i="108"/>
  <c r="AD35" i="107"/>
  <c r="AD38" i="107"/>
  <c r="V39" i="107"/>
  <c r="V36" i="107"/>
  <c r="AB38" i="107"/>
  <c r="AB35" i="107"/>
  <c r="AD35" i="108"/>
  <c r="AD38" i="108"/>
  <c r="U40" i="108"/>
  <c r="U34" i="108"/>
  <c r="U37" i="108"/>
  <c r="U41" i="108"/>
  <c r="U42" i="108" s="1"/>
  <c r="AC39" i="108"/>
  <c r="U35" i="108"/>
  <c r="W37" i="107"/>
  <c r="W36" i="107"/>
  <c r="W39" i="107"/>
  <c r="T40" i="107"/>
  <c r="T37" i="107"/>
  <c r="T41" i="107"/>
  <c r="T42" i="107" s="1"/>
  <c r="T34" i="107"/>
  <c r="AB40" i="107"/>
  <c r="AB41" i="107"/>
  <c r="AB42" i="107" s="1"/>
  <c r="AB37" i="107"/>
  <c r="AB34" i="107"/>
  <c r="Z39" i="108"/>
  <c r="Z36" i="108"/>
  <c r="AC38" i="108"/>
  <c r="X42" i="109"/>
  <c r="AE24" i="98"/>
  <c r="O47" i="111"/>
  <c r="O52" i="111"/>
  <c r="O12" i="111"/>
  <c r="P26" i="111"/>
  <c r="P46" i="111"/>
  <c r="P10" i="111"/>
  <c r="O22" i="111"/>
  <c r="P31" i="111"/>
  <c r="O34" i="111"/>
  <c r="AE16" i="111" s="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AF15" i="111" s="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AE21" i="111" s="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AF16" i="111" s="1"/>
  <c r="P35" i="111"/>
  <c r="O36" i="111"/>
  <c r="P37" i="111"/>
  <c r="O38" i="111"/>
  <c r="AE17" i="111" s="1"/>
  <c r="O41" i="111"/>
  <c r="P42" i="111"/>
  <c r="P45" i="111"/>
  <c r="O46" i="111"/>
  <c r="AE19" i="111" s="1"/>
  <c r="O48" i="111"/>
  <c r="O50" i="111"/>
  <c r="O51" i="111"/>
  <c r="O53" i="111"/>
  <c r="P55" i="111"/>
  <c r="O56" i="111"/>
  <c r="P57" i="111"/>
  <c r="P14" i="111"/>
  <c r="AF11" i="111" s="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AE28" i="94"/>
  <c r="AE25" i="94"/>
  <c r="AE22" i="94"/>
  <c r="D59" i="94"/>
  <c r="AF22" i="94"/>
  <c r="AF28" i="94"/>
  <c r="AF25" i="94"/>
  <c r="AE26" i="94"/>
  <c r="AE23" i="94"/>
  <c r="D60" i="94"/>
  <c r="AE27" i="94"/>
  <c r="AE24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P106" i="111" l="1"/>
  <c r="AF10" i="111"/>
  <c r="AF36" i="108"/>
  <c r="AF39" i="108"/>
  <c r="AF13" i="111"/>
  <c r="AF20" i="111"/>
  <c r="AE11" i="111"/>
  <c r="AF19" i="111"/>
  <c r="W42" i="108"/>
  <c r="X38" i="111"/>
  <c r="X35" i="111"/>
  <c r="S35" i="111"/>
  <c r="S38" i="111"/>
  <c r="AC35" i="111"/>
  <c r="AC42" i="108"/>
  <c r="U36" i="111"/>
  <c r="S40" i="111"/>
  <c r="S41" i="111"/>
  <c r="S42" i="111" s="1"/>
  <c r="S34" i="111"/>
  <c r="X40" i="111"/>
  <c r="X37" i="111"/>
  <c r="X34" i="111"/>
  <c r="X41" i="111"/>
  <c r="X42" i="111" s="1"/>
  <c r="Y38" i="111"/>
  <c r="AA40" i="111"/>
  <c r="AA37" i="111"/>
  <c r="AA41" i="111"/>
  <c r="AA42" i="111" s="1"/>
  <c r="AA34" i="111"/>
  <c r="AE38" i="108"/>
  <c r="AE35" i="108"/>
  <c r="AE40" i="107"/>
  <c r="AE34" i="107"/>
  <c r="AE37" i="107"/>
  <c r="AE41" i="107"/>
  <c r="AE42" i="107" s="1"/>
  <c r="V42" i="108"/>
  <c r="V40" i="111"/>
  <c r="V37" i="111"/>
  <c r="V34" i="111"/>
  <c r="V41" i="111"/>
  <c r="V42" i="111" s="1"/>
  <c r="W40" i="111"/>
  <c r="W41" i="111"/>
  <c r="W42" i="111" s="1"/>
  <c r="W37" i="111"/>
  <c r="W34" i="111"/>
  <c r="AE39" i="108"/>
  <c r="AE18" i="111"/>
  <c r="AF38" i="108"/>
  <c r="AF35" i="108"/>
  <c r="AF40" i="107"/>
  <c r="AF41" i="107"/>
  <c r="AF42" i="107" s="1"/>
  <c r="AF34" i="107"/>
  <c r="AF37" i="107"/>
  <c r="Y36" i="111"/>
  <c r="AF36" i="107"/>
  <c r="AF39" i="107"/>
  <c r="T40" i="111"/>
  <c r="T34" i="111"/>
  <c r="T37" i="111"/>
  <c r="T41" i="111"/>
  <c r="T42" i="111" s="1"/>
  <c r="AF12" i="111"/>
  <c r="AE20" i="111"/>
  <c r="AE39" i="111" s="1"/>
  <c r="AF18" i="111"/>
  <c r="AE15" i="111"/>
  <c r="AF17" i="111"/>
  <c r="AF14" i="111"/>
  <c r="U42" i="107"/>
  <c r="Z39" i="111"/>
  <c r="Z36" i="111"/>
  <c r="AC39" i="111"/>
  <c r="Y42" i="107"/>
  <c r="AB40" i="111"/>
  <c r="AB41" i="111"/>
  <c r="AB34" i="111"/>
  <c r="AB37" i="111"/>
  <c r="V39" i="111"/>
  <c r="V36" i="111"/>
  <c r="AA36" i="111"/>
  <c r="AA39" i="111"/>
  <c r="Z34" i="111"/>
  <c r="Z40" i="111"/>
  <c r="Z37" i="111"/>
  <c r="Z41" i="111"/>
  <c r="Z42" i="111" s="1"/>
  <c r="W36" i="111"/>
  <c r="W39" i="111"/>
  <c r="T38" i="111"/>
  <c r="T35" i="111"/>
  <c r="Y35" i="111"/>
  <c r="S42" i="108"/>
  <c r="AC42" i="107"/>
  <c r="U38" i="111"/>
  <c r="Z35" i="111"/>
  <c r="Z38" i="111"/>
  <c r="AF40" i="108"/>
  <c r="AF34" i="108"/>
  <c r="AF37" i="108"/>
  <c r="AF41" i="108"/>
  <c r="AF42" i="108" s="1"/>
  <c r="O106" i="111"/>
  <c r="AE10" i="111"/>
  <c r="AF21" i="111"/>
  <c r="AE14" i="111"/>
  <c r="AE13" i="111"/>
  <c r="Y40" i="111"/>
  <c r="Y34" i="111"/>
  <c r="Y37" i="111"/>
  <c r="Y41" i="111"/>
  <c r="X36" i="111"/>
  <c r="X39" i="111"/>
  <c r="S37" i="111"/>
  <c r="AE38" i="107"/>
  <c r="AE35" i="107"/>
  <c r="V42" i="107"/>
  <c r="Y42" i="108"/>
  <c r="U34" i="111"/>
  <c r="U37" i="111"/>
  <c r="U40" i="111"/>
  <c r="U41" i="111"/>
  <c r="T36" i="111"/>
  <c r="T39" i="111"/>
  <c r="AC38" i="111"/>
  <c r="AD40" i="111"/>
  <c r="AD34" i="111"/>
  <c r="AD37" i="111"/>
  <c r="AD41" i="111"/>
  <c r="AD42" i="111" s="1"/>
  <c r="S42" i="107"/>
  <c r="AA35" i="111"/>
  <c r="AA38" i="111"/>
  <c r="Z42" i="108"/>
  <c r="Z42" i="107"/>
  <c r="AC40" i="111"/>
  <c r="AC37" i="111"/>
  <c r="AC34" i="111"/>
  <c r="AC41" i="111"/>
  <c r="AC42" i="111" s="1"/>
  <c r="AE40" i="108"/>
  <c r="AE41" i="108"/>
  <c r="AE42" i="108" s="1"/>
  <c r="AE37" i="108"/>
  <c r="AE34" i="108"/>
  <c r="AF38" i="107"/>
  <c r="AF35" i="107"/>
  <c r="K108" i="11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0" i="111" l="1"/>
  <c r="AE34" i="111"/>
  <c r="AE41" i="111"/>
  <c r="AE42" i="111" s="1"/>
  <c r="AF38" i="111"/>
  <c r="AF35" i="111"/>
  <c r="Y42" i="111"/>
  <c r="AE38" i="111"/>
  <c r="AE35" i="111"/>
  <c r="AF36" i="111"/>
  <c r="AF39" i="111"/>
  <c r="AE36" i="111"/>
  <c r="AF40" i="111"/>
  <c r="AF37" i="111"/>
  <c r="AF34" i="111"/>
  <c r="AF41" i="111"/>
  <c r="U42" i="111"/>
  <c r="AB42" i="111"/>
  <c r="AE37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</calcChain>
</file>

<file path=xl/sharedStrings.xml><?xml version="1.0" encoding="utf-8"?>
<sst xmlns="http://schemas.openxmlformats.org/spreadsheetml/2006/main" count="2324" uniqueCount="175">
  <si>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</si>
  <si>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</si>
  <si>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</si>
  <si>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</si>
  <si>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</si>
  <si>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</si>
  <si>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</si>
  <si>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</si>
  <si>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</si>
  <si>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</si>
  <si>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</si>
  <si>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</si>
  <si>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</si>
  <si>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</si>
  <si>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</si>
  <si>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</si>
  <si>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</si>
  <si>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</si>
  <si>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</si>
  <si>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</si>
  <si>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</si>
  <si>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</si>
  <si>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</si>
  <si>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</si>
  <si>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</si>
  <si>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</si>
  <si>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</si>
  <si>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</si>
  <si>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</si>
  <si>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</si>
  <si>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</si>
  <si>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</si>
  <si>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</si>
  <si>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</si>
  <si>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</si>
  <si>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</si>
  <si>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</si>
  <si>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</si>
  <si>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</si>
  <si>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</si>
  <si>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</si>
  <si>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</si>
  <si>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</si>
  <si>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</si>
  <si>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</si>
  <si>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</si>
  <si>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</si>
  <si>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</si>
  <si>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</si>
  <si>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</si>
  <si>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</si>
  <si>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</si>
  <si>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</si>
  <si>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</si>
  <si>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</si>
  <si>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</si>
  <si>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</si>
  <si>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</si>
  <si>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</si>
  <si>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</si>
  <si>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</si>
  <si>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</si>
  <si>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</si>
  <si>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</si>
  <si>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</si>
  <si>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</si>
  <si>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</si>
  <si>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</si>
  <si>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</si>
  <si>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</si>
  <si>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</si>
  <si>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</si>
  <si>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</si>
  <si>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</si>
  <si>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</si>
  <si>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</si>
  <si>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</si>
  <si>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</si>
  <si>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</si>
  <si>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</si>
  <si>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</si>
  <si>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</si>
  <si>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</si>
  <si>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</si>
  <si>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</si>
  <si>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</si>
  <si>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</si>
  <si>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</si>
  <si>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</si>
  <si>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</si>
  <si>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</si>
  <si>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</si>
  <si>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</si>
  <si>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</si>
  <si>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</si>
  <si>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</si>
  <si>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</si>
  <si>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</si>
  <si>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</si>
  <si>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</si>
  <si>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</si>
  <si>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</si>
  <si>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</si>
  <si>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</si>
  <si>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</si>
  <si>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</si>
  <si>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</si>
  <si>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</si>
  <si>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</si>
  <si>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</si>
  <si>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</si>
  <si>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</si>
  <si>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</si>
  <si>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</si>
  <si>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</si>
  <si>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</si>
  <si>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</si>
  <si>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</si>
  <si>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</si>
  <si>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</si>
  <si>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</si>
  <si>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</si>
  <si>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</si>
  <si>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</si>
  <si>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</si>
  <si>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</si>
  <si>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</si>
  <si>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</si>
  <si>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</si>
  <si>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</si>
  <si>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</si>
  <si>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</si>
  <si>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</si>
  <si>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</si>
  <si>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</si>
  <si>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</si>
  <si>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</si>
  <si>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</si>
  <si>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</si>
  <si>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</si>
  <si>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</si>
  <si>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</si>
  <si>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</si>
  <si>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</si>
  <si>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</si>
  <si>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</si>
  <si>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</si>
  <si>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</si>
  <si>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</si>
  <si>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</si>
  <si>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</si>
  <si>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</si>
  <si>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</si>
  <si>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</si>
  <si>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</si>
  <si>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</si>
  <si>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</si>
  <si>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</si>
  <si>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</si>
  <si>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</si>
  <si>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</si>
  <si>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</si>
  <si>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26.07.19</t>
  </si>
  <si>
    <t>xxx</t>
  </si>
  <si>
    <t>AVERAGE WEEK</t>
  </si>
  <si>
    <t>Koboko</t>
  </si>
  <si>
    <t>Arua</t>
  </si>
  <si>
    <t>31.07.19</t>
  </si>
  <si>
    <t>MCC - C5 - STN127 - KOBOKO-ARUA ROAD</t>
  </si>
  <si>
    <t>01.08.19</t>
  </si>
  <si>
    <t>03.08.19</t>
  </si>
  <si>
    <t>04.08.19</t>
  </si>
  <si>
    <t>05.08.19</t>
  </si>
  <si>
    <t>06.08.19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</si>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</sst>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Koboko-Arua'!$AE$9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Koboko-Arua'!$AE$10:$AE$21</c:f>
              <c:numCache>
                <c:formatCode>0</c:formatCode>
                <c:ptCount val="12"/>
                <c:pt idx="0">
                  <c:v>15</c:v>
                </c:pt>
                <c:pt idx="1">
                  <c:v>34</c:v>
                </c:pt>
                <c:pt idx="2">
                  <c:v>42</c:v>
                </c:pt>
                <c:pt idx="3">
                  <c:v>50</c:v>
                </c:pt>
                <c:pt idx="4">
                  <c:v>77</c:v>
                </c:pt>
                <c:pt idx="5">
                  <c:v>72</c:v>
                </c:pt>
                <c:pt idx="6">
                  <c:v>68</c:v>
                </c:pt>
                <c:pt idx="7">
                  <c:v>63</c:v>
                </c:pt>
                <c:pt idx="8">
                  <c:v>57</c:v>
                </c:pt>
                <c:pt idx="9">
                  <c:v>67</c:v>
                </c:pt>
                <c:pt idx="10">
                  <c:v>74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'31.07 Koboko-Arua'!$AF$9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Koboko-Arua'!$AF$10:$AF$21</c:f>
              <c:numCache>
                <c:formatCode>0</c:formatCode>
                <c:ptCount val="12"/>
                <c:pt idx="0">
                  <c:v>87</c:v>
                </c:pt>
                <c:pt idx="1">
                  <c:v>131</c:v>
                </c:pt>
                <c:pt idx="2">
                  <c:v>102</c:v>
                </c:pt>
                <c:pt idx="3">
                  <c:v>156</c:v>
                </c:pt>
                <c:pt idx="4">
                  <c:v>171</c:v>
                </c:pt>
                <c:pt idx="5">
                  <c:v>261</c:v>
                </c:pt>
                <c:pt idx="6">
                  <c:v>205</c:v>
                </c:pt>
                <c:pt idx="7">
                  <c:v>251</c:v>
                </c:pt>
                <c:pt idx="8">
                  <c:v>188</c:v>
                </c:pt>
                <c:pt idx="9">
                  <c:v>198</c:v>
                </c:pt>
                <c:pt idx="10">
                  <c:v>168</c:v>
                </c:pt>
                <c:pt idx="11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85824"/>
        <c:axId val="72688000"/>
      </c:lineChart>
      <c:catAx>
        <c:axId val="72685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2688000"/>
        <c:crosses val="autoZero"/>
        <c:auto val="1"/>
        <c:lblAlgn val="ctr"/>
        <c:lblOffset val="100"/>
        <c:noMultiLvlLbl val="0"/>
      </c:catAx>
      <c:valAx>
        <c:axId val="72688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268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Koboko-Arua'!$C$59:$N$59</c:f>
              <c:numCache>
                <c:formatCode>0.0%</c:formatCode>
                <c:ptCount val="12"/>
                <c:pt idx="0">
                  <c:v>0.18705378391242267</c:v>
                </c:pt>
                <c:pt idx="1">
                  <c:v>1.951451689671585E-2</c:v>
                </c:pt>
                <c:pt idx="2">
                  <c:v>2.570204664445502E-2</c:v>
                </c:pt>
                <c:pt idx="3">
                  <c:v>2.760590195145169E-2</c:v>
                </c:pt>
                <c:pt idx="4">
                  <c:v>9.519276534983341E-4</c:v>
                </c:pt>
                <c:pt idx="5">
                  <c:v>1.4278914802475012E-3</c:v>
                </c:pt>
                <c:pt idx="6">
                  <c:v>3.6649214659685861E-2</c:v>
                </c:pt>
                <c:pt idx="7">
                  <c:v>1.4278914802475012E-2</c:v>
                </c:pt>
                <c:pt idx="8">
                  <c:v>5.7115659209900048E-3</c:v>
                </c:pt>
                <c:pt idx="9">
                  <c:v>1.9038553069966682E-3</c:v>
                </c:pt>
                <c:pt idx="10">
                  <c:v>0.67920038077106137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Koboko-Arua'!$C$60:$N$60</c:f>
              <c:numCache>
                <c:formatCode>0.00%</c:formatCode>
                <c:ptCount val="12"/>
                <c:pt idx="0">
                  <c:v>0.58308605341246289</c:v>
                </c:pt>
                <c:pt idx="1">
                  <c:v>6.0830860534124627E-2</c:v>
                </c:pt>
                <c:pt idx="2">
                  <c:v>8.0118694362017809E-2</c:v>
                </c:pt>
                <c:pt idx="3">
                  <c:v>8.6053412462908013E-2</c:v>
                </c:pt>
                <c:pt idx="4">
                  <c:v>2.967359050445104E-3</c:v>
                </c:pt>
                <c:pt idx="5">
                  <c:v>4.4510385756676559E-3</c:v>
                </c:pt>
                <c:pt idx="6">
                  <c:v>0.1142433234421365</c:v>
                </c:pt>
                <c:pt idx="7">
                  <c:v>4.4510385756676561E-2</c:v>
                </c:pt>
                <c:pt idx="8">
                  <c:v>1.7804154302670624E-2</c:v>
                </c:pt>
                <c:pt idx="9">
                  <c:v>5.9347181008902079E-3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Arua-Koboko'!$AE$9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Arua-Koboko'!$AE$10:$AE$21</c:f>
              <c:numCache>
                <c:formatCode>0</c:formatCode>
                <c:ptCount val="12"/>
                <c:pt idx="0">
                  <c:v>32</c:v>
                </c:pt>
                <c:pt idx="1">
                  <c:v>50</c:v>
                </c:pt>
                <c:pt idx="2">
                  <c:v>43</c:v>
                </c:pt>
                <c:pt idx="3">
                  <c:v>49</c:v>
                </c:pt>
                <c:pt idx="4">
                  <c:v>60</c:v>
                </c:pt>
                <c:pt idx="5">
                  <c:v>61</c:v>
                </c:pt>
                <c:pt idx="6">
                  <c:v>54</c:v>
                </c:pt>
                <c:pt idx="7">
                  <c:v>62</c:v>
                </c:pt>
                <c:pt idx="8">
                  <c:v>35</c:v>
                </c:pt>
                <c:pt idx="9">
                  <c:v>67</c:v>
                </c:pt>
                <c:pt idx="10">
                  <c:v>77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'31.07 Arua-Koboko'!$AF$9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Arua-Koboko'!$AF$10:$AF$21</c:f>
              <c:numCache>
                <c:formatCode>0</c:formatCode>
                <c:ptCount val="12"/>
                <c:pt idx="0">
                  <c:v>77</c:v>
                </c:pt>
                <c:pt idx="1">
                  <c:v>110</c:v>
                </c:pt>
                <c:pt idx="2">
                  <c:v>98</c:v>
                </c:pt>
                <c:pt idx="3">
                  <c:v>200</c:v>
                </c:pt>
                <c:pt idx="4">
                  <c:v>186</c:v>
                </c:pt>
                <c:pt idx="5">
                  <c:v>190</c:v>
                </c:pt>
                <c:pt idx="6">
                  <c:v>167</c:v>
                </c:pt>
                <c:pt idx="7">
                  <c:v>259</c:v>
                </c:pt>
                <c:pt idx="8">
                  <c:v>156</c:v>
                </c:pt>
                <c:pt idx="9">
                  <c:v>181</c:v>
                </c:pt>
                <c:pt idx="10">
                  <c:v>165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53760"/>
        <c:axId val="72855936"/>
      </c:lineChart>
      <c:catAx>
        <c:axId val="72853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2855936"/>
        <c:crosses val="autoZero"/>
        <c:auto val="1"/>
        <c:lblAlgn val="ctr"/>
        <c:lblOffset val="100"/>
        <c:noMultiLvlLbl val="0"/>
      </c:catAx>
      <c:valAx>
        <c:axId val="72855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28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Arua-Koboko'!$C$59:$N$59</c:f>
              <c:numCache>
                <c:formatCode>0.0%</c:formatCode>
                <c:ptCount val="12"/>
                <c:pt idx="0">
                  <c:v>0.22123430962343096</c:v>
                </c:pt>
                <c:pt idx="1">
                  <c:v>9.4142259414225944E-3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5.7531380753138078E-3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Arua-Koboko'!$S$9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Arua-Koboko'!$S$10:$S$21</c:f>
              <c:numCache>
                <c:formatCode>0</c:formatCode>
                <c:ptCount val="12"/>
                <c:pt idx="0">
                  <c:v>12</c:v>
                </c:pt>
                <c:pt idx="1">
                  <c:v>28</c:v>
                </c:pt>
                <c:pt idx="2">
                  <c:v>34</c:v>
                </c:pt>
                <c:pt idx="3">
                  <c:v>29</c:v>
                </c:pt>
                <c:pt idx="4">
                  <c:v>46</c:v>
                </c:pt>
                <c:pt idx="5">
                  <c:v>46</c:v>
                </c:pt>
                <c:pt idx="6">
                  <c:v>38</c:v>
                </c:pt>
                <c:pt idx="7">
                  <c:v>50</c:v>
                </c:pt>
                <c:pt idx="8">
                  <c:v>24</c:v>
                </c:pt>
                <c:pt idx="9">
                  <c:v>46</c:v>
                </c:pt>
                <c:pt idx="10">
                  <c:v>41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'31.07 Arua-Koboko'!$T$9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Arua-Koboko'!$T$10:$T$21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'31.07 Arua-Koboko'!$U$9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Arua-Koboko'!$U$10:$U$21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'31.07 Arua-Koboko'!$V$9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Arua-Koboko'!$V$10:$V$21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'31.07 Arua-Koboko'!$W$9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Arua-Koboko'!$W$10:$W$21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'31.07 Arua-Koboko'!$X$9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'31.07 Arua-Koboko'!$Y$9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'31.07 Arua-Koboko'!$Z$9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Arua-Koboko'!$Z$10:$Z$21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'31.07 Arua-Koboko'!$AA$9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'31.07 Arua-Koboko'!$AB$9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Arua-Koboko'!$AB$10:$AB$21</c:f>
              <c:numCache>
                <c:formatCode>0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'31.07 Arua-Koboko'!$AC$9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Arua-Koboko'!$AC$10:$AC$21</c:f>
              <c:numCache>
                <c:formatCode>0</c:formatCode>
                <c:ptCount val="12"/>
                <c:pt idx="0">
                  <c:v>45</c:v>
                </c:pt>
                <c:pt idx="1">
                  <c:v>60</c:v>
                </c:pt>
                <c:pt idx="2">
                  <c:v>55</c:v>
                </c:pt>
                <c:pt idx="3">
                  <c:v>151</c:v>
                </c:pt>
                <c:pt idx="4">
                  <c:v>126</c:v>
                </c:pt>
                <c:pt idx="5">
                  <c:v>129</c:v>
                </c:pt>
                <c:pt idx="6">
                  <c:v>113</c:v>
                </c:pt>
                <c:pt idx="7">
                  <c:v>197</c:v>
                </c:pt>
                <c:pt idx="8">
                  <c:v>121</c:v>
                </c:pt>
                <c:pt idx="9">
                  <c:v>114</c:v>
                </c:pt>
                <c:pt idx="10">
                  <c:v>88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'31.07 Arua-Koboko'!$AD$9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Arua-Koboko'!$AD$10:$AD$21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55008"/>
        <c:axId val="72956544"/>
      </c:lineChart>
      <c:catAx>
        <c:axId val="7295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2956544"/>
        <c:crosses val="autoZero"/>
        <c:auto val="1"/>
        <c:lblAlgn val="ctr"/>
        <c:lblOffset val="100"/>
        <c:noMultiLvlLbl val="0"/>
      </c:catAx>
      <c:valAx>
        <c:axId val="729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29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Arua-Koboko'!$C$60:$N$60</c:f>
              <c:numCache>
                <c:formatCode>0.00%</c:formatCode>
                <c:ptCount val="12"/>
                <c:pt idx="0">
                  <c:v>0</c:v>
                </c:pt>
                <c:pt idx="1">
                  <c:v>2.7522935779816515E-2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1.6819571865443424E-2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Koboko-Arua'!$AE$9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Koboko-Arua'!$AE$10:$AE$21</c:f>
              <c:numCache>
                <c:formatCode>0</c:formatCode>
                <c:ptCount val="12"/>
                <c:pt idx="0">
                  <c:v>32</c:v>
                </c:pt>
                <c:pt idx="1">
                  <c:v>51</c:v>
                </c:pt>
                <c:pt idx="2">
                  <c:v>74</c:v>
                </c:pt>
                <c:pt idx="3">
                  <c:v>39</c:v>
                </c:pt>
                <c:pt idx="4">
                  <c:v>46</c:v>
                </c:pt>
                <c:pt idx="5">
                  <c:v>65</c:v>
                </c:pt>
                <c:pt idx="6">
                  <c:v>77</c:v>
                </c:pt>
                <c:pt idx="7">
                  <c:v>63</c:v>
                </c:pt>
                <c:pt idx="8">
                  <c:v>58</c:v>
                </c:pt>
                <c:pt idx="9">
                  <c:v>71</c:v>
                </c:pt>
                <c:pt idx="10">
                  <c:v>90</c:v>
                </c:pt>
                <c:pt idx="11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'01.08 Koboko-Arua'!$AF$9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Koboko-Arua'!$AF$10:$AF$21</c:f>
              <c:numCache>
                <c:formatCode>0</c:formatCode>
                <c:ptCount val="12"/>
                <c:pt idx="0">
                  <c:v>160</c:v>
                </c:pt>
                <c:pt idx="1">
                  <c:v>234</c:v>
                </c:pt>
                <c:pt idx="2">
                  <c:v>213</c:v>
                </c:pt>
                <c:pt idx="3">
                  <c:v>167</c:v>
                </c:pt>
                <c:pt idx="4">
                  <c:v>195</c:v>
                </c:pt>
                <c:pt idx="5">
                  <c:v>189</c:v>
                </c:pt>
                <c:pt idx="6">
                  <c:v>167</c:v>
                </c:pt>
                <c:pt idx="7">
                  <c:v>156</c:v>
                </c:pt>
                <c:pt idx="8">
                  <c:v>144</c:v>
                </c:pt>
                <c:pt idx="9">
                  <c:v>151</c:v>
                </c:pt>
                <c:pt idx="10">
                  <c:v>187</c:v>
                </c:pt>
                <c:pt idx="11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19712"/>
        <c:axId val="71621632"/>
      </c:lineChart>
      <c:catAx>
        <c:axId val="71619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621632"/>
        <c:crosses val="autoZero"/>
        <c:auto val="1"/>
        <c:lblAlgn val="ctr"/>
        <c:lblOffset val="100"/>
        <c:noMultiLvlLbl val="0"/>
      </c:catAx>
      <c:valAx>
        <c:axId val="71621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16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Koboko-Arua'!$C$59:$N$59</c:f>
              <c:numCache>
                <c:formatCode>0.0%</c:formatCode>
                <c:ptCount val="12"/>
                <c:pt idx="0">
                  <c:v>0.1259469696969697</c:v>
                </c:pt>
                <c:pt idx="1">
                  <c:v>2.7462121212121212E-2</c:v>
                </c:pt>
                <c:pt idx="2">
                  <c:v>9.0435606060606064E-2</c:v>
                </c:pt>
                <c:pt idx="3">
                  <c:v>2.9356060606060608E-2</c:v>
                </c:pt>
                <c:pt idx="4">
                  <c:v>7.575757575757576E-3</c:v>
                </c:pt>
                <c:pt idx="5">
                  <c:v>4.261363636363636E-3</c:v>
                </c:pt>
                <c:pt idx="6">
                  <c:v>3.4564393939393936E-2</c:v>
                </c:pt>
                <c:pt idx="7">
                  <c:v>2.2727272727272728E-2</c:v>
                </c:pt>
                <c:pt idx="8">
                  <c:v>4.734848484848485E-3</c:v>
                </c:pt>
                <c:pt idx="9">
                  <c:v>1.1837121212121212E-2</c:v>
                </c:pt>
                <c:pt idx="10">
                  <c:v>0.640625</c:v>
                </c:pt>
                <c:pt idx="11">
                  <c:v>4.734848484848485E-4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Koboko-Arua'!$S$9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Koboko-Arua'!$S$10:$S$21</c:f>
              <c:numCache>
                <c:formatCode>0</c:formatCode>
                <c:ptCount val="12"/>
                <c:pt idx="0">
                  <c:v>18</c:v>
                </c:pt>
                <c:pt idx="1">
                  <c:v>22</c:v>
                </c:pt>
                <c:pt idx="2">
                  <c:v>22</c:v>
                </c:pt>
                <c:pt idx="3">
                  <c:v>26</c:v>
                </c:pt>
                <c:pt idx="4">
                  <c:v>17</c:v>
                </c:pt>
                <c:pt idx="5">
                  <c:v>26</c:v>
                </c:pt>
                <c:pt idx="6">
                  <c:v>21</c:v>
                </c:pt>
                <c:pt idx="7">
                  <c:v>21</c:v>
                </c:pt>
                <c:pt idx="8">
                  <c:v>16</c:v>
                </c:pt>
                <c:pt idx="9">
                  <c:v>19</c:v>
                </c:pt>
                <c:pt idx="10">
                  <c:v>31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'01.08 Koboko-Arua'!$T$9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Koboko-Arua'!$T$10:$T$21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2</c:v>
                </c:pt>
                <c:pt idx="8">
                  <c:v>5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'01.08 Koboko-Arua'!$U$9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Koboko-Arua'!$U$10:$U$21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24</c:v>
                </c:pt>
                <c:pt idx="3">
                  <c:v>4</c:v>
                </c:pt>
                <c:pt idx="4">
                  <c:v>12</c:v>
                </c:pt>
                <c:pt idx="5">
                  <c:v>18</c:v>
                </c:pt>
                <c:pt idx="6">
                  <c:v>32</c:v>
                </c:pt>
                <c:pt idx="7">
                  <c:v>10</c:v>
                </c:pt>
                <c:pt idx="8">
                  <c:v>17</c:v>
                </c:pt>
                <c:pt idx="9">
                  <c:v>23</c:v>
                </c:pt>
                <c:pt idx="10">
                  <c:v>23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'01.08 Koboko-Arua'!$V$9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Koboko-Arua'!$V$10:$V$21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'01.08 Koboko-Arua'!$W$9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'01.08 Koboko-Arua'!$X$9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'01.08 Koboko-Arua'!$Y$9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2</c:v>
                </c:pt>
                <c:pt idx="4">
                  <c:v>7</c:v>
                </c:pt>
                <c:pt idx="5">
                  <c:v>12</c:v>
                </c:pt>
                <c:pt idx="6">
                  <c:v>4</c:v>
                </c:pt>
                <c:pt idx="7">
                  <c:v>11</c:v>
                </c:pt>
                <c:pt idx="8">
                  <c:v>5</c:v>
                </c:pt>
                <c:pt idx="9">
                  <c:v>2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'01.08 Koboko-Arua'!$Z$9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Koboko-Arua'!$Z$10:$Z$21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'01.08 Koboko-Arua'!$AA$9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'01.08 Koboko-Arua'!$AB$9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'01.08 Koboko-Arua'!$AC$9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Koboko-Arua'!$AC$10:$AC$21</c:f>
              <c:numCache>
                <c:formatCode>0</c:formatCode>
                <c:ptCount val="12"/>
                <c:pt idx="0">
                  <c:v>128</c:v>
                </c:pt>
                <c:pt idx="1">
                  <c:v>183</c:v>
                </c:pt>
                <c:pt idx="2">
                  <c:v>139</c:v>
                </c:pt>
                <c:pt idx="3">
                  <c:v>128</c:v>
                </c:pt>
                <c:pt idx="4">
                  <c:v>149</c:v>
                </c:pt>
                <c:pt idx="5">
                  <c:v>124</c:v>
                </c:pt>
                <c:pt idx="6">
                  <c:v>90</c:v>
                </c:pt>
                <c:pt idx="7">
                  <c:v>93</c:v>
                </c:pt>
                <c:pt idx="8">
                  <c:v>86</c:v>
                </c:pt>
                <c:pt idx="9">
                  <c:v>80</c:v>
                </c:pt>
                <c:pt idx="10">
                  <c:v>97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'01.08 Koboko-Arua'!$AD$9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Koboko-Arua'!$AD$10:$AD$21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12576"/>
        <c:axId val="73118464"/>
      </c:lineChart>
      <c:catAx>
        <c:axId val="731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118464"/>
        <c:crosses val="autoZero"/>
        <c:auto val="1"/>
        <c:lblAlgn val="ctr"/>
        <c:lblOffset val="100"/>
        <c:noMultiLvlLbl val="0"/>
      </c:catAx>
      <c:valAx>
        <c:axId val="731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1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Koboko-Arua'!$C$60:$N$60</c:f>
              <c:numCache>
                <c:formatCode>0.00%</c:formatCode>
                <c:ptCount val="12"/>
                <c:pt idx="0">
                  <c:v>0.35046113306982873</c:v>
                </c:pt>
                <c:pt idx="1">
                  <c:v>7.6416337285902497E-2</c:v>
                </c:pt>
                <c:pt idx="2">
                  <c:v>0.25164690382081689</c:v>
                </c:pt>
                <c:pt idx="3">
                  <c:v>8.1686429512516465E-2</c:v>
                </c:pt>
                <c:pt idx="4">
                  <c:v>2.1080368906455864E-2</c:v>
                </c:pt>
                <c:pt idx="5">
                  <c:v>1.1857707509881422E-2</c:v>
                </c:pt>
                <c:pt idx="6">
                  <c:v>9.6179183135704879E-2</c:v>
                </c:pt>
                <c:pt idx="7">
                  <c:v>6.3241106719367585E-2</c:v>
                </c:pt>
                <c:pt idx="8">
                  <c:v>1.3175230566534914E-2</c:v>
                </c:pt>
                <c:pt idx="9">
                  <c:v>3.2938076416337288E-2</c:v>
                </c:pt>
                <c:pt idx="11">
                  <c:v>1.3175230566534915E-3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Arua-Koboko'!$AE$9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Arua-Koboko'!$AE$10:$AE$21</c:f>
              <c:numCache>
                <c:formatCode>0</c:formatCode>
                <c:ptCount val="12"/>
                <c:pt idx="0">
                  <c:v>75</c:v>
                </c:pt>
                <c:pt idx="1">
                  <c:v>65</c:v>
                </c:pt>
                <c:pt idx="2">
                  <c:v>81</c:v>
                </c:pt>
                <c:pt idx="3">
                  <c:v>74</c:v>
                </c:pt>
                <c:pt idx="4">
                  <c:v>71</c:v>
                </c:pt>
                <c:pt idx="5">
                  <c:v>65</c:v>
                </c:pt>
                <c:pt idx="6">
                  <c:v>57</c:v>
                </c:pt>
                <c:pt idx="7">
                  <c:v>62</c:v>
                </c:pt>
                <c:pt idx="8">
                  <c:v>74</c:v>
                </c:pt>
                <c:pt idx="9">
                  <c:v>48</c:v>
                </c:pt>
                <c:pt idx="10">
                  <c:v>150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'01.08 Arua-Koboko'!$AF$9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Arua-Koboko'!$AF$10:$AF$21</c:f>
              <c:numCache>
                <c:formatCode>0</c:formatCode>
                <c:ptCount val="12"/>
                <c:pt idx="0">
                  <c:v>174</c:v>
                </c:pt>
                <c:pt idx="1">
                  <c:v>175</c:v>
                </c:pt>
                <c:pt idx="2">
                  <c:v>237</c:v>
                </c:pt>
                <c:pt idx="3">
                  <c:v>204</c:v>
                </c:pt>
                <c:pt idx="4">
                  <c:v>191</c:v>
                </c:pt>
                <c:pt idx="5">
                  <c:v>203</c:v>
                </c:pt>
                <c:pt idx="6">
                  <c:v>168</c:v>
                </c:pt>
                <c:pt idx="7">
                  <c:v>186</c:v>
                </c:pt>
                <c:pt idx="8">
                  <c:v>192</c:v>
                </c:pt>
                <c:pt idx="9">
                  <c:v>139</c:v>
                </c:pt>
                <c:pt idx="10">
                  <c:v>280</c:v>
                </c:pt>
                <c:pt idx="11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38144"/>
        <c:axId val="76040064"/>
      </c:lineChart>
      <c:catAx>
        <c:axId val="76038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040064"/>
        <c:crosses val="autoZero"/>
        <c:auto val="1"/>
        <c:lblAlgn val="ctr"/>
        <c:lblOffset val="100"/>
        <c:noMultiLvlLbl val="0"/>
      </c:catAx>
      <c:valAx>
        <c:axId val="76040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03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Arua-Koboko'!$C$59:$N$59</c:f>
              <c:numCache>
                <c:formatCode>0.0%</c:formatCode>
                <c:ptCount val="12"/>
                <c:pt idx="0">
                  <c:v>0.14479830148619957</c:v>
                </c:pt>
                <c:pt idx="1">
                  <c:v>3.7367303609341825E-2</c:v>
                </c:pt>
                <c:pt idx="2">
                  <c:v>4.5859872611464965E-2</c:v>
                </c:pt>
                <c:pt idx="3">
                  <c:v>2.5902335456475585E-2</c:v>
                </c:pt>
                <c:pt idx="4">
                  <c:v>6.369426751592357E-3</c:v>
                </c:pt>
                <c:pt idx="5">
                  <c:v>1.5711252653927813E-2</c:v>
                </c:pt>
                <c:pt idx="6">
                  <c:v>4.2038216560509552E-2</c:v>
                </c:pt>
                <c:pt idx="7">
                  <c:v>3.9915074309978767E-2</c:v>
                </c:pt>
                <c:pt idx="8">
                  <c:v>2.5477707006369425E-3</c:v>
                </c:pt>
                <c:pt idx="9">
                  <c:v>9.7664543524416132E-3</c:v>
                </c:pt>
                <c:pt idx="10">
                  <c:v>0.6284501061571125</c:v>
                </c:pt>
                <c:pt idx="11">
                  <c:v>1.2738853503184713E-3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Arua-Koboko'!$S$9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Arua-Koboko'!$S$10:$S$21</c:f>
              <c:numCache>
                <c:formatCode>0</c:formatCode>
                <c:ptCount val="12"/>
                <c:pt idx="0">
                  <c:v>16</c:v>
                </c:pt>
                <c:pt idx="1">
                  <c:v>13</c:v>
                </c:pt>
                <c:pt idx="2">
                  <c:v>29</c:v>
                </c:pt>
                <c:pt idx="3">
                  <c:v>33</c:v>
                </c:pt>
                <c:pt idx="4">
                  <c:v>37</c:v>
                </c:pt>
                <c:pt idx="5">
                  <c:v>33</c:v>
                </c:pt>
                <c:pt idx="6">
                  <c:v>25</c:v>
                </c:pt>
                <c:pt idx="7">
                  <c:v>32</c:v>
                </c:pt>
                <c:pt idx="8">
                  <c:v>37</c:v>
                </c:pt>
                <c:pt idx="9">
                  <c:v>15</c:v>
                </c:pt>
                <c:pt idx="10">
                  <c:v>58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'01.08 Arua-Koboko'!$T$9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Arua-Koboko'!$T$10:$T$21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15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'01.08 Arua-Koboko'!$U$9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Arua-Koboko'!$U$10:$U$21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18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8</c:v>
                </c:pt>
                <c:pt idx="9">
                  <c:v>6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'01.08 Arua-Koboko'!$V$9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Arua-Koboko'!$V$10:$V$21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'01.08 Arua-Koboko'!$W$9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Arua-Koboko'!$W$10:$W$21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'01.08 Arua-Koboko'!$X$9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Arua-Koboko'!$X$10:$X$21</c:f>
              <c:numCache>
                <c:formatCode>0</c:formatCode>
                <c:ptCount val="12"/>
                <c:pt idx="0">
                  <c:v>31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'01.08 Arua-Koboko'!$Y$9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Arua-Koboko'!$Y$10:$Y$21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'01.08 Arua-Koboko'!$Z$9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3</c:v>
                </c:pt>
                <c:pt idx="10">
                  <c:v>50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'01.08 Arua-Koboko'!$AA$9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'01.08 Arua-Koboko'!$AB$9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Arua-Koboko'!$AB$10:$AB$21</c:f>
              <c:numCache>
                <c:formatCode>0</c:formatCode>
                <c:ptCount val="12"/>
                <c:pt idx="0">
                  <c:v>0</c:v>
                </c:pt>
                <c:pt idx="1">
                  <c:v>11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'01.08 Arua-Koboko'!$AC$9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Arua-Koboko'!$AC$10:$AC$21</c:f>
              <c:numCache>
                <c:formatCode>0</c:formatCode>
                <c:ptCount val="12"/>
                <c:pt idx="0">
                  <c:v>99</c:v>
                </c:pt>
                <c:pt idx="1">
                  <c:v>110</c:v>
                </c:pt>
                <c:pt idx="2">
                  <c:v>156</c:v>
                </c:pt>
                <c:pt idx="3">
                  <c:v>130</c:v>
                </c:pt>
                <c:pt idx="4">
                  <c:v>120</c:v>
                </c:pt>
                <c:pt idx="5">
                  <c:v>138</c:v>
                </c:pt>
                <c:pt idx="6">
                  <c:v>111</c:v>
                </c:pt>
                <c:pt idx="7">
                  <c:v>124</c:v>
                </c:pt>
                <c:pt idx="8">
                  <c:v>118</c:v>
                </c:pt>
                <c:pt idx="9">
                  <c:v>91</c:v>
                </c:pt>
                <c:pt idx="10">
                  <c:v>130</c:v>
                </c:pt>
                <c:pt idx="11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'01.08 Arua-Koboko'!$AD$9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Arua-Koboko'!$AD$10:$AD$21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74400"/>
        <c:axId val="74775936"/>
      </c:lineChart>
      <c:catAx>
        <c:axId val="7477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775936"/>
        <c:crosses val="autoZero"/>
        <c:auto val="1"/>
        <c:lblAlgn val="ctr"/>
        <c:lblOffset val="100"/>
        <c:noMultiLvlLbl val="0"/>
      </c:catAx>
      <c:valAx>
        <c:axId val="747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7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Arua-Koboko'!$C$60:$N$60</c:f>
              <c:numCache>
                <c:formatCode>0.00%</c:formatCode>
                <c:ptCount val="12"/>
                <c:pt idx="0">
                  <c:v>0.38971428571428574</c:v>
                </c:pt>
                <c:pt idx="1">
                  <c:v>0.10057142857142858</c:v>
                </c:pt>
                <c:pt idx="2">
                  <c:v>0.12342857142857143</c:v>
                </c:pt>
                <c:pt idx="3">
                  <c:v>6.9714285714285715E-2</c:v>
                </c:pt>
                <c:pt idx="4">
                  <c:v>1.7142857142857144E-2</c:v>
                </c:pt>
                <c:pt idx="5">
                  <c:v>4.2285714285714288E-2</c:v>
                </c:pt>
                <c:pt idx="6">
                  <c:v>0.11314285714285714</c:v>
                </c:pt>
                <c:pt idx="7">
                  <c:v>0.10742857142857143</c:v>
                </c:pt>
                <c:pt idx="8">
                  <c:v>6.8571428571428568E-3</c:v>
                </c:pt>
                <c:pt idx="9">
                  <c:v>2.6285714285714287E-2</c:v>
                </c:pt>
                <c:pt idx="11">
                  <c:v>3.4285714285714284E-3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Koboko-Arua-24h'!$AE$9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Koboko-Arua-24h'!$R$10:$R$33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Koboko-Arua-24h'!$AE$10:$AE$33</c:f>
              <c:numCache>
                <c:formatCode>0</c:formatCode>
                <c:ptCount val="24"/>
                <c:pt idx="0">
                  <c:v>40</c:v>
                </c:pt>
                <c:pt idx="1">
                  <c:v>62</c:v>
                </c:pt>
                <c:pt idx="2">
                  <c:v>71</c:v>
                </c:pt>
                <c:pt idx="3">
                  <c:v>77</c:v>
                </c:pt>
                <c:pt idx="4">
                  <c:v>64</c:v>
                </c:pt>
                <c:pt idx="5">
                  <c:v>77</c:v>
                </c:pt>
                <c:pt idx="6">
                  <c:v>67</c:v>
                </c:pt>
                <c:pt idx="7">
                  <c:v>43</c:v>
                </c:pt>
                <c:pt idx="8">
                  <c:v>85</c:v>
                </c:pt>
                <c:pt idx="9">
                  <c:v>97</c:v>
                </c:pt>
                <c:pt idx="10">
                  <c:v>103</c:v>
                </c:pt>
                <c:pt idx="11">
                  <c:v>66</c:v>
                </c:pt>
                <c:pt idx="12">
                  <c:v>125</c:v>
                </c:pt>
                <c:pt idx="13">
                  <c:v>93</c:v>
                </c:pt>
                <c:pt idx="14">
                  <c:v>66</c:v>
                </c:pt>
                <c:pt idx="15">
                  <c:v>18</c:v>
                </c:pt>
                <c:pt idx="16">
                  <c:v>12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'02.08 Koboko-Arua-24h'!$AF$9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Koboko-Arua-24h'!$R$10:$R$33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Koboko-Arua-24h'!$AF$10:$AF$33</c:f>
              <c:numCache>
                <c:formatCode>0</c:formatCode>
                <c:ptCount val="24"/>
                <c:pt idx="0">
                  <c:v>160</c:v>
                </c:pt>
                <c:pt idx="1">
                  <c:v>199</c:v>
                </c:pt>
                <c:pt idx="2">
                  <c:v>167</c:v>
                </c:pt>
                <c:pt idx="3">
                  <c:v>232</c:v>
                </c:pt>
                <c:pt idx="4">
                  <c:v>198</c:v>
                </c:pt>
                <c:pt idx="5">
                  <c:v>207</c:v>
                </c:pt>
                <c:pt idx="6">
                  <c:v>122</c:v>
                </c:pt>
                <c:pt idx="7">
                  <c:v>84</c:v>
                </c:pt>
                <c:pt idx="8">
                  <c:v>214</c:v>
                </c:pt>
                <c:pt idx="9">
                  <c:v>260</c:v>
                </c:pt>
                <c:pt idx="10">
                  <c:v>294</c:v>
                </c:pt>
                <c:pt idx="11">
                  <c:v>161</c:v>
                </c:pt>
                <c:pt idx="12">
                  <c:v>332</c:v>
                </c:pt>
                <c:pt idx="13">
                  <c:v>261</c:v>
                </c:pt>
                <c:pt idx="14">
                  <c:v>152</c:v>
                </c:pt>
                <c:pt idx="15">
                  <c:v>58</c:v>
                </c:pt>
                <c:pt idx="16">
                  <c:v>32</c:v>
                </c:pt>
                <c:pt idx="17">
                  <c:v>10</c:v>
                </c:pt>
                <c:pt idx="18">
                  <c:v>12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15</c:v>
                </c:pt>
                <c:pt idx="23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78336"/>
        <c:axId val="76162560"/>
      </c:lineChart>
      <c:catAx>
        <c:axId val="74878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162560"/>
        <c:crosses val="autoZero"/>
        <c:auto val="1"/>
        <c:lblAlgn val="ctr"/>
        <c:lblOffset val="100"/>
        <c:noMultiLvlLbl val="0"/>
      </c:catAx>
      <c:valAx>
        <c:axId val="76162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8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Koboko-Arua-24h'!$C$9:$N$9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Koboko-Arua-24h'!$C$107:$N$107</c:f>
              <c:numCache>
                <c:formatCode>0.0%</c:formatCode>
                <c:ptCount val="12"/>
                <c:pt idx="0">
                  <c:v>0.12063686466625842</c:v>
                </c:pt>
                <c:pt idx="1">
                  <c:v>4.1947336191059399E-2</c:v>
                </c:pt>
                <c:pt idx="2">
                  <c:v>8.2057562767911818E-2</c:v>
                </c:pt>
                <c:pt idx="3">
                  <c:v>4.2253521126760563E-2</c:v>
                </c:pt>
                <c:pt idx="4">
                  <c:v>1.1635027556644213E-2</c:v>
                </c:pt>
                <c:pt idx="5">
                  <c:v>3.3680342927127987E-3</c:v>
                </c:pt>
                <c:pt idx="6">
                  <c:v>3.9191671769748929E-2</c:v>
                </c:pt>
                <c:pt idx="7">
                  <c:v>1.0104102878138396E-2</c:v>
                </c:pt>
                <c:pt idx="8">
                  <c:v>3.6742192284139621E-3</c:v>
                </c:pt>
                <c:pt idx="9">
                  <c:v>7.6546233925290875E-3</c:v>
                </c:pt>
                <c:pt idx="10">
                  <c:v>0.63686466625842009</c:v>
                </c:pt>
                <c:pt idx="11">
                  <c:v>6.1236987140232701E-4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Koboko-Arua-24h'!$C$9:$N$9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Koboko-Arua-24h'!$C$108:$N$108</c:f>
              <c:numCache>
                <c:formatCode>0.00%</c:formatCode>
                <c:ptCount val="12"/>
                <c:pt idx="0">
                  <c:v>0.33220910623946037</c:v>
                </c:pt>
                <c:pt idx="1">
                  <c:v>0.11551433389544688</c:v>
                </c:pt>
                <c:pt idx="2">
                  <c:v>0.22596964586846544</c:v>
                </c:pt>
                <c:pt idx="3">
                  <c:v>0.1163575042158516</c:v>
                </c:pt>
                <c:pt idx="4">
                  <c:v>3.2040472175379427E-2</c:v>
                </c:pt>
                <c:pt idx="5">
                  <c:v>9.2748735244519397E-3</c:v>
                </c:pt>
                <c:pt idx="6">
                  <c:v>0.10792580101180438</c:v>
                </c:pt>
                <c:pt idx="7">
                  <c:v>2.7824620573355819E-2</c:v>
                </c:pt>
                <c:pt idx="8">
                  <c:v>1.0118043844856661E-2</c:v>
                </c:pt>
                <c:pt idx="9">
                  <c:v>2.1079258010118045E-2</c:v>
                </c:pt>
                <c:pt idx="11">
                  <c:v>1.6863406408094434E-3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Arua-Koboko-24h'!$AE$9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Arua-Koboko-24h'!$R$10:$R$33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Arua-Koboko-24h'!$AE$10:$AE$33</c:f>
              <c:numCache>
                <c:formatCode>0</c:formatCode>
                <c:ptCount val="24"/>
                <c:pt idx="0">
                  <c:v>39</c:v>
                </c:pt>
                <c:pt idx="1">
                  <c:v>56</c:v>
                </c:pt>
                <c:pt idx="2">
                  <c:v>79</c:v>
                </c:pt>
                <c:pt idx="3">
                  <c:v>79</c:v>
                </c:pt>
                <c:pt idx="4">
                  <c:v>46</c:v>
                </c:pt>
                <c:pt idx="5">
                  <c:v>52</c:v>
                </c:pt>
                <c:pt idx="6">
                  <c:v>41</c:v>
                </c:pt>
                <c:pt idx="7">
                  <c:v>37</c:v>
                </c:pt>
                <c:pt idx="8">
                  <c:v>59</c:v>
                </c:pt>
                <c:pt idx="9">
                  <c:v>65</c:v>
                </c:pt>
                <c:pt idx="10">
                  <c:v>69</c:v>
                </c:pt>
                <c:pt idx="11">
                  <c:v>40</c:v>
                </c:pt>
                <c:pt idx="12">
                  <c:v>53</c:v>
                </c:pt>
                <c:pt idx="13">
                  <c:v>29</c:v>
                </c:pt>
                <c:pt idx="14">
                  <c:v>9</c:v>
                </c:pt>
                <c:pt idx="15">
                  <c:v>8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'02.08 Arua-Koboko-24h'!$AF$9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Arua-Koboko-24h'!$R$10:$R$33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Arua-Koboko-24h'!$AF$10:$AF$33</c:f>
              <c:numCache>
                <c:formatCode>0</c:formatCode>
                <c:ptCount val="24"/>
                <c:pt idx="0">
                  <c:v>167</c:v>
                </c:pt>
                <c:pt idx="1">
                  <c:v>155</c:v>
                </c:pt>
                <c:pt idx="2">
                  <c:v>234</c:v>
                </c:pt>
                <c:pt idx="3">
                  <c:v>237</c:v>
                </c:pt>
                <c:pt idx="4">
                  <c:v>173</c:v>
                </c:pt>
                <c:pt idx="5">
                  <c:v>199</c:v>
                </c:pt>
                <c:pt idx="6">
                  <c:v>150</c:v>
                </c:pt>
                <c:pt idx="7">
                  <c:v>151</c:v>
                </c:pt>
                <c:pt idx="8">
                  <c:v>154</c:v>
                </c:pt>
                <c:pt idx="9">
                  <c:v>178</c:v>
                </c:pt>
                <c:pt idx="10">
                  <c:v>225</c:v>
                </c:pt>
                <c:pt idx="11">
                  <c:v>167</c:v>
                </c:pt>
                <c:pt idx="12">
                  <c:v>269</c:v>
                </c:pt>
                <c:pt idx="13">
                  <c:v>188</c:v>
                </c:pt>
                <c:pt idx="14">
                  <c:v>96</c:v>
                </c:pt>
                <c:pt idx="15">
                  <c:v>43</c:v>
                </c:pt>
                <c:pt idx="16">
                  <c:v>29</c:v>
                </c:pt>
                <c:pt idx="17">
                  <c:v>23</c:v>
                </c:pt>
                <c:pt idx="18">
                  <c:v>13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19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36000"/>
        <c:axId val="76737920"/>
      </c:lineChart>
      <c:catAx>
        <c:axId val="7673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737920"/>
        <c:crosses val="autoZero"/>
        <c:auto val="1"/>
        <c:lblAlgn val="ctr"/>
        <c:lblOffset val="100"/>
        <c:noMultiLvlLbl val="0"/>
      </c:catAx>
      <c:valAx>
        <c:axId val="76737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73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Arua-Koboko-24h'!$C$9:$N$9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Arua-Koboko-24h'!$C$107:$N$107</c:f>
              <c:numCache>
                <c:formatCode>0.0%</c:formatCode>
                <c:ptCount val="12"/>
                <c:pt idx="0">
                  <c:v>0.1357142857142857</c:v>
                </c:pt>
                <c:pt idx="1">
                  <c:v>1.4285714285714285E-2</c:v>
                </c:pt>
                <c:pt idx="2">
                  <c:v>4.4557823129251703E-2</c:v>
                </c:pt>
                <c:pt idx="3">
                  <c:v>2.0068027210884354E-2</c:v>
                </c:pt>
                <c:pt idx="4">
                  <c:v>1.7006802721088435E-3</c:v>
                </c:pt>
                <c:pt idx="5">
                  <c:v>3.4013605442176869E-3</c:v>
                </c:pt>
                <c:pt idx="6">
                  <c:v>1.8367346938775512E-2</c:v>
                </c:pt>
                <c:pt idx="7">
                  <c:v>1.6326530612244899E-2</c:v>
                </c:pt>
                <c:pt idx="8">
                  <c:v>1.7006802721088435E-3</c:v>
                </c:pt>
                <c:pt idx="9">
                  <c:v>7.4829931972789114E-3</c:v>
                </c:pt>
                <c:pt idx="10">
                  <c:v>0.73367346938775513</c:v>
                </c:pt>
                <c:pt idx="11">
                  <c:v>2.7210884353741495E-3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Arua-Koboko-24h'!$C$9:$N$9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Arua-Koboko-24h'!$C$108:$N$108</c:f>
              <c:numCache>
                <c:formatCode>0.00%</c:formatCode>
                <c:ptCount val="12"/>
                <c:pt idx="0">
                  <c:v>0.50957854406130265</c:v>
                </c:pt>
                <c:pt idx="1">
                  <c:v>5.3639846743295021E-2</c:v>
                </c:pt>
                <c:pt idx="2">
                  <c:v>0.1673052362707535</c:v>
                </c:pt>
                <c:pt idx="3">
                  <c:v>7.5351213282247767E-2</c:v>
                </c:pt>
                <c:pt idx="4">
                  <c:v>6.3856960408684551E-3</c:v>
                </c:pt>
                <c:pt idx="5">
                  <c:v>1.277139208173691E-2</c:v>
                </c:pt>
                <c:pt idx="6">
                  <c:v>6.8965517241379309E-2</c:v>
                </c:pt>
                <c:pt idx="7">
                  <c:v>6.1302681992337162E-2</c:v>
                </c:pt>
                <c:pt idx="8">
                  <c:v>6.3856960408684551E-3</c:v>
                </c:pt>
                <c:pt idx="9">
                  <c:v>2.8097062579821201E-2</c:v>
                </c:pt>
                <c:pt idx="11">
                  <c:v>1.0217113665389528E-2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Koboko-Arua-24h'!$AE$9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Koboko-Arua-24h'!$R$10:$R$33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Koboko-Arua-24h'!$AE$10:$AE$33</c:f>
              <c:numCache>
                <c:formatCode>0</c:formatCode>
                <c:ptCount val="24"/>
                <c:pt idx="0">
                  <c:v>20</c:v>
                </c:pt>
                <c:pt idx="1">
                  <c:v>48</c:v>
                </c:pt>
                <c:pt idx="2">
                  <c:v>62</c:v>
                </c:pt>
                <c:pt idx="3">
                  <c:v>87</c:v>
                </c:pt>
                <c:pt idx="4">
                  <c:v>65</c:v>
                </c:pt>
                <c:pt idx="5">
                  <c:v>80</c:v>
                </c:pt>
                <c:pt idx="6">
                  <c:v>68</c:v>
                </c:pt>
                <c:pt idx="7">
                  <c:v>63</c:v>
                </c:pt>
                <c:pt idx="8">
                  <c:v>140</c:v>
                </c:pt>
                <c:pt idx="9">
                  <c:v>51</c:v>
                </c:pt>
                <c:pt idx="10">
                  <c:v>64</c:v>
                </c:pt>
                <c:pt idx="11">
                  <c:v>43</c:v>
                </c:pt>
                <c:pt idx="12">
                  <c:v>129</c:v>
                </c:pt>
                <c:pt idx="13">
                  <c:v>80</c:v>
                </c:pt>
                <c:pt idx="14">
                  <c:v>71</c:v>
                </c:pt>
                <c:pt idx="15">
                  <c:v>18</c:v>
                </c:pt>
                <c:pt idx="16">
                  <c:v>8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Koboko-Arua-24h'!$AF$9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Koboko-Arua-24h'!$R$10:$R$33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Koboko-Arua-24h'!$AF$10:$AF$33</c:f>
              <c:numCache>
                <c:formatCode>0</c:formatCode>
                <c:ptCount val="24"/>
                <c:pt idx="0">
                  <c:v>180</c:v>
                </c:pt>
                <c:pt idx="1">
                  <c:v>195</c:v>
                </c:pt>
                <c:pt idx="2">
                  <c:v>218</c:v>
                </c:pt>
                <c:pt idx="3">
                  <c:v>291</c:v>
                </c:pt>
                <c:pt idx="4">
                  <c:v>230</c:v>
                </c:pt>
                <c:pt idx="5">
                  <c:v>258</c:v>
                </c:pt>
                <c:pt idx="6">
                  <c:v>213</c:v>
                </c:pt>
                <c:pt idx="7">
                  <c:v>258</c:v>
                </c:pt>
                <c:pt idx="8">
                  <c:v>290</c:v>
                </c:pt>
                <c:pt idx="9">
                  <c:v>188</c:v>
                </c:pt>
                <c:pt idx="10">
                  <c:v>298</c:v>
                </c:pt>
                <c:pt idx="11">
                  <c:v>178</c:v>
                </c:pt>
                <c:pt idx="12">
                  <c:v>309</c:v>
                </c:pt>
                <c:pt idx="13">
                  <c:v>271</c:v>
                </c:pt>
                <c:pt idx="14">
                  <c:v>167</c:v>
                </c:pt>
                <c:pt idx="15">
                  <c:v>95</c:v>
                </c:pt>
                <c:pt idx="16">
                  <c:v>32</c:v>
                </c:pt>
                <c:pt idx="17">
                  <c:v>12</c:v>
                </c:pt>
                <c:pt idx="18">
                  <c:v>9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8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24416"/>
        <c:axId val="74926336"/>
      </c:lineChart>
      <c:catAx>
        <c:axId val="74924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926336"/>
        <c:crosses val="autoZero"/>
        <c:auto val="1"/>
        <c:lblAlgn val="ctr"/>
        <c:lblOffset val="100"/>
        <c:noMultiLvlLbl val="0"/>
      </c:catAx>
      <c:valAx>
        <c:axId val="74926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49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Koboko-Arua-24h'!$C$9:$N$9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Koboko-Arua-24h'!$C$107:$N$107</c:f>
              <c:numCache>
                <c:formatCode>0.0%</c:formatCode>
                <c:ptCount val="12"/>
                <c:pt idx="0">
                  <c:v>0.11102257636122179</c:v>
                </c:pt>
                <c:pt idx="1">
                  <c:v>2.5232403718459494E-2</c:v>
                </c:pt>
                <c:pt idx="2">
                  <c:v>7.4900398406374497E-2</c:v>
                </c:pt>
                <c:pt idx="3">
                  <c:v>3.1075697211155377E-2</c:v>
                </c:pt>
                <c:pt idx="4">
                  <c:v>3.1872509960159364E-3</c:v>
                </c:pt>
                <c:pt idx="5">
                  <c:v>3.7184594953519256E-3</c:v>
                </c:pt>
                <c:pt idx="6">
                  <c:v>3.1341301460823374E-2</c:v>
                </c:pt>
                <c:pt idx="7">
                  <c:v>9.2961487383798145E-3</c:v>
                </c:pt>
                <c:pt idx="8">
                  <c:v>7.9681274900398409E-4</c:v>
                </c:pt>
                <c:pt idx="9">
                  <c:v>3.1872509960159364E-3</c:v>
                </c:pt>
                <c:pt idx="10">
                  <c:v>0.70597609561752983</c:v>
                </c:pt>
                <c:pt idx="11">
                  <c:v>2.6560424966799468E-4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Koboko-Arua-24h'!$C$9:$N$9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Koboko-Arua-24h'!$C$108:$N$108</c:f>
              <c:numCache>
                <c:formatCode>0.00%</c:formatCode>
                <c:ptCount val="12"/>
                <c:pt idx="0">
                  <c:v>0.37759710930442636</c:v>
                </c:pt>
                <c:pt idx="1">
                  <c:v>8.5817524841915085E-2</c:v>
                </c:pt>
                <c:pt idx="2">
                  <c:v>0.25474254742547425</c:v>
                </c:pt>
                <c:pt idx="3">
                  <c:v>0.10569105691056911</c:v>
                </c:pt>
                <c:pt idx="4">
                  <c:v>1.0840108401084011E-2</c:v>
                </c:pt>
                <c:pt idx="5">
                  <c:v>1.2646793134598013E-2</c:v>
                </c:pt>
                <c:pt idx="6">
                  <c:v>0.10659439927732611</c:v>
                </c:pt>
                <c:pt idx="7">
                  <c:v>3.1616982836495035E-2</c:v>
                </c:pt>
                <c:pt idx="8">
                  <c:v>2.7100271002710027E-3</c:v>
                </c:pt>
                <c:pt idx="9">
                  <c:v>1.0840108401084011E-2</c:v>
                </c:pt>
                <c:pt idx="11">
                  <c:v>9.0334236675700087E-4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Arua-Koboko-24h'!$AE$9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Arua-Koboko-24h'!$R$10:$R$33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Arua-Koboko-24h'!$AE$10:$AE$33</c:f>
              <c:numCache>
                <c:formatCode>0</c:formatCode>
                <c:ptCount val="24"/>
                <c:pt idx="0">
                  <c:v>43</c:v>
                </c:pt>
                <c:pt idx="1">
                  <c:v>72</c:v>
                </c:pt>
                <c:pt idx="2">
                  <c:v>75</c:v>
                </c:pt>
                <c:pt idx="3">
                  <c:v>80</c:v>
                </c:pt>
                <c:pt idx="4">
                  <c:v>68</c:v>
                </c:pt>
                <c:pt idx="5">
                  <c:v>77</c:v>
                </c:pt>
                <c:pt idx="6">
                  <c:v>41</c:v>
                </c:pt>
                <c:pt idx="7">
                  <c:v>69</c:v>
                </c:pt>
                <c:pt idx="8">
                  <c:v>64</c:v>
                </c:pt>
                <c:pt idx="9">
                  <c:v>52</c:v>
                </c:pt>
                <c:pt idx="10">
                  <c:v>52</c:v>
                </c:pt>
                <c:pt idx="11">
                  <c:v>40</c:v>
                </c:pt>
                <c:pt idx="12">
                  <c:v>45</c:v>
                </c:pt>
                <c:pt idx="13">
                  <c:v>39</c:v>
                </c:pt>
                <c:pt idx="14">
                  <c:v>15</c:v>
                </c:pt>
                <c:pt idx="15">
                  <c:v>10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Arua-Koboko-24h'!$AF$9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Arua-Koboko-24h'!$R$10:$R$33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Arua-Koboko-24h'!$AF$10:$AF$33</c:f>
              <c:numCache>
                <c:formatCode>0</c:formatCode>
                <c:ptCount val="24"/>
                <c:pt idx="0">
                  <c:v>190</c:v>
                </c:pt>
                <c:pt idx="1">
                  <c:v>184</c:v>
                </c:pt>
                <c:pt idx="2">
                  <c:v>192</c:v>
                </c:pt>
                <c:pt idx="3">
                  <c:v>237</c:v>
                </c:pt>
                <c:pt idx="4">
                  <c:v>197</c:v>
                </c:pt>
                <c:pt idx="5">
                  <c:v>200</c:v>
                </c:pt>
                <c:pt idx="6">
                  <c:v>170</c:v>
                </c:pt>
                <c:pt idx="7">
                  <c:v>196</c:v>
                </c:pt>
                <c:pt idx="8">
                  <c:v>177</c:v>
                </c:pt>
                <c:pt idx="9">
                  <c:v>165</c:v>
                </c:pt>
                <c:pt idx="10">
                  <c:v>216</c:v>
                </c:pt>
                <c:pt idx="11">
                  <c:v>168</c:v>
                </c:pt>
                <c:pt idx="12">
                  <c:v>198</c:v>
                </c:pt>
                <c:pt idx="13">
                  <c:v>214</c:v>
                </c:pt>
                <c:pt idx="14">
                  <c:v>119</c:v>
                </c:pt>
                <c:pt idx="15">
                  <c:v>68</c:v>
                </c:pt>
                <c:pt idx="16">
                  <c:v>29</c:v>
                </c:pt>
                <c:pt idx="17">
                  <c:v>17</c:v>
                </c:pt>
                <c:pt idx="18">
                  <c:v>12</c:v>
                </c:pt>
                <c:pt idx="19">
                  <c:v>5</c:v>
                </c:pt>
                <c:pt idx="20">
                  <c:v>10</c:v>
                </c:pt>
                <c:pt idx="21">
                  <c:v>7</c:v>
                </c:pt>
                <c:pt idx="22">
                  <c:v>13</c:v>
                </c:pt>
                <c:pt idx="23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3184"/>
        <c:axId val="76899456"/>
      </c:lineChart>
      <c:catAx>
        <c:axId val="76893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899456"/>
        <c:crosses val="autoZero"/>
        <c:auto val="1"/>
        <c:lblAlgn val="ctr"/>
        <c:lblOffset val="100"/>
        <c:noMultiLvlLbl val="0"/>
      </c:catAx>
      <c:valAx>
        <c:axId val="7689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8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Arua-Koboko-24h'!$C$9:$N$9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Arua-Koboko-24h'!$C$107:$N$107</c:f>
              <c:numCache>
                <c:formatCode>0.0%</c:formatCode>
                <c:ptCount val="12"/>
                <c:pt idx="0">
                  <c:v>0.15457827371184771</c:v>
                </c:pt>
                <c:pt idx="1">
                  <c:v>2.9537249753856253E-2</c:v>
                </c:pt>
                <c:pt idx="2">
                  <c:v>3.675746636035445E-2</c:v>
                </c:pt>
                <c:pt idx="3">
                  <c:v>1.8378733180177225E-2</c:v>
                </c:pt>
                <c:pt idx="4">
                  <c:v>1.6409583196586807E-3</c:v>
                </c:pt>
                <c:pt idx="5">
                  <c:v>1.2799474893337709E-2</c:v>
                </c:pt>
                <c:pt idx="6">
                  <c:v>1.6409583196586808E-2</c:v>
                </c:pt>
                <c:pt idx="7">
                  <c:v>2.3957991467016739E-2</c:v>
                </c:pt>
                <c:pt idx="8">
                  <c:v>3.2819166393173612E-4</c:v>
                </c:pt>
                <c:pt idx="9">
                  <c:v>4.2664916311125701E-3</c:v>
                </c:pt>
                <c:pt idx="10">
                  <c:v>0.70134558582212014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Arua-Koboko-24h'!$C$9:$N$9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Arua-Koboko-24h'!$C$108:$N$108</c:f>
              <c:numCache>
                <c:formatCode>0.00%</c:formatCode>
                <c:ptCount val="12"/>
                <c:pt idx="0">
                  <c:v>0.51758241758241763</c:v>
                </c:pt>
                <c:pt idx="1">
                  <c:v>9.8901098901098897E-2</c:v>
                </c:pt>
                <c:pt idx="2">
                  <c:v>0.12307692307692308</c:v>
                </c:pt>
                <c:pt idx="3">
                  <c:v>6.1538461538461542E-2</c:v>
                </c:pt>
                <c:pt idx="4">
                  <c:v>5.4945054945054949E-3</c:v>
                </c:pt>
                <c:pt idx="5">
                  <c:v>4.2857142857142858E-2</c:v>
                </c:pt>
                <c:pt idx="6">
                  <c:v>5.4945054945054944E-2</c:v>
                </c:pt>
                <c:pt idx="7">
                  <c:v>8.0219780219780226E-2</c:v>
                </c:pt>
                <c:pt idx="8">
                  <c:v>1.0989010989010989E-3</c:v>
                </c:pt>
                <c:pt idx="9">
                  <c:v>1.4285714285714285E-2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Koboko-Arua'!$AE$9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Koboko-Arua'!$AE$10:$AE$21</c:f>
              <c:numCache>
                <c:formatCode>0</c:formatCode>
                <c:ptCount val="12"/>
                <c:pt idx="0">
                  <c:v>40</c:v>
                </c:pt>
                <c:pt idx="1">
                  <c:v>30</c:v>
                </c:pt>
                <c:pt idx="2">
                  <c:v>58</c:v>
                </c:pt>
                <c:pt idx="3">
                  <c:v>55</c:v>
                </c:pt>
                <c:pt idx="4">
                  <c:v>83</c:v>
                </c:pt>
                <c:pt idx="5">
                  <c:v>52</c:v>
                </c:pt>
                <c:pt idx="6">
                  <c:v>259</c:v>
                </c:pt>
                <c:pt idx="7">
                  <c:v>254</c:v>
                </c:pt>
                <c:pt idx="8">
                  <c:v>210</c:v>
                </c:pt>
                <c:pt idx="9">
                  <c:v>245</c:v>
                </c:pt>
                <c:pt idx="10">
                  <c:v>66</c:v>
                </c:pt>
                <c:pt idx="11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'04.08 Koboko-Arua'!$AF$9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Koboko-Arua'!$AF$10:$AF$21</c:f>
              <c:numCache>
                <c:formatCode>0</c:formatCode>
                <c:ptCount val="12"/>
                <c:pt idx="0">
                  <c:v>128</c:v>
                </c:pt>
                <c:pt idx="1">
                  <c:v>142</c:v>
                </c:pt>
                <c:pt idx="2">
                  <c:v>227</c:v>
                </c:pt>
                <c:pt idx="3">
                  <c:v>230</c:v>
                </c:pt>
                <c:pt idx="4">
                  <c:v>250</c:v>
                </c:pt>
                <c:pt idx="5">
                  <c:v>261</c:v>
                </c:pt>
                <c:pt idx="6">
                  <c:v>260</c:v>
                </c:pt>
                <c:pt idx="7">
                  <c:v>254</c:v>
                </c:pt>
                <c:pt idx="8">
                  <c:v>280</c:v>
                </c:pt>
                <c:pt idx="9">
                  <c:v>247</c:v>
                </c:pt>
                <c:pt idx="10">
                  <c:v>188</c:v>
                </c:pt>
                <c:pt idx="11">
                  <c:v>216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42528"/>
        <c:axId val="77544448"/>
      </c:lineChart>
      <c:catAx>
        <c:axId val="77542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544448"/>
        <c:crosses val="autoZero"/>
        <c:auto val="1"/>
        <c:lblAlgn val="ctr"/>
        <c:lblOffset val="100"/>
        <c:noMultiLvlLbl val="0"/>
      </c:catAx>
      <c:valAx>
        <c:axId val="77544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5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Koboko-Arua'!$C$59:$N$59</c:f>
              <c:numCache>
                <c:formatCode>0.0%</c:formatCode>
                <c:ptCount val="12"/>
                <c:pt idx="0">
                  <c:v>0.16362281028699216</c:v>
                </c:pt>
                <c:pt idx="1">
                  <c:v>2.6462914647782332E-2</c:v>
                </c:pt>
                <c:pt idx="2">
                  <c:v>3.0935519940365263E-2</c:v>
                </c:pt>
                <c:pt idx="3">
                  <c:v>2.6835631755497576E-2</c:v>
                </c:pt>
                <c:pt idx="4">
                  <c:v>1.2299664554603056E-2</c:v>
                </c:pt>
                <c:pt idx="5">
                  <c:v>0.26388371226239282</c:v>
                </c:pt>
                <c:pt idx="6">
                  <c:v>1.7517704062616473E-2</c:v>
                </c:pt>
                <c:pt idx="7">
                  <c:v>5.2180395080134176E-3</c:v>
                </c:pt>
                <c:pt idx="8">
                  <c:v>2.2363026462914647E-3</c:v>
                </c:pt>
                <c:pt idx="9">
                  <c:v>4.4726052925829294E-3</c:v>
                </c:pt>
                <c:pt idx="10">
                  <c:v>0.44651509504286246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Koboko-Arua'!$S$9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Koboko-Arua'!$S$10:$S$21</c:f>
              <c:numCache>
                <c:formatCode>0</c:formatCode>
                <c:ptCount val="12"/>
                <c:pt idx="0">
                  <c:v>16</c:v>
                </c:pt>
                <c:pt idx="1">
                  <c:v>17</c:v>
                </c:pt>
                <c:pt idx="2">
                  <c:v>44</c:v>
                </c:pt>
                <c:pt idx="3">
                  <c:v>27</c:v>
                </c:pt>
                <c:pt idx="4">
                  <c:v>57</c:v>
                </c:pt>
                <c:pt idx="5">
                  <c:v>25</c:v>
                </c:pt>
                <c:pt idx="6">
                  <c:v>35</c:v>
                </c:pt>
                <c:pt idx="7">
                  <c:v>29</c:v>
                </c:pt>
                <c:pt idx="8">
                  <c:v>42</c:v>
                </c:pt>
                <c:pt idx="9">
                  <c:v>52</c:v>
                </c:pt>
                <c:pt idx="10">
                  <c:v>37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'04.08 Koboko-Arua'!$T$9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Koboko-Arua'!$T$10:$T$21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3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'04.08 Koboko-Arua'!$U$9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Koboko-Arua'!$U$10:$U$21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'04.08 Koboko-Arua'!$V$9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Koboko-Arua'!$V$10:$V$21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16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'04.08 Koboko-Arua'!$W$9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'04.08 Koboko-Arua'!$X$9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  <c:pt idx="7">
                  <c:v>193</c:v>
                </c:pt>
                <c:pt idx="8">
                  <c:v>143</c:v>
                </c:pt>
                <c:pt idx="9">
                  <c:v>155</c:v>
                </c:pt>
                <c:pt idx="10">
                  <c:v>11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'04.08 Koboko-Arua'!$Y$9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'04.08 Koboko-Arua'!$Z$9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Koboko-Arua'!$Z$10:$Z$21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'04.08 Koboko-Arua'!$AA$9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'04.08 Koboko-Arua'!$AB$9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Koboko-Arua'!$AB$10:$AB$21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'04.08 Koboko-Arua'!$AC$9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Koboko-Arua'!$AC$10:$AC$21</c:f>
              <c:numCache>
                <c:formatCode>0</c:formatCode>
                <c:ptCount val="12"/>
                <c:pt idx="0">
                  <c:v>88</c:v>
                </c:pt>
                <c:pt idx="1">
                  <c:v>112</c:v>
                </c:pt>
                <c:pt idx="2">
                  <c:v>169</c:v>
                </c:pt>
                <c:pt idx="3">
                  <c:v>175</c:v>
                </c:pt>
                <c:pt idx="4">
                  <c:v>167</c:v>
                </c:pt>
                <c:pt idx="5">
                  <c:v>209</c:v>
                </c:pt>
                <c:pt idx="6">
                  <c:v>1</c:v>
                </c:pt>
                <c:pt idx="7">
                  <c:v>0</c:v>
                </c:pt>
                <c:pt idx="8">
                  <c:v>70</c:v>
                </c:pt>
                <c:pt idx="9">
                  <c:v>2</c:v>
                </c:pt>
                <c:pt idx="10">
                  <c:v>122</c:v>
                </c:pt>
                <c:pt idx="11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'04.08 Koboko-Arua'!$AD$9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Koboko-Arua'!$AD$10:$AD$21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46560"/>
        <c:axId val="78156544"/>
      </c:lineChart>
      <c:catAx>
        <c:axId val="781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156544"/>
        <c:crosses val="autoZero"/>
        <c:auto val="1"/>
        <c:lblAlgn val="ctr"/>
        <c:lblOffset val="100"/>
        <c:noMultiLvlLbl val="0"/>
      </c:catAx>
      <c:valAx>
        <c:axId val="781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14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Koboko-Arua'!$C$60:$N$60</c:f>
              <c:numCache>
                <c:formatCode>0.00%</c:formatCode>
                <c:ptCount val="12"/>
                <c:pt idx="0">
                  <c:v>0.29562289562289562</c:v>
                </c:pt>
                <c:pt idx="1">
                  <c:v>4.7811447811447812E-2</c:v>
                </c:pt>
                <c:pt idx="2">
                  <c:v>5.5892255892255889E-2</c:v>
                </c:pt>
                <c:pt idx="3">
                  <c:v>4.8484848484848485E-2</c:v>
                </c:pt>
                <c:pt idx="4">
                  <c:v>2.2222222222222223E-2</c:v>
                </c:pt>
                <c:pt idx="5">
                  <c:v>0.47676767676767678</c:v>
                </c:pt>
                <c:pt idx="6">
                  <c:v>3.164983164983165E-2</c:v>
                </c:pt>
                <c:pt idx="7">
                  <c:v>9.427609427609427E-3</c:v>
                </c:pt>
                <c:pt idx="8">
                  <c:v>4.0404040404040404E-3</c:v>
                </c:pt>
                <c:pt idx="9">
                  <c:v>8.0808080808080808E-3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Arua-Koboko'!$AE$9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Arua-Koboko'!$AE$10:$AE$21</c:f>
              <c:numCache>
                <c:formatCode>0</c:formatCode>
                <c:ptCount val="12"/>
                <c:pt idx="0">
                  <c:v>15</c:v>
                </c:pt>
                <c:pt idx="1">
                  <c:v>32</c:v>
                </c:pt>
                <c:pt idx="2">
                  <c:v>49</c:v>
                </c:pt>
                <c:pt idx="3">
                  <c:v>69</c:v>
                </c:pt>
                <c:pt idx="4">
                  <c:v>60</c:v>
                </c:pt>
                <c:pt idx="5">
                  <c:v>39</c:v>
                </c:pt>
                <c:pt idx="6">
                  <c:v>56</c:v>
                </c:pt>
                <c:pt idx="7">
                  <c:v>47</c:v>
                </c:pt>
                <c:pt idx="8">
                  <c:v>39</c:v>
                </c:pt>
                <c:pt idx="9">
                  <c:v>59</c:v>
                </c:pt>
                <c:pt idx="10">
                  <c:v>37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'04.08 Arua-Koboko'!$AF$9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Arua-Koboko'!$AF$10:$AF$21</c:f>
              <c:numCache>
                <c:formatCode>0</c:formatCode>
                <c:ptCount val="12"/>
                <c:pt idx="0">
                  <c:v>103</c:v>
                </c:pt>
                <c:pt idx="1">
                  <c:v>122</c:v>
                </c:pt>
                <c:pt idx="2">
                  <c:v>150</c:v>
                </c:pt>
                <c:pt idx="3">
                  <c:v>223</c:v>
                </c:pt>
                <c:pt idx="4">
                  <c:v>179</c:v>
                </c:pt>
                <c:pt idx="5">
                  <c:v>166</c:v>
                </c:pt>
                <c:pt idx="6">
                  <c:v>202</c:v>
                </c:pt>
                <c:pt idx="7">
                  <c:v>197</c:v>
                </c:pt>
                <c:pt idx="8">
                  <c:v>175</c:v>
                </c:pt>
                <c:pt idx="9">
                  <c:v>136</c:v>
                </c:pt>
                <c:pt idx="10">
                  <c:v>115</c:v>
                </c:pt>
                <c:pt idx="11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2848"/>
        <c:axId val="77264768"/>
      </c:lineChart>
      <c:catAx>
        <c:axId val="77262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264768"/>
        <c:crosses val="autoZero"/>
        <c:auto val="1"/>
        <c:lblAlgn val="ctr"/>
        <c:lblOffset val="100"/>
        <c:noMultiLvlLbl val="0"/>
      </c:catAx>
      <c:valAx>
        <c:axId val="77264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26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Arua-Koboko'!$C$59:$N$59</c:f>
              <c:numCache>
                <c:formatCode>0.0%</c:formatCode>
                <c:ptCount val="12"/>
                <c:pt idx="0">
                  <c:v>0.15849843587069865</c:v>
                </c:pt>
                <c:pt idx="1">
                  <c:v>1.6162669447340981E-2</c:v>
                </c:pt>
                <c:pt idx="2">
                  <c:v>3.5453597497393116E-2</c:v>
                </c:pt>
                <c:pt idx="3">
                  <c:v>1.5641293013555789E-2</c:v>
                </c:pt>
                <c:pt idx="4">
                  <c:v>3.6496350364963502E-3</c:v>
                </c:pt>
                <c:pt idx="5">
                  <c:v>1.0427528675703858E-3</c:v>
                </c:pt>
                <c:pt idx="6">
                  <c:v>2.1376433785192911E-2</c:v>
                </c:pt>
                <c:pt idx="7">
                  <c:v>1.9812304483837331E-2</c:v>
                </c:pt>
                <c:pt idx="8">
                  <c:v>2.6068821689259644E-3</c:v>
                </c:pt>
                <c:pt idx="9">
                  <c:v>1.0948905109489052E-2</c:v>
                </c:pt>
                <c:pt idx="10">
                  <c:v>0.71480709071949944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Arua-Koboko'!$C$60:$N$60</c:f>
              <c:numCache>
                <c:formatCode>0.00%</c:formatCode>
                <c:ptCount val="12"/>
                <c:pt idx="0">
                  <c:v>0.55575868372943327</c:v>
                </c:pt>
                <c:pt idx="1">
                  <c:v>5.6672760511882997E-2</c:v>
                </c:pt>
                <c:pt idx="2">
                  <c:v>0.12431444241316271</c:v>
                </c:pt>
                <c:pt idx="3">
                  <c:v>5.4844606946983544E-2</c:v>
                </c:pt>
                <c:pt idx="4">
                  <c:v>1.2797074954296161E-2</c:v>
                </c:pt>
                <c:pt idx="5">
                  <c:v>3.6563071297989031E-3</c:v>
                </c:pt>
                <c:pt idx="6">
                  <c:v>7.4954296160877509E-2</c:v>
                </c:pt>
                <c:pt idx="7">
                  <c:v>6.9469835466179158E-2</c:v>
                </c:pt>
                <c:pt idx="8">
                  <c:v>9.140767824497258E-3</c:v>
                </c:pt>
                <c:pt idx="9">
                  <c:v>3.8391224862888484E-2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Koboko-Arua'!$AE$9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Koboko-Arua'!$AE$10:$AE$21</c:f>
              <c:numCache>
                <c:formatCode>0</c:formatCode>
                <c:ptCount val="12"/>
                <c:pt idx="0">
                  <c:v>146</c:v>
                </c:pt>
                <c:pt idx="1">
                  <c:v>86</c:v>
                </c:pt>
                <c:pt idx="2">
                  <c:v>135</c:v>
                </c:pt>
                <c:pt idx="3">
                  <c:v>58</c:v>
                </c:pt>
                <c:pt idx="4">
                  <c:v>48</c:v>
                </c:pt>
                <c:pt idx="5">
                  <c:v>61</c:v>
                </c:pt>
                <c:pt idx="6">
                  <c:v>82</c:v>
                </c:pt>
                <c:pt idx="7">
                  <c:v>63</c:v>
                </c:pt>
                <c:pt idx="8">
                  <c:v>75</c:v>
                </c:pt>
                <c:pt idx="9">
                  <c:v>60</c:v>
                </c:pt>
                <c:pt idx="10">
                  <c:v>62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'05.08 Koboko-Arua'!$AF$9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Koboko-Arua'!$AF$10:$AF$21</c:f>
              <c:numCache>
                <c:formatCode>0</c:formatCode>
                <c:ptCount val="12"/>
                <c:pt idx="0">
                  <c:v>312</c:v>
                </c:pt>
                <c:pt idx="1">
                  <c:v>255</c:v>
                </c:pt>
                <c:pt idx="2">
                  <c:v>281</c:v>
                </c:pt>
                <c:pt idx="3">
                  <c:v>150</c:v>
                </c:pt>
                <c:pt idx="4">
                  <c:v>116</c:v>
                </c:pt>
                <c:pt idx="5">
                  <c:v>220</c:v>
                </c:pt>
                <c:pt idx="6">
                  <c:v>253</c:v>
                </c:pt>
                <c:pt idx="7">
                  <c:v>241</c:v>
                </c:pt>
                <c:pt idx="8">
                  <c:v>272</c:v>
                </c:pt>
                <c:pt idx="9">
                  <c:v>239</c:v>
                </c:pt>
                <c:pt idx="10">
                  <c:v>288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41376"/>
        <c:axId val="77865728"/>
      </c:lineChart>
      <c:catAx>
        <c:axId val="77941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865728"/>
        <c:crosses val="autoZero"/>
        <c:auto val="1"/>
        <c:lblAlgn val="ctr"/>
        <c:lblOffset val="100"/>
        <c:noMultiLvlLbl val="0"/>
      </c:catAx>
      <c:valAx>
        <c:axId val="77865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9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Koboko-Arua'!$C$59:$N$59</c:f>
              <c:numCache>
                <c:formatCode>0.0%</c:formatCode>
                <c:ptCount val="12"/>
                <c:pt idx="0">
                  <c:v>0.13159746657283602</c:v>
                </c:pt>
                <c:pt idx="1">
                  <c:v>4.2223786066150598E-2</c:v>
                </c:pt>
                <c:pt idx="2">
                  <c:v>5.1372273047149891E-2</c:v>
                </c:pt>
                <c:pt idx="3">
                  <c:v>5.0668543279380716E-2</c:v>
                </c:pt>
                <c:pt idx="4">
                  <c:v>1.4426460239268121E-2</c:v>
                </c:pt>
                <c:pt idx="5">
                  <c:v>1.7593244194229415E-3</c:v>
                </c:pt>
                <c:pt idx="6">
                  <c:v>2.0760028149190712E-2</c:v>
                </c:pt>
                <c:pt idx="7">
                  <c:v>7.0372976776917661E-3</c:v>
                </c:pt>
                <c:pt idx="8">
                  <c:v>1.055594651653765E-3</c:v>
                </c:pt>
                <c:pt idx="9">
                  <c:v>2.4630541871921183E-3</c:v>
                </c:pt>
                <c:pt idx="10">
                  <c:v>0.67593244194229418</c:v>
                </c:pt>
                <c:pt idx="11">
                  <c:v>7.0372976776917663E-4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Koboko-Arua'!$S$9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Koboko-Arua'!$S$10:$S$21</c:f>
              <c:numCache>
                <c:formatCode>0</c:formatCode>
                <c:ptCount val="12"/>
                <c:pt idx="0">
                  <c:v>22</c:v>
                </c:pt>
                <c:pt idx="1">
                  <c:v>19</c:v>
                </c:pt>
                <c:pt idx="2">
                  <c:v>80</c:v>
                </c:pt>
                <c:pt idx="3">
                  <c:v>26</c:v>
                </c:pt>
                <c:pt idx="4">
                  <c:v>32</c:v>
                </c:pt>
                <c:pt idx="5">
                  <c:v>33</c:v>
                </c:pt>
                <c:pt idx="6">
                  <c:v>37</c:v>
                </c:pt>
                <c:pt idx="7">
                  <c:v>33</c:v>
                </c:pt>
                <c:pt idx="8">
                  <c:v>34</c:v>
                </c:pt>
                <c:pt idx="9">
                  <c:v>28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'05.08 Koboko-Arua'!$T$9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Koboko-Arua'!$T$10:$T$21</c:f>
              <c:numCache>
                <c:formatCode>0</c:formatCode>
                <c:ptCount val="12"/>
                <c:pt idx="0">
                  <c:v>28</c:v>
                </c:pt>
                <c:pt idx="1">
                  <c:v>13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'05.08 Koboko-Arua'!$U$9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Koboko-Arua'!$U$10:$U$21</c:f>
              <c:numCache>
                <c:formatCode>0</c:formatCode>
                <c:ptCount val="12"/>
                <c:pt idx="0">
                  <c:v>32</c:v>
                </c:pt>
                <c:pt idx="1">
                  <c:v>16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'05.08 Koboko-Arua'!$V$9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Koboko-Arua'!$V$10:$V$21</c:f>
              <c:numCache>
                <c:formatCode>0</c:formatCode>
                <c:ptCount val="12"/>
                <c:pt idx="0">
                  <c:v>26</c:v>
                </c:pt>
                <c:pt idx="1">
                  <c:v>31</c:v>
                </c:pt>
                <c:pt idx="2">
                  <c:v>29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15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'05.08 Koboko-Arua'!$W$9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Koboko-Arua'!$W$10:$W$21</c:f>
              <c:numCache>
                <c:formatCode>0</c:formatCode>
                <c:ptCount val="12"/>
                <c:pt idx="0">
                  <c:v>27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'05.08 Koboko-Arua'!$X$9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'05.08 Koboko-Arua'!$Y$9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11</c:v>
                </c:pt>
                <c:pt idx="7">
                  <c:v>5</c:v>
                </c:pt>
                <c:pt idx="8">
                  <c:v>7</c:v>
                </c:pt>
                <c:pt idx="9">
                  <c:v>2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'05.08 Koboko-Arua'!$Z$9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Koboko-Arua'!$Z$10:$Z$21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'05.08 Koboko-Arua'!$AA$9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'05.08 Koboko-Arua'!$AB$9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'05.08 Koboko-Arua'!$AC$9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Koboko-Arua'!$AC$10:$AC$21</c:f>
              <c:numCache>
                <c:formatCode>0</c:formatCode>
                <c:ptCount val="12"/>
                <c:pt idx="0">
                  <c:v>166</c:v>
                </c:pt>
                <c:pt idx="1">
                  <c:v>169</c:v>
                </c:pt>
                <c:pt idx="2">
                  <c:v>146</c:v>
                </c:pt>
                <c:pt idx="3">
                  <c:v>92</c:v>
                </c:pt>
                <c:pt idx="4">
                  <c:v>68</c:v>
                </c:pt>
                <c:pt idx="5">
                  <c:v>159</c:v>
                </c:pt>
                <c:pt idx="6">
                  <c:v>171</c:v>
                </c:pt>
                <c:pt idx="7">
                  <c:v>178</c:v>
                </c:pt>
                <c:pt idx="8">
                  <c:v>197</c:v>
                </c:pt>
                <c:pt idx="9">
                  <c:v>179</c:v>
                </c:pt>
                <c:pt idx="10">
                  <c:v>226</c:v>
                </c:pt>
                <c:pt idx="1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'05.08 Koboko-Arua'!$AD$9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Koboko-Arua'!$AD$10:$AD$21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86912"/>
        <c:axId val="78088448"/>
      </c:lineChart>
      <c:catAx>
        <c:axId val="780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088448"/>
        <c:crosses val="autoZero"/>
        <c:auto val="1"/>
        <c:lblAlgn val="ctr"/>
        <c:lblOffset val="100"/>
        <c:noMultiLvlLbl val="0"/>
      </c:catAx>
      <c:valAx>
        <c:axId val="7808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0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Koboko-Arua'!$C$60:$N$60</c:f>
              <c:numCache>
                <c:formatCode>0.00%</c:formatCode>
                <c:ptCount val="12"/>
                <c:pt idx="0">
                  <c:v>0.40608034744842564</c:v>
                </c:pt>
                <c:pt idx="1">
                  <c:v>0.13029315960912052</c:v>
                </c:pt>
                <c:pt idx="2">
                  <c:v>0.15852334419109662</c:v>
                </c:pt>
                <c:pt idx="3">
                  <c:v>0.15635179153094461</c:v>
                </c:pt>
                <c:pt idx="4">
                  <c:v>4.4516829533116177E-2</c:v>
                </c:pt>
                <c:pt idx="5">
                  <c:v>5.4288816503800215E-3</c:v>
                </c:pt>
                <c:pt idx="6">
                  <c:v>6.4060803474484257E-2</c:v>
                </c:pt>
                <c:pt idx="7">
                  <c:v>2.1715526601520086E-2</c:v>
                </c:pt>
                <c:pt idx="8">
                  <c:v>3.2573289902280132E-3</c:v>
                </c:pt>
                <c:pt idx="9">
                  <c:v>7.6004343105320303E-3</c:v>
                </c:pt>
                <c:pt idx="11">
                  <c:v>2.1715526601520088E-3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Arua-Koboko'!$AE$9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Arua-Koboko'!$AE$10:$AE$21</c:f>
              <c:numCache>
                <c:formatCode>0</c:formatCode>
                <c:ptCount val="12"/>
                <c:pt idx="0">
                  <c:v>66</c:v>
                </c:pt>
                <c:pt idx="1">
                  <c:v>66</c:v>
                </c:pt>
                <c:pt idx="2">
                  <c:v>59</c:v>
                </c:pt>
                <c:pt idx="3">
                  <c:v>84</c:v>
                </c:pt>
                <c:pt idx="4">
                  <c:v>91</c:v>
                </c:pt>
                <c:pt idx="5">
                  <c:v>72</c:v>
                </c:pt>
                <c:pt idx="6">
                  <c:v>63</c:v>
                </c:pt>
                <c:pt idx="7">
                  <c:v>38</c:v>
                </c:pt>
                <c:pt idx="8">
                  <c:v>28</c:v>
                </c:pt>
                <c:pt idx="9">
                  <c:v>41</c:v>
                </c:pt>
                <c:pt idx="10">
                  <c:v>65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'05.08 Arua-Koboko'!$AF$9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Arua-Koboko'!$AF$10:$AF$21</c:f>
              <c:numCache>
                <c:formatCode>0</c:formatCode>
                <c:ptCount val="12"/>
                <c:pt idx="0">
                  <c:v>200</c:v>
                </c:pt>
                <c:pt idx="1">
                  <c:v>196</c:v>
                </c:pt>
                <c:pt idx="2">
                  <c:v>219</c:v>
                </c:pt>
                <c:pt idx="3">
                  <c:v>252</c:v>
                </c:pt>
                <c:pt idx="4">
                  <c:v>240</c:v>
                </c:pt>
                <c:pt idx="5">
                  <c:v>218</c:v>
                </c:pt>
                <c:pt idx="6">
                  <c:v>229</c:v>
                </c:pt>
                <c:pt idx="7">
                  <c:v>134</c:v>
                </c:pt>
                <c:pt idx="8">
                  <c:v>50</c:v>
                </c:pt>
                <c:pt idx="9">
                  <c:v>121</c:v>
                </c:pt>
                <c:pt idx="10">
                  <c:v>206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06880"/>
        <c:axId val="78908800"/>
      </c:lineChart>
      <c:catAx>
        <c:axId val="78906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908800"/>
        <c:crosses val="autoZero"/>
        <c:auto val="1"/>
        <c:lblAlgn val="ctr"/>
        <c:lblOffset val="100"/>
        <c:noMultiLvlLbl val="0"/>
      </c:catAx>
      <c:valAx>
        <c:axId val="78908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90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Arua-Koboko'!$C$59:$N$59</c:f>
              <c:numCache>
                <c:formatCode>0.0%</c:formatCode>
                <c:ptCount val="12"/>
                <c:pt idx="0">
                  <c:v>0.13537906137184116</c:v>
                </c:pt>
                <c:pt idx="1">
                  <c:v>2.3916967509025271E-2</c:v>
                </c:pt>
                <c:pt idx="2">
                  <c:v>7.3555956678700365E-2</c:v>
                </c:pt>
                <c:pt idx="3">
                  <c:v>2.5722021660649821E-2</c:v>
                </c:pt>
                <c:pt idx="4">
                  <c:v>9.025270758122744E-4</c:v>
                </c:pt>
                <c:pt idx="5">
                  <c:v>2.707581227436823E-3</c:v>
                </c:pt>
                <c:pt idx="6">
                  <c:v>1.9404332129963901E-2</c:v>
                </c:pt>
                <c:pt idx="7">
                  <c:v>2.1209386281588447E-2</c:v>
                </c:pt>
                <c:pt idx="8">
                  <c:v>9.025270758122744E-4</c:v>
                </c:pt>
                <c:pt idx="9">
                  <c:v>9.4765342960288802E-3</c:v>
                </c:pt>
                <c:pt idx="10">
                  <c:v>0.68637184115523464</c:v>
                </c:pt>
                <c:pt idx="11">
                  <c:v>4.512635379061372E-4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Arua-Koboko'!$S$9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Arua-Koboko'!$S$10:$S$21</c:f>
              <c:numCache>
                <c:formatCode>0</c:formatCode>
                <c:ptCount val="12"/>
                <c:pt idx="0">
                  <c:v>22</c:v>
                </c:pt>
                <c:pt idx="1">
                  <c:v>23</c:v>
                </c:pt>
                <c:pt idx="2">
                  <c:v>20</c:v>
                </c:pt>
                <c:pt idx="3">
                  <c:v>36</c:v>
                </c:pt>
                <c:pt idx="4">
                  <c:v>37</c:v>
                </c:pt>
                <c:pt idx="5">
                  <c:v>34</c:v>
                </c:pt>
                <c:pt idx="6">
                  <c:v>19</c:v>
                </c:pt>
                <c:pt idx="7">
                  <c:v>21</c:v>
                </c:pt>
                <c:pt idx="8">
                  <c:v>13</c:v>
                </c:pt>
                <c:pt idx="9">
                  <c:v>24</c:v>
                </c:pt>
                <c:pt idx="10">
                  <c:v>35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'05.08 Arua-Koboko'!$T$9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Arua-Koboko'!$T$10:$T$21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'05.08 Arua-Koboko'!$U$9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Arua-Koboko'!$U$10:$U$21</c:f>
              <c:numCache>
                <c:formatCode>0</c:formatCode>
                <c:ptCount val="12"/>
                <c:pt idx="0">
                  <c:v>24</c:v>
                </c:pt>
                <c:pt idx="1">
                  <c:v>13</c:v>
                </c:pt>
                <c:pt idx="2">
                  <c:v>21</c:v>
                </c:pt>
                <c:pt idx="3">
                  <c:v>18</c:v>
                </c:pt>
                <c:pt idx="4">
                  <c:v>27</c:v>
                </c:pt>
                <c:pt idx="5">
                  <c:v>18</c:v>
                </c:pt>
                <c:pt idx="6">
                  <c:v>16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'05.08 Arua-Koboko'!$V$9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Arua-Koboko'!$V$10:$V$21</c:f>
              <c:numCache>
                <c:formatCode>0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'05.08 Arua-Koboko'!$W$9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'05.08 Arua-Koboko'!$X$9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'05.08 Arua-Koboko'!$Y$9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Arua-Koboko'!$Y$10:$Y$21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'05.08 Arua-Koboko'!$Z$9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Arua-Koboko'!$Z$10:$Z$21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'05.08 Arua-Koboko'!$AA$9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'05.08 Arua-Koboko'!$AB$9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Arua-Koboko'!$AB$10:$AB$21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'05.08 Arua-Koboko'!$AC$9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Arua-Koboko'!$AC$10:$AC$21</c:f>
              <c:numCache>
                <c:formatCode>0</c:formatCode>
                <c:ptCount val="12"/>
                <c:pt idx="0">
                  <c:v>134</c:v>
                </c:pt>
                <c:pt idx="1">
                  <c:v>130</c:v>
                </c:pt>
                <c:pt idx="2">
                  <c:v>160</c:v>
                </c:pt>
                <c:pt idx="3">
                  <c:v>168</c:v>
                </c:pt>
                <c:pt idx="4">
                  <c:v>149</c:v>
                </c:pt>
                <c:pt idx="5">
                  <c:v>146</c:v>
                </c:pt>
                <c:pt idx="6">
                  <c:v>166</c:v>
                </c:pt>
                <c:pt idx="7">
                  <c:v>96</c:v>
                </c:pt>
                <c:pt idx="8">
                  <c:v>22</c:v>
                </c:pt>
                <c:pt idx="9">
                  <c:v>80</c:v>
                </c:pt>
                <c:pt idx="10">
                  <c:v>141</c:v>
                </c:pt>
                <c:pt idx="11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'05.08 Arua-Koboko'!$AD$9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Arua-Koboko'!$AD$10:$AD$21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51168"/>
        <c:axId val="79361152"/>
      </c:lineChart>
      <c:catAx>
        <c:axId val="7935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361152"/>
        <c:crosses val="autoZero"/>
        <c:auto val="1"/>
        <c:lblAlgn val="ctr"/>
        <c:lblOffset val="100"/>
        <c:noMultiLvlLbl val="0"/>
      </c:catAx>
      <c:valAx>
        <c:axId val="793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3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Arua-Koboko'!$C$60:$N$60</c:f>
              <c:numCache>
                <c:formatCode>0.00%</c:formatCode>
                <c:ptCount val="12"/>
                <c:pt idx="0">
                  <c:v>0.43165467625899279</c:v>
                </c:pt>
                <c:pt idx="1">
                  <c:v>7.6258992805755391E-2</c:v>
                </c:pt>
                <c:pt idx="2">
                  <c:v>0.23453237410071942</c:v>
                </c:pt>
                <c:pt idx="3">
                  <c:v>8.2014388489208639E-2</c:v>
                </c:pt>
                <c:pt idx="4">
                  <c:v>2.8776978417266188E-3</c:v>
                </c:pt>
                <c:pt idx="5">
                  <c:v>8.6330935251798559E-3</c:v>
                </c:pt>
                <c:pt idx="6">
                  <c:v>6.1870503597122303E-2</c:v>
                </c:pt>
                <c:pt idx="7">
                  <c:v>6.7625899280575538E-2</c:v>
                </c:pt>
                <c:pt idx="8">
                  <c:v>2.8776978417266188E-3</c:v>
                </c:pt>
                <c:pt idx="9">
                  <c:v>3.0215827338129497E-2</c:v>
                </c:pt>
                <c:pt idx="11">
                  <c:v>1.4388489208633094E-3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Koboko-Arua'!$AE$9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Koboko-Arua'!$AE$10:$AE$21</c:f>
              <c:numCache>
                <c:formatCode>0</c:formatCode>
                <c:ptCount val="12"/>
                <c:pt idx="0">
                  <c:v>123</c:v>
                </c:pt>
                <c:pt idx="1">
                  <c:v>66</c:v>
                </c:pt>
                <c:pt idx="2">
                  <c:v>86</c:v>
                </c:pt>
                <c:pt idx="3">
                  <c:v>56</c:v>
                </c:pt>
                <c:pt idx="4">
                  <c:v>66</c:v>
                </c:pt>
                <c:pt idx="5">
                  <c:v>82</c:v>
                </c:pt>
                <c:pt idx="6">
                  <c:v>104</c:v>
                </c:pt>
                <c:pt idx="7">
                  <c:v>50</c:v>
                </c:pt>
                <c:pt idx="8">
                  <c:v>29</c:v>
                </c:pt>
                <c:pt idx="9">
                  <c:v>110</c:v>
                </c:pt>
                <c:pt idx="10">
                  <c:v>111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'06.08 Koboko-Arua'!$AF$9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Koboko-Arua'!$AF$10:$AF$21</c:f>
              <c:numCache>
                <c:formatCode>0</c:formatCode>
                <c:ptCount val="12"/>
                <c:pt idx="0">
                  <c:v>272</c:v>
                </c:pt>
                <c:pt idx="1">
                  <c:v>173</c:v>
                </c:pt>
                <c:pt idx="2">
                  <c:v>202</c:v>
                </c:pt>
                <c:pt idx="3">
                  <c:v>203</c:v>
                </c:pt>
                <c:pt idx="4">
                  <c:v>245</c:v>
                </c:pt>
                <c:pt idx="5">
                  <c:v>254</c:v>
                </c:pt>
                <c:pt idx="6">
                  <c:v>308</c:v>
                </c:pt>
                <c:pt idx="7">
                  <c:v>216</c:v>
                </c:pt>
                <c:pt idx="8">
                  <c:v>136</c:v>
                </c:pt>
                <c:pt idx="9">
                  <c:v>216</c:v>
                </c:pt>
                <c:pt idx="10">
                  <c:v>217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59680"/>
        <c:axId val="79161600"/>
      </c:lineChart>
      <c:catAx>
        <c:axId val="79159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161600"/>
        <c:crosses val="autoZero"/>
        <c:auto val="1"/>
        <c:lblAlgn val="ctr"/>
        <c:lblOffset val="100"/>
        <c:noMultiLvlLbl val="0"/>
      </c:catAx>
      <c:valAx>
        <c:axId val="7916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1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Koboko-Arua'!$C$59:$N$59</c:f>
              <c:numCache>
                <c:formatCode>0.0%</c:formatCode>
                <c:ptCount val="12"/>
                <c:pt idx="0">
                  <c:v>0.17372881355932204</c:v>
                </c:pt>
                <c:pt idx="1">
                  <c:v>4.0446841294298923E-2</c:v>
                </c:pt>
                <c:pt idx="2">
                  <c:v>4.7765793528505393E-2</c:v>
                </c:pt>
                <c:pt idx="3">
                  <c:v>5.9707241910631738E-2</c:v>
                </c:pt>
                <c:pt idx="4">
                  <c:v>9.6302003081664093E-3</c:v>
                </c:pt>
                <c:pt idx="5">
                  <c:v>3.852080123266564E-3</c:v>
                </c:pt>
                <c:pt idx="6">
                  <c:v>2.5038520801232665E-2</c:v>
                </c:pt>
                <c:pt idx="7">
                  <c:v>2.6964560862865949E-3</c:v>
                </c:pt>
                <c:pt idx="8">
                  <c:v>0</c:v>
                </c:pt>
                <c:pt idx="9">
                  <c:v>0</c:v>
                </c:pt>
                <c:pt idx="10">
                  <c:v>0.63713405238828968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Koboko-Arua'!$S$9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Koboko-Arua'!$S$10:$S$21</c:f>
              <c:numCache>
                <c:formatCode>0</c:formatCode>
                <c:ptCount val="12"/>
                <c:pt idx="0">
                  <c:v>32</c:v>
                </c:pt>
                <c:pt idx="1">
                  <c:v>37</c:v>
                </c:pt>
                <c:pt idx="2">
                  <c:v>68</c:v>
                </c:pt>
                <c:pt idx="3">
                  <c:v>25</c:v>
                </c:pt>
                <c:pt idx="4">
                  <c:v>23</c:v>
                </c:pt>
                <c:pt idx="5">
                  <c:v>40</c:v>
                </c:pt>
                <c:pt idx="6">
                  <c:v>49</c:v>
                </c:pt>
                <c:pt idx="7">
                  <c:v>20</c:v>
                </c:pt>
                <c:pt idx="8">
                  <c:v>17</c:v>
                </c:pt>
                <c:pt idx="9">
                  <c:v>68</c:v>
                </c:pt>
                <c:pt idx="10">
                  <c:v>44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'06.08 Koboko-Arua'!$T$9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Koboko-Arua'!$R$10:$R$21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Koboko-Arua'!$T$10:$T$21</c:f>
              <c:numCache>
                <c:formatCode>0</c:formatCode>
                <c:ptCount val="12"/>
                <c:pt idx="0">
                  <c:v>26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9</c:v>
                </c:pt>
                <c:pt idx="8">
                  <c:v>3</c:v>
                </c:pt>
                <c:pt idx="9">
                  <c:v>12</c:v>
                </c:pt>
                <c:pt idx="10">
                  <c:v>13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'06.08 Koboko-Arua'!$U$9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Koboko-Arua'!$U$10:$U$21</c:f>
              <c:numCache>
                <c:formatCode>0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4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13</c:v>
                </c:pt>
                <c:pt idx="7">
                  <c:v>9</c:v>
                </c:pt>
                <c:pt idx="8">
                  <c:v>4</c:v>
                </c:pt>
                <c:pt idx="9">
                  <c:v>13</c:v>
                </c:pt>
                <c:pt idx="10">
                  <c:v>14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'06.08 Koboko-Arua'!$V$9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Koboko-Arua'!$V$10:$V$21</c:f>
              <c:numCache>
                <c:formatCode>0</c:formatCode>
                <c:ptCount val="12"/>
                <c:pt idx="0">
                  <c:v>17</c:v>
                </c:pt>
                <c:pt idx="1">
                  <c:v>19</c:v>
                </c:pt>
                <c:pt idx="2">
                  <c:v>9</c:v>
                </c:pt>
                <c:pt idx="3">
                  <c:v>5</c:v>
                </c:pt>
                <c:pt idx="4">
                  <c:v>14</c:v>
                </c:pt>
                <c:pt idx="5">
                  <c:v>6</c:v>
                </c:pt>
                <c:pt idx="6">
                  <c:v>14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29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'06.08 Koboko-Arua'!$W$9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Koboko-Arua'!$W$10:$W$21</c:f>
              <c:numCache>
                <c:formatCode>0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9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'06.08 Koboko-Arua'!$X$9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Koboko-Arua'!$X$10:$X$21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'06.08 Koboko-Arua'!$Y$9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Koboko-Arua'!$Y$10:$Y$21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17</c:v>
                </c:pt>
                <c:pt idx="6">
                  <c:v>15</c:v>
                </c:pt>
                <c:pt idx="7">
                  <c:v>6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'06.08 Koboko-Arua'!$Z$9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'06.08 Koboko-Arua'!$AA$9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'06.08 Koboko-Arua'!$AB$9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'06.08 Koboko-Arua'!$AC$9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Koboko-Arua'!$AC$10:$AC$21</c:f>
              <c:numCache>
                <c:formatCode>0</c:formatCode>
                <c:ptCount val="12"/>
                <c:pt idx="0">
                  <c:v>149</c:v>
                </c:pt>
                <c:pt idx="1">
                  <c:v>107</c:v>
                </c:pt>
                <c:pt idx="2">
                  <c:v>116</c:v>
                </c:pt>
                <c:pt idx="3">
                  <c:v>147</c:v>
                </c:pt>
                <c:pt idx="4">
                  <c:v>179</c:v>
                </c:pt>
                <c:pt idx="5">
                  <c:v>172</c:v>
                </c:pt>
                <c:pt idx="6">
                  <c:v>204</c:v>
                </c:pt>
                <c:pt idx="7">
                  <c:v>166</c:v>
                </c:pt>
                <c:pt idx="8">
                  <c:v>107</c:v>
                </c:pt>
                <c:pt idx="9">
                  <c:v>106</c:v>
                </c:pt>
                <c:pt idx="10">
                  <c:v>106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'06.08 Koboko-Arua'!$AD$9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Koboko-Arua'!$AD$10:$AD$21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6128"/>
        <c:axId val="78426112"/>
      </c:lineChart>
      <c:catAx>
        <c:axId val="7841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426112"/>
        <c:crosses val="autoZero"/>
        <c:auto val="1"/>
        <c:lblAlgn val="ctr"/>
        <c:lblOffset val="100"/>
        <c:noMultiLvlLbl val="0"/>
      </c:catAx>
      <c:valAx>
        <c:axId val="784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4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Koboko-Arua'!$C$60:$N$60</c:f>
              <c:numCache>
                <c:formatCode>0.00%</c:formatCode>
                <c:ptCount val="12"/>
                <c:pt idx="0">
                  <c:v>0.47876857749469215</c:v>
                </c:pt>
                <c:pt idx="1">
                  <c:v>0.11146496815286625</c:v>
                </c:pt>
                <c:pt idx="2">
                  <c:v>0.1316348195329087</c:v>
                </c:pt>
                <c:pt idx="3">
                  <c:v>0.16454352441613587</c:v>
                </c:pt>
                <c:pt idx="4">
                  <c:v>2.6539278131634821E-2</c:v>
                </c:pt>
                <c:pt idx="5">
                  <c:v>1.0615711252653927E-2</c:v>
                </c:pt>
                <c:pt idx="6">
                  <c:v>6.9002123142250529E-2</c:v>
                </c:pt>
                <c:pt idx="7">
                  <c:v>7.4309978768577496E-3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Arua-Koboko'!$AE$9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Arua-Koboko'!$AE$10:$AE$21</c:f>
              <c:numCache>
                <c:formatCode>0</c:formatCode>
                <c:ptCount val="12"/>
                <c:pt idx="0">
                  <c:v>121</c:v>
                </c:pt>
                <c:pt idx="1">
                  <c:v>97</c:v>
                </c:pt>
                <c:pt idx="2">
                  <c:v>71</c:v>
                </c:pt>
                <c:pt idx="3">
                  <c:v>83</c:v>
                </c:pt>
                <c:pt idx="4">
                  <c:v>83</c:v>
                </c:pt>
                <c:pt idx="5">
                  <c:v>88</c:v>
                </c:pt>
                <c:pt idx="6">
                  <c:v>45</c:v>
                </c:pt>
                <c:pt idx="7">
                  <c:v>55</c:v>
                </c:pt>
                <c:pt idx="8">
                  <c:v>67</c:v>
                </c:pt>
                <c:pt idx="9">
                  <c:v>58</c:v>
                </c:pt>
                <c:pt idx="10">
                  <c:v>48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'06.08 Arua-Koboko'!$AF$9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Arua-Koboko'!$AF$10:$AF$21</c:f>
              <c:numCache>
                <c:formatCode>0</c:formatCode>
                <c:ptCount val="12"/>
                <c:pt idx="0">
                  <c:v>281</c:v>
                </c:pt>
                <c:pt idx="1">
                  <c:v>231</c:v>
                </c:pt>
                <c:pt idx="2">
                  <c:v>208</c:v>
                </c:pt>
                <c:pt idx="3">
                  <c:v>262</c:v>
                </c:pt>
                <c:pt idx="4">
                  <c:v>245</c:v>
                </c:pt>
                <c:pt idx="5">
                  <c:v>217</c:v>
                </c:pt>
                <c:pt idx="6">
                  <c:v>196</c:v>
                </c:pt>
                <c:pt idx="7">
                  <c:v>180</c:v>
                </c:pt>
                <c:pt idx="8">
                  <c:v>210</c:v>
                </c:pt>
                <c:pt idx="9">
                  <c:v>218</c:v>
                </c:pt>
                <c:pt idx="10">
                  <c:v>149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76064"/>
        <c:axId val="79428992"/>
      </c:lineChart>
      <c:catAx>
        <c:axId val="79176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428992"/>
        <c:crosses val="autoZero"/>
        <c:auto val="1"/>
        <c:lblAlgn val="ctr"/>
        <c:lblOffset val="100"/>
        <c:noMultiLvlLbl val="0"/>
      </c:catAx>
      <c:valAx>
        <c:axId val="79428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1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Arua-Koboko'!$C$59:$N$59</c:f>
              <c:numCache>
                <c:formatCode>0.0%</c:formatCode>
                <c:ptCount val="12"/>
                <c:pt idx="0">
                  <c:v>0.14701378254211334</c:v>
                </c:pt>
                <c:pt idx="1">
                  <c:v>2.2970903522205207E-2</c:v>
                </c:pt>
                <c:pt idx="2">
                  <c:v>7.0444104134762639E-2</c:v>
                </c:pt>
                <c:pt idx="3">
                  <c:v>3.0627871362940276E-2</c:v>
                </c:pt>
                <c:pt idx="4">
                  <c:v>6.1255742725880554E-3</c:v>
                </c:pt>
                <c:pt idx="5">
                  <c:v>2.2970903522205209E-3</c:v>
                </c:pt>
                <c:pt idx="6">
                  <c:v>2.9096477794793262E-2</c:v>
                </c:pt>
                <c:pt idx="7">
                  <c:v>1.7993874425727412E-2</c:v>
                </c:pt>
                <c:pt idx="8">
                  <c:v>7.6569678407350692E-4</c:v>
                </c:pt>
                <c:pt idx="9">
                  <c:v>9.954058192955589E-3</c:v>
                </c:pt>
                <c:pt idx="10">
                  <c:v>0.66271056661562022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Arua-Koboko'!$S$9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Arua-Koboko'!$S$10:$S$21</c:f>
              <c:numCache>
                <c:formatCode>0</c:formatCode>
                <c:ptCount val="12"/>
                <c:pt idx="0">
                  <c:v>70</c:v>
                </c:pt>
                <c:pt idx="1">
                  <c:v>43</c:v>
                </c:pt>
                <c:pt idx="2">
                  <c:v>23</c:v>
                </c:pt>
                <c:pt idx="3">
                  <c:v>25</c:v>
                </c:pt>
                <c:pt idx="4">
                  <c:v>41</c:v>
                </c:pt>
                <c:pt idx="5">
                  <c:v>31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32</c:v>
                </c:pt>
                <c:pt idx="10">
                  <c:v>20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'06.08 Arua-Koboko'!$T$9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Arua-Koboko'!$R$10:$R$21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Arua-Koboko'!$T$10:$T$21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'06.08 Arua-Koboko'!$U$9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Arua-Koboko'!$U$10:$U$21</c:f>
              <c:numCache>
                <c:formatCode>0</c:formatCode>
                <c:ptCount val="12"/>
                <c:pt idx="0">
                  <c:v>17</c:v>
                </c:pt>
                <c:pt idx="1">
                  <c:v>22</c:v>
                </c:pt>
                <c:pt idx="2">
                  <c:v>22</c:v>
                </c:pt>
                <c:pt idx="3">
                  <c:v>25</c:v>
                </c:pt>
                <c:pt idx="4">
                  <c:v>20</c:v>
                </c:pt>
                <c:pt idx="5">
                  <c:v>22</c:v>
                </c:pt>
                <c:pt idx="6">
                  <c:v>8</c:v>
                </c:pt>
                <c:pt idx="7">
                  <c:v>11</c:v>
                </c:pt>
                <c:pt idx="8">
                  <c:v>14</c:v>
                </c:pt>
                <c:pt idx="9">
                  <c:v>5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'06.08 Arua-Koboko'!$V$9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Arua-Koboko'!$V$10:$V$21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4</c:v>
                </c:pt>
                <c:pt idx="5">
                  <c:v>13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'06.08 Arua-Koboko'!$W$9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Arua-Koboko'!$W$10:$W$21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'06.08 Arua-Koboko'!$X$9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'06.08 Arua-Koboko'!$Y$9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Arua-Koboko'!$Y$10:$Y$21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'06.08 Arua-Koboko'!$Z$9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Arua-Koboko'!$Z$10:$Z$21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'06.08 Arua-Koboko'!$AA$9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'06.08 Arua-Koboko'!$AB$9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Arua-Koboko'!$AB$10:$AB$21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'06.08 Arua-Koboko'!$AC$9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Arua-Koboko'!$AC$10:$AC$21</c:f>
              <c:numCache>
                <c:formatCode>0</c:formatCode>
                <c:ptCount val="12"/>
                <c:pt idx="0">
                  <c:v>160</c:v>
                </c:pt>
                <c:pt idx="1">
                  <c:v>134</c:v>
                </c:pt>
                <c:pt idx="2">
                  <c:v>137</c:v>
                </c:pt>
                <c:pt idx="3">
                  <c:v>179</c:v>
                </c:pt>
                <c:pt idx="4">
                  <c:v>162</c:v>
                </c:pt>
                <c:pt idx="5">
                  <c:v>129</c:v>
                </c:pt>
                <c:pt idx="6">
                  <c:v>151</c:v>
                </c:pt>
                <c:pt idx="7">
                  <c:v>125</c:v>
                </c:pt>
                <c:pt idx="8">
                  <c:v>143</c:v>
                </c:pt>
                <c:pt idx="9">
                  <c:v>160</c:v>
                </c:pt>
                <c:pt idx="10">
                  <c:v>101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'06.08 Arua-Koboko'!$AD$9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Arua-Koboko'!$AD$10:$AD$21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09024"/>
        <c:axId val="80210560"/>
      </c:lineChart>
      <c:catAx>
        <c:axId val="8020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10560"/>
        <c:crosses val="autoZero"/>
        <c:auto val="1"/>
        <c:lblAlgn val="ctr"/>
        <c:lblOffset val="100"/>
        <c:noMultiLvlLbl val="0"/>
      </c:catAx>
      <c:valAx>
        <c:axId val="802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Arua-Koboko'!$C$60:$N$60</c:f>
              <c:numCache>
                <c:formatCode>0.00%</c:formatCode>
                <c:ptCount val="12"/>
                <c:pt idx="0">
                  <c:v>0.43586833144154369</c:v>
                </c:pt>
                <c:pt idx="1">
                  <c:v>6.8104426787741201E-2</c:v>
                </c:pt>
                <c:pt idx="2">
                  <c:v>0.20885357548240635</c:v>
                </c:pt>
                <c:pt idx="3">
                  <c:v>9.0805902383654935E-2</c:v>
                </c:pt>
                <c:pt idx="4">
                  <c:v>1.8161180476730987E-2</c:v>
                </c:pt>
                <c:pt idx="5">
                  <c:v>6.8104426787741201E-3</c:v>
                </c:pt>
                <c:pt idx="6">
                  <c:v>8.6265607264472188E-2</c:v>
                </c:pt>
                <c:pt idx="7">
                  <c:v>5.3348467650397274E-2</c:v>
                </c:pt>
                <c:pt idx="8">
                  <c:v>2.2701475595913734E-3</c:v>
                </c:pt>
                <c:pt idx="9">
                  <c:v>2.9511918274687854E-2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Koboko-Arua'!$AE$9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Koboko-Arua'!$R$10:$R$33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Koboko-Arua'!$AE$10:$AE$33</c:f>
              <c:numCache>
                <c:formatCode>0</c:formatCode>
                <c:ptCount val="24"/>
                <c:pt idx="0">
                  <c:v>59.428571428571431</c:v>
                </c:pt>
                <c:pt idx="1">
                  <c:v>53.857142857142854</c:v>
                </c:pt>
                <c:pt idx="2">
                  <c:v>75.428571428571431</c:v>
                </c:pt>
                <c:pt idx="3">
                  <c:v>60.404761904761898</c:v>
                </c:pt>
                <c:pt idx="4">
                  <c:v>64.142857142857139</c:v>
                </c:pt>
                <c:pt idx="5">
                  <c:v>69.857142857142847</c:v>
                </c:pt>
                <c:pt idx="6">
                  <c:v>103.57142857142858</c:v>
                </c:pt>
                <c:pt idx="7">
                  <c:v>85.571428571428555</c:v>
                </c:pt>
                <c:pt idx="8">
                  <c:v>93.428571428571416</c:v>
                </c:pt>
                <c:pt idx="9">
                  <c:v>100.14285714285714</c:v>
                </c:pt>
                <c:pt idx="10">
                  <c:v>81.428571428571416</c:v>
                </c:pt>
                <c:pt idx="11">
                  <c:v>70.571428571428569</c:v>
                </c:pt>
                <c:pt idx="12">
                  <c:v>127</c:v>
                </c:pt>
                <c:pt idx="13">
                  <c:v>86.5</c:v>
                </c:pt>
                <c:pt idx="14">
                  <c:v>68.5</c:v>
                </c:pt>
                <c:pt idx="15">
                  <c:v>18</c:v>
                </c:pt>
                <c:pt idx="16">
                  <c:v>10</c:v>
                </c:pt>
                <c:pt idx="17">
                  <c:v>3</c:v>
                </c:pt>
                <c:pt idx="18">
                  <c:v>2.5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0.5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Koboko-Arua'!$AF$9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Koboko-Arua'!$R$10:$R$33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Koboko-Arua'!$AF$10:$AF$33</c:f>
              <c:numCache>
                <c:formatCode>0</c:formatCode>
                <c:ptCount val="24"/>
                <c:pt idx="0">
                  <c:v>185.57142857142856</c:v>
                </c:pt>
                <c:pt idx="1">
                  <c:v>189.85714285714286</c:v>
                </c:pt>
                <c:pt idx="2">
                  <c:v>201.42857142857142</c:v>
                </c:pt>
                <c:pt idx="3">
                  <c:v>204.26190476190476</c:v>
                </c:pt>
                <c:pt idx="4">
                  <c:v>200.71428571428572</c:v>
                </c:pt>
                <c:pt idx="5">
                  <c:v>235.71428571428572</c:v>
                </c:pt>
                <c:pt idx="6">
                  <c:v>218.28571428571428</c:v>
                </c:pt>
                <c:pt idx="7">
                  <c:v>208.57142857142858</c:v>
                </c:pt>
                <c:pt idx="8">
                  <c:v>217.71428571428572</c:v>
                </c:pt>
                <c:pt idx="9">
                  <c:v>214.14285714285717</c:v>
                </c:pt>
                <c:pt idx="10">
                  <c:v>234.28571428571428</c:v>
                </c:pt>
                <c:pt idx="11">
                  <c:v>179.42857142857144</c:v>
                </c:pt>
                <c:pt idx="12">
                  <c:v>320.5</c:v>
                </c:pt>
                <c:pt idx="13">
                  <c:v>266</c:v>
                </c:pt>
                <c:pt idx="14">
                  <c:v>159.5</c:v>
                </c:pt>
                <c:pt idx="15">
                  <c:v>76.5</c:v>
                </c:pt>
                <c:pt idx="16">
                  <c:v>32</c:v>
                </c:pt>
                <c:pt idx="17">
                  <c:v>11</c:v>
                </c:pt>
                <c:pt idx="18">
                  <c:v>10.5</c:v>
                </c:pt>
                <c:pt idx="19">
                  <c:v>3</c:v>
                </c:pt>
                <c:pt idx="20">
                  <c:v>3.5</c:v>
                </c:pt>
                <c:pt idx="21">
                  <c:v>5</c:v>
                </c:pt>
                <c:pt idx="22">
                  <c:v>11.5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09376"/>
        <c:axId val="79511552"/>
      </c:lineChart>
      <c:catAx>
        <c:axId val="79509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511552"/>
        <c:crosses val="autoZero"/>
        <c:auto val="1"/>
        <c:lblAlgn val="ctr"/>
        <c:lblOffset val="100"/>
        <c:noMultiLvlLbl val="0"/>
      </c:catAx>
      <c:valAx>
        <c:axId val="79511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50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Koboko-Arua'!$C$107:$N$107</c:f>
              <c:numCache>
                <c:formatCode>0.0%</c:formatCode>
                <c:ptCount val="12"/>
                <c:pt idx="0">
                  <c:v>0.1331290666850278</c:v>
                </c:pt>
                <c:pt idx="1">
                  <c:v>3.0653768031121974E-2</c:v>
                </c:pt>
                <c:pt idx="2">
                  <c:v>6.1782628154370509E-2</c:v>
                </c:pt>
                <c:pt idx="3">
                  <c:v>4.3522566874376029E-2</c:v>
                </c:pt>
                <c:pt idx="4">
                  <c:v>1.0617275450132548E-2</c:v>
                </c:pt>
                <c:pt idx="5">
                  <c:v>3.2636761111302377E-2</c:v>
                </c:pt>
                <c:pt idx="6">
                  <c:v>2.8588150239267401E-2</c:v>
                </c:pt>
                <c:pt idx="7">
                  <c:v>1.0341859744551934E-2</c:v>
                </c:pt>
                <c:pt idx="8">
                  <c:v>3.2430199332116921E-3</c:v>
                </c:pt>
                <c:pt idx="9">
                  <c:v>4.5443591420800782E-3</c:v>
                </c:pt>
                <c:pt idx="10">
                  <c:v>0.64058938960994249</c:v>
                </c:pt>
                <c:pt idx="11">
                  <c:v>3.511550246152787E-4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Koboko-Arua'!$C$9:$N$9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Koboko-Arua'!$C$108:$N$108</c:f>
              <c:numCache>
                <c:formatCode>0.00%</c:formatCode>
                <c:ptCount val="12"/>
                <c:pt idx="0">
                  <c:v>0.37040939481599278</c:v>
                </c:pt>
                <c:pt idx="1">
                  <c:v>8.5288990210540414E-2</c:v>
                </c:pt>
                <c:pt idx="2">
                  <c:v>0.17189984482461348</c:v>
                </c:pt>
                <c:pt idx="3">
                  <c:v>0.12109427383666355</c:v>
                </c:pt>
                <c:pt idx="4">
                  <c:v>2.9540795800685839E-2</c:v>
                </c:pt>
                <c:pt idx="5">
                  <c:v>9.0806337286154892E-2</c:v>
                </c:pt>
                <c:pt idx="6">
                  <c:v>7.9541753673442017E-2</c:v>
                </c:pt>
                <c:pt idx="7">
                  <c:v>2.8774497595739378E-2</c:v>
                </c:pt>
                <c:pt idx="8">
                  <c:v>9.0231613632445057E-3</c:v>
                </c:pt>
                <c:pt idx="9">
                  <c:v>1.2643920381616505E-2</c:v>
                </c:pt>
                <c:pt idx="11">
                  <c:v>9.7703021130672975E-4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Arua-Koboko'!$AE$9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Arua-Koboko'!$R$10:$R$33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Arua-Koboko'!$AE$10:$AE$33</c:f>
              <c:numCache>
                <c:formatCode>0</c:formatCode>
                <c:ptCount val="24"/>
                <c:pt idx="0">
                  <c:v>55.857142857142847</c:v>
                </c:pt>
                <c:pt idx="1">
                  <c:v>62.571428571428577</c:v>
                </c:pt>
                <c:pt idx="2">
                  <c:v>65.476190476190482</c:v>
                </c:pt>
                <c:pt idx="3">
                  <c:v>74</c:v>
                </c:pt>
                <c:pt idx="4">
                  <c:v>68.738095238095241</c:v>
                </c:pt>
                <c:pt idx="5">
                  <c:v>64.857142857142861</c:v>
                </c:pt>
                <c:pt idx="6">
                  <c:v>51.419047619047625</c:v>
                </c:pt>
                <c:pt idx="7">
                  <c:v>52.857142857142854</c:v>
                </c:pt>
                <c:pt idx="8">
                  <c:v>52.452380952380956</c:v>
                </c:pt>
                <c:pt idx="9">
                  <c:v>55.952380952380949</c:v>
                </c:pt>
                <c:pt idx="10">
                  <c:v>71.714285714285722</c:v>
                </c:pt>
                <c:pt idx="11">
                  <c:v>47</c:v>
                </c:pt>
                <c:pt idx="12">
                  <c:v>49</c:v>
                </c:pt>
                <c:pt idx="13">
                  <c:v>34</c:v>
                </c:pt>
                <c:pt idx="14">
                  <c:v>12</c:v>
                </c:pt>
                <c:pt idx="15">
                  <c:v>9</c:v>
                </c:pt>
                <c:pt idx="16">
                  <c:v>3</c:v>
                </c:pt>
                <c:pt idx="17">
                  <c:v>3</c:v>
                </c:pt>
                <c:pt idx="18">
                  <c:v>3.5</c:v>
                </c:pt>
                <c:pt idx="19">
                  <c:v>2.5</c:v>
                </c:pt>
                <c:pt idx="20">
                  <c:v>1.5</c:v>
                </c:pt>
                <c:pt idx="21">
                  <c:v>3</c:v>
                </c:pt>
                <c:pt idx="22">
                  <c:v>6</c:v>
                </c:pt>
                <c:pt idx="23">
                  <c:v>22.5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Arua-Koboko'!$AF$9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Arua-Koboko'!$R$10:$R$33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Arua-Koboko'!$AF$10:$AF$33</c:f>
              <c:numCache>
                <c:formatCode>0</c:formatCode>
                <c:ptCount val="24"/>
                <c:pt idx="0">
                  <c:v>170.28571428571428</c:v>
                </c:pt>
                <c:pt idx="1">
                  <c:v>167.57142857142858</c:v>
                </c:pt>
                <c:pt idx="2">
                  <c:v>191.33333333333331</c:v>
                </c:pt>
                <c:pt idx="3">
                  <c:v>230.71428571428572</c:v>
                </c:pt>
                <c:pt idx="4">
                  <c:v>201.88095238095241</c:v>
                </c:pt>
                <c:pt idx="5">
                  <c:v>199</c:v>
                </c:pt>
                <c:pt idx="6">
                  <c:v>183.56190476190477</c:v>
                </c:pt>
                <c:pt idx="7">
                  <c:v>186.14285714285714</c:v>
                </c:pt>
                <c:pt idx="8">
                  <c:v>159.3095238095238</c:v>
                </c:pt>
                <c:pt idx="9">
                  <c:v>162.8095238095238</c:v>
                </c:pt>
                <c:pt idx="10">
                  <c:v>194.28571428571428</c:v>
                </c:pt>
                <c:pt idx="11">
                  <c:v>168.57142857142856</c:v>
                </c:pt>
                <c:pt idx="12">
                  <c:v>233.5</c:v>
                </c:pt>
                <c:pt idx="13">
                  <c:v>201</c:v>
                </c:pt>
                <c:pt idx="14">
                  <c:v>107.5</c:v>
                </c:pt>
                <c:pt idx="15">
                  <c:v>55.5</c:v>
                </c:pt>
                <c:pt idx="16">
                  <c:v>29</c:v>
                </c:pt>
                <c:pt idx="17">
                  <c:v>20</c:v>
                </c:pt>
                <c:pt idx="18">
                  <c:v>12.5</c:v>
                </c:pt>
                <c:pt idx="19">
                  <c:v>4.5</c:v>
                </c:pt>
                <c:pt idx="20">
                  <c:v>7.5</c:v>
                </c:pt>
                <c:pt idx="21">
                  <c:v>7</c:v>
                </c:pt>
                <c:pt idx="22">
                  <c:v>16</c:v>
                </c:pt>
                <c:pt idx="23">
                  <c:v>58.5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64416"/>
        <c:axId val="81566336"/>
      </c:lineChart>
      <c:catAx>
        <c:axId val="81564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566336"/>
        <c:crosses val="autoZero"/>
        <c:auto val="1"/>
        <c:lblAlgn val="ctr"/>
        <c:lblOffset val="100"/>
        <c:noMultiLvlLbl val="0"/>
      </c:catAx>
      <c:valAx>
        <c:axId val="81566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5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Arua-Koboko'!$C$107:$N$107</c:f>
              <c:numCache>
                <c:formatCode>0.0%</c:formatCode>
                <c:ptCount val="12"/>
                <c:pt idx="0">
                  <c:v>0.14678158688086926</c:v>
                </c:pt>
                <c:pt idx="1">
                  <c:v>2.0071461462312666E-2</c:v>
                </c:pt>
                <c:pt idx="2">
                  <c:v>4.0527986933494638E-2</c:v>
                </c:pt>
                <c:pt idx="3">
                  <c:v>2.1539517996126901E-2</c:v>
                </c:pt>
                <c:pt idx="4">
                  <c:v>3.1767780731717897E-3</c:v>
                </c:pt>
                <c:pt idx="5">
                  <c:v>9.8191322261673483E-3</c:v>
                </c:pt>
                <c:pt idx="6">
                  <c:v>2.1796227335373113E-2</c:v>
                </c:pt>
                <c:pt idx="7">
                  <c:v>1.9835609756880219E-2</c:v>
                </c:pt>
                <c:pt idx="8">
                  <c:v>1.8531205426835435E-3</c:v>
                </c:pt>
                <c:pt idx="9">
                  <c:v>7.6772136768318237E-3</c:v>
                </c:pt>
                <c:pt idx="10">
                  <c:v>0.70623145876686477</c:v>
                </c:pt>
                <c:pt idx="11">
                  <c:v>6.8990634922417638E-4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Arua-Koboko'!$C$9:$N$9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Arua-Koboko'!$C$108:$N$108</c:f>
              <c:numCache>
                <c:formatCode>0.00%</c:formatCode>
                <c:ptCount val="12"/>
                <c:pt idx="0">
                  <c:v>0.49965046040917988</c:v>
                </c:pt>
                <c:pt idx="1">
                  <c:v>6.832406689313919E-2</c:v>
                </c:pt>
                <c:pt idx="2">
                  <c:v>0.1379589072518542</c:v>
                </c:pt>
                <c:pt idx="3">
                  <c:v>7.3321390730646974E-2</c:v>
                </c:pt>
                <c:pt idx="4">
                  <c:v>1.0813881091000451E-2</c:v>
                </c:pt>
                <c:pt idx="5">
                  <c:v>3.3424723372183204E-2</c:v>
                </c:pt>
                <c:pt idx="6">
                  <c:v>7.4195239707697536E-2</c:v>
                </c:pt>
                <c:pt idx="7">
                  <c:v>6.752121814547403E-2</c:v>
                </c:pt>
                <c:pt idx="8">
                  <c:v>6.3080973030835942E-3</c:v>
                </c:pt>
                <c:pt idx="9">
                  <c:v>2.6133545969917751E-2</c:v>
                </c:pt>
                <c:pt idx="11">
                  <c:v>2.3484691258233298E-3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Arua-Koboko-2Dir'!$C$9:$N$9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Arua-Koboko-2Dir'!$C$107:$N$107</c:f>
              <c:numCache>
                <c:formatCode>0.0%</c:formatCode>
                <c:ptCount val="12"/>
                <c:pt idx="0">
                  <c:v>0.13943479111458906</c:v>
                </c:pt>
                <c:pt idx="1">
                  <c:v>2.5766091023885319E-2</c:v>
                </c:pt>
                <c:pt idx="2">
                  <c:v>5.1965692638767852E-2</c:v>
                </c:pt>
                <c:pt idx="3">
                  <c:v>3.3369199850605581E-2</c:v>
                </c:pt>
                <c:pt idx="4">
                  <c:v>7.1807138919024677E-3</c:v>
                </c:pt>
                <c:pt idx="5">
                  <c:v>2.2097924484678181E-2</c:v>
                </c:pt>
                <c:pt idx="6">
                  <c:v>2.5451147432135213E-2</c:v>
                </c:pt>
                <c:pt idx="7">
                  <c:v>1.4726762350235061E-2</c:v>
                </c:pt>
                <c:pt idx="8">
                  <c:v>2.6010635459832463E-3</c:v>
                </c:pt>
                <c:pt idx="9">
                  <c:v>5.9913386807049973E-3</c:v>
                </c:pt>
                <c:pt idx="10">
                  <c:v>0.67090766002098634</c:v>
                </c:pt>
                <c:pt idx="11">
                  <c:v>5.0761496552664495E-4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Arua-Koboko-2Dir'!$C$9:$N$9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Arua-Koboko-2Dir'!$C$108:$N$108</c:f>
              <c:numCache>
                <c:formatCode>0.00%</c:formatCode>
                <c:ptCount val="12"/>
                <c:pt idx="0">
                  <c:v>0.42369503685038934</c:v>
                </c:pt>
                <c:pt idx="1">
                  <c:v>7.8294411305739997E-2</c:v>
                </c:pt>
                <c:pt idx="2">
                  <c:v>0.15790611425985096</c:v>
                </c:pt>
                <c:pt idx="3">
                  <c:v>0.1013976802156305</c:v>
                </c:pt>
                <c:pt idx="4">
                  <c:v>2.1819753970452133E-2</c:v>
                </c:pt>
                <c:pt idx="5">
                  <c:v>6.7148097357985811E-2</c:v>
                </c:pt>
                <c:pt idx="6">
                  <c:v>7.7337404552649994E-2</c:v>
                </c:pt>
                <c:pt idx="7">
                  <c:v>4.4749635774488671E-2</c:v>
                </c:pt>
                <c:pt idx="8">
                  <c:v>7.9037498902256934E-3</c:v>
                </c:pt>
                <c:pt idx="9">
                  <c:v>1.8205646114665162E-2</c:v>
                </c:pt>
                <c:pt idx="11">
                  <c:v>1.5424697079215385E-3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Arua-Koboko-2Dir'!$AE$9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Arua-Koboko-2Dir'!$R$10:$R$33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Arua-Koboko-2Dir'!$AE$10:$AE$33</c:f>
              <c:numCache>
                <c:formatCode>0</c:formatCode>
                <c:ptCount val="24"/>
                <c:pt idx="0">
                  <c:v>115.28571428571429</c:v>
                </c:pt>
                <c:pt idx="1">
                  <c:v>116.42857142857143</c:v>
                </c:pt>
                <c:pt idx="2">
                  <c:v>140.90476190476193</c:v>
                </c:pt>
                <c:pt idx="3">
                  <c:v>134.40476190476193</c:v>
                </c:pt>
                <c:pt idx="4">
                  <c:v>132.88095238095238</c:v>
                </c:pt>
                <c:pt idx="5">
                  <c:v>134.71428571428572</c:v>
                </c:pt>
                <c:pt idx="6">
                  <c:v>154.99047619047622</c:v>
                </c:pt>
                <c:pt idx="7">
                  <c:v>138.42857142857144</c:v>
                </c:pt>
                <c:pt idx="8">
                  <c:v>145.88095238095238</c:v>
                </c:pt>
                <c:pt idx="9">
                  <c:v>156.0952380952381</c:v>
                </c:pt>
                <c:pt idx="10">
                  <c:v>153.14285714285717</c:v>
                </c:pt>
                <c:pt idx="11">
                  <c:v>117.57142857142857</c:v>
                </c:pt>
                <c:pt idx="12">
                  <c:v>176</c:v>
                </c:pt>
                <c:pt idx="13">
                  <c:v>120.5</c:v>
                </c:pt>
                <c:pt idx="14">
                  <c:v>80.5</c:v>
                </c:pt>
                <c:pt idx="15">
                  <c:v>27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4.5</c:v>
                </c:pt>
                <c:pt idx="20">
                  <c:v>1.5</c:v>
                </c:pt>
                <c:pt idx="21">
                  <c:v>4</c:v>
                </c:pt>
                <c:pt idx="22">
                  <c:v>6.5</c:v>
                </c:pt>
                <c:pt idx="23">
                  <c:v>28.5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14-43CF-8B43-76D086A54FD5}"/>
            </c:ext>
          </c:extLst>
        </c:ser>
        <c:ser>
          <c:idx val="1"/>
          <c:order val="1"/>
          <c:tx>
            <c:strRef>
              <c:f>'Avg Week Arua-Koboko-2Dir'!$AF$9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Arua-Koboko-2Dir'!$R$10:$R$33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Arua-Koboko-2Dir'!$AF$10:$AF$33</c:f>
              <c:numCache>
                <c:formatCode>0</c:formatCode>
                <c:ptCount val="24"/>
                <c:pt idx="0">
                  <c:v>355.85714285714289</c:v>
                </c:pt>
                <c:pt idx="1">
                  <c:v>357.42857142857144</c:v>
                </c:pt>
                <c:pt idx="2">
                  <c:v>392.76190476190482</c:v>
                </c:pt>
                <c:pt idx="3">
                  <c:v>434.97619047619048</c:v>
                </c:pt>
                <c:pt idx="4">
                  <c:v>402.59523809523807</c:v>
                </c:pt>
                <c:pt idx="5">
                  <c:v>434.71428571428572</c:v>
                </c:pt>
                <c:pt idx="6">
                  <c:v>401.84761904761911</c:v>
                </c:pt>
                <c:pt idx="7">
                  <c:v>394.71428571428567</c:v>
                </c:pt>
                <c:pt idx="8">
                  <c:v>377.02380952380952</c:v>
                </c:pt>
                <c:pt idx="9">
                  <c:v>376.95238095238096</c:v>
                </c:pt>
                <c:pt idx="10">
                  <c:v>428.57142857142861</c:v>
                </c:pt>
                <c:pt idx="11">
                  <c:v>348</c:v>
                </c:pt>
                <c:pt idx="12">
                  <c:v>554</c:v>
                </c:pt>
                <c:pt idx="13">
                  <c:v>467</c:v>
                </c:pt>
                <c:pt idx="14">
                  <c:v>267</c:v>
                </c:pt>
                <c:pt idx="15">
                  <c:v>132</c:v>
                </c:pt>
                <c:pt idx="16">
                  <c:v>61</c:v>
                </c:pt>
                <c:pt idx="17">
                  <c:v>31</c:v>
                </c:pt>
                <c:pt idx="18">
                  <c:v>23</c:v>
                </c:pt>
                <c:pt idx="19">
                  <c:v>7.5</c:v>
                </c:pt>
                <c:pt idx="20">
                  <c:v>11</c:v>
                </c:pt>
                <c:pt idx="21">
                  <c:v>12</c:v>
                </c:pt>
                <c:pt idx="22">
                  <c:v>27.5</c:v>
                </c:pt>
                <c:pt idx="23">
                  <c:v>127.5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14-43CF-8B43-76D086A54FD5}"/>
            </c:ext>
          </c:extLst>
        </c:ser>
        <c:ser>
          <c:idx val="5"/>
          <c:order val="2"/>
          <c:tx>
            <c:strRef>
              <c:f>'Avg Week Arua-Koboko-2Dir'!$AC$9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Arua-Koboko-2Dir'!$R$10:$R$33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Arua-Koboko-2Dir'!$AC$10:$AC$33</c:f>
              <c:numCache>
                <c:formatCode>0</c:formatCode>
                <c:ptCount val="24"/>
                <c:pt idx="0">
                  <c:v>240.57142857142856</c:v>
                </c:pt>
                <c:pt idx="1">
                  <c:v>241</c:v>
                </c:pt>
                <c:pt idx="2">
                  <c:v>251.85714285714283</c:v>
                </c:pt>
                <c:pt idx="3">
                  <c:v>300.57142857142856</c:v>
                </c:pt>
                <c:pt idx="4">
                  <c:v>269.71428571428578</c:v>
                </c:pt>
                <c:pt idx="5">
                  <c:v>300</c:v>
                </c:pt>
                <c:pt idx="6">
                  <c:v>246.85714285714286</c:v>
                </c:pt>
                <c:pt idx="7">
                  <c:v>256.28571428571428</c:v>
                </c:pt>
                <c:pt idx="8">
                  <c:v>231.14285714285717</c:v>
                </c:pt>
                <c:pt idx="9">
                  <c:v>220.85714285714289</c:v>
                </c:pt>
                <c:pt idx="10">
                  <c:v>275.42857142857144</c:v>
                </c:pt>
                <c:pt idx="11">
                  <c:v>230.42857142857144</c:v>
                </c:pt>
                <c:pt idx="12">
                  <c:v>378</c:v>
                </c:pt>
                <c:pt idx="13">
                  <c:v>346.5</c:v>
                </c:pt>
                <c:pt idx="14">
                  <c:v>186.5</c:v>
                </c:pt>
                <c:pt idx="15">
                  <c:v>105</c:v>
                </c:pt>
                <c:pt idx="16">
                  <c:v>48</c:v>
                </c:pt>
                <c:pt idx="17">
                  <c:v>25</c:v>
                </c:pt>
                <c:pt idx="18">
                  <c:v>17</c:v>
                </c:pt>
                <c:pt idx="19">
                  <c:v>3</c:v>
                </c:pt>
                <c:pt idx="20">
                  <c:v>9.5</c:v>
                </c:pt>
                <c:pt idx="21">
                  <c:v>8</c:v>
                </c:pt>
                <c:pt idx="22">
                  <c:v>21</c:v>
                </c:pt>
                <c:pt idx="2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4-43CF-8B43-76D086A54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Arua-Koboko-2Dir'!$S$9:$AF$9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Arua-Koboko-2Dir'!$S$41:$AF$41</c:f>
              <c:numCache>
                <c:formatCode>_(* #,##0_);_(* \(#,##0\);_(* "-"_);_(@_)</c:formatCode>
                <c:ptCount val="14"/>
                <c:pt idx="0">
                  <c:v>896</c:v>
                </c:pt>
                <c:pt idx="1">
                  <c:v>165.57142857142858</c:v>
                </c:pt>
                <c:pt idx="2">
                  <c:v>333.92857142857144</c:v>
                </c:pt>
                <c:pt idx="3">
                  <c:v>214.42857142857142</c:v>
                </c:pt>
                <c:pt idx="4">
                  <c:v>46.142857142857139</c:v>
                </c:pt>
                <c:pt idx="5">
                  <c:v>142</c:v>
                </c:pt>
                <c:pt idx="6">
                  <c:v>163.54761904761907</c:v>
                </c:pt>
                <c:pt idx="7">
                  <c:v>94.633333333333326</c:v>
                </c:pt>
                <c:pt idx="8">
                  <c:v>16.714285714285715</c:v>
                </c:pt>
                <c:pt idx="9">
                  <c:v>38.5</c:v>
                </c:pt>
                <c:pt idx="10">
                  <c:v>4311.2142857142862</c:v>
                </c:pt>
                <c:pt idx="11">
                  <c:v>3.2619047619047614</c:v>
                </c:pt>
                <c:pt idx="12">
                  <c:v>2114.7285714285717</c:v>
                </c:pt>
                <c:pt idx="13">
                  <c:v>6425.9428571428571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2-4EF2-9993-86879E13DC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Arua-Koboko-2Dir'!$S$9:$AF$9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Arua-Koboko-2Dir'!$S$42:$AF$42</c:f>
              <c:numCache>
                <c:formatCode>0.000</c:formatCode>
                <c:ptCount val="14"/>
                <c:pt idx="0">
                  <c:v>1.2566619915848527</c:v>
                </c:pt>
                <c:pt idx="1">
                  <c:v>1.2212855637513171</c:v>
                </c:pt>
                <c:pt idx="2">
                  <c:v>1.3073266219239374</c:v>
                </c:pt>
                <c:pt idx="3">
                  <c:v>1.5055165496489469</c:v>
                </c:pt>
                <c:pt idx="4">
                  <c:v>1.7000000000000002</c:v>
                </c:pt>
                <c:pt idx="5">
                  <c:v>1.2136752136752136</c:v>
                </c:pt>
                <c:pt idx="6">
                  <c:v>1.2480014534883721</c:v>
                </c:pt>
                <c:pt idx="7">
                  <c:v>1.1883633319380493</c:v>
                </c:pt>
                <c:pt idx="8">
                  <c:v>2.166666666666667</c:v>
                </c:pt>
                <c:pt idx="9">
                  <c:v>1.3275862068965518</c:v>
                </c:pt>
                <c:pt idx="10">
                  <c:v>1.4067263319815411</c:v>
                </c:pt>
                <c:pt idx="11">
                  <c:v>1.1810344827586208</c:v>
                </c:pt>
                <c:pt idx="12">
                  <c:v>1.2888960479229612</c:v>
                </c:pt>
                <c:pt idx="13">
                  <c:v>1.3656403982014749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7-4ABB-8566-674FDD55BD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28</xdr:col>
      <xdr:colOff>15875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58</xdr:row>
      <xdr:rowOff>279400</xdr:rowOff>
    </xdr:from>
    <xdr:to>
      <xdr:col>23</xdr:col>
      <xdr:colOff>698500</xdr:colOff>
      <xdr:row>73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15875</xdr:rowOff>
    </xdr:from>
    <xdr:to>
      <xdr:col>30</xdr:col>
      <xdr:colOff>698500</xdr:colOff>
      <xdr:row>73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42</xdr:row>
      <xdr:rowOff>276224</xdr:rowOff>
    </xdr:from>
    <xdr:to>
      <xdr:col>28</xdr:col>
      <xdr:colOff>15875</xdr:colOff>
      <xdr:row>58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9525</xdr:rowOff>
    </xdr:from>
    <xdr:to>
      <xdr:col>23</xdr:col>
      <xdr:colOff>682625</xdr:colOff>
      <xdr:row>72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58</xdr:row>
      <xdr:rowOff>15875</xdr:rowOff>
    </xdr:from>
    <xdr:to>
      <xdr:col>31</xdr:col>
      <xdr:colOff>158749</xdr:colOff>
      <xdr:row>72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231775</xdr:rowOff>
    </xdr:from>
    <xdr:to>
      <xdr:col>23</xdr:col>
      <xdr:colOff>634999</xdr:colOff>
      <xdr:row>74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74</xdr:row>
      <xdr:rowOff>206374</xdr:rowOff>
    </xdr:from>
    <xdr:to>
      <xdr:col>23</xdr:col>
      <xdr:colOff>634999</xdr:colOff>
      <xdr:row>90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31750</xdr:colOff>
      <xdr:row>58</xdr:row>
      <xdr:rowOff>215903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F56DEE7-707D-44E2-8125-4C76A7B9D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58</xdr:row>
      <xdr:rowOff>238125</xdr:rowOff>
    </xdr:from>
    <xdr:to>
      <xdr:col>31</xdr:col>
      <xdr:colOff>15875</xdr:colOff>
      <xdr:row>74</xdr:row>
      <xdr:rowOff>236538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44EB94-A07E-4FC8-846F-6DC71D931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635000</xdr:colOff>
      <xdr:row>74</xdr:row>
      <xdr:rowOff>206375</xdr:rowOff>
    </xdr:from>
    <xdr:to>
      <xdr:col>31</xdr:col>
      <xdr:colOff>0</xdr:colOff>
      <xdr:row>90</xdr:row>
      <xdr:rowOff>269875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1A7324-8CF9-42F7-815B-667F2EFAA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B1" zoomScale="60" workbookViewId="0">
      <selection activeCell="B1" sqref="B1:AE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168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57" t="s">
        <v>163</v>
      </c>
      <c r="H5" s="58"/>
      <c r="I5" s="14"/>
      <c r="J5" s="2" t="s">
        <v>5</v>
      </c>
      <c r="K5" s="57" t="s">
        <v>163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165</v>
      </c>
      <c r="E6" s="58"/>
      <c r="F6" s="2" t="s">
        <v>2</v>
      </c>
      <c r="G6" s="57" t="s">
        <v>166</v>
      </c>
      <c r="H6" s="58"/>
      <c r="J6" s="2" t="s">
        <v>21</v>
      </c>
      <c r="K6" s="57" t="s">
        <v>163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0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72</v>
      </c>
      <c r="AD10" s="17">
        <f t="shared" si="2"/>
        <v>0</v>
      </c>
      <c r="AE10" s="31">
        <f t="shared" si="2"/>
        <v>15</v>
      </c>
      <c r="AF10" s="31">
        <f t="shared" si="2"/>
        <v>87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0</v>
      </c>
      <c r="P11" s="15">
        <f t="shared" si="1"/>
        <v>5</v>
      </c>
      <c r="R11" s="1" t="s">
        <v>7</v>
      </c>
      <c r="S11" s="17">
        <f t="shared" ref="S11:AF11" si="3">SUM(C14:C17)</f>
        <v>24</v>
      </c>
      <c r="T11" s="17">
        <f t="shared" si="3"/>
        <v>1</v>
      </c>
      <c r="U11" s="17">
        <f t="shared" si="3"/>
        <v>2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97</v>
      </c>
      <c r="AD11" s="17">
        <f t="shared" si="3"/>
        <v>0</v>
      </c>
      <c r="AE11" s="31">
        <f t="shared" si="3"/>
        <v>34</v>
      </c>
      <c r="AF11" s="31">
        <f t="shared" si="3"/>
        <v>131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30</v>
      </c>
      <c r="N12" s="50">
        <v>0</v>
      </c>
      <c r="O12" s="15">
        <f t="shared" si="0"/>
        <v>5</v>
      </c>
      <c r="P12" s="15">
        <f t="shared" si="1"/>
        <v>35</v>
      </c>
      <c r="R12" s="1" t="s">
        <v>8</v>
      </c>
      <c r="S12" s="17">
        <f t="shared" ref="S12:AF12" si="4">SUM(C18:C21)</f>
        <v>24</v>
      </c>
      <c r="T12" s="17">
        <f t="shared" si="4"/>
        <v>3</v>
      </c>
      <c r="U12" s="17">
        <f t="shared" si="4"/>
        <v>6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60</v>
      </c>
      <c r="AD12" s="17">
        <f t="shared" si="4"/>
        <v>0</v>
      </c>
      <c r="AE12" s="31">
        <f t="shared" si="4"/>
        <v>42</v>
      </c>
      <c r="AF12" s="31">
        <f t="shared" si="4"/>
        <v>102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3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5">
        <f t="shared" si="0"/>
        <v>8</v>
      </c>
      <c r="P13" s="15">
        <f t="shared" si="1"/>
        <v>37</v>
      </c>
      <c r="R13" s="1" t="s">
        <v>9</v>
      </c>
      <c r="S13" s="17">
        <f t="shared" ref="S13:AF13" si="5">SUM(C22:C25)</f>
        <v>25</v>
      </c>
      <c r="T13" s="17">
        <f t="shared" si="5"/>
        <v>5</v>
      </c>
      <c r="U13" s="17">
        <f t="shared" si="5"/>
        <v>7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106</v>
      </c>
      <c r="AD13" s="17">
        <f t="shared" si="5"/>
        <v>0</v>
      </c>
      <c r="AE13" s="31">
        <f t="shared" si="5"/>
        <v>50</v>
      </c>
      <c r="AF13" s="31">
        <f t="shared" si="5"/>
        <v>156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26</v>
      </c>
      <c r="N14" s="50">
        <v>0</v>
      </c>
      <c r="O14" s="15">
        <f t="shared" si="0"/>
        <v>4</v>
      </c>
      <c r="P14" s="15">
        <f t="shared" si="1"/>
        <v>30</v>
      </c>
      <c r="R14" s="1" t="s">
        <v>10</v>
      </c>
      <c r="S14" s="17">
        <f t="shared" ref="S14:AF14" si="6">SUM(C26:C29)</f>
        <v>46</v>
      </c>
      <c r="T14" s="17">
        <f t="shared" si="6"/>
        <v>5</v>
      </c>
      <c r="U14" s="17">
        <f t="shared" si="6"/>
        <v>7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0</v>
      </c>
      <c r="AA14" s="17">
        <f t="shared" si="6"/>
        <v>2</v>
      </c>
      <c r="AB14" s="17">
        <f t="shared" si="6"/>
        <v>0</v>
      </c>
      <c r="AC14" s="17">
        <f t="shared" si="6"/>
        <v>94</v>
      </c>
      <c r="AD14" s="17">
        <f t="shared" si="6"/>
        <v>0</v>
      </c>
      <c r="AE14" s="31">
        <f t="shared" si="6"/>
        <v>77</v>
      </c>
      <c r="AF14" s="31">
        <f t="shared" si="6"/>
        <v>171</v>
      </c>
    </row>
    <row r="15" spans="2:32" ht="23.1" customHeight="1" x14ac:dyDescent="0.25">
      <c r="B15" s="23" t="s">
        <v>42</v>
      </c>
      <c r="C15" s="50">
        <v>8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9</v>
      </c>
      <c r="P15" s="15">
        <f t="shared" si="1"/>
        <v>28</v>
      </c>
      <c r="R15" s="1" t="s">
        <v>11</v>
      </c>
      <c r="S15" s="17">
        <f t="shared" ref="S15:AF15" si="7">SUM(C30:C33)</f>
        <v>44</v>
      </c>
      <c r="T15" s="17">
        <f t="shared" si="7"/>
        <v>5</v>
      </c>
      <c r="U15" s="17">
        <f t="shared" si="7"/>
        <v>6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189</v>
      </c>
      <c r="AD15" s="17">
        <f t="shared" si="7"/>
        <v>0</v>
      </c>
      <c r="AE15" s="31">
        <f t="shared" si="7"/>
        <v>72</v>
      </c>
      <c r="AF15" s="31">
        <f t="shared" si="7"/>
        <v>261</v>
      </c>
    </row>
    <row r="16" spans="2:32" ht="23.1" customHeight="1" x14ac:dyDescent="0.25">
      <c r="B16" s="23" t="s">
        <v>43</v>
      </c>
      <c r="C16" s="50">
        <v>6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7</v>
      </c>
      <c r="P16" s="15">
        <f t="shared" si="1"/>
        <v>37</v>
      </c>
      <c r="R16" s="1" t="s">
        <v>12</v>
      </c>
      <c r="S16" s="17">
        <f t="shared" ref="S16:AF16" si="8">SUM(C34:C37)</f>
        <v>38</v>
      </c>
      <c r="T16" s="17">
        <f t="shared" si="8"/>
        <v>4</v>
      </c>
      <c r="U16" s="17">
        <f t="shared" si="8"/>
        <v>4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137</v>
      </c>
      <c r="AD16" s="17">
        <f t="shared" si="8"/>
        <v>0</v>
      </c>
      <c r="AE16" s="31">
        <f t="shared" si="8"/>
        <v>68</v>
      </c>
      <c r="AF16" s="31">
        <f t="shared" si="8"/>
        <v>205</v>
      </c>
    </row>
    <row r="17" spans="2:32" ht="23.1" customHeight="1" x14ac:dyDescent="0.25">
      <c r="B17" s="23" t="s">
        <v>44</v>
      </c>
      <c r="C17" s="50">
        <v>7</v>
      </c>
      <c r="D17" s="50">
        <v>1</v>
      </c>
      <c r="E17" s="50">
        <v>2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14</v>
      </c>
      <c r="P17" s="15">
        <f t="shared" si="1"/>
        <v>36</v>
      </c>
      <c r="R17" s="1" t="s">
        <v>13</v>
      </c>
      <c r="S17" s="17">
        <f t="shared" ref="S17:AF17" si="9">SUM(C38:C41)</f>
        <v>37</v>
      </c>
      <c r="T17" s="17">
        <f t="shared" si="9"/>
        <v>4</v>
      </c>
      <c r="U17" s="17">
        <f t="shared" si="9"/>
        <v>6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188</v>
      </c>
      <c r="AD17" s="17">
        <f t="shared" si="9"/>
        <v>0</v>
      </c>
      <c r="AE17" s="31">
        <f t="shared" si="9"/>
        <v>63</v>
      </c>
      <c r="AF17" s="31">
        <f t="shared" si="9"/>
        <v>251</v>
      </c>
    </row>
    <row r="18" spans="2:32" ht="23.1" customHeight="1" x14ac:dyDescent="0.25">
      <c r="B18" s="23" t="s">
        <v>45</v>
      </c>
      <c r="C18" s="50">
        <v>6</v>
      </c>
      <c r="D18" s="50">
        <v>1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9</v>
      </c>
      <c r="P18" s="15">
        <f t="shared" si="1"/>
        <v>18</v>
      </c>
      <c r="R18" s="1" t="s">
        <v>14</v>
      </c>
      <c r="S18" s="17">
        <f t="shared" ref="S18:AF18" si="10">SUM(C42:C45)</f>
        <v>40</v>
      </c>
      <c r="T18" s="17">
        <f t="shared" si="10"/>
        <v>2</v>
      </c>
      <c r="U18" s="17">
        <f t="shared" si="10"/>
        <v>3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131</v>
      </c>
      <c r="AD18" s="17">
        <f t="shared" si="10"/>
        <v>0</v>
      </c>
      <c r="AE18" s="31">
        <f t="shared" si="10"/>
        <v>57</v>
      </c>
      <c r="AF18" s="31">
        <f t="shared" si="10"/>
        <v>188</v>
      </c>
    </row>
    <row r="19" spans="2:32" ht="23.1" customHeight="1" x14ac:dyDescent="0.25">
      <c r="B19" s="23" t="s">
        <v>46</v>
      </c>
      <c r="C19" s="50">
        <v>6</v>
      </c>
      <c r="D19" s="50">
        <v>1</v>
      </c>
      <c r="E19" s="50">
        <v>2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11</v>
      </c>
      <c r="P19" s="15">
        <f t="shared" si="1"/>
        <v>30</v>
      </c>
      <c r="R19" s="1" t="s">
        <v>15</v>
      </c>
      <c r="S19" s="17">
        <f t="shared" ref="S19:AF19" si="11">SUM(C46:C49)</f>
        <v>37</v>
      </c>
      <c r="T19" s="17">
        <f t="shared" si="11"/>
        <v>4</v>
      </c>
      <c r="U19" s="17">
        <f t="shared" si="11"/>
        <v>4</v>
      </c>
      <c r="V19" s="17">
        <f t="shared" si="11"/>
        <v>4</v>
      </c>
      <c r="W19" s="17">
        <f t="shared" si="11"/>
        <v>0</v>
      </c>
      <c r="X19" s="17">
        <f t="shared" si="11"/>
        <v>1</v>
      </c>
      <c r="Y19" s="17">
        <f t="shared" si="11"/>
        <v>4</v>
      </c>
      <c r="Z19" s="17">
        <f t="shared" si="11"/>
        <v>13</v>
      </c>
      <c r="AA19" s="17">
        <f t="shared" si="11"/>
        <v>0</v>
      </c>
      <c r="AB19" s="17">
        <f t="shared" si="11"/>
        <v>0</v>
      </c>
      <c r="AC19" s="17">
        <f t="shared" si="11"/>
        <v>131</v>
      </c>
      <c r="AD19" s="17">
        <f t="shared" si="11"/>
        <v>0</v>
      </c>
      <c r="AE19" s="31">
        <f t="shared" si="11"/>
        <v>67</v>
      </c>
      <c r="AF19" s="31">
        <f t="shared" si="11"/>
        <v>198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8</v>
      </c>
      <c r="P20" s="15">
        <f t="shared" si="1"/>
        <v>23</v>
      </c>
      <c r="R20" s="1" t="s">
        <v>16</v>
      </c>
      <c r="S20" s="17">
        <f t="shared" ref="S20:AF20" si="12">SUM(C50:C53)</f>
        <v>45</v>
      </c>
      <c r="T20" s="17">
        <f t="shared" si="12"/>
        <v>3</v>
      </c>
      <c r="U20" s="17">
        <f t="shared" si="12"/>
        <v>4</v>
      </c>
      <c r="V20" s="17">
        <f t="shared" si="12"/>
        <v>6</v>
      </c>
      <c r="W20" s="17">
        <f t="shared" si="12"/>
        <v>1</v>
      </c>
      <c r="X20" s="17">
        <f t="shared" si="12"/>
        <v>1</v>
      </c>
      <c r="Y20" s="17">
        <f t="shared" si="12"/>
        <v>3</v>
      </c>
      <c r="Z20" s="17">
        <f t="shared" si="12"/>
        <v>2</v>
      </c>
      <c r="AA20" s="17">
        <f t="shared" si="12"/>
        <v>5</v>
      </c>
      <c r="AB20" s="17">
        <f t="shared" si="12"/>
        <v>4</v>
      </c>
      <c r="AC20" s="17">
        <f t="shared" si="12"/>
        <v>94</v>
      </c>
      <c r="AD20" s="17">
        <f t="shared" si="12"/>
        <v>0</v>
      </c>
      <c r="AE20" s="31">
        <f t="shared" si="12"/>
        <v>74</v>
      </c>
      <c r="AF20" s="31">
        <f t="shared" si="12"/>
        <v>168</v>
      </c>
    </row>
    <row r="21" spans="2:32" ht="23.1" customHeight="1" x14ac:dyDescent="0.25">
      <c r="B21" s="23" t="s">
        <v>48</v>
      </c>
      <c r="C21" s="50">
        <v>7</v>
      </c>
      <c r="D21" s="50">
        <v>1</v>
      </c>
      <c r="E21" s="50">
        <v>2</v>
      </c>
      <c r="F21" s="50">
        <v>1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14</v>
      </c>
      <c r="P21" s="15">
        <f t="shared" si="1"/>
        <v>31</v>
      </c>
      <c r="R21" s="36" t="s">
        <v>20</v>
      </c>
      <c r="S21" s="34">
        <f t="shared" ref="S21:AF21" si="13">SUM(C54:C57)</f>
        <v>22</v>
      </c>
      <c r="T21" s="17">
        <f t="shared" si="13"/>
        <v>5</v>
      </c>
      <c r="U21" s="17">
        <f t="shared" si="13"/>
        <v>5</v>
      </c>
      <c r="V21" s="17">
        <f t="shared" si="13"/>
        <v>9</v>
      </c>
      <c r="W21" s="17">
        <f t="shared" si="13"/>
        <v>0</v>
      </c>
      <c r="X21" s="17">
        <f t="shared" si="13"/>
        <v>1</v>
      </c>
      <c r="Y21" s="17">
        <f t="shared" si="13"/>
        <v>5</v>
      </c>
      <c r="Z21" s="17">
        <f t="shared" si="13"/>
        <v>6</v>
      </c>
      <c r="AA21" s="17">
        <f t="shared" si="13"/>
        <v>2</v>
      </c>
      <c r="AB21" s="17">
        <f t="shared" si="13"/>
        <v>0</v>
      </c>
      <c r="AC21" s="17">
        <f t="shared" si="13"/>
        <v>128</v>
      </c>
      <c r="AD21" s="17">
        <f t="shared" si="13"/>
        <v>0</v>
      </c>
      <c r="AE21" s="31">
        <f t="shared" si="13"/>
        <v>55</v>
      </c>
      <c r="AF21" s="31">
        <f t="shared" si="13"/>
        <v>183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2</v>
      </c>
      <c r="F22" s="50">
        <v>0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12</v>
      </c>
      <c r="P22" s="15">
        <f t="shared" si="1"/>
        <v>30</v>
      </c>
      <c r="R22" s="38" t="s">
        <v>90</v>
      </c>
      <c r="S22" s="39">
        <f>MAX(S10:S12)</f>
        <v>24</v>
      </c>
      <c r="T22" s="39">
        <f t="shared" ref="T22:AF22" si="14">MAX(T10:T12)</f>
        <v>3</v>
      </c>
      <c r="U22" s="39">
        <f t="shared" si="14"/>
        <v>6</v>
      </c>
      <c r="V22" s="39">
        <f t="shared" si="14"/>
        <v>7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97</v>
      </c>
      <c r="AD22" s="39">
        <f t="shared" si="14"/>
        <v>0</v>
      </c>
      <c r="AE22" s="40">
        <f t="shared" si="14"/>
        <v>42</v>
      </c>
      <c r="AF22" s="40">
        <f t="shared" si="14"/>
        <v>131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4</v>
      </c>
      <c r="P23" s="15">
        <f t="shared" si="1"/>
        <v>19</v>
      </c>
      <c r="R23" s="38" t="s">
        <v>91</v>
      </c>
      <c r="S23" s="39">
        <f>MAX(S13:S18)</f>
        <v>46</v>
      </c>
      <c r="T23" s="39">
        <f t="shared" ref="T23:AF23" si="15">MAX(T13:T18)</f>
        <v>5</v>
      </c>
      <c r="U23" s="39">
        <f t="shared" si="15"/>
        <v>7</v>
      </c>
      <c r="V23" s="39">
        <f t="shared" si="15"/>
        <v>6</v>
      </c>
      <c r="W23" s="39">
        <f t="shared" si="15"/>
        <v>0</v>
      </c>
      <c r="X23" s="39">
        <f t="shared" si="15"/>
        <v>0</v>
      </c>
      <c r="Y23" s="39">
        <f t="shared" si="15"/>
        <v>16</v>
      </c>
      <c r="Z23" s="39">
        <f t="shared" si="15"/>
        <v>3</v>
      </c>
      <c r="AA23" s="39">
        <f t="shared" si="15"/>
        <v>2</v>
      </c>
      <c r="AB23" s="39">
        <f t="shared" si="15"/>
        <v>0</v>
      </c>
      <c r="AC23" s="39">
        <f t="shared" si="15"/>
        <v>189</v>
      </c>
      <c r="AD23" s="39">
        <f t="shared" si="15"/>
        <v>0</v>
      </c>
      <c r="AE23" s="40">
        <f t="shared" si="15"/>
        <v>77</v>
      </c>
      <c r="AF23" s="40">
        <f t="shared" si="15"/>
        <v>261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2</v>
      </c>
      <c r="F24" s="50">
        <v>2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43</v>
      </c>
      <c r="N24" s="50">
        <v>0</v>
      </c>
      <c r="O24" s="15">
        <f t="shared" si="0"/>
        <v>12</v>
      </c>
      <c r="P24" s="15">
        <f t="shared" si="1"/>
        <v>55</v>
      </c>
      <c r="R24" s="38" t="s">
        <v>92</v>
      </c>
      <c r="S24" s="39">
        <f>MAX(S19:S21)</f>
        <v>45</v>
      </c>
      <c r="T24" s="39">
        <f t="shared" ref="T24:AF24" si="16">MAX(T19:T21)</f>
        <v>5</v>
      </c>
      <c r="U24" s="39">
        <f t="shared" si="16"/>
        <v>5</v>
      </c>
      <c r="V24" s="39">
        <f t="shared" si="16"/>
        <v>9</v>
      </c>
      <c r="W24" s="39">
        <f t="shared" si="16"/>
        <v>1</v>
      </c>
      <c r="X24" s="39">
        <f t="shared" si="16"/>
        <v>1</v>
      </c>
      <c r="Y24" s="39">
        <f t="shared" si="16"/>
        <v>5</v>
      </c>
      <c r="Z24" s="39">
        <f t="shared" si="16"/>
        <v>13</v>
      </c>
      <c r="AA24" s="39">
        <f t="shared" si="16"/>
        <v>5</v>
      </c>
      <c r="AB24" s="39">
        <f t="shared" si="16"/>
        <v>4</v>
      </c>
      <c r="AC24" s="39">
        <f t="shared" si="16"/>
        <v>131</v>
      </c>
      <c r="AD24" s="39">
        <f t="shared" si="16"/>
        <v>0</v>
      </c>
      <c r="AE24" s="40">
        <f t="shared" si="16"/>
        <v>74</v>
      </c>
      <c r="AF24" s="40">
        <f t="shared" si="16"/>
        <v>198</v>
      </c>
    </row>
    <row r="25" spans="2:32" ht="23.1" customHeight="1" x14ac:dyDescent="0.25">
      <c r="B25" s="23" t="s">
        <v>52</v>
      </c>
      <c r="C25" s="50">
        <v>14</v>
      </c>
      <c r="D25" s="50">
        <v>3</v>
      </c>
      <c r="E25" s="50">
        <v>3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22</v>
      </c>
      <c r="P25" s="15">
        <f t="shared" si="1"/>
        <v>52</v>
      </c>
      <c r="R25" s="37" t="s">
        <v>85</v>
      </c>
      <c r="S25" s="35">
        <f t="shared" ref="S25:AF25" si="17">SUM(S10:S12)</f>
        <v>59</v>
      </c>
      <c r="T25" s="16">
        <f t="shared" si="17"/>
        <v>4</v>
      </c>
      <c r="U25" s="16">
        <f t="shared" si="17"/>
        <v>8</v>
      </c>
      <c r="V25" s="16">
        <f t="shared" si="17"/>
        <v>13</v>
      </c>
      <c r="W25" s="16">
        <f t="shared" si="17"/>
        <v>1</v>
      </c>
      <c r="X25" s="16">
        <f t="shared" si="17"/>
        <v>0</v>
      </c>
      <c r="Y25" s="16">
        <f t="shared" si="17"/>
        <v>6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229</v>
      </c>
      <c r="AD25" s="16">
        <f t="shared" si="17"/>
        <v>0</v>
      </c>
      <c r="AE25" s="32">
        <f t="shared" si="17"/>
        <v>91</v>
      </c>
      <c r="AF25" s="32">
        <f t="shared" si="17"/>
        <v>320</v>
      </c>
    </row>
    <row r="26" spans="2:32" ht="23.1" customHeight="1" x14ac:dyDescent="0.25">
      <c r="B26" s="23" t="s">
        <v>53</v>
      </c>
      <c r="C26" s="50">
        <v>16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3</v>
      </c>
      <c r="J26" s="50">
        <v>0</v>
      </c>
      <c r="K26" s="50">
        <v>1</v>
      </c>
      <c r="L26" s="50">
        <v>0</v>
      </c>
      <c r="M26" s="50">
        <v>0</v>
      </c>
      <c r="N26" s="50">
        <v>0</v>
      </c>
      <c r="O26" s="15">
        <f t="shared" si="0"/>
        <v>23</v>
      </c>
      <c r="P26" s="15">
        <f t="shared" si="1"/>
        <v>23</v>
      </c>
      <c r="R26" s="28" t="s">
        <v>86</v>
      </c>
      <c r="S26" s="16">
        <f t="shared" ref="S26:AF26" si="18">SUM(S13:S18)</f>
        <v>230</v>
      </c>
      <c r="T26" s="16">
        <f t="shared" si="18"/>
        <v>25</v>
      </c>
      <c r="U26" s="16">
        <f t="shared" si="18"/>
        <v>33</v>
      </c>
      <c r="V26" s="16">
        <f t="shared" si="18"/>
        <v>26</v>
      </c>
      <c r="W26" s="16">
        <f t="shared" si="18"/>
        <v>0</v>
      </c>
      <c r="X26" s="16">
        <f t="shared" si="18"/>
        <v>0</v>
      </c>
      <c r="Y26" s="16">
        <f t="shared" si="18"/>
        <v>59</v>
      </c>
      <c r="Z26" s="16">
        <f t="shared" si="18"/>
        <v>9</v>
      </c>
      <c r="AA26" s="16">
        <f t="shared" si="18"/>
        <v>5</v>
      </c>
      <c r="AB26" s="16">
        <f t="shared" si="18"/>
        <v>0</v>
      </c>
      <c r="AC26" s="16">
        <f t="shared" si="18"/>
        <v>845</v>
      </c>
      <c r="AD26" s="16">
        <f t="shared" si="18"/>
        <v>0</v>
      </c>
      <c r="AE26" s="32">
        <f t="shared" si="18"/>
        <v>387</v>
      </c>
      <c r="AF26" s="32">
        <f t="shared" si="18"/>
        <v>1232</v>
      </c>
    </row>
    <row r="27" spans="2:32" ht="23.1" customHeight="1" x14ac:dyDescent="0.25">
      <c r="B27" s="23" t="s">
        <v>54</v>
      </c>
      <c r="C27" s="50">
        <v>9</v>
      </c>
      <c r="D27" s="50">
        <v>1</v>
      </c>
      <c r="E27" s="50">
        <v>1</v>
      </c>
      <c r="F27" s="50">
        <v>2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17</v>
      </c>
      <c r="P27" s="15">
        <f t="shared" si="1"/>
        <v>41</v>
      </c>
      <c r="R27" s="29" t="s">
        <v>87</v>
      </c>
      <c r="S27" s="16">
        <f t="shared" ref="S27:AF27" si="19">SUM(S19:S21)</f>
        <v>104</v>
      </c>
      <c r="T27" s="16">
        <f t="shared" si="19"/>
        <v>12</v>
      </c>
      <c r="U27" s="16">
        <f t="shared" si="19"/>
        <v>13</v>
      </c>
      <c r="V27" s="16">
        <f t="shared" si="19"/>
        <v>19</v>
      </c>
      <c r="W27" s="16">
        <f t="shared" si="19"/>
        <v>1</v>
      </c>
      <c r="X27" s="16">
        <f t="shared" si="19"/>
        <v>3</v>
      </c>
      <c r="Y27" s="16">
        <f t="shared" si="19"/>
        <v>12</v>
      </c>
      <c r="Z27" s="16">
        <f t="shared" si="19"/>
        <v>21</v>
      </c>
      <c r="AA27" s="16">
        <f t="shared" si="19"/>
        <v>7</v>
      </c>
      <c r="AB27" s="16">
        <f t="shared" si="19"/>
        <v>4</v>
      </c>
      <c r="AC27" s="16">
        <f t="shared" si="19"/>
        <v>353</v>
      </c>
      <c r="AD27" s="16">
        <f t="shared" si="19"/>
        <v>0</v>
      </c>
      <c r="AE27" s="32">
        <f t="shared" si="19"/>
        <v>196</v>
      </c>
      <c r="AF27" s="32">
        <f t="shared" si="19"/>
        <v>549</v>
      </c>
    </row>
    <row r="28" spans="2:32" ht="23.1" customHeight="1" x14ac:dyDescent="0.25">
      <c r="B28" s="23" t="s">
        <v>55</v>
      </c>
      <c r="C28" s="50">
        <v>10</v>
      </c>
      <c r="D28" s="50">
        <v>1</v>
      </c>
      <c r="E28" s="50">
        <v>2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28</v>
      </c>
      <c r="N28" s="50">
        <v>0</v>
      </c>
      <c r="O28" s="15">
        <f t="shared" si="0"/>
        <v>18</v>
      </c>
      <c r="P28" s="15">
        <f t="shared" si="1"/>
        <v>46</v>
      </c>
      <c r="R28" s="5" t="s">
        <v>17</v>
      </c>
      <c r="S28" s="16">
        <f t="shared" ref="S28:AF28" si="20">SUM(S10:S21)</f>
        <v>393</v>
      </c>
      <c r="T28" s="16">
        <f t="shared" si="20"/>
        <v>41</v>
      </c>
      <c r="U28" s="16">
        <f t="shared" si="20"/>
        <v>54</v>
      </c>
      <c r="V28" s="16">
        <f t="shared" si="20"/>
        <v>58</v>
      </c>
      <c r="W28" s="16">
        <f t="shared" si="20"/>
        <v>2</v>
      </c>
      <c r="X28" s="16">
        <f t="shared" si="20"/>
        <v>3</v>
      </c>
      <c r="Y28" s="16">
        <f t="shared" si="20"/>
        <v>77</v>
      </c>
      <c r="Z28" s="16">
        <f t="shared" si="20"/>
        <v>30</v>
      </c>
      <c r="AA28" s="16">
        <f t="shared" si="20"/>
        <v>12</v>
      </c>
      <c r="AB28" s="16">
        <f t="shared" si="20"/>
        <v>4</v>
      </c>
      <c r="AC28" s="16">
        <f t="shared" si="20"/>
        <v>1427</v>
      </c>
      <c r="AD28" s="16">
        <f t="shared" si="20"/>
        <v>0</v>
      </c>
      <c r="AE28" s="32">
        <f t="shared" si="20"/>
        <v>674</v>
      </c>
      <c r="AF28" s="32">
        <f t="shared" si="20"/>
        <v>2101</v>
      </c>
    </row>
    <row r="29" spans="2:32" ht="23.1" customHeight="1" x14ac:dyDescent="0.25">
      <c r="B29" s="23" t="s">
        <v>56</v>
      </c>
      <c r="C29" s="50">
        <v>11</v>
      </c>
      <c r="D29" s="50">
        <v>2</v>
      </c>
      <c r="E29" s="50">
        <v>3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42</v>
      </c>
      <c r="N29" s="50">
        <v>0</v>
      </c>
      <c r="O29" s="15">
        <f t="shared" si="0"/>
        <v>19</v>
      </c>
      <c r="P29" s="15">
        <f t="shared" si="1"/>
        <v>61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36</v>
      </c>
      <c r="N30" s="50">
        <v>0</v>
      </c>
      <c r="O30" s="15">
        <f t="shared" si="0"/>
        <v>11</v>
      </c>
      <c r="P30" s="15">
        <f t="shared" si="1"/>
        <v>47</v>
      </c>
    </row>
    <row r="31" spans="2:32" ht="23.1" customHeight="1" x14ac:dyDescent="0.25">
      <c r="B31" s="24" t="s">
        <v>58</v>
      </c>
      <c r="C31" s="50">
        <v>16</v>
      </c>
      <c r="D31" s="50">
        <v>2</v>
      </c>
      <c r="E31" s="50">
        <v>3</v>
      </c>
      <c r="F31" s="50">
        <v>4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60</v>
      </c>
      <c r="N31" s="50">
        <v>0</v>
      </c>
      <c r="O31" s="15">
        <f t="shared" si="0"/>
        <v>27</v>
      </c>
      <c r="P31" s="15">
        <f t="shared" si="1"/>
        <v>87</v>
      </c>
    </row>
    <row r="32" spans="2:32" ht="23.1" customHeight="1" x14ac:dyDescent="0.25">
      <c r="B32" s="24" t="s">
        <v>59</v>
      </c>
      <c r="C32" s="50">
        <v>8</v>
      </c>
      <c r="D32" s="50">
        <v>2</v>
      </c>
      <c r="E32" s="50">
        <v>2</v>
      </c>
      <c r="F32" s="50">
        <v>0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15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12</v>
      </c>
      <c r="D33" s="50">
        <v>1</v>
      </c>
      <c r="E33" s="50">
        <v>1</v>
      </c>
      <c r="F33" s="50">
        <v>1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61</v>
      </c>
      <c r="N33" s="50">
        <v>0</v>
      </c>
      <c r="O33" s="15">
        <f t="shared" si="0"/>
        <v>19</v>
      </c>
      <c r="P33" s="15">
        <f t="shared" si="1"/>
        <v>80</v>
      </c>
    </row>
    <row r="34" spans="2:20" ht="23.1" customHeight="1" x14ac:dyDescent="0.25">
      <c r="B34" s="24" t="s">
        <v>61</v>
      </c>
      <c r="C34" s="50">
        <v>13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6</v>
      </c>
      <c r="J34" s="50">
        <v>2</v>
      </c>
      <c r="K34" s="50">
        <v>1</v>
      </c>
      <c r="L34" s="50">
        <v>0</v>
      </c>
      <c r="M34" s="50">
        <v>32</v>
      </c>
      <c r="N34" s="50">
        <v>0</v>
      </c>
      <c r="O34" s="15">
        <f t="shared" si="0"/>
        <v>24</v>
      </c>
      <c r="P34" s="15">
        <f t="shared" si="1"/>
        <v>56</v>
      </c>
    </row>
    <row r="35" spans="2:20" ht="23.1" customHeight="1" x14ac:dyDescent="0.25">
      <c r="B35" s="24" t="s">
        <v>62</v>
      </c>
      <c r="C35" s="50">
        <v>5</v>
      </c>
      <c r="D35" s="50">
        <v>1</v>
      </c>
      <c r="E35" s="50">
        <v>1</v>
      </c>
      <c r="F35" s="50">
        <v>1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20</v>
      </c>
      <c r="N35" s="50">
        <v>0</v>
      </c>
      <c r="O35" s="15">
        <f t="shared" si="0"/>
        <v>11</v>
      </c>
      <c r="P35" s="15">
        <f t="shared" si="1"/>
        <v>31</v>
      </c>
    </row>
    <row r="36" spans="2:20" ht="23.1" customHeight="1" x14ac:dyDescent="0.25">
      <c r="B36" s="24" t="s">
        <v>63</v>
      </c>
      <c r="C36" s="50">
        <v>9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36</v>
      </c>
      <c r="N36" s="50">
        <v>0</v>
      </c>
      <c r="O36" s="15">
        <f t="shared" si="0"/>
        <v>15</v>
      </c>
      <c r="P36" s="15">
        <f t="shared" si="1"/>
        <v>51</v>
      </c>
    </row>
    <row r="37" spans="2:20" ht="23.1" customHeight="1" x14ac:dyDescent="0.25">
      <c r="B37" s="23" t="s">
        <v>64</v>
      </c>
      <c r="C37" s="50">
        <v>11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49</v>
      </c>
      <c r="N37" s="50">
        <v>0</v>
      </c>
      <c r="O37" s="15">
        <f t="shared" si="0"/>
        <v>18</v>
      </c>
      <c r="P37" s="15">
        <f t="shared" si="1"/>
        <v>67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50</v>
      </c>
      <c r="N38" s="50">
        <v>0</v>
      </c>
      <c r="O38" s="15">
        <f t="shared" si="0"/>
        <v>14</v>
      </c>
      <c r="P38" s="15">
        <f t="shared" si="1"/>
        <v>64</v>
      </c>
    </row>
    <row r="39" spans="2:20" ht="23.1" customHeight="1" x14ac:dyDescent="0.25">
      <c r="B39" s="24" t="s">
        <v>66</v>
      </c>
      <c r="C39" s="50">
        <v>8</v>
      </c>
      <c r="D39" s="50">
        <v>2</v>
      </c>
      <c r="E39" s="50">
        <v>3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31</v>
      </c>
      <c r="N39" s="50">
        <v>0</v>
      </c>
      <c r="O39" s="15">
        <f t="shared" si="0"/>
        <v>17</v>
      </c>
      <c r="P39" s="15">
        <f t="shared" si="1"/>
        <v>48</v>
      </c>
    </row>
    <row r="40" spans="2:20" ht="23.1" customHeight="1" x14ac:dyDescent="0.25">
      <c r="B40" s="24" t="s">
        <v>67</v>
      </c>
      <c r="C40" s="50">
        <v>14</v>
      </c>
      <c r="D40" s="50">
        <v>1</v>
      </c>
      <c r="E40" s="50">
        <v>2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20</v>
      </c>
      <c r="P40" s="15">
        <f t="shared" si="1"/>
        <v>65</v>
      </c>
    </row>
    <row r="41" spans="2:20" ht="23.1" customHeight="1" x14ac:dyDescent="0.25">
      <c r="B41" s="23" t="s">
        <v>68</v>
      </c>
      <c r="C41" s="50">
        <v>9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62</v>
      </c>
      <c r="N41" s="50">
        <v>0</v>
      </c>
      <c r="O41" s="15">
        <f t="shared" si="0"/>
        <v>12</v>
      </c>
      <c r="P41" s="15">
        <f t="shared" si="1"/>
        <v>74</v>
      </c>
    </row>
    <row r="42" spans="2:20" ht="23.1" customHeight="1" x14ac:dyDescent="0.25">
      <c r="B42" s="24" t="s">
        <v>69</v>
      </c>
      <c r="C42" s="50">
        <v>12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46</v>
      </c>
      <c r="N42" s="50">
        <v>0</v>
      </c>
      <c r="O42" s="15">
        <f t="shared" si="0"/>
        <v>17</v>
      </c>
      <c r="P42" s="15">
        <f t="shared" si="1"/>
        <v>63</v>
      </c>
    </row>
    <row r="43" spans="2:20" ht="23.1" customHeight="1" x14ac:dyDescent="0.25">
      <c r="B43" s="23" t="s">
        <v>70</v>
      </c>
      <c r="C43" s="50">
        <v>17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23</v>
      </c>
      <c r="P43" s="15">
        <f t="shared" si="1"/>
        <v>53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18</v>
      </c>
      <c r="N44" s="50">
        <v>0</v>
      </c>
      <c r="O44" s="15">
        <f t="shared" si="0"/>
        <v>3</v>
      </c>
      <c r="P44" s="15">
        <f t="shared" si="1"/>
        <v>21</v>
      </c>
    </row>
    <row r="45" spans="2:20" ht="23.1" customHeight="1" x14ac:dyDescent="0.25">
      <c r="B45" s="23" t="s">
        <v>72</v>
      </c>
      <c r="C45" s="50">
        <v>10</v>
      </c>
      <c r="D45" s="50">
        <v>1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37</v>
      </c>
      <c r="N45" s="50">
        <v>0</v>
      </c>
      <c r="O45" s="15">
        <f t="shared" si="0"/>
        <v>14</v>
      </c>
      <c r="P45" s="15">
        <f t="shared" si="1"/>
        <v>51</v>
      </c>
    </row>
    <row r="46" spans="2:20" ht="23.1" customHeight="1" x14ac:dyDescent="0.25">
      <c r="B46" s="24" t="s">
        <v>73</v>
      </c>
      <c r="C46" s="50">
        <v>7</v>
      </c>
      <c r="D46" s="50">
        <v>2</v>
      </c>
      <c r="E46" s="50">
        <v>2</v>
      </c>
      <c r="F46" s="50">
        <v>0</v>
      </c>
      <c r="G46" s="50">
        <v>0</v>
      </c>
      <c r="H46" s="50">
        <v>1</v>
      </c>
      <c r="I46" s="50">
        <v>0</v>
      </c>
      <c r="J46" s="50">
        <v>3</v>
      </c>
      <c r="K46" s="50">
        <v>0</v>
      </c>
      <c r="L46" s="50">
        <v>0</v>
      </c>
      <c r="M46" s="50">
        <v>48</v>
      </c>
      <c r="N46" s="50">
        <v>0</v>
      </c>
      <c r="O46" s="15">
        <f t="shared" si="0"/>
        <v>15</v>
      </c>
      <c r="P46" s="15">
        <f t="shared" si="1"/>
        <v>63</v>
      </c>
      <c r="R46" s="8"/>
      <c r="T46"/>
    </row>
    <row r="47" spans="2:20" ht="23.1" customHeight="1" x14ac:dyDescent="0.25">
      <c r="B47" s="24" t="s">
        <v>74</v>
      </c>
      <c r="C47" s="50">
        <v>16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2</v>
      </c>
      <c r="J47" s="50">
        <v>3</v>
      </c>
      <c r="K47" s="50">
        <v>0</v>
      </c>
      <c r="L47" s="50">
        <v>0</v>
      </c>
      <c r="M47" s="50">
        <v>41</v>
      </c>
      <c r="N47" s="50">
        <v>0</v>
      </c>
      <c r="O47" s="15">
        <f t="shared" si="0"/>
        <v>22</v>
      </c>
      <c r="P47" s="15">
        <f t="shared" si="1"/>
        <v>63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1</v>
      </c>
      <c r="E48" s="50">
        <v>1</v>
      </c>
      <c r="F48" s="50">
        <v>2</v>
      </c>
      <c r="G48" s="50">
        <v>0</v>
      </c>
      <c r="H48" s="50">
        <v>0</v>
      </c>
      <c r="I48" s="50">
        <v>1</v>
      </c>
      <c r="J48" s="50">
        <v>3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16</v>
      </c>
      <c r="P48" s="15">
        <f t="shared" si="1"/>
        <v>43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1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4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14</v>
      </c>
      <c r="P49" s="15">
        <f t="shared" si="1"/>
        <v>29</v>
      </c>
      <c r="R49" s="8"/>
      <c r="T49"/>
    </row>
    <row r="50" spans="2:20" ht="23.1" customHeight="1" x14ac:dyDescent="0.25">
      <c r="B50" s="24" t="s">
        <v>77</v>
      </c>
      <c r="C50" s="50">
        <v>13</v>
      </c>
      <c r="D50" s="50">
        <v>1</v>
      </c>
      <c r="E50" s="50">
        <v>1</v>
      </c>
      <c r="F50" s="50">
        <v>1</v>
      </c>
      <c r="G50" s="50">
        <v>0</v>
      </c>
      <c r="H50" s="50">
        <v>1</v>
      </c>
      <c r="I50" s="50">
        <v>2</v>
      </c>
      <c r="J50" s="50">
        <v>1</v>
      </c>
      <c r="K50" s="50">
        <v>0</v>
      </c>
      <c r="L50" s="50">
        <v>0</v>
      </c>
      <c r="M50" s="50">
        <v>29</v>
      </c>
      <c r="N50" s="50">
        <v>0</v>
      </c>
      <c r="O50" s="15">
        <f t="shared" si="0"/>
        <v>20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1</v>
      </c>
      <c r="E51" s="50">
        <v>2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2</v>
      </c>
      <c r="L51" s="50">
        <v>2</v>
      </c>
      <c r="M51" s="50">
        <v>20</v>
      </c>
      <c r="N51" s="50">
        <v>0</v>
      </c>
      <c r="O51" s="15">
        <f t="shared" si="0"/>
        <v>20</v>
      </c>
      <c r="P51" s="15">
        <f t="shared" si="1"/>
        <v>40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8</v>
      </c>
      <c r="P52" s="15">
        <f t="shared" si="1"/>
        <v>28</v>
      </c>
      <c r="R52" s="8"/>
      <c r="T52"/>
    </row>
    <row r="53" spans="2:20" ht="23.1" customHeight="1" x14ac:dyDescent="0.25">
      <c r="B53" s="23" t="s">
        <v>80</v>
      </c>
      <c r="C53" s="50">
        <v>14</v>
      </c>
      <c r="D53" s="50">
        <v>1</v>
      </c>
      <c r="E53" s="50">
        <v>1</v>
      </c>
      <c r="F53" s="50">
        <v>3</v>
      </c>
      <c r="G53" s="50">
        <v>1</v>
      </c>
      <c r="H53" s="50">
        <v>0</v>
      </c>
      <c r="I53" s="50">
        <v>0</v>
      </c>
      <c r="J53" s="50">
        <v>1</v>
      </c>
      <c r="K53" s="50">
        <v>3</v>
      </c>
      <c r="L53" s="50">
        <v>2</v>
      </c>
      <c r="M53" s="50">
        <v>25</v>
      </c>
      <c r="N53" s="50">
        <v>0</v>
      </c>
      <c r="O53" s="15">
        <f t="shared" si="0"/>
        <v>26</v>
      </c>
      <c r="P53" s="15">
        <f t="shared" si="1"/>
        <v>51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1</v>
      </c>
      <c r="F54" s="50">
        <v>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38</v>
      </c>
      <c r="N54" s="50">
        <v>0</v>
      </c>
      <c r="O54" s="15">
        <f t="shared" si="0"/>
        <v>13</v>
      </c>
      <c r="P54" s="15">
        <f t="shared" si="1"/>
        <v>51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2</v>
      </c>
      <c r="J55" s="50">
        <v>1</v>
      </c>
      <c r="K55" s="50">
        <v>1</v>
      </c>
      <c r="L55" s="50">
        <v>0</v>
      </c>
      <c r="M55" s="50">
        <v>32</v>
      </c>
      <c r="N55" s="50">
        <v>0</v>
      </c>
      <c r="O55" s="15">
        <f t="shared" si="0"/>
        <v>10</v>
      </c>
      <c r="P55" s="15">
        <f t="shared" si="1"/>
        <v>42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2</v>
      </c>
      <c r="E56" s="50">
        <v>2</v>
      </c>
      <c r="F56" s="50">
        <v>1</v>
      </c>
      <c r="G56" s="50">
        <v>0</v>
      </c>
      <c r="H56" s="50">
        <v>1</v>
      </c>
      <c r="I56" s="50">
        <v>1</v>
      </c>
      <c r="J56" s="50">
        <v>3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19</v>
      </c>
      <c r="P56" s="15">
        <f t="shared" si="1"/>
        <v>42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2</v>
      </c>
      <c r="E57" s="50">
        <v>2</v>
      </c>
      <c r="F57" s="50">
        <v>2</v>
      </c>
      <c r="G57" s="50">
        <v>0</v>
      </c>
      <c r="H57" s="50">
        <v>0</v>
      </c>
      <c r="I57" s="50">
        <v>1</v>
      </c>
      <c r="J57" s="50">
        <v>2</v>
      </c>
      <c r="K57" s="50">
        <v>1</v>
      </c>
      <c r="L57" s="50">
        <v>0</v>
      </c>
      <c r="M57" s="50">
        <v>35</v>
      </c>
      <c r="N57" s="50">
        <v>0</v>
      </c>
      <c r="O57" s="15">
        <f t="shared" si="0"/>
        <v>13</v>
      </c>
      <c r="P57" s="15">
        <f t="shared" si="1"/>
        <v>48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393</v>
      </c>
      <c r="D58" s="16">
        <f t="shared" si="21"/>
        <v>41</v>
      </c>
      <c r="E58" s="16">
        <f t="shared" si="21"/>
        <v>54</v>
      </c>
      <c r="F58" s="16">
        <f t="shared" si="21"/>
        <v>58</v>
      </c>
      <c r="G58" s="16">
        <f t="shared" si="21"/>
        <v>2</v>
      </c>
      <c r="H58" s="16">
        <f t="shared" si="21"/>
        <v>3</v>
      </c>
      <c r="I58" s="16">
        <f t="shared" si="21"/>
        <v>77</v>
      </c>
      <c r="J58" s="16">
        <f t="shared" si="21"/>
        <v>30</v>
      </c>
      <c r="K58" s="16">
        <f t="shared" si="21"/>
        <v>12</v>
      </c>
      <c r="L58" s="16">
        <f t="shared" si="21"/>
        <v>4</v>
      </c>
      <c r="M58" s="16">
        <f t="shared" si="21"/>
        <v>1427</v>
      </c>
      <c r="N58" s="16">
        <f t="shared" si="21"/>
        <v>0</v>
      </c>
      <c r="O58" s="16">
        <f t="shared" si="21"/>
        <v>674</v>
      </c>
      <c r="P58" s="16">
        <f t="shared" si="21"/>
        <v>2101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0.18705378391242267</v>
      </c>
      <c r="D59" s="43">
        <f t="shared" si="22"/>
        <v>1.951451689671585E-2</v>
      </c>
      <c r="E59" s="43">
        <f t="shared" si="22"/>
        <v>2.570204664445502E-2</v>
      </c>
      <c r="F59" s="43">
        <f t="shared" si="22"/>
        <v>2.760590195145169E-2</v>
      </c>
      <c r="G59" s="43">
        <f t="shared" si="22"/>
        <v>9.519276534983341E-4</v>
      </c>
      <c r="H59" s="43">
        <f t="shared" si="22"/>
        <v>1.4278914802475012E-3</v>
      </c>
      <c r="I59" s="43">
        <f t="shared" si="22"/>
        <v>3.6649214659685861E-2</v>
      </c>
      <c r="J59" s="43">
        <f t="shared" si="22"/>
        <v>1.4278914802475012E-2</v>
      </c>
      <c r="K59" s="43">
        <f t="shared" si="22"/>
        <v>5.7115659209900048E-3</v>
      </c>
      <c r="L59" s="43">
        <f t="shared" si="22"/>
        <v>1.9038553069966682E-3</v>
      </c>
      <c r="M59" s="43">
        <f t="shared" si="22"/>
        <v>0.67920038077106137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0.58308605341246289</v>
      </c>
      <c r="D60" s="44">
        <f t="shared" ref="D60:N60" si="23">D58/$O$58</f>
        <v>6.0830860534124627E-2</v>
      </c>
      <c r="E60" s="44">
        <f t="shared" si="23"/>
        <v>8.0118694362017809E-2</v>
      </c>
      <c r="F60" s="44">
        <f t="shared" si="23"/>
        <v>8.6053412462908013E-2</v>
      </c>
      <c r="G60" s="44">
        <f t="shared" si="23"/>
        <v>2.967359050445104E-3</v>
      </c>
      <c r="H60" s="44">
        <f t="shared" si="23"/>
        <v>4.4510385756676559E-3</v>
      </c>
      <c r="I60" s="44">
        <f t="shared" si="23"/>
        <v>0.1142433234421365</v>
      </c>
      <c r="J60" s="44">
        <f t="shared" si="23"/>
        <v>4.4510385756676561E-2</v>
      </c>
      <c r="K60" s="44">
        <f t="shared" si="23"/>
        <v>1.7804154302670624E-2</v>
      </c>
      <c r="L60" s="44">
        <f t="shared" si="23"/>
        <v>5.9347181008902079E-3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B1" zoomScale="60" workbookViewId="0">
      <selection activeCell="N10" sqref="N10:N6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Koboko-Arua'!D5</f>
        <v>31.07.19</v>
      </c>
      <c r="E5" s="3"/>
      <c r="F5" s="41" t="s">
        <v>1</v>
      </c>
      <c r="G5" s="63" t="str">
        <f>'31.07 Koboko-Arua'!G5:H5</f>
        <v>xxx</v>
      </c>
      <c r="H5" s="64"/>
      <c r="I5" s="14"/>
      <c r="J5" s="2" t="s">
        <v>5</v>
      </c>
      <c r="K5" s="63" t="str">
        <f>'31.07 Koboko-Arua'!K5:L5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166</v>
      </c>
      <c r="E6" s="58"/>
      <c r="F6" s="2" t="s">
        <v>2</v>
      </c>
      <c r="G6" s="57" t="s">
        <v>165</v>
      </c>
      <c r="H6" s="58"/>
      <c r="J6" s="2" t="s">
        <v>21</v>
      </c>
      <c r="K6" s="63" t="str">
        <f>'31.07 Koboko-Arua'!K6:L6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3</v>
      </c>
      <c r="H10" s="50">
        <v>1</v>
      </c>
      <c r="I10" s="50">
        <v>0</v>
      </c>
      <c r="J10" s="50">
        <v>0</v>
      </c>
      <c r="K10" s="50">
        <v>0</v>
      </c>
      <c r="L10" s="50">
        <v>3</v>
      </c>
      <c r="M10" s="50">
        <v>11</v>
      </c>
      <c r="N10" s="50">
        <v>0</v>
      </c>
      <c r="O10" s="15">
        <f t="shared" ref="O10:O57" si="0">SUM(C10:L10,N10)</f>
        <v>9</v>
      </c>
      <c r="P10" s="15">
        <f t="shared" ref="P10:P57" si="1">SUM(C10:N10)</f>
        <v>20</v>
      </c>
      <c r="R10" s="1" t="s">
        <v>6</v>
      </c>
      <c r="S10" s="17">
        <f t="shared" ref="S10:AF10" si="2">SUM(C10:C13)</f>
        <v>12</v>
      </c>
      <c r="T10" s="17">
        <f t="shared" si="2"/>
        <v>0</v>
      </c>
      <c r="U10" s="17">
        <f t="shared" si="2"/>
        <v>0</v>
      </c>
      <c r="V10" s="17">
        <f t="shared" si="2"/>
        <v>4</v>
      </c>
      <c r="W10" s="17">
        <f t="shared" si="2"/>
        <v>5</v>
      </c>
      <c r="X10" s="17">
        <f t="shared" si="2"/>
        <v>1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8</v>
      </c>
      <c r="AC10" s="17">
        <f t="shared" si="2"/>
        <v>45</v>
      </c>
      <c r="AD10" s="17">
        <f t="shared" si="2"/>
        <v>0</v>
      </c>
      <c r="AE10" s="31">
        <f t="shared" si="2"/>
        <v>32</v>
      </c>
      <c r="AF10" s="31">
        <f t="shared" si="2"/>
        <v>77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6</v>
      </c>
      <c r="N11" s="50">
        <v>0</v>
      </c>
      <c r="O11" s="15">
        <f t="shared" si="0"/>
        <v>3</v>
      </c>
      <c r="P11" s="15">
        <f t="shared" si="1"/>
        <v>9</v>
      </c>
      <c r="R11" s="1" t="s">
        <v>7</v>
      </c>
      <c r="S11" s="17">
        <f t="shared" ref="S11:AF11" si="3">SUM(C14:C17)</f>
        <v>28</v>
      </c>
      <c r="T11" s="17">
        <f t="shared" si="3"/>
        <v>1</v>
      </c>
      <c r="U11" s="17">
        <f t="shared" si="3"/>
        <v>2</v>
      </c>
      <c r="V11" s="17">
        <f t="shared" si="3"/>
        <v>5</v>
      </c>
      <c r="W11" s="17">
        <f t="shared" si="3"/>
        <v>4</v>
      </c>
      <c r="X11" s="17">
        <f t="shared" si="3"/>
        <v>1</v>
      </c>
      <c r="Y11" s="17">
        <f t="shared" si="3"/>
        <v>2</v>
      </c>
      <c r="Z11" s="17">
        <f t="shared" si="3"/>
        <v>6</v>
      </c>
      <c r="AA11" s="17">
        <f t="shared" si="3"/>
        <v>1</v>
      </c>
      <c r="AB11" s="17">
        <f t="shared" si="3"/>
        <v>0</v>
      </c>
      <c r="AC11" s="17">
        <f t="shared" si="3"/>
        <v>60</v>
      </c>
      <c r="AD11" s="17">
        <f t="shared" si="3"/>
        <v>0</v>
      </c>
      <c r="AE11" s="31">
        <f t="shared" si="3"/>
        <v>50</v>
      </c>
      <c r="AF11" s="31">
        <f t="shared" si="3"/>
        <v>110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2</v>
      </c>
      <c r="H12" s="50">
        <v>0</v>
      </c>
      <c r="I12" s="50">
        <v>0</v>
      </c>
      <c r="J12" s="50">
        <v>2</v>
      </c>
      <c r="K12" s="50">
        <v>0</v>
      </c>
      <c r="L12" s="50">
        <v>3</v>
      </c>
      <c r="M12" s="50">
        <v>8</v>
      </c>
      <c r="N12" s="50">
        <v>0</v>
      </c>
      <c r="O12" s="15">
        <f t="shared" si="0"/>
        <v>10</v>
      </c>
      <c r="P12" s="15">
        <f t="shared" si="1"/>
        <v>18</v>
      </c>
      <c r="R12" s="1" t="s">
        <v>8</v>
      </c>
      <c r="S12" s="17">
        <f t="shared" ref="S12:AF12" si="4">SUM(C18:C21)</f>
        <v>34</v>
      </c>
      <c r="T12" s="17">
        <f t="shared" si="4"/>
        <v>0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55</v>
      </c>
      <c r="AD12" s="17">
        <f t="shared" si="4"/>
        <v>0</v>
      </c>
      <c r="AE12" s="31">
        <f t="shared" si="4"/>
        <v>43</v>
      </c>
      <c r="AF12" s="31">
        <f t="shared" si="4"/>
        <v>98</v>
      </c>
    </row>
    <row r="13" spans="2:32" ht="23.1" customHeight="1" x14ac:dyDescent="0.25">
      <c r="B13" s="23" t="s">
        <v>40</v>
      </c>
      <c r="C13" s="50">
        <v>7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20</v>
      </c>
      <c r="N13" s="50">
        <v>0</v>
      </c>
      <c r="O13" s="15">
        <f t="shared" si="0"/>
        <v>10</v>
      </c>
      <c r="P13" s="15">
        <f t="shared" si="1"/>
        <v>30</v>
      </c>
      <c r="R13" s="1" t="s">
        <v>9</v>
      </c>
      <c r="S13" s="17">
        <f t="shared" ref="S13:AF13" si="5">SUM(C22:C25)</f>
        <v>29</v>
      </c>
      <c r="T13" s="17">
        <f t="shared" si="5"/>
        <v>0</v>
      </c>
      <c r="U13" s="17">
        <f t="shared" si="5"/>
        <v>0</v>
      </c>
      <c r="V13" s="17">
        <f t="shared" si="5"/>
        <v>8</v>
      </c>
      <c r="W13" s="17">
        <f t="shared" si="5"/>
        <v>0</v>
      </c>
      <c r="X13" s="17">
        <f t="shared" si="5"/>
        <v>1</v>
      </c>
      <c r="Y13" s="17">
        <f t="shared" si="5"/>
        <v>7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151</v>
      </c>
      <c r="AD13" s="17">
        <f t="shared" si="5"/>
        <v>0</v>
      </c>
      <c r="AE13" s="31">
        <f t="shared" si="5"/>
        <v>49</v>
      </c>
      <c r="AF13" s="31">
        <f t="shared" si="5"/>
        <v>200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0</v>
      </c>
      <c r="F14" s="50">
        <v>3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10</v>
      </c>
      <c r="P14" s="15">
        <f t="shared" si="1"/>
        <v>20</v>
      </c>
      <c r="R14" s="1" t="s">
        <v>10</v>
      </c>
      <c r="S14" s="17">
        <f t="shared" ref="S14:AF14" si="6">SUM(C26:C29)</f>
        <v>46</v>
      </c>
      <c r="T14" s="17">
        <f t="shared" si="6"/>
        <v>1</v>
      </c>
      <c r="U14" s="17">
        <f t="shared" si="6"/>
        <v>2</v>
      </c>
      <c r="V14" s="17">
        <f t="shared" si="6"/>
        <v>4</v>
      </c>
      <c r="W14" s="17">
        <f t="shared" si="6"/>
        <v>0</v>
      </c>
      <c r="X14" s="17">
        <f t="shared" si="6"/>
        <v>1</v>
      </c>
      <c r="Y14" s="17">
        <f t="shared" si="6"/>
        <v>5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126</v>
      </c>
      <c r="AD14" s="17">
        <f t="shared" si="6"/>
        <v>0</v>
      </c>
      <c r="AE14" s="31">
        <f t="shared" si="6"/>
        <v>60</v>
      </c>
      <c r="AF14" s="31">
        <f t="shared" si="6"/>
        <v>186</v>
      </c>
    </row>
    <row r="15" spans="2:32" ht="23.1" customHeight="1" x14ac:dyDescent="0.25">
      <c r="B15" s="23" t="s">
        <v>42</v>
      </c>
      <c r="C15" s="50">
        <v>8</v>
      </c>
      <c r="D15" s="50">
        <v>0</v>
      </c>
      <c r="E15" s="50">
        <v>0</v>
      </c>
      <c r="F15" s="50">
        <v>1</v>
      </c>
      <c r="G15" s="50">
        <v>3</v>
      </c>
      <c r="H15" s="50">
        <v>0</v>
      </c>
      <c r="I15" s="50">
        <v>0</v>
      </c>
      <c r="J15" s="50">
        <v>3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15</v>
      </c>
      <c r="P15" s="15">
        <f t="shared" si="1"/>
        <v>27</v>
      </c>
      <c r="R15" s="1" t="s">
        <v>11</v>
      </c>
      <c r="S15" s="17">
        <f t="shared" ref="S15:AF15" si="7">SUM(C30:C33)</f>
        <v>46</v>
      </c>
      <c r="T15" s="17">
        <f t="shared" si="7"/>
        <v>0</v>
      </c>
      <c r="U15" s="17">
        <f t="shared" si="7"/>
        <v>0</v>
      </c>
      <c r="V15" s="17">
        <f t="shared" si="7"/>
        <v>4</v>
      </c>
      <c r="W15" s="17">
        <f t="shared" si="7"/>
        <v>1</v>
      </c>
      <c r="X15" s="17">
        <f t="shared" si="7"/>
        <v>2</v>
      </c>
      <c r="Y15" s="17">
        <f t="shared" si="7"/>
        <v>5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129</v>
      </c>
      <c r="AD15" s="17">
        <f t="shared" si="7"/>
        <v>1</v>
      </c>
      <c r="AE15" s="31">
        <f t="shared" si="7"/>
        <v>61</v>
      </c>
      <c r="AF15" s="31">
        <f t="shared" si="7"/>
        <v>190</v>
      </c>
    </row>
    <row r="16" spans="2:32" ht="23.1" customHeight="1" x14ac:dyDescent="0.25">
      <c r="B16" s="23" t="s">
        <v>43</v>
      </c>
      <c r="C16" s="50">
        <v>7</v>
      </c>
      <c r="D16" s="50">
        <v>0</v>
      </c>
      <c r="E16" s="50">
        <v>0</v>
      </c>
      <c r="F16" s="50">
        <v>1</v>
      </c>
      <c r="G16" s="50">
        <v>1</v>
      </c>
      <c r="H16" s="50">
        <v>0</v>
      </c>
      <c r="I16" s="50">
        <v>0</v>
      </c>
      <c r="J16" s="50">
        <v>1</v>
      </c>
      <c r="K16" s="50">
        <v>1</v>
      </c>
      <c r="L16" s="50">
        <v>0</v>
      </c>
      <c r="M16" s="50">
        <v>18</v>
      </c>
      <c r="N16" s="50">
        <v>0</v>
      </c>
      <c r="O16" s="15">
        <f t="shared" si="0"/>
        <v>11</v>
      </c>
      <c r="P16" s="15">
        <f t="shared" si="1"/>
        <v>29</v>
      </c>
      <c r="R16" s="1" t="s">
        <v>12</v>
      </c>
      <c r="S16" s="17">
        <f t="shared" ref="S16:AF16" si="8">SUM(C34:C37)</f>
        <v>38</v>
      </c>
      <c r="T16" s="17">
        <f t="shared" si="8"/>
        <v>0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1</v>
      </c>
      <c r="Y16" s="17">
        <f t="shared" si="8"/>
        <v>8</v>
      </c>
      <c r="Z16" s="17">
        <f t="shared" si="8"/>
        <v>2</v>
      </c>
      <c r="AA16" s="17">
        <f t="shared" si="8"/>
        <v>1</v>
      </c>
      <c r="AB16" s="17">
        <f t="shared" si="8"/>
        <v>1</v>
      </c>
      <c r="AC16" s="17">
        <f t="shared" si="8"/>
        <v>113</v>
      </c>
      <c r="AD16" s="17">
        <f t="shared" si="8"/>
        <v>0</v>
      </c>
      <c r="AE16" s="31">
        <f t="shared" si="8"/>
        <v>54</v>
      </c>
      <c r="AF16" s="31">
        <f t="shared" si="8"/>
        <v>167</v>
      </c>
    </row>
    <row r="17" spans="2:32" ht="23.1" customHeight="1" x14ac:dyDescent="0.25">
      <c r="B17" s="23" t="s">
        <v>44</v>
      </c>
      <c r="C17" s="50">
        <v>7</v>
      </c>
      <c r="D17" s="50">
        <v>1</v>
      </c>
      <c r="E17" s="50">
        <v>2</v>
      </c>
      <c r="F17" s="50">
        <v>0</v>
      </c>
      <c r="G17" s="50">
        <v>0</v>
      </c>
      <c r="H17" s="50">
        <v>0</v>
      </c>
      <c r="I17" s="50">
        <v>2</v>
      </c>
      <c r="J17" s="50">
        <v>2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14</v>
      </c>
      <c r="P17" s="15">
        <f t="shared" si="1"/>
        <v>34</v>
      </c>
      <c r="R17" s="1" t="s">
        <v>13</v>
      </c>
      <c r="S17" s="17">
        <f t="shared" ref="S17:AF17" si="9">SUM(C38:C41)</f>
        <v>50</v>
      </c>
      <c r="T17" s="17">
        <f t="shared" si="9"/>
        <v>0</v>
      </c>
      <c r="U17" s="17">
        <f t="shared" si="9"/>
        <v>0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197</v>
      </c>
      <c r="AD17" s="17">
        <f t="shared" si="9"/>
        <v>0</v>
      </c>
      <c r="AE17" s="31">
        <f t="shared" si="9"/>
        <v>62</v>
      </c>
      <c r="AF17" s="31">
        <f t="shared" si="9"/>
        <v>259</v>
      </c>
    </row>
    <row r="18" spans="2:32" ht="23.1" customHeight="1" x14ac:dyDescent="0.25">
      <c r="B18" s="23" t="s">
        <v>45</v>
      </c>
      <c r="C18" s="50">
        <v>14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16</v>
      </c>
      <c r="P18" s="15">
        <f t="shared" si="1"/>
        <v>31</v>
      </c>
      <c r="R18" s="1" t="s">
        <v>14</v>
      </c>
      <c r="S18" s="17">
        <f t="shared" ref="S18:AF18" si="10">SUM(C42:C45)</f>
        <v>24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4</v>
      </c>
      <c r="AA18" s="17">
        <f t="shared" si="10"/>
        <v>0</v>
      </c>
      <c r="AB18" s="17">
        <f t="shared" si="10"/>
        <v>1</v>
      </c>
      <c r="AC18" s="17">
        <f t="shared" si="10"/>
        <v>121</v>
      </c>
      <c r="AD18" s="17">
        <f t="shared" si="10"/>
        <v>0</v>
      </c>
      <c r="AE18" s="31">
        <f t="shared" si="10"/>
        <v>35</v>
      </c>
      <c r="AF18" s="31">
        <f t="shared" si="10"/>
        <v>156</v>
      </c>
    </row>
    <row r="19" spans="2:32" ht="23.1" customHeight="1" x14ac:dyDescent="0.25">
      <c r="B19" s="23" t="s">
        <v>46</v>
      </c>
      <c r="C19" s="50">
        <v>7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1</v>
      </c>
      <c r="J19" s="50">
        <v>3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13</v>
      </c>
      <c r="P19" s="15">
        <f t="shared" si="1"/>
        <v>30</v>
      </c>
      <c r="R19" s="1" t="s">
        <v>15</v>
      </c>
      <c r="S19" s="17">
        <f t="shared" ref="S19:AF19" si="11">SUM(C46:C49)</f>
        <v>46</v>
      </c>
      <c r="T19" s="17">
        <f t="shared" si="11"/>
        <v>6</v>
      </c>
      <c r="U19" s="17">
        <f t="shared" si="11"/>
        <v>10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114</v>
      </c>
      <c r="AD19" s="17">
        <f t="shared" si="11"/>
        <v>0</v>
      </c>
      <c r="AE19" s="31">
        <f t="shared" si="11"/>
        <v>67</v>
      </c>
      <c r="AF19" s="31">
        <f t="shared" si="11"/>
        <v>181</v>
      </c>
    </row>
    <row r="20" spans="2:32" ht="23.1" customHeight="1" x14ac:dyDescent="0.25">
      <c r="B20" s="23" t="s">
        <v>47</v>
      </c>
      <c r="C20" s="50">
        <v>7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8</v>
      </c>
      <c r="P20" s="15">
        <f t="shared" si="1"/>
        <v>20</v>
      </c>
      <c r="R20" s="1" t="s">
        <v>16</v>
      </c>
      <c r="S20" s="17">
        <f t="shared" ref="S20:AF20" si="12">SUM(C50:C53)</f>
        <v>41</v>
      </c>
      <c r="T20" s="17">
        <f t="shared" si="12"/>
        <v>5</v>
      </c>
      <c r="U20" s="17">
        <f t="shared" si="12"/>
        <v>9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7</v>
      </c>
      <c r="AA20" s="17">
        <f t="shared" si="12"/>
        <v>0</v>
      </c>
      <c r="AB20" s="17">
        <f t="shared" si="12"/>
        <v>0</v>
      </c>
      <c r="AC20" s="17">
        <f t="shared" si="12"/>
        <v>88</v>
      </c>
      <c r="AD20" s="17">
        <f t="shared" si="12"/>
        <v>0</v>
      </c>
      <c r="AE20" s="31">
        <f t="shared" si="12"/>
        <v>77</v>
      </c>
      <c r="AF20" s="31">
        <f t="shared" si="12"/>
        <v>165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6</v>
      </c>
      <c r="P21" s="15">
        <f t="shared" si="1"/>
        <v>17</v>
      </c>
      <c r="R21" s="36" t="s">
        <v>20</v>
      </c>
      <c r="S21" s="34">
        <f t="shared" ref="S21:AF21" si="13">SUM(C54:C57)</f>
        <v>29</v>
      </c>
      <c r="T21" s="17">
        <f t="shared" si="13"/>
        <v>5</v>
      </c>
      <c r="U21" s="17">
        <f t="shared" si="13"/>
        <v>8</v>
      </c>
      <c r="V21" s="17">
        <f t="shared" si="13"/>
        <v>7</v>
      </c>
      <c r="W21" s="17">
        <f t="shared" si="13"/>
        <v>1</v>
      </c>
      <c r="X21" s="17">
        <f t="shared" si="13"/>
        <v>2</v>
      </c>
      <c r="Y21" s="17">
        <f t="shared" si="13"/>
        <v>4</v>
      </c>
      <c r="Z21" s="17">
        <f t="shared" si="13"/>
        <v>5</v>
      </c>
      <c r="AA21" s="17">
        <f t="shared" si="13"/>
        <v>2</v>
      </c>
      <c r="AB21" s="17">
        <f t="shared" si="13"/>
        <v>1</v>
      </c>
      <c r="AC21" s="17">
        <f t="shared" si="13"/>
        <v>59</v>
      </c>
      <c r="AD21" s="17">
        <f t="shared" si="13"/>
        <v>0</v>
      </c>
      <c r="AE21" s="31">
        <f t="shared" si="13"/>
        <v>64</v>
      </c>
      <c r="AF21" s="31">
        <f t="shared" si="13"/>
        <v>123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0</v>
      </c>
      <c r="P22" s="15">
        <f t="shared" si="1"/>
        <v>2</v>
      </c>
      <c r="R22" s="38" t="s">
        <v>90</v>
      </c>
      <c r="S22" s="39">
        <f>MAX(S10:S12)</f>
        <v>34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5</v>
      </c>
      <c r="W22" s="39">
        <f t="shared" si="14"/>
        <v>5</v>
      </c>
      <c r="X22" s="39">
        <f t="shared" si="14"/>
        <v>1</v>
      </c>
      <c r="Y22" s="39">
        <f t="shared" si="14"/>
        <v>2</v>
      </c>
      <c r="Z22" s="39">
        <f t="shared" si="14"/>
        <v>6</v>
      </c>
      <c r="AA22" s="39">
        <f t="shared" si="14"/>
        <v>1</v>
      </c>
      <c r="AB22" s="39">
        <f t="shared" si="14"/>
        <v>8</v>
      </c>
      <c r="AC22" s="39">
        <f t="shared" si="14"/>
        <v>60</v>
      </c>
      <c r="AD22" s="39">
        <f t="shared" si="14"/>
        <v>0</v>
      </c>
      <c r="AE22" s="40">
        <f t="shared" si="14"/>
        <v>50</v>
      </c>
      <c r="AF22" s="40">
        <f t="shared" si="14"/>
        <v>110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38</v>
      </c>
      <c r="N23" s="50">
        <v>0</v>
      </c>
      <c r="O23" s="15">
        <f t="shared" si="0"/>
        <v>5</v>
      </c>
      <c r="P23" s="15">
        <f t="shared" si="1"/>
        <v>43</v>
      </c>
      <c r="R23" s="38" t="s">
        <v>91</v>
      </c>
      <c r="S23" s="39">
        <f>MAX(S13:S18)</f>
        <v>50</v>
      </c>
      <c r="T23" s="39">
        <f t="shared" ref="T23:AF23" si="15">MAX(T13:T18)</f>
        <v>1</v>
      </c>
      <c r="U23" s="39">
        <f t="shared" si="15"/>
        <v>2</v>
      </c>
      <c r="V23" s="39">
        <f t="shared" si="15"/>
        <v>8</v>
      </c>
      <c r="W23" s="39">
        <f t="shared" si="15"/>
        <v>1</v>
      </c>
      <c r="X23" s="39">
        <f t="shared" si="15"/>
        <v>2</v>
      </c>
      <c r="Y23" s="39">
        <f t="shared" si="15"/>
        <v>8</v>
      </c>
      <c r="Z23" s="39">
        <f t="shared" si="15"/>
        <v>4</v>
      </c>
      <c r="AA23" s="39">
        <f t="shared" si="15"/>
        <v>1</v>
      </c>
      <c r="AB23" s="39">
        <f t="shared" si="15"/>
        <v>1</v>
      </c>
      <c r="AC23" s="39">
        <f t="shared" si="15"/>
        <v>197</v>
      </c>
      <c r="AD23" s="39">
        <f t="shared" si="15"/>
        <v>1</v>
      </c>
      <c r="AE23" s="40">
        <f t="shared" si="15"/>
        <v>62</v>
      </c>
      <c r="AF23" s="40">
        <f t="shared" si="15"/>
        <v>259</v>
      </c>
    </row>
    <row r="24" spans="2:32" ht="23.1" customHeight="1" x14ac:dyDescent="0.25">
      <c r="B24" s="23" t="s">
        <v>51</v>
      </c>
      <c r="C24" s="50">
        <v>13</v>
      </c>
      <c r="D24" s="50">
        <v>0</v>
      </c>
      <c r="E24" s="50">
        <v>0</v>
      </c>
      <c r="F24" s="50">
        <v>3</v>
      </c>
      <c r="G24" s="50">
        <v>0</v>
      </c>
      <c r="H24" s="50">
        <v>1</v>
      </c>
      <c r="I24" s="50">
        <v>1</v>
      </c>
      <c r="J24" s="50">
        <v>1</v>
      </c>
      <c r="K24" s="50">
        <v>0</v>
      </c>
      <c r="L24" s="50">
        <v>0</v>
      </c>
      <c r="M24" s="50">
        <v>65</v>
      </c>
      <c r="N24" s="50">
        <v>0</v>
      </c>
      <c r="O24" s="15">
        <f t="shared" si="0"/>
        <v>19</v>
      </c>
      <c r="P24" s="15">
        <f t="shared" si="1"/>
        <v>84</v>
      </c>
      <c r="R24" s="38" t="s">
        <v>92</v>
      </c>
      <c r="S24" s="39">
        <f>MAX(S19:S21)</f>
        <v>46</v>
      </c>
      <c r="T24" s="39">
        <f t="shared" ref="T24:AF24" si="16">MAX(T19:T21)</f>
        <v>6</v>
      </c>
      <c r="U24" s="39">
        <f t="shared" si="16"/>
        <v>10</v>
      </c>
      <c r="V24" s="39">
        <f t="shared" si="16"/>
        <v>7</v>
      </c>
      <c r="W24" s="39">
        <f t="shared" si="16"/>
        <v>1</v>
      </c>
      <c r="X24" s="39">
        <f t="shared" si="16"/>
        <v>2</v>
      </c>
      <c r="Y24" s="39">
        <f t="shared" si="16"/>
        <v>8</v>
      </c>
      <c r="Z24" s="39">
        <f t="shared" si="16"/>
        <v>7</v>
      </c>
      <c r="AA24" s="39">
        <f t="shared" si="16"/>
        <v>2</v>
      </c>
      <c r="AB24" s="39">
        <f t="shared" si="16"/>
        <v>1</v>
      </c>
      <c r="AC24" s="39">
        <f t="shared" si="16"/>
        <v>114</v>
      </c>
      <c r="AD24" s="39">
        <f t="shared" si="16"/>
        <v>0</v>
      </c>
      <c r="AE24" s="40">
        <f t="shared" si="16"/>
        <v>77</v>
      </c>
      <c r="AF24" s="40">
        <f t="shared" si="16"/>
        <v>181</v>
      </c>
    </row>
    <row r="25" spans="2:32" ht="23.1" customHeight="1" x14ac:dyDescent="0.25">
      <c r="B25" s="23" t="s">
        <v>52</v>
      </c>
      <c r="C25" s="50">
        <v>11</v>
      </c>
      <c r="D25" s="50">
        <v>0</v>
      </c>
      <c r="E25" s="50">
        <v>0</v>
      </c>
      <c r="F25" s="50">
        <v>5</v>
      </c>
      <c r="G25" s="50">
        <v>0</v>
      </c>
      <c r="H25" s="50">
        <v>0</v>
      </c>
      <c r="I25" s="50">
        <v>6</v>
      </c>
      <c r="J25" s="50">
        <v>3</v>
      </c>
      <c r="K25" s="50">
        <v>0</v>
      </c>
      <c r="L25" s="50">
        <v>0</v>
      </c>
      <c r="M25" s="50">
        <v>46</v>
      </c>
      <c r="N25" s="50">
        <v>0</v>
      </c>
      <c r="O25" s="15">
        <f t="shared" si="0"/>
        <v>25</v>
      </c>
      <c r="P25" s="15">
        <f t="shared" si="1"/>
        <v>71</v>
      </c>
      <c r="R25" s="37" t="s">
        <v>85</v>
      </c>
      <c r="S25" s="35">
        <f t="shared" ref="S25:AF25" si="17">SUM(S10:S12)</f>
        <v>74</v>
      </c>
      <c r="T25" s="16">
        <f t="shared" si="17"/>
        <v>1</v>
      </c>
      <c r="U25" s="16">
        <f t="shared" si="17"/>
        <v>2</v>
      </c>
      <c r="V25" s="16">
        <f t="shared" si="17"/>
        <v>13</v>
      </c>
      <c r="W25" s="16">
        <f t="shared" si="17"/>
        <v>9</v>
      </c>
      <c r="X25" s="16">
        <f t="shared" si="17"/>
        <v>2</v>
      </c>
      <c r="Y25" s="16">
        <f t="shared" si="17"/>
        <v>4</v>
      </c>
      <c r="Z25" s="16">
        <f t="shared" si="17"/>
        <v>11</v>
      </c>
      <c r="AA25" s="16">
        <f t="shared" si="17"/>
        <v>1</v>
      </c>
      <c r="AB25" s="16">
        <f t="shared" si="17"/>
        <v>8</v>
      </c>
      <c r="AC25" s="16">
        <f t="shared" si="17"/>
        <v>160</v>
      </c>
      <c r="AD25" s="16">
        <f t="shared" si="17"/>
        <v>0</v>
      </c>
      <c r="AE25" s="32">
        <f t="shared" si="17"/>
        <v>125</v>
      </c>
      <c r="AF25" s="32">
        <f t="shared" si="17"/>
        <v>285</v>
      </c>
    </row>
    <row r="26" spans="2:32" ht="23.1" customHeight="1" x14ac:dyDescent="0.25">
      <c r="B26" s="23" t="s">
        <v>53</v>
      </c>
      <c r="C26" s="50">
        <v>14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41</v>
      </c>
      <c r="N26" s="50">
        <v>0</v>
      </c>
      <c r="O26" s="15">
        <f t="shared" si="0"/>
        <v>18</v>
      </c>
      <c r="P26" s="15">
        <f t="shared" si="1"/>
        <v>59</v>
      </c>
      <c r="R26" s="28" t="s">
        <v>86</v>
      </c>
      <c r="S26" s="16">
        <f t="shared" ref="S26:AF26" si="18">SUM(S13:S18)</f>
        <v>233</v>
      </c>
      <c r="T26" s="16">
        <f t="shared" si="18"/>
        <v>1</v>
      </c>
      <c r="U26" s="16">
        <f t="shared" si="18"/>
        <v>2</v>
      </c>
      <c r="V26" s="16">
        <f t="shared" si="18"/>
        <v>25</v>
      </c>
      <c r="W26" s="16">
        <f t="shared" si="18"/>
        <v>1</v>
      </c>
      <c r="X26" s="16">
        <f t="shared" si="18"/>
        <v>5</v>
      </c>
      <c r="Y26" s="16">
        <f t="shared" si="18"/>
        <v>33</v>
      </c>
      <c r="Z26" s="16">
        <f t="shared" si="18"/>
        <v>17</v>
      </c>
      <c r="AA26" s="16">
        <f t="shared" si="18"/>
        <v>1</v>
      </c>
      <c r="AB26" s="16">
        <f t="shared" si="18"/>
        <v>2</v>
      </c>
      <c r="AC26" s="16">
        <f t="shared" si="18"/>
        <v>837</v>
      </c>
      <c r="AD26" s="16">
        <f t="shared" si="18"/>
        <v>1</v>
      </c>
      <c r="AE26" s="32">
        <f t="shared" si="18"/>
        <v>321</v>
      </c>
      <c r="AF26" s="32">
        <f t="shared" si="18"/>
        <v>1158</v>
      </c>
    </row>
    <row r="27" spans="2:32" ht="23.1" customHeight="1" x14ac:dyDescent="0.25">
      <c r="B27" s="23" t="s">
        <v>54</v>
      </c>
      <c r="C27" s="50">
        <v>9</v>
      </c>
      <c r="D27" s="50">
        <v>0</v>
      </c>
      <c r="E27" s="50">
        <v>0</v>
      </c>
      <c r="F27" s="50">
        <v>0</v>
      </c>
      <c r="G27" s="50">
        <v>0</v>
      </c>
      <c r="H27" s="50">
        <v>1</v>
      </c>
      <c r="I27" s="50">
        <v>1</v>
      </c>
      <c r="J27" s="50">
        <v>0</v>
      </c>
      <c r="K27" s="50">
        <v>0</v>
      </c>
      <c r="L27" s="50">
        <v>0</v>
      </c>
      <c r="M27" s="50">
        <v>28</v>
      </c>
      <c r="N27" s="50">
        <v>0</v>
      </c>
      <c r="O27" s="15">
        <f t="shared" si="0"/>
        <v>11</v>
      </c>
      <c r="P27" s="15">
        <f t="shared" si="1"/>
        <v>39</v>
      </c>
      <c r="R27" s="29" t="s">
        <v>87</v>
      </c>
      <c r="S27" s="16">
        <f t="shared" ref="S27:AF27" si="19">SUM(S19:S21)</f>
        <v>116</v>
      </c>
      <c r="T27" s="16">
        <f t="shared" si="19"/>
        <v>16</v>
      </c>
      <c r="U27" s="16">
        <f t="shared" si="19"/>
        <v>27</v>
      </c>
      <c r="V27" s="16">
        <f t="shared" si="19"/>
        <v>14</v>
      </c>
      <c r="W27" s="16">
        <f t="shared" si="19"/>
        <v>1</v>
      </c>
      <c r="X27" s="16">
        <f t="shared" si="19"/>
        <v>2</v>
      </c>
      <c r="Y27" s="16">
        <f t="shared" si="19"/>
        <v>13</v>
      </c>
      <c r="Z27" s="16">
        <f t="shared" si="19"/>
        <v>15</v>
      </c>
      <c r="AA27" s="16">
        <f t="shared" si="19"/>
        <v>3</v>
      </c>
      <c r="AB27" s="16">
        <f t="shared" si="19"/>
        <v>1</v>
      </c>
      <c r="AC27" s="16">
        <f t="shared" si="19"/>
        <v>261</v>
      </c>
      <c r="AD27" s="16">
        <f t="shared" si="19"/>
        <v>0</v>
      </c>
      <c r="AE27" s="32">
        <f t="shared" si="19"/>
        <v>208</v>
      </c>
      <c r="AF27" s="32">
        <f t="shared" si="19"/>
        <v>469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5</v>
      </c>
      <c r="P28" s="15">
        <f t="shared" si="1"/>
        <v>21</v>
      </c>
      <c r="R28" s="5" t="s">
        <v>17</v>
      </c>
      <c r="S28" s="16">
        <f t="shared" ref="S28:AF28" si="20">SUM(S10:S21)</f>
        <v>423</v>
      </c>
      <c r="T28" s="16">
        <f t="shared" si="20"/>
        <v>18</v>
      </c>
      <c r="U28" s="16">
        <f t="shared" si="20"/>
        <v>31</v>
      </c>
      <c r="V28" s="16">
        <f t="shared" si="20"/>
        <v>52</v>
      </c>
      <c r="W28" s="16">
        <f t="shared" si="20"/>
        <v>11</v>
      </c>
      <c r="X28" s="16">
        <f t="shared" si="20"/>
        <v>9</v>
      </c>
      <c r="Y28" s="16">
        <f t="shared" si="20"/>
        <v>50</v>
      </c>
      <c r="Z28" s="16">
        <f t="shared" si="20"/>
        <v>43</v>
      </c>
      <c r="AA28" s="16">
        <f t="shared" si="20"/>
        <v>5</v>
      </c>
      <c r="AB28" s="16">
        <f t="shared" si="20"/>
        <v>11</v>
      </c>
      <c r="AC28" s="16">
        <f t="shared" si="20"/>
        <v>1258</v>
      </c>
      <c r="AD28" s="16">
        <f t="shared" si="20"/>
        <v>1</v>
      </c>
      <c r="AE28" s="32">
        <f t="shared" si="20"/>
        <v>654</v>
      </c>
      <c r="AF28" s="32">
        <f t="shared" si="20"/>
        <v>1912</v>
      </c>
    </row>
    <row r="29" spans="2:32" ht="23.1" customHeight="1" x14ac:dyDescent="0.25">
      <c r="B29" s="23" t="s">
        <v>56</v>
      </c>
      <c r="C29" s="50">
        <v>18</v>
      </c>
      <c r="D29" s="50">
        <v>1</v>
      </c>
      <c r="E29" s="50">
        <v>2</v>
      </c>
      <c r="F29" s="50">
        <v>2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41</v>
      </c>
      <c r="N29" s="50">
        <v>0</v>
      </c>
      <c r="O29" s="15">
        <f t="shared" si="0"/>
        <v>26</v>
      </c>
      <c r="P29" s="15">
        <f t="shared" si="1"/>
        <v>67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32</v>
      </c>
      <c r="N30" s="50">
        <v>0</v>
      </c>
      <c r="O30" s="15">
        <f t="shared" si="0"/>
        <v>14</v>
      </c>
      <c r="P30" s="15">
        <f t="shared" si="1"/>
        <v>46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0</v>
      </c>
      <c r="F31" s="50">
        <v>0</v>
      </c>
      <c r="G31" s="50">
        <v>0</v>
      </c>
      <c r="H31" s="50">
        <v>2</v>
      </c>
      <c r="I31" s="50">
        <v>2</v>
      </c>
      <c r="J31" s="50">
        <v>1</v>
      </c>
      <c r="K31" s="50">
        <v>0</v>
      </c>
      <c r="L31" s="50">
        <v>0</v>
      </c>
      <c r="M31" s="50">
        <v>26</v>
      </c>
      <c r="N31" s="50">
        <v>1</v>
      </c>
      <c r="O31" s="15">
        <f t="shared" si="0"/>
        <v>13</v>
      </c>
      <c r="P31" s="15">
        <f t="shared" si="1"/>
        <v>39</v>
      </c>
    </row>
    <row r="32" spans="2:32" ht="23.1" customHeight="1" x14ac:dyDescent="0.25">
      <c r="B32" s="24" t="s">
        <v>59</v>
      </c>
      <c r="C32" s="50">
        <v>14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26</v>
      </c>
      <c r="N32" s="50">
        <v>0</v>
      </c>
      <c r="O32" s="15">
        <f t="shared" si="0"/>
        <v>17</v>
      </c>
      <c r="P32" s="15">
        <f t="shared" si="1"/>
        <v>43</v>
      </c>
    </row>
    <row r="33" spans="2:20" ht="23.1" customHeight="1" x14ac:dyDescent="0.25">
      <c r="B33" s="23" t="s">
        <v>60</v>
      </c>
      <c r="C33" s="50">
        <v>14</v>
      </c>
      <c r="D33" s="50">
        <v>0</v>
      </c>
      <c r="E33" s="50">
        <v>0</v>
      </c>
      <c r="F33" s="50">
        <v>1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17</v>
      </c>
      <c r="P33" s="15">
        <f t="shared" si="1"/>
        <v>62</v>
      </c>
    </row>
    <row r="34" spans="2:20" ht="23.1" customHeight="1" x14ac:dyDescent="0.25">
      <c r="B34" s="24" t="s">
        <v>61</v>
      </c>
      <c r="C34" s="50">
        <v>7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2</v>
      </c>
      <c r="J34" s="50">
        <v>1</v>
      </c>
      <c r="K34" s="50">
        <v>1</v>
      </c>
      <c r="L34" s="50">
        <v>1</v>
      </c>
      <c r="M34" s="50">
        <v>33</v>
      </c>
      <c r="N34" s="50">
        <v>0</v>
      </c>
      <c r="O34" s="15">
        <f t="shared" si="0"/>
        <v>14</v>
      </c>
      <c r="P34" s="15">
        <f t="shared" si="1"/>
        <v>47</v>
      </c>
    </row>
    <row r="35" spans="2:20" ht="23.1" customHeight="1" x14ac:dyDescent="0.25">
      <c r="B35" s="24" t="s">
        <v>62</v>
      </c>
      <c r="C35" s="50">
        <v>12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12</v>
      </c>
      <c r="P35" s="15">
        <f t="shared" si="1"/>
        <v>24</v>
      </c>
    </row>
    <row r="36" spans="2:20" ht="23.1" customHeight="1" x14ac:dyDescent="0.25">
      <c r="B36" s="24" t="s">
        <v>63</v>
      </c>
      <c r="C36" s="50">
        <v>10</v>
      </c>
      <c r="D36" s="50">
        <v>0</v>
      </c>
      <c r="E36" s="50">
        <v>0</v>
      </c>
      <c r="F36" s="50">
        <v>0</v>
      </c>
      <c r="G36" s="50">
        <v>0</v>
      </c>
      <c r="H36" s="50">
        <v>1</v>
      </c>
      <c r="I36" s="50">
        <v>3</v>
      </c>
      <c r="J36" s="50">
        <v>1</v>
      </c>
      <c r="K36" s="50">
        <v>0</v>
      </c>
      <c r="L36" s="50">
        <v>0</v>
      </c>
      <c r="M36" s="50">
        <v>30</v>
      </c>
      <c r="N36" s="50">
        <v>0</v>
      </c>
      <c r="O36" s="15">
        <f t="shared" si="0"/>
        <v>15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9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38</v>
      </c>
      <c r="N37" s="50">
        <v>0</v>
      </c>
      <c r="O37" s="15">
        <f t="shared" si="0"/>
        <v>13</v>
      </c>
      <c r="P37" s="15">
        <f t="shared" si="1"/>
        <v>51</v>
      </c>
    </row>
    <row r="38" spans="2:20" ht="23.1" customHeight="1" x14ac:dyDescent="0.25">
      <c r="B38" s="24" t="s">
        <v>65</v>
      </c>
      <c r="C38" s="50">
        <v>15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43</v>
      </c>
      <c r="N38" s="50">
        <v>0</v>
      </c>
      <c r="O38" s="15">
        <f t="shared" si="0"/>
        <v>17</v>
      </c>
      <c r="P38" s="15">
        <f t="shared" si="1"/>
        <v>60</v>
      </c>
    </row>
    <row r="39" spans="2:20" ht="23.1" customHeight="1" x14ac:dyDescent="0.25">
      <c r="B39" s="24" t="s">
        <v>66</v>
      </c>
      <c r="C39" s="50">
        <v>9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12</v>
      </c>
      <c r="P39" s="15">
        <f t="shared" si="1"/>
        <v>47</v>
      </c>
    </row>
    <row r="40" spans="2:20" ht="23.1" customHeight="1" x14ac:dyDescent="0.25">
      <c r="B40" s="24" t="s">
        <v>67</v>
      </c>
      <c r="C40" s="50">
        <v>10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72</v>
      </c>
      <c r="N40" s="50">
        <v>0</v>
      </c>
      <c r="O40" s="15">
        <f t="shared" si="0"/>
        <v>15</v>
      </c>
      <c r="P40" s="15">
        <f t="shared" si="1"/>
        <v>87</v>
      </c>
    </row>
    <row r="41" spans="2:20" ht="23.1" customHeight="1" x14ac:dyDescent="0.25">
      <c r="B41" s="23" t="s">
        <v>68</v>
      </c>
      <c r="C41" s="50">
        <v>16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47</v>
      </c>
      <c r="N41" s="50">
        <v>0</v>
      </c>
      <c r="O41" s="15">
        <f t="shared" si="0"/>
        <v>18</v>
      </c>
      <c r="P41" s="15">
        <f t="shared" si="1"/>
        <v>65</v>
      </c>
    </row>
    <row r="42" spans="2:20" ht="23.1" customHeight="1" x14ac:dyDescent="0.25">
      <c r="B42" s="24" t="s">
        <v>69</v>
      </c>
      <c r="C42" s="50">
        <v>11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1</v>
      </c>
      <c r="M42" s="50">
        <v>26</v>
      </c>
      <c r="N42" s="50">
        <v>0</v>
      </c>
      <c r="O42" s="15">
        <f t="shared" si="0"/>
        <v>16</v>
      </c>
      <c r="P42" s="15">
        <f t="shared" si="1"/>
        <v>42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6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3</v>
      </c>
      <c r="P44" s="15">
        <f t="shared" si="1"/>
        <v>26</v>
      </c>
    </row>
    <row r="45" spans="2:20" ht="23.1" customHeight="1" x14ac:dyDescent="0.25">
      <c r="B45" s="23" t="s">
        <v>72</v>
      </c>
      <c r="C45" s="50">
        <v>9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57</v>
      </c>
      <c r="N45" s="50">
        <v>0</v>
      </c>
      <c r="O45" s="15">
        <f t="shared" si="0"/>
        <v>10</v>
      </c>
      <c r="P45" s="15">
        <f t="shared" si="1"/>
        <v>67</v>
      </c>
    </row>
    <row r="46" spans="2:20" ht="23.1" customHeight="1" x14ac:dyDescent="0.25">
      <c r="B46" s="24" t="s">
        <v>73</v>
      </c>
      <c r="C46" s="50">
        <v>7</v>
      </c>
      <c r="D46" s="50">
        <v>2</v>
      </c>
      <c r="E46" s="50">
        <v>3</v>
      </c>
      <c r="F46" s="50">
        <v>0</v>
      </c>
      <c r="G46" s="50">
        <v>0</v>
      </c>
      <c r="H46" s="50">
        <v>0</v>
      </c>
      <c r="I46" s="50">
        <v>1</v>
      </c>
      <c r="J46" s="50">
        <v>2</v>
      </c>
      <c r="K46" s="50">
        <v>0</v>
      </c>
      <c r="L46" s="50">
        <v>0</v>
      </c>
      <c r="M46" s="50">
        <v>37</v>
      </c>
      <c r="N46" s="50">
        <v>0</v>
      </c>
      <c r="O46" s="15">
        <f t="shared" si="0"/>
        <v>15</v>
      </c>
      <c r="P46" s="15">
        <f t="shared" si="1"/>
        <v>52</v>
      </c>
      <c r="R46" s="8"/>
      <c r="T46"/>
    </row>
    <row r="47" spans="2:20" ht="23.1" customHeight="1" x14ac:dyDescent="0.25">
      <c r="B47" s="24" t="s">
        <v>74</v>
      </c>
      <c r="C47" s="50">
        <v>18</v>
      </c>
      <c r="D47" s="50">
        <v>3</v>
      </c>
      <c r="E47" s="50">
        <v>5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50</v>
      </c>
      <c r="N47" s="50">
        <v>0</v>
      </c>
      <c r="O47" s="15">
        <f t="shared" si="0"/>
        <v>26</v>
      </c>
      <c r="P47" s="15">
        <f t="shared" si="1"/>
        <v>76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1</v>
      </c>
      <c r="E48" s="50">
        <v>2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20</v>
      </c>
      <c r="N48" s="50">
        <v>0</v>
      </c>
      <c r="O48" s="15">
        <f t="shared" si="0"/>
        <v>18</v>
      </c>
      <c r="P48" s="15">
        <f t="shared" si="1"/>
        <v>38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8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13</v>
      </c>
      <c r="D50" s="50">
        <v>2</v>
      </c>
      <c r="E50" s="50">
        <v>4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21</v>
      </c>
      <c r="P50" s="15">
        <f t="shared" si="1"/>
        <v>46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0</v>
      </c>
      <c r="M51" s="50">
        <v>26</v>
      </c>
      <c r="N51" s="50">
        <v>0</v>
      </c>
      <c r="O51" s="15">
        <f t="shared" si="0"/>
        <v>9</v>
      </c>
      <c r="P51" s="15">
        <f t="shared" si="1"/>
        <v>35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2</v>
      </c>
      <c r="J52" s="50">
        <v>2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16</v>
      </c>
      <c r="P52" s="15">
        <f t="shared" si="1"/>
        <v>31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3</v>
      </c>
      <c r="E53" s="50">
        <v>5</v>
      </c>
      <c r="F53" s="50">
        <v>2</v>
      </c>
      <c r="G53" s="50">
        <v>0</v>
      </c>
      <c r="H53" s="50">
        <v>0</v>
      </c>
      <c r="I53" s="50">
        <v>5</v>
      </c>
      <c r="J53" s="50">
        <v>3</v>
      </c>
      <c r="K53" s="50">
        <v>0</v>
      </c>
      <c r="L53" s="50">
        <v>0</v>
      </c>
      <c r="M53" s="50">
        <v>22</v>
      </c>
      <c r="N53" s="50">
        <v>0</v>
      </c>
      <c r="O53" s="15">
        <f t="shared" si="0"/>
        <v>31</v>
      </c>
      <c r="P53" s="15">
        <f t="shared" si="1"/>
        <v>53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2</v>
      </c>
      <c r="J54" s="50">
        <v>3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17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2</v>
      </c>
      <c r="E55" s="50">
        <v>3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18</v>
      </c>
      <c r="N55" s="50">
        <v>0</v>
      </c>
      <c r="O55" s="15">
        <f t="shared" si="0"/>
        <v>15</v>
      </c>
      <c r="P55" s="15">
        <f t="shared" si="1"/>
        <v>33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11</v>
      </c>
      <c r="P56" s="15">
        <f t="shared" si="1"/>
        <v>23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3</v>
      </c>
      <c r="F57" s="50">
        <v>2</v>
      </c>
      <c r="G57" s="50">
        <v>1</v>
      </c>
      <c r="H57" s="50">
        <v>2</v>
      </c>
      <c r="I57" s="50">
        <v>2</v>
      </c>
      <c r="J57" s="50">
        <v>1</v>
      </c>
      <c r="K57" s="50">
        <v>2</v>
      </c>
      <c r="L57" s="50">
        <v>1</v>
      </c>
      <c r="M57" s="50">
        <v>16</v>
      </c>
      <c r="N57" s="50">
        <v>0</v>
      </c>
      <c r="O57" s="15">
        <f t="shared" si="0"/>
        <v>21</v>
      </c>
      <c r="P57" s="15">
        <f t="shared" si="1"/>
        <v>37</v>
      </c>
      <c r="R57" s="8"/>
      <c r="T57"/>
    </row>
    <row r="58" spans="2:20" ht="23.1" customHeight="1" x14ac:dyDescent="0.25">
      <c r="B58" s="26" t="s">
        <v>18</v>
      </c>
      <c r="C58" s="16">
        <f t="shared" ref="C58:K58" si="21">SUM(C10:C57)</f>
        <v>423</v>
      </c>
      <c r="D58" s="16">
        <f t="shared" si="21"/>
        <v>18</v>
      </c>
      <c r="E58" s="16">
        <f t="shared" si="21"/>
        <v>31</v>
      </c>
      <c r="F58" s="16">
        <f t="shared" si="21"/>
        <v>52</v>
      </c>
      <c r="G58" s="16">
        <f t="shared" si="21"/>
        <v>11</v>
      </c>
      <c r="H58" s="16">
        <f t="shared" si="21"/>
        <v>9</v>
      </c>
      <c r="I58" s="16">
        <f t="shared" si="21"/>
        <v>50</v>
      </c>
      <c r="J58" s="16">
        <f t="shared" si="21"/>
        <v>43</v>
      </c>
      <c r="K58" s="16">
        <f t="shared" si="21"/>
        <v>5</v>
      </c>
      <c r="L58" s="16">
        <f t="shared" ref="L58:P58" si="22">SUM(L10:L57)</f>
        <v>11</v>
      </c>
      <c r="M58" s="16">
        <f>SUM(M10:M57)</f>
        <v>1258</v>
      </c>
      <c r="N58" s="16">
        <v>0</v>
      </c>
      <c r="O58" s="16">
        <f t="shared" si="22"/>
        <v>654</v>
      </c>
      <c r="P58" s="16">
        <f t="shared" si="22"/>
        <v>1912</v>
      </c>
      <c r="R58" s="8"/>
      <c r="T58"/>
    </row>
    <row r="59" spans="2:20" ht="23.1" customHeight="1" x14ac:dyDescent="0.25">
      <c r="B59" s="26" t="s">
        <v>93</v>
      </c>
      <c r="C59" s="43">
        <f t="shared" ref="C59:L59" si="23">C58/$P$58</f>
        <v>0.22123430962343096</v>
      </c>
      <c r="D59" s="43">
        <f t="shared" si="23"/>
        <v>9.4142259414225944E-3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f t="shared" si="23"/>
        <v>5.7531380753138078E-3</v>
      </c>
      <c r="M59" s="43">
        <v>0</v>
      </c>
      <c r="N59" s="43">
        <v>0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L60" si="24">D58/$O$58</f>
        <v>2.7522935779816515E-2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f t="shared" si="24"/>
        <v>1.6819571865443424E-2</v>
      </c>
      <c r="M60" s="44">
        <v>0</v>
      </c>
      <c r="N60" s="44">
        <v>0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3">
        <v>0</v>
      </c>
      <c r="N61" s="3">
        <v>0</v>
      </c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B1" zoomScale="60" workbookViewId="0">
      <selection activeCell="B1" sqref="B1:AE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6" t="str">
        <f>'31.07 Koboko-Arua'!G5:H5</f>
        <v>xxx</v>
      </c>
      <c r="H5" s="67"/>
      <c r="I5" s="14"/>
      <c r="J5" s="2" t="s">
        <v>5</v>
      </c>
      <c r="K5" s="66" t="str">
        <f>'31.07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Koboko-Arua'!D6:E6</f>
        <v>Koboko</v>
      </c>
      <c r="E6" s="67"/>
      <c r="F6" s="2" t="s">
        <v>2</v>
      </c>
      <c r="G6" s="66" t="str">
        <f>'31.07 Koboko-Arua'!G6:H6</f>
        <v>Arua</v>
      </c>
      <c r="H6" s="67"/>
      <c r="J6" s="2" t="s">
        <v>21</v>
      </c>
      <c r="K6" s="66" t="str">
        <f>'31.07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18</v>
      </c>
      <c r="T10" s="17">
        <f t="shared" si="2"/>
        <v>1</v>
      </c>
      <c r="U10" s="17">
        <f t="shared" si="2"/>
        <v>4</v>
      </c>
      <c r="V10" s="17">
        <f t="shared" si="2"/>
        <v>5</v>
      </c>
      <c r="W10" s="17">
        <f t="shared" si="2"/>
        <v>1</v>
      </c>
      <c r="X10" s="17">
        <f t="shared" si="2"/>
        <v>1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128</v>
      </c>
      <c r="AD10" s="17">
        <f t="shared" si="2"/>
        <v>0</v>
      </c>
      <c r="AE10" s="31">
        <f t="shared" si="2"/>
        <v>32</v>
      </c>
      <c r="AF10" s="31">
        <f t="shared" si="2"/>
        <v>160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33</v>
      </c>
      <c r="N11" s="50">
        <v>0</v>
      </c>
      <c r="O11" s="15">
        <f t="shared" si="0"/>
        <v>4</v>
      </c>
      <c r="P11" s="15">
        <f t="shared" si="1"/>
        <v>37</v>
      </c>
      <c r="R11" s="1" t="s">
        <v>7</v>
      </c>
      <c r="S11" s="17">
        <f t="shared" ref="S11:AF11" si="3">SUM(C14:C17)</f>
        <v>22</v>
      </c>
      <c r="T11" s="17">
        <f t="shared" si="3"/>
        <v>1</v>
      </c>
      <c r="U11" s="17">
        <f t="shared" si="3"/>
        <v>5</v>
      </c>
      <c r="V11" s="17">
        <f t="shared" si="3"/>
        <v>9</v>
      </c>
      <c r="W11" s="17">
        <f t="shared" si="3"/>
        <v>2</v>
      </c>
      <c r="X11" s="17">
        <f t="shared" si="3"/>
        <v>1</v>
      </c>
      <c r="Y11" s="17">
        <f t="shared" si="3"/>
        <v>3</v>
      </c>
      <c r="Z11" s="17">
        <f t="shared" si="3"/>
        <v>8</v>
      </c>
      <c r="AA11" s="17">
        <f t="shared" si="3"/>
        <v>0</v>
      </c>
      <c r="AB11" s="17">
        <f t="shared" si="3"/>
        <v>0</v>
      </c>
      <c r="AC11" s="17">
        <f t="shared" si="3"/>
        <v>183</v>
      </c>
      <c r="AD11" s="17">
        <f t="shared" si="3"/>
        <v>0</v>
      </c>
      <c r="AE11" s="31">
        <f t="shared" si="3"/>
        <v>51</v>
      </c>
      <c r="AF11" s="31">
        <f t="shared" si="3"/>
        <v>234</v>
      </c>
    </row>
    <row r="12" spans="2:32" ht="23.1" customHeight="1" x14ac:dyDescent="0.25">
      <c r="B12" s="23" t="s">
        <v>39</v>
      </c>
      <c r="C12" s="50">
        <v>6</v>
      </c>
      <c r="D12" s="50">
        <v>0</v>
      </c>
      <c r="E12" s="50">
        <v>0</v>
      </c>
      <c r="F12" s="50">
        <v>1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46</v>
      </c>
      <c r="N12" s="50">
        <v>0</v>
      </c>
      <c r="O12" s="15">
        <f t="shared" si="0"/>
        <v>10</v>
      </c>
      <c r="P12" s="15">
        <f t="shared" si="1"/>
        <v>56</v>
      </c>
      <c r="R12" s="1" t="s">
        <v>8</v>
      </c>
      <c r="S12" s="17">
        <f t="shared" ref="S12:AF12" si="4">SUM(C18:C21)</f>
        <v>22</v>
      </c>
      <c r="T12" s="17">
        <f t="shared" si="4"/>
        <v>8</v>
      </c>
      <c r="U12" s="17">
        <f t="shared" si="4"/>
        <v>24</v>
      </c>
      <c r="V12" s="17">
        <f t="shared" si="4"/>
        <v>4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5</v>
      </c>
      <c r="AA12" s="17">
        <f t="shared" si="4"/>
        <v>2</v>
      </c>
      <c r="AB12" s="17">
        <f t="shared" si="4"/>
        <v>0</v>
      </c>
      <c r="AC12" s="17">
        <f t="shared" si="4"/>
        <v>139</v>
      </c>
      <c r="AD12" s="17">
        <f t="shared" si="4"/>
        <v>0</v>
      </c>
      <c r="AE12" s="31">
        <f t="shared" si="4"/>
        <v>74</v>
      </c>
      <c r="AF12" s="31">
        <f t="shared" si="4"/>
        <v>213</v>
      </c>
    </row>
    <row r="13" spans="2:32" ht="23.1" customHeight="1" x14ac:dyDescent="0.25">
      <c r="B13" s="23" t="s">
        <v>40</v>
      </c>
      <c r="C13" s="50">
        <v>6</v>
      </c>
      <c r="D13" s="50">
        <v>1</v>
      </c>
      <c r="E13" s="50">
        <v>4</v>
      </c>
      <c r="F13" s="50">
        <v>3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37</v>
      </c>
      <c r="N13" s="50">
        <v>0</v>
      </c>
      <c r="O13" s="15">
        <f t="shared" si="0"/>
        <v>15</v>
      </c>
      <c r="P13" s="15">
        <f t="shared" si="1"/>
        <v>52</v>
      </c>
      <c r="R13" s="1" t="s">
        <v>9</v>
      </c>
      <c r="S13" s="17">
        <f t="shared" ref="S13:AF13" si="5">SUM(C22:C25)</f>
        <v>26</v>
      </c>
      <c r="T13" s="17">
        <f t="shared" si="5"/>
        <v>1</v>
      </c>
      <c r="U13" s="17">
        <f t="shared" si="5"/>
        <v>4</v>
      </c>
      <c r="V13" s="17">
        <f t="shared" si="5"/>
        <v>1</v>
      </c>
      <c r="W13" s="17">
        <f t="shared" si="5"/>
        <v>3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128</v>
      </c>
      <c r="AD13" s="17">
        <f t="shared" si="5"/>
        <v>0</v>
      </c>
      <c r="AE13" s="31">
        <f t="shared" si="5"/>
        <v>39</v>
      </c>
      <c r="AF13" s="31">
        <f t="shared" si="5"/>
        <v>167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5</v>
      </c>
      <c r="F14" s="50">
        <v>1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45</v>
      </c>
      <c r="N14" s="50">
        <v>0</v>
      </c>
      <c r="O14" s="15">
        <f t="shared" si="0"/>
        <v>11</v>
      </c>
      <c r="P14" s="15">
        <f t="shared" si="1"/>
        <v>56</v>
      </c>
      <c r="R14" s="1" t="s">
        <v>10</v>
      </c>
      <c r="S14" s="17">
        <f t="shared" ref="S14:AF14" si="6">SUM(C26:C29)</f>
        <v>17</v>
      </c>
      <c r="T14" s="17">
        <f t="shared" si="6"/>
        <v>4</v>
      </c>
      <c r="U14" s="17">
        <f t="shared" si="6"/>
        <v>12</v>
      </c>
      <c r="V14" s="17">
        <f t="shared" si="6"/>
        <v>2</v>
      </c>
      <c r="W14" s="17">
        <f t="shared" si="6"/>
        <v>0</v>
      </c>
      <c r="X14" s="17">
        <f t="shared" si="6"/>
        <v>2</v>
      </c>
      <c r="Y14" s="17">
        <f t="shared" si="6"/>
        <v>7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149</v>
      </c>
      <c r="AD14" s="17">
        <f t="shared" si="6"/>
        <v>1</v>
      </c>
      <c r="AE14" s="31">
        <f t="shared" si="6"/>
        <v>46</v>
      </c>
      <c r="AF14" s="31">
        <f t="shared" si="6"/>
        <v>195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6</v>
      </c>
      <c r="G15" s="50">
        <v>1</v>
      </c>
      <c r="H15" s="50">
        <v>1</v>
      </c>
      <c r="I15" s="50">
        <v>0</v>
      </c>
      <c r="J15" s="50">
        <v>5</v>
      </c>
      <c r="K15" s="50">
        <v>0</v>
      </c>
      <c r="L15" s="50">
        <v>0</v>
      </c>
      <c r="M15" s="50">
        <v>51</v>
      </c>
      <c r="N15" s="50">
        <v>0</v>
      </c>
      <c r="O15" s="15">
        <f t="shared" si="0"/>
        <v>18</v>
      </c>
      <c r="P15" s="15">
        <f t="shared" si="1"/>
        <v>69</v>
      </c>
      <c r="R15" s="1" t="s">
        <v>11</v>
      </c>
      <c r="S15" s="17">
        <f t="shared" ref="S15:AF15" si="7">SUM(C30:C33)</f>
        <v>26</v>
      </c>
      <c r="T15" s="17">
        <f t="shared" si="7"/>
        <v>6</v>
      </c>
      <c r="U15" s="17">
        <f t="shared" si="7"/>
        <v>18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124</v>
      </c>
      <c r="AD15" s="17">
        <f t="shared" si="7"/>
        <v>0</v>
      </c>
      <c r="AE15" s="31">
        <f t="shared" si="7"/>
        <v>65</v>
      </c>
      <c r="AF15" s="31">
        <f t="shared" si="7"/>
        <v>189</v>
      </c>
    </row>
    <row r="16" spans="2:32" ht="23.1" customHeight="1" x14ac:dyDescent="0.25">
      <c r="B16" s="23" t="s">
        <v>43</v>
      </c>
      <c r="C16" s="50">
        <v>10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70</v>
      </c>
      <c r="N16" s="50">
        <v>0</v>
      </c>
      <c r="O16" s="15">
        <f t="shared" si="0"/>
        <v>11</v>
      </c>
      <c r="P16" s="15">
        <f t="shared" si="1"/>
        <v>81</v>
      </c>
      <c r="R16" s="1" t="s">
        <v>12</v>
      </c>
      <c r="S16" s="17">
        <f t="shared" ref="S16:AF16" si="8">SUM(C34:C37)</f>
        <v>21</v>
      </c>
      <c r="T16" s="17">
        <f t="shared" si="8"/>
        <v>10</v>
      </c>
      <c r="U16" s="17">
        <f t="shared" si="8"/>
        <v>32</v>
      </c>
      <c r="V16" s="17">
        <f t="shared" si="8"/>
        <v>3</v>
      </c>
      <c r="W16" s="17">
        <f t="shared" si="8"/>
        <v>0</v>
      </c>
      <c r="X16" s="17">
        <f t="shared" si="8"/>
        <v>1</v>
      </c>
      <c r="Y16" s="17">
        <f t="shared" si="8"/>
        <v>4</v>
      </c>
      <c r="Z16" s="17">
        <f t="shared" si="8"/>
        <v>6</v>
      </c>
      <c r="AA16" s="17">
        <f t="shared" si="8"/>
        <v>0</v>
      </c>
      <c r="AB16" s="17">
        <f t="shared" si="8"/>
        <v>0</v>
      </c>
      <c r="AC16" s="17">
        <f t="shared" si="8"/>
        <v>90</v>
      </c>
      <c r="AD16" s="17">
        <f t="shared" si="8"/>
        <v>0</v>
      </c>
      <c r="AE16" s="31">
        <f t="shared" si="8"/>
        <v>77</v>
      </c>
      <c r="AF16" s="31">
        <f t="shared" si="8"/>
        <v>167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0</v>
      </c>
      <c r="F17" s="50">
        <v>1</v>
      </c>
      <c r="G17" s="50">
        <v>1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11</v>
      </c>
      <c r="P17" s="15">
        <f t="shared" si="1"/>
        <v>28</v>
      </c>
      <c r="R17" s="1" t="s">
        <v>13</v>
      </c>
      <c r="S17" s="17">
        <f t="shared" ref="S17:AF17" si="9">SUM(C38:C41)</f>
        <v>21</v>
      </c>
      <c r="T17" s="17">
        <f t="shared" si="9"/>
        <v>2</v>
      </c>
      <c r="U17" s="17">
        <f t="shared" si="9"/>
        <v>10</v>
      </c>
      <c r="V17" s="17">
        <f t="shared" si="9"/>
        <v>9</v>
      </c>
      <c r="W17" s="17">
        <f t="shared" si="9"/>
        <v>3</v>
      </c>
      <c r="X17" s="17">
        <f t="shared" si="9"/>
        <v>0</v>
      </c>
      <c r="Y17" s="17">
        <f t="shared" si="9"/>
        <v>11</v>
      </c>
      <c r="Z17" s="17">
        <f t="shared" si="9"/>
        <v>6</v>
      </c>
      <c r="AA17" s="17">
        <f t="shared" si="9"/>
        <v>0</v>
      </c>
      <c r="AB17" s="17">
        <f t="shared" si="9"/>
        <v>1</v>
      </c>
      <c r="AC17" s="17">
        <f t="shared" si="9"/>
        <v>93</v>
      </c>
      <c r="AD17" s="17">
        <f t="shared" si="9"/>
        <v>0</v>
      </c>
      <c r="AE17" s="31">
        <f t="shared" si="9"/>
        <v>63</v>
      </c>
      <c r="AF17" s="31">
        <f t="shared" si="9"/>
        <v>156</v>
      </c>
    </row>
    <row r="18" spans="2:32" ht="23.1" customHeight="1" x14ac:dyDescent="0.25">
      <c r="B18" s="23" t="s">
        <v>45</v>
      </c>
      <c r="C18" s="50">
        <v>5</v>
      </c>
      <c r="D18" s="50">
        <v>3</v>
      </c>
      <c r="E18" s="50">
        <v>9</v>
      </c>
      <c r="F18" s="50">
        <v>3</v>
      </c>
      <c r="G18" s="50">
        <v>1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48</v>
      </c>
      <c r="N18" s="50">
        <v>0</v>
      </c>
      <c r="O18" s="15">
        <f t="shared" si="0"/>
        <v>23</v>
      </c>
      <c r="P18" s="15">
        <f t="shared" si="1"/>
        <v>71</v>
      </c>
      <c r="R18" s="1" t="s">
        <v>14</v>
      </c>
      <c r="S18" s="17">
        <f t="shared" ref="S18:AF18" si="10">SUM(C42:C45)</f>
        <v>16</v>
      </c>
      <c r="T18" s="17">
        <f t="shared" si="10"/>
        <v>5</v>
      </c>
      <c r="U18" s="17">
        <f t="shared" si="10"/>
        <v>17</v>
      </c>
      <c r="V18" s="17">
        <f t="shared" si="10"/>
        <v>3</v>
      </c>
      <c r="W18" s="17">
        <f t="shared" si="10"/>
        <v>1</v>
      </c>
      <c r="X18" s="17">
        <f t="shared" si="10"/>
        <v>2</v>
      </c>
      <c r="Y18" s="17">
        <f t="shared" si="10"/>
        <v>5</v>
      </c>
      <c r="Z18" s="17">
        <f t="shared" si="10"/>
        <v>5</v>
      </c>
      <c r="AA18" s="17">
        <f t="shared" si="10"/>
        <v>0</v>
      </c>
      <c r="AB18" s="17">
        <f t="shared" si="10"/>
        <v>4</v>
      </c>
      <c r="AC18" s="17">
        <f t="shared" si="10"/>
        <v>86</v>
      </c>
      <c r="AD18" s="17">
        <f t="shared" si="10"/>
        <v>0</v>
      </c>
      <c r="AE18" s="31">
        <f t="shared" si="10"/>
        <v>58</v>
      </c>
      <c r="AF18" s="31">
        <f t="shared" si="10"/>
        <v>144</v>
      </c>
    </row>
    <row r="19" spans="2:32" ht="23.1" customHeight="1" x14ac:dyDescent="0.25">
      <c r="B19" s="23" t="s">
        <v>46</v>
      </c>
      <c r="C19" s="50">
        <v>5</v>
      </c>
      <c r="D19" s="50">
        <v>3</v>
      </c>
      <c r="E19" s="50">
        <v>9</v>
      </c>
      <c r="F19" s="50">
        <v>0</v>
      </c>
      <c r="G19" s="50">
        <v>0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25</v>
      </c>
      <c r="N19" s="50">
        <v>0</v>
      </c>
      <c r="O19" s="15">
        <f t="shared" si="0"/>
        <v>21</v>
      </c>
      <c r="P19" s="15">
        <f t="shared" si="1"/>
        <v>46</v>
      </c>
      <c r="R19" s="1" t="s">
        <v>15</v>
      </c>
      <c r="S19" s="17">
        <f t="shared" ref="S19:AF19" si="11">SUM(C46:C49)</f>
        <v>19</v>
      </c>
      <c r="T19" s="17">
        <f t="shared" si="11"/>
        <v>8</v>
      </c>
      <c r="U19" s="17">
        <f t="shared" si="11"/>
        <v>23</v>
      </c>
      <c r="V19" s="17">
        <f t="shared" si="11"/>
        <v>7</v>
      </c>
      <c r="W19" s="17">
        <f t="shared" si="11"/>
        <v>2</v>
      </c>
      <c r="X19" s="17">
        <f t="shared" si="11"/>
        <v>1</v>
      </c>
      <c r="Y19" s="17">
        <f t="shared" si="11"/>
        <v>2</v>
      </c>
      <c r="Z19" s="17">
        <f t="shared" si="11"/>
        <v>5</v>
      </c>
      <c r="AA19" s="17">
        <f t="shared" si="11"/>
        <v>0</v>
      </c>
      <c r="AB19" s="17">
        <f t="shared" si="11"/>
        <v>4</v>
      </c>
      <c r="AC19" s="17">
        <f t="shared" si="11"/>
        <v>80</v>
      </c>
      <c r="AD19" s="17">
        <f t="shared" si="11"/>
        <v>0</v>
      </c>
      <c r="AE19" s="31">
        <f t="shared" si="11"/>
        <v>71</v>
      </c>
      <c r="AF19" s="31">
        <f t="shared" si="11"/>
        <v>151</v>
      </c>
    </row>
    <row r="20" spans="2:32" ht="23.1" customHeight="1" x14ac:dyDescent="0.25">
      <c r="B20" s="23" t="s">
        <v>47</v>
      </c>
      <c r="C20" s="50">
        <v>7</v>
      </c>
      <c r="D20" s="50">
        <v>2</v>
      </c>
      <c r="E20" s="50">
        <v>6</v>
      </c>
      <c r="F20" s="50">
        <v>1</v>
      </c>
      <c r="G20" s="50">
        <v>0</v>
      </c>
      <c r="H20" s="50">
        <v>0</v>
      </c>
      <c r="I20" s="50">
        <v>5</v>
      </c>
      <c r="J20" s="50">
        <v>2</v>
      </c>
      <c r="K20" s="50">
        <v>2</v>
      </c>
      <c r="L20" s="50">
        <v>0</v>
      </c>
      <c r="M20" s="50">
        <v>41</v>
      </c>
      <c r="N20" s="50">
        <v>0</v>
      </c>
      <c r="O20" s="15">
        <f t="shared" si="0"/>
        <v>25</v>
      </c>
      <c r="P20" s="15">
        <f t="shared" si="1"/>
        <v>66</v>
      </c>
      <c r="R20" s="1" t="s">
        <v>16</v>
      </c>
      <c r="S20" s="17">
        <f t="shared" ref="S20:AF20" si="12">SUM(C50:C53)</f>
        <v>31</v>
      </c>
      <c r="T20" s="17">
        <f t="shared" si="12"/>
        <v>7</v>
      </c>
      <c r="U20" s="17">
        <f t="shared" si="12"/>
        <v>23</v>
      </c>
      <c r="V20" s="17">
        <f t="shared" si="12"/>
        <v>6</v>
      </c>
      <c r="W20" s="17">
        <f t="shared" si="12"/>
        <v>1</v>
      </c>
      <c r="X20" s="17">
        <f t="shared" si="12"/>
        <v>0</v>
      </c>
      <c r="Y20" s="17">
        <f t="shared" si="12"/>
        <v>9</v>
      </c>
      <c r="Z20" s="17">
        <f t="shared" si="12"/>
        <v>5</v>
      </c>
      <c r="AA20" s="17">
        <f t="shared" si="12"/>
        <v>2</v>
      </c>
      <c r="AB20" s="17">
        <f t="shared" si="12"/>
        <v>6</v>
      </c>
      <c r="AC20" s="17">
        <f t="shared" si="12"/>
        <v>97</v>
      </c>
      <c r="AD20" s="17">
        <f t="shared" si="12"/>
        <v>0</v>
      </c>
      <c r="AE20" s="31">
        <f t="shared" si="12"/>
        <v>90</v>
      </c>
      <c r="AF20" s="31">
        <f t="shared" si="12"/>
        <v>187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25</v>
      </c>
      <c r="N21" s="50">
        <v>0</v>
      </c>
      <c r="O21" s="15">
        <f t="shared" si="0"/>
        <v>5</v>
      </c>
      <c r="P21" s="15">
        <f t="shared" si="1"/>
        <v>30</v>
      </c>
      <c r="R21" s="36" t="s">
        <v>20</v>
      </c>
      <c r="S21" s="34">
        <f t="shared" ref="S21:AF21" si="13">SUM(C54:C57)</f>
        <v>27</v>
      </c>
      <c r="T21" s="17">
        <f t="shared" si="13"/>
        <v>5</v>
      </c>
      <c r="U21" s="17">
        <f t="shared" si="13"/>
        <v>19</v>
      </c>
      <c r="V21" s="17">
        <f t="shared" si="13"/>
        <v>12</v>
      </c>
      <c r="W21" s="17">
        <f t="shared" si="13"/>
        <v>2</v>
      </c>
      <c r="X21" s="17">
        <f t="shared" si="13"/>
        <v>1</v>
      </c>
      <c r="Y21" s="17">
        <f t="shared" si="13"/>
        <v>8</v>
      </c>
      <c r="Z21" s="17">
        <f t="shared" si="13"/>
        <v>3</v>
      </c>
      <c r="AA21" s="17">
        <f t="shared" si="13"/>
        <v>6</v>
      </c>
      <c r="AB21" s="17">
        <f t="shared" si="13"/>
        <v>10</v>
      </c>
      <c r="AC21" s="17">
        <f t="shared" si="13"/>
        <v>56</v>
      </c>
      <c r="AD21" s="17">
        <f t="shared" si="13"/>
        <v>0</v>
      </c>
      <c r="AE21" s="31">
        <f t="shared" si="13"/>
        <v>93</v>
      </c>
      <c r="AF21" s="31">
        <f t="shared" si="13"/>
        <v>149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/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2</v>
      </c>
      <c r="P22" s="15">
        <f t="shared" si="1"/>
        <v>38</v>
      </c>
      <c r="R22" s="38" t="s">
        <v>90</v>
      </c>
      <c r="S22" s="39">
        <f>MAX(S10:S12)</f>
        <v>22</v>
      </c>
      <c r="T22" s="39">
        <f t="shared" ref="T22:AF22" si="14">MAX(T10:T12)</f>
        <v>8</v>
      </c>
      <c r="U22" s="39">
        <f t="shared" si="14"/>
        <v>24</v>
      </c>
      <c r="V22" s="39">
        <f t="shared" si="14"/>
        <v>9</v>
      </c>
      <c r="W22" s="39">
        <f t="shared" si="14"/>
        <v>2</v>
      </c>
      <c r="X22" s="39">
        <f t="shared" si="14"/>
        <v>1</v>
      </c>
      <c r="Y22" s="39">
        <f t="shared" si="14"/>
        <v>8</v>
      </c>
      <c r="Z22" s="39">
        <f t="shared" si="14"/>
        <v>8</v>
      </c>
      <c r="AA22" s="39">
        <f t="shared" si="14"/>
        <v>2</v>
      </c>
      <c r="AB22" s="39">
        <f t="shared" si="14"/>
        <v>0</v>
      </c>
      <c r="AC22" s="39">
        <f t="shared" si="14"/>
        <v>183</v>
      </c>
      <c r="AD22" s="39">
        <f t="shared" si="14"/>
        <v>0</v>
      </c>
      <c r="AE22" s="40">
        <f t="shared" si="14"/>
        <v>74</v>
      </c>
      <c r="AF22" s="40">
        <f t="shared" si="14"/>
        <v>234</v>
      </c>
    </row>
    <row r="23" spans="2:32" ht="23.1" customHeight="1" x14ac:dyDescent="0.25">
      <c r="B23" s="23" t="s">
        <v>50</v>
      </c>
      <c r="C23" s="50">
        <v>15</v>
      </c>
      <c r="D23" s="50">
        <v>1</v>
      </c>
      <c r="E23" s="50">
        <v>4</v>
      </c>
      <c r="F23" s="50">
        <v>0</v>
      </c>
      <c r="G23" s="50">
        <v>3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41</v>
      </c>
      <c r="N23" s="50">
        <v>0</v>
      </c>
      <c r="O23" s="15">
        <f t="shared" si="0"/>
        <v>24</v>
      </c>
      <c r="P23" s="15">
        <f t="shared" si="1"/>
        <v>65</v>
      </c>
      <c r="R23" s="38" t="s">
        <v>91</v>
      </c>
      <c r="S23" s="39">
        <f>MAX(S13:S18)</f>
        <v>26</v>
      </c>
      <c r="T23" s="39">
        <f t="shared" ref="T23:AF23" si="15">MAX(T13:T18)</f>
        <v>10</v>
      </c>
      <c r="U23" s="39">
        <f t="shared" si="15"/>
        <v>32</v>
      </c>
      <c r="V23" s="39">
        <f t="shared" si="15"/>
        <v>9</v>
      </c>
      <c r="W23" s="39">
        <f t="shared" si="15"/>
        <v>3</v>
      </c>
      <c r="X23" s="39">
        <f t="shared" si="15"/>
        <v>2</v>
      </c>
      <c r="Y23" s="39">
        <f t="shared" si="15"/>
        <v>12</v>
      </c>
      <c r="Z23" s="39">
        <f t="shared" si="15"/>
        <v>6</v>
      </c>
      <c r="AA23" s="39">
        <f t="shared" si="15"/>
        <v>0</v>
      </c>
      <c r="AB23" s="39">
        <f t="shared" si="15"/>
        <v>4</v>
      </c>
      <c r="AC23" s="39">
        <f t="shared" si="15"/>
        <v>149</v>
      </c>
      <c r="AD23" s="39">
        <f t="shared" si="15"/>
        <v>1</v>
      </c>
      <c r="AE23" s="40">
        <f t="shared" si="15"/>
        <v>77</v>
      </c>
      <c r="AF23" s="40">
        <f t="shared" si="15"/>
        <v>195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35</v>
      </c>
      <c r="N24" s="50">
        <v>0</v>
      </c>
      <c r="O24" s="15">
        <f t="shared" si="0"/>
        <v>7</v>
      </c>
      <c r="P24" s="15">
        <f t="shared" si="1"/>
        <v>42</v>
      </c>
      <c r="R24" s="38" t="s">
        <v>92</v>
      </c>
      <c r="S24" s="39">
        <f>MAX(S19:S21)</f>
        <v>31</v>
      </c>
      <c r="T24" s="39">
        <f t="shared" ref="T24:AF24" si="16">MAX(T19:T21)</f>
        <v>8</v>
      </c>
      <c r="U24" s="39">
        <f t="shared" si="16"/>
        <v>23</v>
      </c>
      <c r="V24" s="39">
        <f t="shared" si="16"/>
        <v>12</v>
      </c>
      <c r="W24" s="39">
        <f t="shared" si="16"/>
        <v>2</v>
      </c>
      <c r="X24" s="39">
        <f t="shared" si="16"/>
        <v>1</v>
      </c>
      <c r="Y24" s="39">
        <f t="shared" si="16"/>
        <v>9</v>
      </c>
      <c r="Z24" s="39">
        <f t="shared" si="16"/>
        <v>5</v>
      </c>
      <c r="AA24" s="39">
        <f t="shared" si="16"/>
        <v>6</v>
      </c>
      <c r="AB24" s="39">
        <f t="shared" si="16"/>
        <v>10</v>
      </c>
      <c r="AC24" s="39">
        <f t="shared" si="16"/>
        <v>97</v>
      </c>
      <c r="AD24" s="39">
        <f t="shared" si="16"/>
        <v>0</v>
      </c>
      <c r="AE24" s="40">
        <f t="shared" si="16"/>
        <v>93</v>
      </c>
      <c r="AF24" s="40">
        <f t="shared" si="16"/>
        <v>187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6</v>
      </c>
      <c r="P25" s="15">
        <f t="shared" si="1"/>
        <v>22</v>
      </c>
      <c r="R25" s="37" t="s">
        <v>85</v>
      </c>
      <c r="S25" s="35">
        <f t="shared" ref="S25:AF25" si="17">SUM(S10:S12)</f>
        <v>62</v>
      </c>
      <c r="T25" s="16">
        <f t="shared" si="17"/>
        <v>10</v>
      </c>
      <c r="U25" s="16">
        <f t="shared" si="17"/>
        <v>33</v>
      </c>
      <c r="V25" s="16">
        <f t="shared" si="17"/>
        <v>18</v>
      </c>
      <c r="W25" s="16">
        <f t="shared" si="17"/>
        <v>4</v>
      </c>
      <c r="X25" s="16">
        <f t="shared" si="17"/>
        <v>2</v>
      </c>
      <c r="Y25" s="16">
        <f t="shared" si="17"/>
        <v>13</v>
      </c>
      <c r="Z25" s="16">
        <f t="shared" si="17"/>
        <v>13</v>
      </c>
      <c r="AA25" s="16">
        <f t="shared" si="17"/>
        <v>2</v>
      </c>
      <c r="AB25" s="16">
        <f t="shared" si="17"/>
        <v>0</v>
      </c>
      <c r="AC25" s="16">
        <f t="shared" si="17"/>
        <v>450</v>
      </c>
      <c r="AD25" s="16">
        <f t="shared" si="17"/>
        <v>0</v>
      </c>
      <c r="AE25" s="32">
        <f t="shared" si="17"/>
        <v>157</v>
      </c>
      <c r="AF25" s="32">
        <f t="shared" si="17"/>
        <v>607</v>
      </c>
    </row>
    <row r="26" spans="2:32" ht="23.1" customHeight="1" x14ac:dyDescent="0.25">
      <c r="B26" s="23" t="s">
        <v>53</v>
      </c>
      <c r="C26" s="50">
        <v>7</v>
      </c>
      <c r="D26" s="50">
        <v>2</v>
      </c>
      <c r="E26" s="50">
        <v>6</v>
      </c>
      <c r="F26" s="50">
        <v>0</v>
      </c>
      <c r="G26" s="50">
        <v>0</v>
      </c>
      <c r="H26" s="50">
        <v>1</v>
      </c>
      <c r="I26" s="50">
        <v>0</v>
      </c>
      <c r="J26" s="50">
        <v>0</v>
      </c>
      <c r="K26" s="50">
        <v>0</v>
      </c>
      <c r="L26" s="50">
        <v>0</v>
      </c>
      <c r="M26" s="50">
        <v>61</v>
      </c>
      <c r="N26" s="50">
        <v>1</v>
      </c>
      <c r="O26" s="15">
        <f t="shared" si="0"/>
        <v>17</v>
      </c>
      <c r="P26" s="15">
        <f t="shared" si="1"/>
        <v>78</v>
      </c>
      <c r="R26" s="28" t="s">
        <v>86</v>
      </c>
      <c r="S26" s="16">
        <f t="shared" ref="S26:AF26" si="18">SUM(S13:S18)</f>
        <v>127</v>
      </c>
      <c r="T26" s="16">
        <f t="shared" si="18"/>
        <v>28</v>
      </c>
      <c r="U26" s="16">
        <f t="shared" si="18"/>
        <v>93</v>
      </c>
      <c r="V26" s="16">
        <f t="shared" si="18"/>
        <v>19</v>
      </c>
      <c r="W26" s="16">
        <f t="shared" si="18"/>
        <v>7</v>
      </c>
      <c r="X26" s="16">
        <f t="shared" si="18"/>
        <v>5</v>
      </c>
      <c r="Y26" s="16">
        <f t="shared" si="18"/>
        <v>41</v>
      </c>
      <c r="Z26" s="16">
        <f t="shared" si="18"/>
        <v>22</v>
      </c>
      <c r="AA26" s="16">
        <f t="shared" si="18"/>
        <v>0</v>
      </c>
      <c r="AB26" s="16">
        <f t="shared" si="18"/>
        <v>5</v>
      </c>
      <c r="AC26" s="16">
        <f t="shared" si="18"/>
        <v>670</v>
      </c>
      <c r="AD26" s="16">
        <f t="shared" si="18"/>
        <v>1</v>
      </c>
      <c r="AE26" s="32">
        <f t="shared" si="18"/>
        <v>348</v>
      </c>
      <c r="AF26" s="32">
        <f t="shared" si="18"/>
        <v>1018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17</v>
      </c>
      <c r="N27" s="50">
        <v>0</v>
      </c>
      <c r="O27" s="15">
        <f t="shared" si="0"/>
        <v>8</v>
      </c>
      <c r="P27" s="15">
        <f t="shared" si="1"/>
        <v>25</v>
      </c>
      <c r="R27" s="29" t="s">
        <v>87</v>
      </c>
      <c r="S27" s="16">
        <f t="shared" ref="S27:AF27" si="19">SUM(S19:S21)</f>
        <v>77</v>
      </c>
      <c r="T27" s="16">
        <f t="shared" si="19"/>
        <v>20</v>
      </c>
      <c r="U27" s="16">
        <f t="shared" si="19"/>
        <v>65</v>
      </c>
      <c r="V27" s="16">
        <f t="shared" si="19"/>
        <v>25</v>
      </c>
      <c r="W27" s="16">
        <f t="shared" si="19"/>
        <v>5</v>
      </c>
      <c r="X27" s="16">
        <f t="shared" si="19"/>
        <v>2</v>
      </c>
      <c r="Y27" s="16">
        <f t="shared" si="19"/>
        <v>19</v>
      </c>
      <c r="Z27" s="16">
        <f t="shared" si="19"/>
        <v>13</v>
      </c>
      <c r="AA27" s="16">
        <f t="shared" si="19"/>
        <v>8</v>
      </c>
      <c r="AB27" s="16">
        <f t="shared" si="19"/>
        <v>20</v>
      </c>
      <c r="AC27" s="16">
        <f t="shared" si="19"/>
        <v>233</v>
      </c>
      <c r="AD27" s="16">
        <f t="shared" si="19"/>
        <v>0</v>
      </c>
      <c r="AE27" s="32">
        <f t="shared" si="19"/>
        <v>254</v>
      </c>
      <c r="AF27" s="32">
        <f t="shared" si="19"/>
        <v>487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41</v>
      </c>
      <c r="N28" s="50">
        <v>0</v>
      </c>
      <c r="O28" s="15">
        <f t="shared" si="0"/>
        <v>7</v>
      </c>
      <c r="P28" s="15">
        <f t="shared" si="1"/>
        <v>48</v>
      </c>
      <c r="R28" s="5" t="s">
        <v>17</v>
      </c>
      <c r="S28" s="16">
        <f t="shared" ref="S28:AF28" si="20">SUM(S10:S21)</f>
        <v>266</v>
      </c>
      <c r="T28" s="16">
        <f t="shared" si="20"/>
        <v>58</v>
      </c>
      <c r="U28" s="16">
        <f t="shared" si="20"/>
        <v>191</v>
      </c>
      <c r="V28" s="16">
        <f t="shared" si="20"/>
        <v>62</v>
      </c>
      <c r="W28" s="16">
        <f t="shared" si="20"/>
        <v>16</v>
      </c>
      <c r="X28" s="16">
        <f t="shared" si="20"/>
        <v>9</v>
      </c>
      <c r="Y28" s="16">
        <f t="shared" si="20"/>
        <v>73</v>
      </c>
      <c r="Z28" s="16">
        <f t="shared" si="20"/>
        <v>48</v>
      </c>
      <c r="AA28" s="16">
        <f t="shared" si="20"/>
        <v>10</v>
      </c>
      <c r="AB28" s="16">
        <f t="shared" si="20"/>
        <v>25</v>
      </c>
      <c r="AC28" s="16">
        <f t="shared" si="20"/>
        <v>1353</v>
      </c>
      <c r="AD28" s="16">
        <f t="shared" si="20"/>
        <v>1</v>
      </c>
      <c r="AE28" s="32">
        <f t="shared" si="20"/>
        <v>759</v>
      </c>
      <c r="AF28" s="32">
        <f t="shared" si="20"/>
        <v>2112</v>
      </c>
    </row>
    <row r="29" spans="2:32" ht="23.1" customHeight="1" x14ac:dyDescent="0.25">
      <c r="B29" s="23" t="s">
        <v>56</v>
      </c>
      <c r="C29" s="50">
        <v>3</v>
      </c>
      <c r="D29" s="50">
        <v>2</v>
      </c>
      <c r="E29" s="50">
        <v>6</v>
      </c>
      <c r="F29" s="50">
        <v>0</v>
      </c>
      <c r="G29" s="50">
        <v>0</v>
      </c>
      <c r="H29" s="50">
        <v>1</v>
      </c>
      <c r="I29" s="50">
        <v>1</v>
      </c>
      <c r="J29" s="50">
        <v>1</v>
      </c>
      <c r="K29" s="50">
        <v>0</v>
      </c>
      <c r="L29" s="50">
        <v>0</v>
      </c>
      <c r="M29" s="50">
        <v>30</v>
      </c>
      <c r="N29" s="50">
        <v>0</v>
      </c>
      <c r="O29" s="15">
        <f t="shared" si="0"/>
        <v>14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4</v>
      </c>
      <c r="P30" s="15">
        <f t="shared" si="1"/>
        <v>44</v>
      </c>
    </row>
    <row r="31" spans="2:32" ht="23.1" customHeight="1" x14ac:dyDescent="0.25">
      <c r="B31" s="24" t="s">
        <v>58</v>
      </c>
      <c r="C31" s="50">
        <v>13</v>
      </c>
      <c r="D31" s="50">
        <v>3</v>
      </c>
      <c r="E31" s="50">
        <v>8</v>
      </c>
      <c r="F31" s="50">
        <v>0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42</v>
      </c>
      <c r="N31" s="50">
        <v>0</v>
      </c>
      <c r="O31" s="15">
        <f t="shared" si="0"/>
        <v>28</v>
      </c>
      <c r="P31" s="15">
        <f t="shared" si="1"/>
        <v>70</v>
      </c>
    </row>
    <row r="32" spans="2:32" ht="23.1" customHeight="1" x14ac:dyDescent="0.25">
      <c r="B32" s="24" t="s">
        <v>59</v>
      </c>
      <c r="C32" s="50">
        <v>6</v>
      </c>
      <c r="D32" s="50">
        <v>3</v>
      </c>
      <c r="E32" s="50">
        <v>10</v>
      </c>
      <c r="F32" s="50">
        <v>1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29</v>
      </c>
      <c r="N32" s="50">
        <v>0</v>
      </c>
      <c r="O32" s="15">
        <f t="shared" si="0"/>
        <v>26</v>
      </c>
      <c r="P32" s="15">
        <f t="shared" si="1"/>
        <v>55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7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5</v>
      </c>
      <c r="D34" s="50">
        <v>3</v>
      </c>
      <c r="E34" s="50">
        <v>11</v>
      </c>
      <c r="F34" s="50">
        <v>1</v>
      </c>
      <c r="G34" s="50">
        <v>0</v>
      </c>
      <c r="H34" s="50">
        <v>1</v>
      </c>
      <c r="I34" s="50">
        <v>0</v>
      </c>
      <c r="J34" s="50">
        <v>3</v>
      </c>
      <c r="K34" s="50">
        <v>0</v>
      </c>
      <c r="L34" s="50">
        <v>0</v>
      </c>
      <c r="M34" s="50">
        <v>20</v>
      </c>
      <c r="N34" s="50">
        <v>0</v>
      </c>
      <c r="O34" s="15">
        <f t="shared" si="0"/>
        <v>24</v>
      </c>
      <c r="P34" s="15">
        <f t="shared" si="1"/>
        <v>44</v>
      </c>
    </row>
    <row r="35" spans="2:20" ht="23.1" customHeight="1" x14ac:dyDescent="0.25">
      <c r="B35" s="24" t="s">
        <v>62</v>
      </c>
      <c r="C35" s="50">
        <v>7</v>
      </c>
      <c r="D35" s="50">
        <v>5</v>
      </c>
      <c r="E35" s="50">
        <v>12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24</v>
      </c>
      <c r="P35" s="15">
        <f t="shared" si="1"/>
        <v>34</v>
      </c>
    </row>
    <row r="36" spans="2:20" ht="23.1" customHeight="1" x14ac:dyDescent="0.25">
      <c r="B36" s="24" t="s">
        <v>63</v>
      </c>
      <c r="C36" s="50">
        <v>2</v>
      </c>
      <c r="D36" s="50">
        <v>1</v>
      </c>
      <c r="E36" s="50">
        <v>5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25</v>
      </c>
      <c r="N36" s="50">
        <v>0</v>
      </c>
      <c r="O36" s="15">
        <f t="shared" si="0"/>
        <v>10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7</v>
      </c>
      <c r="D37" s="50">
        <v>1</v>
      </c>
      <c r="E37" s="50">
        <v>4</v>
      </c>
      <c r="F37" s="50">
        <v>1</v>
      </c>
      <c r="G37" s="50">
        <v>0</v>
      </c>
      <c r="H37" s="50">
        <v>0</v>
      </c>
      <c r="I37" s="50">
        <v>3</v>
      </c>
      <c r="J37" s="50">
        <v>3</v>
      </c>
      <c r="K37" s="50">
        <v>0</v>
      </c>
      <c r="L37" s="50">
        <v>0</v>
      </c>
      <c r="M37" s="50">
        <v>35</v>
      </c>
      <c r="N37" s="50">
        <v>0</v>
      </c>
      <c r="O37" s="15">
        <f t="shared" si="0"/>
        <v>19</v>
      </c>
      <c r="P37" s="15">
        <f t="shared" si="1"/>
        <v>54</v>
      </c>
    </row>
    <row r="38" spans="2:20" ht="23.1" customHeight="1" x14ac:dyDescent="0.25">
      <c r="B38" s="24" t="s">
        <v>65</v>
      </c>
      <c r="C38" s="50">
        <v>10</v>
      </c>
      <c r="D38" s="50">
        <v>0</v>
      </c>
      <c r="E38" s="50">
        <v>0</v>
      </c>
      <c r="F38" s="50">
        <v>5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16</v>
      </c>
      <c r="P38" s="15">
        <f t="shared" si="1"/>
        <v>42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5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7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8</v>
      </c>
      <c r="J40" s="50">
        <v>5</v>
      </c>
      <c r="K40" s="50">
        <v>0</v>
      </c>
      <c r="L40" s="50">
        <v>0</v>
      </c>
      <c r="M40" s="50">
        <v>30</v>
      </c>
      <c r="N40" s="50">
        <v>0</v>
      </c>
      <c r="O40" s="15">
        <f t="shared" si="0"/>
        <v>18</v>
      </c>
      <c r="P40" s="15">
        <f t="shared" si="1"/>
        <v>48</v>
      </c>
    </row>
    <row r="41" spans="2:20" ht="23.1" customHeight="1" x14ac:dyDescent="0.25">
      <c r="B41" s="23" t="s">
        <v>68</v>
      </c>
      <c r="C41" s="50">
        <v>8</v>
      </c>
      <c r="D41" s="50">
        <v>1</v>
      </c>
      <c r="E41" s="50">
        <v>5</v>
      </c>
      <c r="F41" s="50">
        <v>1</v>
      </c>
      <c r="G41" s="50">
        <v>3</v>
      </c>
      <c r="H41" s="50">
        <v>0</v>
      </c>
      <c r="I41" s="50">
        <v>2</v>
      </c>
      <c r="J41" s="50">
        <v>1</v>
      </c>
      <c r="K41" s="50">
        <v>0</v>
      </c>
      <c r="L41" s="50">
        <v>1</v>
      </c>
      <c r="M41" s="50">
        <v>25</v>
      </c>
      <c r="N41" s="50">
        <v>0</v>
      </c>
      <c r="O41" s="15">
        <f t="shared" si="0"/>
        <v>22</v>
      </c>
      <c r="P41" s="15">
        <f t="shared" si="1"/>
        <v>47</v>
      </c>
    </row>
    <row r="42" spans="2:20" ht="23.1" customHeight="1" x14ac:dyDescent="0.25">
      <c r="B42" s="24" t="s">
        <v>69</v>
      </c>
      <c r="C42" s="50">
        <v>3</v>
      </c>
      <c r="D42" s="50">
        <v>1</v>
      </c>
      <c r="E42" s="50">
        <v>5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17</v>
      </c>
      <c r="N42" s="50">
        <v>0</v>
      </c>
      <c r="O42" s="15">
        <f t="shared" si="0"/>
        <v>11</v>
      </c>
      <c r="P42" s="15">
        <f t="shared" si="1"/>
        <v>28</v>
      </c>
    </row>
    <row r="43" spans="2:20" ht="23.1" customHeight="1" x14ac:dyDescent="0.25">
      <c r="B43" s="23" t="s">
        <v>70</v>
      </c>
      <c r="C43" s="50">
        <v>8</v>
      </c>
      <c r="D43" s="50">
        <v>1</v>
      </c>
      <c r="E43" s="50">
        <v>5</v>
      </c>
      <c r="F43" s="50">
        <v>2</v>
      </c>
      <c r="G43" s="50">
        <v>1</v>
      </c>
      <c r="H43" s="50">
        <v>2</v>
      </c>
      <c r="I43" s="50">
        <v>2</v>
      </c>
      <c r="J43" s="50">
        <v>2</v>
      </c>
      <c r="K43" s="50">
        <v>0</v>
      </c>
      <c r="L43" s="50">
        <v>3</v>
      </c>
      <c r="M43" s="50">
        <v>28</v>
      </c>
      <c r="N43" s="50">
        <v>0</v>
      </c>
      <c r="O43" s="15">
        <f t="shared" si="0"/>
        <v>26</v>
      </c>
      <c r="P43" s="15">
        <f t="shared" si="1"/>
        <v>54</v>
      </c>
    </row>
    <row r="44" spans="2:20" ht="23.1" customHeight="1" x14ac:dyDescent="0.25">
      <c r="B44" s="25" t="s">
        <v>71</v>
      </c>
      <c r="C44" s="50">
        <v>2</v>
      </c>
      <c r="D44" s="50">
        <v>3</v>
      </c>
      <c r="E44" s="50">
        <v>7</v>
      </c>
      <c r="F44" s="50">
        <v>0</v>
      </c>
      <c r="G44" s="50">
        <v>0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26</v>
      </c>
      <c r="N44" s="50">
        <v>0</v>
      </c>
      <c r="O44" s="15">
        <f t="shared" si="0"/>
        <v>15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6</v>
      </c>
      <c r="P45" s="15">
        <f t="shared" si="1"/>
        <v>21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4</v>
      </c>
      <c r="P46" s="15">
        <f t="shared" si="1"/>
        <v>12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2</v>
      </c>
      <c r="E47" s="50">
        <v>5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1</v>
      </c>
      <c r="M47" s="50">
        <v>15</v>
      </c>
      <c r="N47" s="50">
        <v>0</v>
      </c>
      <c r="O47" s="15">
        <f t="shared" si="0"/>
        <v>13</v>
      </c>
      <c r="P47" s="15">
        <f t="shared" si="1"/>
        <v>28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4</v>
      </c>
      <c r="F48" s="50">
        <v>0</v>
      </c>
      <c r="G48" s="50">
        <v>2</v>
      </c>
      <c r="H48" s="50">
        <v>1</v>
      </c>
      <c r="I48" s="50">
        <v>0</v>
      </c>
      <c r="J48" s="50">
        <v>3</v>
      </c>
      <c r="K48" s="50">
        <v>0</v>
      </c>
      <c r="L48" s="50">
        <v>2</v>
      </c>
      <c r="M48" s="50">
        <v>16</v>
      </c>
      <c r="N48" s="50">
        <v>0</v>
      </c>
      <c r="O48" s="15">
        <f t="shared" si="0"/>
        <v>15</v>
      </c>
      <c r="P48" s="15">
        <f t="shared" si="1"/>
        <v>31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5</v>
      </c>
      <c r="E49" s="50">
        <v>14</v>
      </c>
      <c r="F49" s="50">
        <v>5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1</v>
      </c>
      <c r="M49" s="50">
        <v>41</v>
      </c>
      <c r="N49" s="50">
        <v>0</v>
      </c>
      <c r="O49" s="15">
        <f t="shared" si="0"/>
        <v>39</v>
      </c>
      <c r="P49" s="15">
        <f t="shared" si="1"/>
        <v>80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3</v>
      </c>
      <c r="F50" s="50">
        <v>0</v>
      </c>
      <c r="G50" s="50">
        <v>1</v>
      </c>
      <c r="H50" s="50">
        <v>0</v>
      </c>
      <c r="I50" s="50">
        <v>5</v>
      </c>
      <c r="J50" s="50">
        <v>2</v>
      </c>
      <c r="K50" s="50">
        <v>1</v>
      </c>
      <c r="L50" s="50">
        <v>0</v>
      </c>
      <c r="M50" s="50">
        <v>20</v>
      </c>
      <c r="N50" s="50">
        <v>0</v>
      </c>
      <c r="O50" s="15">
        <f t="shared" si="0"/>
        <v>18</v>
      </c>
      <c r="P50" s="15">
        <f t="shared" si="1"/>
        <v>38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2</v>
      </c>
      <c r="E51" s="50">
        <v>5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4</v>
      </c>
      <c r="M51" s="50">
        <v>20</v>
      </c>
      <c r="N51" s="50">
        <v>0</v>
      </c>
      <c r="O51" s="15">
        <f t="shared" si="0"/>
        <v>19</v>
      </c>
      <c r="P51" s="15">
        <f t="shared" si="1"/>
        <v>39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3</v>
      </c>
      <c r="E52" s="50">
        <v>9</v>
      </c>
      <c r="F52" s="50">
        <v>2</v>
      </c>
      <c r="G52" s="50">
        <v>0</v>
      </c>
      <c r="H52" s="50">
        <v>0</v>
      </c>
      <c r="I52" s="50">
        <v>2</v>
      </c>
      <c r="J52" s="50">
        <v>2</v>
      </c>
      <c r="K52" s="50">
        <v>0</v>
      </c>
      <c r="L52" s="50">
        <v>2</v>
      </c>
      <c r="M52" s="50">
        <v>27</v>
      </c>
      <c r="N52" s="50">
        <v>0</v>
      </c>
      <c r="O52" s="15">
        <f t="shared" si="0"/>
        <v>27</v>
      </c>
      <c r="P52" s="15">
        <f t="shared" si="1"/>
        <v>54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2</v>
      </c>
      <c r="E53" s="50">
        <v>6</v>
      </c>
      <c r="F53" s="50">
        <v>2</v>
      </c>
      <c r="G53" s="50">
        <v>0</v>
      </c>
      <c r="H53" s="50">
        <v>0</v>
      </c>
      <c r="I53" s="50">
        <v>2</v>
      </c>
      <c r="J53" s="50">
        <v>1</v>
      </c>
      <c r="K53" s="50">
        <v>1</v>
      </c>
      <c r="L53" s="50">
        <v>0</v>
      </c>
      <c r="M53" s="50">
        <v>30</v>
      </c>
      <c r="N53" s="50">
        <v>0</v>
      </c>
      <c r="O53" s="15">
        <f t="shared" si="0"/>
        <v>26</v>
      </c>
      <c r="P53" s="15">
        <f t="shared" si="1"/>
        <v>56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1</v>
      </c>
      <c r="E54" s="50">
        <v>5</v>
      </c>
      <c r="F54" s="50">
        <v>1</v>
      </c>
      <c r="G54" s="50">
        <v>0</v>
      </c>
      <c r="H54" s="50">
        <v>0</v>
      </c>
      <c r="I54" s="50">
        <v>2</v>
      </c>
      <c r="J54" s="50">
        <v>0</v>
      </c>
      <c r="K54" s="50">
        <v>3</v>
      </c>
      <c r="L54" s="50">
        <v>2</v>
      </c>
      <c r="M54" s="50">
        <v>26</v>
      </c>
      <c r="N54" s="50">
        <v>0</v>
      </c>
      <c r="O54" s="15">
        <f t="shared" si="0"/>
        <v>19</v>
      </c>
      <c r="P54" s="15">
        <f t="shared" si="1"/>
        <v>45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1</v>
      </c>
      <c r="E55" s="50">
        <v>5</v>
      </c>
      <c r="F55" s="50">
        <v>1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1</v>
      </c>
      <c r="M55" s="50">
        <v>12</v>
      </c>
      <c r="N55" s="50">
        <v>0</v>
      </c>
      <c r="O55" s="15">
        <f t="shared" si="0"/>
        <v>11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2</v>
      </c>
      <c r="E56" s="50">
        <v>5</v>
      </c>
      <c r="F56" s="50">
        <v>5</v>
      </c>
      <c r="G56" s="50">
        <v>0</v>
      </c>
      <c r="H56" s="50">
        <v>0</v>
      </c>
      <c r="I56" s="50">
        <v>6</v>
      </c>
      <c r="J56" s="50">
        <v>0</v>
      </c>
      <c r="K56" s="50">
        <v>3</v>
      </c>
      <c r="L56" s="50">
        <v>3</v>
      </c>
      <c r="M56" s="50">
        <v>8</v>
      </c>
      <c r="N56" s="50">
        <v>0</v>
      </c>
      <c r="O56" s="15">
        <f t="shared" si="0"/>
        <v>39</v>
      </c>
      <c r="P56" s="15">
        <f t="shared" si="1"/>
        <v>47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4</v>
      </c>
      <c r="F57" s="50">
        <v>5</v>
      </c>
      <c r="G57" s="50">
        <v>2</v>
      </c>
      <c r="H57" s="50">
        <v>1</v>
      </c>
      <c r="I57" s="50">
        <v>0</v>
      </c>
      <c r="J57" s="50">
        <v>2</v>
      </c>
      <c r="K57" s="50">
        <v>0</v>
      </c>
      <c r="L57" s="50">
        <v>4</v>
      </c>
      <c r="M57" s="50">
        <v>10</v>
      </c>
      <c r="N57" s="50">
        <v>0</v>
      </c>
      <c r="O57" s="15">
        <f t="shared" si="0"/>
        <v>24</v>
      </c>
      <c r="P57" s="15">
        <f t="shared" si="1"/>
        <v>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266</v>
      </c>
      <c r="D58" s="16">
        <f t="shared" si="21"/>
        <v>58</v>
      </c>
      <c r="E58" s="16">
        <f t="shared" si="21"/>
        <v>191</v>
      </c>
      <c r="F58" s="16">
        <f t="shared" si="21"/>
        <v>62</v>
      </c>
      <c r="G58" s="16">
        <f t="shared" si="21"/>
        <v>16</v>
      </c>
      <c r="H58" s="16">
        <f t="shared" si="21"/>
        <v>9</v>
      </c>
      <c r="I58" s="16">
        <f t="shared" si="21"/>
        <v>73</v>
      </c>
      <c r="J58" s="16">
        <f t="shared" si="21"/>
        <v>48</v>
      </c>
      <c r="K58" s="16">
        <f t="shared" si="21"/>
        <v>10</v>
      </c>
      <c r="L58" s="16">
        <f t="shared" si="21"/>
        <v>25</v>
      </c>
      <c r="M58" s="16">
        <f t="shared" si="21"/>
        <v>1353</v>
      </c>
      <c r="N58" s="16">
        <f t="shared" si="21"/>
        <v>1</v>
      </c>
      <c r="O58" s="16">
        <f t="shared" si="21"/>
        <v>759</v>
      </c>
      <c r="P58" s="16">
        <f t="shared" si="21"/>
        <v>2112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0.1259469696969697</v>
      </c>
      <c r="D59" s="43">
        <f t="shared" si="22"/>
        <v>2.7462121212121212E-2</v>
      </c>
      <c r="E59" s="43">
        <f t="shared" si="22"/>
        <v>9.0435606060606064E-2</v>
      </c>
      <c r="F59" s="43">
        <f t="shared" si="22"/>
        <v>2.9356060606060608E-2</v>
      </c>
      <c r="G59" s="43">
        <f t="shared" si="22"/>
        <v>7.575757575757576E-3</v>
      </c>
      <c r="H59" s="43">
        <f t="shared" si="22"/>
        <v>4.261363636363636E-3</v>
      </c>
      <c r="I59" s="43">
        <f t="shared" si="22"/>
        <v>3.4564393939393936E-2</v>
      </c>
      <c r="J59" s="43">
        <f t="shared" si="22"/>
        <v>2.2727272727272728E-2</v>
      </c>
      <c r="K59" s="43">
        <f t="shared" si="22"/>
        <v>4.734848484848485E-3</v>
      </c>
      <c r="L59" s="43">
        <f t="shared" si="22"/>
        <v>1.1837121212121212E-2</v>
      </c>
      <c r="M59" s="43">
        <f t="shared" si="22"/>
        <v>0.640625</v>
      </c>
      <c r="N59" s="43">
        <f t="shared" si="22"/>
        <v>4.734848484848485E-4</v>
      </c>
      <c r="R59" s="8"/>
      <c r="T59"/>
    </row>
    <row r="60" spans="2:20" ht="23.1" customHeight="1" x14ac:dyDescent="0.25">
      <c r="B60" s="42" t="s">
        <v>94</v>
      </c>
      <c r="C60" s="44">
        <f>C58/$O$58</f>
        <v>0.35046113306982873</v>
      </c>
      <c r="D60" s="44">
        <f t="shared" ref="D60:N60" si="23">D58/$O$58</f>
        <v>7.6416337285902497E-2</v>
      </c>
      <c r="E60" s="44">
        <f t="shared" si="23"/>
        <v>0.25164690382081689</v>
      </c>
      <c r="F60" s="44">
        <f t="shared" si="23"/>
        <v>8.1686429512516465E-2</v>
      </c>
      <c r="G60" s="44">
        <f t="shared" si="23"/>
        <v>2.1080368906455864E-2</v>
      </c>
      <c r="H60" s="44">
        <f t="shared" si="23"/>
        <v>1.1857707509881422E-2</v>
      </c>
      <c r="I60" s="44">
        <f t="shared" si="23"/>
        <v>9.6179183135704879E-2</v>
      </c>
      <c r="J60" s="44">
        <f t="shared" si="23"/>
        <v>6.3241106719367585E-2</v>
      </c>
      <c r="K60" s="44">
        <f t="shared" si="23"/>
        <v>1.3175230566534914E-2</v>
      </c>
      <c r="L60" s="44">
        <f t="shared" si="23"/>
        <v>3.2938076416337288E-2</v>
      </c>
      <c r="M60" s="44"/>
      <c r="N60" s="44">
        <f t="shared" si="23"/>
        <v>1.3175230566534915E-3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B1" zoomScale="60" workbookViewId="0">
      <selection activeCell="B1" sqref="B1:AE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Koboko-Arua'!D5</f>
        <v>01.08.19</v>
      </c>
      <c r="E5" s="3"/>
      <c r="F5" s="41" t="s">
        <v>1</v>
      </c>
      <c r="G5" s="66" t="str">
        <f>'31.07 Koboko-Arua'!G5:H5</f>
        <v>xxx</v>
      </c>
      <c r="H5" s="67"/>
      <c r="I5" s="14"/>
      <c r="J5" s="2" t="s">
        <v>5</v>
      </c>
      <c r="K5" s="66" t="str">
        <f>'31.07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Arua-Koboko'!D6:E6</f>
        <v>Arua</v>
      </c>
      <c r="E6" s="67"/>
      <c r="F6" s="2" t="s">
        <v>2</v>
      </c>
      <c r="G6" s="66" t="str">
        <f>'31.07 Arua-Koboko'!G6:H6</f>
        <v>Koboko</v>
      </c>
      <c r="H6" s="67"/>
      <c r="J6" s="2" t="s">
        <v>21</v>
      </c>
      <c r="K6" s="66" t="str">
        <f>'31.07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30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32</v>
      </c>
      <c r="R10" s="1" t="s">
        <v>6</v>
      </c>
      <c r="S10" s="17">
        <f t="shared" ref="S10:AF10" si="2">SUM(C10:C13)</f>
        <v>16</v>
      </c>
      <c r="T10" s="17">
        <f t="shared" si="2"/>
        <v>6</v>
      </c>
      <c r="U10" s="17">
        <f t="shared" si="2"/>
        <v>8</v>
      </c>
      <c r="V10" s="17">
        <f t="shared" si="2"/>
        <v>2</v>
      </c>
      <c r="W10" s="17">
        <f t="shared" si="2"/>
        <v>3</v>
      </c>
      <c r="X10" s="17">
        <f t="shared" si="2"/>
        <v>31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99</v>
      </c>
      <c r="AD10" s="17">
        <f t="shared" si="2"/>
        <v>2</v>
      </c>
      <c r="AE10" s="31">
        <f t="shared" si="2"/>
        <v>75</v>
      </c>
      <c r="AF10" s="31">
        <f t="shared" si="2"/>
        <v>174</v>
      </c>
    </row>
    <row r="11" spans="2:32" s="6" customFormat="1" ht="23.1" customHeight="1" x14ac:dyDescent="0.25">
      <c r="B11" s="23" t="s">
        <v>38</v>
      </c>
      <c r="C11" s="50">
        <v>5</v>
      </c>
      <c r="D11" s="50">
        <v>1</v>
      </c>
      <c r="E11" s="50">
        <v>2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22</v>
      </c>
      <c r="N11" s="50">
        <v>0</v>
      </c>
      <c r="O11" s="15">
        <f t="shared" si="0"/>
        <v>9</v>
      </c>
      <c r="P11" s="15">
        <f t="shared" si="1"/>
        <v>31</v>
      </c>
      <c r="R11" s="1" t="s">
        <v>7</v>
      </c>
      <c r="S11" s="17">
        <f t="shared" ref="S11:AF11" si="3">SUM(C14:C17)</f>
        <v>13</v>
      </c>
      <c r="T11" s="17">
        <f t="shared" si="3"/>
        <v>9</v>
      </c>
      <c r="U11" s="17">
        <f t="shared" si="3"/>
        <v>9</v>
      </c>
      <c r="V11" s="17">
        <f t="shared" si="3"/>
        <v>11</v>
      </c>
      <c r="W11" s="17">
        <f t="shared" si="3"/>
        <v>3</v>
      </c>
      <c r="X11" s="17">
        <f t="shared" si="3"/>
        <v>1</v>
      </c>
      <c r="Y11" s="17">
        <f t="shared" si="3"/>
        <v>6</v>
      </c>
      <c r="Z11" s="17">
        <f t="shared" si="3"/>
        <v>2</v>
      </c>
      <c r="AA11" s="17">
        <f t="shared" si="3"/>
        <v>0</v>
      </c>
      <c r="AB11" s="17">
        <f t="shared" si="3"/>
        <v>11</v>
      </c>
      <c r="AC11" s="17">
        <f t="shared" si="3"/>
        <v>110</v>
      </c>
      <c r="AD11" s="17">
        <f t="shared" si="3"/>
        <v>0</v>
      </c>
      <c r="AE11" s="31">
        <f t="shared" si="3"/>
        <v>65</v>
      </c>
      <c r="AF11" s="31">
        <f t="shared" si="3"/>
        <v>175</v>
      </c>
    </row>
    <row r="12" spans="2:32" ht="23.1" customHeight="1" x14ac:dyDescent="0.25">
      <c r="B12" s="23" t="s">
        <v>39</v>
      </c>
      <c r="C12" s="50">
        <v>4</v>
      </c>
      <c r="D12" s="50">
        <v>3</v>
      </c>
      <c r="E12" s="50">
        <v>3</v>
      </c>
      <c r="F12" s="50">
        <v>1</v>
      </c>
      <c r="G12" s="50">
        <v>3</v>
      </c>
      <c r="H12" s="50">
        <v>0</v>
      </c>
      <c r="I12" s="50">
        <v>5</v>
      </c>
      <c r="J12" s="50">
        <v>1</v>
      </c>
      <c r="K12" s="50">
        <v>0</v>
      </c>
      <c r="L12" s="50">
        <v>0</v>
      </c>
      <c r="M12" s="50">
        <v>47</v>
      </c>
      <c r="N12" s="50">
        <v>0</v>
      </c>
      <c r="O12" s="15">
        <f t="shared" si="0"/>
        <v>20</v>
      </c>
      <c r="P12" s="15">
        <f t="shared" si="1"/>
        <v>67</v>
      </c>
      <c r="R12" s="1" t="s">
        <v>8</v>
      </c>
      <c r="S12" s="17">
        <f t="shared" ref="S12:AF12" si="4">SUM(C18:C21)</f>
        <v>29</v>
      </c>
      <c r="T12" s="17">
        <f t="shared" si="4"/>
        <v>15</v>
      </c>
      <c r="U12" s="17">
        <f t="shared" si="4"/>
        <v>18</v>
      </c>
      <c r="V12" s="17">
        <f t="shared" si="4"/>
        <v>9</v>
      </c>
      <c r="W12" s="17">
        <f t="shared" si="4"/>
        <v>2</v>
      </c>
      <c r="X12" s="17">
        <f t="shared" si="4"/>
        <v>0</v>
      </c>
      <c r="Y12" s="17">
        <f t="shared" si="4"/>
        <v>5</v>
      </c>
      <c r="Z12" s="17">
        <f t="shared" si="4"/>
        <v>1</v>
      </c>
      <c r="AA12" s="17">
        <f t="shared" si="4"/>
        <v>0</v>
      </c>
      <c r="AB12" s="17">
        <f t="shared" si="4"/>
        <v>2</v>
      </c>
      <c r="AC12" s="17">
        <f t="shared" si="4"/>
        <v>156</v>
      </c>
      <c r="AD12" s="17">
        <f t="shared" si="4"/>
        <v>0</v>
      </c>
      <c r="AE12" s="31">
        <f t="shared" si="4"/>
        <v>81</v>
      </c>
      <c r="AF12" s="31">
        <f t="shared" si="4"/>
        <v>237</v>
      </c>
    </row>
    <row r="13" spans="2:32" ht="23.1" customHeight="1" x14ac:dyDescent="0.25">
      <c r="B13" s="23" t="s">
        <v>40</v>
      </c>
      <c r="C13" s="50">
        <v>5</v>
      </c>
      <c r="D13" s="50">
        <v>2</v>
      </c>
      <c r="E13" s="50">
        <v>3</v>
      </c>
      <c r="F13" s="50">
        <v>1</v>
      </c>
      <c r="G13" s="50">
        <v>0</v>
      </c>
      <c r="H13" s="50">
        <v>31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2</v>
      </c>
      <c r="O13" s="15">
        <f t="shared" si="0"/>
        <v>44</v>
      </c>
      <c r="P13" s="15">
        <f t="shared" si="1"/>
        <v>44</v>
      </c>
      <c r="R13" s="1" t="s">
        <v>9</v>
      </c>
      <c r="S13" s="17">
        <f t="shared" ref="S13:AF13" si="5">SUM(C22:C25)</f>
        <v>33</v>
      </c>
      <c r="T13" s="17">
        <f t="shared" si="5"/>
        <v>12</v>
      </c>
      <c r="U13" s="17">
        <f t="shared" si="5"/>
        <v>12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130</v>
      </c>
      <c r="AD13" s="17">
        <f t="shared" si="5"/>
        <v>0</v>
      </c>
      <c r="AE13" s="31">
        <f t="shared" si="5"/>
        <v>74</v>
      </c>
      <c r="AF13" s="31">
        <f t="shared" si="5"/>
        <v>204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5</v>
      </c>
      <c r="G14" s="50">
        <v>0</v>
      </c>
      <c r="H14" s="50">
        <v>1</v>
      </c>
      <c r="I14" s="50">
        <v>3</v>
      </c>
      <c r="J14" s="50">
        <v>1</v>
      </c>
      <c r="K14" s="50">
        <v>0</v>
      </c>
      <c r="L14" s="50">
        <v>0</v>
      </c>
      <c r="M14" s="50">
        <v>42</v>
      </c>
      <c r="N14" s="50">
        <v>0</v>
      </c>
      <c r="O14" s="15">
        <f t="shared" si="0"/>
        <v>13</v>
      </c>
      <c r="P14" s="15">
        <f t="shared" si="1"/>
        <v>55</v>
      </c>
      <c r="R14" s="1" t="s">
        <v>10</v>
      </c>
      <c r="S14" s="17">
        <f t="shared" ref="S14:AF14" si="6">SUM(C26:C29)</f>
        <v>37</v>
      </c>
      <c r="T14" s="17">
        <f t="shared" si="6"/>
        <v>8</v>
      </c>
      <c r="U14" s="17">
        <f t="shared" si="6"/>
        <v>11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3</v>
      </c>
      <c r="AA14" s="17">
        <f t="shared" si="6"/>
        <v>0</v>
      </c>
      <c r="AB14" s="17">
        <f t="shared" si="6"/>
        <v>2</v>
      </c>
      <c r="AC14" s="17">
        <f t="shared" si="6"/>
        <v>120</v>
      </c>
      <c r="AD14" s="17">
        <f t="shared" si="6"/>
        <v>1</v>
      </c>
      <c r="AE14" s="31">
        <f t="shared" si="6"/>
        <v>71</v>
      </c>
      <c r="AF14" s="31">
        <f t="shared" si="6"/>
        <v>191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4</v>
      </c>
      <c r="P15" s="15">
        <f t="shared" si="1"/>
        <v>16</v>
      </c>
      <c r="R15" s="1" t="s">
        <v>11</v>
      </c>
      <c r="S15" s="17">
        <f t="shared" ref="S15:AF15" si="7">SUM(C30:C33)</f>
        <v>33</v>
      </c>
      <c r="T15" s="17">
        <f t="shared" si="7"/>
        <v>8</v>
      </c>
      <c r="U15" s="17">
        <f t="shared" si="7"/>
        <v>10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7</v>
      </c>
      <c r="AA15" s="17">
        <f t="shared" si="7"/>
        <v>1</v>
      </c>
      <c r="AB15" s="17">
        <f t="shared" si="7"/>
        <v>0</v>
      </c>
      <c r="AC15" s="17">
        <f t="shared" si="7"/>
        <v>138</v>
      </c>
      <c r="AD15" s="17">
        <f t="shared" si="7"/>
        <v>0</v>
      </c>
      <c r="AE15" s="31">
        <f t="shared" si="7"/>
        <v>65</v>
      </c>
      <c r="AF15" s="31">
        <f t="shared" si="7"/>
        <v>203</v>
      </c>
    </row>
    <row r="16" spans="2:32" ht="23.1" customHeight="1" x14ac:dyDescent="0.25">
      <c r="B16" s="23" t="s">
        <v>43</v>
      </c>
      <c r="C16" s="50">
        <v>2</v>
      </c>
      <c r="D16" s="50">
        <v>5</v>
      </c>
      <c r="E16" s="50">
        <v>5</v>
      </c>
      <c r="F16" s="50">
        <v>4</v>
      </c>
      <c r="G16" s="50">
        <v>3</v>
      </c>
      <c r="H16" s="50">
        <v>0</v>
      </c>
      <c r="I16" s="50">
        <v>3</v>
      </c>
      <c r="J16" s="50">
        <v>0</v>
      </c>
      <c r="K16" s="50">
        <v>0</v>
      </c>
      <c r="L16" s="50">
        <v>11</v>
      </c>
      <c r="M16" s="50">
        <v>37</v>
      </c>
      <c r="N16" s="50">
        <v>0</v>
      </c>
      <c r="O16" s="15">
        <f t="shared" si="0"/>
        <v>33</v>
      </c>
      <c r="P16" s="15">
        <f t="shared" si="1"/>
        <v>70</v>
      </c>
      <c r="R16" s="1" t="s">
        <v>12</v>
      </c>
      <c r="S16" s="17">
        <f t="shared" ref="S16:AF16" si="8">SUM(C34:C37)</f>
        <v>25</v>
      </c>
      <c r="T16" s="17">
        <f t="shared" si="8"/>
        <v>7</v>
      </c>
      <c r="U16" s="17">
        <f t="shared" si="8"/>
        <v>9</v>
      </c>
      <c r="V16" s="17">
        <f t="shared" si="8"/>
        <v>3</v>
      </c>
      <c r="W16" s="17">
        <f t="shared" si="8"/>
        <v>0</v>
      </c>
      <c r="X16" s="17">
        <f t="shared" si="8"/>
        <v>2</v>
      </c>
      <c r="Y16" s="17">
        <f t="shared" si="8"/>
        <v>5</v>
      </c>
      <c r="Z16" s="17">
        <f t="shared" si="8"/>
        <v>3</v>
      </c>
      <c r="AA16" s="17">
        <f t="shared" si="8"/>
        <v>0</v>
      </c>
      <c r="AB16" s="17">
        <f t="shared" si="8"/>
        <v>3</v>
      </c>
      <c r="AC16" s="17">
        <f t="shared" si="8"/>
        <v>111</v>
      </c>
      <c r="AD16" s="17">
        <f t="shared" si="8"/>
        <v>0</v>
      </c>
      <c r="AE16" s="31">
        <f t="shared" si="8"/>
        <v>57</v>
      </c>
      <c r="AF16" s="31">
        <f t="shared" si="8"/>
        <v>168</v>
      </c>
    </row>
    <row r="17" spans="2:32" ht="23.1" customHeight="1" x14ac:dyDescent="0.25">
      <c r="B17" s="23" t="s">
        <v>44</v>
      </c>
      <c r="C17" s="50">
        <v>5</v>
      </c>
      <c r="D17" s="50">
        <v>4</v>
      </c>
      <c r="E17" s="50">
        <v>4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19</v>
      </c>
      <c r="N17" s="50">
        <v>0</v>
      </c>
      <c r="O17" s="15">
        <f t="shared" si="0"/>
        <v>15</v>
      </c>
      <c r="P17" s="15">
        <f t="shared" si="1"/>
        <v>34</v>
      </c>
      <c r="R17" s="1" t="s">
        <v>13</v>
      </c>
      <c r="S17" s="17">
        <f t="shared" ref="S17:AF17" si="9">SUM(C38:C41)</f>
        <v>32</v>
      </c>
      <c r="T17" s="17">
        <f t="shared" si="9"/>
        <v>4</v>
      </c>
      <c r="U17" s="17">
        <f t="shared" si="9"/>
        <v>5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5</v>
      </c>
      <c r="AA17" s="17">
        <f t="shared" si="9"/>
        <v>0</v>
      </c>
      <c r="AB17" s="17">
        <f t="shared" si="9"/>
        <v>1</v>
      </c>
      <c r="AC17" s="17">
        <f t="shared" si="9"/>
        <v>124</v>
      </c>
      <c r="AD17" s="17">
        <f t="shared" si="9"/>
        <v>0</v>
      </c>
      <c r="AE17" s="31">
        <f t="shared" si="9"/>
        <v>62</v>
      </c>
      <c r="AF17" s="31">
        <f t="shared" si="9"/>
        <v>186</v>
      </c>
    </row>
    <row r="18" spans="2:32" ht="23.1" customHeight="1" x14ac:dyDescent="0.25">
      <c r="B18" s="23" t="s">
        <v>45</v>
      </c>
      <c r="C18" s="50">
        <v>12</v>
      </c>
      <c r="D18" s="50">
        <v>4</v>
      </c>
      <c r="E18" s="50">
        <v>5</v>
      </c>
      <c r="F18" s="50">
        <v>1</v>
      </c>
      <c r="G18" s="50">
        <v>1</v>
      </c>
      <c r="H18" s="50">
        <v>0</v>
      </c>
      <c r="I18" s="50">
        <v>2</v>
      </c>
      <c r="J18" s="50">
        <v>0</v>
      </c>
      <c r="K18" s="50">
        <v>0</v>
      </c>
      <c r="L18" s="50">
        <v>1</v>
      </c>
      <c r="M18" s="50">
        <v>49</v>
      </c>
      <c r="N18" s="50">
        <v>0</v>
      </c>
      <c r="O18" s="15">
        <f t="shared" si="0"/>
        <v>26</v>
      </c>
      <c r="P18" s="15">
        <f t="shared" si="1"/>
        <v>75</v>
      </c>
      <c r="R18" s="1" t="s">
        <v>14</v>
      </c>
      <c r="S18" s="17">
        <f t="shared" ref="S18:AF18" si="10">SUM(C42:C45)</f>
        <v>37</v>
      </c>
      <c r="T18" s="17">
        <f t="shared" si="10"/>
        <v>5</v>
      </c>
      <c r="U18" s="17">
        <f t="shared" si="10"/>
        <v>8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8</v>
      </c>
      <c r="AA18" s="17">
        <f t="shared" si="10"/>
        <v>0</v>
      </c>
      <c r="AB18" s="17">
        <f t="shared" si="10"/>
        <v>1</v>
      </c>
      <c r="AC18" s="17">
        <f t="shared" si="10"/>
        <v>118</v>
      </c>
      <c r="AD18" s="17">
        <f t="shared" si="10"/>
        <v>0</v>
      </c>
      <c r="AE18" s="31">
        <f t="shared" si="10"/>
        <v>74</v>
      </c>
      <c r="AF18" s="31">
        <f t="shared" si="10"/>
        <v>192</v>
      </c>
    </row>
    <row r="19" spans="2:32" ht="23.1" customHeight="1" x14ac:dyDescent="0.25">
      <c r="B19" s="23" t="s">
        <v>46</v>
      </c>
      <c r="C19" s="50">
        <v>5</v>
      </c>
      <c r="D19" s="50">
        <v>2</v>
      </c>
      <c r="E19" s="50">
        <v>2</v>
      </c>
      <c r="F19" s="50">
        <v>7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17</v>
      </c>
      <c r="P19" s="15">
        <f t="shared" si="1"/>
        <v>52</v>
      </c>
      <c r="R19" s="1" t="s">
        <v>15</v>
      </c>
      <c r="S19" s="17">
        <f t="shared" ref="S19:AF19" si="11">SUM(C46:C49)</f>
        <v>15</v>
      </c>
      <c r="T19" s="17">
        <f t="shared" si="11"/>
        <v>5</v>
      </c>
      <c r="U19" s="17">
        <f t="shared" si="11"/>
        <v>6</v>
      </c>
      <c r="V19" s="17">
        <f t="shared" si="11"/>
        <v>3</v>
      </c>
      <c r="W19" s="17">
        <f t="shared" si="11"/>
        <v>2</v>
      </c>
      <c r="X19" s="17">
        <f t="shared" si="11"/>
        <v>1</v>
      </c>
      <c r="Y19" s="17">
        <f t="shared" si="11"/>
        <v>13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91</v>
      </c>
      <c r="AD19" s="17">
        <f t="shared" si="11"/>
        <v>0</v>
      </c>
      <c r="AE19" s="31">
        <f t="shared" si="11"/>
        <v>48</v>
      </c>
      <c r="AF19" s="31">
        <f t="shared" si="11"/>
        <v>139</v>
      </c>
    </row>
    <row r="20" spans="2:32" ht="23.1" customHeight="1" x14ac:dyDescent="0.25">
      <c r="B20" s="23" t="s">
        <v>47</v>
      </c>
      <c r="C20" s="50">
        <v>1</v>
      </c>
      <c r="D20" s="50">
        <v>3</v>
      </c>
      <c r="E20" s="50">
        <v>4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</v>
      </c>
      <c r="M20" s="50">
        <v>45</v>
      </c>
      <c r="N20" s="50">
        <v>0</v>
      </c>
      <c r="O20" s="15">
        <f t="shared" si="0"/>
        <v>11</v>
      </c>
      <c r="P20" s="15">
        <f t="shared" si="1"/>
        <v>56</v>
      </c>
      <c r="R20" s="1" t="s">
        <v>16</v>
      </c>
      <c r="S20" s="17">
        <f t="shared" ref="S20:AF20" si="12">SUM(C50:C53)</f>
        <v>58</v>
      </c>
      <c r="T20" s="17">
        <f t="shared" si="12"/>
        <v>6</v>
      </c>
      <c r="U20" s="17">
        <f t="shared" si="12"/>
        <v>8</v>
      </c>
      <c r="V20" s="17">
        <f t="shared" si="12"/>
        <v>11</v>
      </c>
      <c r="W20" s="17">
        <f t="shared" si="12"/>
        <v>3</v>
      </c>
      <c r="X20" s="17">
        <f t="shared" si="12"/>
        <v>0</v>
      </c>
      <c r="Y20" s="17">
        <f t="shared" si="12"/>
        <v>14</v>
      </c>
      <c r="Z20" s="17">
        <f t="shared" si="12"/>
        <v>50</v>
      </c>
      <c r="AA20" s="17">
        <f t="shared" si="12"/>
        <v>0</v>
      </c>
      <c r="AB20" s="17">
        <f t="shared" si="12"/>
        <v>0</v>
      </c>
      <c r="AC20" s="17">
        <f t="shared" si="12"/>
        <v>130</v>
      </c>
      <c r="AD20" s="17">
        <f t="shared" si="12"/>
        <v>0</v>
      </c>
      <c r="AE20" s="31">
        <f t="shared" si="12"/>
        <v>150</v>
      </c>
      <c r="AF20" s="31">
        <f t="shared" si="12"/>
        <v>280</v>
      </c>
    </row>
    <row r="21" spans="2:32" ht="23.1" customHeight="1" x14ac:dyDescent="0.25">
      <c r="B21" s="23" t="s">
        <v>48</v>
      </c>
      <c r="C21" s="50">
        <v>11</v>
      </c>
      <c r="D21" s="50">
        <v>6</v>
      </c>
      <c r="E21" s="50">
        <v>7</v>
      </c>
      <c r="F21" s="50">
        <v>0</v>
      </c>
      <c r="G21" s="50">
        <v>1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27</v>
      </c>
      <c r="N21" s="50">
        <v>0</v>
      </c>
      <c r="O21" s="15">
        <f t="shared" si="0"/>
        <v>27</v>
      </c>
      <c r="P21" s="15">
        <f t="shared" si="1"/>
        <v>54</v>
      </c>
      <c r="R21" s="36" t="s">
        <v>20</v>
      </c>
      <c r="S21" s="34">
        <f t="shared" ref="S21:AF21" si="13">SUM(C54:C57)</f>
        <v>13</v>
      </c>
      <c r="T21" s="17">
        <f t="shared" si="13"/>
        <v>3</v>
      </c>
      <c r="U21" s="17">
        <f t="shared" si="13"/>
        <v>4</v>
      </c>
      <c r="V21" s="17">
        <f t="shared" si="13"/>
        <v>2</v>
      </c>
      <c r="W21" s="17">
        <f t="shared" si="13"/>
        <v>2</v>
      </c>
      <c r="X21" s="17">
        <f t="shared" si="13"/>
        <v>2</v>
      </c>
      <c r="Y21" s="17">
        <f t="shared" si="13"/>
        <v>11</v>
      </c>
      <c r="Z21" s="17">
        <f t="shared" si="13"/>
        <v>8</v>
      </c>
      <c r="AA21" s="17">
        <f t="shared" si="13"/>
        <v>5</v>
      </c>
      <c r="AB21" s="17">
        <f t="shared" si="13"/>
        <v>3</v>
      </c>
      <c r="AC21" s="17">
        <f t="shared" si="13"/>
        <v>153</v>
      </c>
      <c r="AD21" s="17">
        <f t="shared" si="13"/>
        <v>0</v>
      </c>
      <c r="AE21" s="31">
        <f t="shared" si="13"/>
        <v>53</v>
      </c>
      <c r="AF21" s="31">
        <f t="shared" si="13"/>
        <v>206</v>
      </c>
    </row>
    <row r="22" spans="2:32" ht="23.1" customHeight="1" x14ac:dyDescent="0.25">
      <c r="B22" s="23" t="s">
        <v>49</v>
      </c>
      <c r="C22" s="50">
        <v>9</v>
      </c>
      <c r="D22" s="50">
        <v>1</v>
      </c>
      <c r="E22" s="50">
        <v>1</v>
      </c>
      <c r="F22" s="50">
        <v>2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27</v>
      </c>
      <c r="N22" s="50">
        <v>0</v>
      </c>
      <c r="O22" s="15">
        <f t="shared" si="0"/>
        <v>16</v>
      </c>
      <c r="P22" s="15">
        <f t="shared" si="1"/>
        <v>43</v>
      </c>
      <c r="R22" s="38" t="s">
        <v>90</v>
      </c>
      <c r="S22" s="39">
        <f>MAX(S10:S12)</f>
        <v>29</v>
      </c>
      <c r="T22" s="39">
        <f t="shared" ref="T22:AF22" si="14">MAX(T10:T12)</f>
        <v>15</v>
      </c>
      <c r="U22" s="39">
        <f t="shared" si="14"/>
        <v>18</v>
      </c>
      <c r="V22" s="39">
        <f t="shared" si="14"/>
        <v>11</v>
      </c>
      <c r="W22" s="39">
        <f t="shared" si="14"/>
        <v>3</v>
      </c>
      <c r="X22" s="39">
        <f t="shared" si="14"/>
        <v>31</v>
      </c>
      <c r="Y22" s="39">
        <f t="shared" si="14"/>
        <v>6</v>
      </c>
      <c r="Z22" s="39">
        <f t="shared" si="14"/>
        <v>2</v>
      </c>
      <c r="AA22" s="39">
        <f t="shared" si="14"/>
        <v>0</v>
      </c>
      <c r="AB22" s="39">
        <f t="shared" si="14"/>
        <v>11</v>
      </c>
      <c r="AC22" s="39">
        <f t="shared" si="14"/>
        <v>156</v>
      </c>
      <c r="AD22" s="39">
        <f t="shared" si="14"/>
        <v>2</v>
      </c>
      <c r="AE22" s="40">
        <f t="shared" si="14"/>
        <v>81</v>
      </c>
      <c r="AF22" s="40">
        <f t="shared" si="14"/>
        <v>237</v>
      </c>
    </row>
    <row r="23" spans="2:32" ht="23.1" customHeight="1" x14ac:dyDescent="0.25">
      <c r="B23" s="23" t="s">
        <v>50</v>
      </c>
      <c r="C23" s="50">
        <v>9</v>
      </c>
      <c r="D23" s="50">
        <v>5</v>
      </c>
      <c r="E23" s="50">
        <v>5</v>
      </c>
      <c r="F23" s="50">
        <v>2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35</v>
      </c>
      <c r="N23" s="50">
        <v>0</v>
      </c>
      <c r="O23" s="15">
        <f t="shared" si="0"/>
        <v>26</v>
      </c>
      <c r="P23" s="15">
        <f t="shared" si="1"/>
        <v>61</v>
      </c>
      <c r="R23" s="38" t="s">
        <v>91</v>
      </c>
      <c r="S23" s="39">
        <f>MAX(S13:S18)</f>
        <v>37</v>
      </c>
      <c r="T23" s="39">
        <f t="shared" ref="T23:AF23" si="15">MAX(T13:T18)</f>
        <v>12</v>
      </c>
      <c r="U23" s="39">
        <f t="shared" si="15"/>
        <v>12</v>
      </c>
      <c r="V23" s="39">
        <f t="shared" si="15"/>
        <v>6</v>
      </c>
      <c r="W23" s="39">
        <f t="shared" si="15"/>
        <v>0</v>
      </c>
      <c r="X23" s="39">
        <f t="shared" si="15"/>
        <v>2</v>
      </c>
      <c r="Y23" s="39">
        <f t="shared" si="15"/>
        <v>13</v>
      </c>
      <c r="Z23" s="39">
        <f t="shared" si="15"/>
        <v>8</v>
      </c>
      <c r="AA23" s="39">
        <f t="shared" si="15"/>
        <v>1</v>
      </c>
      <c r="AB23" s="39">
        <f t="shared" si="15"/>
        <v>3</v>
      </c>
      <c r="AC23" s="39">
        <f t="shared" si="15"/>
        <v>138</v>
      </c>
      <c r="AD23" s="39">
        <f t="shared" si="15"/>
        <v>1</v>
      </c>
      <c r="AE23" s="40">
        <f t="shared" si="15"/>
        <v>74</v>
      </c>
      <c r="AF23" s="40">
        <f t="shared" si="15"/>
        <v>204</v>
      </c>
    </row>
    <row r="24" spans="2:32" ht="23.1" customHeight="1" x14ac:dyDescent="0.25">
      <c r="B24" s="23" t="s">
        <v>51</v>
      </c>
      <c r="C24" s="50">
        <v>12</v>
      </c>
      <c r="D24" s="50">
        <v>4</v>
      </c>
      <c r="E24" s="50">
        <v>4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38</v>
      </c>
      <c r="N24" s="50">
        <v>0</v>
      </c>
      <c r="O24" s="15">
        <f t="shared" si="0"/>
        <v>24</v>
      </c>
      <c r="P24" s="15">
        <f t="shared" si="1"/>
        <v>62</v>
      </c>
      <c r="R24" s="38" t="s">
        <v>92</v>
      </c>
      <c r="S24" s="39">
        <f>MAX(S19:S21)</f>
        <v>58</v>
      </c>
      <c r="T24" s="39">
        <f t="shared" ref="T24:AF24" si="16">MAX(T19:T21)</f>
        <v>6</v>
      </c>
      <c r="U24" s="39">
        <f t="shared" si="16"/>
        <v>8</v>
      </c>
      <c r="V24" s="39">
        <f t="shared" si="16"/>
        <v>11</v>
      </c>
      <c r="W24" s="39">
        <f t="shared" si="16"/>
        <v>3</v>
      </c>
      <c r="X24" s="39">
        <f t="shared" si="16"/>
        <v>2</v>
      </c>
      <c r="Y24" s="39">
        <f t="shared" si="16"/>
        <v>14</v>
      </c>
      <c r="Z24" s="39">
        <f t="shared" si="16"/>
        <v>50</v>
      </c>
      <c r="AA24" s="39">
        <f t="shared" si="16"/>
        <v>5</v>
      </c>
      <c r="AB24" s="39">
        <f t="shared" si="16"/>
        <v>3</v>
      </c>
      <c r="AC24" s="39">
        <f t="shared" si="16"/>
        <v>153</v>
      </c>
      <c r="AD24" s="39">
        <f t="shared" si="16"/>
        <v>0</v>
      </c>
      <c r="AE24" s="40">
        <f t="shared" si="16"/>
        <v>150</v>
      </c>
      <c r="AF24" s="40">
        <f t="shared" si="16"/>
        <v>280</v>
      </c>
    </row>
    <row r="25" spans="2:32" ht="23.1" customHeight="1" x14ac:dyDescent="0.25">
      <c r="B25" s="23" t="s">
        <v>52</v>
      </c>
      <c r="C25" s="50">
        <v>3</v>
      </c>
      <c r="D25" s="50">
        <v>2</v>
      </c>
      <c r="E25" s="50">
        <v>2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8</v>
      </c>
      <c r="P25" s="15">
        <f t="shared" si="1"/>
        <v>38</v>
      </c>
      <c r="R25" s="37" t="s">
        <v>85</v>
      </c>
      <c r="S25" s="35">
        <f t="shared" ref="S25:AF25" si="17">SUM(S10:S12)</f>
        <v>58</v>
      </c>
      <c r="T25" s="16">
        <f t="shared" si="17"/>
        <v>30</v>
      </c>
      <c r="U25" s="16">
        <f t="shared" si="17"/>
        <v>35</v>
      </c>
      <c r="V25" s="16">
        <f t="shared" si="17"/>
        <v>22</v>
      </c>
      <c r="W25" s="16">
        <f t="shared" si="17"/>
        <v>8</v>
      </c>
      <c r="X25" s="16">
        <f t="shared" si="17"/>
        <v>32</v>
      </c>
      <c r="Y25" s="16">
        <f t="shared" si="17"/>
        <v>17</v>
      </c>
      <c r="Z25" s="16">
        <f t="shared" si="17"/>
        <v>4</v>
      </c>
      <c r="AA25" s="16">
        <f t="shared" si="17"/>
        <v>0</v>
      </c>
      <c r="AB25" s="16">
        <f t="shared" si="17"/>
        <v>13</v>
      </c>
      <c r="AC25" s="16">
        <f t="shared" si="17"/>
        <v>365</v>
      </c>
      <c r="AD25" s="16">
        <f t="shared" si="17"/>
        <v>2</v>
      </c>
      <c r="AE25" s="32">
        <f t="shared" si="17"/>
        <v>221</v>
      </c>
      <c r="AF25" s="32">
        <f t="shared" si="17"/>
        <v>586</v>
      </c>
    </row>
    <row r="26" spans="2:32" ht="23.1" customHeight="1" x14ac:dyDescent="0.25">
      <c r="B26" s="23" t="s">
        <v>53</v>
      </c>
      <c r="C26" s="50">
        <v>11</v>
      </c>
      <c r="D26" s="50">
        <v>3</v>
      </c>
      <c r="E26" s="50">
        <v>4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2</v>
      </c>
      <c r="M26" s="50">
        <v>39</v>
      </c>
      <c r="N26" s="50">
        <v>0</v>
      </c>
      <c r="O26" s="15">
        <f t="shared" si="0"/>
        <v>24</v>
      </c>
      <c r="P26" s="15">
        <f t="shared" si="1"/>
        <v>63</v>
      </c>
      <c r="R26" s="28" t="s">
        <v>86</v>
      </c>
      <c r="S26" s="16">
        <f t="shared" ref="S26:AF26" si="18">SUM(S13:S18)</f>
        <v>197</v>
      </c>
      <c r="T26" s="16">
        <f t="shared" si="18"/>
        <v>44</v>
      </c>
      <c r="U26" s="16">
        <f t="shared" si="18"/>
        <v>55</v>
      </c>
      <c r="V26" s="16">
        <f t="shared" si="18"/>
        <v>23</v>
      </c>
      <c r="W26" s="16">
        <f t="shared" si="18"/>
        <v>0</v>
      </c>
      <c r="X26" s="16">
        <f t="shared" si="18"/>
        <v>2</v>
      </c>
      <c r="Y26" s="16">
        <f t="shared" si="18"/>
        <v>44</v>
      </c>
      <c r="Z26" s="16">
        <f t="shared" si="18"/>
        <v>29</v>
      </c>
      <c r="AA26" s="16">
        <f t="shared" si="18"/>
        <v>1</v>
      </c>
      <c r="AB26" s="16">
        <f t="shared" si="18"/>
        <v>7</v>
      </c>
      <c r="AC26" s="16">
        <f t="shared" si="18"/>
        <v>741</v>
      </c>
      <c r="AD26" s="16">
        <f t="shared" si="18"/>
        <v>1</v>
      </c>
      <c r="AE26" s="32">
        <f t="shared" si="18"/>
        <v>403</v>
      </c>
      <c r="AF26" s="32">
        <f t="shared" si="18"/>
        <v>1144</v>
      </c>
    </row>
    <row r="27" spans="2:32" ht="23.1" customHeight="1" x14ac:dyDescent="0.25">
      <c r="B27" s="23" t="s">
        <v>54</v>
      </c>
      <c r="C27" s="50">
        <v>10</v>
      </c>
      <c r="D27" s="50">
        <v>2</v>
      </c>
      <c r="E27" s="50">
        <v>2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32</v>
      </c>
      <c r="N27" s="50">
        <v>0</v>
      </c>
      <c r="O27" s="15">
        <f t="shared" si="0"/>
        <v>16</v>
      </c>
      <c r="P27" s="15">
        <f t="shared" si="1"/>
        <v>48</v>
      </c>
      <c r="R27" s="29" t="s">
        <v>87</v>
      </c>
      <c r="S27" s="16">
        <f t="shared" ref="S27:AF27" si="19">SUM(S19:S21)</f>
        <v>86</v>
      </c>
      <c r="T27" s="16">
        <f t="shared" si="19"/>
        <v>14</v>
      </c>
      <c r="U27" s="16">
        <f t="shared" si="19"/>
        <v>18</v>
      </c>
      <c r="V27" s="16">
        <f t="shared" si="19"/>
        <v>16</v>
      </c>
      <c r="W27" s="16">
        <f t="shared" si="19"/>
        <v>7</v>
      </c>
      <c r="X27" s="16">
        <f t="shared" si="19"/>
        <v>3</v>
      </c>
      <c r="Y27" s="16">
        <f t="shared" si="19"/>
        <v>38</v>
      </c>
      <c r="Z27" s="16">
        <f t="shared" si="19"/>
        <v>61</v>
      </c>
      <c r="AA27" s="16">
        <f t="shared" si="19"/>
        <v>5</v>
      </c>
      <c r="AB27" s="16">
        <f t="shared" si="19"/>
        <v>3</v>
      </c>
      <c r="AC27" s="16">
        <f t="shared" si="19"/>
        <v>374</v>
      </c>
      <c r="AD27" s="16">
        <f t="shared" si="19"/>
        <v>0</v>
      </c>
      <c r="AE27" s="32">
        <f t="shared" si="19"/>
        <v>251</v>
      </c>
      <c r="AF27" s="32">
        <f t="shared" si="19"/>
        <v>625</v>
      </c>
    </row>
    <row r="28" spans="2:32" ht="23.1" customHeight="1" x14ac:dyDescent="0.25">
      <c r="B28" s="23" t="s">
        <v>55</v>
      </c>
      <c r="C28" s="50">
        <v>8</v>
      </c>
      <c r="D28" s="50">
        <v>1</v>
      </c>
      <c r="E28" s="50">
        <v>2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24</v>
      </c>
      <c r="N28" s="50">
        <v>1</v>
      </c>
      <c r="O28" s="15">
        <f t="shared" si="0"/>
        <v>15</v>
      </c>
      <c r="P28" s="15">
        <f t="shared" si="1"/>
        <v>39</v>
      </c>
      <c r="R28" s="5" t="s">
        <v>17</v>
      </c>
      <c r="S28" s="16">
        <f t="shared" ref="S28:AF28" si="20">SUM(S10:S21)</f>
        <v>341</v>
      </c>
      <c r="T28" s="16">
        <f t="shared" si="20"/>
        <v>88</v>
      </c>
      <c r="U28" s="16">
        <f t="shared" si="20"/>
        <v>108</v>
      </c>
      <c r="V28" s="16">
        <f t="shared" si="20"/>
        <v>61</v>
      </c>
      <c r="W28" s="16">
        <f t="shared" si="20"/>
        <v>15</v>
      </c>
      <c r="X28" s="16">
        <f t="shared" si="20"/>
        <v>37</v>
      </c>
      <c r="Y28" s="16">
        <f t="shared" si="20"/>
        <v>99</v>
      </c>
      <c r="Z28" s="16">
        <f t="shared" si="20"/>
        <v>94</v>
      </c>
      <c r="AA28" s="16">
        <f t="shared" si="20"/>
        <v>6</v>
      </c>
      <c r="AB28" s="16">
        <f t="shared" si="20"/>
        <v>23</v>
      </c>
      <c r="AC28" s="16">
        <f t="shared" si="20"/>
        <v>1480</v>
      </c>
      <c r="AD28" s="16">
        <f t="shared" si="20"/>
        <v>3</v>
      </c>
      <c r="AE28" s="32">
        <f t="shared" si="20"/>
        <v>875</v>
      </c>
      <c r="AF28" s="32">
        <f t="shared" si="20"/>
        <v>2355</v>
      </c>
    </row>
    <row r="29" spans="2:32" ht="23.1" customHeight="1" x14ac:dyDescent="0.25">
      <c r="B29" s="23" t="s">
        <v>56</v>
      </c>
      <c r="C29" s="50">
        <v>8</v>
      </c>
      <c r="D29" s="50">
        <v>2</v>
      </c>
      <c r="E29" s="50">
        <v>3</v>
      </c>
      <c r="F29" s="50">
        <v>1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16</v>
      </c>
      <c r="P29" s="15">
        <f t="shared" si="1"/>
        <v>41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1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3</v>
      </c>
      <c r="K30" s="50">
        <v>0</v>
      </c>
      <c r="L30" s="50">
        <v>0</v>
      </c>
      <c r="M30" s="50">
        <v>39</v>
      </c>
      <c r="N30" s="50">
        <v>0</v>
      </c>
      <c r="O30" s="15">
        <f t="shared" si="0"/>
        <v>13</v>
      </c>
      <c r="P30" s="15">
        <f t="shared" si="1"/>
        <v>52</v>
      </c>
    </row>
    <row r="31" spans="2:32" ht="23.1" customHeight="1" x14ac:dyDescent="0.25">
      <c r="B31" s="24" t="s">
        <v>58</v>
      </c>
      <c r="C31" s="50">
        <v>5</v>
      </c>
      <c r="D31" s="50">
        <v>4</v>
      </c>
      <c r="E31" s="50">
        <v>4</v>
      </c>
      <c r="F31" s="50">
        <v>0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38</v>
      </c>
      <c r="N31" s="50">
        <v>0</v>
      </c>
      <c r="O31" s="15">
        <f t="shared" si="0"/>
        <v>16</v>
      </c>
      <c r="P31" s="15">
        <f t="shared" si="1"/>
        <v>54</v>
      </c>
    </row>
    <row r="32" spans="2:32" ht="23.1" customHeight="1" x14ac:dyDescent="0.25">
      <c r="B32" s="24" t="s">
        <v>59</v>
      </c>
      <c r="C32" s="50">
        <v>16</v>
      </c>
      <c r="D32" s="50">
        <v>1</v>
      </c>
      <c r="E32" s="50">
        <v>2</v>
      </c>
      <c r="F32" s="50">
        <v>2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38</v>
      </c>
      <c r="N32" s="50">
        <v>0</v>
      </c>
      <c r="O32" s="15">
        <f t="shared" si="0"/>
        <v>23</v>
      </c>
      <c r="P32" s="15">
        <f t="shared" si="1"/>
        <v>61</v>
      </c>
    </row>
    <row r="33" spans="2:20" ht="23.1" customHeight="1" x14ac:dyDescent="0.25">
      <c r="B33" s="23" t="s">
        <v>60</v>
      </c>
      <c r="C33" s="50">
        <v>5</v>
      </c>
      <c r="D33" s="50">
        <v>2</v>
      </c>
      <c r="E33" s="50">
        <v>2</v>
      </c>
      <c r="F33" s="50">
        <v>1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0</v>
      </c>
      <c r="M33" s="50">
        <v>23</v>
      </c>
      <c r="N33" s="50">
        <v>0</v>
      </c>
      <c r="O33" s="15">
        <f t="shared" si="0"/>
        <v>13</v>
      </c>
      <c r="P33" s="15">
        <f t="shared" si="1"/>
        <v>36</v>
      </c>
    </row>
    <row r="34" spans="2:20" ht="23.1" customHeight="1" x14ac:dyDescent="0.25">
      <c r="B34" s="24" t="s">
        <v>61</v>
      </c>
      <c r="C34" s="50">
        <v>3</v>
      </c>
      <c r="D34" s="50">
        <v>2</v>
      </c>
      <c r="E34" s="50">
        <v>3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36</v>
      </c>
      <c r="N34" s="50">
        <v>0</v>
      </c>
      <c r="O34" s="15">
        <f t="shared" si="0"/>
        <v>9</v>
      </c>
      <c r="P34" s="15">
        <f t="shared" si="1"/>
        <v>45</v>
      </c>
    </row>
    <row r="35" spans="2:20" ht="23.1" customHeight="1" x14ac:dyDescent="0.25">
      <c r="B35" s="24" t="s">
        <v>62</v>
      </c>
      <c r="C35" s="50">
        <v>6</v>
      </c>
      <c r="D35" s="50">
        <v>1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2</v>
      </c>
      <c r="M35" s="50">
        <v>30</v>
      </c>
      <c r="N35" s="50">
        <v>0</v>
      </c>
      <c r="O35" s="15">
        <f t="shared" si="0"/>
        <v>11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13</v>
      </c>
      <c r="D36" s="50">
        <v>2</v>
      </c>
      <c r="E36" s="50">
        <v>2</v>
      </c>
      <c r="F36" s="50">
        <v>1</v>
      </c>
      <c r="G36" s="50">
        <v>0</v>
      </c>
      <c r="H36" s="50">
        <v>2</v>
      </c>
      <c r="I36" s="50">
        <v>1</v>
      </c>
      <c r="J36" s="50">
        <v>2</v>
      </c>
      <c r="K36" s="50">
        <v>0</v>
      </c>
      <c r="L36" s="50">
        <v>1</v>
      </c>
      <c r="M36" s="50">
        <v>33</v>
      </c>
      <c r="N36" s="50">
        <v>0</v>
      </c>
      <c r="O36" s="15">
        <f t="shared" si="0"/>
        <v>24</v>
      </c>
      <c r="P36" s="15">
        <f t="shared" si="1"/>
        <v>57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2</v>
      </c>
      <c r="F37" s="50">
        <v>2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13</v>
      </c>
      <c r="P37" s="15">
        <f t="shared" si="1"/>
        <v>25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1</v>
      </c>
      <c r="M38" s="50">
        <v>25</v>
      </c>
      <c r="N38" s="50">
        <v>0</v>
      </c>
      <c r="O38" s="15">
        <f t="shared" si="0"/>
        <v>15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5</v>
      </c>
      <c r="D39" s="50">
        <v>2</v>
      </c>
      <c r="E39" s="50">
        <v>2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32</v>
      </c>
      <c r="N39" s="50">
        <v>0</v>
      </c>
      <c r="O39" s="15">
        <f t="shared" si="0"/>
        <v>11</v>
      </c>
      <c r="P39" s="15">
        <f t="shared" si="1"/>
        <v>43</v>
      </c>
    </row>
    <row r="40" spans="2:20" ht="23.1" customHeight="1" x14ac:dyDescent="0.25">
      <c r="B40" s="24" t="s">
        <v>67</v>
      </c>
      <c r="C40" s="50">
        <v>11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4</v>
      </c>
      <c r="J40" s="50">
        <v>3</v>
      </c>
      <c r="K40" s="50">
        <v>0</v>
      </c>
      <c r="L40" s="50">
        <v>0</v>
      </c>
      <c r="M40" s="50">
        <v>32</v>
      </c>
      <c r="N40" s="50">
        <v>0</v>
      </c>
      <c r="O40" s="15">
        <f t="shared" si="0"/>
        <v>19</v>
      </c>
      <c r="P40" s="15">
        <f t="shared" si="1"/>
        <v>51</v>
      </c>
    </row>
    <row r="41" spans="2:20" ht="23.1" customHeight="1" x14ac:dyDescent="0.25">
      <c r="B41" s="23" t="s">
        <v>68</v>
      </c>
      <c r="C41" s="50">
        <v>10</v>
      </c>
      <c r="D41" s="50">
        <v>1</v>
      </c>
      <c r="E41" s="50">
        <v>2</v>
      </c>
      <c r="F41" s="50">
        <v>0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17</v>
      </c>
      <c r="P41" s="15">
        <f t="shared" si="1"/>
        <v>52</v>
      </c>
    </row>
    <row r="42" spans="2:20" ht="23.1" customHeight="1" x14ac:dyDescent="0.25">
      <c r="B42" s="24" t="s">
        <v>69</v>
      </c>
      <c r="C42" s="50">
        <v>7</v>
      </c>
      <c r="D42" s="50">
        <v>2</v>
      </c>
      <c r="E42" s="50">
        <v>3</v>
      </c>
      <c r="F42" s="50">
        <v>2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1</v>
      </c>
      <c r="M42" s="50">
        <v>23</v>
      </c>
      <c r="N42" s="50">
        <v>0</v>
      </c>
      <c r="O42" s="15">
        <f t="shared" si="0"/>
        <v>20</v>
      </c>
      <c r="P42" s="15">
        <f t="shared" si="1"/>
        <v>43</v>
      </c>
    </row>
    <row r="43" spans="2:20" ht="23.1" customHeight="1" x14ac:dyDescent="0.25">
      <c r="B43" s="23" t="s">
        <v>70</v>
      </c>
      <c r="C43" s="50">
        <v>10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25</v>
      </c>
      <c r="N43" s="50">
        <v>0</v>
      </c>
      <c r="O43" s="15">
        <f t="shared" si="0"/>
        <v>16</v>
      </c>
      <c r="P43" s="15">
        <f t="shared" si="1"/>
        <v>41</v>
      </c>
    </row>
    <row r="44" spans="2:20" ht="23.1" customHeight="1" x14ac:dyDescent="0.25">
      <c r="B44" s="25" t="s">
        <v>71</v>
      </c>
      <c r="C44" s="50">
        <v>15</v>
      </c>
      <c r="D44" s="50">
        <v>2</v>
      </c>
      <c r="E44" s="50">
        <v>3</v>
      </c>
      <c r="F44" s="50">
        <v>0</v>
      </c>
      <c r="G44" s="50">
        <v>0</v>
      </c>
      <c r="H44" s="50">
        <v>0</v>
      </c>
      <c r="I44" s="50">
        <v>3</v>
      </c>
      <c r="J44" s="50">
        <v>2</v>
      </c>
      <c r="K44" s="50">
        <v>0</v>
      </c>
      <c r="L44" s="50">
        <v>0</v>
      </c>
      <c r="M44" s="50">
        <v>40</v>
      </c>
      <c r="N44" s="50">
        <v>0</v>
      </c>
      <c r="O44" s="15">
        <f t="shared" si="0"/>
        <v>25</v>
      </c>
      <c r="P44" s="15">
        <f t="shared" si="1"/>
        <v>65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5</v>
      </c>
      <c r="J45" s="50">
        <v>3</v>
      </c>
      <c r="K45" s="50">
        <v>0</v>
      </c>
      <c r="L45" s="50">
        <v>0</v>
      </c>
      <c r="M45" s="50">
        <v>30</v>
      </c>
      <c r="N45" s="50">
        <v>0</v>
      </c>
      <c r="O45" s="15">
        <f t="shared" si="0"/>
        <v>13</v>
      </c>
      <c r="P45" s="15">
        <f t="shared" si="1"/>
        <v>43</v>
      </c>
    </row>
    <row r="46" spans="2:20" ht="23.1" customHeight="1" x14ac:dyDescent="0.25">
      <c r="B46" s="24" t="s">
        <v>73</v>
      </c>
      <c r="C46" s="50">
        <v>7</v>
      </c>
      <c r="D46" s="50">
        <v>3</v>
      </c>
      <c r="E46" s="50">
        <v>3</v>
      </c>
      <c r="F46" s="50">
        <v>1</v>
      </c>
      <c r="G46" s="50">
        <v>2</v>
      </c>
      <c r="H46" s="50">
        <v>1</v>
      </c>
      <c r="I46" s="50">
        <v>6</v>
      </c>
      <c r="J46" s="50">
        <v>0</v>
      </c>
      <c r="K46" s="50">
        <v>0</v>
      </c>
      <c r="L46" s="50">
        <v>0</v>
      </c>
      <c r="M46" s="50">
        <v>26</v>
      </c>
      <c r="N46" s="50">
        <v>0</v>
      </c>
      <c r="O46" s="15">
        <f t="shared" si="0"/>
        <v>23</v>
      </c>
      <c r="P46" s="15">
        <f t="shared" si="1"/>
        <v>49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1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14</v>
      </c>
      <c r="N47" s="50">
        <v>0</v>
      </c>
      <c r="O47" s="15">
        <f t="shared" si="0"/>
        <v>5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1</v>
      </c>
      <c r="E48" s="50">
        <v>2</v>
      </c>
      <c r="F48" s="50">
        <v>1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12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35</v>
      </c>
      <c r="N49" s="50">
        <v>0</v>
      </c>
      <c r="O49" s="15">
        <f t="shared" si="0"/>
        <v>8</v>
      </c>
      <c r="P49" s="15">
        <f t="shared" si="1"/>
        <v>43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3</v>
      </c>
      <c r="E50" s="50">
        <v>4</v>
      </c>
      <c r="F50" s="50">
        <v>2</v>
      </c>
      <c r="G50" s="50">
        <v>3</v>
      </c>
      <c r="H50" s="50">
        <v>0</v>
      </c>
      <c r="I50" s="50">
        <v>4</v>
      </c>
      <c r="J50" s="50">
        <v>20</v>
      </c>
      <c r="K50" s="50">
        <v>0</v>
      </c>
      <c r="L50" s="50">
        <v>0</v>
      </c>
      <c r="M50" s="50">
        <v>45</v>
      </c>
      <c r="N50" s="50">
        <v>0</v>
      </c>
      <c r="O50" s="15">
        <f t="shared" si="0"/>
        <v>66</v>
      </c>
      <c r="P50" s="15">
        <f t="shared" si="1"/>
        <v>111</v>
      </c>
      <c r="R50" s="8"/>
      <c r="T50"/>
    </row>
    <row r="51" spans="2:20" ht="23.1" customHeight="1" x14ac:dyDescent="0.25">
      <c r="B51" s="24" t="s">
        <v>78</v>
      </c>
      <c r="C51" s="50">
        <v>20</v>
      </c>
      <c r="D51" s="50">
        <v>1</v>
      </c>
      <c r="E51" s="50">
        <v>1</v>
      </c>
      <c r="F51" s="50">
        <v>5</v>
      </c>
      <c r="G51" s="50">
        <v>0</v>
      </c>
      <c r="H51" s="50">
        <v>0</v>
      </c>
      <c r="I51" s="50">
        <v>5</v>
      </c>
      <c r="J51" s="50">
        <v>30</v>
      </c>
      <c r="K51" s="50">
        <v>0</v>
      </c>
      <c r="L51" s="50">
        <v>0</v>
      </c>
      <c r="M51" s="50">
        <v>35</v>
      </c>
      <c r="N51" s="50">
        <v>0</v>
      </c>
      <c r="O51" s="15">
        <f t="shared" si="0"/>
        <v>62</v>
      </c>
      <c r="P51" s="15">
        <f t="shared" si="1"/>
        <v>97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2</v>
      </c>
      <c r="E52" s="50">
        <v>3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25</v>
      </c>
      <c r="N52" s="50">
        <v>0</v>
      </c>
      <c r="O52" s="15">
        <f t="shared" si="0"/>
        <v>13</v>
      </c>
      <c r="P52" s="15">
        <f t="shared" si="1"/>
        <v>38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25</v>
      </c>
      <c r="N53" s="50">
        <v>0</v>
      </c>
      <c r="O53" s="15">
        <f t="shared" si="0"/>
        <v>9</v>
      </c>
      <c r="P53" s="15">
        <f t="shared" si="1"/>
        <v>34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1</v>
      </c>
      <c r="E54" s="50">
        <v>1</v>
      </c>
      <c r="F54" s="50">
        <v>1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1</v>
      </c>
      <c r="M54" s="50">
        <v>40</v>
      </c>
      <c r="N54" s="50">
        <v>0</v>
      </c>
      <c r="O54" s="15">
        <f t="shared" si="0"/>
        <v>14</v>
      </c>
      <c r="P54" s="15">
        <f t="shared" si="1"/>
        <v>54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4</v>
      </c>
      <c r="J55" s="50">
        <v>1</v>
      </c>
      <c r="K55" s="50">
        <v>3</v>
      </c>
      <c r="L55" s="50">
        <v>0</v>
      </c>
      <c r="M55" s="50">
        <v>40</v>
      </c>
      <c r="N55" s="50">
        <v>0</v>
      </c>
      <c r="O55" s="15">
        <f t="shared" si="0"/>
        <v>13</v>
      </c>
      <c r="P55" s="15">
        <f t="shared" si="1"/>
        <v>53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1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3</v>
      </c>
      <c r="K56" s="50">
        <v>1</v>
      </c>
      <c r="L56" s="50">
        <v>0</v>
      </c>
      <c r="M56" s="50">
        <v>28</v>
      </c>
      <c r="N56" s="50">
        <v>0</v>
      </c>
      <c r="O56" s="15">
        <f t="shared" si="0"/>
        <v>10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2</v>
      </c>
      <c r="F57" s="50">
        <v>0</v>
      </c>
      <c r="G57" s="50">
        <v>2</v>
      </c>
      <c r="H57" s="50">
        <v>2</v>
      </c>
      <c r="I57" s="50">
        <v>3</v>
      </c>
      <c r="J57" s="50">
        <v>2</v>
      </c>
      <c r="K57" s="50">
        <v>1</v>
      </c>
      <c r="L57" s="50">
        <v>2</v>
      </c>
      <c r="M57" s="50">
        <v>45</v>
      </c>
      <c r="N57" s="50">
        <v>0</v>
      </c>
      <c r="O57" s="15">
        <f t="shared" si="0"/>
        <v>16</v>
      </c>
      <c r="P57" s="15">
        <f t="shared" si="1"/>
        <v>61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341</v>
      </c>
      <c r="D58" s="16">
        <f t="shared" si="21"/>
        <v>88</v>
      </c>
      <c r="E58" s="16">
        <f t="shared" si="21"/>
        <v>108</v>
      </c>
      <c r="F58" s="16">
        <f t="shared" si="21"/>
        <v>61</v>
      </c>
      <c r="G58" s="16">
        <f t="shared" si="21"/>
        <v>15</v>
      </c>
      <c r="H58" s="16">
        <f t="shared" si="21"/>
        <v>37</v>
      </c>
      <c r="I58" s="16">
        <f t="shared" si="21"/>
        <v>99</v>
      </c>
      <c r="J58" s="16">
        <f t="shared" si="21"/>
        <v>94</v>
      </c>
      <c r="K58" s="16">
        <f t="shared" si="21"/>
        <v>6</v>
      </c>
      <c r="L58" s="16">
        <f t="shared" si="21"/>
        <v>23</v>
      </c>
      <c r="M58" s="16">
        <f t="shared" si="21"/>
        <v>1480</v>
      </c>
      <c r="N58" s="16">
        <f t="shared" si="21"/>
        <v>3</v>
      </c>
      <c r="O58" s="16">
        <f t="shared" si="21"/>
        <v>875</v>
      </c>
      <c r="P58" s="16">
        <f t="shared" si="21"/>
        <v>2355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0.14479830148619957</v>
      </c>
      <c r="D59" s="43">
        <f t="shared" si="22"/>
        <v>3.7367303609341825E-2</v>
      </c>
      <c r="E59" s="43">
        <f t="shared" si="22"/>
        <v>4.5859872611464965E-2</v>
      </c>
      <c r="F59" s="43">
        <f t="shared" si="22"/>
        <v>2.5902335456475585E-2</v>
      </c>
      <c r="G59" s="43">
        <f t="shared" si="22"/>
        <v>6.369426751592357E-3</v>
      </c>
      <c r="H59" s="43">
        <f t="shared" si="22"/>
        <v>1.5711252653927813E-2</v>
      </c>
      <c r="I59" s="43">
        <f t="shared" si="22"/>
        <v>4.2038216560509552E-2</v>
      </c>
      <c r="J59" s="43">
        <f t="shared" si="22"/>
        <v>3.9915074309978767E-2</v>
      </c>
      <c r="K59" s="43">
        <f t="shared" si="22"/>
        <v>2.5477707006369425E-3</v>
      </c>
      <c r="L59" s="43">
        <f t="shared" si="22"/>
        <v>9.7664543524416132E-3</v>
      </c>
      <c r="M59" s="43">
        <f t="shared" si="22"/>
        <v>0.6284501061571125</v>
      </c>
      <c r="N59" s="43">
        <f t="shared" si="22"/>
        <v>1.2738853503184713E-3</v>
      </c>
      <c r="R59" s="8"/>
      <c r="T59"/>
    </row>
    <row r="60" spans="2:20" ht="23.1" customHeight="1" x14ac:dyDescent="0.25">
      <c r="B60" s="42" t="s">
        <v>94</v>
      </c>
      <c r="C60" s="44">
        <f>C58/$O$58</f>
        <v>0.38971428571428574</v>
      </c>
      <c r="D60" s="44">
        <f t="shared" ref="D60:N60" si="23">D58/$O$58</f>
        <v>0.10057142857142858</v>
      </c>
      <c r="E60" s="44">
        <f t="shared" si="23"/>
        <v>0.12342857142857143</v>
      </c>
      <c r="F60" s="44">
        <f t="shared" si="23"/>
        <v>6.9714285714285715E-2</v>
      </c>
      <c r="G60" s="44">
        <f t="shared" si="23"/>
        <v>1.7142857142857144E-2</v>
      </c>
      <c r="H60" s="44">
        <f t="shared" si="23"/>
        <v>4.2285714285714288E-2</v>
      </c>
      <c r="I60" s="44">
        <f t="shared" si="23"/>
        <v>0.11314285714285714</v>
      </c>
      <c r="J60" s="44">
        <f t="shared" si="23"/>
        <v>0.10742857142857143</v>
      </c>
      <c r="K60" s="44">
        <f t="shared" si="23"/>
        <v>6.8571428571428568E-3</v>
      </c>
      <c r="L60" s="44">
        <f t="shared" si="23"/>
        <v>2.6285714285714287E-2</v>
      </c>
      <c r="M60" s="44"/>
      <c r="N60" s="44">
        <f t="shared" si="23"/>
        <v>3.4285714285714284E-3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topLeftCell="A84" zoomScale="60" workbookViewId="0">
      <selection activeCell="R98" sqref="R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6" t="str">
        <f>'05.08 Arua-Koboko'!G5:H5</f>
        <v>xxx</v>
      </c>
      <c r="H5" s="67"/>
      <c r="I5" s="14"/>
      <c r="J5" s="2" t="s">
        <v>5</v>
      </c>
      <c r="K5" s="66" t="str">
        <f>'05.08 Arua-Koboko'!K5:L5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Koboko-Arua'!D6:E6</f>
        <v>Koboko</v>
      </c>
      <c r="E6" s="67"/>
      <c r="F6" s="2" t="s">
        <v>2</v>
      </c>
      <c r="G6" s="66" t="str">
        <f>'31.07 Koboko-Arua'!G6:H6</f>
        <v>Arua</v>
      </c>
      <c r="H6" s="67"/>
      <c r="J6" s="2" t="s">
        <v>21</v>
      </c>
      <c r="K6" s="66" t="str">
        <f>'05.08 Arua-Koboko'!K6:L6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8</v>
      </c>
      <c r="D10" s="50">
        <v>0</v>
      </c>
      <c r="E10" s="50">
        <v>0</v>
      </c>
      <c r="F10" s="50">
        <v>2</v>
      </c>
      <c r="G10" s="50">
        <v>2</v>
      </c>
      <c r="H10" s="50">
        <v>0</v>
      </c>
      <c r="I10" s="50">
        <v>2</v>
      </c>
      <c r="J10" s="50">
        <v>0</v>
      </c>
      <c r="K10" s="50">
        <v>0</v>
      </c>
      <c r="L10" s="50">
        <v>2</v>
      </c>
      <c r="M10" s="50">
        <v>16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32</v>
      </c>
      <c r="R10" s="1" t="s">
        <v>6</v>
      </c>
      <c r="S10" s="17">
        <f t="shared" ref="S10:AF10" si="2">SUM(C10:C13)</f>
        <v>16</v>
      </c>
      <c r="T10" s="17">
        <f t="shared" si="2"/>
        <v>1</v>
      </c>
      <c r="U10" s="17">
        <f t="shared" si="2"/>
        <v>2</v>
      </c>
      <c r="V10" s="17">
        <f t="shared" si="2"/>
        <v>11</v>
      </c>
      <c r="W10" s="17">
        <f t="shared" si="2"/>
        <v>2</v>
      </c>
      <c r="X10" s="17">
        <f t="shared" si="2"/>
        <v>2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120</v>
      </c>
      <c r="AD10" s="17">
        <f t="shared" si="2"/>
        <v>0</v>
      </c>
      <c r="AE10" s="31">
        <f t="shared" si="2"/>
        <v>40</v>
      </c>
      <c r="AF10" s="31">
        <f t="shared" si="2"/>
        <v>160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33</v>
      </c>
      <c r="N11" s="50">
        <v>0</v>
      </c>
      <c r="O11" s="15">
        <f t="shared" si="0"/>
        <v>1</v>
      </c>
      <c r="P11" s="15">
        <f t="shared" si="1"/>
        <v>34</v>
      </c>
      <c r="R11" s="1" t="s">
        <v>7</v>
      </c>
      <c r="S11" s="17">
        <f t="shared" ref="S11:AF11" si="3">SUM(C14:C17)</f>
        <v>26</v>
      </c>
      <c r="T11" s="17">
        <f t="shared" si="3"/>
        <v>7</v>
      </c>
      <c r="U11" s="17">
        <f t="shared" si="3"/>
        <v>13</v>
      </c>
      <c r="V11" s="17">
        <f t="shared" si="3"/>
        <v>4</v>
      </c>
      <c r="W11" s="17">
        <f t="shared" si="3"/>
        <v>2</v>
      </c>
      <c r="X11" s="17">
        <f t="shared" si="3"/>
        <v>0</v>
      </c>
      <c r="Y11" s="17">
        <f t="shared" si="3"/>
        <v>9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137</v>
      </c>
      <c r="AD11" s="17">
        <f t="shared" si="3"/>
        <v>0</v>
      </c>
      <c r="AE11" s="31">
        <f t="shared" si="3"/>
        <v>62</v>
      </c>
      <c r="AF11" s="31">
        <f t="shared" si="3"/>
        <v>199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46</v>
      </c>
      <c r="N12" s="50">
        <v>0</v>
      </c>
      <c r="O12" s="15">
        <f t="shared" si="0"/>
        <v>4</v>
      </c>
      <c r="P12" s="15">
        <f t="shared" si="1"/>
        <v>50</v>
      </c>
      <c r="R12" s="1" t="s">
        <v>8</v>
      </c>
      <c r="S12" s="17">
        <f t="shared" ref="S12:AF12" si="4">SUM(C18:C21)</f>
        <v>33</v>
      </c>
      <c r="T12" s="17">
        <f t="shared" si="4"/>
        <v>6</v>
      </c>
      <c r="U12" s="17">
        <f t="shared" si="4"/>
        <v>11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5</v>
      </c>
      <c r="AC12" s="17">
        <f t="shared" si="4"/>
        <v>96</v>
      </c>
      <c r="AD12" s="17">
        <f t="shared" si="4"/>
        <v>0</v>
      </c>
      <c r="AE12" s="31">
        <f t="shared" si="4"/>
        <v>71</v>
      </c>
      <c r="AF12" s="31">
        <f t="shared" si="4"/>
        <v>167</v>
      </c>
    </row>
    <row r="13" spans="2:32" ht="23.1" customHeight="1" x14ac:dyDescent="0.25">
      <c r="B13" s="45" t="s">
        <v>40</v>
      </c>
      <c r="C13" s="50">
        <v>6</v>
      </c>
      <c r="D13" s="50">
        <v>1</v>
      </c>
      <c r="E13" s="50">
        <v>2</v>
      </c>
      <c r="F13" s="50">
        <v>6</v>
      </c>
      <c r="G13" s="50">
        <v>0</v>
      </c>
      <c r="H13" s="50">
        <v>2</v>
      </c>
      <c r="I13" s="50">
        <v>1</v>
      </c>
      <c r="J13" s="50">
        <v>1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19</v>
      </c>
      <c r="P13" s="15">
        <f t="shared" si="1"/>
        <v>44</v>
      </c>
      <c r="R13" s="1" t="s">
        <v>9</v>
      </c>
      <c r="S13" s="17">
        <f t="shared" ref="S13:AF13" si="5">SUM(C22:C25)</f>
        <v>34</v>
      </c>
      <c r="T13" s="17">
        <f t="shared" si="5"/>
        <v>11</v>
      </c>
      <c r="U13" s="17">
        <f t="shared" si="5"/>
        <v>20</v>
      </c>
      <c r="V13" s="17">
        <f t="shared" si="5"/>
        <v>4</v>
      </c>
      <c r="W13" s="17">
        <f t="shared" si="5"/>
        <v>2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155</v>
      </c>
      <c r="AD13" s="17">
        <f t="shared" si="5"/>
        <v>0</v>
      </c>
      <c r="AE13" s="31">
        <f t="shared" si="5"/>
        <v>77</v>
      </c>
      <c r="AF13" s="31">
        <f t="shared" si="5"/>
        <v>232</v>
      </c>
    </row>
    <row r="14" spans="2:32" ht="23.1" customHeight="1" x14ac:dyDescent="0.25">
      <c r="B14" s="45" t="s">
        <v>41</v>
      </c>
      <c r="C14" s="50">
        <v>8</v>
      </c>
      <c r="D14" s="50">
        <v>1</v>
      </c>
      <c r="E14" s="50">
        <v>2</v>
      </c>
      <c r="F14" s="50">
        <v>1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50</v>
      </c>
      <c r="N14" s="50">
        <v>0</v>
      </c>
      <c r="O14" s="15">
        <f t="shared" si="0"/>
        <v>14</v>
      </c>
      <c r="P14" s="15">
        <f t="shared" si="1"/>
        <v>64</v>
      </c>
      <c r="R14" s="1" t="s">
        <v>10</v>
      </c>
      <c r="S14" s="17">
        <f t="shared" ref="S14:AF14" si="6">SUM(C26:C29)</f>
        <v>30</v>
      </c>
      <c r="T14" s="17">
        <f t="shared" si="6"/>
        <v>5</v>
      </c>
      <c r="U14" s="17">
        <f t="shared" si="6"/>
        <v>8</v>
      </c>
      <c r="V14" s="17">
        <f t="shared" si="6"/>
        <v>7</v>
      </c>
      <c r="W14" s="17">
        <f t="shared" si="6"/>
        <v>0</v>
      </c>
      <c r="X14" s="17">
        <f t="shared" si="6"/>
        <v>1</v>
      </c>
      <c r="Y14" s="17">
        <f t="shared" si="6"/>
        <v>12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134</v>
      </c>
      <c r="AD14" s="17">
        <f t="shared" si="6"/>
        <v>0</v>
      </c>
      <c r="AE14" s="31">
        <f t="shared" si="6"/>
        <v>64</v>
      </c>
      <c r="AF14" s="31">
        <f t="shared" si="6"/>
        <v>198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2</v>
      </c>
      <c r="F15" s="50">
        <v>1</v>
      </c>
      <c r="G15" s="50">
        <v>1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8</v>
      </c>
      <c r="P15" s="15">
        <f t="shared" si="1"/>
        <v>24</v>
      </c>
      <c r="R15" s="1" t="s">
        <v>11</v>
      </c>
      <c r="S15" s="17">
        <f t="shared" ref="S15:AF15" si="7">SUM(C30:C33)</f>
        <v>28</v>
      </c>
      <c r="T15" s="17">
        <f t="shared" si="7"/>
        <v>10</v>
      </c>
      <c r="U15" s="17">
        <f t="shared" si="7"/>
        <v>17</v>
      </c>
      <c r="V15" s="17">
        <f t="shared" si="7"/>
        <v>15</v>
      </c>
      <c r="W15" s="17">
        <f t="shared" si="7"/>
        <v>1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130</v>
      </c>
      <c r="AD15" s="17">
        <f t="shared" si="7"/>
        <v>0</v>
      </c>
      <c r="AE15" s="31">
        <f t="shared" si="7"/>
        <v>77</v>
      </c>
      <c r="AF15" s="31">
        <f t="shared" si="7"/>
        <v>207</v>
      </c>
    </row>
    <row r="16" spans="2:32" ht="23.1" customHeight="1" x14ac:dyDescent="0.25">
      <c r="B16" s="45" t="s">
        <v>43</v>
      </c>
      <c r="C16" s="50">
        <v>13</v>
      </c>
      <c r="D16" s="50">
        <v>2</v>
      </c>
      <c r="E16" s="50">
        <v>4</v>
      </c>
      <c r="F16" s="50">
        <v>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36</v>
      </c>
      <c r="N16" s="50">
        <v>0</v>
      </c>
      <c r="O16" s="15">
        <f t="shared" si="0"/>
        <v>22</v>
      </c>
      <c r="P16" s="15">
        <f t="shared" si="1"/>
        <v>58</v>
      </c>
      <c r="R16" s="1" t="s">
        <v>12</v>
      </c>
      <c r="S16" s="17">
        <f t="shared" ref="S16:AF16" si="8">SUM(C34:C37)</f>
        <v>12</v>
      </c>
      <c r="T16" s="17">
        <f t="shared" si="8"/>
        <v>9</v>
      </c>
      <c r="U16" s="17">
        <f t="shared" si="8"/>
        <v>15</v>
      </c>
      <c r="V16" s="17">
        <f t="shared" si="8"/>
        <v>15</v>
      </c>
      <c r="W16" s="17">
        <f t="shared" si="8"/>
        <v>1</v>
      </c>
      <c r="X16" s="17">
        <f t="shared" si="8"/>
        <v>2</v>
      </c>
      <c r="Y16" s="17">
        <f t="shared" si="8"/>
        <v>8</v>
      </c>
      <c r="Z16" s="17">
        <f t="shared" si="8"/>
        <v>3</v>
      </c>
      <c r="AA16" s="17">
        <f t="shared" si="8"/>
        <v>0</v>
      </c>
      <c r="AB16" s="17">
        <f t="shared" si="8"/>
        <v>2</v>
      </c>
      <c r="AC16" s="17">
        <f t="shared" si="8"/>
        <v>55</v>
      </c>
      <c r="AD16" s="17">
        <f t="shared" si="8"/>
        <v>0</v>
      </c>
      <c r="AE16" s="31">
        <f t="shared" si="8"/>
        <v>67</v>
      </c>
      <c r="AF16" s="31">
        <f t="shared" si="8"/>
        <v>122</v>
      </c>
    </row>
    <row r="17" spans="2:32" ht="23.1" customHeight="1" x14ac:dyDescent="0.25">
      <c r="B17" s="45" t="s">
        <v>44</v>
      </c>
      <c r="C17" s="50">
        <v>5</v>
      </c>
      <c r="D17" s="50">
        <v>3</v>
      </c>
      <c r="E17" s="50">
        <v>5</v>
      </c>
      <c r="F17" s="50">
        <v>2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18</v>
      </c>
      <c r="P17" s="15">
        <f t="shared" si="1"/>
        <v>53</v>
      </c>
      <c r="R17" s="1" t="s">
        <v>13</v>
      </c>
      <c r="S17" s="17">
        <f t="shared" ref="S17:AF17" si="9">SUM(C38:C41)</f>
        <v>11</v>
      </c>
      <c r="T17" s="17">
        <f t="shared" si="9"/>
        <v>7</v>
      </c>
      <c r="U17" s="17">
        <f t="shared" si="9"/>
        <v>13</v>
      </c>
      <c r="V17" s="17">
        <f t="shared" si="9"/>
        <v>0</v>
      </c>
      <c r="W17" s="17">
        <f t="shared" si="9"/>
        <v>2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41</v>
      </c>
      <c r="AD17" s="17">
        <f t="shared" si="9"/>
        <v>0</v>
      </c>
      <c r="AE17" s="31">
        <f t="shared" si="9"/>
        <v>43</v>
      </c>
      <c r="AF17" s="31">
        <f t="shared" si="9"/>
        <v>84</v>
      </c>
    </row>
    <row r="18" spans="2:32" ht="23.1" customHeight="1" x14ac:dyDescent="0.25">
      <c r="B18" s="45" t="s">
        <v>45</v>
      </c>
      <c r="C18" s="50">
        <v>15</v>
      </c>
      <c r="D18" s="50">
        <v>1</v>
      </c>
      <c r="E18" s="50">
        <v>2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35</v>
      </c>
      <c r="N18" s="50">
        <v>0</v>
      </c>
      <c r="O18" s="15">
        <f t="shared" si="0"/>
        <v>20</v>
      </c>
      <c r="P18" s="15">
        <f t="shared" si="1"/>
        <v>55</v>
      </c>
      <c r="R18" s="1" t="s">
        <v>14</v>
      </c>
      <c r="S18" s="17">
        <f t="shared" ref="S18:AF18" si="10">SUM(C42:C45)</f>
        <v>24</v>
      </c>
      <c r="T18" s="17">
        <f t="shared" si="10"/>
        <v>13</v>
      </c>
      <c r="U18" s="17">
        <f t="shared" si="10"/>
        <v>22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129</v>
      </c>
      <c r="AD18" s="17">
        <f t="shared" si="10"/>
        <v>0</v>
      </c>
      <c r="AE18" s="31">
        <f t="shared" si="10"/>
        <v>85</v>
      </c>
      <c r="AF18" s="31">
        <f t="shared" si="10"/>
        <v>214</v>
      </c>
    </row>
    <row r="19" spans="2:32" ht="23.1" customHeight="1" x14ac:dyDescent="0.25">
      <c r="B19" s="45" t="s">
        <v>46</v>
      </c>
      <c r="C19" s="50">
        <v>7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5</v>
      </c>
      <c r="M19" s="50">
        <v>20</v>
      </c>
      <c r="N19" s="50">
        <v>0</v>
      </c>
      <c r="O19" s="15">
        <f t="shared" si="0"/>
        <v>13</v>
      </c>
      <c r="P19" s="15">
        <f t="shared" si="1"/>
        <v>33</v>
      </c>
      <c r="R19" s="1" t="s">
        <v>15</v>
      </c>
      <c r="S19" s="17">
        <f t="shared" ref="S19:AF19" si="11">SUM(C46:C49)</f>
        <v>36</v>
      </c>
      <c r="T19" s="17">
        <f t="shared" si="11"/>
        <v>17</v>
      </c>
      <c r="U19" s="17">
        <f t="shared" si="11"/>
        <v>28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1</v>
      </c>
      <c r="AB19" s="17">
        <f t="shared" si="11"/>
        <v>1</v>
      </c>
      <c r="AC19" s="17">
        <f t="shared" si="11"/>
        <v>163</v>
      </c>
      <c r="AD19" s="17">
        <f t="shared" si="11"/>
        <v>0</v>
      </c>
      <c r="AE19" s="31">
        <f t="shared" si="11"/>
        <v>97</v>
      </c>
      <c r="AF19" s="31">
        <f t="shared" si="11"/>
        <v>260</v>
      </c>
    </row>
    <row r="20" spans="2:32" ht="23.1" customHeight="1" x14ac:dyDescent="0.25">
      <c r="B20" s="45" t="s">
        <v>47</v>
      </c>
      <c r="C20" s="50">
        <v>8</v>
      </c>
      <c r="D20" s="50">
        <v>3</v>
      </c>
      <c r="E20" s="50">
        <v>5</v>
      </c>
      <c r="F20" s="50">
        <v>5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20</v>
      </c>
      <c r="N20" s="50">
        <v>0</v>
      </c>
      <c r="O20" s="15">
        <f t="shared" si="0"/>
        <v>26</v>
      </c>
      <c r="P20" s="15">
        <f t="shared" si="1"/>
        <v>46</v>
      </c>
      <c r="R20" s="1" t="s">
        <v>16</v>
      </c>
      <c r="S20" s="17">
        <f t="shared" ref="S20:AF20" si="12">SUM(C50:C53)</f>
        <v>39</v>
      </c>
      <c r="T20" s="17">
        <f t="shared" si="12"/>
        <v>15</v>
      </c>
      <c r="U20" s="17">
        <f t="shared" si="12"/>
        <v>24</v>
      </c>
      <c r="V20" s="17">
        <f t="shared" si="12"/>
        <v>7</v>
      </c>
      <c r="W20" s="17">
        <f t="shared" si="12"/>
        <v>0</v>
      </c>
      <c r="X20" s="17">
        <f t="shared" si="12"/>
        <v>1</v>
      </c>
      <c r="Y20" s="17">
        <f t="shared" si="12"/>
        <v>11</v>
      </c>
      <c r="Z20" s="17">
        <f t="shared" si="12"/>
        <v>3</v>
      </c>
      <c r="AA20" s="17">
        <f t="shared" si="12"/>
        <v>0</v>
      </c>
      <c r="AB20" s="17">
        <f t="shared" si="12"/>
        <v>1</v>
      </c>
      <c r="AC20" s="17">
        <f t="shared" si="12"/>
        <v>191</v>
      </c>
      <c r="AD20" s="17">
        <f t="shared" si="12"/>
        <v>2</v>
      </c>
      <c r="AE20" s="31">
        <f t="shared" si="12"/>
        <v>103</v>
      </c>
      <c r="AF20" s="31">
        <f t="shared" si="12"/>
        <v>294</v>
      </c>
    </row>
    <row r="21" spans="2:32" ht="23.1" customHeight="1" x14ac:dyDescent="0.25">
      <c r="B21" s="45" t="s">
        <v>48</v>
      </c>
      <c r="C21" s="50">
        <v>3</v>
      </c>
      <c r="D21" s="50">
        <v>2</v>
      </c>
      <c r="E21" s="50">
        <v>4</v>
      </c>
      <c r="F21" s="50">
        <v>0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12</v>
      </c>
      <c r="P21" s="15">
        <f t="shared" si="1"/>
        <v>33</v>
      </c>
      <c r="R21" s="36" t="s">
        <v>20</v>
      </c>
      <c r="S21" s="34">
        <f t="shared" ref="S21:AF21" si="13">SUM(C54:C57)</f>
        <v>13</v>
      </c>
      <c r="T21" s="17">
        <f t="shared" si="13"/>
        <v>8</v>
      </c>
      <c r="U21" s="17">
        <f t="shared" si="13"/>
        <v>14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9</v>
      </c>
      <c r="AA21" s="17">
        <f t="shared" si="13"/>
        <v>0</v>
      </c>
      <c r="AB21" s="17">
        <f t="shared" si="13"/>
        <v>8</v>
      </c>
      <c r="AC21" s="17">
        <f t="shared" si="13"/>
        <v>95</v>
      </c>
      <c r="AD21" s="17">
        <f t="shared" si="13"/>
        <v>0</v>
      </c>
      <c r="AE21" s="31">
        <f t="shared" si="13"/>
        <v>66</v>
      </c>
      <c r="AF21" s="31">
        <f t="shared" si="13"/>
        <v>161</v>
      </c>
    </row>
    <row r="22" spans="2:32" ht="23.1" customHeight="1" x14ac:dyDescent="0.25">
      <c r="B22" s="45" t="s">
        <v>49</v>
      </c>
      <c r="C22" s="50">
        <v>6</v>
      </c>
      <c r="D22" s="50">
        <v>3</v>
      </c>
      <c r="E22" s="50">
        <v>5</v>
      </c>
      <c r="F22" s="50">
        <v>1</v>
      </c>
      <c r="G22" s="50">
        <v>1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32</v>
      </c>
      <c r="N22" s="50">
        <v>0</v>
      </c>
      <c r="O22" s="15">
        <f t="shared" si="0"/>
        <v>19</v>
      </c>
      <c r="P22" s="15">
        <f t="shared" si="1"/>
        <v>51</v>
      </c>
      <c r="R22" s="36" t="s">
        <v>146</v>
      </c>
      <c r="S22" s="34">
        <f>SUM(C58:C61)</f>
        <v>35</v>
      </c>
      <c r="T22" s="34">
        <f t="shared" ref="T22:AF22" si="14">SUM(D58:D61)</f>
        <v>15</v>
      </c>
      <c r="U22" s="34">
        <f t="shared" si="14"/>
        <v>25</v>
      </c>
      <c r="V22" s="34">
        <f t="shared" si="14"/>
        <v>20</v>
      </c>
      <c r="W22" s="34">
        <f t="shared" si="14"/>
        <v>16</v>
      </c>
      <c r="X22" s="34">
        <f t="shared" si="14"/>
        <v>1</v>
      </c>
      <c r="Y22" s="34">
        <f t="shared" si="14"/>
        <v>3</v>
      </c>
      <c r="Z22" s="34">
        <f t="shared" si="14"/>
        <v>3</v>
      </c>
      <c r="AA22" s="34">
        <f t="shared" si="14"/>
        <v>4</v>
      </c>
      <c r="AB22" s="34">
        <f t="shared" si="14"/>
        <v>3</v>
      </c>
      <c r="AC22" s="34">
        <f t="shared" si="14"/>
        <v>207</v>
      </c>
      <c r="AD22" s="34">
        <f t="shared" si="14"/>
        <v>0</v>
      </c>
      <c r="AE22" s="31">
        <f t="shared" si="14"/>
        <v>125</v>
      </c>
      <c r="AF22" s="31">
        <f t="shared" si="14"/>
        <v>332</v>
      </c>
    </row>
    <row r="23" spans="2:32" ht="23.1" customHeight="1" x14ac:dyDescent="0.25">
      <c r="B23" s="45" t="s">
        <v>50</v>
      </c>
      <c r="C23" s="50">
        <v>8</v>
      </c>
      <c r="D23" s="50">
        <v>4</v>
      </c>
      <c r="E23" s="50">
        <v>6</v>
      </c>
      <c r="F23" s="50">
        <v>2</v>
      </c>
      <c r="G23" s="50">
        <v>1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27</v>
      </c>
      <c r="N23" s="50">
        <v>0</v>
      </c>
      <c r="O23" s="15">
        <f t="shared" si="0"/>
        <v>22</v>
      </c>
      <c r="P23" s="15">
        <f t="shared" si="1"/>
        <v>49</v>
      </c>
      <c r="R23" s="36" t="s">
        <v>147</v>
      </c>
      <c r="S23" s="34">
        <f>SUM(C62:C65)</f>
        <v>23</v>
      </c>
      <c r="T23" s="34">
        <f t="shared" ref="T23:AF23" si="15">SUM(D62:D65)</f>
        <v>8</v>
      </c>
      <c r="U23" s="34">
        <f t="shared" si="15"/>
        <v>21</v>
      </c>
      <c r="V23" s="34">
        <f t="shared" si="15"/>
        <v>7</v>
      </c>
      <c r="W23" s="34">
        <f t="shared" si="15"/>
        <v>11</v>
      </c>
      <c r="X23" s="34">
        <f t="shared" si="15"/>
        <v>4</v>
      </c>
      <c r="Y23" s="34">
        <f t="shared" si="15"/>
        <v>9</v>
      </c>
      <c r="Z23" s="34">
        <f t="shared" si="15"/>
        <v>4</v>
      </c>
      <c r="AA23" s="34">
        <f t="shared" si="15"/>
        <v>4</v>
      </c>
      <c r="AB23" s="34">
        <f t="shared" si="15"/>
        <v>2</v>
      </c>
      <c r="AC23" s="34">
        <f t="shared" si="15"/>
        <v>168</v>
      </c>
      <c r="AD23" s="34">
        <f t="shared" si="15"/>
        <v>0</v>
      </c>
      <c r="AE23" s="31">
        <f t="shared" si="15"/>
        <v>93</v>
      </c>
      <c r="AF23" s="31">
        <f t="shared" si="15"/>
        <v>261</v>
      </c>
    </row>
    <row r="24" spans="2:32" ht="23.1" customHeight="1" x14ac:dyDescent="0.25">
      <c r="B24" s="45" t="s">
        <v>51</v>
      </c>
      <c r="C24" s="50">
        <v>15</v>
      </c>
      <c r="D24" s="50">
        <v>2</v>
      </c>
      <c r="E24" s="50">
        <v>4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51</v>
      </c>
      <c r="N24" s="50">
        <v>0</v>
      </c>
      <c r="O24" s="15">
        <f t="shared" si="0"/>
        <v>23</v>
      </c>
      <c r="P24" s="15">
        <f t="shared" si="1"/>
        <v>74</v>
      </c>
      <c r="R24" s="36" t="s">
        <v>148</v>
      </c>
      <c r="S24" s="34">
        <f>SUM(C66:C69)</f>
        <v>24</v>
      </c>
      <c r="T24" s="34">
        <f t="shared" ref="T24:AF24" si="16">SUM(D66:D69)</f>
        <v>4</v>
      </c>
      <c r="U24" s="34">
        <f t="shared" si="16"/>
        <v>17</v>
      </c>
      <c r="V24" s="34">
        <f t="shared" si="16"/>
        <v>14</v>
      </c>
      <c r="W24" s="34">
        <f t="shared" si="16"/>
        <v>1</v>
      </c>
      <c r="X24" s="34">
        <f t="shared" si="16"/>
        <v>0</v>
      </c>
      <c r="Y24" s="34">
        <f t="shared" si="16"/>
        <v>3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86</v>
      </c>
      <c r="AD24" s="34">
        <f t="shared" si="16"/>
        <v>0</v>
      </c>
      <c r="AE24" s="31">
        <f t="shared" si="16"/>
        <v>66</v>
      </c>
      <c r="AF24" s="31">
        <f t="shared" si="16"/>
        <v>152</v>
      </c>
    </row>
    <row r="25" spans="2:32" ht="23.1" customHeight="1" x14ac:dyDescent="0.25">
      <c r="B25" s="45" t="s">
        <v>52</v>
      </c>
      <c r="C25" s="50">
        <v>5</v>
      </c>
      <c r="D25" s="50">
        <v>2</v>
      </c>
      <c r="E25" s="50">
        <v>5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45</v>
      </c>
      <c r="N25" s="50">
        <v>0</v>
      </c>
      <c r="O25" s="15">
        <f t="shared" si="0"/>
        <v>13</v>
      </c>
      <c r="P25" s="15">
        <f t="shared" si="1"/>
        <v>58</v>
      </c>
      <c r="R25" s="36" t="s">
        <v>149</v>
      </c>
      <c r="S25" s="34">
        <f>SUM(C70:C73)</f>
        <v>2</v>
      </c>
      <c r="T25" s="34">
        <f t="shared" ref="T25:AF25" si="17">SUM(D70:D73)</f>
        <v>1</v>
      </c>
      <c r="U25" s="34">
        <f t="shared" si="17"/>
        <v>5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40</v>
      </c>
      <c r="AD25" s="34">
        <f t="shared" si="17"/>
        <v>0</v>
      </c>
      <c r="AE25" s="31">
        <f t="shared" si="17"/>
        <v>18</v>
      </c>
      <c r="AF25" s="31">
        <f t="shared" si="17"/>
        <v>58</v>
      </c>
    </row>
    <row r="26" spans="2:32" ht="23.1" customHeight="1" x14ac:dyDescent="0.25">
      <c r="B26" s="45" t="s">
        <v>53</v>
      </c>
      <c r="C26" s="50">
        <v>15</v>
      </c>
      <c r="D26" s="50">
        <v>3</v>
      </c>
      <c r="E26" s="50">
        <v>5</v>
      </c>
      <c r="F26" s="50">
        <v>2</v>
      </c>
      <c r="G26" s="50">
        <v>0</v>
      </c>
      <c r="H26" s="50">
        <v>1</v>
      </c>
      <c r="I26" s="50">
        <v>5</v>
      </c>
      <c r="J26" s="50">
        <v>0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31</v>
      </c>
      <c r="P26" s="15">
        <f t="shared" si="1"/>
        <v>61</v>
      </c>
      <c r="R26" s="36" t="s">
        <v>150</v>
      </c>
      <c r="S26" s="34">
        <f>SUM(C74:C77)</f>
        <v>5</v>
      </c>
      <c r="T26" s="34">
        <f t="shared" ref="T26:AF26" si="18">SUM(D74:D77)</f>
        <v>0</v>
      </c>
      <c r="U26" s="34">
        <f t="shared" si="18"/>
        <v>2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2</v>
      </c>
      <c r="AB26" s="34">
        <f t="shared" si="18"/>
        <v>0</v>
      </c>
      <c r="AC26" s="34">
        <f t="shared" si="18"/>
        <v>20</v>
      </c>
      <c r="AD26" s="34">
        <f t="shared" si="18"/>
        <v>0</v>
      </c>
      <c r="AE26" s="31">
        <f t="shared" si="18"/>
        <v>12</v>
      </c>
      <c r="AF26" s="31">
        <f t="shared" si="18"/>
        <v>32</v>
      </c>
    </row>
    <row r="27" spans="2:32" ht="23.1" customHeight="1" x14ac:dyDescent="0.25">
      <c r="B27" s="45" t="s">
        <v>54</v>
      </c>
      <c r="C27" s="50">
        <v>5</v>
      </c>
      <c r="D27" s="50">
        <v>2</v>
      </c>
      <c r="E27" s="50">
        <v>3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37</v>
      </c>
      <c r="N27" s="50">
        <v>0</v>
      </c>
      <c r="O27" s="15">
        <f t="shared" si="0"/>
        <v>12</v>
      </c>
      <c r="P27" s="15">
        <f t="shared" si="1"/>
        <v>49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</v>
      </c>
      <c r="AD27" s="34">
        <f t="shared" si="19"/>
        <v>0</v>
      </c>
      <c r="AE27" s="31">
        <f t="shared" si="19"/>
        <v>4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3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22</v>
      </c>
      <c r="N28" s="50">
        <v>0</v>
      </c>
      <c r="O28" s="15">
        <f t="shared" si="0"/>
        <v>7</v>
      </c>
      <c r="P28" s="15">
        <f t="shared" si="1"/>
        <v>29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8</v>
      </c>
      <c r="AD28" s="34">
        <f t="shared" si="20"/>
        <v>0</v>
      </c>
      <c r="AE28" s="31">
        <f t="shared" si="20"/>
        <v>4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7</v>
      </c>
      <c r="D29" s="50">
        <v>0</v>
      </c>
      <c r="E29" s="50">
        <v>0</v>
      </c>
      <c r="F29" s="50">
        <v>3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14</v>
      </c>
      <c r="P29" s="15">
        <f t="shared" si="1"/>
        <v>59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8</v>
      </c>
      <c r="D30" s="50">
        <v>4</v>
      </c>
      <c r="E30" s="50">
        <v>7</v>
      </c>
      <c r="F30" s="50">
        <v>11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57</v>
      </c>
      <c r="N30" s="50">
        <v>0</v>
      </c>
      <c r="O30" s="15">
        <f t="shared" si="0"/>
        <v>33</v>
      </c>
      <c r="P30" s="15">
        <f t="shared" si="1"/>
        <v>90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0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10</v>
      </c>
      <c r="D31" s="50">
        <v>2</v>
      </c>
      <c r="E31" s="50">
        <v>3</v>
      </c>
      <c r="F31" s="50">
        <v>2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35</v>
      </c>
      <c r="N31" s="50">
        <v>0</v>
      </c>
      <c r="O31" s="15">
        <f t="shared" si="0"/>
        <v>19</v>
      </c>
      <c r="P31" s="15">
        <f t="shared" si="1"/>
        <v>54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1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2</v>
      </c>
      <c r="D32" s="50">
        <v>2</v>
      </c>
      <c r="E32" s="50">
        <v>4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10</v>
      </c>
      <c r="P32" s="15">
        <f t="shared" si="1"/>
        <v>22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15</v>
      </c>
      <c r="AD32" s="34">
        <f t="shared" si="24"/>
        <v>0</v>
      </c>
      <c r="AE32" s="31">
        <f t="shared" si="24"/>
        <v>0</v>
      </c>
      <c r="AF32" s="31">
        <f t="shared" si="24"/>
        <v>15</v>
      </c>
    </row>
    <row r="33" spans="2:32" ht="23.1" customHeight="1" x14ac:dyDescent="0.25">
      <c r="B33" s="45" t="s">
        <v>60</v>
      </c>
      <c r="C33" s="50">
        <v>8</v>
      </c>
      <c r="D33" s="50">
        <v>2</v>
      </c>
      <c r="E33" s="50">
        <v>3</v>
      </c>
      <c r="F33" s="50">
        <v>1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26</v>
      </c>
      <c r="N33" s="50">
        <v>0</v>
      </c>
      <c r="O33" s="15">
        <f t="shared" si="0"/>
        <v>15</v>
      </c>
      <c r="P33" s="15">
        <f t="shared" si="1"/>
        <v>41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76</v>
      </c>
      <c r="AD33" s="34">
        <f t="shared" si="25"/>
        <v>0</v>
      </c>
      <c r="AE33" s="31">
        <f t="shared" si="25"/>
        <v>8</v>
      </c>
      <c r="AF33" s="31">
        <f t="shared" si="25"/>
        <v>84</v>
      </c>
    </row>
    <row r="34" spans="2:32" ht="23.1" customHeight="1" x14ac:dyDescent="0.25">
      <c r="B34" s="46" t="s">
        <v>61</v>
      </c>
      <c r="C34" s="50">
        <v>6</v>
      </c>
      <c r="D34" s="50">
        <v>6</v>
      </c>
      <c r="E34" s="50">
        <v>10</v>
      </c>
      <c r="F34" s="50">
        <v>3</v>
      </c>
      <c r="G34" s="50">
        <v>1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15</v>
      </c>
      <c r="N34" s="50">
        <v>0</v>
      </c>
      <c r="O34" s="15">
        <f t="shared" si="0"/>
        <v>28</v>
      </c>
      <c r="P34" s="15">
        <f t="shared" si="1"/>
        <v>43</v>
      </c>
      <c r="R34" s="38" t="s">
        <v>90</v>
      </c>
      <c r="S34" s="39">
        <f t="shared" ref="S34:AF34" si="26">MAX(S10:S12)</f>
        <v>33</v>
      </c>
      <c r="T34" s="39">
        <f t="shared" si="26"/>
        <v>7</v>
      </c>
      <c r="U34" s="39">
        <f t="shared" si="26"/>
        <v>13</v>
      </c>
      <c r="V34" s="39">
        <f t="shared" si="26"/>
        <v>11</v>
      </c>
      <c r="W34" s="39">
        <f t="shared" si="26"/>
        <v>2</v>
      </c>
      <c r="X34" s="39">
        <f t="shared" si="26"/>
        <v>2</v>
      </c>
      <c r="Y34" s="39">
        <f t="shared" si="26"/>
        <v>10</v>
      </c>
      <c r="Z34" s="39">
        <f t="shared" si="26"/>
        <v>1</v>
      </c>
      <c r="AA34" s="39">
        <f t="shared" si="26"/>
        <v>0</v>
      </c>
      <c r="AB34" s="39">
        <f t="shared" si="26"/>
        <v>5</v>
      </c>
      <c r="AC34" s="39">
        <f t="shared" si="26"/>
        <v>137</v>
      </c>
      <c r="AD34" s="39">
        <f t="shared" si="26"/>
        <v>0</v>
      </c>
      <c r="AE34" s="40">
        <f t="shared" si="26"/>
        <v>71</v>
      </c>
      <c r="AF34" s="40">
        <f t="shared" si="26"/>
        <v>199</v>
      </c>
    </row>
    <row r="35" spans="2:32" ht="23.1" customHeight="1" x14ac:dyDescent="0.25">
      <c r="B35" s="46" t="s">
        <v>62</v>
      </c>
      <c r="C35" s="50">
        <v>3</v>
      </c>
      <c r="D35" s="50">
        <v>2</v>
      </c>
      <c r="E35" s="50">
        <v>3</v>
      </c>
      <c r="F35" s="50">
        <v>3</v>
      </c>
      <c r="G35" s="50">
        <v>0</v>
      </c>
      <c r="H35" s="50">
        <v>2</v>
      </c>
      <c r="I35" s="50">
        <v>0</v>
      </c>
      <c r="J35" s="50">
        <v>3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16</v>
      </c>
      <c r="P35" s="15">
        <f t="shared" si="1"/>
        <v>29</v>
      </c>
      <c r="R35" s="38" t="s">
        <v>91</v>
      </c>
      <c r="S35" s="39">
        <f t="shared" ref="S35:AF35" si="27">MAX(S13:S18)</f>
        <v>34</v>
      </c>
      <c r="T35" s="39">
        <f t="shared" si="27"/>
        <v>13</v>
      </c>
      <c r="U35" s="39">
        <f t="shared" si="27"/>
        <v>22</v>
      </c>
      <c r="V35" s="39">
        <f t="shared" si="27"/>
        <v>15</v>
      </c>
      <c r="W35" s="39">
        <f t="shared" si="27"/>
        <v>2</v>
      </c>
      <c r="X35" s="39">
        <f t="shared" si="27"/>
        <v>2</v>
      </c>
      <c r="Y35" s="39">
        <f t="shared" si="27"/>
        <v>16</v>
      </c>
      <c r="Z35" s="39">
        <f t="shared" si="27"/>
        <v>3</v>
      </c>
      <c r="AA35" s="39">
        <f t="shared" si="27"/>
        <v>0</v>
      </c>
      <c r="AB35" s="39">
        <f t="shared" si="27"/>
        <v>2</v>
      </c>
      <c r="AC35" s="39">
        <f t="shared" si="27"/>
        <v>155</v>
      </c>
      <c r="AD35" s="39">
        <f t="shared" si="27"/>
        <v>0</v>
      </c>
      <c r="AE35" s="40">
        <f t="shared" si="27"/>
        <v>85</v>
      </c>
      <c r="AF35" s="40">
        <f t="shared" si="27"/>
        <v>232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3</v>
      </c>
      <c r="P36" s="15">
        <f t="shared" si="1"/>
        <v>20</v>
      </c>
      <c r="R36" s="38" t="s">
        <v>92</v>
      </c>
      <c r="S36" s="39">
        <f t="shared" ref="S36:AF36" si="28">MAX(S19:S21)</f>
        <v>39</v>
      </c>
      <c r="T36" s="39">
        <f t="shared" si="28"/>
        <v>17</v>
      </c>
      <c r="U36" s="39">
        <f t="shared" si="28"/>
        <v>28</v>
      </c>
      <c r="V36" s="39">
        <f t="shared" si="28"/>
        <v>8</v>
      </c>
      <c r="W36" s="39">
        <f t="shared" si="28"/>
        <v>0</v>
      </c>
      <c r="X36" s="39">
        <f t="shared" si="28"/>
        <v>1</v>
      </c>
      <c r="Y36" s="39">
        <f t="shared" si="28"/>
        <v>12</v>
      </c>
      <c r="Z36" s="39">
        <f t="shared" si="28"/>
        <v>9</v>
      </c>
      <c r="AA36" s="39">
        <f t="shared" si="28"/>
        <v>1</v>
      </c>
      <c r="AB36" s="39">
        <f t="shared" si="28"/>
        <v>8</v>
      </c>
      <c r="AC36" s="39">
        <f t="shared" si="28"/>
        <v>191</v>
      </c>
      <c r="AD36" s="39">
        <f t="shared" si="28"/>
        <v>2</v>
      </c>
      <c r="AE36" s="40">
        <f t="shared" si="28"/>
        <v>103</v>
      </c>
      <c r="AF36" s="40">
        <f t="shared" si="28"/>
        <v>294</v>
      </c>
    </row>
    <row r="37" spans="2:32" ht="23.1" customHeight="1" x14ac:dyDescent="0.25">
      <c r="B37" s="45" t="s">
        <v>64</v>
      </c>
      <c r="C37" s="50">
        <v>1</v>
      </c>
      <c r="D37" s="50">
        <v>1</v>
      </c>
      <c r="E37" s="50">
        <v>2</v>
      </c>
      <c r="F37" s="50">
        <v>8</v>
      </c>
      <c r="G37" s="50">
        <v>0</v>
      </c>
      <c r="H37" s="50">
        <v>0</v>
      </c>
      <c r="I37" s="50">
        <v>7</v>
      </c>
      <c r="J37" s="50">
        <v>0</v>
      </c>
      <c r="K37" s="50">
        <v>0</v>
      </c>
      <c r="L37" s="50">
        <v>1</v>
      </c>
      <c r="M37" s="50">
        <v>10</v>
      </c>
      <c r="N37" s="50">
        <v>0</v>
      </c>
      <c r="O37" s="15">
        <f t="shared" si="0"/>
        <v>20</v>
      </c>
      <c r="P37" s="15">
        <f t="shared" si="1"/>
        <v>30</v>
      </c>
      <c r="R37" s="37" t="s">
        <v>85</v>
      </c>
      <c r="S37" s="35">
        <f t="shared" ref="S37:AF37" si="29">SUM(S10:S12)</f>
        <v>75</v>
      </c>
      <c r="T37" s="16">
        <f t="shared" si="29"/>
        <v>14</v>
      </c>
      <c r="U37" s="16">
        <f t="shared" si="29"/>
        <v>26</v>
      </c>
      <c r="V37" s="16">
        <f t="shared" si="29"/>
        <v>21</v>
      </c>
      <c r="W37" s="16">
        <f t="shared" si="29"/>
        <v>4</v>
      </c>
      <c r="X37" s="16">
        <f t="shared" si="29"/>
        <v>2</v>
      </c>
      <c r="Y37" s="16">
        <f t="shared" si="29"/>
        <v>22</v>
      </c>
      <c r="Z37" s="16">
        <f t="shared" si="29"/>
        <v>2</v>
      </c>
      <c r="AA37" s="16">
        <f t="shared" si="29"/>
        <v>0</v>
      </c>
      <c r="AB37" s="16">
        <f t="shared" si="29"/>
        <v>7</v>
      </c>
      <c r="AC37" s="16">
        <f t="shared" si="29"/>
        <v>353</v>
      </c>
      <c r="AD37" s="16">
        <f t="shared" si="29"/>
        <v>0</v>
      </c>
      <c r="AE37" s="32">
        <f t="shared" si="29"/>
        <v>173</v>
      </c>
      <c r="AF37" s="32">
        <f t="shared" si="29"/>
        <v>526</v>
      </c>
    </row>
    <row r="38" spans="2:32" ht="23.1" customHeight="1" x14ac:dyDescent="0.25">
      <c r="B38" s="46" t="s">
        <v>65</v>
      </c>
      <c r="C38" s="50">
        <v>5</v>
      </c>
      <c r="D38" s="50">
        <v>2</v>
      </c>
      <c r="E38" s="50">
        <v>3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10</v>
      </c>
      <c r="P38" s="15">
        <f t="shared" si="1"/>
        <v>23</v>
      </c>
      <c r="R38" s="28" t="s">
        <v>86</v>
      </c>
      <c r="S38" s="16">
        <f t="shared" ref="S38:AF38" si="30">SUM(S13:S18)</f>
        <v>139</v>
      </c>
      <c r="T38" s="16">
        <f t="shared" si="30"/>
        <v>55</v>
      </c>
      <c r="U38" s="16">
        <f t="shared" si="30"/>
        <v>95</v>
      </c>
      <c r="V38" s="16">
        <f t="shared" si="30"/>
        <v>49</v>
      </c>
      <c r="W38" s="16">
        <f t="shared" si="30"/>
        <v>6</v>
      </c>
      <c r="X38" s="16">
        <f t="shared" si="30"/>
        <v>3</v>
      </c>
      <c r="Y38" s="16">
        <f t="shared" si="30"/>
        <v>58</v>
      </c>
      <c r="Z38" s="16">
        <f t="shared" si="30"/>
        <v>6</v>
      </c>
      <c r="AA38" s="16">
        <f t="shared" si="30"/>
        <v>0</v>
      </c>
      <c r="AB38" s="16">
        <f t="shared" si="30"/>
        <v>2</v>
      </c>
      <c r="AC38" s="16">
        <f t="shared" si="30"/>
        <v>644</v>
      </c>
      <c r="AD38" s="16">
        <f t="shared" si="30"/>
        <v>0</v>
      </c>
      <c r="AE38" s="32">
        <f t="shared" si="30"/>
        <v>413</v>
      </c>
      <c r="AF38" s="32">
        <f t="shared" si="30"/>
        <v>1057</v>
      </c>
    </row>
    <row r="39" spans="2:32" ht="23.1" customHeight="1" x14ac:dyDescent="0.25">
      <c r="B39" s="46" t="s">
        <v>66</v>
      </c>
      <c r="C39" s="50">
        <v>0</v>
      </c>
      <c r="D39" s="50">
        <v>2</v>
      </c>
      <c r="E39" s="50">
        <v>3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6</v>
      </c>
      <c r="P39" s="15">
        <f t="shared" si="1"/>
        <v>16</v>
      </c>
      <c r="R39" s="29" t="s">
        <v>87</v>
      </c>
      <c r="S39" s="16">
        <f t="shared" ref="S39:AF39" si="31">SUM(S19:S21)</f>
        <v>88</v>
      </c>
      <c r="T39" s="16">
        <f t="shared" si="31"/>
        <v>40</v>
      </c>
      <c r="U39" s="16">
        <f t="shared" si="31"/>
        <v>66</v>
      </c>
      <c r="V39" s="16">
        <f t="shared" si="31"/>
        <v>17</v>
      </c>
      <c r="W39" s="16">
        <f t="shared" si="31"/>
        <v>0</v>
      </c>
      <c r="X39" s="16">
        <f t="shared" si="31"/>
        <v>1</v>
      </c>
      <c r="Y39" s="16">
        <f t="shared" si="31"/>
        <v>29</v>
      </c>
      <c r="Z39" s="16">
        <f t="shared" si="31"/>
        <v>12</v>
      </c>
      <c r="AA39" s="16">
        <f t="shared" si="31"/>
        <v>1</v>
      </c>
      <c r="AB39" s="16">
        <f t="shared" si="31"/>
        <v>10</v>
      </c>
      <c r="AC39" s="16">
        <f t="shared" si="31"/>
        <v>449</v>
      </c>
      <c r="AD39" s="16">
        <f t="shared" si="31"/>
        <v>2</v>
      </c>
      <c r="AE39" s="32">
        <f t="shared" si="31"/>
        <v>266</v>
      </c>
      <c r="AF39" s="32">
        <f t="shared" si="31"/>
        <v>715</v>
      </c>
    </row>
    <row r="40" spans="2:32" ht="23.1" customHeight="1" x14ac:dyDescent="0.25">
      <c r="B40" s="46" t="s">
        <v>67</v>
      </c>
      <c r="C40" s="50">
        <v>6</v>
      </c>
      <c r="D40" s="50">
        <v>1</v>
      </c>
      <c r="E40" s="50">
        <v>2</v>
      </c>
      <c r="F40" s="50">
        <v>0</v>
      </c>
      <c r="G40" s="50">
        <v>2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13</v>
      </c>
      <c r="P40" s="15">
        <f t="shared" si="1"/>
        <v>25</v>
      </c>
      <c r="R40" s="5" t="s">
        <v>17</v>
      </c>
      <c r="S40" s="16">
        <f t="shared" ref="S40:AF40" si="32">SUM(S10:S21)</f>
        <v>302</v>
      </c>
      <c r="T40" s="16">
        <f t="shared" si="32"/>
        <v>109</v>
      </c>
      <c r="U40" s="16">
        <f t="shared" si="32"/>
        <v>187</v>
      </c>
      <c r="V40" s="16">
        <f t="shared" si="32"/>
        <v>87</v>
      </c>
      <c r="W40" s="16">
        <f t="shared" si="32"/>
        <v>10</v>
      </c>
      <c r="X40" s="16">
        <f t="shared" si="32"/>
        <v>6</v>
      </c>
      <c r="Y40" s="16">
        <f t="shared" si="32"/>
        <v>109</v>
      </c>
      <c r="Z40" s="16">
        <f t="shared" si="32"/>
        <v>20</v>
      </c>
      <c r="AA40" s="16">
        <f t="shared" si="32"/>
        <v>1</v>
      </c>
      <c r="AB40" s="16">
        <f t="shared" si="32"/>
        <v>19</v>
      </c>
      <c r="AC40" s="16">
        <f t="shared" si="32"/>
        <v>1446</v>
      </c>
      <c r="AD40" s="16">
        <f t="shared" si="32"/>
        <v>2</v>
      </c>
      <c r="AE40" s="32">
        <f t="shared" si="32"/>
        <v>852</v>
      </c>
      <c r="AF40" s="32">
        <f t="shared" si="32"/>
        <v>2298</v>
      </c>
    </row>
    <row r="41" spans="2:32" ht="23.1" customHeight="1" x14ac:dyDescent="0.25">
      <c r="B41" s="45" t="s">
        <v>68</v>
      </c>
      <c r="C41" s="50">
        <v>0</v>
      </c>
      <c r="D41" s="50">
        <v>2</v>
      </c>
      <c r="E41" s="50">
        <v>5</v>
      </c>
      <c r="F41" s="50">
        <v>0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14</v>
      </c>
      <c r="P41" s="15">
        <f t="shared" si="1"/>
        <v>20</v>
      </c>
      <c r="R41" s="5" t="s">
        <v>159</v>
      </c>
      <c r="S41" s="16">
        <f>SUM(S10:S33)</f>
        <v>394</v>
      </c>
      <c r="T41" s="16">
        <f t="shared" ref="T41:AF41" si="33">SUM(T10:T33)</f>
        <v>137</v>
      </c>
      <c r="U41" s="16">
        <f t="shared" si="33"/>
        <v>268</v>
      </c>
      <c r="V41" s="16">
        <f t="shared" si="33"/>
        <v>138</v>
      </c>
      <c r="W41" s="16">
        <f t="shared" si="33"/>
        <v>38</v>
      </c>
      <c r="X41" s="16">
        <f t="shared" si="33"/>
        <v>11</v>
      </c>
      <c r="Y41" s="16">
        <f t="shared" si="33"/>
        <v>128</v>
      </c>
      <c r="Z41" s="16">
        <f t="shared" si="33"/>
        <v>33</v>
      </c>
      <c r="AA41" s="16">
        <f t="shared" si="33"/>
        <v>12</v>
      </c>
      <c r="AB41" s="16">
        <f t="shared" si="33"/>
        <v>25</v>
      </c>
      <c r="AC41" s="16">
        <f t="shared" si="33"/>
        <v>2080</v>
      </c>
      <c r="AD41" s="16">
        <f t="shared" si="33"/>
        <v>2</v>
      </c>
      <c r="AE41" s="32">
        <f t="shared" si="33"/>
        <v>1186</v>
      </c>
      <c r="AF41" s="32">
        <f t="shared" si="33"/>
        <v>3266</v>
      </c>
    </row>
    <row r="42" spans="2:32" ht="23.1" customHeight="1" x14ac:dyDescent="0.25">
      <c r="B42" s="46" t="s">
        <v>69</v>
      </c>
      <c r="C42" s="50">
        <v>2</v>
      </c>
      <c r="D42" s="50">
        <v>4</v>
      </c>
      <c r="E42" s="50">
        <v>7</v>
      </c>
      <c r="F42" s="50">
        <v>2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20</v>
      </c>
      <c r="P42" s="15">
        <f t="shared" si="1"/>
        <v>55</v>
      </c>
      <c r="R42" s="5" t="s">
        <v>160</v>
      </c>
      <c r="S42" s="48">
        <f>S41/S40</f>
        <v>1.304635761589404</v>
      </c>
      <c r="T42" s="48">
        <f t="shared" ref="T42:AF42" si="34">T41/T40</f>
        <v>1.2568807339449541</v>
      </c>
      <c r="U42" s="48">
        <f t="shared" si="34"/>
        <v>1.4331550802139037</v>
      </c>
      <c r="V42" s="48">
        <f t="shared" si="34"/>
        <v>1.5862068965517242</v>
      </c>
      <c r="W42" s="48">
        <f t="shared" si="34"/>
        <v>3.8</v>
      </c>
      <c r="X42" s="48">
        <f t="shared" si="34"/>
        <v>1.8333333333333333</v>
      </c>
      <c r="Y42" s="48">
        <f t="shared" si="34"/>
        <v>1.1743119266055047</v>
      </c>
      <c r="Z42" s="48">
        <f t="shared" si="34"/>
        <v>1.65</v>
      </c>
      <c r="AA42" s="48">
        <f t="shared" si="34"/>
        <v>12</v>
      </c>
      <c r="AB42" s="48">
        <f t="shared" si="34"/>
        <v>1.3157894736842106</v>
      </c>
      <c r="AC42" s="48">
        <f t="shared" si="34"/>
        <v>1.4384508990318119</v>
      </c>
      <c r="AD42" s="48">
        <f t="shared" si="34"/>
        <v>1</v>
      </c>
      <c r="AE42" s="48">
        <f t="shared" si="34"/>
        <v>1.392018779342723</v>
      </c>
      <c r="AF42" s="48">
        <f t="shared" si="34"/>
        <v>1.4212358572671888</v>
      </c>
    </row>
    <row r="43" spans="2:32" ht="23.1" customHeight="1" x14ac:dyDescent="0.25">
      <c r="B43" s="45" t="s">
        <v>70</v>
      </c>
      <c r="C43" s="50">
        <v>11</v>
      </c>
      <c r="D43" s="50">
        <v>5</v>
      </c>
      <c r="E43" s="50">
        <v>8</v>
      </c>
      <c r="F43" s="50">
        <v>3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34</v>
      </c>
      <c r="P43" s="15">
        <f t="shared" si="1"/>
        <v>64</v>
      </c>
    </row>
    <row r="44" spans="2:32" ht="23.1" customHeight="1" x14ac:dyDescent="0.25">
      <c r="B44" s="47" t="s">
        <v>71</v>
      </c>
      <c r="C44" s="50">
        <v>5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26</v>
      </c>
      <c r="N44" s="50">
        <v>0</v>
      </c>
      <c r="O44" s="15">
        <f t="shared" si="0"/>
        <v>9</v>
      </c>
      <c r="P44" s="15">
        <f t="shared" si="1"/>
        <v>35</v>
      </c>
    </row>
    <row r="45" spans="2:32" ht="23.1" customHeight="1" x14ac:dyDescent="0.25">
      <c r="B45" s="45" t="s">
        <v>72</v>
      </c>
      <c r="C45" s="50">
        <v>6</v>
      </c>
      <c r="D45" s="50">
        <v>4</v>
      </c>
      <c r="E45" s="50">
        <v>7</v>
      </c>
      <c r="F45" s="50">
        <v>1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38</v>
      </c>
      <c r="N45" s="50">
        <v>0</v>
      </c>
      <c r="O45" s="15">
        <f t="shared" si="0"/>
        <v>22</v>
      </c>
      <c r="P45" s="15">
        <f t="shared" si="1"/>
        <v>60</v>
      </c>
    </row>
    <row r="46" spans="2:32" ht="23.1" customHeight="1" x14ac:dyDescent="0.25">
      <c r="B46" s="46" t="s">
        <v>73</v>
      </c>
      <c r="C46" s="50">
        <v>7</v>
      </c>
      <c r="D46" s="50">
        <v>3</v>
      </c>
      <c r="E46" s="50">
        <v>5</v>
      </c>
      <c r="F46" s="50">
        <v>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30</v>
      </c>
      <c r="N46" s="50">
        <v>0</v>
      </c>
      <c r="O46" s="15">
        <f t="shared" si="0"/>
        <v>19</v>
      </c>
      <c r="P46" s="15">
        <f t="shared" si="1"/>
        <v>49</v>
      </c>
      <c r="R46" s="8"/>
      <c r="T46"/>
    </row>
    <row r="47" spans="2:32" ht="23.1" customHeight="1" x14ac:dyDescent="0.25">
      <c r="B47" s="46" t="s">
        <v>74</v>
      </c>
      <c r="C47" s="50">
        <v>7</v>
      </c>
      <c r="D47" s="50">
        <v>2</v>
      </c>
      <c r="E47" s="50">
        <v>4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28</v>
      </c>
      <c r="N47" s="50">
        <v>0</v>
      </c>
      <c r="O47" s="15">
        <f t="shared" si="0"/>
        <v>15</v>
      </c>
      <c r="P47" s="15">
        <f t="shared" si="1"/>
        <v>43</v>
      </c>
      <c r="R47" s="8"/>
      <c r="T47"/>
    </row>
    <row r="48" spans="2:32" ht="23.1" customHeight="1" x14ac:dyDescent="0.25">
      <c r="B48" s="46" t="s">
        <v>75</v>
      </c>
      <c r="C48" s="50">
        <v>11</v>
      </c>
      <c r="D48" s="50">
        <v>3</v>
      </c>
      <c r="E48" s="50">
        <v>5</v>
      </c>
      <c r="F48" s="50">
        <v>5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73</v>
      </c>
      <c r="N48" s="50">
        <v>0</v>
      </c>
      <c r="O48" s="15">
        <f t="shared" si="0"/>
        <v>25</v>
      </c>
      <c r="P48" s="15">
        <f t="shared" si="1"/>
        <v>98</v>
      </c>
      <c r="R48" s="8"/>
      <c r="T48"/>
    </row>
    <row r="49" spans="2:20" ht="23.1" customHeight="1" x14ac:dyDescent="0.25">
      <c r="B49" s="45" t="s">
        <v>76</v>
      </c>
      <c r="C49" s="50">
        <v>11</v>
      </c>
      <c r="D49" s="50">
        <v>9</v>
      </c>
      <c r="E49" s="50">
        <v>14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32</v>
      </c>
      <c r="N49" s="50">
        <v>0</v>
      </c>
      <c r="O49" s="15">
        <f t="shared" si="0"/>
        <v>38</v>
      </c>
      <c r="P49" s="15">
        <f t="shared" si="1"/>
        <v>70</v>
      </c>
      <c r="R49" s="8"/>
      <c r="T49"/>
    </row>
    <row r="50" spans="2:20" ht="23.1" customHeight="1" x14ac:dyDescent="0.25">
      <c r="B50" s="46" t="s">
        <v>77</v>
      </c>
      <c r="C50" s="50">
        <v>5</v>
      </c>
      <c r="D50" s="50">
        <v>4</v>
      </c>
      <c r="E50" s="50">
        <v>7</v>
      </c>
      <c r="F50" s="50">
        <v>3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42</v>
      </c>
      <c r="N50" s="50">
        <v>0</v>
      </c>
      <c r="O50" s="15">
        <f t="shared" si="0"/>
        <v>19</v>
      </c>
      <c r="P50" s="15">
        <f t="shared" si="1"/>
        <v>61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2</v>
      </c>
      <c r="E51" s="50">
        <v>3</v>
      </c>
      <c r="F51" s="50">
        <v>1</v>
      </c>
      <c r="G51" s="50">
        <v>0</v>
      </c>
      <c r="H51" s="50">
        <v>1</v>
      </c>
      <c r="I51" s="50">
        <v>3</v>
      </c>
      <c r="J51" s="50">
        <v>2</v>
      </c>
      <c r="K51" s="50">
        <v>0</v>
      </c>
      <c r="L51" s="50">
        <v>1</v>
      </c>
      <c r="M51" s="50">
        <v>61</v>
      </c>
      <c r="N51" s="50">
        <v>0</v>
      </c>
      <c r="O51" s="15">
        <f t="shared" si="0"/>
        <v>25</v>
      </c>
      <c r="P51" s="15">
        <f t="shared" si="1"/>
        <v>86</v>
      </c>
      <c r="R51" s="8"/>
      <c r="T51"/>
    </row>
    <row r="52" spans="2:20" ht="23.1" customHeight="1" x14ac:dyDescent="0.25">
      <c r="B52" s="46" t="s">
        <v>79</v>
      </c>
      <c r="C52" s="50">
        <v>20</v>
      </c>
      <c r="D52" s="50">
        <v>8</v>
      </c>
      <c r="E52" s="50">
        <v>12</v>
      </c>
      <c r="F52" s="50">
        <v>1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62</v>
      </c>
      <c r="N52" s="50">
        <v>2</v>
      </c>
      <c r="O52" s="15">
        <f t="shared" si="0"/>
        <v>46</v>
      </c>
      <c r="P52" s="15">
        <f t="shared" si="1"/>
        <v>108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1</v>
      </c>
      <c r="E53" s="50">
        <v>2</v>
      </c>
      <c r="F53" s="50">
        <v>2</v>
      </c>
      <c r="G53" s="50">
        <v>0</v>
      </c>
      <c r="H53" s="50">
        <v>0</v>
      </c>
      <c r="I53" s="50">
        <v>6</v>
      </c>
      <c r="J53" s="50">
        <v>0</v>
      </c>
      <c r="K53" s="50">
        <v>0</v>
      </c>
      <c r="L53" s="50">
        <v>0</v>
      </c>
      <c r="M53" s="50">
        <v>26</v>
      </c>
      <c r="N53" s="50">
        <v>0</v>
      </c>
      <c r="O53" s="15">
        <f t="shared" si="0"/>
        <v>13</v>
      </c>
      <c r="P53" s="15">
        <f t="shared" si="1"/>
        <v>39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2</v>
      </c>
      <c r="E54" s="50">
        <v>4</v>
      </c>
      <c r="F54" s="50">
        <v>0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47</v>
      </c>
      <c r="N54" s="50">
        <v>0</v>
      </c>
      <c r="O54" s="15">
        <f t="shared" si="0"/>
        <v>14</v>
      </c>
      <c r="P54" s="15">
        <f t="shared" si="1"/>
        <v>61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3</v>
      </c>
      <c r="K55" s="50">
        <v>0</v>
      </c>
      <c r="L55" s="50">
        <v>3</v>
      </c>
      <c r="M55" s="50">
        <v>23</v>
      </c>
      <c r="N55" s="50">
        <v>0</v>
      </c>
      <c r="O55" s="15">
        <f t="shared" si="0"/>
        <v>9</v>
      </c>
      <c r="P55" s="15">
        <f t="shared" si="1"/>
        <v>32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4</v>
      </c>
      <c r="E56" s="50">
        <v>7</v>
      </c>
      <c r="F56" s="50">
        <v>0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22</v>
      </c>
      <c r="P56" s="15">
        <f t="shared" si="1"/>
        <v>30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2</v>
      </c>
      <c r="E57" s="50">
        <v>3</v>
      </c>
      <c r="F57" s="50">
        <v>2</v>
      </c>
      <c r="G57" s="50">
        <v>0</v>
      </c>
      <c r="H57" s="50">
        <v>0</v>
      </c>
      <c r="I57" s="50">
        <v>0</v>
      </c>
      <c r="J57" s="50">
        <v>6</v>
      </c>
      <c r="K57" s="50">
        <v>0</v>
      </c>
      <c r="L57" s="50">
        <v>5</v>
      </c>
      <c r="M57" s="50">
        <v>17</v>
      </c>
      <c r="N57" s="50">
        <v>0</v>
      </c>
      <c r="O57" s="15">
        <f t="shared" si="0"/>
        <v>21</v>
      </c>
      <c r="P57" s="15">
        <f t="shared" si="1"/>
        <v>38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4</v>
      </c>
      <c r="E58" s="50">
        <v>6</v>
      </c>
      <c r="F58" s="50">
        <v>2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40</v>
      </c>
      <c r="N58" s="50">
        <v>0</v>
      </c>
      <c r="O58" s="15">
        <f t="shared" ref="O58:O105" si="35">SUM(C58:L58,N58)</f>
        <v>19</v>
      </c>
      <c r="P58" s="15">
        <f t="shared" ref="P58:P105" si="36">SUM(C58:N58)</f>
        <v>59</v>
      </c>
      <c r="R58" s="8"/>
      <c r="T58"/>
    </row>
    <row r="59" spans="2:20" ht="23.1" customHeight="1" x14ac:dyDescent="0.25">
      <c r="B59" s="45" t="s">
        <v>100</v>
      </c>
      <c r="C59" s="50">
        <v>13</v>
      </c>
      <c r="D59" s="50">
        <v>4</v>
      </c>
      <c r="E59" s="50">
        <v>7</v>
      </c>
      <c r="F59" s="50">
        <v>13</v>
      </c>
      <c r="G59" s="50">
        <v>13</v>
      </c>
      <c r="H59" s="50">
        <v>1</v>
      </c>
      <c r="I59" s="50">
        <v>1</v>
      </c>
      <c r="J59" s="50">
        <v>0</v>
      </c>
      <c r="K59" s="50">
        <v>1</v>
      </c>
      <c r="L59" s="50">
        <v>1</v>
      </c>
      <c r="M59" s="50">
        <v>66</v>
      </c>
      <c r="N59" s="50">
        <v>0</v>
      </c>
      <c r="O59" s="15">
        <f t="shared" si="35"/>
        <v>54</v>
      </c>
      <c r="P59" s="15">
        <f t="shared" si="36"/>
        <v>120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v>3</v>
      </c>
      <c r="E60" s="50">
        <v>5</v>
      </c>
      <c r="F60" s="50">
        <v>5</v>
      </c>
      <c r="G60" s="50">
        <v>1</v>
      </c>
      <c r="H60" s="50">
        <v>0</v>
      </c>
      <c r="I60" s="50">
        <v>1</v>
      </c>
      <c r="J60" s="50">
        <v>0</v>
      </c>
      <c r="K60" s="50">
        <v>1</v>
      </c>
      <c r="L60" s="50">
        <v>1</v>
      </c>
      <c r="M60" s="50">
        <v>48</v>
      </c>
      <c r="N60" s="50">
        <v>0</v>
      </c>
      <c r="O60" s="15">
        <f t="shared" si="35"/>
        <v>23</v>
      </c>
      <c r="P60" s="15">
        <f t="shared" si="36"/>
        <v>71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4</v>
      </c>
      <c r="E61" s="50">
        <v>7</v>
      </c>
      <c r="F61" s="50">
        <v>0</v>
      </c>
      <c r="G61" s="50">
        <v>2</v>
      </c>
      <c r="H61" s="50">
        <v>0</v>
      </c>
      <c r="I61" s="50">
        <v>0</v>
      </c>
      <c r="J61" s="50">
        <v>3</v>
      </c>
      <c r="K61" s="50">
        <v>2</v>
      </c>
      <c r="L61" s="50">
        <v>1</v>
      </c>
      <c r="M61" s="50">
        <v>53</v>
      </c>
      <c r="N61" s="50">
        <v>0</v>
      </c>
      <c r="O61" s="15">
        <f t="shared" si="35"/>
        <v>29</v>
      </c>
      <c r="P61" s="15">
        <f t="shared" si="36"/>
        <v>82</v>
      </c>
      <c r="R61" s="8"/>
      <c r="T61"/>
    </row>
    <row r="62" spans="2:20" ht="23.1" customHeight="1" x14ac:dyDescent="0.25">
      <c r="B62" s="45" t="s">
        <v>107</v>
      </c>
      <c r="C62" s="50">
        <v>8</v>
      </c>
      <c r="D62" s="50">
        <v>2</v>
      </c>
      <c r="E62" s="50">
        <v>5</v>
      </c>
      <c r="F62" s="50">
        <v>2</v>
      </c>
      <c r="G62" s="50">
        <v>3</v>
      </c>
      <c r="H62" s="50">
        <v>1</v>
      </c>
      <c r="I62" s="50">
        <v>5</v>
      </c>
      <c r="J62" s="50">
        <v>3</v>
      </c>
      <c r="K62" s="50">
        <v>2</v>
      </c>
      <c r="L62" s="50">
        <v>1</v>
      </c>
      <c r="M62" s="50">
        <v>52</v>
      </c>
      <c r="N62" s="50">
        <v>0</v>
      </c>
      <c r="O62" s="15">
        <f t="shared" si="35"/>
        <v>32</v>
      </c>
      <c r="P62" s="15">
        <f t="shared" si="36"/>
        <v>84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3</v>
      </c>
      <c r="E63" s="50">
        <v>8</v>
      </c>
      <c r="F63" s="50">
        <v>1</v>
      </c>
      <c r="G63" s="50">
        <v>8</v>
      </c>
      <c r="H63" s="50">
        <v>1</v>
      </c>
      <c r="I63" s="50">
        <v>0</v>
      </c>
      <c r="J63" s="50">
        <v>1</v>
      </c>
      <c r="K63" s="50">
        <v>2</v>
      </c>
      <c r="L63" s="50">
        <v>1</v>
      </c>
      <c r="M63" s="50">
        <v>51</v>
      </c>
      <c r="N63" s="50">
        <v>0</v>
      </c>
      <c r="O63" s="15">
        <f t="shared" si="35"/>
        <v>28</v>
      </c>
      <c r="P63" s="15">
        <f t="shared" si="36"/>
        <v>79</v>
      </c>
      <c r="R63" s="8"/>
      <c r="T63"/>
    </row>
    <row r="64" spans="2:20" ht="23.1" customHeight="1" x14ac:dyDescent="0.25">
      <c r="B64" s="45" t="s">
        <v>109</v>
      </c>
      <c r="C64" s="50">
        <v>6</v>
      </c>
      <c r="D64" s="50">
        <v>1</v>
      </c>
      <c r="E64" s="50">
        <v>3</v>
      </c>
      <c r="F64" s="50">
        <v>3</v>
      </c>
      <c r="G64" s="50">
        <v>0</v>
      </c>
      <c r="H64" s="50">
        <v>1</v>
      </c>
      <c r="I64" s="50">
        <v>2</v>
      </c>
      <c r="J64" s="50">
        <v>0</v>
      </c>
      <c r="K64" s="50">
        <v>0</v>
      </c>
      <c r="L64" s="50">
        <v>0</v>
      </c>
      <c r="M64" s="50">
        <v>33</v>
      </c>
      <c r="N64" s="50">
        <v>0</v>
      </c>
      <c r="O64" s="15">
        <f t="shared" si="35"/>
        <v>16</v>
      </c>
      <c r="P64" s="15">
        <f t="shared" si="36"/>
        <v>49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2</v>
      </c>
      <c r="E65" s="50">
        <v>5</v>
      </c>
      <c r="F65" s="50">
        <v>1</v>
      </c>
      <c r="G65" s="50">
        <v>0</v>
      </c>
      <c r="H65" s="50">
        <v>1</v>
      </c>
      <c r="I65" s="50">
        <v>2</v>
      </c>
      <c r="J65" s="50">
        <v>0</v>
      </c>
      <c r="K65" s="50">
        <v>0</v>
      </c>
      <c r="L65" s="50">
        <v>0</v>
      </c>
      <c r="M65" s="50">
        <v>32</v>
      </c>
      <c r="N65" s="50">
        <v>0</v>
      </c>
      <c r="O65" s="15">
        <f t="shared" si="35"/>
        <v>17</v>
      </c>
      <c r="P65" s="15">
        <f t="shared" si="36"/>
        <v>49</v>
      </c>
      <c r="R65" s="8"/>
      <c r="T65"/>
    </row>
    <row r="66" spans="2:20" ht="23.1" customHeight="1" x14ac:dyDescent="0.25">
      <c r="B66" s="45" t="s">
        <v>103</v>
      </c>
      <c r="C66" s="50">
        <v>7</v>
      </c>
      <c r="D66" s="50">
        <v>0</v>
      </c>
      <c r="E66" s="50">
        <v>2</v>
      </c>
      <c r="F66" s="50">
        <v>6</v>
      </c>
      <c r="G66" s="50">
        <v>1</v>
      </c>
      <c r="H66" s="50">
        <v>0</v>
      </c>
      <c r="I66" s="50">
        <v>3</v>
      </c>
      <c r="J66" s="50">
        <v>2</v>
      </c>
      <c r="K66" s="50">
        <v>0</v>
      </c>
      <c r="L66" s="50">
        <v>0</v>
      </c>
      <c r="M66" s="50">
        <v>30</v>
      </c>
      <c r="N66" s="50">
        <v>0</v>
      </c>
      <c r="O66" s="15">
        <f t="shared" si="35"/>
        <v>21</v>
      </c>
      <c r="P66" s="15">
        <f t="shared" si="36"/>
        <v>51</v>
      </c>
      <c r="R66" s="8"/>
      <c r="T66"/>
    </row>
    <row r="67" spans="2:20" ht="23.1" customHeight="1" x14ac:dyDescent="0.25">
      <c r="B67" s="45" t="s">
        <v>104</v>
      </c>
      <c r="C67" s="50">
        <v>5</v>
      </c>
      <c r="D67" s="50">
        <v>2</v>
      </c>
      <c r="E67" s="50">
        <v>7</v>
      </c>
      <c r="F67" s="50">
        <v>5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25</v>
      </c>
      <c r="N67" s="50">
        <v>0</v>
      </c>
      <c r="O67" s="15">
        <f t="shared" si="35"/>
        <v>19</v>
      </c>
      <c r="P67" s="15">
        <f t="shared" si="36"/>
        <v>44</v>
      </c>
      <c r="R67" s="8"/>
      <c r="T67"/>
    </row>
    <row r="68" spans="2:20" ht="23.1" customHeight="1" x14ac:dyDescent="0.25">
      <c r="B68" s="45" t="s">
        <v>105</v>
      </c>
      <c r="C68" s="50">
        <v>7</v>
      </c>
      <c r="D68" s="50">
        <v>2</v>
      </c>
      <c r="E68" s="50">
        <v>6</v>
      </c>
      <c r="F68" s="50">
        <v>3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20</v>
      </c>
      <c r="N68" s="50">
        <v>0</v>
      </c>
      <c r="O68" s="15">
        <f t="shared" si="35"/>
        <v>18</v>
      </c>
      <c r="P68" s="15">
        <f t="shared" si="36"/>
        <v>38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0</v>
      </c>
      <c r="E69" s="50">
        <v>2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11</v>
      </c>
      <c r="N69" s="50">
        <v>0</v>
      </c>
      <c r="O69" s="15">
        <f t="shared" si="35"/>
        <v>8</v>
      </c>
      <c r="P69" s="15">
        <f t="shared" si="36"/>
        <v>19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2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17</v>
      </c>
      <c r="N70" s="50">
        <v>0</v>
      </c>
      <c r="O70" s="15">
        <f t="shared" si="35"/>
        <v>2</v>
      </c>
      <c r="P70" s="15">
        <f t="shared" si="36"/>
        <v>19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2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1</v>
      </c>
      <c r="L71" s="50">
        <v>0</v>
      </c>
      <c r="M71" s="50">
        <v>10</v>
      </c>
      <c r="N71" s="50">
        <v>0</v>
      </c>
      <c r="O71" s="15">
        <f t="shared" si="35"/>
        <v>5</v>
      </c>
      <c r="P71" s="15">
        <f t="shared" si="36"/>
        <v>15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1</v>
      </c>
      <c r="E72" s="50">
        <v>3</v>
      </c>
      <c r="F72" s="50">
        <v>2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6</v>
      </c>
      <c r="N72" s="50">
        <v>0</v>
      </c>
      <c r="O72" s="15">
        <f t="shared" si="35"/>
        <v>8</v>
      </c>
      <c r="P72" s="15">
        <f t="shared" si="36"/>
        <v>14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2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7</v>
      </c>
      <c r="N73" s="50">
        <v>0</v>
      </c>
      <c r="O73" s="15">
        <f t="shared" si="35"/>
        <v>3</v>
      </c>
      <c r="P73" s="15">
        <f t="shared" si="36"/>
        <v>10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6</v>
      </c>
      <c r="N74" s="50">
        <v>0</v>
      </c>
      <c r="O74" s="15">
        <f t="shared" si="35"/>
        <v>1</v>
      </c>
      <c r="P74" s="15">
        <f t="shared" si="36"/>
        <v>7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</v>
      </c>
      <c r="N75" s="50">
        <v>0</v>
      </c>
      <c r="O75" s="15">
        <f t="shared" si="35"/>
        <v>2</v>
      </c>
      <c r="P75" s="15">
        <f t="shared" si="36"/>
        <v>8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1</v>
      </c>
      <c r="L76" s="50">
        <v>0</v>
      </c>
      <c r="M76" s="50">
        <v>5</v>
      </c>
      <c r="N76" s="50">
        <v>0</v>
      </c>
      <c r="O76" s="15">
        <f t="shared" si="35"/>
        <v>5</v>
      </c>
      <c r="P76" s="15">
        <f t="shared" si="36"/>
        <v>10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1</v>
      </c>
      <c r="F77" s="50">
        <v>1</v>
      </c>
      <c r="G77" s="50">
        <v>0</v>
      </c>
      <c r="H77" s="50">
        <v>0</v>
      </c>
      <c r="I77" s="50">
        <v>1</v>
      </c>
      <c r="J77" s="50">
        <v>0</v>
      </c>
      <c r="K77" s="50">
        <v>1</v>
      </c>
      <c r="L77" s="50">
        <v>0</v>
      </c>
      <c r="M77" s="50">
        <v>3</v>
      </c>
      <c r="N77" s="50">
        <v>0</v>
      </c>
      <c r="O77" s="15">
        <f t="shared" si="35"/>
        <v>4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1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2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2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3</v>
      </c>
      <c r="N82" s="50">
        <v>0</v>
      </c>
      <c r="O82" s="15">
        <f t="shared" si="35"/>
        <v>1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0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1</v>
      </c>
      <c r="N84" s="50"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2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0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0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0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7</v>
      </c>
      <c r="N99" s="50">
        <v>0</v>
      </c>
      <c r="O99" s="15">
        <f t="shared" si="35"/>
        <v>0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6</v>
      </c>
      <c r="N101" s="50">
        <v>0</v>
      </c>
      <c r="O101" s="15">
        <f t="shared" si="35"/>
        <v>0</v>
      </c>
      <c r="P101" s="15">
        <f t="shared" si="36"/>
        <v>6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8</v>
      </c>
      <c r="N103" s="50">
        <v>0</v>
      </c>
      <c r="O103" s="15">
        <f t="shared" si="35"/>
        <v>1</v>
      </c>
      <c r="P103" s="15">
        <f t="shared" si="36"/>
        <v>9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28</v>
      </c>
      <c r="N104" s="50">
        <v>0</v>
      </c>
      <c r="O104" s="15">
        <f t="shared" si="35"/>
        <v>3</v>
      </c>
      <c r="P104" s="15">
        <f t="shared" si="36"/>
        <v>31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2</v>
      </c>
      <c r="F105" s="50">
        <v>0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40</v>
      </c>
      <c r="N105" s="50">
        <v>0</v>
      </c>
      <c r="O105" s="15">
        <f t="shared" si="35"/>
        <v>4</v>
      </c>
      <c r="P105" s="15">
        <f t="shared" si="36"/>
        <v>44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394</v>
      </c>
      <c r="D106" s="16">
        <f t="shared" ref="D106:P106" si="37">SUM(D10:D105)</f>
        <v>137</v>
      </c>
      <c r="E106" s="16">
        <f t="shared" si="37"/>
        <v>268</v>
      </c>
      <c r="F106" s="16">
        <f t="shared" si="37"/>
        <v>138</v>
      </c>
      <c r="G106" s="16">
        <f t="shared" si="37"/>
        <v>38</v>
      </c>
      <c r="H106" s="16">
        <f t="shared" si="37"/>
        <v>11</v>
      </c>
      <c r="I106" s="16">
        <f t="shared" si="37"/>
        <v>128</v>
      </c>
      <c r="J106" s="16">
        <f t="shared" si="37"/>
        <v>33</v>
      </c>
      <c r="K106" s="16">
        <f t="shared" si="37"/>
        <v>12</v>
      </c>
      <c r="L106" s="16">
        <f t="shared" si="37"/>
        <v>25</v>
      </c>
      <c r="M106" s="16">
        <f t="shared" si="37"/>
        <v>2080</v>
      </c>
      <c r="N106" s="16">
        <f t="shared" si="37"/>
        <v>2</v>
      </c>
      <c r="O106" s="16">
        <f t="shared" si="37"/>
        <v>1186</v>
      </c>
      <c r="P106" s="16">
        <f t="shared" si="37"/>
        <v>3266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0.12063686466625842</v>
      </c>
      <c r="D107" s="43">
        <f t="shared" si="38"/>
        <v>4.1947336191059399E-2</v>
      </c>
      <c r="E107" s="43">
        <f t="shared" si="38"/>
        <v>8.2057562767911818E-2</v>
      </c>
      <c r="F107" s="43">
        <f t="shared" si="38"/>
        <v>4.2253521126760563E-2</v>
      </c>
      <c r="G107" s="43">
        <f t="shared" si="38"/>
        <v>1.1635027556644213E-2</v>
      </c>
      <c r="H107" s="43">
        <f t="shared" si="38"/>
        <v>3.3680342927127987E-3</v>
      </c>
      <c r="I107" s="43">
        <f t="shared" si="38"/>
        <v>3.9191671769748929E-2</v>
      </c>
      <c r="J107" s="43">
        <f t="shared" si="38"/>
        <v>1.0104102878138396E-2</v>
      </c>
      <c r="K107" s="43">
        <f t="shared" si="38"/>
        <v>3.6742192284139621E-3</v>
      </c>
      <c r="L107" s="43">
        <f t="shared" si="38"/>
        <v>7.6546233925290875E-3</v>
      </c>
      <c r="M107" s="43">
        <f t="shared" si="38"/>
        <v>0.63686466625842009</v>
      </c>
      <c r="N107" s="43">
        <f t="shared" si="38"/>
        <v>6.1236987140232701E-4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0.33220910623946037</v>
      </c>
      <c r="D108" s="44">
        <f t="shared" ref="D108:N108" si="39">D106/$O$106</f>
        <v>0.11551433389544688</v>
      </c>
      <c r="E108" s="44">
        <f t="shared" si="39"/>
        <v>0.22596964586846544</v>
      </c>
      <c r="F108" s="44">
        <f t="shared" si="39"/>
        <v>0.1163575042158516</v>
      </c>
      <c r="G108" s="44">
        <f t="shared" si="39"/>
        <v>3.2040472175379427E-2</v>
      </c>
      <c r="H108" s="44">
        <f t="shared" si="39"/>
        <v>9.2748735244519397E-3</v>
      </c>
      <c r="I108" s="44">
        <f t="shared" si="39"/>
        <v>0.10792580101180438</v>
      </c>
      <c r="J108" s="44">
        <f t="shared" si="39"/>
        <v>2.7824620573355819E-2</v>
      </c>
      <c r="K108" s="44">
        <f t="shared" si="39"/>
        <v>1.0118043844856661E-2</v>
      </c>
      <c r="L108" s="44">
        <f t="shared" si="39"/>
        <v>2.1079258010118045E-2</v>
      </c>
      <c r="M108" s="44"/>
      <c r="N108" s="44">
        <f t="shared" si="39"/>
        <v>1.6863406408094434E-3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topLeftCell="A38" zoomScale="60" workbookViewId="0">
      <selection activeCell="B25" sqref="B2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Koboko-Arua-24h'!D5</f>
        <v>26.07.19</v>
      </c>
      <c r="E5" s="3"/>
      <c r="F5" s="41" t="s">
        <v>1</v>
      </c>
      <c r="G5" s="66" t="str">
        <f>'02.08 Koboko-Arua-24h'!G5:H5</f>
        <v>xxx</v>
      </c>
      <c r="H5" s="67"/>
      <c r="I5" s="14"/>
      <c r="J5" s="2" t="s">
        <v>5</v>
      </c>
      <c r="K5" s="66" t="str">
        <f>'02.08 Koboko-Arua-24h'!K5:L5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Arua-Koboko'!D6:E6</f>
        <v>Arua</v>
      </c>
      <c r="E6" s="67"/>
      <c r="F6" s="2" t="s">
        <v>2</v>
      </c>
      <c r="G6" s="66" t="str">
        <f>'01.08 Arua-Koboko'!G6:H6</f>
        <v>Koboko</v>
      </c>
      <c r="H6" s="67"/>
      <c r="J6" s="2" t="s">
        <v>21</v>
      </c>
      <c r="K6" s="66" t="str">
        <f>'02.08 Koboko-Arua-24h'!K6:L6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73" si="0">SUM(C10:L10,N10)</f>
        <v>11</v>
      </c>
      <c r="P10" s="15">
        <f t="shared" ref="P10:P73" si="1">SUM(C10:N10)</f>
        <v>71</v>
      </c>
      <c r="R10" s="1" t="s">
        <v>6</v>
      </c>
      <c r="S10" s="17">
        <f t="shared" ref="S10:AF10" si="2">SUM(C10:C13)</f>
        <v>20</v>
      </c>
      <c r="T10" s="17">
        <f t="shared" si="2"/>
        <v>2</v>
      </c>
      <c r="U10" s="17">
        <f t="shared" si="2"/>
        <v>5</v>
      </c>
      <c r="V10" s="17">
        <f t="shared" si="2"/>
        <v>7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128</v>
      </c>
      <c r="AD10" s="17">
        <f t="shared" si="2"/>
        <v>0</v>
      </c>
      <c r="AE10" s="31">
        <f t="shared" si="2"/>
        <v>39</v>
      </c>
      <c r="AF10" s="31">
        <f t="shared" si="2"/>
        <v>167</v>
      </c>
    </row>
    <row r="11" spans="2:32" s="6" customFormat="1" ht="23.1" customHeight="1" x14ac:dyDescent="0.25">
      <c r="B11" s="45" t="s">
        <v>38</v>
      </c>
      <c r="C11" s="50">
        <v>1</v>
      </c>
      <c r="D11" s="50">
        <v>2</v>
      </c>
      <c r="E11" s="50">
        <v>5</v>
      </c>
      <c r="F11" s="50">
        <v>4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1</v>
      </c>
      <c r="M11" s="50">
        <v>22</v>
      </c>
      <c r="N11" s="50">
        <v>0</v>
      </c>
      <c r="O11" s="15">
        <f t="shared" si="0"/>
        <v>14</v>
      </c>
      <c r="P11" s="15">
        <f t="shared" si="1"/>
        <v>36</v>
      </c>
      <c r="R11" s="1" t="s">
        <v>7</v>
      </c>
      <c r="S11" s="17">
        <f t="shared" ref="S11:AF11" si="3">SUM(C14:C17)</f>
        <v>23</v>
      </c>
      <c r="T11" s="17">
        <f t="shared" si="3"/>
        <v>3</v>
      </c>
      <c r="U11" s="17">
        <f t="shared" si="3"/>
        <v>11</v>
      </c>
      <c r="V11" s="17">
        <f t="shared" si="3"/>
        <v>8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0</v>
      </c>
      <c r="AB11" s="17">
        <f t="shared" si="3"/>
        <v>2</v>
      </c>
      <c r="AC11" s="17">
        <f t="shared" si="3"/>
        <v>99</v>
      </c>
      <c r="AD11" s="17">
        <f t="shared" si="3"/>
        <v>0</v>
      </c>
      <c r="AE11" s="31">
        <f t="shared" si="3"/>
        <v>56</v>
      </c>
      <c r="AF11" s="31">
        <f t="shared" si="3"/>
        <v>155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1</v>
      </c>
      <c r="M12" s="50">
        <v>25</v>
      </c>
      <c r="N12" s="50">
        <v>0</v>
      </c>
      <c r="O12" s="15">
        <f t="shared" si="0"/>
        <v>6</v>
      </c>
      <c r="P12" s="15">
        <f t="shared" si="1"/>
        <v>31</v>
      </c>
      <c r="R12" s="1" t="s">
        <v>8</v>
      </c>
      <c r="S12" s="17">
        <f t="shared" ref="S12:AF12" si="4">SUM(C18:C21)</f>
        <v>31</v>
      </c>
      <c r="T12" s="17">
        <f t="shared" si="4"/>
        <v>7</v>
      </c>
      <c r="U12" s="17">
        <f t="shared" si="4"/>
        <v>20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155</v>
      </c>
      <c r="AD12" s="17">
        <f t="shared" si="4"/>
        <v>0</v>
      </c>
      <c r="AE12" s="31">
        <f t="shared" si="4"/>
        <v>79</v>
      </c>
      <c r="AF12" s="31">
        <f t="shared" si="4"/>
        <v>234</v>
      </c>
    </row>
    <row r="13" spans="2:32" ht="23.1" customHeight="1" x14ac:dyDescent="0.25">
      <c r="B13" s="45" t="s">
        <v>40</v>
      </c>
      <c r="C13" s="50">
        <v>5</v>
      </c>
      <c r="D13" s="50">
        <v>0</v>
      </c>
      <c r="E13" s="50">
        <v>0</v>
      </c>
      <c r="F13" s="50">
        <v>2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21</v>
      </c>
      <c r="N13" s="50">
        <v>0</v>
      </c>
      <c r="O13" s="15">
        <f t="shared" si="0"/>
        <v>8</v>
      </c>
      <c r="P13" s="15">
        <f t="shared" si="1"/>
        <v>29</v>
      </c>
      <c r="R13" s="1" t="s">
        <v>9</v>
      </c>
      <c r="S13" s="17">
        <f t="shared" ref="S13:AF13" si="5">SUM(C22:C25)</f>
        <v>32</v>
      </c>
      <c r="T13" s="17">
        <f t="shared" si="5"/>
        <v>8</v>
      </c>
      <c r="U13" s="17">
        <f t="shared" si="5"/>
        <v>24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5</v>
      </c>
      <c r="AA13" s="17">
        <f t="shared" si="5"/>
        <v>0</v>
      </c>
      <c r="AB13" s="17">
        <f t="shared" si="5"/>
        <v>2</v>
      </c>
      <c r="AC13" s="17">
        <f t="shared" si="5"/>
        <v>158</v>
      </c>
      <c r="AD13" s="17">
        <f t="shared" si="5"/>
        <v>0</v>
      </c>
      <c r="AE13" s="31">
        <f t="shared" si="5"/>
        <v>79</v>
      </c>
      <c r="AF13" s="31">
        <f t="shared" si="5"/>
        <v>237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4</v>
      </c>
      <c r="F14" s="50">
        <v>1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27</v>
      </c>
      <c r="N14" s="50">
        <v>0</v>
      </c>
      <c r="O14" s="15">
        <f t="shared" si="0"/>
        <v>11</v>
      </c>
      <c r="P14" s="15">
        <f t="shared" si="1"/>
        <v>38</v>
      </c>
      <c r="R14" s="1" t="s">
        <v>10</v>
      </c>
      <c r="S14" s="17">
        <f t="shared" ref="S14:AF14" si="6">SUM(C26:C29)</f>
        <v>26</v>
      </c>
      <c r="T14" s="17">
        <f t="shared" si="6"/>
        <v>1</v>
      </c>
      <c r="U14" s="17">
        <f t="shared" si="6"/>
        <v>5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4</v>
      </c>
      <c r="AA14" s="17">
        <f t="shared" si="6"/>
        <v>0</v>
      </c>
      <c r="AB14" s="17">
        <f t="shared" si="6"/>
        <v>2</v>
      </c>
      <c r="AC14" s="17">
        <f t="shared" si="6"/>
        <v>127</v>
      </c>
      <c r="AD14" s="17">
        <f t="shared" si="6"/>
        <v>0</v>
      </c>
      <c r="AE14" s="31">
        <f t="shared" si="6"/>
        <v>46</v>
      </c>
      <c r="AF14" s="31">
        <f t="shared" si="6"/>
        <v>173</v>
      </c>
    </row>
    <row r="15" spans="2:32" ht="23.1" customHeight="1" x14ac:dyDescent="0.25">
      <c r="B15" s="45" t="s">
        <v>42</v>
      </c>
      <c r="C15" s="50">
        <v>11</v>
      </c>
      <c r="D15" s="50">
        <v>1</v>
      </c>
      <c r="E15" s="50">
        <v>4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21</v>
      </c>
      <c r="N15" s="50">
        <v>0</v>
      </c>
      <c r="O15" s="15">
        <f t="shared" si="0"/>
        <v>17</v>
      </c>
      <c r="P15" s="15">
        <f t="shared" si="1"/>
        <v>38</v>
      </c>
      <c r="R15" s="1" t="s">
        <v>11</v>
      </c>
      <c r="S15" s="17">
        <f t="shared" ref="S15:AF15" si="7">SUM(C30:C33)</f>
        <v>30</v>
      </c>
      <c r="T15" s="17">
        <f t="shared" si="7"/>
        <v>3</v>
      </c>
      <c r="U15" s="17">
        <f t="shared" si="7"/>
        <v>8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1</v>
      </c>
      <c r="AB15" s="17">
        <f t="shared" si="7"/>
        <v>2</v>
      </c>
      <c r="AC15" s="17">
        <f t="shared" si="7"/>
        <v>147</v>
      </c>
      <c r="AD15" s="17">
        <f t="shared" si="7"/>
        <v>0</v>
      </c>
      <c r="AE15" s="31">
        <f t="shared" si="7"/>
        <v>52</v>
      </c>
      <c r="AF15" s="31">
        <f t="shared" si="7"/>
        <v>199</v>
      </c>
    </row>
    <row r="16" spans="2:32" ht="23.1" customHeight="1" x14ac:dyDescent="0.25">
      <c r="B16" s="45" t="s">
        <v>43</v>
      </c>
      <c r="C16" s="50">
        <v>6</v>
      </c>
      <c r="D16" s="50">
        <v>1</v>
      </c>
      <c r="E16" s="50">
        <v>3</v>
      </c>
      <c r="F16" s="50">
        <v>5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2</v>
      </c>
      <c r="M16" s="50">
        <v>29</v>
      </c>
      <c r="N16" s="50">
        <v>0</v>
      </c>
      <c r="O16" s="15">
        <f t="shared" si="0"/>
        <v>19</v>
      </c>
      <c r="P16" s="15">
        <f t="shared" si="1"/>
        <v>48</v>
      </c>
      <c r="R16" s="1" t="s">
        <v>12</v>
      </c>
      <c r="S16" s="17">
        <f t="shared" ref="S16:AF16" si="8">SUM(C34:C37)</f>
        <v>16</v>
      </c>
      <c r="T16" s="17">
        <f t="shared" si="8"/>
        <v>2</v>
      </c>
      <c r="U16" s="17">
        <f t="shared" si="8"/>
        <v>6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0</v>
      </c>
      <c r="AB16" s="17">
        <f t="shared" si="8"/>
        <v>1</v>
      </c>
      <c r="AC16" s="17">
        <f t="shared" si="8"/>
        <v>109</v>
      </c>
      <c r="AD16" s="17">
        <f t="shared" si="8"/>
        <v>8</v>
      </c>
      <c r="AE16" s="31">
        <f t="shared" si="8"/>
        <v>41</v>
      </c>
      <c r="AF16" s="31">
        <f t="shared" si="8"/>
        <v>150</v>
      </c>
    </row>
    <row r="17" spans="2:32" ht="23.1" customHeight="1" x14ac:dyDescent="0.25">
      <c r="B17" s="45" t="s">
        <v>44</v>
      </c>
      <c r="C17" s="50">
        <v>4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22</v>
      </c>
      <c r="N17" s="50">
        <v>0</v>
      </c>
      <c r="O17" s="15">
        <f t="shared" si="0"/>
        <v>9</v>
      </c>
      <c r="P17" s="15">
        <f t="shared" si="1"/>
        <v>31</v>
      </c>
      <c r="R17" s="1" t="s">
        <v>13</v>
      </c>
      <c r="S17" s="17">
        <f t="shared" ref="S17:AF17" si="9">SUM(C38:C41)</f>
        <v>23</v>
      </c>
      <c r="T17" s="17">
        <f t="shared" si="9"/>
        <v>1</v>
      </c>
      <c r="U17" s="17">
        <f t="shared" si="9"/>
        <v>3</v>
      </c>
      <c r="V17" s="17">
        <f t="shared" si="9"/>
        <v>4</v>
      </c>
      <c r="W17" s="17">
        <f t="shared" si="9"/>
        <v>1</v>
      </c>
      <c r="X17" s="17">
        <f t="shared" si="9"/>
        <v>0</v>
      </c>
      <c r="Y17" s="17">
        <f t="shared" si="9"/>
        <v>4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114</v>
      </c>
      <c r="AD17" s="17">
        <f t="shared" si="9"/>
        <v>0</v>
      </c>
      <c r="AE17" s="31">
        <f t="shared" si="9"/>
        <v>37</v>
      </c>
      <c r="AF17" s="31">
        <f t="shared" si="9"/>
        <v>151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4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23</v>
      </c>
      <c r="N18" s="50">
        <v>0</v>
      </c>
      <c r="O18" s="15">
        <f t="shared" si="0"/>
        <v>11</v>
      </c>
      <c r="P18" s="15">
        <f t="shared" si="1"/>
        <v>34</v>
      </c>
      <c r="R18" s="1" t="s">
        <v>14</v>
      </c>
      <c r="S18" s="17">
        <f t="shared" ref="S18:AF18" si="10">SUM(C42:C45)</f>
        <v>28</v>
      </c>
      <c r="T18" s="17">
        <f t="shared" si="10"/>
        <v>5</v>
      </c>
      <c r="U18" s="17">
        <f t="shared" si="10"/>
        <v>13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4</v>
      </c>
      <c r="AA18" s="17">
        <f t="shared" si="10"/>
        <v>0</v>
      </c>
      <c r="AB18" s="17">
        <f t="shared" si="10"/>
        <v>3</v>
      </c>
      <c r="AC18" s="17">
        <f t="shared" si="10"/>
        <v>95</v>
      </c>
      <c r="AD18" s="17">
        <f t="shared" si="10"/>
        <v>0</v>
      </c>
      <c r="AE18" s="31">
        <f t="shared" si="10"/>
        <v>59</v>
      </c>
      <c r="AF18" s="31">
        <f t="shared" si="10"/>
        <v>154</v>
      </c>
    </row>
    <row r="19" spans="2:32" ht="23.1" customHeight="1" x14ac:dyDescent="0.25">
      <c r="B19" s="45" t="s">
        <v>46</v>
      </c>
      <c r="C19" s="50">
        <v>9</v>
      </c>
      <c r="D19" s="50">
        <v>2</v>
      </c>
      <c r="E19" s="50">
        <v>5</v>
      </c>
      <c r="F19" s="50">
        <v>0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44</v>
      </c>
      <c r="N19" s="50">
        <v>0</v>
      </c>
      <c r="O19" s="15">
        <f t="shared" si="0"/>
        <v>20</v>
      </c>
      <c r="P19" s="15">
        <f t="shared" si="1"/>
        <v>64</v>
      </c>
      <c r="R19" s="1" t="s">
        <v>15</v>
      </c>
      <c r="S19" s="17">
        <f t="shared" ref="S19:AF19" si="11">SUM(C46:C49)</f>
        <v>31</v>
      </c>
      <c r="T19" s="17">
        <f t="shared" si="11"/>
        <v>4</v>
      </c>
      <c r="U19" s="17">
        <f t="shared" si="11"/>
        <v>15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4</v>
      </c>
      <c r="AA19" s="17">
        <f t="shared" si="11"/>
        <v>0</v>
      </c>
      <c r="AB19" s="17">
        <f t="shared" si="11"/>
        <v>2</v>
      </c>
      <c r="AC19" s="17">
        <f t="shared" si="11"/>
        <v>113</v>
      </c>
      <c r="AD19" s="17">
        <f t="shared" si="11"/>
        <v>0</v>
      </c>
      <c r="AE19" s="31">
        <f t="shared" si="11"/>
        <v>65</v>
      </c>
      <c r="AF19" s="31">
        <f t="shared" si="11"/>
        <v>178</v>
      </c>
    </row>
    <row r="20" spans="2:32" ht="23.1" customHeight="1" x14ac:dyDescent="0.25">
      <c r="B20" s="45" t="s">
        <v>47</v>
      </c>
      <c r="C20" s="50">
        <v>14</v>
      </c>
      <c r="D20" s="50">
        <v>3</v>
      </c>
      <c r="E20" s="50">
        <v>7</v>
      </c>
      <c r="F20" s="50">
        <v>6</v>
      </c>
      <c r="G20" s="50">
        <v>0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55</v>
      </c>
      <c r="N20" s="50">
        <v>0</v>
      </c>
      <c r="O20" s="15">
        <f t="shared" si="0"/>
        <v>34</v>
      </c>
      <c r="P20" s="15">
        <f t="shared" si="1"/>
        <v>89</v>
      </c>
      <c r="R20" s="1" t="s">
        <v>16</v>
      </c>
      <c r="S20" s="17">
        <f t="shared" ref="S20:AF20" si="12">SUM(C50:C53)</f>
        <v>33</v>
      </c>
      <c r="T20" s="17">
        <f t="shared" si="12"/>
        <v>5</v>
      </c>
      <c r="U20" s="17">
        <f t="shared" si="12"/>
        <v>18</v>
      </c>
      <c r="V20" s="17">
        <f t="shared" si="12"/>
        <v>2</v>
      </c>
      <c r="W20" s="17">
        <f t="shared" si="12"/>
        <v>0</v>
      </c>
      <c r="X20" s="17">
        <f t="shared" si="12"/>
        <v>1</v>
      </c>
      <c r="Y20" s="17">
        <f t="shared" si="12"/>
        <v>2</v>
      </c>
      <c r="Z20" s="17">
        <f t="shared" si="12"/>
        <v>8</v>
      </c>
      <c r="AA20" s="17">
        <f t="shared" si="12"/>
        <v>0</v>
      </c>
      <c r="AB20" s="17">
        <f t="shared" si="12"/>
        <v>0</v>
      </c>
      <c r="AC20" s="17">
        <f t="shared" si="12"/>
        <v>156</v>
      </c>
      <c r="AD20" s="17">
        <f t="shared" si="12"/>
        <v>0</v>
      </c>
      <c r="AE20" s="31">
        <f t="shared" si="12"/>
        <v>69</v>
      </c>
      <c r="AF20" s="31">
        <f t="shared" si="12"/>
        <v>225</v>
      </c>
    </row>
    <row r="21" spans="2:32" ht="23.1" customHeight="1" x14ac:dyDescent="0.25">
      <c r="B21" s="45" t="s">
        <v>48</v>
      </c>
      <c r="C21" s="50">
        <v>5</v>
      </c>
      <c r="D21" s="50">
        <v>1</v>
      </c>
      <c r="E21" s="50">
        <v>4</v>
      </c>
      <c r="F21" s="50">
        <v>3</v>
      </c>
      <c r="G21" s="50">
        <v>0</v>
      </c>
      <c r="H21" s="50">
        <v>0</v>
      </c>
      <c r="I21" s="50"/>
      <c r="J21" s="50">
        <v>1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14</v>
      </c>
      <c r="P21" s="15">
        <f t="shared" si="1"/>
        <v>47</v>
      </c>
      <c r="R21" s="36" t="s">
        <v>20</v>
      </c>
      <c r="S21" s="34">
        <f t="shared" ref="S21:AF21" si="13">SUM(C54:C57)</f>
        <v>23</v>
      </c>
      <c r="T21" s="17">
        <f t="shared" si="13"/>
        <v>1</v>
      </c>
      <c r="U21" s="17">
        <f t="shared" si="13"/>
        <v>3</v>
      </c>
      <c r="V21" s="17">
        <f t="shared" si="13"/>
        <v>0</v>
      </c>
      <c r="W21" s="17">
        <f t="shared" si="13"/>
        <v>2</v>
      </c>
      <c r="X21" s="17">
        <f t="shared" si="13"/>
        <v>2</v>
      </c>
      <c r="Y21" s="17">
        <f t="shared" si="13"/>
        <v>0</v>
      </c>
      <c r="Z21" s="17">
        <f t="shared" si="13"/>
        <v>9</v>
      </c>
      <c r="AA21" s="17">
        <f t="shared" si="13"/>
        <v>0</v>
      </c>
      <c r="AB21" s="17">
        <f t="shared" si="13"/>
        <v>0</v>
      </c>
      <c r="AC21" s="17">
        <f t="shared" si="13"/>
        <v>127</v>
      </c>
      <c r="AD21" s="17">
        <f t="shared" si="13"/>
        <v>0</v>
      </c>
      <c r="AE21" s="31">
        <f t="shared" si="13"/>
        <v>40</v>
      </c>
      <c r="AF21" s="31">
        <f t="shared" si="13"/>
        <v>167</v>
      </c>
    </row>
    <row r="22" spans="2:32" ht="23.1" customHeight="1" x14ac:dyDescent="0.25">
      <c r="B22" s="45" t="s">
        <v>49</v>
      </c>
      <c r="C22" s="50">
        <v>5</v>
      </c>
      <c r="D22" s="50">
        <v>3</v>
      </c>
      <c r="E22" s="50">
        <v>9</v>
      </c>
      <c r="F22" s="50">
        <v>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49</v>
      </c>
      <c r="N22" s="50">
        <v>0</v>
      </c>
      <c r="O22" s="15">
        <f t="shared" si="0"/>
        <v>20</v>
      </c>
      <c r="P22" s="15">
        <f t="shared" si="1"/>
        <v>69</v>
      </c>
      <c r="R22" s="36" t="s">
        <v>146</v>
      </c>
      <c r="S22" s="34">
        <f>SUM(C58:C61)</f>
        <v>45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4</v>
      </c>
      <c r="W22" s="34">
        <f t="shared" si="14"/>
        <v>1</v>
      </c>
      <c r="X22" s="34">
        <f t="shared" si="14"/>
        <v>0</v>
      </c>
      <c r="Y22" s="34">
        <f t="shared" si="14"/>
        <v>1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216</v>
      </c>
      <c r="AD22" s="34">
        <f t="shared" si="14"/>
        <v>0</v>
      </c>
      <c r="AE22" s="31">
        <f t="shared" si="14"/>
        <v>53</v>
      </c>
      <c r="AF22" s="31">
        <f t="shared" si="14"/>
        <v>269</v>
      </c>
    </row>
    <row r="23" spans="2:32" ht="23.1" customHeight="1" x14ac:dyDescent="0.25">
      <c r="B23" s="45" t="s">
        <v>50</v>
      </c>
      <c r="C23" s="50">
        <v>8</v>
      </c>
      <c r="D23" s="50">
        <v>1</v>
      </c>
      <c r="E23" s="50">
        <v>3</v>
      </c>
      <c r="F23" s="50">
        <v>1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41</v>
      </c>
      <c r="N23" s="50">
        <v>0</v>
      </c>
      <c r="O23" s="15">
        <f t="shared" si="0"/>
        <v>16</v>
      </c>
      <c r="P23" s="15">
        <f t="shared" si="1"/>
        <v>57</v>
      </c>
      <c r="R23" s="36" t="s">
        <v>147</v>
      </c>
      <c r="S23" s="34">
        <f>SUM(C62:C65)</f>
        <v>21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1</v>
      </c>
      <c r="Y23" s="34">
        <f t="shared" si="15"/>
        <v>4</v>
      </c>
      <c r="Z23" s="34">
        <f t="shared" si="15"/>
        <v>0</v>
      </c>
      <c r="AA23" s="34">
        <f t="shared" si="15"/>
        <v>2</v>
      </c>
      <c r="AB23" s="34">
        <f t="shared" si="15"/>
        <v>0</v>
      </c>
      <c r="AC23" s="34">
        <f t="shared" si="15"/>
        <v>159</v>
      </c>
      <c r="AD23" s="34">
        <f t="shared" si="15"/>
        <v>0</v>
      </c>
      <c r="AE23" s="31">
        <f t="shared" si="15"/>
        <v>29</v>
      </c>
      <c r="AF23" s="31">
        <f t="shared" si="15"/>
        <v>188</v>
      </c>
    </row>
    <row r="24" spans="2:32" ht="23.1" customHeight="1" x14ac:dyDescent="0.25">
      <c r="B24" s="45" t="s">
        <v>51</v>
      </c>
      <c r="C24" s="50">
        <v>12</v>
      </c>
      <c r="D24" s="50">
        <v>2</v>
      </c>
      <c r="E24" s="50">
        <v>7</v>
      </c>
      <c r="F24" s="50">
        <v>2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1</v>
      </c>
      <c r="M24" s="50">
        <v>32</v>
      </c>
      <c r="N24" s="50">
        <v>0</v>
      </c>
      <c r="O24" s="15">
        <f t="shared" si="0"/>
        <v>26</v>
      </c>
      <c r="P24" s="15">
        <f t="shared" si="1"/>
        <v>58</v>
      </c>
      <c r="R24" s="36" t="s">
        <v>148</v>
      </c>
      <c r="S24" s="34">
        <f>SUM(C66:C69)</f>
        <v>6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1</v>
      </c>
      <c r="AC24" s="34">
        <f t="shared" si="16"/>
        <v>87</v>
      </c>
      <c r="AD24" s="34">
        <f t="shared" si="16"/>
        <v>0</v>
      </c>
      <c r="AE24" s="31">
        <f t="shared" si="16"/>
        <v>9</v>
      </c>
      <c r="AF24" s="31">
        <f t="shared" si="16"/>
        <v>96</v>
      </c>
    </row>
    <row r="25" spans="2:32" ht="23.1" customHeight="1" x14ac:dyDescent="0.25">
      <c r="B25" s="45" t="s">
        <v>52</v>
      </c>
      <c r="C25" s="50">
        <v>7</v>
      </c>
      <c r="D25" s="50">
        <v>2</v>
      </c>
      <c r="E25" s="50">
        <v>5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1</v>
      </c>
      <c r="M25" s="50">
        <v>36</v>
      </c>
      <c r="N25" s="50">
        <v>0</v>
      </c>
      <c r="O25" s="15">
        <f t="shared" si="0"/>
        <v>17</v>
      </c>
      <c r="P25" s="15">
        <f t="shared" si="1"/>
        <v>53</v>
      </c>
      <c r="R25" s="36" t="s">
        <v>149</v>
      </c>
      <c r="S25" s="34">
        <f>SUM(C70:C73)</f>
        <v>6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35</v>
      </c>
      <c r="AD25" s="34">
        <f t="shared" si="17"/>
        <v>0</v>
      </c>
      <c r="AE25" s="31">
        <f t="shared" si="17"/>
        <v>8</v>
      </c>
      <c r="AF25" s="31">
        <f t="shared" si="17"/>
        <v>43</v>
      </c>
    </row>
    <row r="26" spans="2:32" ht="23.1" customHeight="1" x14ac:dyDescent="0.25">
      <c r="B26" s="45" t="s">
        <v>53</v>
      </c>
      <c r="C26" s="50">
        <v>12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33</v>
      </c>
      <c r="N26" s="50">
        <v>0</v>
      </c>
      <c r="O26" s="15">
        <f t="shared" si="0"/>
        <v>14</v>
      </c>
      <c r="P26" s="15">
        <f t="shared" si="1"/>
        <v>47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28</v>
      </c>
      <c r="AD26" s="34">
        <f t="shared" si="18"/>
        <v>0</v>
      </c>
      <c r="AE26" s="31">
        <f t="shared" si="18"/>
        <v>1</v>
      </c>
      <c r="AF26" s="31">
        <f t="shared" si="18"/>
        <v>29</v>
      </c>
    </row>
    <row r="27" spans="2:32" ht="23.1" customHeight="1" x14ac:dyDescent="0.25">
      <c r="B27" s="45" t="s">
        <v>54</v>
      </c>
      <c r="C27" s="50">
        <v>9</v>
      </c>
      <c r="D27" s="50">
        <v>1</v>
      </c>
      <c r="E27" s="50">
        <v>5</v>
      </c>
      <c r="F27" s="50">
        <v>1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2</v>
      </c>
      <c r="M27" s="50">
        <v>46</v>
      </c>
      <c r="N27" s="50">
        <v>0</v>
      </c>
      <c r="O27" s="15">
        <f t="shared" si="0"/>
        <v>21</v>
      </c>
      <c r="P27" s="15">
        <f t="shared" si="1"/>
        <v>67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21</v>
      </c>
      <c r="AD27" s="34">
        <f t="shared" si="19"/>
        <v>0</v>
      </c>
      <c r="AE27" s="31">
        <f t="shared" si="19"/>
        <v>2</v>
      </c>
      <c r="AF27" s="31">
        <f t="shared" si="19"/>
        <v>23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22</v>
      </c>
      <c r="N28" s="50">
        <v>0</v>
      </c>
      <c r="O28" s="15">
        <f t="shared" si="0"/>
        <v>4</v>
      </c>
      <c r="P28" s="15">
        <f t="shared" si="1"/>
        <v>26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11</v>
      </c>
      <c r="AD28" s="34">
        <f t="shared" si="20"/>
        <v>0</v>
      </c>
      <c r="AE28" s="31">
        <f t="shared" si="20"/>
        <v>2</v>
      </c>
      <c r="AF28" s="31">
        <f t="shared" si="20"/>
        <v>13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7</v>
      </c>
      <c r="P29" s="15">
        <f t="shared" si="1"/>
        <v>33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2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12</v>
      </c>
      <c r="D30" s="50">
        <v>3</v>
      </c>
      <c r="E30" s="50">
        <v>8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42</v>
      </c>
      <c r="N30" s="50">
        <v>0</v>
      </c>
      <c r="O30" s="15">
        <f t="shared" si="0"/>
        <v>27</v>
      </c>
      <c r="P30" s="15">
        <f t="shared" si="1"/>
        <v>69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0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4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2</v>
      </c>
      <c r="M31" s="50">
        <v>38</v>
      </c>
      <c r="N31" s="50">
        <v>0</v>
      </c>
      <c r="O31" s="15">
        <f t="shared" si="0"/>
        <v>9</v>
      </c>
      <c r="P31" s="15">
        <f t="shared" si="1"/>
        <v>47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2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29</v>
      </c>
      <c r="N32" s="50">
        <v>0</v>
      </c>
      <c r="O32" s="15">
        <f t="shared" si="0"/>
        <v>6</v>
      </c>
      <c r="P32" s="15">
        <f t="shared" si="1"/>
        <v>35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5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12</v>
      </c>
      <c r="AD32" s="34">
        <f t="shared" si="24"/>
        <v>0</v>
      </c>
      <c r="AE32" s="31">
        <f t="shared" si="24"/>
        <v>7</v>
      </c>
      <c r="AF32" s="31">
        <f t="shared" si="24"/>
        <v>19</v>
      </c>
    </row>
    <row r="33" spans="2:32" ht="23.1" customHeight="1" x14ac:dyDescent="0.25">
      <c r="B33" s="45" t="s">
        <v>60</v>
      </c>
      <c r="C33" s="50">
        <v>9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38</v>
      </c>
      <c r="N33" s="50">
        <v>0</v>
      </c>
      <c r="O33" s="15">
        <f t="shared" si="0"/>
        <v>10</v>
      </c>
      <c r="P33" s="15">
        <f t="shared" si="1"/>
        <v>48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2</v>
      </c>
      <c r="AB33" s="34">
        <f t="shared" si="25"/>
        <v>2</v>
      </c>
      <c r="AC33" s="34">
        <f t="shared" si="25"/>
        <v>48</v>
      </c>
      <c r="AD33" s="34">
        <f t="shared" si="25"/>
        <v>0</v>
      </c>
      <c r="AE33" s="31">
        <f t="shared" si="25"/>
        <v>6</v>
      </c>
      <c r="AF33" s="31">
        <f t="shared" si="25"/>
        <v>54</v>
      </c>
    </row>
    <row r="34" spans="2:32" ht="23.1" customHeight="1" x14ac:dyDescent="0.25">
      <c r="B34" s="46" t="s">
        <v>61</v>
      </c>
      <c r="C34" s="50">
        <v>5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33</v>
      </c>
      <c r="N34" s="50">
        <v>0</v>
      </c>
      <c r="O34" s="15">
        <f t="shared" si="0"/>
        <v>6</v>
      </c>
      <c r="P34" s="15">
        <f t="shared" si="1"/>
        <v>39</v>
      </c>
      <c r="R34" s="38" t="s">
        <v>90</v>
      </c>
      <c r="S34" s="39">
        <f t="shared" ref="S34:AF34" si="26">MAX(S10:S12)</f>
        <v>31</v>
      </c>
      <c r="T34" s="39">
        <f t="shared" si="26"/>
        <v>7</v>
      </c>
      <c r="U34" s="39">
        <f t="shared" si="26"/>
        <v>20</v>
      </c>
      <c r="V34" s="39">
        <f t="shared" si="26"/>
        <v>10</v>
      </c>
      <c r="W34" s="39">
        <f t="shared" si="26"/>
        <v>1</v>
      </c>
      <c r="X34" s="39">
        <f t="shared" si="26"/>
        <v>0</v>
      </c>
      <c r="Y34" s="39">
        <f t="shared" si="26"/>
        <v>7</v>
      </c>
      <c r="Z34" s="39">
        <f t="shared" si="26"/>
        <v>5</v>
      </c>
      <c r="AA34" s="39">
        <f t="shared" si="26"/>
        <v>0</v>
      </c>
      <c r="AB34" s="39">
        <f t="shared" si="26"/>
        <v>2</v>
      </c>
      <c r="AC34" s="39">
        <f t="shared" si="26"/>
        <v>155</v>
      </c>
      <c r="AD34" s="39">
        <f t="shared" si="26"/>
        <v>0</v>
      </c>
      <c r="AE34" s="40">
        <f t="shared" si="26"/>
        <v>79</v>
      </c>
      <c r="AF34" s="40">
        <f t="shared" si="26"/>
        <v>234</v>
      </c>
    </row>
    <row r="35" spans="2:32" ht="23.1" customHeight="1" x14ac:dyDescent="0.25">
      <c r="B35" s="46" t="s">
        <v>62</v>
      </c>
      <c r="C35" s="50">
        <v>4</v>
      </c>
      <c r="D35" s="50">
        <v>1</v>
      </c>
      <c r="E35" s="50">
        <v>3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9</v>
      </c>
      <c r="P35" s="15">
        <f t="shared" si="1"/>
        <v>39</v>
      </c>
      <c r="R35" s="38" t="s">
        <v>91</v>
      </c>
      <c r="S35" s="39">
        <f t="shared" ref="S35:AF35" si="27">MAX(S13:S18)</f>
        <v>32</v>
      </c>
      <c r="T35" s="39">
        <f t="shared" si="27"/>
        <v>8</v>
      </c>
      <c r="U35" s="39">
        <f t="shared" si="27"/>
        <v>24</v>
      </c>
      <c r="V35" s="39">
        <f t="shared" si="27"/>
        <v>4</v>
      </c>
      <c r="W35" s="39">
        <f t="shared" si="27"/>
        <v>1</v>
      </c>
      <c r="X35" s="39">
        <f t="shared" si="27"/>
        <v>0</v>
      </c>
      <c r="Y35" s="39">
        <f t="shared" si="27"/>
        <v>6</v>
      </c>
      <c r="Z35" s="39">
        <f t="shared" si="27"/>
        <v>5</v>
      </c>
      <c r="AA35" s="39">
        <f t="shared" si="27"/>
        <v>1</v>
      </c>
      <c r="AB35" s="39">
        <f t="shared" si="27"/>
        <v>3</v>
      </c>
      <c r="AC35" s="39">
        <f t="shared" si="27"/>
        <v>158</v>
      </c>
      <c r="AD35" s="39">
        <f t="shared" si="27"/>
        <v>8</v>
      </c>
      <c r="AE35" s="40">
        <f t="shared" si="27"/>
        <v>79</v>
      </c>
      <c r="AF35" s="40">
        <f t="shared" si="27"/>
        <v>237</v>
      </c>
    </row>
    <row r="36" spans="2:32" ht="23.1" customHeight="1" x14ac:dyDescent="0.25">
      <c r="B36" s="46" t="s">
        <v>63</v>
      </c>
      <c r="C36" s="50">
        <v>5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5</v>
      </c>
      <c r="P36" s="15">
        <f t="shared" si="1"/>
        <v>20</v>
      </c>
      <c r="R36" s="38" t="s">
        <v>92</v>
      </c>
      <c r="S36" s="39">
        <f t="shared" ref="S36:AF36" si="28">MAX(S19:S21)</f>
        <v>33</v>
      </c>
      <c r="T36" s="39">
        <f t="shared" si="28"/>
        <v>5</v>
      </c>
      <c r="U36" s="39">
        <f t="shared" si="28"/>
        <v>18</v>
      </c>
      <c r="V36" s="39">
        <f t="shared" si="28"/>
        <v>6</v>
      </c>
      <c r="W36" s="39">
        <f t="shared" si="28"/>
        <v>2</v>
      </c>
      <c r="X36" s="39">
        <f t="shared" si="28"/>
        <v>2</v>
      </c>
      <c r="Y36" s="39">
        <f t="shared" si="28"/>
        <v>3</v>
      </c>
      <c r="Z36" s="39">
        <f t="shared" si="28"/>
        <v>9</v>
      </c>
      <c r="AA36" s="39">
        <f t="shared" si="28"/>
        <v>0</v>
      </c>
      <c r="AB36" s="39">
        <f t="shared" si="28"/>
        <v>2</v>
      </c>
      <c r="AC36" s="39">
        <f t="shared" si="28"/>
        <v>156</v>
      </c>
      <c r="AD36" s="39">
        <f t="shared" si="28"/>
        <v>0</v>
      </c>
      <c r="AE36" s="40">
        <f t="shared" si="28"/>
        <v>69</v>
      </c>
      <c r="AF36" s="40">
        <f t="shared" si="28"/>
        <v>225</v>
      </c>
    </row>
    <row r="37" spans="2:32" ht="23.1" customHeight="1" x14ac:dyDescent="0.25">
      <c r="B37" s="45" t="s">
        <v>64</v>
      </c>
      <c r="C37" s="50">
        <v>2</v>
      </c>
      <c r="D37" s="50">
        <v>1</v>
      </c>
      <c r="E37" s="50">
        <v>3</v>
      </c>
      <c r="F37" s="50">
        <v>1</v>
      </c>
      <c r="G37" s="50">
        <v>0</v>
      </c>
      <c r="H37" s="50">
        <v>0</v>
      </c>
      <c r="I37" s="50">
        <v>2</v>
      </c>
      <c r="J37" s="50">
        <v>3</v>
      </c>
      <c r="K37" s="50">
        <v>0</v>
      </c>
      <c r="L37" s="50">
        <v>1</v>
      </c>
      <c r="M37" s="50">
        <v>31</v>
      </c>
      <c r="N37" s="50">
        <v>8</v>
      </c>
      <c r="O37" s="15">
        <f t="shared" si="0"/>
        <v>21</v>
      </c>
      <c r="P37" s="15">
        <f t="shared" si="1"/>
        <v>52</v>
      </c>
      <c r="R37" s="37" t="s">
        <v>85</v>
      </c>
      <c r="S37" s="35">
        <f t="shared" ref="S37:AF37" si="29">SUM(S10:S12)</f>
        <v>74</v>
      </c>
      <c r="T37" s="16">
        <f t="shared" si="29"/>
        <v>12</v>
      </c>
      <c r="U37" s="16">
        <f t="shared" si="29"/>
        <v>36</v>
      </c>
      <c r="V37" s="16">
        <f t="shared" si="29"/>
        <v>25</v>
      </c>
      <c r="W37" s="16">
        <f t="shared" si="29"/>
        <v>1</v>
      </c>
      <c r="X37" s="16">
        <f t="shared" si="29"/>
        <v>0</v>
      </c>
      <c r="Y37" s="16">
        <f t="shared" si="29"/>
        <v>15</v>
      </c>
      <c r="Z37" s="16">
        <f t="shared" si="29"/>
        <v>7</v>
      </c>
      <c r="AA37" s="16">
        <f t="shared" si="29"/>
        <v>0</v>
      </c>
      <c r="AB37" s="16">
        <f t="shared" si="29"/>
        <v>4</v>
      </c>
      <c r="AC37" s="16">
        <f t="shared" si="29"/>
        <v>382</v>
      </c>
      <c r="AD37" s="16">
        <f t="shared" si="29"/>
        <v>0</v>
      </c>
      <c r="AE37" s="32">
        <f t="shared" si="29"/>
        <v>174</v>
      </c>
      <c r="AF37" s="32">
        <f t="shared" si="29"/>
        <v>556</v>
      </c>
    </row>
    <row r="38" spans="2:32" ht="23.1" customHeight="1" x14ac:dyDescent="0.25">
      <c r="B38" s="46" t="s">
        <v>65</v>
      </c>
      <c r="C38" s="50">
        <v>7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8</v>
      </c>
      <c r="P38" s="15">
        <f t="shared" si="1"/>
        <v>21</v>
      </c>
      <c r="R38" s="28" t="s">
        <v>86</v>
      </c>
      <c r="S38" s="16">
        <f t="shared" ref="S38:AF38" si="30">SUM(S13:S18)</f>
        <v>155</v>
      </c>
      <c r="T38" s="16">
        <f t="shared" si="30"/>
        <v>20</v>
      </c>
      <c r="U38" s="16">
        <f t="shared" si="30"/>
        <v>59</v>
      </c>
      <c r="V38" s="16">
        <f t="shared" si="30"/>
        <v>18</v>
      </c>
      <c r="W38" s="16">
        <f t="shared" si="30"/>
        <v>1</v>
      </c>
      <c r="X38" s="16">
        <f t="shared" si="30"/>
        <v>0</v>
      </c>
      <c r="Y38" s="16">
        <f t="shared" si="30"/>
        <v>25</v>
      </c>
      <c r="Z38" s="16">
        <f t="shared" si="30"/>
        <v>17</v>
      </c>
      <c r="AA38" s="16">
        <f t="shared" si="30"/>
        <v>1</v>
      </c>
      <c r="AB38" s="16">
        <f t="shared" si="30"/>
        <v>10</v>
      </c>
      <c r="AC38" s="16">
        <f t="shared" si="30"/>
        <v>750</v>
      </c>
      <c r="AD38" s="16">
        <f t="shared" si="30"/>
        <v>8</v>
      </c>
      <c r="AE38" s="32">
        <f t="shared" si="30"/>
        <v>314</v>
      </c>
      <c r="AF38" s="32">
        <f t="shared" si="30"/>
        <v>1064</v>
      </c>
    </row>
    <row r="39" spans="2:32" ht="23.1" customHeight="1" x14ac:dyDescent="0.25">
      <c r="B39" s="46" t="s">
        <v>66</v>
      </c>
      <c r="C39" s="50">
        <v>3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26</v>
      </c>
      <c r="N39" s="50">
        <v>0</v>
      </c>
      <c r="O39" s="15">
        <f t="shared" si="0"/>
        <v>4</v>
      </c>
      <c r="P39" s="15">
        <f t="shared" si="1"/>
        <v>30</v>
      </c>
      <c r="R39" s="29" t="s">
        <v>87</v>
      </c>
      <c r="S39" s="16">
        <f t="shared" ref="S39:AF39" si="31">SUM(S19:S21)</f>
        <v>87</v>
      </c>
      <c r="T39" s="16">
        <f t="shared" si="31"/>
        <v>10</v>
      </c>
      <c r="U39" s="16">
        <f t="shared" si="31"/>
        <v>36</v>
      </c>
      <c r="V39" s="16">
        <f t="shared" si="31"/>
        <v>8</v>
      </c>
      <c r="W39" s="16">
        <f t="shared" si="31"/>
        <v>2</v>
      </c>
      <c r="X39" s="16">
        <f t="shared" si="31"/>
        <v>3</v>
      </c>
      <c r="Y39" s="16">
        <f t="shared" si="31"/>
        <v>5</v>
      </c>
      <c r="Z39" s="16">
        <f t="shared" si="31"/>
        <v>21</v>
      </c>
      <c r="AA39" s="16">
        <f t="shared" si="31"/>
        <v>0</v>
      </c>
      <c r="AB39" s="16">
        <f t="shared" si="31"/>
        <v>2</v>
      </c>
      <c r="AC39" s="16">
        <f t="shared" si="31"/>
        <v>396</v>
      </c>
      <c r="AD39" s="16">
        <f t="shared" si="31"/>
        <v>0</v>
      </c>
      <c r="AE39" s="32">
        <f t="shared" si="31"/>
        <v>174</v>
      </c>
      <c r="AF39" s="32">
        <f t="shared" si="31"/>
        <v>570</v>
      </c>
    </row>
    <row r="40" spans="2:32" ht="23.1" customHeight="1" x14ac:dyDescent="0.25">
      <c r="B40" s="46" t="s">
        <v>67</v>
      </c>
      <c r="C40" s="50">
        <v>8</v>
      </c>
      <c r="D40" s="50">
        <v>0</v>
      </c>
      <c r="E40" s="50">
        <v>0</v>
      </c>
      <c r="F40" s="50">
        <v>3</v>
      </c>
      <c r="G40" s="50">
        <v>1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34</v>
      </c>
      <c r="N40" s="50">
        <v>0</v>
      </c>
      <c r="O40" s="15">
        <f t="shared" si="0"/>
        <v>15</v>
      </c>
      <c r="P40" s="15">
        <f t="shared" si="1"/>
        <v>49</v>
      </c>
      <c r="R40" s="5" t="s">
        <v>17</v>
      </c>
      <c r="S40" s="16">
        <f t="shared" ref="S40:AF40" si="32">SUM(S10:S21)</f>
        <v>316</v>
      </c>
      <c r="T40" s="16">
        <f t="shared" si="32"/>
        <v>42</v>
      </c>
      <c r="U40" s="16">
        <f t="shared" si="32"/>
        <v>131</v>
      </c>
      <c r="V40" s="16">
        <f t="shared" si="32"/>
        <v>51</v>
      </c>
      <c r="W40" s="16">
        <f t="shared" si="32"/>
        <v>4</v>
      </c>
      <c r="X40" s="16">
        <f t="shared" si="32"/>
        <v>3</v>
      </c>
      <c r="Y40" s="16">
        <f t="shared" si="32"/>
        <v>45</v>
      </c>
      <c r="Z40" s="16">
        <f t="shared" si="32"/>
        <v>45</v>
      </c>
      <c r="AA40" s="16">
        <f t="shared" si="32"/>
        <v>1</v>
      </c>
      <c r="AB40" s="16">
        <f t="shared" si="32"/>
        <v>16</v>
      </c>
      <c r="AC40" s="16">
        <f t="shared" si="32"/>
        <v>1528</v>
      </c>
      <c r="AD40" s="16">
        <f t="shared" si="32"/>
        <v>8</v>
      </c>
      <c r="AE40" s="32">
        <f t="shared" si="32"/>
        <v>662</v>
      </c>
      <c r="AF40" s="32">
        <f t="shared" si="32"/>
        <v>2190</v>
      </c>
    </row>
    <row r="41" spans="2:32" ht="23.1" customHeight="1" x14ac:dyDescent="0.25">
      <c r="B41" s="45" t="s">
        <v>68</v>
      </c>
      <c r="C41" s="50">
        <v>5</v>
      </c>
      <c r="D41" s="50">
        <v>1</v>
      </c>
      <c r="E41" s="50">
        <v>3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41</v>
      </c>
      <c r="N41" s="50">
        <v>0</v>
      </c>
      <c r="O41" s="15">
        <f t="shared" si="0"/>
        <v>10</v>
      </c>
      <c r="P41" s="15">
        <f t="shared" si="1"/>
        <v>51</v>
      </c>
      <c r="R41" s="5" t="s">
        <v>159</v>
      </c>
      <c r="S41" s="16">
        <f>SUM(S10:S33)</f>
        <v>399</v>
      </c>
      <c r="T41" s="16">
        <f t="shared" ref="T41:AF41" si="33">SUM(T10:T33)</f>
        <v>42</v>
      </c>
      <c r="U41" s="16">
        <f t="shared" si="33"/>
        <v>131</v>
      </c>
      <c r="V41" s="16">
        <f t="shared" si="33"/>
        <v>59</v>
      </c>
      <c r="W41" s="16">
        <f t="shared" si="33"/>
        <v>5</v>
      </c>
      <c r="X41" s="16">
        <f t="shared" si="33"/>
        <v>10</v>
      </c>
      <c r="Y41" s="16">
        <f t="shared" si="33"/>
        <v>54</v>
      </c>
      <c r="Z41" s="16">
        <f t="shared" si="33"/>
        <v>48</v>
      </c>
      <c r="AA41" s="16">
        <f t="shared" si="33"/>
        <v>5</v>
      </c>
      <c r="AB41" s="16">
        <f t="shared" si="33"/>
        <v>22</v>
      </c>
      <c r="AC41" s="16">
        <f t="shared" si="33"/>
        <v>2157</v>
      </c>
      <c r="AD41" s="16">
        <f t="shared" si="33"/>
        <v>8</v>
      </c>
      <c r="AE41" s="32">
        <f t="shared" si="33"/>
        <v>783</v>
      </c>
      <c r="AF41" s="32">
        <f t="shared" si="33"/>
        <v>2940</v>
      </c>
    </row>
    <row r="42" spans="2:32" ht="23.1" customHeight="1" x14ac:dyDescent="0.25">
      <c r="B42" s="46" t="s">
        <v>69</v>
      </c>
      <c r="C42" s="50">
        <v>12</v>
      </c>
      <c r="D42" s="50">
        <v>2</v>
      </c>
      <c r="E42" s="50">
        <v>6</v>
      </c>
      <c r="F42" s="50">
        <v>0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31</v>
      </c>
      <c r="N42" s="50">
        <v>0</v>
      </c>
      <c r="O42" s="15">
        <f t="shared" si="0"/>
        <v>24</v>
      </c>
      <c r="P42" s="15">
        <f t="shared" si="1"/>
        <v>55</v>
      </c>
      <c r="R42" s="5" t="s">
        <v>160</v>
      </c>
      <c r="S42" s="48">
        <f>S41/S40</f>
        <v>1.2626582278481013</v>
      </c>
      <c r="T42" s="48">
        <f t="shared" ref="T42:AF42" si="34">T41/T40</f>
        <v>1</v>
      </c>
      <c r="U42" s="48">
        <f t="shared" si="34"/>
        <v>1</v>
      </c>
      <c r="V42" s="48">
        <f t="shared" si="34"/>
        <v>1.1568627450980393</v>
      </c>
      <c r="W42" s="48">
        <f t="shared" si="34"/>
        <v>1.25</v>
      </c>
      <c r="X42" s="48">
        <f t="shared" si="34"/>
        <v>3.3333333333333335</v>
      </c>
      <c r="Y42" s="48">
        <f t="shared" si="34"/>
        <v>1.2</v>
      </c>
      <c r="Z42" s="48">
        <f t="shared" si="34"/>
        <v>1.0666666666666667</v>
      </c>
      <c r="AA42" s="48">
        <f t="shared" si="34"/>
        <v>5</v>
      </c>
      <c r="AB42" s="48">
        <f t="shared" si="34"/>
        <v>1.375</v>
      </c>
      <c r="AC42" s="48">
        <f t="shared" si="34"/>
        <v>1.411649214659686</v>
      </c>
      <c r="AD42" s="48">
        <f t="shared" si="34"/>
        <v>1</v>
      </c>
      <c r="AE42" s="48">
        <f t="shared" si="34"/>
        <v>1.1827794561933536</v>
      </c>
      <c r="AF42" s="48">
        <f t="shared" si="34"/>
        <v>1.3424657534246576</v>
      </c>
    </row>
    <row r="43" spans="2:32" ht="23.1" customHeight="1" x14ac:dyDescent="0.25">
      <c r="B43" s="45" t="s">
        <v>70</v>
      </c>
      <c r="C43" s="50">
        <v>5</v>
      </c>
      <c r="D43" s="50">
        <v>3</v>
      </c>
      <c r="E43" s="50">
        <v>7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3</v>
      </c>
      <c r="M43" s="50">
        <v>32</v>
      </c>
      <c r="N43" s="50">
        <v>0</v>
      </c>
      <c r="O43" s="15">
        <f t="shared" si="0"/>
        <v>19</v>
      </c>
      <c r="P43" s="15">
        <f t="shared" si="1"/>
        <v>51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5</v>
      </c>
      <c r="P44" s="15">
        <f t="shared" si="1"/>
        <v>20</v>
      </c>
    </row>
    <row r="45" spans="2:32" ht="23.1" customHeight="1" x14ac:dyDescent="0.25">
      <c r="B45" s="45" t="s">
        <v>72</v>
      </c>
      <c r="C45" s="50">
        <v>8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17</v>
      </c>
      <c r="N45" s="50">
        <v>0</v>
      </c>
      <c r="O45" s="15">
        <f t="shared" si="0"/>
        <v>11</v>
      </c>
      <c r="P45" s="15">
        <f t="shared" si="1"/>
        <v>28</v>
      </c>
    </row>
    <row r="46" spans="2:32" ht="23.1" customHeight="1" x14ac:dyDescent="0.25">
      <c r="B46" s="46" t="s">
        <v>73</v>
      </c>
      <c r="C46" s="50">
        <v>8</v>
      </c>
      <c r="D46" s="50">
        <v>2</v>
      </c>
      <c r="E46" s="50">
        <v>5</v>
      </c>
      <c r="F46" s="50">
        <v>2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22</v>
      </c>
      <c r="N46" s="50">
        <v>0</v>
      </c>
      <c r="O46" s="15">
        <f t="shared" si="0"/>
        <v>19</v>
      </c>
      <c r="P46" s="15">
        <f t="shared" si="1"/>
        <v>41</v>
      </c>
      <c r="R46" s="8"/>
      <c r="T46"/>
    </row>
    <row r="47" spans="2:32" ht="23.1" customHeight="1" x14ac:dyDescent="0.25">
      <c r="B47" s="46" t="s">
        <v>74</v>
      </c>
      <c r="C47" s="50">
        <v>7</v>
      </c>
      <c r="D47" s="50">
        <v>1</v>
      </c>
      <c r="E47" s="50">
        <v>4</v>
      </c>
      <c r="F47" s="50">
        <v>2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27</v>
      </c>
      <c r="N47" s="50">
        <v>0</v>
      </c>
      <c r="O47" s="15">
        <f t="shared" si="0"/>
        <v>16</v>
      </c>
      <c r="P47" s="15">
        <f t="shared" si="1"/>
        <v>43</v>
      </c>
      <c r="R47" s="8"/>
      <c r="T47"/>
    </row>
    <row r="48" spans="2:32" ht="23.1" customHeight="1" x14ac:dyDescent="0.25">
      <c r="B48" s="46" t="s">
        <v>75</v>
      </c>
      <c r="C48" s="50">
        <v>12</v>
      </c>
      <c r="D48" s="50">
        <v>1</v>
      </c>
      <c r="E48" s="50">
        <v>3</v>
      </c>
      <c r="F48" s="50">
        <v>1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1</v>
      </c>
      <c r="M48" s="50">
        <v>30</v>
      </c>
      <c r="N48" s="50">
        <v>0</v>
      </c>
      <c r="O48" s="15">
        <f t="shared" si="0"/>
        <v>20</v>
      </c>
      <c r="P48" s="15">
        <f t="shared" si="1"/>
        <v>50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0</v>
      </c>
      <c r="E49" s="50">
        <v>3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1</v>
      </c>
      <c r="M49" s="50">
        <v>34</v>
      </c>
      <c r="N49" s="50">
        <v>0</v>
      </c>
      <c r="O49" s="15">
        <f t="shared" si="0"/>
        <v>10</v>
      </c>
      <c r="P49" s="15">
        <f t="shared" si="1"/>
        <v>44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4</v>
      </c>
      <c r="F50" s="50">
        <v>1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31</v>
      </c>
      <c r="N50" s="50">
        <v>0</v>
      </c>
      <c r="O50" s="15">
        <f t="shared" si="0"/>
        <v>13</v>
      </c>
      <c r="P50" s="15">
        <f t="shared" si="1"/>
        <v>44</v>
      </c>
      <c r="R50" s="8"/>
      <c r="T50"/>
    </row>
    <row r="51" spans="2:20" ht="23.1" customHeight="1" x14ac:dyDescent="0.25">
      <c r="B51" s="46" t="s">
        <v>78</v>
      </c>
      <c r="C51" s="50">
        <v>14</v>
      </c>
      <c r="D51" s="50">
        <v>1</v>
      </c>
      <c r="E51" s="50">
        <v>3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32</v>
      </c>
      <c r="N51" s="50">
        <v>0</v>
      </c>
      <c r="O51" s="15">
        <f t="shared" si="0"/>
        <v>19</v>
      </c>
      <c r="P51" s="15">
        <f t="shared" si="1"/>
        <v>51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1</v>
      </c>
      <c r="E52" s="50">
        <v>5</v>
      </c>
      <c r="F52" s="50">
        <v>0</v>
      </c>
      <c r="G52" s="50">
        <v>0</v>
      </c>
      <c r="H52" s="50">
        <v>1</v>
      </c>
      <c r="I52" s="50">
        <v>0</v>
      </c>
      <c r="J52" s="50">
        <v>3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13</v>
      </c>
      <c r="P52" s="15">
        <f t="shared" si="1"/>
        <v>58</v>
      </c>
      <c r="R52" s="8"/>
      <c r="T52"/>
    </row>
    <row r="53" spans="2:20" ht="23.1" customHeight="1" x14ac:dyDescent="0.25">
      <c r="B53" s="45" t="s">
        <v>80</v>
      </c>
      <c r="C53" s="50">
        <v>10</v>
      </c>
      <c r="D53" s="50">
        <v>2</v>
      </c>
      <c r="E53" s="50">
        <v>6</v>
      </c>
      <c r="F53" s="50">
        <v>0</v>
      </c>
      <c r="G53" s="50">
        <v>0</v>
      </c>
      <c r="H53" s="50">
        <v>0</v>
      </c>
      <c r="I53" s="50">
        <v>2</v>
      </c>
      <c r="J53" s="50">
        <v>4</v>
      </c>
      <c r="K53" s="50">
        <v>0</v>
      </c>
      <c r="L53" s="50">
        <v>0</v>
      </c>
      <c r="M53" s="50">
        <v>48</v>
      </c>
      <c r="N53" s="50">
        <v>0</v>
      </c>
      <c r="O53" s="15">
        <f t="shared" si="0"/>
        <v>24</v>
      </c>
      <c r="P53" s="15">
        <f t="shared" si="1"/>
        <v>72</v>
      </c>
      <c r="R53" s="8"/>
      <c r="T53"/>
    </row>
    <row r="54" spans="2:20" ht="23.1" customHeight="1" x14ac:dyDescent="0.25">
      <c r="B54" s="45" t="s">
        <v>81</v>
      </c>
      <c r="C54" s="50">
        <v>10</v>
      </c>
      <c r="D54" s="50">
        <v>0</v>
      </c>
      <c r="E54" s="50">
        <v>0</v>
      </c>
      <c r="F54" s="50">
        <v>0</v>
      </c>
      <c r="G54" s="50">
        <v>1</v>
      </c>
      <c r="H54" s="50">
        <v>1</v>
      </c>
      <c r="I54" s="50">
        <v>0</v>
      </c>
      <c r="J54" s="50">
        <v>0</v>
      </c>
      <c r="K54" s="50">
        <v>0</v>
      </c>
      <c r="L54" s="50">
        <v>0</v>
      </c>
      <c r="M54" s="50">
        <v>45</v>
      </c>
      <c r="N54" s="50">
        <v>0</v>
      </c>
      <c r="O54" s="15">
        <f t="shared" si="0"/>
        <v>12</v>
      </c>
      <c r="P54" s="15">
        <f t="shared" si="1"/>
        <v>57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1</v>
      </c>
      <c r="E55" s="50">
        <v>3</v>
      </c>
      <c r="F55" s="50">
        <v>0</v>
      </c>
      <c r="G55" s="50">
        <v>1</v>
      </c>
      <c r="H55" s="50">
        <v>1</v>
      </c>
      <c r="I55" s="50">
        <v>0</v>
      </c>
      <c r="J55" s="50">
        <v>4</v>
      </c>
      <c r="K55" s="50">
        <v>0</v>
      </c>
      <c r="L55" s="50">
        <v>0</v>
      </c>
      <c r="M55" s="50">
        <v>37</v>
      </c>
      <c r="N55" s="50">
        <v>0</v>
      </c>
      <c r="O55" s="15">
        <f t="shared" si="0"/>
        <v>12</v>
      </c>
      <c r="P55" s="15">
        <f t="shared" si="1"/>
        <v>49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4</v>
      </c>
      <c r="K56" s="50">
        <v>0</v>
      </c>
      <c r="L56" s="50">
        <v>0</v>
      </c>
      <c r="M56" s="50">
        <v>30</v>
      </c>
      <c r="N56" s="50">
        <v>0</v>
      </c>
      <c r="O56" s="15">
        <f t="shared" si="0"/>
        <v>10</v>
      </c>
      <c r="P56" s="15">
        <f t="shared" si="1"/>
        <v>40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15</v>
      </c>
      <c r="N57" s="50">
        <v>0</v>
      </c>
      <c r="O57" s="15">
        <f t="shared" si="0"/>
        <v>6</v>
      </c>
      <c r="P57" s="15">
        <f t="shared" si="1"/>
        <v>21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0</v>
      </c>
      <c r="E58" s="50">
        <v>0</v>
      </c>
      <c r="F58" s="50">
        <v>2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37</v>
      </c>
      <c r="N58" s="50">
        <v>0</v>
      </c>
      <c r="O58" s="15">
        <f t="shared" si="0"/>
        <v>15</v>
      </c>
      <c r="P58" s="15">
        <f t="shared" si="1"/>
        <v>52</v>
      </c>
      <c r="R58" s="8"/>
      <c r="T58"/>
    </row>
    <row r="59" spans="2:20" ht="23.1" customHeight="1" x14ac:dyDescent="0.25">
      <c r="B59" s="45" t="s">
        <v>100</v>
      </c>
      <c r="C59" s="50">
        <v>11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0</v>
      </c>
      <c r="M59" s="50">
        <v>70</v>
      </c>
      <c r="N59" s="50">
        <v>0</v>
      </c>
      <c r="O59" s="15">
        <f t="shared" si="0"/>
        <v>13</v>
      </c>
      <c r="P59" s="15">
        <f t="shared" si="1"/>
        <v>83</v>
      </c>
      <c r="R59" s="8"/>
      <c r="T59"/>
    </row>
    <row r="60" spans="2:20" ht="23.1" customHeight="1" x14ac:dyDescent="0.25">
      <c r="B60" s="45" t="s">
        <v>101</v>
      </c>
      <c r="C60" s="50">
        <v>10</v>
      </c>
      <c r="D60" s="50">
        <v>0</v>
      </c>
      <c r="E60" s="50">
        <v>0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58</v>
      </c>
      <c r="N60" s="50">
        <v>0</v>
      </c>
      <c r="O60" s="15">
        <f t="shared" si="0"/>
        <v>12</v>
      </c>
      <c r="P60" s="15">
        <f t="shared" si="1"/>
        <v>70</v>
      </c>
      <c r="R60" s="8"/>
      <c r="T60"/>
    </row>
    <row r="61" spans="2:20" ht="23.1" customHeight="1" x14ac:dyDescent="0.25">
      <c r="B61" s="45" t="s">
        <v>102</v>
      </c>
      <c r="C61" s="50">
        <v>13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51</v>
      </c>
      <c r="N61" s="50">
        <v>0</v>
      </c>
      <c r="O61" s="15">
        <f t="shared" si="0"/>
        <v>13</v>
      </c>
      <c r="P61" s="15">
        <f t="shared" si="1"/>
        <v>64</v>
      </c>
      <c r="R61" s="8"/>
      <c r="T61"/>
    </row>
    <row r="62" spans="2:20" ht="23.1" customHeight="1" x14ac:dyDescent="0.25">
      <c r="B62" s="45" t="s">
        <v>107</v>
      </c>
      <c r="C62" s="50">
        <v>11</v>
      </c>
      <c r="D62" s="50">
        <v>0</v>
      </c>
      <c r="E62" s="50">
        <v>0</v>
      </c>
      <c r="F62" s="50">
        <v>1</v>
      </c>
      <c r="G62" s="50">
        <v>0</v>
      </c>
      <c r="H62" s="50">
        <v>1</v>
      </c>
      <c r="I62" s="50">
        <v>1</v>
      </c>
      <c r="J62" s="50">
        <v>0</v>
      </c>
      <c r="K62" s="50">
        <v>0</v>
      </c>
      <c r="L62" s="50">
        <v>0</v>
      </c>
      <c r="M62" s="50">
        <v>48</v>
      </c>
      <c r="N62" s="50">
        <v>0</v>
      </c>
      <c r="O62" s="15">
        <f t="shared" si="0"/>
        <v>14</v>
      </c>
      <c r="P62" s="15">
        <f t="shared" si="1"/>
        <v>62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2</v>
      </c>
      <c r="J63" s="50">
        <v>0</v>
      </c>
      <c r="K63" s="50">
        <v>1</v>
      </c>
      <c r="L63" s="50">
        <v>0</v>
      </c>
      <c r="M63" s="50">
        <v>50</v>
      </c>
      <c r="N63" s="50">
        <v>0</v>
      </c>
      <c r="O63" s="15">
        <f t="shared" si="0"/>
        <v>7</v>
      </c>
      <c r="P63" s="15">
        <f t="shared" si="1"/>
        <v>57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1</v>
      </c>
      <c r="L64" s="50">
        <v>0</v>
      </c>
      <c r="M64" s="50">
        <v>31</v>
      </c>
      <c r="N64" s="50">
        <v>0</v>
      </c>
      <c r="O64" s="15">
        <f t="shared" si="0"/>
        <v>5</v>
      </c>
      <c r="P64" s="15">
        <f t="shared" si="1"/>
        <v>36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30</v>
      </c>
      <c r="N65" s="50">
        <v>0</v>
      </c>
      <c r="O65" s="15">
        <f t="shared" si="0"/>
        <v>3</v>
      </c>
      <c r="P65" s="15">
        <f t="shared" si="1"/>
        <v>33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1</v>
      </c>
      <c r="M66" s="50">
        <v>29</v>
      </c>
      <c r="N66" s="50">
        <v>0</v>
      </c>
      <c r="O66" s="15">
        <f t="shared" si="0"/>
        <v>3</v>
      </c>
      <c r="P66" s="15">
        <f t="shared" si="1"/>
        <v>32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21</v>
      </c>
      <c r="N67" s="50">
        <v>0</v>
      </c>
      <c r="O67" s="15">
        <f t="shared" si="0"/>
        <v>1</v>
      </c>
      <c r="P67" s="15">
        <f t="shared" si="1"/>
        <v>22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24</v>
      </c>
      <c r="N68" s="50">
        <v>0</v>
      </c>
      <c r="O68" s="15">
        <f t="shared" si="0"/>
        <v>4</v>
      </c>
      <c r="P68" s="15">
        <f t="shared" si="1"/>
        <v>28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13</v>
      </c>
      <c r="N69" s="50">
        <v>0</v>
      </c>
      <c r="O69" s="15">
        <f t="shared" si="0"/>
        <v>1</v>
      </c>
      <c r="P69" s="15">
        <f t="shared" si="1"/>
        <v>14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13</v>
      </c>
      <c r="N70" s="50">
        <v>0</v>
      </c>
      <c r="O70" s="15">
        <f t="shared" si="0"/>
        <v>5</v>
      </c>
      <c r="P70" s="15">
        <f t="shared" si="1"/>
        <v>18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5</v>
      </c>
      <c r="N71" s="50">
        <v>0</v>
      </c>
      <c r="O71" s="15">
        <f t="shared" si="0"/>
        <v>1</v>
      </c>
      <c r="P71" s="15">
        <f t="shared" si="1"/>
        <v>6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9</v>
      </c>
      <c r="N72" s="50">
        <v>0</v>
      </c>
      <c r="O72" s="15">
        <f t="shared" si="0"/>
        <v>2</v>
      </c>
      <c r="P72" s="15">
        <f t="shared" si="1"/>
        <v>11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8</v>
      </c>
      <c r="N73" s="50">
        <v>0</v>
      </c>
      <c r="O73" s="15">
        <f t="shared" si="0"/>
        <v>0</v>
      </c>
      <c r="P73" s="15">
        <f t="shared" si="1"/>
        <v>8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7</v>
      </c>
      <c r="N75" s="50">
        <v>0</v>
      </c>
      <c r="O75" s="15">
        <f t="shared" si="35"/>
        <v>0</v>
      </c>
      <c r="P75" s="15">
        <f t="shared" si="36"/>
        <v>7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12</v>
      </c>
      <c r="N76" s="50">
        <v>0</v>
      </c>
      <c r="O76" s="15">
        <f t="shared" si="35"/>
        <v>0</v>
      </c>
      <c r="P76" s="15">
        <f t="shared" si="36"/>
        <v>12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</v>
      </c>
      <c r="N77" s="50">
        <v>0</v>
      </c>
      <c r="O77" s="15">
        <f t="shared" si="35"/>
        <v>1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5</v>
      </c>
      <c r="N78" s="50">
        <v>0</v>
      </c>
      <c r="O78" s="15">
        <f t="shared" si="35"/>
        <v>0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10</v>
      </c>
      <c r="N79" s="50">
        <v>0</v>
      </c>
      <c r="O79" s="15">
        <f t="shared" si="35"/>
        <v>0</v>
      </c>
      <c r="P79" s="15">
        <f t="shared" si="36"/>
        <v>10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5">
        <f t="shared" si="35"/>
        <v>1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1</v>
      </c>
      <c r="M81" s="50">
        <v>2</v>
      </c>
      <c r="N81" s="50"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0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2</v>
      </c>
      <c r="N84" s="50">
        <v>0</v>
      </c>
      <c r="O84" s="15">
        <f t="shared" si="35"/>
        <v>1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1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1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0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2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1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5"/>
        <v>1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3</v>
      </c>
      <c r="I100" s="50">
        <v>0</v>
      </c>
      <c r="J100" s="50">
        <v>0</v>
      </c>
      <c r="K100" s="50">
        <v>0</v>
      </c>
      <c r="L100" s="50">
        <v>1</v>
      </c>
      <c r="M100" s="50">
        <v>3</v>
      </c>
      <c r="N100" s="50">
        <v>0</v>
      </c>
      <c r="O100" s="15">
        <f t="shared" si="35"/>
        <v>4</v>
      </c>
      <c r="P100" s="15">
        <f t="shared" si="36"/>
        <v>7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1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8</v>
      </c>
      <c r="N102" s="50">
        <v>0</v>
      </c>
      <c r="O102" s="15">
        <f t="shared" si="35"/>
        <v>0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11</v>
      </c>
      <c r="N103" s="50">
        <v>0</v>
      </c>
      <c r="O103" s="15">
        <f t="shared" si="35"/>
        <v>0</v>
      </c>
      <c r="P103" s="15">
        <f t="shared" si="36"/>
        <v>11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1</v>
      </c>
      <c r="K104" s="50">
        <v>2</v>
      </c>
      <c r="L104" s="50">
        <v>1</v>
      </c>
      <c r="M104" s="50">
        <v>11</v>
      </c>
      <c r="N104" s="50">
        <v>0</v>
      </c>
      <c r="O104" s="15">
        <f t="shared" si="35"/>
        <v>4</v>
      </c>
      <c r="P104" s="15">
        <f t="shared" si="36"/>
        <v>15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1</v>
      </c>
      <c r="M105" s="50">
        <v>18</v>
      </c>
      <c r="N105" s="50">
        <v>0</v>
      </c>
      <c r="O105" s="15">
        <f t="shared" si="35"/>
        <v>2</v>
      </c>
      <c r="P105" s="15">
        <f t="shared" si="36"/>
        <v>20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399</v>
      </c>
      <c r="D106" s="16">
        <f t="shared" ref="D106:P106" si="37">SUM(D10:D105)</f>
        <v>42</v>
      </c>
      <c r="E106" s="16">
        <f t="shared" si="37"/>
        <v>131</v>
      </c>
      <c r="F106" s="16">
        <f t="shared" si="37"/>
        <v>59</v>
      </c>
      <c r="G106" s="16">
        <f t="shared" si="37"/>
        <v>5</v>
      </c>
      <c r="H106" s="16">
        <f t="shared" si="37"/>
        <v>10</v>
      </c>
      <c r="I106" s="16">
        <f t="shared" si="37"/>
        <v>54</v>
      </c>
      <c r="J106" s="16">
        <f t="shared" si="37"/>
        <v>48</v>
      </c>
      <c r="K106" s="16">
        <f t="shared" si="37"/>
        <v>5</v>
      </c>
      <c r="L106" s="16">
        <f t="shared" si="37"/>
        <v>22</v>
      </c>
      <c r="M106" s="16">
        <f t="shared" si="37"/>
        <v>2157</v>
      </c>
      <c r="N106" s="16">
        <f t="shared" si="37"/>
        <v>8</v>
      </c>
      <c r="O106" s="16">
        <f t="shared" si="37"/>
        <v>783</v>
      </c>
      <c r="P106" s="16">
        <f t="shared" si="37"/>
        <v>2940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0.1357142857142857</v>
      </c>
      <c r="D107" s="43">
        <f t="shared" si="38"/>
        <v>1.4285714285714285E-2</v>
      </c>
      <c r="E107" s="43">
        <f t="shared" si="38"/>
        <v>4.4557823129251703E-2</v>
      </c>
      <c r="F107" s="43">
        <f t="shared" si="38"/>
        <v>2.0068027210884354E-2</v>
      </c>
      <c r="G107" s="43">
        <f t="shared" si="38"/>
        <v>1.7006802721088435E-3</v>
      </c>
      <c r="H107" s="43">
        <f t="shared" si="38"/>
        <v>3.4013605442176869E-3</v>
      </c>
      <c r="I107" s="43">
        <f t="shared" si="38"/>
        <v>1.8367346938775512E-2</v>
      </c>
      <c r="J107" s="43">
        <f t="shared" si="38"/>
        <v>1.6326530612244899E-2</v>
      </c>
      <c r="K107" s="43">
        <f t="shared" si="38"/>
        <v>1.7006802721088435E-3</v>
      </c>
      <c r="L107" s="43">
        <f t="shared" si="38"/>
        <v>7.4829931972789114E-3</v>
      </c>
      <c r="M107" s="43">
        <f t="shared" si="38"/>
        <v>0.73367346938775513</v>
      </c>
      <c r="N107" s="43">
        <f t="shared" si="38"/>
        <v>2.7210884353741495E-3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0.50957854406130265</v>
      </c>
      <c r="D108" s="44">
        <f t="shared" ref="D108:N108" si="39">D106/$O$106</f>
        <v>5.3639846743295021E-2</v>
      </c>
      <c r="E108" s="44">
        <f t="shared" si="39"/>
        <v>0.1673052362707535</v>
      </c>
      <c r="F108" s="44">
        <f t="shared" si="39"/>
        <v>7.5351213282247767E-2</v>
      </c>
      <c r="G108" s="44">
        <f t="shared" si="39"/>
        <v>6.3856960408684551E-3</v>
      </c>
      <c r="H108" s="44">
        <f t="shared" si="39"/>
        <v>1.277139208173691E-2</v>
      </c>
      <c r="I108" s="44">
        <f t="shared" si="39"/>
        <v>6.8965517241379309E-2</v>
      </c>
      <c r="J108" s="44">
        <f t="shared" si="39"/>
        <v>6.1302681992337162E-2</v>
      </c>
      <c r="K108" s="44">
        <f t="shared" si="39"/>
        <v>6.3856960408684551E-3</v>
      </c>
      <c r="L108" s="44">
        <f t="shared" si="39"/>
        <v>2.8097062579821201E-2</v>
      </c>
      <c r="M108" s="44"/>
      <c r="N108" s="44">
        <f t="shared" si="39"/>
        <v>1.0217113665389528E-2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0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6" t="str">
        <f>'02.08 Arua-Koboko-24h'!G5:H5</f>
        <v>xxx</v>
      </c>
      <c r="H5" s="67"/>
      <c r="I5" s="14"/>
      <c r="J5" s="2" t="s">
        <v>5</v>
      </c>
      <c r="K5" s="66" t="str">
        <f>'02.08 Arua-Koboko-24h'!K5:L5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Koboko-Arua'!D6:E6</f>
        <v>Koboko</v>
      </c>
      <c r="E6" s="67"/>
      <c r="F6" s="2" t="s">
        <v>2</v>
      </c>
      <c r="G6" s="66" t="str">
        <f>'31.07 Koboko-Arua'!G6:H6</f>
        <v>Arua</v>
      </c>
      <c r="H6" s="67"/>
      <c r="J6" s="2" t="s">
        <v>21</v>
      </c>
      <c r="K6" s="66" t="str">
        <f>'02.08 Arua-Koboko-24h'!K6:L6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28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5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160</v>
      </c>
      <c r="AD10" s="17">
        <f t="shared" si="2"/>
        <v>0</v>
      </c>
      <c r="AE10" s="31">
        <f t="shared" si="2"/>
        <v>20</v>
      </c>
      <c r="AF10" s="31">
        <f t="shared" si="2"/>
        <v>180</v>
      </c>
    </row>
    <row r="11" spans="2:32" s="6" customFormat="1" ht="23.1" customHeight="1" x14ac:dyDescent="0.25">
      <c r="B11" s="45" t="s">
        <v>38</v>
      </c>
      <c r="C11" s="50">
        <v>1</v>
      </c>
      <c r="D11" s="50">
        <v>1</v>
      </c>
      <c r="E11" s="50">
        <v>5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48</v>
      </c>
      <c r="N11" s="50">
        <v>0</v>
      </c>
      <c r="O11" s="15">
        <f t="shared" si="0"/>
        <v>7</v>
      </c>
      <c r="P11" s="15">
        <f t="shared" si="1"/>
        <v>55</v>
      </c>
      <c r="R11" s="1" t="s">
        <v>7</v>
      </c>
      <c r="S11" s="17">
        <f t="shared" ref="S11:AF11" si="3">SUM(C14:C17)</f>
        <v>22</v>
      </c>
      <c r="T11" s="17">
        <f t="shared" si="3"/>
        <v>1</v>
      </c>
      <c r="U11" s="17">
        <f t="shared" si="3"/>
        <v>5</v>
      </c>
      <c r="V11" s="17">
        <f t="shared" si="3"/>
        <v>13</v>
      </c>
      <c r="W11" s="17">
        <f t="shared" si="3"/>
        <v>0</v>
      </c>
      <c r="X11" s="17">
        <f t="shared" si="3"/>
        <v>1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147</v>
      </c>
      <c r="AD11" s="17">
        <f t="shared" si="3"/>
        <v>0</v>
      </c>
      <c r="AE11" s="31">
        <f t="shared" si="3"/>
        <v>48</v>
      </c>
      <c r="AF11" s="31">
        <f t="shared" si="3"/>
        <v>195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35</v>
      </c>
      <c r="N12" s="50">
        <v>0</v>
      </c>
      <c r="O12" s="15">
        <f t="shared" si="0"/>
        <v>5</v>
      </c>
      <c r="P12" s="15">
        <f t="shared" si="1"/>
        <v>40</v>
      </c>
      <c r="R12" s="1" t="s">
        <v>8</v>
      </c>
      <c r="S12" s="17">
        <f t="shared" ref="S12:AF12" si="4">SUM(C18:C21)</f>
        <v>30</v>
      </c>
      <c r="T12" s="17">
        <f t="shared" si="4"/>
        <v>4</v>
      </c>
      <c r="U12" s="17">
        <f t="shared" si="4"/>
        <v>14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156</v>
      </c>
      <c r="AD12" s="17">
        <f t="shared" si="4"/>
        <v>0</v>
      </c>
      <c r="AE12" s="31">
        <f t="shared" si="4"/>
        <v>62</v>
      </c>
      <c r="AF12" s="31">
        <f t="shared" si="4"/>
        <v>218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55</v>
      </c>
      <c r="N13" s="50">
        <v>0</v>
      </c>
      <c r="O13" s="15">
        <f t="shared" si="0"/>
        <v>2</v>
      </c>
      <c r="P13" s="15">
        <f t="shared" si="1"/>
        <v>57</v>
      </c>
      <c r="R13" s="1" t="s">
        <v>9</v>
      </c>
      <c r="S13" s="17">
        <f t="shared" ref="S13:AF13" si="5">SUM(C22:C25)</f>
        <v>36</v>
      </c>
      <c r="T13" s="17">
        <f t="shared" si="5"/>
        <v>7</v>
      </c>
      <c r="U13" s="17">
        <f t="shared" si="5"/>
        <v>18</v>
      </c>
      <c r="V13" s="17">
        <f t="shared" si="5"/>
        <v>7</v>
      </c>
      <c r="W13" s="17">
        <f t="shared" si="5"/>
        <v>1</v>
      </c>
      <c r="X13" s="17">
        <f t="shared" si="5"/>
        <v>0</v>
      </c>
      <c r="Y13" s="17">
        <f t="shared" si="5"/>
        <v>16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204</v>
      </c>
      <c r="AD13" s="17">
        <f t="shared" si="5"/>
        <v>0</v>
      </c>
      <c r="AE13" s="31">
        <f t="shared" si="5"/>
        <v>87</v>
      </c>
      <c r="AF13" s="31">
        <f t="shared" si="5"/>
        <v>291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0</v>
      </c>
      <c r="F14" s="50">
        <v>6</v>
      </c>
      <c r="G14" s="50">
        <v>0</v>
      </c>
      <c r="H14" s="50">
        <v>1</v>
      </c>
      <c r="I14" s="50">
        <v>1</v>
      </c>
      <c r="J14" s="50">
        <v>0</v>
      </c>
      <c r="K14" s="50">
        <v>0</v>
      </c>
      <c r="L14" s="50">
        <v>0</v>
      </c>
      <c r="M14" s="50">
        <v>36</v>
      </c>
      <c r="N14" s="50">
        <v>0</v>
      </c>
      <c r="O14" s="15">
        <f t="shared" si="0"/>
        <v>11</v>
      </c>
      <c r="P14" s="15">
        <f t="shared" si="1"/>
        <v>47</v>
      </c>
      <c r="R14" s="1" t="s">
        <v>10</v>
      </c>
      <c r="S14" s="17">
        <f t="shared" ref="S14:AF14" si="6">SUM(C26:C29)</f>
        <v>34</v>
      </c>
      <c r="T14" s="17">
        <f t="shared" si="6"/>
        <v>2</v>
      </c>
      <c r="U14" s="17">
        <f t="shared" si="6"/>
        <v>8</v>
      </c>
      <c r="V14" s="17">
        <f t="shared" si="6"/>
        <v>1</v>
      </c>
      <c r="W14" s="17">
        <f t="shared" si="6"/>
        <v>1</v>
      </c>
      <c r="X14" s="17">
        <f t="shared" si="6"/>
        <v>2</v>
      </c>
      <c r="Y14" s="17">
        <f t="shared" si="6"/>
        <v>11</v>
      </c>
      <c r="Z14" s="17">
        <f t="shared" si="6"/>
        <v>6</v>
      </c>
      <c r="AA14" s="17">
        <f t="shared" si="6"/>
        <v>0</v>
      </c>
      <c r="AB14" s="17">
        <f t="shared" si="6"/>
        <v>0</v>
      </c>
      <c r="AC14" s="17">
        <f t="shared" si="6"/>
        <v>165</v>
      </c>
      <c r="AD14" s="17">
        <f t="shared" si="6"/>
        <v>0</v>
      </c>
      <c r="AE14" s="31">
        <f t="shared" si="6"/>
        <v>65</v>
      </c>
      <c r="AF14" s="31">
        <f t="shared" si="6"/>
        <v>230</v>
      </c>
    </row>
    <row r="15" spans="2:32" ht="23.1" customHeight="1" x14ac:dyDescent="0.25">
      <c r="B15" s="45" t="s">
        <v>42</v>
      </c>
      <c r="C15" s="50">
        <v>7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30</v>
      </c>
      <c r="N15" s="50">
        <v>0</v>
      </c>
      <c r="O15" s="15">
        <f t="shared" si="0"/>
        <v>11</v>
      </c>
      <c r="P15" s="15">
        <f t="shared" si="1"/>
        <v>41</v>
      </c>
      <c r="R15" s="1" t="s">
        <v>11</v>
      </c>
      <c r="S15" s="17">
        <f t="shared" ref="S15:AF15" si="7">SUM(C30:C33)</f>
        <v>36</v>
      </c>
      <c r="T15" s="17">
        <f t="shared" si="7"/>
        <v>6</v>
      </c>
      <c r="U15" s="17">
        <f t="shared" si="7"/>
        <v>20</v>
      </c>
      <c r="V15" s="17">
        <f t="shared" si="7"/>
        <v>3</v>
      </c>
      <c r="W15" s="17">
        <f t="shared" si="7"/>
        <v>0</v>
      </c>
      <c r="X15" s="17">
        <f t="shared" si="7"/>
        <v>2</v>
      </c>
      <c r="Y15" s="17">
        <f t="shared" si="7"/>
        <v>9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178</v>
      </c>
      <c r="AD15" s="17">
        <f t="shared" si="7"/>
        <v>0</v>
      </c>
      <c r="AE15" s="31">
        <f t="shared" si="7"/>
        <v>80</v>
      </c>
      <c r="AF15" s="31">
        <f t="shared" si="7"/>
        <v>258</v>
      </c>
    </row>
    <row r="16" spans="2:32" ht="23.1" customHeight="1" x14ac:dyDescent="0.25">
      <c r="B16" s="45" t="s">
        <v>43</v>
      </c>
      <c r="C16" s="50">
        <v>5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45</v>
      </c>
      <c r="N16" s="50">
        <v>0</v>
      </c>
      <c r="O16" s="15">
        <f t="shared" si="0"/>
        <v>9</v>
      </c>
      <c r="P16" s="15">
        <f t="shared" si="1"/>
        <v>54</v>
      </c>
      <c r="R16" s="1" t="s">
        <v>12</v>
      </c>
      <c r="S16" s="17">
        <f t="shared" ref="S16:AF16" si="8">SUM(C34:C37)</f>
        <v>31</v>
      </c>
      <c r="T16" s="17">
        <f t="shared" si="8"/>
        <v>5</v>
      </c>
      <c r="U16" s="17">
        <f t="shared" si="8"/>
        <v>16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1</v>
      </c>
      <c r="AA16" s="17">
        <f t="shared" si="8"/>
        <v>0</v>
      </c>
      <c r="AB16" s="17">
        <f t="shared" si="8"/>
        <v>2</v>
      </c>
      <c r="AC16" s="17">
        <f t="shared" si="8"/>
        <v>145</v>
      </c>
      <c r="AD16" s="17">
        <f t="shared" si="8"/>
        <v>0</v>
      </c>
      <c r="AE16" s="31">
        <f t="shared" si="8"/>
        <v>68</v>
      </c>
      <c r="AF16" s="31">
        <f t="shared" si="8"/>
        <v>213</v>
      </c>
    </row>
    <row r="17" spans="2:32" ht="23.1" customHeight="1" x14ac:dyDescent="0.25">
      <c r="B17" s="45" t="s">
        <v>44</v>
      </c>
      <c r="C17" s="50">
        <v>7</v>
      </c>
      <c r="D17" s="50">
        <v>1</v>
      </c>
      <c r="E17" s="50">
        <v>5</v>
      </c>
      <c r="F17" s="50">
        <v>3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36</v>
      </c>
      <c r="N17" s="50">
        <v>0</v>
      </c>
      <c r="O17" s="15">
        <f t="shared" si="0"/>
        <v>17</v>
      </c>
      <c r="P17" s="15">
        <f t="shared" si="1"/>
        <v>53</v>
      </c>
      <c r="R17" s="1" t="s">
        <v>13</v>
      </c>
      <c r="S17" s="17">
        <f t="shared" ref="S17:AF17" si="9">SUM(C38:C41)</f>
        <v>23</v>
      </c>
      <c r="T17" s="17">
        <f t="shared" si="9"/>
        <v>6</v>
      </c>
      <c r="U17" s="17">
        <f t="shared" si="9"/>
        <v>22</v>
      </c>
      <c r="V17" s="17">
        <f t="shared" si="9"/>
        <v>5</v>
      </c>
      <c r="W17" s="17">
        <f t="shared" si="9"/>
        <v>0</v>
      </c>
      <c r="X17" s="17">
        <f t="shared" si="9"/>
        <v>1</v>
      </c>
      <c r="Y17" s="17">
        <f t="shared" si="9"/>
        <v>3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195</v>
      </c>
      <c r="AD17" s="17">
        <f t="shared" si="9"/>
        <v>0</v>
      </c>
      <c r="AE17" s="31">
        <f t="shared" si="9"/>
        <v>63</v>
      </c>
      <c r="AF17" s="31">
        <f t="shared" si="9"/>
        <v>258</v>
      </c>
    </row>
    <row r="18" spans="2:32" ht="23.1" customHeight="1" x14ac:dyDescent="0.25">
      <c r="B18" s="45" t="s">
        <v>45</v>
      </c>
      <c r="C18" s="50">
        <v>12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14</v>
      </c>
      <c r="P18" s="15">
        <f t="shared" si="1"/>
        <v>29</v>
      </c>
      <c r="R18" s="1" t="s">
        <v>14</v>
      </c>
      <c r="S18" s="17">
        <f t="shared" ref="S18:AF18" si="10">SUM(C42:C45)</f>
        <v>25</v>
      </c>
      <c r="T18" s="17">
        <f t="shared" si="10"/>
        <v>30</v>
      </c>
      <c r="U18" s="17">
        <f t="shared" si="10"/>
        <v>74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3</v>
      </c>
      <c r="Z18" s="17">
        <f t="shared" si="10"/>
        <v>4</v>
      </c>
      <c r="AA18" s="17">
        <f t="shared" si="10"/>
        <v>0</v>
      </c>
      <c r="AB18" s="17">
        <f t="shared" si="10"/>
        <v>2</v>
      </c>
      <c r="AC18" s="17">
        <f t="shared" si="10"/>
        <v>150</v>
      </c>
      <c r="AD18" s="17">
        <f t="shared" si="10"/>
        <v>0</v>
      </c>
      <c r="AE18" s="31">
        <f t="shared" si="10"/>
        <v>140</v>
      </c>
      <c r="AF18" s="31">
        <f t="shared" si="10"/>
        <v>290</v>
      </c>
    </row>
    <row r="19" spans="2:32" ht="23.1" customHeight="1" x14ac:dyDescent="0.25">
      <c r="B19" s="45" t="s">
        <v>46</v>
      </c>
      <c r="C19" s="50">
        <v>6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40</v>
      </c>
      <c r="N19" s="50">
        <v>0</v>
      </c>
      <c r="O19" s="15">
        <f t="shared" si="0"/>
        <v>9</v>
      </c>
      <c r="P19" s="15">
        <f t="shared" si="1"/>
        <v>49</v>
      </c>
      <c r="R19" s="1" t="s">
        <v>15</v>
      </c>
      <c r="S19" s="17">
        <f t="shared" ref="S19:AF19" si="11">SUM(C46:C49)</f>
        <v>21</v>
      </c>
      <c r="T19" s="17">
        <f t="shared" si="11"/>
        <v>6</v>
      </c>
      <c r="U19" s="17">
        <f t="shared" si="11"/>
        <v>15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137</v>
      </c>
      <c r="AD19" s="17">
        <f t="shared" si="11"/>
        <v>0</v>
      </c>
      <c r="AE19" s="31">
        <f t="shared" si="11"/>
        <v>51</v>
      </c>
      <c r="AF19" s="31">
        <f t="shared" si="11"/>
        <v>188</v>
      </c>
    </row>
    <row r="20" spans="2:32" ht="23.1" customHeight="1" x14ac:dyDescent="0.25">
      <c r="B20" s="45" t="s">
        <v>47</v>
      </c>
      <c r="C20" s="50">
        <v>7</v>
      </c>
      <c r="D20" s="50">
        <v>1</v>
      </c>
      <c r="E20" s="50">
        <v>4</v>
      </c>
      <c r="F20" s="50">
        <v>3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61</v>
      </c>
      <c r="N20" s="50">
        <v>0</v>
      </c>
      <c r="O20" s="15">
        <f t="shared" si="0"/>
        <v>20</v>
      </c>
      <c r="P20" s="15">
        <f t="shared" si="1"/>
        <v>81</v>
      </c>
      <c r="R20" s="1" t="s">
        <v>16</v>
      </c>
      <c r="S20" s="17">
        <f t="shared" ref="S20:AF20" si="12">SUM(C50:C53)</f>
        <v>28</v>
      </c>
      <c r="T20" s="17">
        <f t="shared" si="12"/>
        <v>5</v>
      </c>
      <c r="U20" s="17">
        <f t="shared" si="12"/>
        <v>16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2</v>
      </c>
      <c r="AA20" s="17">
        <f t="shared" si="12"/>
        <v>0</v>
      </c>
      <c r="AB20" s="17">
        <f t="shared" si="12"/>
        <v>1</v>
      </c>
      <c r="AC20" s="17">
        <f t="shared" si="12"/>
        <v>234</v>
      </c>
      <c r="AD20" s="17">
        <f t="shared" si="12"/>
        <v>0</v>
      </c>
      <c r="AE20" s="31">
        <f t="shared" si="12"/>
        <v>64</v>
      </c>
      <c r="AF20" s="31">
        <f t="shared" si="12"/>
        <v>298</v>
      </c>
    </row>
    <row r="21" spans="2:32" ht="23.1" customHeight="1" x14ac:dyDescent="0.25">
      <c r="B21" s="45" t="s">
        <v>48</v>
      </c>
      <c r="C21" s="50">
        <v>5</v>
      </c>
      <c r="D21" s="50">
        <v>3</v>
      </c>
      <c r="E21" s="50">
        <v>10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40</v>
      </c>
      <c r="N21" s="50">
        <v>0</v>
      </c>
      <c r="O21" s="15">
        <f t="shared" si="0"/>
        <v>19</v>
      </c>
      <c r="P21" s="15">
        <f t="shared" si="1"/>
        <v>59</v>
      </c>
      <c r="R21" s="36" t="s">
        <v>20</v>
      </c>
      <c r="S21" s="34">
        <f t="shared" ref="S21:AF21" si="13">SUM(C54:C57)</f>
        <v>21</v>
      </c>
      <c r="T21" s="17">
        <f t="shared" si="13"/>
        <v>4</v>
      </c>
      <c r="U21" s="17">
        <f t="shared" si="13"/>
        <v>11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135</v>
      </c>
      <c r="AD21" s="17">
        <f t="shared" si="13"/>
        <v>0</v>
      </c>
      <c r="AE21" s="31">
        <f t="shared" si="13"/>
        <v>43</v>
      </c>
      <c r="AF21" s="31">
        <f t="shared" si="13"/>
        <v>178</v>
      </c>
    </row>
    <row r="22" spans="2:32" ht="23.1" customHeight="1" x14ac:dyDescent="0.25">
      <c r="B22" s="45" t="s">
        <v>49</v>
      </c>
      <c r="C22" s="50">
        <v>10</v>
      </c>
      <c r="D22" s="50">
        <v>5</v>
      </c>
      <c r="E22" s="50">
        <v>13</v>
      </c>
      <c r="F22" s="50">
        <v>5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36</v>
      </c>
      <c r="N22" s="50">
        <v>0</v>
      </c>
      <c r="O22" s="15">
        <f t="shared" si="0"/>
        <v>35</v>
      </c>
      <c r="P22" s="15">
        <f t="shared" si="1"/>
        <v>71</v>
      </c>
      <c r="R22" s="36" t="s">
        <v>146</v>
      </c>
      <c r="S22" s="34">
        <f>SUM(C58:C61)</f>
        <v>40</v>
      </c>
      <c r="T22" s="34">
        <f t="shared" ref="T22:AF22" si="14">SUM(D58:D61)</f>
        <v>9</v>
      </c>
      <c r="U22" s="34">
        <f t="shared" si="14"/>
        <v>25</v>
      </c>
      <c r="V22" s="34">
        <f t="shared" si="14"/>
        <v>22</v>
      </c>
      <c r="W22" s="34">
        <f t="shared" si="14"/>
        <v>7</v>
      </c>
      <c r="X22" s="34">
        <f t="shared" si="14"/>
        <v>3</v>
      </c>
      <c r="Y22" s="34">
        <f t="shared" si="14"/>
        <v>14</v>
      </c>
      <c r="Z22" s="34">
        <f t="shared" si="14"/>
        <v>8</v>
      </c>
      <c r="AA22" s="34">
        <f t="shared" si="14"/>
        <v>0</v>
      </c>
      <c r="AB22" s="34">
        <f t="shared" si="14"/>
        <v>0</v>
      </c>
      <c r="AC22" s="34">
        <f t="shared" si="14"/>
        <v>180</v>
      </c>
      <c r="AD22" s="34">
        <f t="shared" si="14"/>
        <v>1</v>
      </c>
      <c r="AE22" s="31">
        <f t="shared" si="14"/>
        <v>129</v>
      </c>
      <c r="AF22" s="31">
        <f t="shared" si="14"/>
        <v>309</v>
      </c>
    </row>
    <row r="23" spans="2:32" ht="23.1" customHeight="1" x14ac:dyDescent="0.25">
      <c r="B23" s="45" t="s">
        <v>50</v>
      </c>
      <c r="C23" s="50">
        <v>7</v>
      </c>
      <c r="D23" s="50">
        <v>0</v>
      </c>
      <c r="E23" s="50">
        <v>0</v>
      </c>
      <c r="F23" s="50">
        <v>1</v>
      </c>
      <c r="G23" s="50">
        <v>1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52</v>
      </c>
      <c r="N23" s="50">
        <v>0</v>
      </c>
      <c r="O23" s="15">
        <f t="shared" si="0"/>
        <v>14</v>
      </c>
      <c r="P23" s="15">
        <f t="shared" si="1"/>
        <v>66</v>
      </c>
      <c r="R23" s="36" t="s">
        <v>147</v>
      </c>
      <c r="S23" s="34">
        <f>SUM(C62:C65)</f>
        <v>28</v>
      </c>
      <c r="T23" s="34">
        <f t="shared" ref="T23:AF23" si="15">SUM(D62:D65)</f>
        <v>6</v>
      </c>
      <c r="U23" s="34">
        <f t="shared" si="15"/>
        <v>19</v>
      </c>
      <c r="V23" s="34">
        <f t="shared" si="15"/>
        <v>16</v>
      </c>
      <c r="W23" s="34">
        <f t="shared" si="15"/>
        <v>0</v>
      </c>
      <c r="X23" s="34">
        <f t="shared" si="15"/>
        <v>2</v>
      </c>
      <c r="Y23" s="34">
        <f t="shared" si="15"/>
        <v>8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191</v>
      </c>
      <c r="AD23" s="34">
        <f t="shared" si="15"/>
        <v>0</v>
      </c>
      <c r="AE23" s="31">
        <f t="shared" si="15"/>
        <v>80</v>
      </c>
      <c r="AF23" s="31">
        <f t="shared" si="15"/>
        <v>271</v>
      </c>
    </row>
    <row r="24" spans="2:32" ht="23.1" customHeight="1" x14ac:dyDescent="0.25">
      <c r="B24" s="45" t="s">
        <v>51</v>
      </c>
      <c r="C24" s="50">
        <v>6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1</v>
      </c>
      <c r="M24" s="50">
        <v>40</v>
      </c>
      <c r="N24" s="50">
        <v>0</v>
      </c>
      <c r="O24" s="15">
        <f t="shared" si="0"/>
        <v>11</v>
      </c>
      <c r="P24" s="15">
        <f t="shared" si="1"/>
        <v>51</v>
      </c>
      <c r="R24" s="36" t="s">
        <v>148</v>
      </c>
      <c r="S24" s="34">
        <f>SUM(C66:C69)</f>
        <v>21</v>
      </c>
      <c r="T24" s="34">
        <f t="shared" ref="T24:AF24" si="16">SUM(D66:D69)</f>
        <v>3</v>
      </c>
      <c r="U24" s="34">
        <f t="shared" si="16"/>
        <v>14</v>
      </c>
      <c r="V24" s="34">
        <f t="shared" si="16"/>
        <v>23</v>
      </c>
      <c r="W24" s="34">
        <f t="shared" si="16"/>
        <v>0</v>
      </c>
      <c r="X24" s="34">
        <f t="shared" si="16"/>
        <v>2</v>
      </c>
      <c r="Y24" s="34">
        <f t="shared" si="16"/>
        <v>4</v>
      </c>
      <c r="Z24" s="34">
        <f t="shared" si="16"/>
        <v>3</v>
      </c>
      <c r="AA24" s="34">
        <f t="shared" si="16"/>
        <v>0</v>
      </c>
      <c r="AB24" s="34">
        <f t="shared" si="16"/>
        <v>1</v>
      </c>
      <c r="AC24" s="34">
        <f t="shared" si="16"/>
        <v>96</v>
      </c>
      <c r="AD24" s="34">
        <f t="shared" si="16"/>
        <v>0</v>
      </c>
      <c r="AE24" s="31">
        <f t="shared" si="16"/>
        <v>71</v>
      </c>
      <c r="AF24" s="31">
        <f t="shared" si="16"/>
        <v>167</v>
      </c>
    </row>
    <row r="25" spans="2:32" ht="23.1" customHeight="1" x14ac:dyDescent="0.25">
      <c r="B25" s="45" t="s">
        <v>52</v>
      </c>
      <c r="C25" s="50">
        <v>13</v>
      </c>
      <c r="D25" s="50">
        <v>2</v>
      </c>
      <c r="E25" s="50">
        <v>5</v>
      </c>
      <c r="F25" s="50">
        <v>0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76</v>
      </c>
      <c r="N25" s="50">
        <v>0</v>
      </c>
      <c r="O25" s="15">
        <f t="shared" si="0"/>
        <v>27</v>
      </c>
      <c r="P25" s="15">
        <f t="shared" si="1"/>
        <v>103</v>
      </c>
      <c r="R25" s="36" t="s">
        <v>149</v>
      </c>
      <c r="S25" s="34">
        <f>SUM(C70:C73)</f>
        <v>9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5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1</v>
      </c>
      <c r="AB25" s="34">
        <f t="shared" si="17"/>
        <v>2</v>
      </c>
      <c r="AC25" s="34">
        <f t="shared" si="17"/>
        <v>77</v>
      </c>
      <c r="AD25" s="34">
        <f t="shared" si="17"/>
        <v>0</v>
      </c>
      <c r="AE25" s="31">
        <f t="shared" si="17"/>
        <v>18</v>
      </c>
      <c r="AF25" s="31">
        <f t="shared" si="17"/>
        <v>95</v>
      </c>
    </row>
    <row r="26" spans="2:32" ht="23.1" customHeight="1" x14ac:dyDescent="0.25">
      <c r="B26" s="45" t="s">
        <v>53</v>
      </c>
      <c r="C26" s="50">
        <v>12</v>
      </c>
      <c r="D26" s="50">
        <v>1</v>
      </c>
      <c r="E26" s="50">
        <v>4</v>
      </c>
      <c r="F26" s="50">
        <v>1</v>
      </c>
      <c r="G26" s="50">
        <v>0</v>
      </c>
      <c r="H26" s="50">
        <v>1</v>
      </c>
      <c r="I26" s="50">
        <v>6</v>
      </c>
      <c r="J26" s="50">
        <v>3</v>
      </c>
      <c r="K26" s="50">
        <v>0</v>
      </c>
      <c r="L26" s="50">
        <v>0</v>
      </c>
      <c r="M26" s="50">
        <v>63</v>
      </c>
      <c r="N26" s="50">
        <v>0</v>
      </c>
      <c r="O26" s="15">
        <f t="shared" si="0"/>
        <v>28</v>
      </c>
      <c r="P26" s="15">
        <f t="shared" si="1"/>
        <v>91</v>
      </c>
      <c r="R26" s="36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1</v>
      </c>
      <c r="AB26" s="34">
        <f t="shared" si="18"/>
        <v>1</v>
      </c>
      <c r="AC26" s="34">
        <f t="shared" si="18"/>
        <v>24</v>
      </c>
      <c r="AD26" s="34">
        <f t="shared" si="18"/>
        <v>0</v>
      </c>
      <c r="AE26" s="31">
        <f t="shared" si="18"/>
        <v>8</v>
      </c>
      <c r="AF26" s="31">
        <f t="shared" si="18"/>
        <v>32</v>
      </c>
    </row>
    <row r="27" spans="2:32" ht="23.1" customHeight="1" x14ac:dyDescent="0.25">
      <c r="B27" s="45" t="s">
        <v>54</v>
      </c>
      <c r="C27" s="50">
        <v>6</v>
      </c>
      <c r="D27" s="50">
        <v>0</v>
      </c>
      <c r="E27" s="50">
        <v>0</v>
      </c>
      <c r="F27" s="50">
        <v>0</v>
      </c>
      <c r="G27" s="50">
        <v>1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8</v>
      </c>
      <c r="P27" s="15">
        <f t="shared" si="1"/>
        <v>19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10</v>
      </c>
      <c r="AD27" s="34">
        <f t="shared" si="19"/>
        <v>0</v>
      </c>
      <c r="AE27" s="31">
        <f t="shared" si="19"/>
        <v>2</v>
      </c>
      <c r="AF27" s="31">
        <f t="shared" si="19"/>
        <v>12</v>
      </c>
    </row>
    <row r="28" spans="2:32" ht="23.1" customHeight="1" x14ac:dyDescent="0.25">
      <c r="B28" s="45" t="s">
        <v>55</v>
      </c>
      <c r="C28" s="50">
        <v>5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0</v>
      </c>
      <c r="M28" s="50">
        <v>30</v>
      </c>
      <c r="N28" s="50">
        <v>0</v>
      </c>
      <c r="O28" s="15">
        <f t="shared" si="0"/>
        <v>9</v>
      </c>
      <c r="P28" s="15">
        <f t="shared" si="1"/>
        <v>39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8</v>
      </c>
      <c r="AD28" s="34">
        <f t="shared" si="20"/>
        <v>0</v>
      </c>
      <c r="AE28" s="31">
        <f t="shared" si="20"/>
        <v>1</v>
      </c>
      <c r="AF28" s="31">
        <f t="shared" si="20"/>
        <v>9</v>
      </c>
    </row>
    <row r="29" spans="2:32" ht="23.1" customHeight="1" x14ac:dyDescent="0.25">
      <c r="B29" s="45" t="s">
        <v>56</v>
      </c>
      <c r="C29" s="50">
        <v>11</v>
      </c>
      <c r="D29" s="50">
        <v>1</v>
      </c>
      <c r="E29" s="50">
        <v>4</v>
      </c>
      <c r="F29" s="50">
        <v>0</v>
      </c>
      <c r="G29" s="50">
        <v>0</v>
      </c>
      <c r="H29" s="50">
        <v>1</v>
      </c>
      <c r="I29" s="50">
        <v>3</v>
      </c>
      <c r="J29" s="50">
        <v>0</v>
      </c>
      <c r="K29" s="50">
        <v>0</v>
      </c>
      <c r="L29" s="50">
        <v>0</v>
      </c>
      <c r="M29" s="50">
        <v>61</v>
      </c>
      <c r="N29" s="50">
        <v>0</v>
      </c>
      <c r="O29" s="15">
        <f t="shared" si="0"/>
        <v>20</v>
      </c>
      <c r="P29" s="15">
        <f t="shared" si="1"/>
        <v>81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1</v>
      </c>
      <c r="AF29" s="31">
        <f t="shared" si="21"/>
        <v>3</v>
      </c>
    </row>
    <row r="30" spans="2:32" ht="23.1" customHeight="1" x14ac:dyDescent="0.25">
      <c r="B30" s="45" t="s">
        <v>57</v>
      </c>
      <c r="C30" s="50">
        <v>6</v>
      </c>
      <c r="D30" s="50">
        <v>1</v>
      </c>
      <c r="E30" s="50">
        <v>5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35</v>
      </c>
      <c r="N30" s="50">
        <v>0</v>
      </c>
      <c r="O30" s="15">
        <f t="shared" si="0"/>
        <v>13</v>
      </c>
      <c r="P30" s="15">
        <f t="shared" si="1"/>
        <v>48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0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5</v>
      </c>
      <c r="D31" s="50">
        <v>1</v>
      </c>
      <c r="E31" s="50">
        <v>5</v>
      </c>
      <c r="F31" s="50">
        <v>1</v>
      </c>
      <c r="G31" s="50">
        <v>0</v>
      </c>
      <c r="H31" s="50">
        <v>1</v>
      </c>
      <c r="I31" s="50">
        <v>3</v>
      </c>
      <c r="J31" s="50">
        <v>1</v>
      </c>
      <c r="K31" s="50">
        <v>1</v>
      </c>
      <c r="L31" s="50">
        <v>0</v>
      </c>
      <c r="M31" s="50">
        <v>50</v>
      </c>
      <c r="N31" s="50">
        <v>0</v>
      </c>
      <c r="O31" s="15">
        <f t="shared" si="0"/>
        <v>18</v>
      </c>
      <c r="P31" s="15">
        <f t="shared" si="1"/>
        <v>68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1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12</v>
      </c>
      <c r="D32" s="50">
        <v>2</v>
      </c>
      <c r="E32" s="50">
        <v>5</v>
      </c>
      <c r="F32" s="50">
        <v>1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24</v>
      </c>
      <c r="P32" s="15">
        <f t="shared" si="1"/>
        <v>79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1</v>
      </c>
      <c r="AF32" s="31">
        <f t="shared" si="24"/>
        <v>8</v>
      </c>
    </row>
    <row r="33" spans="2:32" ht="23.1" customHeight="1" x14ac:dyDescent="0.25">
      <c r="B33" s="45" t="s">
        <v>60</v>
      </c>
      <c r="C33" s="50">
        <v>13</v>
      </c>
      <c r="D33" s="50">
        <v>2</v>
      </c>
      <c r="E33" s="50">
        <v>5</v>
      </c>
      <c r="F33" s="50">
        <v>1</v>
      </c>
      <c r="G33" s="50">
        <v>0</v>
      </c>
      <c r="H33" s="50">
        <v>1</v>
      </c>
      <c r="I33" s="50">
        <v>2</v>
      </c>
      <c r="J33" s="50">
        <v>1</v>
      </c>
      <c r="K33" s="50">
        <v>0</v>
      </c>
      <c r="L33" s="50">
        <v>0</v>
      </c>
      <c r="M33" s="50">
        <v>38</v>
      </c>
      <c r="N33" s="50">
        <v>0</v>
      </c>
      <c r="O33" s="15">
        <f t="shared" si="0"/>
        <v>25</v>
      </c>
      <c r="P33" s="15">
        <f t="shared" si="1"/>
        <v>63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1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50</v>
      </c>
      <c r="AD33" s="34">
        <f t="shared" si="25"/>
        <v>0</v>
      </c>
      <c r="AE33" s="31">
        <f t="shared" si="25"/>
        <v>4</v>
      </c>
      <c r="AF33" s="31">
        <f t="shared" si="25"/>
        <v>54</v>
      </c>
    </row>
    <row r="34" spans="2:32" ht="23.1" customHeight="1" x14ac:dyDescent="0.25">
      <c r="B34" s="46" t="s">
        <v>61</v>
      </c>
      <c r="C34" s="50">
        <v>10</v>
      </c>
      <c r="D34" s="50">
        <v>3</v>
      </c>
      <c r="E34" s="50">
        <v>10</v>
      </c>
      <c r="F34" s="50">
        <v>2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1</v>
      </c>
      <c r="M34" s="50">
        <v>48</v>
      </c>
      <c r="N34" s="50">
        <v>0</v>
      </c>
      <c r="O34" s="15">
        <f t="shared" si="0"/>
        <v>31</v>
      </c>
      <c r="P34" s="15">
        <f t="shared" si="1"/>
        <v>79</v>
      </c>
      <c r="R34" s="38" t="s">
        <v>90</v>
      </c>
      <c r="S34" s="39">
        <f t="shared" ref="S34:AF34" si="26">MAX(S10:S12)</f>
        <v>30</v>
      </c>
      <c r="T34" s="39">
        <f t="shared" si="26"/>
        <v>4</v>
      </c>
      <c r="U34" s="39">
        <f t="shared" si="26"/>
        <v>14</v>
      </c>
      <c r="V34" s="39">
        <f t="shared" si="26"/>
        <v>13</v>
      </c>
      <c r="W34" s="39">
        <f t="shared" si="26"/>
        <v>1</v>
      </c>
      <c r="X34" s="39">
        <f t="shared" si="26"/>
        <v>1</v>
      </c>
      <c r="Y34" s="39">
        <f t="shared" si="26"/>
        <v>10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160</v>
      </c>
      <c r="AD34" s="39">
        <f t="shared" si="26"/>
        <v>0</v>
      </c>
      <c r="AE34" s="40">
        <f t="shared" si="26"/>
        <v>62</v>
      </c>
      <c r="AF34" s="40">
        <f t="shared" si="26"/>
        <v>218</v>
      </c>
    </row>
    <row r="35" spans="2:32" ht="23.1" customHeight="1" x14ac:dyDescent="0.25">
      <c r="B35" s="46" t="s">
        <v>62</v>
      </c>
      <c r="C35" s="50">
        <v>7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1</v>
      </c>
      <c r="M35" s="50">
        <v>26</v>
      </c>
      <c r="N35" s="50">
        <v>0</v>
      </c>
      <c r="O35" s="15">
        <f t="shared" si="0"/>
        <v>10</v>
      </c>
      <c r="P35" s="15">
        <f t="shared" si="1"/>
        <v>36</v>
      </c>
      <c r="R35" s="38" t="s">
        <v>91</v>
      </c>
      <c r="S35" s="39">
        <f t="shared" ref="S35:AF35" si="27">MAX(S13:S18)</f>
        <v>36</v>
      </c>
      <c r="T35" s="39">
        <f t="shared" si="27"/>
        <v>30</v>
      </c>
      <c r="U35" s="39">
        <f t="shared" si="27"/>
        <v>74</v>
      </c>
      <c r="V35" s="39">
        <f t="shared" si="27"/>
        <v>7</v>
      </c>
      <c r="W35" s="39">
        <f t="shared" si="27"/>
        <v>1</v>
      </c>
      <c r="X35" s="39">
        <f t="shared" si="27"/>
        <v>2</v>
      </c>
      <c r="Y35" s="39">
        <f t="shared" si="27"/>
        <v>16</v>
      </c>
      <c r="Z35" s="39">
        <f t="shared" si="27"/>
        <v>6</v>
      </c>
      <c r="AA35" s="39">
        <f t="shared" si="27"/>
        <v>1</v>
      </c>
      <c r="AB35" s="39">
        <f t="shared" si="27"/>
        <v>2</v>
      </c>
      <c r="AC35" s="39">
        <f t="shared" si="27"/>
        <v>204</v>
      </c>
      <c r="AD35" s="39">
        <f t="shared" si="27"/>
        <v>0</v>
      </c>
      <c r="AE35" s="40">
        <f t="shared" si="27"/>
        <v>140</v>
      </c>
      <c r="AF35" s="40">
        <f t="shared" si="27"/>
        <v>291</v>
      </c>
    </row>
    <row r="36" spans="2:32" ht="23.1" customHeight="1" x14ac:dyDescent="0.25">
      <c r="B36" s="46" t="s">
        <v>63</v>
      </c>
      <c r="C36" s="50">
        <v>8</v>
      </c>
      <c r="D36" s="50">
        <v>2</v>
      </c>
      <c r="E36" s="50">
        <v>6</v>
      </c>
      <c r="F36" s="50">
        <v>0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45</v>
      </c>
      <c r="N36" s="50">
        <v>0</v>
      </c>
      <c r="O36" s="15">
        <f t="shared" si="0"/>
        <v>19</v>
      </c>
      <c r="P36" s="15">
        <f t="shared" si="1"/>
        <v>64</v>
      </c>
      <c r="R36" s="38" t="s">
        <v>92</v>
      </c>
      <c r="S36" s="39">
        <f t="shared" ref="S36:AF36" si="28">MAX(S19:S21)</f>
        <v>28</v>
      </c>
      <c r="T36" s="39">
        <f t="shared" si="28"/>
        <v>6</v>
      </c>
      <c r="U36" s="39">
        <f t="shared" si="28"/>
        <v>16</v>
      </c>
      <c r="V36" s="39">
        <f t="shared" si="28"/>
        <v>3</v>
      </c>
      <c r="W36" s="39">
        <f t="shared" si="28"/>
        <v>1</v>
      </c>
      <c r="X36" s="39">
        <f t="shared" si="28"/>
        <v>0</v>
      </c>
      <c r="Y36" s="39">
        <f t="shared" si="28"/>
        <v>9</v>
      </c>
      <c r="Z36" s="39">
        <f t="shared" si="28"/>
        <v>3</v>
      </c>
      <c r="AA36" s="39">
        <f t="shared" si="28"/>
        <v>0</v>
      </c>
      <c r="AB36" s="39">
        <f t="shared" si="28"/>
        <v>1</v>
      </c>
      <c r="AC36" s="39">
        <f t="shared" si="28"/>
        <v>234</v>
      </c>
      <c r="AD36" s="39">
        <f t="shared" si="28"/>
        <v>0</v>
      </c>
      <c r="AE36" s="40">
        <f t="shared" si="28"/>
        <v>64</v>
      </c>
      <c r="AF36" s="40">
        <f t="shared" si="28"/>
        <v>298</v>
      </c>
    </row>
    <row r="37" spans="2:32" ht="23.1" customHeight="1" x14ac:dyDescent="0.25">
      <c r="B37" s="45" t="s">
        <v>64</v>
      </c>
      <c r="C37" s="50">
        <v>6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8</v>
      </c>
      <c r="P37" s="15">
        <f t="shared" si="1"/>
        <v>34</v>
      </c>
      <c r="R37" s="37" t="s">
        <v>85</v>
      </c>
      <c r="S37" s="35">
        <f t="shared" ref="S37:AF37" si="29">SUM(S10:S12)</f>
        <v>60</v>
      </c>
      <c r="T37" s="16">
        <f t="shared" si="29"/>
        <v>6</v>
      </c>
      <c r="U37" s="16">
        <f t="shared" si="29"/>
        <v>24</v>
      </c>
      <c r="V37" s="16">
        <f t="shared" si="29"/>
        <v>19</v>
      </c>
      <c r="W37" s="16">
        <f t="shared" si="29"/>
        <v>1</v>
      </c>
      <c r="X37" s="16">
        <f t="shared" si="29"/>
        <v>1</v>
      </c>
      <c r="Y37" s="16">
        <f t="shared" si="29"/>
        <v>17</v>
      </c>
      <c r="Z37" s="16">
        <f t="shared" si="29"/>
        <v>2</v>
      </c>
      <c r="AA37" s="16">
        <f t="shared" si="29"/>
        <v>0</v>
      </c>
      <c r="AB37" s="16">
        <f t="shared" si="29"/>
        <v>0</v>
      </c>
      <c r="AC37" s="16">
        <f t="shared" si="29"/>
        <v>463</v>
      </c>
      <c r="AD37" s="16">
        <f t="shared" si="29"/>
        <v>0</v>
      </c>
      <c r="AE37" s="32">
        <f t="shared" si="29"/>
        <v>130</v>
      </c>
      <c r="AF37" s="32">
        <f t="shared" si="29"/>
        <v>593</v>
      </c>
    </row>
    <row r="38" spans="2:32" ht="23.1" customHeight="1" x14ac:dyDescent="0.25">
      <c r="B38" s="46" t="s">
        <v>65</v>
      </c>
      <c r="C38" s="50">
        <v>5</v>
      </c>
      <c r="D38" s="50">
        <v>1</v>
      </c>
      <c r="E38" s="50">
        <v>4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62</v>
      </c>
      <c r="N38" s="50">
        <v>0</v>
      </c>
      <c r="O38" s="15">
        <f t="shared" si="0"/>
        <v>12</v>
      </c>
      <c r="P38" s="15">
        <f t="shared" si="1"/>
        <v>74</v>
      </c>
      <c r="R38" s="28" t="s">
        <v>86</v>
      </c>
      <c r="S38" s="16">
        <f t="shared" ref="S38:AF38" si="30">SUM(S13:S18)</f>
        <v>185</v>
      </c>
      <c r="T38" s="16">
        <f t="shared" si="30"/>
        <v>56</v>
      </c>
      <c r="U38" s="16">
        <f t="shared" si="30"/>
        <v>158</v>
      </c>
      <c r="V38" s="16">
        <f t="shared" si="30"/>
        <v>19</v>
      </c>
      <c r="W38" s="16">
        <f t="shared" si="30"/>
        <v>2</v>
      </c>
      <c r="X38" s="16">
        <f t="shared" si="30"/>
        <v>6</v>
      </c>
      <c r="Y38" s="16">
        <f t="shared" si="30"/>
        <v>53</v>
      </c>
      <c r="Z38" s="16">
        <f t="shared" si="30"/>
        <v>16</v>
      </c>
      <c r="AA38" s="16">
        <f t="shared" si="30"/>
        <v>1</v>
      </c>
      <c r="AB38" s="16">
        <f t="shared" si="30"/>
        <v>7</v>
      </c>
      <c r="AC38" s="16">
        <f t="shared" si="30"/>
        <v>1037</v>
      </c>
      <c r="AD38" s="16">
        <f t="shared" si="30"/>
        <v>0</v>
      </c>
      <c r="AE38" s="32">
        <f t="shared" si="30"/>
        <v>503</v>
      </c>
      <c r="AF38" s="32">
        <f t="shared" si="30"/>
        <v>1540</v>
      </c>
    </row>
    <row r="39" spans="2:32" ht="23.1" customHeight="1" x14ac:dyDescent="0.25">
      <c r="B39" s="46" t="s">
        <v>66</v>
      </c>
      <c r="C39" s="50">
        <v>11</v>
      </c>
      <c r="D39" s="50">
        <v>3</v>
      </c>
      <c r="E39" s="50">
        <v>9</v>
      </c>
      <c r="F39" s="50">
        <v>1</v>
      </c>
      <c r="G39" s="50">
        <v>0</v>
      </c>
      <c r="H39" s="50">
        <v>1</v>
      </c>
      <c r="I39" s="50">
        <v>1</v>
      </c>
      <c r="J39" s="50">
        <v>0</v>
      </c>
      <c r="K39" s="50">
        <v>0</v>
      </c>
      <c r="L39" s="50">
        <v>0</v>
      </c>
      <c r="M39" s="50">
        <v>55</v>
      </c>
      <c r="N39" s="50">
        <v>0</v>
      </c>
      <c r="O39" s="15">
        <f t="shared" si="0"/>
        <v>26</v>
      </c>
      <c r="P39" s="15">
        <f t="shared" si="1"/>
        <v>81</v>
      </c>
      <c r="R39" s="29" t="s">
        <v>87</v>
      </c>
      <c r="S39" s="16">
        <f t="shared" ref="S39:AF39" si="31">SUM(S19:S21)</f>
        <v>70</v>
      </c>
      <c r="T39" s="16">
        <f t="shared" si="31"/>
        <v>15</v>
      </c>
      <c r="U39" s="16">
        <f t="shared" si="31"/>
        <v>42</v>
      </c>
      <c r="V39" s="16">
        <f t="shared" si="31"/>
        <v>7</v>
      </c>
      <c r="W39" s="16">
        <f t="shared" si="31"/>
        <v>1</v>
      </c>
      <c r="X39" s="16">
        <f t="shared" si="31"/>
        <v>0</v>
      </c>
      <c r="Y39" s="16">
        <f t="shared" si="31"/>
        <v>17</v>
      </c>
      <c r="Z39" s="16">
        <f t="shared" si="31"/>
        <v>5</v>
      </c>
      <c r="AA39" s="16">
        <f t="shared" si="31"/>
        <v>0</v>
      </c>
      <c r="AB39" s="16">
        <f t="shared" si="31"/>
        <v>1</v>
      </c>
      <c r="AC39" s="16">
        <f t="shared" si="31"/>
        <v>506</v>
      </c>
      <c r="AD39" s="16">
        <f t="shared" si="31"/>
        <v>0</v>
      </c>
      <c r="AE39" s="32">
        <f t="shared" si="31"/>
        <v>158</v>
      </c>
      <c r="AF39" s="32">
        <f t="shared" si="31"/>
        <v>664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4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1</v>
      </c>
      <c r="M40" s="50">
        <v>37</v>
      </c>
      <c r="N40" s="50">
        <v>0</v>
      </c>
      <c r="O40" s="15">
        <f t="shared" si="0"/>
        <v>10</v>
      </c>
      <c r="P40" s="15">
        <f t="shared" si="1"/>
        <v>47</v>
      </c>
      <c r="R40" s="5" t="s">
        <v>17</v>
      </c>
      <c r="S40" s="16">
        <f t="shared" ref="S40:AF40" si="32">SUM(S10:S21)</f>
        <v>315</v>
      </c>
      <c r="T40" s="16">
        <f t="shared" si="32"/>
        <v>77</v>
      </c>
      <c r="U40" s="16">
        <f t="shared" si="32"/>
        <v>224</v>
      </c>
      <c r="V40" s="16">
        <f t="shared" si="32"/>
        <v>45</v>
      </c>
      <c r="W40" s="16">
        <f t="shared" si="32"/>
        <v>4</v>
      </c>
      <c r="X40" s="16">
        <f t="shared" si="32"/>
        <v>7</v>
      </c>
      <c r="Y40" s="16">
        <f t="shared" si="32"/>
        <v>87</v>
      </c>
      <c r="Z40" s="16">
        <f t="shared" si="32"/>
        <v>23</v>
      </c>
      <c r="AA40" s="16">
        <f t="shared" si="32"/>
        <v>1</v>
      </c>
      <c r="AB40" s="16">
        <f t="shared" si="32"/>
        <v>8</v>
      </c>
      <c r="AC40" s="16">
        <f t="shared" si="32"/>
        <v>2006</v>
      </c>
      <c r="AD40" s="16">
        <f t="shared" si="32"/>
        <v>0</v>
      </c>
      <c r="AE40" s="32">
        <f t="shared" si="32"/>
        <v>791</v>
      </c>
      <c r="AF40" s="32">
        <f t="shared" si="32"/>
        <v>2797</v>
      </c>
    </row>
    <row r="41" spans="2:32" ht="23.1" customHeight="1" x14ac:dyDescent="0.25">
      <c r="B41" s="45" t="s">
        <v>68</v>
      </c>
      <c r="C41" s="50">
        <v>5</v>
      </c>
      <c r="D41" s="50">
        <v>1</v>
      </c>
      <c r="E41" s="50">
        <v>5</v>
      </c>
      <c r="F41" s="50">
        <v>2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41</v>
      </c>
      <c r="N41" s="50">
        <v>0</v>
      </c>
      <c r="O41" s="15">
        <f t="shared" si="0"/>
        <v>15</v>
      </c>
      <c r="P41" s="15">
        <f t="shared" si="1"/>
        <v>56</v>
      </c>
      <c r="R41" s="5" t="s">
        <v>159</v>
      </c>
      <c r="S41" s="16">
        <f>SUM(S10:S33)</f>
        <v>418</v>
      </c>
      <c r="T41" s="16">
        <f t="shared" ref="T41:AF41" si="33">SUM(T10:T33)</f>
        <v>95</v>
      </c>
      <c r="U41" s="16">
        <f t="shared" si="33"/>
        <v>282</v>
      </c>
      <c r="V41" s="16">
        <f t="shared" si="33"/>
        <v>117</v>
      </c>
      <c r="W41" s="16">
        <f t="shared" si="33"/>
        <v>12</v>
      </c>
      <c r="X41" s="16">
        <f t="shared" si="33"/>
        <v>14</v>
      </c>
      <c r="Y41" s="16">
        <f t="shared" si="33"/>
        <v>118</v>
      </c>
      <c r="Z41" s="16">
        <f t="shared" si="33"/>
        <v>35</v>
      </c>
      <c r="AA41" s="16">
        <f t="shared" si="33"/>
        <v>3</v>
      </c>
      <c r="AB41" s="16">
        <f t="shared" si="33"/>
        <v>12</v>
      </c>
      <c r="AC41" s="16">
        <f t="shared" si="33"/>
        <v>2658</v>
      </c>
      <c r="AD41" s="16">
        <f t="shared" si="33"/>
        <v>1</v>
      </c>
      <c r="AE41" s="32">
        <f t="shared" si="33"/>
        <v>1107</v>
      </c>
      <c r="AF41" s="32">
        <f t="shared" si="33"/>
        <v>3765</v>
      </c>
    </row>
    <row r="42" spans="2:32" ht="23.1" customHeight="1" x14ac:dyDescent="0.25">
      <c r="B42" s="46" t="s">
        <v>69</v>
      </c>
      <c r="C42" s="50">
        <v>5</v>
      </c>
      <c r="D42" s="50">
        <v>3</v>
      </c>
      <c r="E42" s="50">
        <v>7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35</v>
      </c>
      <c r="N42" s="50">
        <v>0</v>
      </c>
      <c r="O42" s="15">
        <f t="shared" si="0"/>
        <v>16</v>
      </c>
      <c r="P42" s="15">
        <f t="shared" si="1"/>
        <v>51</v>
      </c>
      <c r="R42" s="5" t="s">
        <v>160</v>
      </c>
      <c r="S42" s="48">
        <f>S41/S40</f>
        <v>1.3269841269841269</v>
      </c>
      <c r="T42" s="48">
        <f t="shared" ref="T42:AF42" si="34">T41/T40</f>
        <v>1.2337662337662338</v>
      </c>
      <c r="U42" s="48">
        <f t="shared" si="34"/>
        <v>1.2589285714285714</v>
      </c>
      <c r="V42" s="48">
        <f t="shared" si="34"/>
        <v>2.6</v>
      </c>
      <c r="W42" s="48">
        <f t="shared" si="34"/>
        <v>3</v>
      </c>
      <c r="X42" s="48">
        <f t="shared" si="34"/>
        <v>2</v>
      </c>
      <c r="Y42" s="48">
        <f t="shared" si="34"/>
        <v>1.3563218390804597</v>
      </c>
      <c r="Z42" s="48">
        <f t="shared" si="34"/>
        <v>1.5217391304347827</v>
      </c>
      <c r="AA42" s="48">
        <f t="shared" si="34"/>
        <v>3</v>
      </c>
      <c r="AB42" s="48">
        <f t="shared" si="34"/>
        <v>1.5</v>
      </c>
      <c r="AC42" s="48">
        <f t="shared" si="34"/>
        <v>1.3250249252243269</v>
      </c>
      <c r="AD42" s="48" t="e">
        <f t="shared" si="34"/>
        <v>#DIV/0!</v>
      </c>
      <c r="AE42" s="48">
        <f t="shared" si="34"/>
        <v>1.3994943109987357</v>
      </c>
      <c r="AF42" s="48">
        <f t="shared" si="34"/>
        <v>1.3460850911691098</v>
      </c>
    </row>
    <row r="43" spans="2:32" ht="23.1" customHeight="1" x14ac:dyDescent="0.25">
      <c r="B43" s="45" t="s">
        <v>70</v>
      </c>
      <c r="C43" s="50">
        <v>6</v>
      </c>
      <c r="D43" s="50">
        <v>1</v>
      </c>
      <c r="E43" s="50">
        <v>5</v>
      </c>
      <c r="F43" s="50">
        <v>1</v>
      </c>
      <c r="G43" s="50">
        <v>0</v>
      </c>
      <c r="H43" s="50">
        <v>1</v>
      </c>
      <c r="I43" s="50">
        <v>3</v>
      </c>
      <c r="J43" s="50">
        <v>0</v>
      </c>
      <c r="K43" s="50">
        <v>0</v>
      </c>
      <c r="L43" s="50">
        <v>0</v>
      </c>
      <c r="M43" s="50">
        <v>42</v>
      </c>
      <c r="N43" s="50">
        <v>0</v>
      </c>
      <c r="O43" s="15">
        <f t="shared" si="0"/>
        <v>17</v>
      </c>
      <c r="P43" s="15">
        <f t="shared" si="1"/>
        <v>59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27</v>
      </c>
      <c r="N44" s="50">
        <v>0</v>
      </c>
      <c r="O44" s="15">
        <f t="shared" si="0"/>
        <v>5</v>
      </c>
      <c r="P44" s="15">
        <f t="shared" si="1"/>
        <v>32</v>
      </c>
    </row>
    <row r="45" spans="2:32" ht="23.1" customHeight="1" x14ac:dyDescent="0.25">
      <c r="B45" s="45" t="s">
        <v>72</v>
      </c>
      <c r="C45" s="50">
        <v>11</v>
      </c>
      <c r="D45" s="50">
        <v>26</v>
      </c>
      <c r="E45" s="50">
        <v>62</v>
      </c>
      <c r="F45" s="50">
        <v>0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1</v>
      </c>
      <c r="M45" s="50">
        <v>46</v>
      </c>
      <c r="N45" s="50">
        <v>0</v>
      </c>
      <c r="O45" s="15">
        <f t="shared" si="0"/>
        <v>102</v>
      </c>
      <c r="P45" s="15">
        <f t="shared" si="1"/>
        <v>148</v>
      </c>
    </row>
    <row r="46" spans="2:32" ht="23.1" customHeight="1" x14ac:dyDescent="0.25">
      <c r="B46" s="46" t="s">
        <v>73</v>
      </c>
      <c r="C46" s="50">
        <v>5</v>
      </c>
      <c r="D46" s="50">
        <v>2</v>
      </c>
      <c r="E46" s="50">
        <v>5</v>
      </c>
      <c r="F46" s="50">
        <v>1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31</v>
      </c>
      <c r="N46" s="50">
        <v>0</v>
      </c>
      <c r="O46" s="15">
        <f t="shared" si="0"/>
        <v>16</v>
      </c>
      <c r="P46" s="15">
        <f t="shared" si="1"/>
        <v>47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2</v>
      </c>
      <c r="E47" s="50">
        <v>5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12</v>
      </c>
      <c r="P47" s="15">
        <f t="shared" si="1"/>
        <v>35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30</v>
      </c>
      <c r="N48" s="50">
        <v>0</v>
      </c>
      <c r="O48" s="15">
        <f t="shared" si="0"/>
        <v>3</v>
      </c>
      <c r="P48" s="15">
        <f t="shared" si="1"/>
        <v>33</v>
      </c>
      <c r="R48" s="8"/>
      <c r="T48"/>
    </row>
    <row r="49" spans="2:20" ht="23.1" customHeight="1" x14ac:dyDescent="0.25">
      <c r="B49" s="45" t="s">
        <v>76</v>
      </c>
      <c r="C49" s="50">
        <v>11</v>
      </c>
      <c r="D49" s="50">
        <v>2</v>
      </c>
      <c r="E49" s="50">
        <v>5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53</v>
      </c>
      <c r="N49" s="50">
        <v>0</v>
      </c>
      <c r="O49" s="15">
        <f t="shared" si="0"/>
        <v>20</v>
      </c>
      <c r="P49" s="15">
        <f t="shared" si="1"/>
        <v>73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3</v>
      </c>
      <c r="E50" s="50">
        <v>10</v>
      </c>
      <c r="F50" s="50">
        <v>0</v>
      </c>
      <c r="G50" s="50">
        <v>0</v>
      </c>
      <c r="H50" s="50">
        <v>0</v>
      </c>
      <c r="I50" s="50">
        <v>5</v>
      </c>
      <c r="J50" s="50">
        <v>1</v>
      </c>
      <c r="K50" s="50">
        <v>0</v>
      </c>
      <c r="L50" s="50">
        <v>1</v>
      </c>
      <c r="M50" s="50">
        <v>63</v>
      </c>
      <c r="N50" s="50">
        <v>0</v>
      </c>
      <c r="O50" s="15">
        <f t="shared" si="0"/>
        <v>26</v>
      </c>
      <c r="P50" s="15">
        <f t="shared" si="1"/>
        <v>89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2</v>
      </c>
      <c r="E51" s="50">
        <v>6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66</v>
      </c>
      <c r="N51" s="50">
        <v>0</v>
      </c>
      <c r="O51" s="15">
        <f t="shared" si="0"/>
        <v>22</v>
      </c>
      <c r="P51" s="15">
        <f t="shared" si="1"/>
        <v>88</v>
      </c>
      <c r="R51" s="8"/>
      <c r="T51"/>
    </row>
    <row r="52" spans="2:20" ht="23.1" customHeight="1" x14ac:dyDescent="0.25">
      <c r="B52" s="46" t="s">
        <v>79</v>
      </c>
      <c r="C52" s="50">
        <v>10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55</v>
      </c>
      <c r="N52" s="50">
        <v>0</v>
      </c>
      <c r="O52" s="15">
        <f t="shared" si="0"/>
        <v>15</v>
      </c>
      <c r="P52" s="15">
        <f t="shared" si="1"/>
        <v>70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50</v>
      </c>
      <c r="N53" s="50">
        <v>0</v>
      </c>
      <c r="O53" s="15">
        <f t="shared" si="0"/>
        <v>1</v>
      </c>
      <c r="P53" s="15">
        <f t="shared" si="1"/>
        <v>51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2</v>
      </c>
      <c r="E54" s="50">
        <v>5</v>
      </c>
      <c r="F54" s="50">
        <v>0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38</v>
      </c>
      <c r="N54" s="50">
        <v>0</v>
      </c>
      <c r="O54" s="15">
        <f t="shared" si="0"/>
        <v>13</v>
      </c>
      <c r="P54" s="15">
        <f t="shared" si="1"/>
        <v>51</v>
      </c>
      <c r="R54" s="8"/>
      <c r="T54"/>
    </row>
    <row r="55" spans="2:20" ht="23.1" customHeight="1" x14ac:dyDescent="0.25">
      <c r="B55" s="45" t="s">
        <v>82</v>
      </c>
      <c r="C55" s="50">
        <v>11</v>
      </c>
      <c r="D55" s="50">
        <v>0</v>
      </c>
      <c r="E55" s="50">
        <v>0</v>
      </c>
      <c r="F55" s="50">
        <v>1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27</v>
      </c>
      <c r="N55" s="50">
        <v>0</v>
      </c>
      <c r="O55" s="15">
        <f t="shared" si="0"/>
        <v>13</v>
      </c>
      <c r="P55" s="15">
        <f t="shared" si="1"/>
        <v>40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4</v>
      </c>
      <c r="P56" s="15">
        <f t="shared" si="1"/>
        <v>17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2</v>
      </c>
      <c r="E57" s="50">
        <v>6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57</v>
      </c>
      <c r="N57" s="50">
        <v>0</v>
      </c>
      <c r="O57" s="15">
        <f t="shared" si="0"/>
        <v>13</v>
      </c>
      <c r="P57" s="15">
        <f t="shared" si="1"/>
        <v>70</v>
      </c>
      <c r="R57" s="8"/>
      <c r="T57"/>
    </row>
    <row r="58" spans="2:20" ht="23.1" customHeight="1" x14ac:dyDescent="0.25">
      <c r="B58" s="45" t="s">
        <v>99</v>
      </c>
      <c r="C58" s="50">
        <v>15</v>
      </c>
      <c r="D58" s="50">
        <v>3</v>
      </c>
      <c r="E58" s="50">
        <v>10</v>
      </c>
      <c r="F58" s="50">
        <v>12</v>
      </c>
      <c r="G58" s="50">
        <v>0</v>
      </c>
      <c r="H58" s="50">
        <v>0</v>
      </c>
      <c r="I58" s="50">
        <v>0</v>
      </c>
      <c r="J58" s="50">
        <v>3</v>
      </c>
      <c r="K58" s="50">
        <v>0</v>
      </c>
      <c r="L58" s="50">
        <v>0</v>
      </c>
      <c r="M58" s="50">
        <v>35</v>
      </c>
      <c r="N58" s="50">
        <v>0</v>
      </c>
      <c r="O58" s="15">
        <f t="shared" si="0"/>
        <v>43</v>
      </c>
      <c r="P58" s="15">
        <f t="shared" si="1"/>
        <v>78</v>
      </c>
      <c r="R58" s="8"/>
      <c r="T58"/>
    </row>
    <row r="59" spans="2:20" ht="23.1" customHeight="1" x14ac:dyDescent="0.25">
      <c r="B59" s="45" t="s">
        <v>100</v>
      </c>
      <c r="C59" s="50">
        <v>11</v>
      </c>
      <c r="D59" s="50">
        <v>0</v>
      </c>
      <c r="E59" s="50">
        <v>0</v>
      </c>
      <c r="F59" s="50">
        <v>2</v>
      </c>
      <c r="G59" s="50">
        <v>1</v>
      </c>
      <c r="H59" s="50">
        <v>0</v>
      </c>
      <c r="I59" s="50">
        <v>7</v>
      </c>
      <c r="J59" s="50">
        <v>1</v>
      </c>
      <c r="K59" s="50">
        <v>0</v>
      </c>
      <c r="L59" s="50">
        <v>0</v>
      </c>
      <c r="M59" s="50">
        <v>45</v>
      </c>
      <c r="N59" s="50">
        <v>0</v>
      </c>
      <c r="O59" s="15">
        <f t="shared" si="0"/>
        <v>22</v>
      </c>
      <c r="P59" s="15">
        <f t="shared" si="1"/>
        <v>67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3</v>
      </c>
      <c r="E60" s="50">
        <v>7</v>
      </c>
      <c r="F60" s="50">
        <v>2</v>
      </c>
      <c r="G60" s="50">
        <v>6</v>
      </c>
      <c r="H60" s="50">
        <v>1</v>
      </c>
      <c r="I60" s="50">
        <v>2</v>
      </c>
      <c r="J60" s="50">
        <v>3</v>
      </c>
      <c r="K60" s="50">
        <v>0</v>
      </c>
      <c r="L60" s="50">
        <v>0</v>
      </c>
      <c r="M60" s="50">
        <v>45</v>
      </c>
      <c r="N60" s="50">
        <v>0</v>
      </c>
      <c r="O60" s="15">
        <f t="shared" si="0"/>
        <v>32</v>
      </c>
      <c r="P60" s="15">
        <f t="shared" si="1"/>
        <v>77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3</v>
      </c>
      <c r="E61" s="50">
        <v>8</v>
      </c>
      <c r="F61" s="50">
        <v>6</v>
      </c>
      <c r="G61" s="50">
        <v>0</v>
      </c>
      <c r="H61" s="50">
        <v>2</v>
      </c>
      <c r="I61" s="50">
        <v>5</v>
      </c>
      <c r="J61" s="50">
        <v>1</v>
      </c>
      <c r="K61" s="50">
        <v>0</v>
      </c>
      <c r="L61" s="50">
        <v>0</v>
      </c>
      <c r="M61" s="50">
        <v>55</v>
      </c>
      <c r="N61" s="50">
        <v>1</v>
      </c>
      <c r="O61" s="15">
        <f t="shared" si="0"/>
        <v>32</v>
      </c>
      <c r="P61" s="15">
        <f t="shared" si="1"/>
        <v>87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2</v>
      </c>
      <c r="E62" s="50">
        <v>5</v>
      </c>
      <c r="F62" s="50">
        <v>3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66</v>
      </c>
      <c r="N62" s="50">
        <v>0</v>
      </c>
      <c r="O62" s="15">
        <f t="shared" si="0"/>
        <v>16</v>
      </c>
      <c r="P62" s="15">
        <f t="shared" si="1"/>
        <v>82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v>1</v>
      </c>
      <c r="E63" s="50">
        <v>5</v>
      </c>
      <c r="F63" s="50">
        <v>5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51</v>
      </c>
      <c r="N63" s="50">
        <v>0</v>
      </c>
      <c r="O63" s="15">
        <f t="shared" si="0"/>
        <v>22</v>
      </c>
      <c r="P63" s="15">
        <f t="shared" si="1"/>
        <v>73</v>
      </c>
      <c r="R63" s="8"/>
      <c r="T63"/>
    </row>
    <row r="64" spans="2:20" ht="23.1" customHeight="1" x14ac:dyDescent="0.25">
      <c r="B64" s="45" t="s">
        <v>109</v>
      </c>
      <c r="C64" s="50">
        <v>6</v>
      </c>
      <c r="D64" s="50">
        <v>2</v>
      </c>
      <c r="E64" s="50">
        <v>5</v>
      </c>
      <c r="F64" s="50">
        <v>5</v>
      </c>
      <c r="G64" s="50">
        <v>0</v>
      </c>
      <c r="H64" s="50">
        <v>0</v>
      </c>
      <c r="I64" s="50">
        <v>6</v>
      </c>
      <c r="J64" s="50">
        <v>0</v>
      </c>
      <c r="K64" s="50">
        <v>0</v>
      </c>
      <c r="L64" s="50">
        <v>0</v>
      </c>
      <c r="M64" s="50">
        <v>41</v>
      </c>
      <c r="N64" s="50">
        <v>0</v>
      </c>
      <c r="O64" s="15">
        <f t="shared" si="0"/>
        <v>24</v>
      </c>
      <c r="P64" s="15">
        <f t="shared" si="1"/>
        <v>65</v>
      </c>
      <c r="R64" s="8"/>
      <c r="T64"/>
    </row>
    <row r="65" spans="2:20" ht="23.1" customHeight="1" x14ac:dyDescent="0.25">
      <c r="B65" s="45" t="s">
        <v>158</v>
      </c>
      <c r="C65" s="50">
        <v>5</v>
      </c>
      <c r="D65" s="50">
        <v>1</v>
      </c>
      <c r="E65" s="50">
        <v>4</v>
      </c>
      <c r="F65" s="50">
        <v>3</v>
      </c>
      <c r="G65" s="50">
        <v>0</v>
      </c>
      <c r="H65" s="50">
        <v>2</v>
      </c>
      <c r="I65" s="50">
        <v>2</v>
      </c>
      <c r="J65" s="50">
        <v>1</v>
      </c>
      <c r="K65" s="50">
        <v>0</v>
      </c>
      <c r="L65" s="50">
        <v>0</v>
      </c>
      <c r="M65" s="50">
        <v>33</v>
      </c>
      <c r="N65" s="50">
        <v>0</v>
      </c>
      <c r="O65" s="15">
        <f t="shared" si="0"/>
        <v>18</v>
      </c>
      <c r="P65" s="15">
        <f t="shared" si="1"/>
        <v>51</v>
      </c>
      <c r="R65" s="8"/>
      <c r="T65"/>
    </row>
    <row r="66" spans="2:20" ht="23.1" customHeight="1" x14ac:dyDescent="0.25">
      <c r="B66" s="45" t="s">
        <v>103</v>
      </c>
      <c r="C66" s="50">
        <v>8</v>
      </c>
      <c r="D66" s="50">
        <v>1</v>
      </c>
      <c r="E66" s="50">
        <v>5</v>
      </c>
      <c r="F66" s="50">
        <v>3</v>
      </c>
      <c r="G66" s="50">
        <v>0</v>
      </c>
      <c r="H66" s="50">
        <v>2</v>
      </c>
      <c r="I66" s="50">
        <v>2</v>
      </c>
      <c r="J66" s="50">
        <v>2</v>
      </c>
      <c r="K66" s="50">
        <v>0</v>
      </c>
      <c r="L66" s="50">
        <v>0</v>
      </c>
      <c r="M66" s="50">
        <v>33</v>
      </c>
      <c r="N66" s="50">
        <v>0</v>
      </c>
      <c r="O66" s="15">
        <f t="shared" si="0"/>
        <v>23</v>
      </c>
      <c r="P66" s="15">
        <f t="shared" si="1"/>
        <v>56</v>
      </c>
      <c r="R66" s="8"/>
      <c r="T66"/>
    </row>
    <row r="67" spans="2:20" ht="23.1" customHeight="1" x14ac:dyDescent="0.25">
      <c r="B67" s="45" t="s">
        <v>104</v>
      </c>
      <c r="C67" s="50">
        <v>5</v>
      </c>
      <c r="D67" s="50">
        <v>1</v>
      </c>
      <c r="E67" s="50">
        <v>4</v>
      </c>
      <c r="F67" s="50">
        <v>6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26</v>
      </c>
      <c r="N67" s="50">
        <v>0</v>
      </c>
      <c r="O67" s="15">
        <f t="shared" si="0"/>
        <v>17</v>
      </c>
      <c r="P67" s="15">
        <f t="shared" si="1"/>
        <v>43</v>
      </c>
      <c r="R67" s="8"/>
      <c r="T67"/>
    </row>
    <row r="68" spans="2:20" ht="23.1" customHeight="1" x14ac:dyDescent="0.25">
      <c r="B68" s="45" t="s">
        <v>105</v>
      </c>
      <c r="C68" s="50">
        <v>5</v>
      </c>
      <c r="D68" s="50">
        <v>0</v>
      </c>
      <c r="E68" s="50">
        <v>0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1</v>
      </c>
      <c r="M68" s="50">
        <v>17</v>
      </c>
      <c r="N68" s="50">
        <v>0</v>
      </c>
      <c r="O68" s="15">
        <f t="shared" si="0"/>
        <v>8</v>
      </c>
      <c r="P68" s="15">
        <f t="shared" si="1"/>
        <v>25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1</v>
      </c>
      <c r="E69" s="50">
        <v>5</v>
      </c>
      <c r="F69" s="50">
        <v>12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20</v>
      </c>
      <c r="N69" s="50">
        <v>0</v>
      </c>
      <c r="O69" s="15">
        <f t="shared" si="0"/>
        <v>23</v>
      </c>
      <c r="P69" s="15">
        <f t="shared" si="1"/>
        <v>43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2</v>
      </c>
      <c r="G70" s="50">
        <v>0</v>
      </c>
      <c r="H70" s="50">
        <v>0</v>
      </c>
      <c r="I70" s="50">
        <v>0</v>
      </c>
      <c r="J70" s="50">
        <v>0</v>
      </c>
      <c r="K70" s="50">
        <v>1</v>
      </c>
      <c r="L70" s="50">
        <v>1</v>
      </c>
      <c r="M70" s="50">
        <v>21</v>
      </c>
      <c r="N70" s="50">
        <v>0</v>
      </c>
      <c r="O70" s="15">
        <f t="shared" si="0"/>
        <v>5</v>
      </c>
      <c r="P70" s="15">
        <f t="shared" si="1"/>
        <v>26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2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1</v>
      </c>
      <c r="M71" s="50">
        <v>15</v>
      </c>
      <c r="N71" s="50">
        <v>0</v>
      </c>
      <c r="O71" s="15">
        <f t="shared" si="0"/>
        <v>6</v>
      </c>
      <c r="P71" s="15">
        <f t="shared" si="1"/>
        <v>21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26</v>
      </c>
      <c r="N72" s="50">
        <v>0</v>
      </c>
      <c r="O72" s="15">
        <f t="shared" si="0"/>
        <v>4</v>
      </c>
      <c r="P72" s="15">
        <f t="shared" si="1"/>
        <v>30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15</v>
      </c>
      <c r="N73" s="50">
        <v>0</v>
      </c>
      <c r="O73" s="15">
        <f t="shared" si="0"/>
        <v>3</v>
      </c>
      <c r="P73" s="15">
        <f t="shared" si="1"/>
        <v>18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1</v>
      </c>
      <c r="M74" s="50">
        <v>8</v>
      </c>
      <c r="N74" s="50">
        <v>0</v>
      </c>
      <c r="O74" s="15">
        <f t="shared" ref="O74:O105" si="35">SUM(C74:L74,N74)</f>
        <v>4</v>
      </c>
      <c r="P74" s="15">
        <f t="shared" ref="P74:P105" si="36">SUM(C74:N74)</f>
        <v>12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6</v>
      </c>
      <c r="N75" s="50">
        <v>0</v>
      </c>
      <c r="O75" s="15">
        <f t="shared" si="35"/>
        <v>1</v>
      </c>
      <c r="P75" s="15">
        <f t="shared" si="36"/>
        <v>7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1</v>
      </c>
      <c r="L77" s="50">
        <v>0</v>
      </c>
      <c r="M77" s="50">
        <v>8</v>
      </c>
      <c r="N77" s="50">
        <v>0</v>
      </c>
      <c r="O77" s="15">
        <f t="shared" si="35"/>
        <v>2</v>
      </c>
      <c r="P77" s="15">
        <f t="shared" si="36"/>
        <v>10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5</v>
      </c>
      <c r="N78" s="50">
        <v>0</v>
      </c>
      <c r="O78" s="15">
        <f t="shared" si="35"/>
        <v>1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0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1</v>
      </c>
      <c r="P81" s="15">
        <f t="shared" si="36"/>
        <v>4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6</v>
      </c>
      <c r="N82" s="50">
        <v>0</v>
      </c>
      <c r="O82" s="15">
        <f t="shared" si="35"/>
        <v>0</v>
      </c>
      <c r="P82" s="15">
        <f t="shared" si="36"/>
        <v>6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0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0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0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1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0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1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7</v>
      </c>
      <c r="N103" s="50">
        <v>0</v>
      </c>
      <c r="O103" s="15">
        <f t="shared" si="35"/>
        <v>0</v>
      </c>
      <c r="P103" s="15">
        <f t="shared" si="36"/>
        <v>7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1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5">
        <f t="shared" si="35"/>
        <v>2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27</v>
      </c>
      <c r="N105" s="50">
        <v>0</v>
      </c>
      <c r="O105" s="15">
        <f t="shared" si="35"/>
        <v>1</v>
      </c>
      <c r="P105" s="15">
        <f t="shared" si="36"/>
        <v>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418</v>
      </c>
      <c r="D106" s="16">
        <f t="shared" ref="D106:P106" si="37">SUM(D10:D105)</f>
        <v>95</v>
      </c>
      <c r="E106" s="16">
        <f t="shared" si="37"/>
        <v>282</v>
      </c>
      <c r="F106" s="16">
        <f t="shared" si="37"/>
        <v>117</v>
      </c>
      <c r="G106" s="16">
        <f t="shared" si="37"/>
        <v>12</v>
      </c>
      <c r="H106" s="16">
        <f t="shared" si="37"/>
        <v>14</v>
      </c>
      <c r="I106" s="16">
        <f t="shared" si="37"/>
        <v>118</v>
      </c>
      <c r="J106" s="16">
        <f t="shared" si="37"/>
        <v>35</v>
      </c>
      <c r="K106" s="16">
        <f t="shared" si="37"/>
        <v>3</v>
      </c>
      <c r="L106" s="16">
        <f t="shared" si="37"/>
        <v>12</v>
      </c>
      <c r="M106" s="16">
        <f t="shared" si="37"/>
        <v>2658</v>
      </c>
      <c r="N106" s="16">
        <f t="shared" si="37"/>
        <v>1</v>
      </c>
      <c r="O106" s="16">
        <f t="shared" si="37"/>
        <v>1107</v>
      </c>
      <c r="P106" s="16">
        <f t="shared" si="37"/>
        <v>3765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0.11102257636122179</v>
      </c>
      <c r="D107" s="43">
        <f t="shared" si="38"/>
        <v>2.5232403718459494E-2</v>
      </c>
      <c r="E107" s="43">
        <f t="shared" si="38"/>
        <v>7.4900398406374497E-2</v>
      </c>
      <c r="F107" s="43">
        <f t="shared" si="38"/>
        <v>3.1075697211155377E-2</v>
      </c>
      <c r="G107" s="43">
        <f t="shared" si="38"/>
        <v>3.1872509960159364E-3</v>
      </c>
      <c r="H107" s="43">
        <f t="shared" si="38"/>
        <v>3.7184594953519256E-3</v>
      </c>
      <c r="I107" s="43">
        <f t="shared" si="38"/>
        <v>3.1341301460823374E-2</v>
      </c>
      <c r="J107" s="43">
        <f t="shared" si="38"/>
        <v>9.2961487383798145E-3</v>
      </c>
      <c r="K107" s="43">
        <f t="shared" si="38"/>
        <v>7.9681274900398409E-4</v>
      </c>
      <c r="L107" s="43">
        <f t="shared" si="38"/>
        <v>3.1872509960159364E-3</v>
      </c>
      <c r="M107" s="43">
        <f t="shared" si="38"/>
        <v>0.70597609561752983</v>
      </c>
      <c r="N107" s="43">
        <f t="shared" si="38"/>
        <v>2.6560424966799468E-4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0.37759710930442636</v>
      </c>
      <c r="D108" s="44">
        <f t="shared" ref="D108:N108" si="39">D106/$O$106</f>
        <v>8.5817524841915085E-2</v>
      </c>
      <c r="E108" s="44">
        <f t="shared" si="39"/>
        <v>0.25474254742547425</v>
      </c>
      <c r="F108" s="44">
        <f t="shared" si="39"/>
        <v>0.10569105691056911</v>
      </c>
      <c r="G108" s="44">
        <f t="shared" si="39"/>
        <v>1.0840108401084011E-2</v>
      </c>
      <c r="H108" s="44">
        <f t="shared" si="39"/>
        <v>1.2646793134598013E-2</v>
      </c>
      <c r="I108" s="44">
        <f t="shared" si="39"/>
        <v>0.10659439927732611</v>
      </c>
      <c r="J108" s="44">
        <f t="shared" si="39"/>
        <v>3.1616982836495035E-2</v>
      </c>
      <c r="K108" s="44">
        <f t="shared" si="39"/>
        <v>2.7100271002710027E-3</v>
      </c>
      <c r="L108" s="44">
        <f t="shared" si="39"/>
        <v>1.0840108401084011E-2</v>
      </c>
      <c r="M108" s="44"/>
      <c r="N108" s="44">
        <f t="shared" si="39"/>
        <v>9.0334236675700087E-4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0" zoomScale="60" workbookViewId="0">
      <selection activeCell="E100" sqref="E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Koboko-Arua-24h'!D5</f>
        <v>03.08.19</v>
      </c>
      <c r="E5" s="3"/>
      <c r="F5" s="41" t="s">
        <v>1</v>
      </c>
      <c r="G5" s="66" t="str">
        <f>'03.08 Koboko-Arua-24h'!G5:H5</f>
        <v>xxx</v>
      </c>
      <c r="H5" s="67"/>
      <c r="I5" s="14"/>
      <c r="J5" s="2" t="s">
        <v>5</v>
      </c>
      <c r="K5" s="66" t="str">
        <f>'03.08 Koboko-Arua-24h'!K5:L5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Arua-Koboko'!D6:E6</f>
        <v>Arua</v>
      </c>
      <c r="E6" s="67"/>
      <c r="F6" s="2" t="s">
        <v>2</v>
      </c>
      <c r="G6" s="66" t="str">
        <f>'31.07 Arua-Koboko'!G6:H6</f>
        <v>Koboko</v>
      </c>
      <c r="H6" s="67"/>
      <c r="J6" s="2" t="s">
        <v>21</v>
      </c>
      <c r="K6" s="66" t="str">
        <f>'03.08 Koboko-Arua-24h'!K6:L6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10</v>
      </c>
      <c r="D10" s="50">
        <v>1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50</v>
      </c>
      <c r="N10" s="50">
        <v>0</v>
      </c>
      <c r="O10" s="15">
        <f t="shared" ref="O10:O73" si="0">SUM(C10:L10,N10)</f>
        <v>13</v>
      </c>
      <c r="P10" s="15">
        <f t="shared" ref="P10:P73" si="1">SUM(C10:N10)</f>
        <v>63</v>
      </c>
      <c r="R10" s="1" t="s">
        <v>6</v>
      </c>
      <c r="S10" s="17">
        <f t="shared" ref="S10:AF10" si="2">SUM(C10:C13)</f>
        <v>25</v>
      </c>
      <c r="T10" s="17">
        <f t="shared" si="2"/>
        <v>3</v>
      </c>
      <c r="U10" s="17">
        <f t="shared" si="2"/>
        <v>5</v>
      </c>
      <c r="V10" s="17">
        <f t="shared" si="2"/>
        <v>3</v>
      </c>
      <c r="W10" s="17">
        <f t="shared" si="2"/>
        <v>0</v>
      </c>
      <c r="X10" s="17">
        <f t="shared" si="2"/>
        <v>1</v>
      </c>
      <c r="Y10" s="17">
        <f t="shared" si="2"/>
        <v>4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147</v>
      </c>
      <c r="AD10" s="17">
        <f t="shared" si="2"/>
        <v>0</v>
      </c>
      <c r="AE10" s="31">
        <f t="shared" si="2"/>
        <v>43</v>
      </c>
      <c r="AF10" s="31">
        <f t="shared" si="2"/>
        <v>190</v>
      </c>
    </row>
    <row r="11" spans="2:32" s="6" customFormat="1" ht="23.1" customHeight="1" x14ac:dyDescent="0.25">
      <c r="B11" s="45" t="s">
        <v>38</v>
      </c>
      <c r="C11" s="50">
        <v>6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30</v>
      </c>
      <c r="N11" s="50">
        <v>0</v>
      </c>
      <c r="O11" s="15">
        <f t="shared" si="0"/>
        <v>7</v>
      </c>
      <c r="P11" s="15">
        <f t="shared" si="1"/>
        <v>37</v>
      </c>
      <c r="R11" s="1" t="s">
        <v>7</v>
      </c>
      <c r="S11" s="17">
        <f t="shared" ref="S11:AF11" si="3">SUM(C14:C17)</f>
        <v>30</v>
      </c>
      <c r="T11" s="17">
        <f t="shared" si="3"/>
        <v>8</v>
      </c>
      <c r="U11" s="17">
        <f t="shared" si="3"/>
        <v>11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9</v>
      </c>
      <c r="AA11" s="17">
        <f t="shared" si="3"/>
        <v>0</v>
      </c>
      <c r="AB11" s="17">
        <f t="shared" si="3"/>
        <v>1</v>
      </c>
      <c r="AC11" s="17">
        <f t="shared" si="3"/>
        <v>112</v>
      </c>
      <c r="AD11" s="17">
        <f t="shared" si="3"/>
        <v>0</v>
      </c>
      <c r="AE11" s="31">
        <f t="shared" si="3"/>
        <v>72</v>
      </c>
      <c r="AF11" s="31">
        <f t="shared" si="3"/>
        <v>184</v>
      </c>
    </row>
    <row r="12" spans="2:32" ht="23.1" customHeight="1" x14ac:dyDescent="0.25">
      <c r="B12" s="45" t="s">
        <v>39</v>
      </c>
      <c r="C12" s="50">
        <v>7</v>
      </c>
      <c r="D12" s="50">
        <v>2</v>
      </c>
      <c r="E12" s="50">
        <v>3</v>
      </c>
      <c r="F12" s="50">
        <v>2</v>
      </c>
      <c r="G12" s="50">
        <v>0</v>
      </c>
      <c r="H12" s="50">
        <v>0</v>
      </c>
      <c r="I12" s="50">
        <v>2</v>
      </c>
      <c r="J12" s="50">
        <v>2</v>
      </c>
      <c r="K12" s="50">
        <v>0</v>
      </c>
      <c r="L12" s="50">
        <v>0</v>
      </c>
      <c r="M12" s="50">
        <v>42</v>
      </c>
      <c r="N12" s="50">
        <v>0</v>
      </c>
      <c r="O12" s="15">
        <f t="shared" si="0"/>
        <v>18</v>
      </c>
      <c r="P12" s="15">
        <f t="shared" si="1"/>
        <v>60</v>
      </c>
      <c r="R12" s="1" t="s">
        <v>8</v>
      </c>
      <c r="S12" s="17">
        <f t="shared" ref="S12:AF12" si="4">SUM(C18:C21)</f>
        <v>32</v>
      </c>
      <c r="T12" s="17">
        <f t="shared" si="4"/>
        <v>10</v>
      </c>
      <c r="U12" s="17">
        <f t="shared" si="4"/>
        <v>12</v>
      </c>
      <c r="V12" s="17">
        <f t="shared" si="4"/>
        <v>6</v>
      </c>
      <c r="W12" s="17">
        <f t="shared" si="4"/>
        <v>0</v>
      </c>
      <c r="X12" s="17">
        <f t="shared" si="4"/>
        <v>1</v>
      </c>
      <c r="Y12" s="17">
        <f t="shared" si="4"/>
        <v>6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117</v>
      </c>
      <c r="AD12" s="17">
        <f t="shared" si="4"/>
        <v>0</v>
      </c>
      <c r="AE12" s="31">
        <f t="shared" si="4"/>
        <v>75</v>
      </c>
      <c r="AF12" s="31">
        <f t="shared" si="4"/>
        <v>192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1</v>
      </c>
      <c r="G13" s="50">
        <v>0</v>
      </c>
      <c r="H13" s="50">
        <v>1</v>
      </c>
      <c r="I13" s="50">
        <v>1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5</v>
      </c>
      <c r="P13" s="15">
        <f t="shared" si="1"/>
        <v>30</v>
      </c>
      <c r="R13" s="1" t="s">
        <v>9</v>
      </c>
      <c r="S13" s="17">
        <f t="shared" ref="S13:AF13" si="5">SUM(C22:C25)</f>
        <v>39</v>
      </c>
      <c r="T13" s="17">
        <f t="shared" si="5"/>
        <v>12</v>
      </c>
      <c r="U13" s="17">
        <f t="shared" si="5"/>
        <v>12</v>
      </c>
      <c r="V13" s="17">
        <f t="shared" si="5"/>
        <v>4</v>
      </c>
      <c r="W13" s="17">
        <f t="shared" si="5"/>
        <v>1</v>
      </c>
      <c r="X13" s="17">
        <f t="shared" si="5"/>
        <v>1</v>
      </c>
      <c r="Y13" s="17">
        <f t="shared" si="5"/>
        <v>5</v>
      </c>
      <c r="Z13" s="17">
        <f t="shared" si="5"/>
        <v>5</v>
      </c>
      <c r="AA13" s="17">
        <f t="shared" si="5"/>
        <v>0</v>
      </c>
      <c r="AB13" s="17">
        <f t="shared" si="5"/>
        <v>1</v>
      </c>
      <c r="AC13" s="17">
        <f t="shared" si="5"/>
        <v>157</v>
      </c>
      <c r="AD13" s="17">
        <f t="shared" si="5"/>
        <v>0</v>
      </c>
      <c r="AE13" s="31">
        <f t="shared" si="5"/>
        <v>80</v>
      </c>
      <c r="AF13" s="31">
        <f t="shared" si="5"/>
        <v>237</v>
      </c>
    </row>
    <row r="14" spans="2:32" ht="23.1" customHeight="1" x14ac:dyDescent="0.25">
      <c r="B14" s="45" t="s">
        <v>41</v>
      </c>
      <c r="C14" s="50">
        <v>7</v>
      </c>
      <c r="D14" s="50">
        <v>4</v>
      </c>
      <c r="E14" s="50">
        <v>5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17</v>
      </c>
      <c r="P14" s="15">
        <f t="shared" si="1"/>
        <v>47</v>
      </c>
      <c r="R14" s="1" t="s">
        <v>10</v>
      </c>
      <c r="S14" s="17">
        <f t="shared" ref="S14:AF14" si="6">SUM(C26:C29)</f>
        <v>43</v>
      </c>
      <c r="T14" s="17">
        <f t="shared" si="6"/>
        <v>7</v>
      </c>
      <c r="U14" s="17">
        <f t="shared" si="6"/>
        <v>10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2</v>
      </c>
      <c r="AA14" s="17">
        <f t="shared" si="6"/>
        <v>0</v>
      </c>
      <c r="AB14" s="17">
        <f t="shared" si="6"/>
        <v>2</v>
      </c>
      <c r="AC14" s="17">
        <f t="shared" si="6"/>
        <v>129</v>
      </c>
      <c r="AD14" s="17">
        <f t="shared" si="6"/>
        <v>0</v>
      </c>
      <c r="AE14" s="31">
        <f t="shared" si="6"/>
        <v>68</v>
      </c>
      <c r="AF14" s="31">
        <f t="shared" si="6"/>
        <v>197</v>
      </c>
    </row>
    <row r="15" spans="2:32" ht="23.1" customHeight="1" x14ac:dyDescent="0.25">
      <c r="B15" s="45" t="s">
        <v>42</v>
      </c>
      <c r="C15" s="50">
        <v>10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4</v>
      </c>
      <c r="K15" s="50">
        <v>0</v>
      </c>
      <c r="L15" s="50">
        <v>1</v>
      </c>
      <c r="M15" s="50">
        <v>36</v>
      </c>
      <c r="N15" s="50">
        <v>0</v>
      </c>
      <c r="O15" s="15">
        <f t="shared" si="0"/>
        <v>17</v>
      </c>
      <c r="P15" s="15">
        <f t="shared" si="1"/>
        <v>53</v>
      </c>
      <c r="R15" s="1" t="s">
        <v>11</v>
      </c>
      <c r="S15" s="17">
        <f t="shared" ref="S15:AF15" si="7">SUM(C30:C33)</f>
        <v>36</v>
      </c>
      <c r="T15" s="17">
        <f t="shared" si="7"/>
        <v>7</v>
      </c>
      <c r="U15" s="17">
        <f t="shared" si="7"/>
        <v>10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7</v>
      </c>
      <c r="AA15" s="17">
        <f t="shared" si="7"/>
        <v>0</v>
      </c>
      <c r="AB15" s="17">
        <f t="shared" si="7"/>
        <v>2</v>
      </c>
      <c r="AC15" s="17">
        <f t="shared" si="7"/>
        <v>123</v>
      </c>
      <c r="AD15" s="17">
        <f t="shared" si="7"/>
        <v>0</v>
      </c>
      <c r="AE15" s="31">
        <f t="shared" si="7"/>
        <v>77</v>
      </c>
      <c r="AF15" s="31">
        <f t="shared" si="7"/>
        <v>200</v>
      </c>
    </row>
    <row r="16" spans="2:32" ht="23.1" customHeight="1" x14ac:dyDescent="0.25">
      <c r="B16" s="45" t="s">
        <v>43</v>
      </c>
      <c r="C16" s="50">
        <v>2</v>
      </c>
      <c r="D16" s="50">
        <v>2</v>
      </c>
      <c r="E16" s="50">
        <v>3</v>
      </c>
      <c r="F16" s="50">
        <v>1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11</v>
      </c>
      <c r="P16" s="15">
        <f t="shared" si="1"/>
        <v>33</v>
      </c>
      <c r="R16" s="1" t="s">
        <v>12</v>
      </c>
      <c r="S16" s="17">
        <f t="shared" ref="S16:AF16" si="8">SUM(C34:C37)</f>
        <v>21</v>
      </c>
      <c r="T16" s="17">
        <f t="shared" si="8"/>
        <v>6</v>
      </c>
      <c r="U16" s="17">
        <f t="shared" si="8"/>
        <v>6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4</v>
      </c>
      <c r="AA16" s="17">
        <f t="shared" si="8"/>
        <v>0</v>
      </c>
      <c r="AB16" s="17">
        <f t="shared" si="8"/>
        <v>1</v>
      </c>
      <c r="AC16" s="17">
        <f t="shared" si="8"/>
        <v>129</v>
      </c>
      <c r="AD16" s="17">
        <f t="shared" si="8"/>
        <v>0</v>
      </c>
      <c r="AE16" s="31">
        <f t="shared" si="8"/>
        <v>41</v>
      </c>
      <c r="AF16" s="31">
        <f t="shared" si="8"/>
        <v>170</v>
      </c>
    </row>
    <row r="17" spans="2:32" ht="23.1" customHeight="1" x14ac:dyDescent="0.25">
      <c r="B17" s="45" t="s">
        <v>44</v>
      </c>
      <c r="C17" s="50">
        <v>11</v>
      </c>
      <c r="D17" s="50">
        <v>2</v>
      </c>
      <c r="E17" s="50">
        <v>3</v>
      </c>
      <c r="F17" s="50">
        <v>4</v>
      </c>
      <c r="G17" s="50">
        <v>0</v>
      </c>
      <c r="H17" s="50">
        <v>0</v>
      </c>
      <c r="I17" s="50">
        <v>3</v>
      </c>
      <c r="J17" s="50">
        <v>4</v>
      </c>
      <c r="K17" s="50">
        <v>0</v>
      </c>
      <c r="L17" s="50">
        <v>0</v>
      </c>
      <c r="M17" s="50">
        <v>24</v>
      </c>
      <c r="N17" s="50">
        <v>0</v>
      </c>
      <c r="O17" s="15">
        <f t="shared" si="0"/>
        <v>27</v>
      </c>
      <c r="P17" s="15">
        <f t="shared" si="1"/>
        <v>51</v>
      </c>
      <c r="R17" s="1" t="s">
        <v>13</v>
      </c>
      <c r="S17" s="17">
        <f t="shared" ref="S17:AF17" si="9">SUM(C38:C41)</f>
        <v>38</v>
      </c>
      <c r="T17" s="17">
        <f t="shared" si="9"/>
        <v>7</v>
      </c>
      <c r="U17" s="17">
        <f t="shared" si="9"/>
        <v>8</v>
      </c>
      <c r="V17" s="17">
        <f t="shared" si="9"/>
        <v>4</v>
      </c>
      <c r="W17" s="17">
        <f t="shared" si="9"/>
        <v>0</v>
      </c>
      <c r="X17" s="17">
        <f t="shared" si="9"/>
        <v>2</v>
      </c>
      <c r="Y17" s="17">
        <f t="shared" si="9"/>
        <v>0</v>
      </c>
      <c r="Z17" s="17">
        <f t="shared" si="9"/>
        <v>10</v>
      </c>
      <c r="AA17" s="17">
        <f t="shared" si="9"/>
        <v>0</v>
      </c>
      <c r="AB17" s="17">
        <f t="shared" si="9"/>
        <v>0</v>
      </c>
      <c r="AC17" s="17">
        <f t="shared" si="9"/>
        <v>127</v>
      </c>
      <c r="AD17" s="17">
        <f t="shared" si="9"/>
        <v>0</v>
      </c>
      <c r="AE17" s="31">
        <f t="shared" si="9"/>
        <v>69</v>
      </c>
      <c r="AF17" s="31">
        <f t="shared" si="9"/>
        <v>196</v>
      </c>
    </row>
    <row r="18" spans="2:32" ht="23.1" customHeight="1" x14ac:dyDescent="0.25">
      <c r="B18" s="45" t="s">
        <v>45</v>
      </c>
      <c r="C18" s="50">
        <v>7</v>
      </c>
      <c r="D18" s="50">
        <v>3</v>
      </c>
      <c r="E18" s="50">
        <v>3</v>
      </c>
      <c r="F18" s="50">
        <v>2</v>
      </c>
      <c r="G18" s="50">
        <v>0</v>
      </c>
      <c r="H18" s="50">
        <v>0</v>
      </c>
      <c r="I18" s="50">
        <v>1</v>
      </c>
      <c r="J18" s="50">
        <v>4</v>
      </c>
      <c r="K18" s="50">
        <v>0</v>
      </c>
      <c r="L18" s="50">
        <v>0</v>
      </c>
      <c r="M18" s="50">
        <v>30</v>
      </c>
      <c r="N18" s="50">
        <v>0</v>
      </c>
      <c r="O18" s="15">
        <f t="shared" si="0"/>
        <v>20</v>
      </c>
      <c r="P18" s="15">
        <f t="shared" si="1"/>
        <v>50</v>
      </c>
      <c r="R18" s="1" t="s">
        <v>14</v>
      </c>
      <c r="S18" s="17">
        <f t="shared" ref="S18:AF18" si="10">SUM(C42:C45)</f>
        <v>41</v>
      </c>
      <c r="T18" s="17">
        <f t="shared" si="10"/>
        <v>3</v>
      </c>
      <c r="U18" s="17">
        <f t="shared" si="10"/>
        <v>4</v>
      </c>
      <c r="V18" s="17">
        <f t="shared" si="10"/>
        <v>2</v>
      </c>
      <c r="W18" s="17">
        <f t="shared" si="10"/>
        <v>0</v>
      </c>
      <c r="X18" s="17">
        <f t="shared" si="10"/>
        <v>2</v>
      </c>
      <c r="Y18" s="17">
        <f t="shared" si="10"/>
        <v>3</v>
      </c>
      <c r="Z18" s="17">
        <f t="shared" si="10"/>
        <v>7</v>
      </c>
      <c r="AA18" s="17">
        <f t="shared" si="10"/>
        <v>0</v>
      </c>
      <c r="AB18" s="17">
        <f t="shared" si="10"/>
        <v>2</v>
      </c>
      <c r="AC18" s="17">
        <f t="shared" si="10"/>
        <v>113</v>
      </c>
      <c r="AD18" s="17">
        <f t="shared" si="10"/>
        <v>0</v>
      </c>
      <c r="AE18" s="31">
        <f t="shared" si="10"/>
        <v>64</v>
      </c>
      <c r="AF18" s="31">
        <f t="shared" si="10"/>
        <v>177</v>
      </c>
    </row>
    <row r="19" spans="2:32" ht="23.1" customHeight="1" x14ac:dyDescent="0.25">
      <c r="B19" s="45" t="s">
        <v>46</v>
      </c>
      <c r="C19" s="50">
        <v>6</v>
      </c>
      <c r="D19" s="50">
        <v>3</v>
      </c>
      <c r="E19" s="50">
        <v>4</v>
      </c>
      <c r="F19" s="50">
        <v>2</v>
      </c>
      <c r="G19" s="50">
        <v>0</v>
      </c>
      <c r="H19" s="50">
        <v>1</v>
      </c>
      <c r="I19" s="50">
        <v>2</v>
      </c>
      <c r="J19" s="50">
        <v>3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21</v>
      </c>
      <c r="P19" s="15">
        <f t="shared" si="1"/>
        <v>36</v>
      </c>
      <c r="R19" s="1" t="s">
        <v>15</v>
      </c>
      <c r="S19" s="17">
        <f t="shared" ref="S19:AF19" si="11">SUM(C46:C49)</f>
        <v>22</v>
      </c>
      <c r="T19" s="17">
        <f t="shared" si="11"/>
        <v>8</v>
      </c>
      <c r="U19" s="17">
        <f t="shared" si="11"/>
        <v>8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5</v>
      </c>
      <c r="AA19" s="17">
        <f t="shared" si="11"/>
        <v>0</v>
      </c>
      <c r="AB19" s="17">
        <f t="shared" si="11"/>
        <v>1</v>
      </c>
      <c r="AC19" s="17">
        <f t="shared" si="11"/>
        <v>113</v>
      </c>
      <c r="AD19" s="17">
        <f t="shared" si="11"/>
        <v>0</v>
      </c>
      <c r="AE19" s="31">
        <f t="shared" si="11"/>
        <v>52</v>
      </c>
      <c r="AF19" s="31">
        <f t="shared" si="11"/>
        <v>165</v>
      </c>
    </row>
    <row r="20" spans="2:32" ht="23.1" customHeight="1" x14ac:dyDescent="0.25">
      <c r="B20" s="45" t="s">
        <v>47</v>
      </c>
      <c r="C20" s="50">
        <v>11</v>
      </c>
      <c r="D20" s="50">
        <v>2</v>
      </c>
      <c r="E20" s="50">
        <v>3</v>
      </c>
      <c r="F20" s="50">
        <v>0</v>
      </c>
      <c r="G20" s="50">
        <v>0</v>
      </c>
      <c r="H20" s="50">
        <v>0</v>
      </c>
      <c r="I20" s="50">
        <v>3</v>
      </c>
      <c r="J20" s="50"/>
      <c r="K20" s="50">
        <v>0</v>
      </c>
      <c r="L20" s="50">
        <v>0</v>
      </c>
      <c r="M20" s="50">
        <v>36</v>
      </c>
      <c r="N20" s="50">
        <v>0</v>
      </c>
      <c r="O20" s="15">
        <f t="shared" si="0"/>
        <v>19</v>
      </c>
      <c r="P20" s="15">
        <f t="shared" si="1"/>
        <v>55</v>
      </c>
      <c r="R20" s="1" t="s">
        <v>16</v>
      </c>
      <c r="S20" s="17">
        <f t="shared" ref="S20:AF20" si="12">SUM(C50:C53)</f>
        <v>27</v>
      </c>
      <c r="T20" s="17">
        <f t="shared" si="12"/>
        <v>4</v>
      </c>
      <c r="U20" s="17">
        <f t="shared" si="12"/>
        <v>7</v>
      </c>
      <c r="V20" s="17">
        <f t="shared" si="12"/>
        <v>1</v>
      </c>
      <c r="W20" s="17">
        <f t="shared" si="12"/>
        <v>2</v>
      </c>
      <c r="X20" s="17">
        <f t="shared" si="12"/>
        <v>0</v>
      </c>
      <c r="Y20" s="17">
        <f t="shared" si="12"/>
        <v>4</v>
      </c>
      <c r="Z20" s="17">
        <f t="shared" si="12"/>
        <v>7</v>
      </c>
      <c r="AA20" s="17">
        <f t="shared" si="12"/>
        <v>0</v>
      </c>
      <c r="AB20" s="17">
        <f t="shared" si="12"/>
        <v>0</v>
      </c>
      <c r="AC20" s="17">
        <f t="shared" si="12"/>
        <v>164</v>
      </c>
      <c r="AD20" s="17">
        <f t="shared" si="12"/>
        <v>0</v>
      </c>
      <c r="AE20" s="31">
        <f t="shared" si="12"/>
        <v>52</v>
      </c>
      <c r="AF20" s="31">
        <f t="shared" si="12"/>
        <v>216</v>
      </c>
    </row>
    <row r="21" spans="2:32" ht="23.1" customHeight="1" x14ac:dyDescent="0.25">
      <c r="B21" s="45" t="s">
        <v>48</v>
      </c>
      <c r="C21" s="50">
        <v>8</v>
      </c>
      <c r="D21" s="50">
        <v>2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36</v>
      </c>
      <c r="N21" s="50">
        <v>0</v>
      </c>
      <c r="O21" s="15">
        <f t="shared" si="0"/>
        <v>15</v>
      </c>
      <c r="P21" s="15">
        <f t="shared" si="1"/>
        <v>51</v>
      </c>
      <c r="R21" s="36" t="s">
        <v>20</v>
      </c>
      <c r="S21" s="34">
        <f t="shared" ref="S21:AF21" si="13">SUM(C54:C57)</f>
        <v>29</v>
      </c>
      <c r="T21" s="17">
        <f t="shared" si="13"/>
        <v>1</v>
      </c>
      <c r="U21" s="17">
        <f t="shared" si="13"/>
        <v>1</v>
      </c>
      <c r="V21" s="17">
        <f t="shared" si="13"/>
        <v>1</v>
      </c>
      <c r="W21" s="17">
        <f t="shared" si="13"/>
        <v>1</v>
      </c>
      <c r="X21" s="17">
        <f t="shared" si="13"/>
        <v>1</v>
      </c>
      <c r="Y21" s="17">
        <f t="shared" si="13"/>
        <v>1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128</v>
      </c>
      <c r="AD21" s="17">
        <f t="shared" si="13"/>
        <v>0</v>
      </c>
      <c r="AE21" s="31">
        <f t="shared" si="13"/>
        <v>40</v>
      </c>
      <c r="AF21" s="31">
        <f t="shared" si="13"/>
        <v>168</v>
      </c>
    </row>
    <row r="22" spans="2:32" ht="23.1" customHeight="1" x14ac:dyDescent="0.25">
      <c r="B22" s="45" t="s">
        <v>49</v>
      </c>
      <c r="C22" s="50">
        <v>13</v>
      </c>
      <c r="D22" s="50">
        <v>3</v>
      </c>
      <c r="E22" s="50">
        <v>3</v>
      </c>
      <c r="F22" s="50">
        <v>1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1</v>
      </c>
      <c r="M22" s="50">
        <v>45</v>
      </c>
      <c r="N22" s="50">
        <v>0</v>
      </c>
      <c r="O22" s="15">
        <f t="shared" si="0"/>
        <v>24</v>
      </c>
      <c r="P22" s="15">
        <f t="shared" si="1"/>
        <v>69</v>
      </c>
      <c r="R22" s="36" t="s">
        <v>146</v>
      </c>
      <c r="S22" s="34">
        <f>SUM(C58:C61)</f>
        <v>35</v>
      </c>
      <c r="T22" s="34">
        <f t="shared" ref="T22:AF22" si="14">SUM(D58:D61)</f>
        <v>2</v>
      </c>
      <c r="U22" s="34">
        <f t="shared" si="14"/>
        <v>3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153</v>
      </c>
      <c r="AD22" s="34">
        <f t="shared" si="14"/>
        <v>0</v>
      </c>
      <c r="AE22" s="31">
        <f t="shared" si="14"/>
        <v>45</v>
      </c>
      <c r="AF22" s="31">
        <f t="shared" si="14"/>
        <v>198</v>
      </c>
    </row>
    <row r="23" spans="2:32" ht="23.1" customHeight="1" x14ac:dyDescent="0.25">
      <c r="B23" s="45" t="s">
        <v>50</v>
      </c>
      <c r="C23" s="50">
        <v>9</v>
      </c>
      <c r="D23" s="50">
        <v>3</v>
      </c>
      <c r="E23" s="50">
        <v>3</v>
      </c>
      <c r="F23" s="50">
        <v>1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42</v>
      </c>
      <c r="N23" s="50">
        <v>0</v>
      </c>
      <c r="O23" s="15">
        <f t="shared" si="0"/>
        <v>19</v>
      </c>
      <c r="P23" s="15">
        <f t="shared" si="1"/>
        <v>61</v>
      </c>
      <c r="R23" s="36" t="s">
        <v>147</v>
      </c>
      <c r="S23" s="34">
        <f>SUM(C62:C65)</f>
        <v>19</v>
      </c>
      <c r="T23" s="34">
        <f t="shared" ref="T23:AF23" si="15">SUM(D62:D65)</f>
        <v>5</v>
      </c>
      <c r="U23" s="34">
        <f t="shared" si="15"/>
        <v>7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1</v>
      </c>
      <c r="AB23" s="34">
        <f t="shared" si="15"/>
        <v>1</v>
      </c>
      <c r="AC23" s="34">
        <f t="shared" si="15"/>
        <v>175</v>
      </c>
      <c r="AD23" s="34">
        <f t="shared" si="15"/>
        <v>0</v>
      </c>
      <c r="AE23" s="31">
        <f t="shared" si="15"/>
        <v>39</v>
      </c>
      <c r="AF23" s="31">
        <f t="shared" si="15"/>
        <v>214</v>
      </c>
    </row>
    <row r="24" spans="2:32" ht="23.1" customHeight="1" x14ac:dyDescent="0.25">
      <c r="B24" s="45" t="s">
        <v>51</v>
      </c>
      <c r="C24" s="50">
        <v>8</v>
      </c>
      <c r="D24" s="50">
        <v>2</v>
      </c>
      <c r="E24" s="50">
        <v>2</v>
      </c>
      <c r="F24" s="50">
        <v>1</v>
      </c>
      <c r="G24" s="50">
        <v>0</v>
      </c>
      <c r="H24" s="50">
        <v>0</v>
      </c>
      <c r="I24" s="50">
        <v>1</v>
      </c>
      <c r="J24" s="50">
        <v>2</v>
      </c>
      <c r="K24" s="50">
        <v>0</v>
      </c>
      <c r="L24" s="50">
        <v>0</v>
      </c>
      <c r="M24" s="50">
        <v>30</v>
      </c>
      <c r="N24" s="50">
        <v>0</v>
      </c>
      <c r="O24" s="15">
        <f t="shared" si="0"/>
        <v>16</v>
      </c>
      <c r="P24" s="15">
        <f t="shared" si="1"/>
        <v>46</v>
      </c>
      <c r="R24" s="36" t="s">
        <v>148</v>
      </c>
      <c r="S24" s="34">
        <f>SUM(C66:C69)</f>
        <v>5</v>
      </c>
      <c r="T24" s="34">
        <f t="shared" ref="T24:AF24" si="16">SUM(D66:D69)</f>
        <v>4</v>
      </c>
      <c r="U24" s="34">
        <f t="shared" si="16"/>
        <v>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104</v>
      </c>
      <c r="AD24" s="34">
        <f t="shared" si="16"/>
        <v>0</v>
      </c>
      <c r="AE24" s="31">
        <f t="shared" si="16"/>
        <v>15</v>
      </c>
      <c r="AF24" s="31">
        <f t="shared" si="16"/>
        <v>119</v>
      </c>
    </row>
    <row r="25" spans="2:32" ht="23.1" customHeight="1" x14ac:dyDescent="0.25">
      <c r="B25" s="45" t="s">
        <v>52</v>
      </c>
      <c r="C25" s="50">
        <v>9</v>
      </c>
      <c r="D25" s="50">
        <v>4</v>
      </c>
      <c r="E25" s="50">
        <v>4</v>
      </c>
      <c r="F25" s="50">
        <v>1</v>
      </c>
      <c r="G25" s="50">
        <v>1</v>
      </c>
      <c r="H25" s="50">
        <v>1</v>
      </c>
      <c r="I25" s="50">
        <v>0</v>
      </c>
      <c r="J25" s="50">
        <v>1</v>
      </c>
      <c r="K25" s="50">
        <v>0</v>
      </c>
      <c r="L25" s="50">
        <v>0</v>
      </c>
      <c r="M25" s="50">
        <v>40</v>
      </c>
      <c r="N25" s="50">
        <v>0</v>
      </c>
      <c r="O25" s="15">
        <f t="shared" si="0"/>
        <v>21</v>
      </c>
      <c r="P25" s="15">
        <f t="shared" si="1"/>
        <v>61</v>
      </c>
      <c r="R25" s="36" t="s">
        <v>149</v>
      </c>
      <c r="S25" s="34">
        <f>SUM(C70:C73)</f>
        <v>7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3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58</v>
      </c>
      <c r="AD25" s="34">
        <f t="shared" si="17"/>
        <v>0</v>
      </c>
      <c r="AE25" s="31">
        <f t="shared" si="17"/>
        <v>10</v>
      </c>
      <c r="AF25" s="31">
        <f t="shared" si="17"/>
        <v>68</v>
      </c>
    </row>
    <row r="26" spans="2:32" ht="23.1" customHeight="1" x14ac:dyDescent="0.25">
      <c r="B26" s="45" t="s">
        <v>53</v>
      </c>
      <c r="C26" s="50">
        <v>16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/>
      <c r="K26" s="50">
        <v>0</v>
      </c>
      <c r="L26" s="50">
        <v>0</v>
      </c>
      <c r="M26" s="50">
        <v>42</v>
      </c>
      <c r="N26" s="50">
        <v>0</v>
      </c>
      <c r="O26" s="15">
        <f t="shared" si="0"/>
        <v>20</v>
      </c>
      <c r="P26" s="15">
        <f t="shared" si="1"/>
        <v>62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24</v>
      </c>
      <c r="AD26" s="34">
        <f t="shared" si="18"/>
        <v>0</v>
      </c>
      <c r="AE26" s="31">
        <f t="shared" si="18"/>
        <v>5</v>
      </c>
      <c r="AF26" s="31">
        <f t="shared" si="18"/>
        <v>29</v>
      </c>
    </row>
    <row r="27" spans="2:32" ht="23.1" customHeight="1" x14ac:dyDescent="0.25">
      <c r="B27" s="45" t="s">
        <v>54</v>
      </c>
      <c r="C27" s="50">
        <v>16</v>
      </c>
      <c r="D27" s="50">
        <v>2</v>
      </c>
      <c r="E27" s="50">
        <v>3</v>
      </c>
      <c r="F27" s="50">
        <v>0</v>
      </c>
      <c r="G27" s="50">
        <v>0</v>
      </c>
      <c r="H27" s="50">
        <v>0</v>
      </c>
      <c r="I27" s="50">
        <v>1</v>
      </c>
      <c r="J27" s="50"/>
      <c r="K27" s="50">
        <v>0</v>
      </c>
      <c r="L27" s="50">
        <v>0</v>
      </c>
      <c r="M27" s="50">
        <v>20</v>
      </c>
      <c r="N27" s="50">
        <v>0</v>
      </c>
      <c r="O27" s="15">
        <f t="shared" si="0"/>
        <v>22</v>
      </c>
      <c r="P27" s="15">
        <f t="shared" si="1"/>
        <v>42</v>
      </c>
      <c r="R27" s="36" t="s">
        <v>151</v>
      </c>
      <c r="S27" s="34">
        <f>SUM(C78:C81)</f>
        <v>1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1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13</v>
      </c>
      <c r="AD27" s="34">
        <f t="shared" si="19"/>
        <v>0</v>
      </c>
      <c r="AE27" s="31">
        <f t="shared" si="19"/>
        <v>4</v>
      </c>
      <c r="AF27" s="31">
        <f t="shared" si="19"/>
        <v>17</v>
      </c>
    </row>
    <row r="28" spans="2:32" ht="23.1" customHeight="1" x14ac:dyDescent="0.25">
      <c r="B28" s="45" t="s">
        <v>55</v>
      </c>
      <c r="C28" s="50">
        <v>7</v>
      </c>
      <c r="D28" s="50">
        <v>1</v>
      </c>
      <c r="E28" s="50">
        <v>3</v>
      </c>
      <c r="F28" s="50">
        <v>0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1</v>
      </c>
      <c r="M28" s="50">
        <v>32</v>
      </c>
      <c r="N28" s="50">
        <v>0</v>
      </c>
      <c r="O28" s="15">
        <f t="shared" si="0"/>
        <v>15</v>
      </c>
      <c r="P28" s="15">
        <f t="shared" si="1"/>
        <v>47</v>
      </c>
      <c r="R28" s="36" t="s">
        <v>152</v>
      </c>
      <c r="S28" s="34">
        <f>SUM(C82:C85)</f>
        <v>2</v>
      </c>
      <c r="T28" s="34">
        <f t="shared" ref="T28:AF28" si="20">SUM(D82:D85)</f>
        <v>1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5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4</v>
      </c>
      <c r="D29" s="50">
        <v>3</v>
      </c>
      <c r="E29" s="50">
        <v>3</v>
      </c>
      <c r="F29" s="50">
        <v>0</v>
      </c>
      <c r="G29" s="50">
        <v>0</v>
      </c>
      <c r="H29" s="50">
        <v>0</v>
      </c>
      <c r="I29" s="50">
        <v>0</v>
      </c>
      <c r="J29" s="50"/>
      <c r="K29" s="50">
        <v>0</v>
      </c>
      <c r="L29" s="50">
        <v>1</v>
      </c>
      <c r="M29" s="50">
        <v>35</v>
      </c>
      <c r="N29" s="50">
        <v>0</v>
      </c>
      <c r="O29" s="15">
        <f t="shared" si="0"/>
        <v>11</v>
      </c>
      <c r="P29" s="15">
        <f t="shared" si="1"/>
        <v>46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3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11</v>
      </c>
      <c r="D30" s="50">
        <v>2</v>
      </c>
      <c r="E30" s="50">
        <v>3</v>
      </c>
      <c r="F30" s="50">
        <v>4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24</v>
      </c>
      <c r="P30" s="15">
        <f t="shared" si="1"/>
        <v>66</v>
      </c>
      <c r="R30" s="36" t="s">
        <v>154</v>
      </c>
      <c r="S30" s="34">
        <f>SUM(C90:C93)</f>
        <v>2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3</v>
      </c>
      <c r="AF30" s="31">
        <f t="shared" si="22"/>
        <v>10</v>
      </c>
    </row>
    <row r="31" spans="2:32" ht="23.1" customHeight="1" x14ac:dyDescent="0.25">
      <c r="B31" s="46" t="s">
        <v>58</v>
      </c>
      <c r="C31" s="50">
        <v>8</v>
      </c>
      <c r="D31" s="50">
        <v>1</v>
      </c>
      <c r="E31" s="50">
        <v>2</v>
      </c>
      <c r="F31" s="50">
        <v>2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2</v>
      </c>
      <c r="M31" s="50">
        <v>30</v>
      </c>
      <c r="N31" s="50">
        <v>0</v>
      </c>
      <c r="O31" s="15">
        <f t="shared" si="0"/>
        <v>17</v>
      </c>
      <c r="P31" s="15">
        <f t="shared" si="1"/>
        <v>47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4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7</v>
      </c>
      <c r="D32" s="50">
        <v>3</v>
      </c>
      <c r="E32" s="50">
        <v>4</v>
      </c>
      <c r="F32" s="50">
        <v>1</v>
      </c>
      <c r="G32" s="50">
        <v>0</v>
      </c>
      <c r="H32" s="50">
        <v>0</v>
      </c>
      <c r="I32" s="50">
        <v>1</v>
      </c>
      <c r="J32" s="50">
        <v>3</v>
      </c>
      <c r="K32" s="50">
        <v>0</v>
      </c>
      <c r="L32" s="50">
        <v>0</v>
      </c>
      <c r="M32" s="50">
        <v>23</v>
      </c>
      <c r="N32" s="50">
        <v>0</v>
      </c>
      <c r="O32" s="15">
        <f t="shared" si="0"/>
        <v>19</v>
      </c>
      <c r="P32" s="15">
        <f t="shared" si="1"/>
        <v>42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2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8</v>
      </c>
      <c r="AD32" s="34">
        <f t="shared" si="24"/>
        <v>0</v>
      </c>
      <c r="AE32" s="31">
        <f t="shared" si="24"/>
        <v>5</v>
      </c>
      <c r="AF32" s="31">
        <f t="shared" si="24"/>
        <v>13</v>
      </c>
    </row>
    <row r="33" spans="2:32" ht="23.1" customHeight="1" x14ac:dyDescent="0.25">
      <c r="B33" s="45" t="s">
        <v>60</v>
      </c>
      <c r="C33" s="50">
        <v>10</v>
      </c>
      <c r="D33" s="50">
        <v>1</v>
      </c>
      <c r="E33" s="50">
        <v>1</v>
      </c>
      <c r="F33" s="50">
        <v>1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28</v>
      </c>
      <c r="N33" s="50">
        <v>0</v>
      </c>
      <c r="O33" s="15">
        <f t="shared" si="0"/>
        <v>17</v>
      </c>
      <c r="P33" s="15">
        <f t="shared" si="1"/>
        <v>45</v>
      </c>
      <c r="R33" s="33" t="s">
        <v>157</v>
      </c>
      <c r="S33" s="34">
        <f>SUM(C102:C105)</f>
        <v>9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1</v>
      </c>
      <c r="X33" s="34">
        <f t="shared" si="25"/>
        <v>26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1</v>
      </c>
      <c r="AC33" s="34">
        <f t="shared" si="25"/>
        <v>24</v>
      </c>
      <c r="AD33" s="34">
        <f t="shared" si="25"/>
        <v>0</v>
      </c>
      <c r="AE33" s="31">
        <f t="shared" si="25"/>
        <v>39</v>
      </c>
      <c r="AF33" s="31">
        <f t="shared" si="25"/>
        <v>63</v>
      </c>
    </row>
    <row r="34" spans="2:32" ht="23.1" customHeight="1" x14ac:dyDescent="0.25">
      <c r="B34" s="46" t="s">
        <v>61</v>
      </c>
      <c r="C34" s="50">
        <v>11</v>
      </c>
      <c r="D34" s="50">
        <v>4</v>
      </c>
      <c r="E34" s="50">
        <v>4</v>
      </c>
      <c r="F34" s="50">
        <v>1</v>
      </c>
      <c r="G34" s="50">
        <v>0</v>
      </c>
      <c r="H34" s="50">
        <v>0</v>
      </c>
      <c r="I34" s="50">
        <v>1</v>
      </c>
      <c r="J34" s="50">
        <v>2</v>
      </c>
      <c r="K34" s="50">
        <v>0</v>
      </c>
      <c r="L34" s="50">
        <v>1</v>
      </c>
      <c r="M34" s="50">
        <v>36</v>
      </c>
      <c r="N34" s="50">
        <v>0</v>
      </c>
      <c r="O34" s="15">
        <f t="shared" si="0"/>
        <v>24</v>
      </c>
      <c r="P34" s="15">
        <f t="shared" si="1"/>
        <v>60</v>
      </c>
      <c r="R34" s="38" t="s">
        <v>90</v>
      </c>
      <c r="S34" s="39">
        <f t="shared" ref="S34:AF34" si="26">MAX(S10:S12)</f>
        <v>32</v>
      </c>
      <c r="T34" s="39">
        <f t="shared" si="26"/>
        <v>10</v>
      </c>
      <c r="U34" s="39">
        <f t="shared" si="26"/>
        <v>12</v>
      </c>
      <c r="V34" s="39">
        <f t="shared" si="26"/>
        <v>7</v>
      </c>
      <c r="W34" s="39">
        <f t="shared" si="26"/>
        <v>0</v>
      </c>
      <c r="X34" s="39">
        <f t="shared" si="26"/>
        <v>1</v>
      </c>
      <c r="Y34" s="39">
        <f t="shared" si="26"/>
        <v>6</v>
      </c>
      <c r="Z34" s="39">
        <f t="shared" si="26"/>
        <v>9</v>
      </c>
      <c r="AA34" s="39">
        <f t="shared" si="26"/>
        <v>0</v>
      </c>
      <c r="AB34" s="39">
        <f t="shared" si="26"/>
        <v>1</v>
      </c>
      <c r="AC34" s="39">
        <f t="shared" si="26"/>
        <v>147</v>
      </c>
      <c r="AD34" s="39">
        <f t="shared" si="26"/>
        <v>0</v>
      </c>
      <c r="AE34" s="40">
        <f t="shared" si="26"/>
        <v>75</v>
      </c>
      <c r="AF34" s="40">
        <f t="shared" si="26"/>
        <v>192</v>
      </c>
    </row>
    <row r="35" spans="2:32" ht="23.1" customHeight="1" x14ac:dyDescent="0.25">
      <c r="B35" s="46" t="s">
        <v>62</v>
      </c>
      <c r="C35" s="50">
        <v>5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/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5</v>
      </c>
      <c r="P35" s="15">
        <f t="shared" si="1"/>
        <v>35</v>
      </c>
      <c r="R35" s="38" t="s">
        <v>91</v>
      </c>
      <c r="S35" s="39">
        <f t="shared" ref="S35:AF35" si="27">MAX(S13:S18)</f>
        <v>43</v>
      </c>
      <c r="T35" s="39">
        <f t="shared" si="27"/>
        <v>12</v>
      </c>
      <c r="U35" s="39">
        <f t="shared" si="27"/>
        <v>12</v>
      </c>
      <c r="V35" s="39">
        <f t="shared" si="27"/>
        <v>8</v>
      </c>
      <c r="W35" s="39">
        <f t="shared" si="27"/>
        <v>1</v>
      </c>
      <c r="X35" s="39">
        <f t="shared" si="27"/>
        <v>2</v>
      </c>
      <c r="Y35" s="39">
        <f t="shared" si="27"/>
        <v>7</v>
      </c>
      <c r="Z35" s="39">
        <f t="shared" si="27"/>
        <v>10</v>
      </c>
      <c r="AA35" s="39">
        <f t="shared" si="27"/>
        <v>0</v>
      </c>
      <c r="AB35" s="39">
        <f t="shared" si="27"/>
        <v>2</v>
      </c>
      <c r="AC35" s="39">
        <f t="shared" si="27"/>
        <v>157</v>
      </c>
      <c r="AD35" s="39">
        <f t="shared" si="27"/>
        <v>0</v>
      </c>
      <c r="AE35" s="40">
        <f t="shared" si="27"/>
        <v>80</v>
      </c>
      <c r="AF35" s="40">
        <f t="shared" si="27"/>
        <v>237</v>
      </c>
    </row>
    <row r="36" spans="2:32" ht="23.1" customHeight="1" x14ac:dyDescent="0.25">
      <c r="B36" s="46" t="s">
        <v>63</v>
      </c>
      <c r="C36" s="50">
        <v>5</v>
      </c>
      <c r="D36" s="50">
        <v>2</v>
      </c>
      <c r="E36" s="50">
        <v>2</v>
      </c>
      <c r="F36" s="50">
        <v>0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12</v>
      </c>
      <c r="P36" s="15">
        <f t="shared" si="1"/>
        <v>44</v>
      </c>
      <c r="R36" s="38" t="s">
        <v>92</v>
      </c>
      <c r="S36" s="39">
        <f t="shared" ref="S36:AF36" si="28">MAX(S19:S21)</f>
        <v>29</v>
      </c>
      <c r="T36" s="39">
        <f t="shared" si="28"/>
        <v>8</v>
      </c>
      <c r="U36" s="39">
        <f t="shared" si="28"/>
        <v>8</v>
      </c>
      <c r="V36" s="39">
        <f t="shared" si="28"/>
        <v>5</v>
      </c>
      <c r="W36" s="39">
        <f t="shared" si="28"/>
        <v>2</v>
      </c>
      <c r="X36" s="39">
        <f t="shared" si="28"/>
        <v>1</v>
      </c>
      <c r="Y36" s="39">
        <f t="shared" si="28"/>
        <v>4</v>
      </c>
      <c r="Z36" s="39">
        <f t="shared" si="28"/>
        <v>7</v>
      </c>
      <c r="AA36" s="39">
        <f t="shared" si="28"/>
        <v>0</v>
      </c>
      <c r="AB36" s="39">
        <f t="shared" si="28"/>
        <v>1</v>
      </c>
      <c r="AC36" s="39">
        <f t="shared" si="28"/>
        <v>164</v>
      </c>
      <c r="AD36" s="39">
        <f t="shared" si="28"/>
        <v>0</v>
      </c>
      <c r="AE36" s="40">
        <f t="shared" si="28"/>
        <v>52</v>
      </c>
      <c r="AF36" s="40">
        <f t="shared" si="28"/>
        <v>216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31</v>
      </c>
      <c r="N37" s="50">
        <v>0</v>
      </c>
      <c r="O37" s="15">
        <f t="shared" si="0"/>
        <v>0</v>
      </c>
      <c r="P37" s="15">
        <f t="shared" si="1"/>
        <v>31</v>
      </c>
      <c r="R37" s="37" t="s">
        <v>85</v>
      </c>
      <c r="S37" s="35">
        <f t="shared" ref="S37:AF37" si="29">SUM(S10:S12)</f>
        <v>87</v>
      </c>
      <c r="T37" s="16">
        <f t="shared" si="29"/>
        <v>21</v>
      </c>
      <c r="U37" s="16">
        <f t="shared" si="29"/>
        <v>28</v>
      </c>
      <c r="V37" s="16">
        <f t="shared" si="29"/>
        <v>16</v>
      </c>
      <c r="W37" s="16">
        <f t="shared" si="29"/>
        <v>0</v>
      </c>
      <c r="X37" s="16">
        <f t="shared" si="29"/>
        <v>2</v>
      </c>
      <c r="Y37" s="16">
        <f t="shared" si="29"/>
        <v>16</v>
      </c>
      <c r="Z37" s="16">
        <f t="shared" si="29"/>
        <v>19</v>
      </c>
      <c r="AA37" s="16">
        <f t="shared" si="29"/>
        <v>0</v>
      </c>
      <c r="AB37" s="16">
        <f t="shared" si="29"/>
        <v>1</v>
      </c>
      <c r="AC37" s="16">
        <f t="shared" si="29"/>
        <v>376</v>
      </c>
      <c r="AD37" s="16">
        <f t="shared" si="29"/>
        <v>0</v>
      </c>
      <c r="AE37" s="32">
        <f t="shared" si="29"/>
        <v>190</v>
      </c>
      <c r="AF37" s="32">
        <f t="shared" si="29"/>
        <v>566</v>
      </c>
    </row>
    <row r="38" spans="2:32" ht="23.1" customHeight="1" x14ac:dyDescent="0.25">
      <c r="B38" s="46" t="s">
        <v>65</v>
      </c>
      <c r="C38" s="50">
        <v>11</v>
      </c>
      <c r="D38" s="50">
        <v>4</v>
      </c>
      <c r="E38" s="50">
        <v>4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23</v>
      </c>
      <c r="P38" s="15">
        <f t="shared" si="1"/>
        <v>63</v>
      </c>
      <c r="R38" s="28" t="s">
        <v>86</v>
      </c>
      <c r="S38" s="16">
        <f t="shared" ref="S38:AF38" si="30">SUM(S13:S18)</f>
        <v>218</v>
      </c>
      <c r="T38" s="16">
        <f t="shared" si="30"/>
        <v>42</v>
      </c>
      <c r="U38" s="16">
        <f t="shared" si="30"/>
        <v>50</v>
      </c>
      <c r="V38" s="16">
        <f t="shared" si="30"/>
        <v>20</v>
      </c>
      <c r="W38" s="16">
        <f t="shared" si="30"/>
        <v>1</v>
      </c>
      <c r="X38" s="16">
        <f t="shared" si="30"/>
        <v>5</v>
      </c>
      <c r="Y38" s="16">
        <f t="shared" si="30"/>
        <v>20</v>
      </c>
      <c r="Z38" s="16">
        <f t="shared" si="30"/>
        <v>35</v>
      </c>
      <c r="AA38" s="16">
        <f t="shared" si="30"/>
        <v>0</v>
      </c>
      <c r="AB38" s="16">
        <f t="shared" si="30"/>
        <v>8</v>
      </c>
      <c r="AC38" s="16">
        <f t="shared" si="30"/>
        <v>778</v>
      </c>
      <c r="AD38" s="16">
        <f t="shared" si="30"/>
        <v>0</v>
      </c>
      <c r="AE38" s="32">
        <f t="shared" si="30"/>
        <v>399</v>
      </c>
      <c r="AF38" s="32">
        <f t="shared" si="30"/>
        <v>1177</v>
      </c>
    </row>
    <row r="39" spans="2:32" ht="23.1" customHeight="1" x14ac:dyDescent="0.25">
      <c r="B39" s="46" t="s">
        <v>66</v>
      </c>
      <c r="C39" s="50">
        <v>13</v>
      </c>
      <c r="D39" s="50">
        <v>2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43</v>
      </c>
      <c r="N39" s="50">
        <v>0</v>
      </c>
      <c r="O39" s="15">
        <f t="shared" si="0"/>
        <v>19</v>
      </c>
      <c r="P39" s="15">
        <f t="shared" si="1"/>
        <v>62</v>
      </c>
      <c r="R39" s="29" t="s">
        <v>87</v>
      </c>
      <c r="S39" s="16">
        <f t="shared" ref="S39:AF39" si="31">SUM(S19:S21)</f>
        <v>78</v>
      </c>
      <c r="T39" s="16">
        <f t="shared" si="31"/>
        <v>13</v>
      </c>
      <c r="U39" s="16">
        <f t="shared" si="31"/>
        <v>16</v>
      </c>
      <c r="V39" s="16">
        <f t="shared" si="31"/>
        <v>7</v>
      </c>
      <c r="W39" s="16">
        <f t="shared" si="31"/>
        <v>3</v>
      </c>
      <c r="X39" s="16">
        <f t="shared" si="31"/>
        <v>1</v>
      </c>
      <c r="Y39" s="16">
        <f t="shared" si="31"/>
        <v>8</v>
      </c>
      <c r="Z39" s="16">
        <f t="shared" si="31"/>
        <v>17</v>
      </c>
      <c r="AA39" s="16">
        <f t="shared" si="31"/>
        <v>0</v>
      </c>
      <c r="AB39" s="16">
        <f t="shared" si="31"/>
        <v>1</v>
      </c>
      <c r="AC39" s="16">
        <f t="shared" si="31"/>
        <v>405</v>
      </c>
      <c r="AD39" s="16">
        <f t="shared" si="31"/>
        <v>0</v>
      </c>
      <c r="AE39" s="32">
        <f t="shared" si="31"/>
        <v>144</v>
      </c>
      <c r="AF39" s="32">
        <f t="shared" si="31"/>
        <v>549</v>
      </c>
    </row>
    <row r="40" spans="2:32" ht="23.1" customHeight="1" x14ac:dyDescent="0.25">
      <c r="B40" s="46" t="s">
        <v>67</v>
      </c>
      <c r="C40" s="50">
        <v>7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5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14</v>
      </c>
      <c r="P40" s="15">
        <f t="shared" si="1"/>
        <v>37</v>
      </c>
      <c r="R40" s="5" t="s">
        <v>17</v>
      </c>
      <c r="S40" s="16">
        <f t="shared" ref="S40:AF40" si="32">SUM(S10:S21)</f>
        <v>383</v>
      </c>
      <c r="T40" s="16">
        <f t="shared" si="32"/>
        <v>76</v>
      </c>
      <c r="U40" s="16">
        <f t="shared" si="32"/>
        <v>94</v>
      </c>
      <c r="V40" s="16">
        <f t="shared" si="32"/>
        <v>43</v>
      </c>
      <c r="W40" s="16">
        <f t="shared" si="32"/>
        <v>4</v>
      </c>
      <c r="X40" s="16">
        <f t="shared" si="32"/>
        <v>8</v>
      </c>
      <c r="Y40" s="16">
        <f t="shared" si="32"/>
        <v>44</v>
      </c>
      <c r="Z40" s="16">
        <f t="shared" si="32"/>
        <v>71</v>
      </c>
      <c r="AA40" s="16">
        <f t="shared" si="32"/>
        <v>0</v>
      </c>
      <c r="AB40" s="16">
        <f t="shared" si="32"/>
        <v>10</v>
      </c>
      <c r="AC40" s="16">
        <f t="shared" si="32"/>
        <v>1559</v>
      </c>
      <c r="AD40" s="16">
        <f t="shared" si="32"/>
        <v>0</v>
      </c>
      <c r="AE40" s="32">
        <f t="shared" si="32"/>
        <v>733</v>
      </c>
      <c r="AF40" s="32">
        <f t="shared" si="32"/>
        <v>2292</v>
      </c>
    </row>
    <row r="41" spans="2:32" ht="23.1" customHeight="1" x14ac:dyDescent="0.25">
      <c r="B41" s="45" t="s">
        <v>68</v>
      </c>
      <c r="C41" s="50">
        <v>7</v>
      </c>
      <c r="D41" s="50">
        <v>1</v>
      </c>
      <c r="E41" s="50">
        <v>1</v>
      </c>
      <c r="F41" s="50">
        <v>0</v>
      </c>
      <c r="G41" s="50">
        <v>0</v>
      </c>
      <c r="H41" s="50">
        <v>2</v>
      </c>
      <c r="I41" s="50">
        <v>0</v>
      </c>
      <c r="J41" s="50">
        <v>2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13</v>
      </c>
      <c r="P41" s="15">
        <f t="shared" si="1"/>
        <v>34</v>
      </c>
      <c r="R41" s="5" t="s">
        <v>159</v>
      </c>
      <c r="S41" s="16">
        <f>SUM(S10:S33)</f>
        <v>471</v>
      </c>
      <c r="T41" s="16">
        <f t="shared" ref="T41:AF41" si="33">SUM(T10:T33)</f>
        <v>90</v>
      </c>
      <c r="U41" s="16">
        <f t="shared" si="33"/>
        <v>112</v>
      </c>
      <c r="V41" s="16">
        <f t="shared" si="33"/>
        <v>56</v>
      </c>
      <c r="W41" s="16">
        <f t="shared" si="33"/>
        <v>5</v>
      </c>
      <c r="X41" s="16">
        <f t="shared" si="33"/>
        <v>39</v>
      </c>
      <c r="Y41" s="16">
        <f t="shared" si="33"/>
        <v>50</v>
      </c>
      <c r="Z41" s="16">
        <f t="shared" si="33"/>
        <v>73</v>
      </c>
      <c r="AA41" s="16">
        <f t="shared" si="33"/>
        <v>1</v>
      </c>
      <c r="AB41" s="16">
        <f t="shared" si="33"/>
        <v>13</v>
      </c>
      <c r="AC41" s="16">
        <f t="shared" si="33"/>
        <v>2137</v>
      </c>
      <c r="AD41" s="16">
        <f t="shared" si="33"/>
        <v>0</v>
      </c>
      <c r="AE41" s="32">
        <f t="shared" si="33"/>
        <v>910</v>
      </c>
      <c r="AF41" s="32">
        <f t="shared" si="33"/>
        <v>3047</v>
      </c>
    </row>
    <row r="42" spans="2:32" ht="23.1" customHeight="1" x14ac:dyDescent="0.25">
      <c r="B42" s="46" t="s">
        <v>69</v>
      </c>
      <c r="C42" s="50">
        <v>4</v>
      </c>
      <c r="D42" s="50">
        <v>2</v>
      </c>
      <c r="E42" s="50">
        <v>2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1</v>
      </c>
      <c r="M42" s="50">
        <v>31</v>
      </c>
      <c r="N42" s="50">
        <v>0</v>
      </c>
      <c r="O42" s="15">
        <f t="shared" si="0"/>
        <v>11</v>
      </c>
      <c r="P42" s="15">
        <f t="shared" si="1"/>
        <v>42</v>
      </c>
      <c r="R42" s="5" t="s">
        <v>160</v>
      </c>
      <c r="S42" s="48">
        <f>S41/S40</f>
        <v>1.2297650130548303</v>
      </c>
      <c r="T42" s="48">
        <f t="shared" ref="T42:AF42" si="34">T41/T40</f>
        <v>1.1842105263157894</v>
      </c>
      <c r="U42" s="48">
        <f t="shared" si="34"/>
        <v>1.1914893617021276</v>
      </c>
      <c r="V42" s="48">
        <f t="shared" si="34"/>
        <v>1.3023255813953489</v>
      </c>
      <c r="W42" s="48">
        <f t="shared" si="34"/>
        <v>1.25</v>
      </c>
      <c r="X42" s="48">
        <f t="shared" si="34"/>
        <v>4.875</v>
      </c>
      <c r="Y42" s="48">
        <f t="shared" si="34"/>
        <v>1.1363636363636365</v>
      </c>
      <c r="Z42" s="48">
        <f t="shared" si="34"/>
        <v>1.028169014084507</v>
      </c>
      <c r="AA42" s="48" t="e">
        <f t="shared" si="34"/>
        <v>#DIV/0!</v>
      </c>
      <c r="AB42" s="48">
        <f t="shared" si="34"/>
        <v>1.3</v>
      </c>
      <c r="AC42" s="48">
        <f t="shared" si="34"/>
        <v>1.3707504810776139</v>
      </c>
      <c r="AD42" s="48" t="e">
        <f t="shared" si="34"/>
        <v>#DIV/0!</v>
      </c>
      <c r="AE42" s="48">
        <f t="shared" si="34"/>
        <v>1.2414733969986358</v>
      </c>
      <c r="AF42" s="48">
        <f t="shared" si="34"/>
        <v>1.3294066317626527</v>
      </c>
    </row>
    <row r="43" spans="2:32" ht="23.1" customHeight="1" x14ac:dyDescent="0.25">
      <c r="B43" s="45" t="s">
        <v>70</v>
      </c>
      <c r="C43" s="50">
        <v>12</v>
      </c>
      <c r="D43" s="50">
        <v>1</v>
      </c>
      <c r="E43" s="50">
        <v>2</v>
      </c>
      <c r="F43" s="50">
        <v>2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0</v>
      </c>
      <c r="M43" s="50">
        <v>36</v>
      </c>
      <c r="N43" s="50">
        <v>0</v>
      </c>
      <c r="O43" s="15">
        <f t="shared" si="0"/>
        <v>21</v>
      </c>
      <c r="P43" s="15">
        <f t="shared" si="1"/>
        <v>57</v>
      </c>
    </row>
    <row r="44" spans="2:32" ht="23.1" customHeight="1" x14ac:dyDescent="0.25">
      <c r="B44" s="47" t="s">
        <v>71</v>
      </c>
      <c r="C44" s="50">
        <v>19</v>
      </c>
      <c r="D44" s="50">
        <v>0</v>
      </c>
      <c r="E44" s="50">
        <v>0</v>
      </c>
      <c r="F44" s="50">
        <v>0</v>
      </c>
      <c r="G44" s="50">
        <v>0</v>
      </c>
      <c r="H44" s="50">
        <v>1</v>
      </c>
      <c r="I44" s="50">
        <v>0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20</v>
      </c>
      <c r="P44" s="15">
        <f t="shared" si="1"/>
        <v>41</v>
      </c>
    </row>
    <row r="45" spans="2:32" ht="23.1" customHeight="1" x14ac:dyDescent="0.25">
      <c r="B45" s="45" t="s">
        <v>72</v>
      </c>
      <c r="C45" s="50">
        <v>6</v>
      </c>
      <c r="D45" s="50">
        <v>0</v>
      </c>
      <c r="E45" s="50">
        <v>0</v>
      </c>
      <c r="F45" s="50">
        <v>0</v>
      </c>
      <c r="G45" s="50">
        <v>0</v>
      </c>
      <c r="H45" s="50">
        <v>1</v>
      </c>
      <c r="I45" s="50">
        <v>0</v>
      </c>
      <c r="J45" s="50">
        <v>4</v>
      </c>
      <c r="K45" s="50">
        <v>0</v>
      </c>
      <c r="L45" s="50">
        <v>1</v>
      </c>
      <c r="M45" s="50">
        <v>25</v>
      </c>
      <c r="N45" s="50">
        <v>0</v>
      </c>
      <c r="O45" s="15">
        <f t="shared" si="0"/>
        <v>12</v>
      </c>
      <c r="P45" s="15">
        <f t="shared" si="1"/>
        <v>37</v>
      </c>
    </row>
    <row r="46" spans="2:32" ht="23.1" customHeight="1" x14ac:dyDescent="0.25">
      <c r="B46" s="46" t="s">
        <v>73</v>
      </c>
      <c r="C46" s="50">
        <v>7</v>
      </c>
      <c r="D46" s="50">
        <v>2</v>
      </c>
      <c r="E46" s="50">
        <v>2</v>
      </c>
      <c r="F46" s="50">
        <v>0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23</v>
      </c>
      <c r="N46" s="50">
        <v>0</v>
      </c>
      <c r="O46" s="15">
        <f t="shared" si="0"/>
        <v>14</v>
      </c>
      <c r="P46" s="15">
        <f t="shared" si="1"/>
        <v>37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2</v>
      </c>
      <c r="E47" s="50">
        <v>2</v>
      </c>
      <c r="F47" s="50">
        <v>2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32</v>
      </c>
      <c r="N47" s="50">
        <v>0</v>
      </c>
      <c r="O47" s="15">
        <f t="shared" si="0"/>
        <v>12</v>
      </c>
      <c r="P47" s="15">
        <f t="shared" si="1"/>
        <v>44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3</v>
      </c>
      <c r="E48" s="50">
        <v>3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1</v>
      </c>
      <c r="M48" s="50">
        <v>29</v>
      </c>
      <c r="N48" s="50">
        <v>0</v>
      </c>
      <c r="O48" s="15">
        <f t="shared" si="0"/>
        <v>13</v>
      </c>
      <c r="P48" s="15">
        <f t="shared" si="1"/>
        <v>42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1</v>
      </c>
      <c r="E49" s="50">
        <v>1</v>
      </c>
      <c r="F49" s="50">
        <v>3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0</v>
      </c>
      <c r="M49" s="50">
        <v>29</v>
      </c>
      <c r="N49" s="50">
        <v>0</v>
      </c>
      <c r="O49" s="15">
        <f t="shared" si="0"/>
        <v>13</v>
      </c>
      <c r="P49" s="15">
        <f t="shared" si="1"/>
        <v>42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0</v>
      </c>
      <c r="F50" s="50">
        <v>0</v>
      </c>
      <c r="G50" s="50">
        <v>1</v>
      </c>
      <c r="H50" s="50">
        <v>0</v>
      </c>
      <c r="I50" s="50">
        <v>1</v>
      </c>
      <c r="J50" s="50">
        <v>2</v>
      </c>
      <c r="K50" s="50">
        <v>0</v>
      </c>
      <c r="L50" s="50">
        <v>0</v>
      </c>
      <c r="M50" s="50">
        <v>40</v>
      </c>
      <c r="N50" s="50">
        <v>0</v>
      </c>
      <c r="O50" s="15">
        <f t="shared" si="0"/>
        <v>8</v>
      </c>
      <c r="P50" s="15">
        <f t="shared" si="1"/>
        <v>48</v>
      </c>
      <c r="R50" s="8"/>
      <c r="T50"/>
    </row>
    <row r="51" spans="2:20" ht="23.1" customHeight="1" x14ac:dyDescent="0.25">
      <c r="B51" s="46" t="s">
        <v>78</v>
      </c>
      <c r="C51" s="50">
        <v>9</v>
      </c>
      <c r="D51" s="50">
        <v>1</v>
      </c>
      <c r="E51" s="50">
        <v>2</v>
      </c>
      <c r="F51" s="50">
        <v>1</v>
      </c>
      <c r="G51" s="50">
        <v>0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28</v>
      </c>
      <c r="N51" s="50">
        <v>0</v>
      </c>
      <c r="O51" s="15">
        <f t="shared" si="0"/>
        <v>16</v>
      </c>
      <c r="P51" s="15">
        <f t="shared" si="1"/>
        <v>44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2</v>
      </c>
      <c r="E52" s="50">
        <v>3</v>
      </c>
      <c r="F52" s="50">
        <v>0</v>
      </c>
      <c r="G52" s="50">
        <v>1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51</v>
      </c>
      <c r="N52" s="50">
        <v>0</v>
      </c>
      <c r="O52" s="15">
        <f t="shared" si="0"/>
        <v>15</v>
      </c>
      <c r="P52" s="15">
        <f t="shared" si="1"/>
        <v>66</v>
      </c>
      <c r="R52" s="8"/>
      <c r="T52"/>
    </row>
    <row r="53" spans="2:20" ht="23.1" customHeight="1" x14ac:dyDescent="0.25">
      <c r="B53" s="45" t="s">
        <v>80</v>
      </c>
      <c r="C53" s="50">
        <v>8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45</v>
      </c>
      <c r="N53" s="50">
        <v>0</v>
      </c>
      <c r="O53" s="15">
        <f t="shared" si="0"/>
        <v>13</v>
      </c>
      <c r="P53" s="15">
        <f t="shared" si="1"/>
        <v>58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0</v>
      </c>
      <c r="G54" s="50">
        <v>1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5</v>
      </c>
      <c r="P54" s="15">
        <f t="shared" si="1"/>
        <v>55</v>
      </c>
      <c r="R54" s="8"/>
      <c r="T54"/>
    </row>
    <row r="55" spans="2:20" ht="23.1" customHeight="1" x14ac:dyDescent="0.25">
      <c r="B55" s="45" t="s">
        <v>82</v>
      </c>
      <c r="C55" s="50">
        <v>15</v>
      </c>
      <c r="D55" s="50">
        <v>0</v>
      </c>
      <c r="E55" s="50">
        <v>0</v>
      </c>
      <c r="F55" s="50">
        <v>1</v>
      </c>
      <c r="G55" s="50">
        <v>0</v>
      </c>
      <c r="H55" s="50">
        <v>1</v>
      </c>
      <c r="I55" s="50">
        <v>0</v>
      </c>
      <c r="J55" s="50">
        <v>2</v>
      </c>
      <c r="K55" s="50">
        <v>0</v>
      </c>
      <c r="L55" s="50">
        <v>0</v>
      </c>
      <c r="M55" s="50">
        <v>40</v>
      </c>
      <c r="N55" s="50">
        <v>0</v>
      </c>
      <c r="O55" s="15">
        <f t="shared" si="0"/>
        <v>19</v>
      </c>
      <c r="P55" s="15">
        <f t="shared" si="1"/>
        <v>59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1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15</v>
      </c>
      <c r="N56" s="50">
        <v>0</v>
      </c>
      <c r="O56" s="15">
        <f t="shared" si="0"/>
        <v>8</v>
      </c>
      <c r="P56" s="15">
        <f t="shared" si="1"/>
        <v>23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23</v>
      </c>
      <c r="N57" s="50">
        <v>0</v>
      </c>
      <c r="O57" s="15">
        <f t="shared" si="0"/>
        <v>8</v>
      </c>
      <c r="P57" s="15">
        <f t="shared" si="1"/>
        <v>31</v>
      </c>
      <c r="R57" s="8"/>
      <c r="T57"/>
    </row>
    <row r="58" spans="2:20" ht="23.1" customHeight="1" x14ac:dyDescent="0.25">
      <c r="B58" s="45" t="s">
        <v>99</v>
      </c>
      <c r="C58" s="50">
        <v>8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10</v>
      </c>
      <c r="N58" s="50">
        <v>0</v>
      </c>
      <c r="O58" s="15">
        <f t="shared" si="0"/>
        <v>9</v>
      </c>
      <c r="P58" s="15">
        <f t="shared" si="1"/>
        <v>19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30</v>
      </c>
      <c r="N59" s="50">
        <v>0</v>
      </c>
      <c r="O59" s="15">
        <f t="shared" si="0"/>
        <v>5</v>
      </c>
      <c r="P59" s="15">
        <f t="shared" si="1"/>
        <v>35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1</v>
      </c>
      <c r="E60" s="50">
        <v>2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55</v>
      </c>
      <c r="N60" s="50">
        <v>0</v>
      </c>
      <c r="O60" s="15">
        <f t="shared" si="0"/>
        <v>14</v>
      </c>
      <c r="P60" s="15">
        <f t="shared" si="1"/>
        <v>69</v>
      </c>
      <c r="R60" s="8"/>
      <c r="T60"/>
    </row>
    <row r="61" spans="2:20" ht="23.1" customHeight="1" x14ac:dyDescent="0.25">
      <c r="B61" s="45" t="s">
        <v>102</v>
      </c>
      <c r="C61" s="50">
        <v>14</v>
      </c>
      <c r="D61" s="50">
        <v>1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58</v>
      </c>
      <c r="N61" s="50">
        <v>0</v>
      </c>
      <c r="O61" s="15">
        <f t="shared" si="0"/>
        <v>17</v>
      </c>
      <c r="P61" s="15">
        <f t="shared" si="1"/>
        <v>75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2</v>
      </c>
      <c r="E62" s="50">
        <v>2</v>
      </c>
      <c r="F62" s="50">
        <v>3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58</v>
      </c>
      <c r="N62" s="50">
        <v>0</v>
      </c>
      <c r="O62" s="15">
        <f t="shared" si="0"/>
        <v>15</v>
      </c>
      <c r="P62" s="15">
        <f t="shared" si="1"/>
        <v>73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1</v>
      </c>
      <c r="E63" s="50">
        <v>2</v>
      </c>
      <c r="F63" s="50">
        <v>2</v>
      </c>
      <c r="G63" s="50">
        <v>0</v>
      </c>
      <c r="H63" s="50">
        <v>0</v>
      </c>
      <c r="I63" s="50">
        <v>0</v>
      </c>
      <c r="J63" s="50">
        <v>0</v>
      </c>
      <c r="K63" s="50">
        <v>1</v>
      </c>
      <c r="L63" s="50">
        <v>1</v>
      </c>
      <c r="M63" s="50">
        <v>44</v>
      </c>
      <c r="N63" s="50">
        <v>0</v>
      </c>
      <c r="O63" s="15">
        <f t="shared" si="0"/>
        <v>12</v>
      </c>
      <c r="P63" s="15">
        <f t="shared" si="1"/>
        <v>56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43</v>
      </c>
      <c r="N64" s="50">
        <v>0</v>
      </c>
      <c r="O64" s="15">
        <f t="shared" si="0"/>
        <v>4</v>
      </c>
      <c r="P64" s="15">
        <f t="shared" si="1"/>
        <v>47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2</v>
      </c>
      <c r="E65" s="50">
        <v>3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30</v>
      </c>
      <c r="N65" s="50">
        <v>0</v>
      </c>
      <c r="O65" s="15">
        <f t="shared" si="0"/>
        <v>8</v>
      </c>
      <c r="P65" s="15">
        <f t="shared" si="1"/>
        <v>38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1</v>
      </c>
      <c r="E66" s="50">
        <v>1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34</v>
      </c>
      <c r="N66" s="50">
        <v>0</v>
      </c>
      <c r="O66" s="15">
        <f t="shared" si="0"/>
        <v>5</v>
      </c>
      <c r="P66" s="15">
        <f t="shared" si="1"/>
        <v>39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2</v>
      </c>
      <c r="E67" s="50">
        <v>3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18</v>
      </c>
      <c r="N67" s="50">
        <v>0</v>
      </c>
      <c r="O67" s="15">
        <f t="shared" si="0"/>
        <v>7</v>
      </c>
      <c r="P67" s="15">
        <f t="shared" si="1"/>
        <v>25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25</v>
      </c>
      <c r="N68" s="50">
        <v>0</v>
      </c>
      <c r="O68" s="15">
        <f t="shared" si="0"/>
        <v>0</v>
      </c>
      <c r="P68" s="15">
        <f t="shared" si="1"/>
        <v>25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1</v>
      </c>
      <c r="E69" s="50">
        <v>1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27</v>
      </c>
      <c r="N69" s="50">
        <v>0</v>
      </c>
      <c r="O69" s="15">
        <f t="shared" si="0"/>
        <v>3</v>
      </c>
      <c r="P69" s="15">
        <f t="shared" si="1"/>
        <v>30</v>
      </c>
      <c r="R69" s="8"/>
      <c r="T69"/>
    </row>
    <row r="70" spans="2:20" ht="23.1" customHeight="1" x14ac:dyDescent="0.25">
      <c r="B70" s="45" t="s">
        <v>110</v>
      </c>
      <c r="C70" s="50">
        <v>5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12</v>
      </c>
      <c r="N70" s="50">
        <v>0</v>
      </c>
      <c r="O70" s="15">
        <f t="shared" si="0"/>
        <v>5</v>
      </c>
      <c r="P70" s="15">
        <f t="shared" si="1"/>
        <v>17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2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16</v>
      </c>
      <c r="N71" s="50">
        <v>0</v>
      </c>
      <c r="O71" s="15">
        <f t="shared" si="0"/>
        <v>2</v>
      </c>
      <c r="P71" s="15">
        <f t="shared" si="1"/>
        <v>18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19</v>
      </c>
      <c r="N72" s="50">
        <v>0</v>
      </c>
      <c r="O72" s="15">
        <f t="shared" si="0"/>
        <v>1</v>
      </c>
      <c r="P72" s="15">
        <f t="shared" si="1"/>
        <v>20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11</v>
      </c>
      <c r="N73" s="50">
        <v>0</v>
      </c>
      <c r="O73" s="15">
        <f t="shared" si="0"/>
        <v>2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7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7</v>
      </c>
      <c r="N75" s="50">
        <v>0</v>
      </c>
      <c r="O75" s="15">
        <f t="shared" si="35"/>
        <v>2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6</v>
      </c>
      <c r="N76" s="50">
        <v>0</v>
      </c>
      <c r="O76" s="15">
        <f t="shared" si="35"/>
        <v>1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4</v>
      </c>
      <c r="N77" s="50">
        <v>0</v>
      </c>
      <c r="O77" s="15">
        <f t="shared" si="35"/>
        <v>2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1</v>
      </c>
      <c r="I79" s="50">
        <v>0</v>
      </c>
      <c r="J79" s="50">
        <v>0</v>
      </c>
      <c r="K79" s="50">
        <v>0</v>
      </c>
      <c r="L79" s="50">
        <v>0</v>
      </c>
      <c r="M79" s="50">
        <v>7</v>
      </c>
      <c r="N79" s="50">
        <v>0</v>
      </c>
      <c r="O79" s="15">
        <f t="shared" si="35"/>
        <v>1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5">
        <f t="shared" si="35"/>
        <v>0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1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3</v>
      </c>
      <c r="P81" s="15">
        <f t="shared" si="36"/>
        <v>5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1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3</v>
      </c>
      <c r="P84" s="15">
        <f t="shared" si="36"/>
        <v>6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0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5">
        <f t="shared" si="35"/>
        <v>1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1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2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1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2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1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5">
        <f t="shared" si="35"/>
        <v>0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4</v>
      </c>
      <c r="N100" s="50">
        <v>0</v>
      </c>
      <c r="O100" s="15">
        <f t="shared" si="35"/>
        <v>1</v>
      </c>
      <c r="P100" s="15">
        <f t="shared" si="36"/>
        <v>5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4</v>
      </c>
      <c r="N102" s="50">
        <v>0</v>
      </c>
      <c r="O102" s="15">
        <f t="shared" si="35"/>
        <v>0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1</v>
      </c>
      <c r="H103" s="50">
        <v>11</v>
      </c>
      <c r="I103" s="50">
        <v>0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5">
        <f t="shared" si="35"/>
        <v>13</v>
      </c>
      <c r="P103" s="15">
        <f t="shared" si="36"/>
        <v>23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5">
        <f t="shared" si="35"/>
        <v>2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0</v>
      </c>
      <c r="E105" s="50">
        <v>0</v>
      </c>
      <c r="F105" s="50">
        <v>1</v>
      </c>
      <c r="G105" s="50">
        <v>0</v>
      </c>
      <c r="H105" s="50">
        <v>15</v>
      </c>
      <c r="I105" s="50">
        <v>0</v>
      </c>
      <c r="J105" s="50">
        <v>0</v>
      </c>
      <c r="K105" s="50">
        <v>0</v>
      </c>
      <c r="L105" s="50">
        <v>1</v>
      </c>
      <c r="M105" s="50">
        <v>0</v>
      </c>
      <c r="N105" s="50">
        <v>0</v>
      </c>
      <c r="O105" s="15">
        <f t="shared" si="35"/>
        <v>24</v>
      </c>
      <c r="P105" s="15">
        <f t="shared" si="36"/>
        <v>24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471</v>
      </c>
      <c r="D106" s="16">
        <f t="shared" ref="D106:P106" si="37">SUM(D10:D105)</f>
        <v>90</v>
      </c>
      <c r="E106" s="16">
        <f t="shared" si="37"/>
        <v>112</v>
      </c>
      <c r="F106" s="16">
        <f t="shared" si="37"/>
        <v>56</v>
      </c>
      <c r="G106" s="16">
        <f t="shared" si="37"/>
        <v>5</v>
      </c>
      <c r="H106" s="16">
        <f t="shared" si="37"/>
        <v>39</v>
      </c>
      <c r="I106" s="16">
        <f t="shared" si="37"/>
        <v>50</v>
      </c>
      <c r="J106" s="16">
        <f t="shared" si="37"/>
        <v>73</v>
      </c>
      <c r="K106" s="16">
        <f t="shared" si="37"/>
        <v>1</v>
      </c>
      <c r="L106" s="16">
        <f t="shared" si="37"/>
        <v>13</v>
      </c>
      <c r="M106" s="16">
        <f t="shared" si="37"/>
        <v>2137</v>
      </c>
      <c r="N106" s="16">
        <f t="shared" si="37"/>
        <v>0</v>
      </c>
      <c r="O106" s="16">
        <f t="shared" si="37"/>
        <v>910</v>
      </c>
      <c r="P106" s="16">
        <f t="shared" si="37"/>
        <v>3047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0.15457827371184771</v>
      </c>
      <c r="D107" s="43">
        <f t="shared" si="38"/>
        <v>2.9537249753856253E-2</v>
      </c>
      <c r="E107" s="43">
        <f t="shared" si="38"/>
        <v>3.675746636035445E-2</v>
      </c>
      <c r="F107" s="43">
        <f t="shared" si="38"/>
        <v>1.8378733180177225E-2</v>
      </c>
      <c r="G107" s="43">
        <f t="shared" si="38"/>
        <v>1.6409583196586807E-3</v>
      </c>
      <c r="H107" s="43">
        <f t="shared" si="38"/>
        <v>1.2799474893337709E-2</v>
      </c>
      <c r="I107" s="43">
        <f t="shared" si="38"/>
        <v>1.6409583196586808E-2</v>
      </c>
      <c r="J107" s="43">
        <f t="shared" si="38"/>
        <v>2.3957991467016739E-2</v>
      </c>
      <c r="K107" s="43">
        <f t="shared" si="38"/>
        <v>3.2819166393173612E-4</v>
      </c>
      <c r="L107" s="43">
        <f t="shared" si="38"/>
        <v>4.2664916311125701E-3</v>
      </c>
      <c r="M107" s="43">
        <f t="shared" si="38"/>
        <v>0.70134558582212014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0.51758241758241763</v>
      </c>
      <c r="D108" s="44">
        <f t="shared" ref="D108:N108" si="39">D106/$O$106</f>
        <v>9.8901098901098897E-2</v>
      </c>
      <c r="E108" s="44">
        <f t="shared" si="39"/>
        <v>0.12307692307692308</v>
      </c>
      <c r="F108" s="44">
        <f t="shared" si="39"/>
        <v>6.1538461538461542E-2</v>
      </c>
      <c r="G108" s="44">
        <f t="shared" si="39"/>
        <v>5.4945054945054949E-3</v>
      </c>
      <c r="H108" s="44">
        <f t="shared" si="39"/>
        <v>4.2857142857142858E-2</v>
      </c>
      <c r="I108" s="44">
        <f t="shared" si="39"/>
        <v>5.4945054945054944E-2</v>
      </c>
      <c r="J108" s="44">
        <f t="shared" si="39"/>
        <v>8.0219780219780226E-2</v>
      </c>
      <c r="K108" s="44">
        <f t="shared" si="39"/>
        <v>1.0989010989010989E-3</v>
      </c>
      <c r="L108" s="44">
        <f t="shared" si="39"/>
        <v>1.4285714285714285E-2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11" zoomScale="60" workbookViewId="0">
      <selection activeCell="E11" sqref="E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6" t="str">
        <f>'31.07 Koboko-Arua'!G5:H5</f>
        <v>xxx</v>
      </c>
      <c r="H5" s="67"/>
      <c r="I5" s="14"/>
      <c r="J5" s="2" t="s">
        <v>5</v>
      </c>
      <c r="K5" s="66" t="str">
        <f>'31.07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Koboko-Arua'!D6:E6</f>
        <v>Koboko</v>
      </c>
      <c r="E6" s="67"/>
      <c r="F6" s="2" t="s">
        <v>2</v>
      </c>
      <c r="G6" s="66" t="str">
        <f>'31.07 Koboko-Arua'!G6:H6</f>
        <v>Arua</v>
      </c>
      <c r="H6" s="67"/>
      <c r="J6" s="2" t="s">
        <v>21</v>
      </c>
      <c r="K6" s="66" t="str">
        <f>'31.07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2</v>
      </c>
      <c r="F10" s="50">
        <v>1</v>
      </c>
      <c r="G10" s="50">
        <v>0</v>
      </c>
      <c r="H10" s="50">
        <v>0</v>
      </c>
      <c r="I10" s="50">
        <v>0</v>
      </c>
      <c r="J10" s="50">
        <v>3</v>
      </c>
      <c r="K10" s="50">
        <v>0</v>
      </c>
      <c r="L10" s="50">
        <v>2</v>
      </c>
      <c r="M10" s="50">
        <v>23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35</v>
      </c>
      <c r="R10" s="1" t="s">
        <v>6</v>
      </c>
      <c r="S10" s="17">
        <f t="shared" ref="S10:AF10" si="2">SUM(C10:C13)</f>
        <v>16</v>
      </c>
      <c r="T10" s="17">
        <f t="shared" si="2"/>
        <v>5</v>
      </c>
      <c r="U10" s="17">
        <f t="shared" si="2"/>
        <v>6</v>
      </c>
      <c r="V10" s="17">
        <f t="shared" si="2"/>
        <v>3</v>
      </c>
      <c r="W10" s="17">
        <f t="shared" si="2"/>
        <v>0</v>
      </c>
      <c r="X10" s="17">
        <f t="shared" si="2"/>
        <v>2</v>
      </c>
      <c r="Y10" s="17">
        <f t="shared" si="2"/>
        <v>2</v>
      </c>
      <c r="Z10" s="17">
        <f t="shared" si="2"/>
        <v>4</v>
      </c>
      <c r="AA10" s="17">
        <f t="shared" si="2"/>
        <v>0</v>
      </c>
      <c r="AB10" s="17">
        <f t="shared" si="2"/>
        <v>2</v>
      </c>
      <c r="AC10" s="17">
        <f t="shared" si="2"/>
        <v>88</v>
      </c>
      <c r="AD10" s="17">
        <f t="shared" si="2"/>
        <v>0</v>
      </c>
      <c r="AE10" s="31">
        <f t="shared" si="2"/>
        <v>40</v>
      </c>
      <c r="AF10" s="31">
        <f t="shared" si="2"/>
        <v>128</v>
      </c>
    </row>
    <row r="11" spans="2:32" s="6" customFormat="1" ht="23.1" customHeight="1" x14ac:dyDescent="0.25">
      <c r="B11" s="23" t="s">
        <v>38</v>
      </c>
      <c r="C11" s="50">
        <v>2</v>
      </c>
      <c r="D11" s="50">
        <v>4</v>
      </c>
      <c r="E11" s="50">
        <v>4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10</v>
      </c>
      <c r="P11" s="15">
        <f t="shared" si="1"/>
        <v>25</v>
      </c>
      <c r="R11" s="1" t="s">
        <v>7</v>
      </c>
      <c r="S11" s="17">
        <f t="shared" ref="S11:AF11" si="3">SUM(C14:C17)</f>
        <v>17</v>
      </c>
      <c r="T11" s="17">
        <f t="shared" si="3"/>
        <v>4</v>
      </c>
      <c r="U11" s="17">
        <f t="shared" si="3"/>
        <v>5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112</v>
      </c>
      <c r="AD11" s="17">
        <f t="shared" si="3"/>
        <v>0</v>
      </c>
      <c r="AE11" s="31">
        <f t="shared" si="3"/>
        <v>30</v>
      </c>
      <c r="AF11" s="31">
        <f t="shared" si="3"/>
        <v>142</v>
      </c>
    </row>
    <row r="12" spans="2:32" ht="23.1" customHeight="1" x14ac:dyDescent="0.25">
      <c r="B12" s="23" t="s">
        <v>39</v>
      </c>
      <c r="C12" s="50">
        <v>8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10</v>
      </c>
      <c r="P12" s="15">
        <f t="shared" si="1"/>
        <v>30</v>
      </c>
      <c r="R12" s="1" t="s">
        <v>8</v>
      </c>
      <c r="S12" s="17">
        <f t="shared" ref="S12:AF12" si="4">SUM(C18:C21)</f>
        <v>44</v>
      </c>
      <c r="T12" s="17">
        <f t="shared" si="4"/>
        <v>2</v>
      </c>
      <c r="U12" s="17">
        <f t="shared" si="4"/>
        <v>2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169</v>
      </c>
      <c r="AD12" s="17">
        <f t="shared" si="4"/>
        <v>0</v>
      </c>
      <c r="AE12" s="31">
        <f t="shared" si="4"/>
        <v>58</v>
      </c>
      <c r="AF12" s="31">
        <f t="shared" si="4"/>
        <v>227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1</v>
      </c>
      <c r="G13" s="50">
        <v>0</v>
      </c>
      <c r="H13" s="50">
        <v>2</v>
      </c>
      <c r="I13" s="50">
        <v>1</v>
      </c>
      <c r="J13" s="50">
        <v>1</v>
      </c>
      <c r="K13" s="50">
        <v>0</v>
      </c>
      <c r="L13" s="50">
        <v>0</v>
      </c>
      <c r="M13" s="50">
        <v>30</v>
      </c>
      <c r="N13" s="50">
        <v>0</v>
      </c>
      <c r="O13" s="15">
        <f t="shared" si="0"/>
        <v>8</v>
      </c>
      <c r="P13" s="15">
        <f t="shared" si="1"/>
        <v>38</v>
      </c>
      <c r="R13" s="1" t="s">
        <v>9</v>
      </c>
      <c r="S13" s="17">
        <f t="shared" ref="S13:AF13" si="5">SUM(C22:C25)</f>
        <v>27</v>
      </c>
      <c r="T13" s="17">
        <f t="shared" si="5"/>
        <v>3</v>
      </c>
      <c r="U13" s="17">
        <f t="shared" si="5"/>
        <v>5</v>
      </c>
      <c r="V13" s="17">
        <f t="shared" si="5"/>
        <v>4</v>
      </c>
      <c r="W13" s="17">
        <f t="shared" si="5"/>
        <v>1</v>
      </c>
      <c r="X13" s="17">
        <f t="shared" si="5"/>
        <v>1</v>
      </c>
      <c r="Y13" s="17">
        <f t="shared" si="5"/>
        <v>10</v>
      </c>
      <c r="Z13" s="17">
        <f t="shared" si="5"/>
        <v>2</v>
      </c>
      <c r="AA13" s="17">
        <f t="shared" si="5"/>
        <v>0</v>
      </c>
      <c r="AB13" s="17">
        <f t="shared" si="5"/>
        <v>2</v>
      </c>
      <c r="AC13" s="17">
        <f t="shared" si="5"/>
        <v>175</v>
      </c>
      <c r="AD13" s="17">
        <f t="shared" si="5"/>
        <v>0</v>
      </c>
      <c r="AE13" s="31">
        <f t="shared" si="5"/>
        <v>55</v>
      </c>
      <c r="AF13" s="31">
        <f t="shared" si="5"/>
        <v>230</v>
      </c>
    </row>
    <row r="14" spans="2:32" ht="23.1" customHeight="1" x14ac:dyDescent="0.25">
      <c r="B14" s="23" t="s">
        <v>41</v>
      </c>
      <c r="C14" s="50">
        <v>3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5</v>
      </c>
      <c r="P14" s="15">
        <f t="shared" si="1"/>
        <v>33</v>
      </c>
      <c r="R14" s="1" t="s">
        <v>10</v>
      </c>
      <c r="S14" s="17">
        <f t="shared" ref="S14:AF14" si="6">SUM(C26:C29)</f>
        <v>57</v>
      </c>
      <c r="T14" s="17">
        <f t="shared" si="6"/>
        <v>4</v>
      </c>
      <c r="U14" s="17">
        <f t="shared" si="6"/>
        <v>5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167</v>
      </c>
      <c r="AD14" s="17">
        <f t="shared" si="6"/>
        <v>0</v>
      </c>
      <c r="AE14" s="31">
        <f t="shared" si="6"/>
        <v>83</v>
      </c>
      <c r="AF14" s="31">
        <f t="shared" si="6"/>
        <v>250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8</v>
      </c>
      <c r="P15" s="15">
        <f t="shared" si="1"/>
        <v>35</v>
      </c>
      <c r="R15" s="1" t="s">
        <v>11</v>
      </c>
      <c r="S15" s="17">
        <f t="shared" ref="S15:AF15" si="7">SUM(C30:C33)</f>
        <v>25</v>
      </c>
      <c r="T15" s="17">
        <f t="shared" si="7"/>
        <v>5</v>
      </c>
      <c r="U15" s="17">
        <f t="shared" si="7"/>
        <v>6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209</v>
      </c>
      <c r="AD15" s="17">
        <f t="shared" si="7"/>
        <v>0</v>
      </c>
      <c r="AE15" s="31">
        <f t="shared" si="7"/>
        <v>52</v>
      </c>
      <c r="AF15" s="31">
        <f t="shared" si="7"/>
        <v>261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27</v>
      </c>
      <c r="N16" s="50">
        <v>0</v>
      </c>
      <c r="O16" s="15">
        <f t="shared" si="0"/>
        <v>6</v>
      </c>
      <c r="P16" s="15">
        <f t="shared" si="1"/>
        <v>33</v>
      </c>
      <c r="R16" s="1" t="s">
        <v>12</v>
      </c>
      <c r="S16" s="17">
        <f t="shared" ref="S16:AF16" si="8">SUM(C34:C37)</f>
        <v>35</v>
      </c>
      <c r="T16" s="17">
        <f t="shared" si="8"/>
        <v>6</v>
      </c>
      <c r="U16" s="17">
        <f t="shared" si="8"/>
        <v>7</v>
      </c>
      <c r="V16" s="17">
        <f t="shared" si="8"/>
        <v>9</v>
      </c>
      <c r="W16" s="17">
        <f t="shared" si="8"/>
        <v>0</v>
      </c>
      <c r="X16" s="17">
        <f t="shared" si="8"/>
        <v>200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259</v>
      </c>
      <c r="AF16" s="31">
        <f t="shared" si="8"/>
        <v>260</v>
      </c>
    </row>
    <row r="17" spans="2:32" ht="23.1" customHeight="1" x14ac:dyDescent="0.25">
      <c r="B17" s="23" t="s">
        <v>44</v>
      </c>
      <c r="C17" s="50">
        <v>4</v>
      </c>
      <c r="D17" s="50">
        <v>3</v>
      </c>
      <c r="E17" s="50">
        <v>4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11</v>
      </c>
      <c r="P17" s="15">
        <f t="shared" si="1"/>
        <v>41</v>
      </c>
      <c r="R17" s="1" t="s">
        <v>13</v>
      </c>
      <c r="S17" s="17">
        <f t="shared" ref="S17:AF17" si="9">SUM(C38:C41)</f>
        <v>29</v>
      </c>
      <c r="T17" s="17">
        <f t="shared" si="9"/>
        <v>9</v>
      </c>
      <c r="U17" s="17">
        <f t="shared" si="9"/>
        <v>10</v>
      </c>
      <c r="V17" s="17">
        <f t="shared" si="9"/>
        <v>7</v>
      </c>
      <c r="W17" s="17">
        <f t="shared" si="9"/>
        <v>1</v>
      </c>
      <c r="X17" s="17">
        <f t="shared" si="9"/>
        <v>193</v>
      </c>
      <c r="Y17" s="17">
        <f t="shared" si="9"/>
        <v>0</v>
      </c>
      <c r="Z17" s="17">
        <f t="shared" si="9"/>
        <v>2</v>
      </c>
      <c r="AA17" s="17">
        <f t="shared" si="9"/>
        <v>2</v>
      </c>
      <c r="AB17" s="17">
        <f t="shared" si="9"/>
        <v>1</v>
      </c>
      <c r="AC17" s="17">
        <f t="shared" si="9"/>
        <v>0</v>
      </c>
      <c r="AD17" s="17">
        <f t="shared" si="9"/>
        <v>0</v>
      </c>
      <c r="AE17" s="31">
        <f t="shared" si="9"/>
        <v>254</v>
      </c>
      <c r="AF17" s="31">
        <f t="shared" si="9"/>
        <v>254</v>
      </c>
    </row>
    <row r="18" spans="2:32" ht="23.1" customHeight="1" x14ac:dyDescent="0.25">
      <c r="B18" s="23" t="s">
        <v>45</v>
      </c>
      <c r="C18" s="50">
        <v>9</v>
      </c>
      <c r="D18" s="50">
        <v>1</v>
      </c>
      <c r="E18" s="50">
        <v>1</v>
      </c>
      <c r="F18" s="50">
        <v>3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53</v>
      </c>
      <c r="N18" s="50">
        <v>0</v>
      </c>
      <c r="O18" s="15">
        <f t="shared" si="0"/>
        <v>17</v>
      </c>
      <c r="P18" s="15">
        <f t="shared" si="1"/>
        <v>70</v>
      </c>
      <c r="R18" s="1" t="s">
        <v>14</v>
      </c>
      <c r="S18" s="17">
        <f t="shared" ref="S18:AF18" si="10">SUM(C42:C45)</f>
        <v>42</v>
      </c>
      <c r="T18" s="17">
        <f t="shared" si="10"/>
        <v>7</v>
      </c>
      <c r="U18" s="17">
        <f t="shared" si="10"/>
        <v>8</v>
      </c>
      <c r="V18" s="17">
        <f t="shared" si="10"/>
        <v>7</v>
      </c>
      <c r="W18" s="17">
        <f t="shared" si="10"/>
        <v>0</v>
      </c>
      <c r="X18" s="17">
        <f t="shared" si="10"/>
        <v>143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70</v>
      </c>
      <c r="AD18" s="17">
        <f t="shared" si="10"/>
        <v>0</v>
      </c>
      <c r="AE18" s="31">
        <f t="shared" si="10"/>
        <v>210</v>
      </c>
      <c r="AF18" s="31">
        <f t="shared" si="10"/>
        <v>280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26</v>
      </c>
      <c r="N19" s="50">
        <v>0</v>
      </c>
      <c r="O19" s="15">
        <f t="shared" si="0"/>
        <v>3</v>
      </c>
      <c r="P19" s="15">
        <f t="shared" si="1"/>
        <v>29</v>
      </c>
      <c r="R19" s="1" t="s">
        <v>15</v>
      </c>
      <c r="S19" s="17">
        <f t="shared" ref="S19:AF19" si="11">SUM(C46:C49)</f>
        <v>52</v>
      </c>
      <c r="T19" s="17">
        <f t="shared" si="11"/>
        <v>8</v>
      </c>
      <c r="U19" s="17">
        <f t="shared" si="11"/>
        <v>8</v>
      </c>
      <c r="V19" s="17">
        <f t="shared" si="11"/>
        <v>16</v>
      </c>
      <c r="W19" s="17">
        <f t="shared" si="11"/>
        <v>1</v>
      </c>
      <c r="X19" s="17">
        <f t="shared" si="11"/>
        <v>155</v>
      </c>
      <c r="Y19" s="17">
        <f t="shared" si="11"/>
        <v>2</v>
      </c>
      <c r="Z19" s="17">
        <f t="shared" si="11"/>
        <v>1</v>
      </c>
      <c r="AA19" s="17">
        <f t="shared" si="11"/>
        <v>0</v>
      </c>
      <c r="AB19" s="17">
        <f t="shared" si="11"/>
        <v>2</v>
      </c>
      <c r="AC19" s="17">
        <f t="shared" si="11"/>
        <v>2</v>
      </c>
      <c r="AD19" s="17">
        <f t="shared" si="11"/>
        <v>0</v>
      </c>
      <c r="AE19" s="31">
        <f t="shared" si="11"/>
        <v>245</v>
      </c>
      <c r="AF19" s="31">
        <f t="shared" si="11"/>
        <v>247</v>
      </c>
    </row>
    <row r="20" spans="2:32" ht="23.1" customHeight="1" x14ac:dyDescent="0.25">
      <c r="B20" s="23" t="s">
        <v>47</v>
      </c>
      <c r="C20" s="50">
        <v>9</v>
      </c>
      <c r="D20" s="50">
        <v>1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54</v>
      </c>
      <c r="N20" s="50">
        <v>0</v>
      </c>
      <c r="O20" s="15">
        <f t="shared" si="0"/>
        <v>12</v>
      </c>
      <c r="P20" s="15">
        <f t="shared" si="1"/>
        <v>66</v>
      </c>
      <c r="R20" s="1" t="s">
        <v>16</v>
      </c>
      <c r="S20" s="17">
        <f t="shared" ref="S20:AF20" si="12">SUM(C50:C53)</f>
        <v>37</v>
      </c>
      <c r="T20" s="17">
        <f t="shared" si="12"/>
        <v>3</v>
      </c>
      <c r="U20" s="17">
        <f t="shared" si="12"/>
        <v>5</v>
      </c>
      <c r="V20" s="17">
        <f t="shared" si="12"/>
        <v>5</v>
      </c>
      <c r="W20" s="17">
        <f t="shared" si="12"/>
        <v>3</v>
      </c>
      <c r="X20" s="17">
        <f t="shared" si="12"/>
        <v>11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1</v>
      </c>
      <c r="AC20" s="17">
        <f t="shared" si="12"/>
        <v>122</v>
      </c>
      <c r="AD20" s="17">
        <f t="shared" si="12"/>
        <v>0</v>
      </c>
      <c r="AE20" s="31">
        <f t="shared" si="12"/>
        <v>66</v>
      </c>
      <c r="AF20" s="31">
        <f t="shared" si="12"/>
        <v>188</v>
      </c>
    </row>
    <row r="21" spans="2:32" ht="23.1" customHeight="1" x14ac:dyDescent="0.25">
      <c r="B21" s="23" t="s">
        <v>48</v>
      </c>
      <c r="C21" s="50">
        <v>23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36</v>
      </c>
      <c r="N21" s="50">
        <v>0</v>
      </c>
      <c r="O21" s="15">
        <f t="shared" si="0"/>
        <v>26</v>
      </c>
      <c r="P21" s="15">
        <f t="shared" si="1"/>
        <v>62</v>
      </c>
      <c r="R21" s="36" t="s">
        <v>20</v>
      </c>
      <c r="S21" s="34">
        <f t="shared" ref="S21:AF21" si="13">SUM(C54:C57)</f>
        <v>58</v>
      </c>
      <c r="T21" s="17">
        <f t="shared" si="13"/>
        <v>15</v>
      </c>
      <c r="U21" s="17">
        <f t="shared" si="13"/>
        <v>16</v>
      </c>
      <c r="V21" s="17">
        <f t="shared" si="13"/>
        <v>2</v>
      </c>
      <c r="W21" s="17">
        <f t="shared" si="13"/>
        <v>27</v>
      </c>
      <c r="X21" s="17">
        <f t="shared" si="13"/>
        <v>3</v>
      </c>
      <c r="Y21" s="17">
        <f t="shared" si="13"/>
        <v>4</v>
      </c>
      <c r="Z21" s="17">
        <f t="shared" si="13"/>
        <v>1</v>
      </c>
      <c r="AA21" s="17">
        <f t="shared" si="13"/>
        <v>3</v>
      </c>
      <c r="AB21" s="17">
        <f t="shared" si="13"/>
        <v>4</v>
      </c>
      <c r="AC21" s="17">
        <f t="shared" si="13"/>
        <v>83</v>
      </c>
      <c r="AD21" s="17">
        <f t="shared" si="13"/>
        <v>0</v>
      </c>
      <c r="AE21" s="31">
        <f t="shared" si="13"/>
        <v>133</v>
      </c>
      <c r="AF21" s="31">
        <f t="shared" si="13"/>
        <v>216</v>
      </c>
    </row>
    <row r="22" spans="2:32" ht="23.1" customHeight="1" x14ac:dyDescent="0.25">
      <c r="B22" s="23" t="s">
        <v>49</v>
      </c>
      <c r="C22" s="50">
        <v>6</v>
      </c>
      <c r="D22" s="50">
        <v>0</v>
      </c>
      <c r="E22" s="50">
        <v>0</v>
      </c>
      <c r="F22" s="50">
        <v>1</v>
      </c>
      <c r="G22" s="50">
        <v>1</v>
      </c>
      <c r="H22" s="50">
        <v>0</v>
      </c>
      <c r="I22" s="50">
        <v>2</v>
      </c>
      <c r="J22" s="50">
        <v>2</v>
      </c>
      <c r="K22" s="50">
        <v>0</v>
      </c>
      <c r="L22" s="50">
        <v>1</v>
      </c>
      <c r="M22" s="50">
        <v>53</v>
      </c>
      <c r="N22" s="50">
        <v>0</v>
      </c>
      <c r="O22" s="15">
        <f t="shared" si="0"/>
        <v>13</v>
      </c>
      <c r="P22" s="15">
        <f t="shared" si="1"/>
        <v>66</v>
      </c>
      <c r="R22" s="38" t="s">
        <v>90</v>
      </c>
      <c r="S22" s="39">
        <f>MAX(S10:S12)</f>
        <v>44</v>
      </c>
      <c r="T22" s="39">
        <f t="shared" ref="T22:AF22" si="14">MAX(T10:T12)</f>
        <v>5</v>
      </c>
      <c r="U22" s="39">
        <f t="shared" si="14"/>
        <v>6</v>
      </c>
      <c r="V22" s="39">
        <f t="shared" si="14"/>
        <v>5</v>
      </c>
      <c r="W22" s="39">
        <f t="shared" si="14"/>
        <v>0</v>
      </c>
      <c r="X22" s="39">
        <f t="shared" si="14"/>
        <v>2</v>
      </c>
      <c r="Y22" s="39">
        <f t="shared" si="14"/>
        <v>4</v>
      </c>
      <c r="Z22" s="39">
        <f t="shared" si="14"/>
        <v>4</v>
      </c>
      <c r="AA22" s="39">
        <f t="shared" si="14"/>
        <v>0</v>
      </c>
      <c r="AB22" s="39">
        <f t="shared" si="14"/>
        <v>2</v>
      </c>
      <c r="AC22" s="39">
        <f t="shared" si="14"/>
        <v>169</v>
      </c>
      <c r="AD22" s="39">
        <f t="shared" si="14"/>
        <v>0</v>
      </c>
      <c r="AE22" s="40">
        <f t="shared" si="14"/>
        <v>58</v>
      </c>
      <c r="AF22" s="40">
        <f t="shared" si="14"/>
        <v>227</v>
      </c>
    </row>
    <row r="23" spans="2:32" ht="23.1" customHeight="1" x14ac:dyDescent="0.25">
      <c r="B23" s="23" t="s">
        <v>50</v>
      </c>
      <c r="C23" s="50">
        <v>9</v>
      </c>
      <c r="D23" s="50">
        <v>1</v>
      </c>
      <c r="E23" s="50">
        <v>2</v>
      </c>
      <c r="F23" s="50">
        <v>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40</v>
      </c>
      <c r="N23" s="50">
        <v>0</v>
      </c>
      <c r="O23" s="15">
        <f t="shared" si="0"/>
        <v>15</v>
      </c>
      <c r="P23" s="15">
        <f t="shared" si="1"/>
        <v>55</v>
      </c>
      <c r="R23" s="38" t="s">
        <v>91</v>
      </c>
      <c r="S23" s="39">
        <f>MAX(S13:S18)</f>
        <v>57</v>
      </c>
      <c r="T23" s="39">
        <f t="shared" ref="T23:AF23" si="15">MAX(T13:T18)</f>
        <v>9</v>
      </c>
      <c r="U23" s="39">
        <f t="shared" si="15"/>
        <v>10</v>
      </c>
      <c r="V23" s="39">
        <f t="shared" si="15"/>
        <v>9</v>
      </c>
      <c r="W23" s="39">
        <f t="shared" si="15"/>
        <v>1</v>
      </c>
      <c r="X23" s="39">
        <f t="shared" si="15"/>
        <v>200</v>
      </c>
      <c r="Y23" s="39">
        <f t="shared" si="15"/>
        <v>10</v>
      </c>
      <c r="Z23" s="39">
        <f t="shared" si="15"/>
        <v>2</v>
      </c>
      <c r="AA23" s="39">
        <f t="shared" si="15"/>
        <v>2</v>
      </c>
      <c r="AB23" s="39">
        <f t="shared" si="15"/>
        <v>2</v>
      </c>
      <c r="AC23" s="39">
        <f t="shared" si="15"/>
        <v>209</v>
      </c>
      <c r="AD23" s="39">
        <f t="shared" si="15"/>
        <v>0</v>
      </c>
      <c r="AE23" s="40">
        <f t="shared" si="15"/>
        <v>259</v>
      </c>
      <c r="AF23" s="40">
        <f t="shared" si="15"/>
        <v>280</v>
      </c>
    </row>
    <row r="24" spans="2:32" ht="23.1" customHeight="1" x14ac:dyDescent="0.25">
      <c r="B24" s="23" t="s">
        <v>51</v>
      </c>
      <c r="C24" s="50">
        <v>7</v>
      </c>
      <c r="D24" s="50">
        <v>1</v>
      </c>
      <c r="E24" s="50">
        <v>2</v>
      </c>
      <c r="F24" s="50">
        <v>2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37</v>
      </c>
      <c r="N24" s="50">
        <v>0</v>
      </c>
      <c r="O24" s="15">
        <f t="shared" si="0"/>
        <v>15</v>
      </c>
      <c r="P24" s="15">
        <f t="shared" si="1"/>
        <v>52</v>
      </c>
      <c r="R24" s="38" t="s">
        <v>92</v>
      </c>
      <c r="S24" s="39">
        <f>MAX(S19:S21)</f>
        <v>58</v>
      </c>
      <c r="T24" s="39">
        <f t="shared" ref="T24:AF24" si="16">MAX(T19:T21)</f>
        <v>15</v>
      </c>
      <c r="U24" s="39">
        <f t="shared" si="16"/>
        <v>16</v>
      </c>
      <c r="V24" s="39">
        <f t="shared" si="16"/>
        <v>16</v>
      </c>
      <c r="W24" s="39">
        <f t="shared" si="16"/>
        <v>27</v>
      </c>
      <c r="X24" s="39">
        <f t="shared" si="16"/>
        <v>155</v>
      </c>
      <c r="Y24" s="39">
        <f t="shared" si="16"/>
        <v>4</v>
      </c>
      <c r="Z24" s="39">
        <f t="shared" si="16"/>
        <v>1</v>
      </c>
      <c r="AA24" s="39">
        <f t="shared" si="16"/>
        <v>3</v>
      </c>
      <c r="AB24" s="39">
        <f t="shared" si="16"/>
        <v>4</v>
      </c>
      <c r="AC24" s="39">
        <f t="shared" si="16"/>
        <v>122</v>
      </c>
      <c r="AD24" s="39">
        <f t="shared" si="16"/>
        <v>0</v>
      </c>
      <c r="AE24" s="40">
        <f t="shared" si="16"/>
        <v>245</v>
      </c>
      <c r="AF24" s="40">
        <f t="shared" si="16"/>
        <v>247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1</v>
      </c>
      <c r="F25" s="50">
        <v>1</v>
      </c>
      <c r="G25" s="50">
        <v>0</v>
      </c>
      <c r="H25" s="50">
        <v>1</v>
      </c>
      <c r="I25" s="50">
        <v>2</v>
      </c>
      <c r="J25" s="50">
        <v>0</v>
      </c>
      <c r="K25" s="50">
        <v>0</v>
      </c>
      <c r="L25" s="50">
        <v>1</v>
      </c>
      <c r="M25" s="50">
        <v>45</v>
      </c>
      <c r="N25" s="50">
        <v>0</v>
      </c>
      <c r="O25" s="15">
        <f t="shared" si="0"/>
        <v>12</v>
      </c>
      <c r="P25" s="15">
        <f t="shared" si="1"/>
        <v>57</v>
      </c>
      <c r="R25" s="37" t="s">
        <v>85</v>
      </c>
      <c r="S25" s="35">
        <f t="shared" ref="S25:AF25" si="17">SUM(S10:S12)</f>
        <v>77</v>
      </c>
      <c r="T25" s="16">
        <f t="shared" si="17"/>
        <v>11</v>
      </c>
      <c r="U25" s="16">
        <f t="shared" si="17"/>
        <v>13</v>
      </c>
      <c r="V25" s="16">
        <f t="shared" si="17"/>
        <v>8</v>
      </c>
      <c r="W25" s="16">
        <f t="shared" si="17"/>
        <v>0</v>
      </c>
      <c r="X25" s="16">
        <f t="shared" si="17"/>
        <v>2</v>
      </c>
      <c r="Y25" s="16">
        <f t="shared" si="17"/>
        <v>9</v>
      </c>
      <c r="Z25" s="16">
        <f t="shared" si="17"/>
        <v>6</v>
      </c>
      <c r="AA25" s="16">
        <f t="shared" si="17"/>
        <v>0</v>
      </c>
      <c r="AB25" s="16">
        <f t="shared" si="17"/>
        <v>2</v>
      </c>
      <c r="AC25" s="16">
        <f t="shared" si="17"/>
        <v>369</v>
      </c>
      <c r="AD25" s="16">
        <f t="shared" si="17"/>
        <v>0</v>
      </c>
      <c r="AE25" s="32">
        <f t="shared" si="17"/>
        <v>128</v>
      </c>
      <c r="AF25" s="32">
        <f t="shared" si="17"/>
        <v>497</v>
      </c>
    </row>
    <row r="26" spans="2:32" ht="23.1" customHeight="1" x14ac:dyDescent="0.25">
      <c r="B26" s="23" t="s">
        <v>53</v>
      </c>
      <c r="C26" s="50">
        <v>11</v>
      </c>
      <c r="D26" s="50">
        <v>2</v>
      </c>
      <c r="E26" s="50">
        <v>3</v>
      </c>
      <c r="F26" s="50">
        <v>2</v>
      </c>
      <c r="G26" s="50">
        <v>0</v>
      </c>
      <c r="H26" s="50">
        <v>0</v>
      </c>
      <c r="I26" s="50">
        <v>7</v>
      </c>
      <c r="J26" s="50">
        <v>0</v>
      </c>
      <c r="K26" s="50">
        <v>0</v>
      </c>
      <c r="L26" s="50">
        <v>0</v>
      </c>
      <c r="M26" s="50">
        <v>57</v>
      </c>
      <c r="N26" s="50">
        <v>0</v>
      </c>
      <c r="O26" s="15">
        <f t="shared" si="0"/>
        <v>25</v>
      </c>
      <c r="P26" s="15">
        <f t="shared" si="1"/>
        <v>82</v>
      </c>
      <c r="R26" s="28" t="s">
        <v>86</v>
      </c>
      <c r="S26" s="16">
        <f t="shared" ref="S26:AF26" si="18">SUM(S13:S18)</f>
        <v>215</v>
      </c>
      <c r="T26" s="16">
        <f t="shared" si="18"/>
        <v>34</v>
      </c>
      <c r="U26" s="16">
        <f t="shared" si="18"/>
        <v>41</v>
      </c>
      <c r="V26" s="16">
        <f t="shared" si="18"/>
        <v>41</v>
      </c>
      <c r="W26" s="16">
        <f t="shared" si="18"/>
        <v>2</v>
      </c>
      <c r="X26" s="16">
        <f t="shared" si="18"/>
        <v>537</v>
      </c>
      <c r="Y26" s="16">
        <f t="shared" si="18"/>
        <v>32</v>
      </c>
      <c r="Z26" s="16">
        <f t="shared" si="18"/>
        <v>5</v>
      </c>
      <c r="AA26" s="16">
        <f t="shared" si="18"/>
        <v>3</v>
      </c>
      <c r="AB26" s="16">
        <f t="shared" si="18"/>
        <v>3</v>
      </c>
      <c r="AC26" s="16">
        <f t="shared" si="18"/>
        <v>622</v>
      </c>
      <c r="AD26" s="16">
        <f t="shared" si="18"/>
        <v>0</v>
      </c>
      <c r="AE26" s="32">
        <f t="shared" si="18"/>
        <v>913</v>
      </c>
      <c r="AF26" s="32">
        <f t="shared" si="18"/>
        <v>1535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7</v>
      </c>
      <c r="P27" s="15">
        <f t="shared" si="1"/>
        <v>34</v>
      </c>
      <c r="R27" s="29" t="s">
        <v>87</v>
      </c>
      <c r="S27" s="16">
        <f t="shared" ref="S27:AF27" si="19">SUM(S19:S21)</f>
        <v>147</v>
      </c>
      <c r="T27" s="16">
        <f t="shared" si="19"/>
        <v>26</v>
      </c>
      <c r="U27" s="16">
        <f t="shared" si="19"/>
        <v>29</v>
      </c>
      <c r="V27" s="16">
        <f t="shared" si="19"/>
        <v>23</v>
      </c>
      <c r="W27" s="16">
        <f t="shared" si="19"/>
        <v>31</v>
      </c>
      <c r="X27" s="16">
        <f t="shared" si="19"/>
        <v>169</v>
      </c>
      <c r="Y27" s="16">
        <f t="shared" si="19"/>
        <v>6</v>
      </c>
      <c r="Z27" s="16">
        <f t="shared" si="19"/>
        <v>3</v>
      </c>
      <c r="AA27" s="16">
        <f t="shared" si="19"/>
        <v>3</v>
      </c>
      <c r="AB27" s="16">
        <f t="shared" si="19"/>
        <v>7</v>
      </c>
      <c r="AC27" s="16">
        <f t="shared" si="19"/>
        <v>207</v>
      </c>
      <c r="AD27" s="16">
        <f t="shared" si="19"/>
        <v>0</v>
      </c>
      <c r="AE27" s="32">
        <f t="shared" si="19"/>
        <v>444</v>
      </c>
      <c r="AF27" s="32">
        <f t="shared" si="19"/>
        <v>651</v>
      </c>
    </row>
    <row r="28" spans="2:32" ht="23.1" customHeight="1" x14ac:dyDescent="0.25">
      <c r="B28" s="23" t="s">
        <v>55</v>
      </c>
      <c r="C28" s="50">
        <v>22</v>
      </c>
      <c r="D28" s="50">
        <v>1</v>
      </c>
      <c r="E28" s="50">
        <v>1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51</v>
      </c>
      <c r="N28" s="50">
        <v>0</v>
      </c>
      <c r="O28" s="15">
        <f t="shared" si="0"/>
        <v>27</v>
      </c>
      <c r="P28" s="15">
        <f t="shared" si="1"/>
        <v>78</v>
      </c>
      <c r="R28" s="5" t="s">
        <v>17</v>
      </c>
      <c r="S28" s="16">
        <f t="shared" ref="S28:AF28" si="20">SUM(S10:S21)</f>
        <v>439</v>
      </c>
      <c r="T28" s="16">
        <f t="shared" si="20"/>
        <v>71</v>
      </c>
      <c r="U28" s="16">
        <f t="shared" si="20"/>
        <v>83</v>
      </c>
      <c r="V28" s="16">
        <f t="shared" si="20"/>
        <v>72</v>
      </c>
      <c r="W28" s="16">
        <f t="shared" si="20"/>
        <v>33</v>
      </c>
      <c r="X28" s="16">
        <f t="shared" si="20"/>
        <v>708</v>
      </c>
      <c r="Y28" s="16">
        <f t="shared" si="20"/>
        <v>47</v>
      </c>
      <c r="Z28" s="16">
        <f t="shared" si="20"/>
        <v>14</v>
      </c>
      <c r="AA28" s="16">
        <f t="shared" si="20"/>
        <v>6</v>
      </c>
      <c r="AB28" s="16">
        <f t="shared" si="20"/>
        <v>12</v>
      </c>
      <c r="AC28" s="16">
        <f t="shared" si="20"/>
        <v>1198</v>
      </c>
      <c r="AD28" s="16">
        <f t="shared" si="20"/>
        <v>0</v>
      </c>
      <c r="AE28" s="32">
        <f t="shared" si="20"/>
        <v>1485</v>
      </c>
      <c r="AF28" s="32">
        <f t="shared" si="20"/>
        <v>2683</v>
      </c>
    </row>
    <row r="29" spans="2:32" ht="23.1" customHeight="1" x14ac:dyDescent="0.25">
      <c r="B29" s="23" t="s">
        <v>56</v>
      </c>
      <c r="C29" s="50">
        <v>21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32</v>
      </c>
      <c r="N29" s="50">
        <v>0</v>
      </c>
      <c r="O29" s="15">
        <f t="shared" si="0"/>
        <v>24</v>
      </c>
      <c r="P29" s="15">
        <f t="shared" si="1"/>
        <v>56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77</v>
      </c>
      <c r="N30" s="50">
        <v>0</v>
      </c>
      <c r="O30" s="15">
        <f t="shared" si="0"/>
        <v>9</v>
      </c>
      <c r="P30" s="15">
        <f t="shared" si="1"/>
        <v>86</v>
      </c>
    </row>
    <row r="31" spans="2:32" ht="23.1" customHeight="1" x14ac:dyDescent="0.25">
      <c r="B31" s="24" t="s">
        <v>58</v>
      </c>
      <c r="C31" s="50">
        <v>8</v>
      </c>
      <c r="D31" s="50">
        <v>1</v>
      </c>
      <c r="E31" s="50">
        <v>2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50</v>
      </c>
      <c r="N31" s="50">
        <v>0</v>
      </c>
      <c r="O31" s="15">
        <f t="shared" si="0"/>
        <v>14</v>
      </c>
      <c r="P31" s="15">
        <f t="shared" si="1"/>
        <v>64</v>
      </c>
    </row>
    <row r="32" spans="2:32" ht="23.1" customHeight="1" x14ac:dyDescent="0.25">
      <c r="B32" s="24" t="s">
        <v>59</v>
      </c>
      <c r="C32" s="50">
        <v>6</v>
      </c>
      <c r="D32" s="50">
        <v>1</v>
      </c>
      <c r="E32" s="50">
        <v>1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37</v>
      </c>
      <c r="N32" s="50">
        <v>0</v>
      </c>
      <c r="O32" s="15">
        <f t="shared" si="0"/>
        <v>14</v>
      </c>
      <c r="P32" s="15">
        <f t="shared" si="1"/>
        <v>51</v>
      </c>
    </row>
    <row r="33" spans="2:20" ht="23.1" customHeight="1" x14ac:dyDescent="0.25">
      <c r="B33" s="23" t="s">
        <v>60</v>
      </c>
      <c r="C33" s="50">
        <v>6</v>
      </c>
      <c r="D33" s="50">
        <v>2</v>
      </c>
      <c r="E33" s="50">
        <v>2</v>
      </c>
      <c r="F33" s="50">
        <v>2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15</v>
      </c>
      <c r="P33" s="15">
        <f t="shared" si="1"/>
        <v>60</v>
      </c>
    </row>
    <row r="34" spans="2:20" ht="23.1" customHeight="1" x14ac:dyDescent="0.25">
      <c r="B34" s="24" t="s">
        <v>61</v>
      </c>
      <c r="C34" s="50">
        <v>9</v>
      </c>
      <c r="D34" s="50">
        <v>1</v>
      </c>
      <c r="E34" s="50">
        <v>1</v>
      </c>
      <c r="F34" s="50">
        <v>2</v>
      </c>
      <c r="G34" s="50">
        <v>0</v>
      </c>
      <c r="H34" s="50">
        <v>37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50</v>
      </c>
      <c r="P34" s="15">
        <f t="shared" si="1"/>
        <v>50</v>
      </c>
    </row>
    <row r="35" spans="2:20" ht="23.1" customHeight="1" x14ac:dyDescent="0.25">
      <c r="B35" s="24" t="s">
        <v>62</v>
      </c>
      <c r="C35" s="50">
        <v>9</v>
      </c>
      <c r="D35" s="50">
        <v>1</v>
      </c>
      <c r="E35" s="50">
        <v>2</v>
      </c>
      <c r="F35" s="50">
        <v>2</v>
      </c>
      <c r="G35" s="50">
        <v>0</v>
      </c>
      <c r="H35" s="50">
        <v>47</v>
      </c>
      <c r="I35" s="50">
        <v>1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62</v>
      </c>
      <c r="P35" s="15">
        <f t="shared" si="1"/>
        <v>63</v>
      </c>
    </row>
    <row r="36" spans="2:20" ht="23.1" customHeight="1" x14ac:dyDescent="0.25">
      <c r="B36" s="24" t="s">
        <v>63</v>
      </c>
      <c r="C36" s="50">
        <v>7</v>
      </c>
      <c r="D36" s="50">
        <v>2</v>
      </c>
      <c r="E36" s="50">
        <v>2</v>
      </c>
      <c r="F36" s="50">
        <v>0</v>
      </c>
      <c r="G36" s="50">
        <v>0</v>
      </c>
      <c r="H36" s="50">
        <v>53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65</v>
      </c>
      <c r="P36" s="15">
        <f t="shared" si="1"/>
        <v>65</v>
      </c>
    </row>
    <row r="37" spans="2:20" ht="23.1" customHeight="1" x14ac:dyDescent="0.25">
      <c r="B37" s="23" t="s">
        <v>64</v>
      </c>
      <c r="C37" s="50">
        <v>10</v>
      </c>
      <c r="D37" s="50">
        <v>2</v>
      </c>
      <c r="E37" s="50">
        <v>2</v>
      </c>
      <c r="F37" s="50">
        <v>5</v>
      </c>
      <c r="G37" s="50">
        <v>0</v>
      </c>
      <c r="H37" s="50">
        <v>63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82</v>
      </c>
      <c r="P37" s="15">
        <f t="shared" si="1"/>
        <v>82</v>
      </c>
    </row>
    <row r="38" spans="2:20" ht="23.1" customHeight="1" x14ac:dyDescent="0.25">
      <c r="B38" s="24" t="s">
        <v>65</v>
      </c>
      <c r="C38" s="50">
        <v>5</v>
      </c>
      <c r="D38" s="50">
        <v>2</v>
      </c>
      <c r="E38" s="50">
        <v>2</v>
      </c>
      <c r="F38" s="50">
        <v>2</v>
      </c>
      <c r="G38" s="50">
        <v>0</v>
      </c>
      <c r="H38" s="50">
        <v>46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57</v>
      </c>
      <c r="P38" s="15">
        <f t="shared" si="1"/>
        <v>57</v>
      </c>
    </row>
    <row r="39" spans="2:20" ht="23.1" customHeight="1" x14ac:dyDescent="0.25">
      <c r="B39" s="24" t="s">
        <v>66</v>
      </c>
      <c r="C39" s="50">
        <v>6</v>
      </c>
      <c r="D39" s="50">
        <v>2</v>
      </c>
      <c r="E39" s="50">
        <v>2</v>
      </c>
      <c r="F39" s="50">
        <v>3</v>
      </c>
      <c r="G39" s="50">
        <v>1</v>
      </c>
      <c r="H39" s="50">
        <v>45</v>
      </c>
      <c r="I39" s="50">
        <v>0</v>
      </c>
      <c r="J39" s="50">
        <v>2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61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8</v>
      </c>
      <c r="D40" s="50">
        <v>2</v>
      </c>
      <c r="E40" s="50">
        <v>3</v>
      </c>
      <c r="F40" s="50">
        <v>0</v>
      </c>
      <c r="G40" s="50">
        <v>0</v>
      </c>
      <c r="H40" s="50">
        <v>42</v>
      </c>
      <c r="I40" s="50">
        <v>0</v>
      </c>
      <c r="J40" s="50">
        <v>0</v>
      </c>
      <c r="K40" s="50">
        <v>2</v>
      </c>
      <c r="L40" s="50">
        <v>0</v>
      </c>
      <c r="M40" s="50">
        <v>0</v>
      </c>
      <c r="N40" s="50">
        <v>0</v>
      </c>
      <c r="O40" s="15">
        <f t="shared" si="0"/>
        <v>57</v>
      </c>
      <c r="P40" s="15">
        <f t="shared" si="1"/>
        <v>57</v>
      </c>
    </row>
    <row r="41" spans="2:20" ht="23.1" customHeight="1" x14ac:dyDescent="0.25">
      <c r="B41" s="23" t="s">
        <v>68</v>
      </c>
      <c r="C41" s="50">
        <v>10</v>
      </c>
      <c r="D41" s="50">
        <v>3</v>
      </c>
      <c r="E41" s="50">
        <v>3</v>
      </c>
      <c r="F41" s="50">
        <v>2</v>
      </c>
      <c r="G41" s="50">
        <v>0</v>
      </c>
      <c r="H41" s="50">
        <v>60</v>
      </c>
      <c r="I41" s="50">
        <v>0</v>
      </c>
      <c r="J41" s="50">
        <v>0</v>
      </c>
      <c r="K41" s="50">
        <v>0</v>
      </c>
      <c r="L41" s="50">
        <v>1</v>
      </c>
      <c r="M41" s="50">
        <v>0</v>
      </c>
      <c r="N41" s="50">
        <v>0</v>
      </c>
      <c r="O41" s="15">
        <f t="shared" si="0"/>
        <v>79</v>
      </c>
      <c r="P41" s="15">
        <f t="shared" si="1"/>
        <v>79</v>
      </c>
    </row>
    <row r="42" spans="2:20" ht="23.1" customHeight="1" x14ac:dyDescent="0.25">
      <c r="B42" s="24" t="s">
        <v>69</v>
      </c>
      <c r="C42" s="50">
        <v>10</v>
      </c>
      <c r="D42" s="50">
        <v>2</v>
      </c>
      <c r="E42" s="50">
        <v>3</v>
      </c>
      <c r="F42" s="50">
        <v>2</v>
      </c>
      <c r="G42" s="50">
        <v>0</v>
      </c>
      <c r="H42" s="50">
        <v>37</v>
      </c>
      <c r="I42" s="50">
        <v>1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55</v>
      </c>
      <c r="P42" s="15">
        <f t="shared" si="1"/>
        <v>55</v>
      </c>
    </row>
    <row r="43" spans="2:20" ht="23.1" customHeight="1" x14ac:dyDescent="0.25">
      <c r="B43" s="23" t="s">
        <v>70</v>
      </c>
      <c r="C43" s="50">
        <v>10</v>
      </c>
      <c r="D43" s="50">
        <v>3</v>
      </c>
      <c r="E43" s="50">
        <v>3</v>
      </c>
      <c r="F43" s="50">
        <v>0</v>
      </c>
      <c r="G43" s="50">
        <v>0</v>
      </c>
      <c r="H43" s="50">
        <v>53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69</v>
      </c>
      <c r="P43" s="15">
        <f t="shared" si="1"/>
        <v>69</v>
      </c>
    </row>
    <row r="44" spans="2:20" ht="23.1" customHeight="1" x14ac:dyDescent="0.25">
      <c r="B44" s="25" t="s">
        <v>71</v>
      </c>
      <c r="C44" s="50">
        <v>5</v>
      </c>
      <c r="D44" s="50">
        <v>1</v>
      </c>
      <c r="E44" s="50">
        <v>1</v>
      </c>
      <c r="F44" s="50">
        <v>3</v>
      </c>
      <c r="G44" s="50">
        <v>0</v>
      </c>
      <c r="H44" s="50">
        <v>53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63</v>
      </c>
      <c r="P44" s="15">
        <f t="shared" si="1"/>
        <v>63</v>
      </c>
    </row>
    <row r="45" spans="2:20" ht="23.1" customHeight="1" x14ac:dyDescent="0.25">
      <c r="B45" s="23" t="s">
        <v>72</v>
      </c>
      <c r="C45" s="50">
        <v>17</v>
      </c>
      <c r="D45" s="50">
        <v>1</v>
      </c>
      <c r="E45" s="50">
        <v>1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70</v>
      </c>
      <c r="N45" s="50">
        <v>0</v>
      </c>
      <c r="O45" s="15">
        <f t="shared" si="0"/>
        <v>23</v>
      </c>
      <c r="P45" s="15">
        <f t="shared" si="1"/>
        <v>93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0</v>
      </c>
      <c r="F46" s="50">
        <v>0</v>
      </c>
      <c r="G46" s="50">
        <v>0</v>
      </c>
      <c r="H46" s="50">
        <v>25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32</v>
      </c>
      <c r="P46" s="15">
        <f t="shared" si="1"/>
        <v>32</v>
      </c>
      <c r="R46" s="8"/>
      <c r="T46"/>
    </row>
    <row r="47" spans="2:20" ht="23.1" customHeight="1" x14ac:dyDescent="0.25">
      <c r="B47" s="24" t="s">
        <v>74</v>
      </c>
      <c r="C47" s="50">
        <v>14</v>
      </c>
      <c r="D47" s="50">
        <v>3</v>
      </c>
      <c r="E47" s="50">
        <v>3</v>
      </c>
      <c r="F47" s="50">
        <v>1</v>
      </c>
      <c r="G47" s="50">
        <v>0</v>
      </c>
      <c r="H47" s="50">
        <v>65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86</v>
      </c>
      <c r="P47" s="15">
        <f t="shared" si="1"/>
        <v>86</v>
      </c>
      <c r="R47" s="8"/>
      <c r="T47"/>
    </row>
    <row r="48" spans="2:20" ht="23.1" customHeight="1" x14ac:dyDescent="0.25">
      <c r="B48" s="24" t="s">
        <v>75</v>
      </c>
      <c r="C48" s="50">
        <v>20</v>
      </c>
      <c r="D48" s="50">
        <v>4</v>
      </c>
      <c r="E48" s="50">
        <v>4</v>
      </c>
      <c r="F48" s="50">
        <v>13</v>
      </c>
      <c r="G48" s="50">
        <v>1</v>
      </c>
      <c r="H48" s="50">
        <v>45</v>
      </c>
      <c r="I48" s="50">
        <v>2</v>
      </c>
      <c r="J48" s="50">
        <v>0</v>
      </c>
      <c r="K48" s="50">
        <v>0</v>
      </c>
      <c r="L48" s="50">
        <v>2</v>
      </c>
      <c r="M48" s="50">
        <v>2</v>
      </c>
      <c r="N48" s="50">
        <v>0</v>
      </c>
      <c r="O48" s="15">
        <f t="shared" si="0"/>
        <v>91</v>
      </c>
      <c r="P48" s="15">
        <f t="shared" si="1"/>
        <v>93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1</v>
      </c>
      <c r="E49" s="50">
        <v>1</v>
      </c>
      <c r="F49" s="50">
        <v>2</v>
      </c>
      <c r="G49" s="50">
        <v>0</v>
      </c>
      <c r="H49" s="50">
        <v>20</v>
      </c>
      <c r="I49" s="50">
        <v>0</v>
      </c>
      <c r="J49" s="50">
        <v>1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36</v>
      </c>
      <c r="P49" s="15">
        <f t="shared" si="1"/>
        <v>36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0</v>
      </c>
      <c r="E50" s="50">
        <v>0</v>
      </c>
      <c r="F50" s="50">
        <v>1</v>
      </c>
      <c r="G50" s="50">
        <v>0</v>
      </c>
      <c r="H50" s="50">
        <v>11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21</v>
      </c>
      <c r="P50" s="15">
        <f t="shared" si="1"/>
        <v>21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3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37</v>
      </c>
      <c r="N51" s="50">
        <v>0</v>
      </c>
      <c r="O51" s="15">
        <f t="shared" si="0"/>
        <v>10</v>
      </c>
      <c r="P51" s="15">
        <f t="shared" si="1"/>
        <v>47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50</v>
      </c>
      <c r="N52" s="50">
        <v>0</v>
      </c>
      <c r="O52" s="15">
        <f t="shared" si="0"/>
        <v>16</v>
      </c>
      <c r="P52" s="15">
        <f t="shared" si="1"/>
        <v>66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1</v>
      </c>
      <c r="E53" s="50">
        <v>2</v>
      </c>
      <c r="F53" s="50">
        <v>1</v>
      </c>
      <c r="G53" s="50">
        <v>3</v>
      </c>
      <c r="H53" s="50">
        <v>0</v>
      </c>
      <c r="I53" s="50">
        <v>0</v>
      </c>
      <c r="J53" s="50">
        <v>1</v>
      </c>
      <c r="K53" s="50">
        <v>0</v>
      </c>
      <c r="L53" s="50">
        <v>1</v>
      </c>
      <c r="M53" s="50">
        <v>35</v>
      </c>
      <c r="N53" s="50">
        <v>0</v>
      </c>
      <c r="O53" s="15">
        <f t="shared" si="0"/>
        <v>19</v>
      </c>
      <c r="P53" s="15">
        <f t="shared" si="1"/>
        <v>54</v>
      </c>
      <c r="R53" s="8"/>
      <c r="T53"/>
    </row>
    <row r="54" spans="2:20" ht="23.1" customHeight="1" x14ac:dyDescent="0.25">
      <c r="B54" s="23" t="s">
        <v>81</v>
      </c>
      <c r="C54" s="50">
        <v>18</v>
      </c>
      <c r="D54" s="50">
        <v>10</v>
      </c>
      <c r="E54" s="50">
        <v>10</v>
      </c>
      <c r="F54" s="50">
        <v>0</v>
      </c>
      <c r="G54" s="50">
        <v>15</v>
      </c>
      <c r="H54" s="50">
        <v>0</v>
      </c>
      <c r="I54" s="50">
        <v>0</v>
      </c>
      <c r="J54" s="50">
        <v>0</v>
      </c>
      <c r="K54" s="50">
        <v>0</v>
      </c>
      <c r="L54" s="50">
        <v>3</v>
      </c>
      <c r="M54" s="50">
        <v>23</v>
      </c>
      <c r="N54" s="50">
        <v>0</v>
      </c>
      <c r="O54" s="15">
        <f t="shared" si="0"/>
        <v>56</v>
      </c>
      <c r="P54" s="15">
        <f t="shared" si="1"/>
        <v>79</v>
      </c>
      <c r="R54" s="8"/>
      <c r="T54"/>
    </row>
    <row r="55" spans="2:20" ht="23.1" customHeight="1" x14ac:dyDescent="0.25">
      <c r="B55" s="23" t="s">
        <v>82</v>
      </c>
      <c r="C55" s="50">
        <v>22</v>
      </c>
      <c r="D55" s="50">
        <v>4</v>
      </c>
      <c r="E55" s="50">
        <v>4</v>
      </c>
      <c r="F55" s="50">
        <v>1</v>
      </c>
      <c r="G55" s="50">
        <v>10</v>
      </c>
      <c r="H55" s="50">
        <v>0</v>
      </c>
      <c r="I55" s="50">
        <v>3</v>
      </c>
      <c r="J55" s="50">
        <v>1</v>
      </c>
      <c r="K55" s="50">
        <v>3</v>
      </c>
      <c r="L55" s="50">
        <v>1</v>
      </c>
      <c r="M55" s="50">
        <v>30</v>
      </c>
      <c r="N55" s="50">
        <v>0</v>
      </c>
      <c r="O55" s="15">
        <f t="shared" si="0"/>
        <v>49</v>
      </c>
      <c r="P55" s="15">
        <f t="shared" si="1"/>
        <v>79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2</v>
      </c>
      <c r="F56" s="50">
        <v>0</v>
      </c>
      <c r="G56" s="50">
        <v>2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12</v>
      </c>
      <c r="P56" s="15">
        <f t="shared" si="1"/>
        <v>34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0</v>
      </c>
      <c r="E57" s="50">
        <v>0</v>
      </c>
      <c r="F57" s="50">
        <v>1</v>
      </c>
      <c r="G57" s="50">
        <v>0</v>
      </c>
      <c r="H57" s="50">
        <v>3</v>
      </c>
      <c r="I57" s="50">
        <v>1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16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439</v>
      </c>
      <c r="D58" s="16">
        <f t="shared" si="21"/>
        <v>71</v>
      </c>
      <c r="E58" s="16">
        <f t="shared" si="21"/>
        <v>83</v>
      </c>
      <c r="F58" s="16">
        <f t="shared" si="21"/>
        <v>72</v>
      </c>
      <c r="G58" s="16">
        <f t="shared" si="21"/>
        <v>33</v>
      </c>
      <c r="H58" s="16">
        <f t="shared" si="21"/>
        <v>708</v>
      </c>
      <c r="I58" s="16">
        <f t="shared" si="21"/>
        <v>47</v>
      </c>
      <c r="J58" s="16">
        <f t="shared" si="21"/>
        <v>14</v>
      </c>
      <c r="K58" s="16">
        <f t="shared" si="21"/>
        <v>6</v>
      </c>
      <c r="L58" s="16">
        <f t="shared" si="21"/>
        <v>12</v>
      </c>
      <c r="M58" s="16">
        <f t="shared" si="21"/>
        <v>1198</v>
      </c>
      <c r="N58" s="16">
        <f t="shared" si="21"/>
        <v>0</v>
      </c>
      <c r="O58" s="16">
        <f t="shared" si="21"/>
        <v>1485</v>
      </c>
      <c r="P58" s="16">
        <f t="shared" si="21"/>
        <v>2683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0.16362281028699216</v>
      </c>
      <c r="D59" s="43">
        <f t="shared" si="22"/>
        <v>2.6462914647782332E-2</v>
      </c>
      <c r="E59" s="43">
        <f t="shared" si="22"/>
        <v>3.0935519940365263E-2</v>
      </c>
      <c r="F59" s="43">
        <f t="shared" si="22"/>
        <v>2.6835631755497576E-2</v>
      </c>
      <c r="G59" s="43">
        <f t="shared" si="22"/>
        <v>1.2299664554603056E-2</v>
      </c>
      <c r="H59" s="43">
        <f t="shared" si="22"/>
        <v>0.26388371226239282</v>
      </c>
      <c r="I59" s="43">
        <f t="shared" si="22"/>
        <v>1.7517704062616473E-2</v>
      </c>
      <c r="J59" s="43">
        <f t="shared" si="22"/>
        <v>5.2180395080134176E-3</v>
      </c>
      <c r="K59" s="43">
        <f t="shared" si="22"/>
        <v>2.2363026462914647E-3</v>
      </c>
      <c r="L59" s="43">
        <f t="shared" si="22"/>
        <v>4.4726052925829294E-3</v>
      </c>
      <c r="M59" s="43">
        <f t="shared" si="22"/>
        <v>0.44651509504286246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0.29562289562289562</v>
      </c>
      <c r="D60" s="44">
        <f t="shared" ref="D60:N60" si="23">D58/$O$58</f>
        <v>4.7811447811447812E-2</v>
      </c>
      <c r="E60" s="44">
        <f t="shared" si="23"/>
        <v>5.5892255892255889E-2</v>
      </c>
      <c r="F60" s="44">
        <f t="shared" si="23"/>
        <v>4.8484848484848485E-2</v>
      </c>
      <c r="G60" s="44">
        <f t="shared" si="23"/>
        <v>2.2222222222222223E-2</v>
      </c>
      <c r="H60" s="44">
        <f t="shared" si="23"/>
        <v>0.47676767676767678</v>
      </c>
      <c r="I60" s="44">
        <f t="shared" si="23"/>
        <v>3.164983164983165E-2</v>
      </c>
      <c r="J60" s="44">
        <f t="shared" si="23"/>
        <v>9.427609427609427E-3</v>
      </c>
      <c r="K60" s="44">
        <f t="shared" si="23"/>
        <v>4.0404040404040404E-3</v>
      </c>
      <c r="L60" s="44">
        <f t="shared" si="23"/>
        <v>8.0808080808080808E-3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N58" sqref="N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Koboko-Arua'!D5</f>
        <v>04.08.19</v>
      </c>
      <c r="E5" s="3"/>
      <c r="F5" s="41" t="s">
        <v>1</v>
      </c>
      <c r="G5" s="66" t="str">
        <f>'31.07 Koboko-Arua'!G5:H5</f>
        <v>xxx</v>
      </c>
      <c r="H5" s="67"/>
      <c r="I5" s="14"/>
      <c r="J5" s="2" t="s">
        <v>5</v>
      </c>
      <c r="K5" s="66" t="str">
        <f>'31.07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Arua-Koboko'!D6:E6</f>
        <v>Arua</v>
      </c>
      <c r="E6" s="67"/>
      <c r="F6" s="2" t="s">
        <v>2</v>
      </c>
      <c r="G6" s="66" t="str">
        <f>'31.07 Arua-Koboko'!G6:H6</f>
        <v>Koboko</v>
      </c>
      <c r="H6" s="67"/>
      <c r="J6" s="2" t="s">
        <v>21</v>
      </c>
      <c r="K6" s="66" t="str">
        <f>'31.07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20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25</v>
      </c>
      <c r="R10" s="1" t="s">
        <v>6</v>
      </c>
      <c r="S10" s="17">
        <f t="shared" ref="S10:AF10" si="2">SUM(C10:C13)</f>
        <v>12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88</v>
      </c>
      <c r="AD10" s="17">
        <f t="shared" si="2"/>
        <v>0</v>
      </c>
      <c r="AE10" s="31">
        <f t="shared" si="2"/>
        <v>15</v>
      </c>
      <c r="AF10" s="31">
        <f t="shared" si="2"/>
        <v>103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4</v>
      </c>
      <c r="P11" s="15">
        <f t="shared" si="1"/>
        <v>35</v>
      </c>
      <c r="R11" s="1" t="s">
        <v>7</v>
      </c>
      <c r="S11" s="17">
        <f t="shared" ref="S11:AF11" si="3">SUM(C14:C17)</f>
        <v>20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1</v>
      </c>
      <c r="X11" s="17">
        <f t="shared" si="3"/>
        <v>1</v>
      </c>
      <c r="Y11" s="17">
        <f t="shared" si="3"/>
        <v>4</v>
      </c>
      <c r="Z11" s="17">
        <f t="shared" si="3"/>
        <v>1</v>
      </c>
      <c r="AA11" s="17">
        <f t="shared" si="3"/>
        <v>0</v>
      </c>
      <c r="AB11" s="17">
        <f t="shared" si="3"/>
        <v>1</v>
      </c>
      <c r="AC11" s="17">
        <f t="shared" si="3"/>
        <v>90</v>
      </c>
      <c r="AD11" s="17">
        <f t="shared" si="3"/>
        <v>0</v>
      </c>
      <c r="AE11" s="31">
        <f t="shared" si="3"/>
        <v>32</v>
      </c>
      <c r="AF11" s="31">
        <f t="shared" si="3"/>
        <v>122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22</v>
      </c>
      <c r="N12" s="50">
        <v>0</v>
      </c>
      <c r="O12" s="15">
        <f t="shared" si="0"/>
        <v>1</v>
      </c>
      <c r="P12" s="15">
        <f t="shared" si="1"/>
        <v>23</v>
      </c>
      <c r="R12" s="1" t="s">
        <v>8</v>
      </c>
      <c r="S12" s="17">
        <f t="shared" ref="S12:AF12" si="4">SUM(C18:C21)</f>
        <v>30</v>
      </c>
      <c r="T12" s="17">
        <f t="shared" si="4"/>
        <v>3</v>
      </c>
      <c r="U12" s="17">
        <f t="shared" si="4"/>
        <v>5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3</v>
      </c>
      <c r="AA12" s="17">
        <f t="shared" si="4"/>
        <v>0</v>
      </c>
      <c r="AB12" s="17">
        <f t="shared" si="4"/>
        <v>1</v>
      </c>
      <c r="AC12" s="17">
        <f t="shared" si="4"/>
        <v>101</v>
      </c>
      <c r="AD12" s="17">
        <f t="shared" si="4"/>
        <v>0</v>
      </c>
      <c r="AE12" s="31">
        <f t="shared" si="4"/>
        <v>49</v>
      </c>
      <c r="AF12" s="31">
        <f t="shared" si="4"/>
        <v>150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5</v>
      </c>
      <c r="P13" s="15">
        <f t="shared" si="1"/>
        <v>20</v>
      </c>
      <c r="R13" s="1" t="s">
        <v>9</v>
      </c>
      <c r="S13" s="17">
        <f t="shared" ref="S13:AF13" si="5">SUM(C22:C25)</f>
        <v>35</v>
      </c>
      <c r="T13" s="17">
        <f t="shared" si="5"/>
        <v>6</v>
      </c>
      <c r="U13" s="17">
        <f t="shared" si="5"/>
        <v>13</v>
      </c>
      <c r="V13" s="17">
        <f t="shared" si="5"/>
        <v>1</v>
      </c>
      <c r="W13" s="17">
        <f t="shared" si="5"/>
        <v>3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7</v>
      </c>
      <c r="AC13" s="17">
        <f t="shared" si="5"/>
        <v>154</v>
      </c>
      <c r="AD13" s="17">
        <f t="shared" si="5"/>
        <v>0</v>
      </c>
      <c r="AE13" s="31">
        <f t="shared" si="5"/>
        <v>69</v>
      </c>
      <c r="AF13" s="31">
        <f t="shared" si="5"/>
        <v>223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2</v>
      </c>
      <c r="G14" s="50">
        <v>0</v>
      </c>
      <c r="H14" s="50">
        <v>1</v>
      </c>
      <c r="I14" s="50">
        <v>1</v>
      </c>
      <c r="J14" s="50">
        <v>1</v>
      </c>
      <c r="K14" s="50">
        <v>0</v>
      </c>
      <c r="L14" s="50">
        <v>0</v>
      </c>
      <c r="M14" s="50">
        <v>27</v>
      </c>
      <c r="N14" s="50">
        <v>0</v>
      </c>
      <c r="O14" s="15">
        <f t="shared" si="0"/>
        <v>9</v>
      </c>
      <c r="P14" s="15">
        <f t="shared" si="1"/>
        <v>36</v>
      </c>
      <c r="R14" s="1" t="s">
        <v>10</v>
      </c>
      <c r="S14" s="17">
        <f t="shared" ref="S14:AF14" si="6">SUM(C26:C29)</f>
        <v>33</v>
      </c>
      <c r="T14" s="17">
        <f t="shared" si="6"/>
        <v>2</v>
      </c>
      <c r="U14" s="17">
        <f t="shared" si="6"/>
        <v>5</v>
      </c>
      <c r="V14" s="17">
        <f t="shared" si="6"/>
        <v>5</v>
      </c>
      <c r="W14" s="17">
        <f t="shared" si="6"/>
        <v>2</v>
      </c>
      <c r="X14" s="17">
        <f t="shared" si="6"/>
        <v>0</v>
      </c>
      <c r="Y14" s="17">
        <f t="shared" si="6"/>
        <v>2</v>
      </c>
      <c r="Z14" s="17">
        <f t="shared" si="6"/>
        <v>5</v>
      </c>
      <c r="AA14" s="17">
        <f t="shared" si="6"/>
        <v>0</v>
      </c>
      <c r="AB14" s="17">
        <f t="shared" si="6"/>
        <v>6</v>
      </c>
      <c r="AC14" s="17">
        <f t="shared" si="6"/>
        <v>119</v>
      </c>
      <c r="AD14" s="17">
        <f t="shared" si="6"/>
        <v>0</v>
      </c>
      <c r="AE14" s="31">
        <f t="shared" si="6"/>
        <v>60</v>
      </c>
      <c r="AF14" s="31">
        <f t="shared" si="6"/>
        <v>179</v>
      </c>
    </row>
    <row r="15" spans="2:32" ht="23.1" customHeight="1" x14ac:dyDescent="0.25">
      <c r="B15" s="23" t="s">
        <v>42</v>
      </c>
      <c r="C15" s="50">
        <v>6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7</v>
      </c>
      <c r="P15" s="15">
        <f t="shared" si="1"/>
        <v>15</v>
      </c>
      <c r="R15" s="1" t="s">
        <v>11</v>
      </c>
      <c r="S15" s="17">
        <f t="shared" ref="S15:AF15" si="7">SUM(C30:C33)</f>
        <v>24</v>
      </c>
      <c r="T15" s="17">
        <f t="shared" si="7"/>
        <v>3</v>
      </c>
      <c r="U15" s="17">
        <f t="shared" si="7"/>
        <v>7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127</v>
      </c>
      <c r="AD15" s="17">
        <f t="shared" si="7"/>
        <v>0</v>
      </c>
      <c r="AE15" s="31">
        <f t="shared" si="7"/>
        <v>39</v>
      </c>
      <c r="AF15" s="31">
        <f t="shared" si="7"/>
        <v>166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27</v>
      </c>
      <c r="N16" s="50">
        <v>0</v>
      </c>
      <c r="O16" s="15">
        <f t="shared" si="0"/>
        <v>6</v>
      </c>
      <c r="P16" s="15">
        <f t="shared" si="1"/>
        <v>33</v>
      </c>
      <c r="R16" s="1" t="s">
        <v>12</v>
      </c>
      <c r="S16" s="17">
        <f t="shared" ref="S16:AF16" si="8">SUM(C34:C37)</f>
        <v>28</v>
      </c>
      <c r="T16" s="17">
        <f t="shared" si="8"/>
        <v>4</v>
      </c>
      <c r="U16" s="17">
        <f t="shared" si="8"/>
        <v>9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6</v>
      </c>
      <c r="AA16" s="17">
        <f t="shared" si="8"/>
        <v>0</v>
      </c>
      <c r="AB16" s="17">
        <f t="shared" si="8"/>
        <v>2</v>
      </c>
      <c r="AC16" s="17">
        <f t="shared" si="8"/>
        <v>146</v>
      </c>
      <c r="AD16" s="17">
        <f t="shared" si="8"/>
        <v>0</v>
      </c>
      <c r="AE16" s="31">
        <f t="shared" si="8"/>
        <v>56</v>
      </c>
      <c r="AF16" s="31">
        <f t="shared" si="8"/>
        <v>202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0</v>
      </c>
      <c r="F17" s="50">
        <v>1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1</v>
      </c>
      <c r="M17" s="50">
        <v>28</v>
      </c>
      <c r="N17" s="50">
        <v>0</v>
      </c>
      <c r="O17" s="15">
        <f t="shared" si="0"/>
        <v>10</v>
      </c>
      <c r="P17" s="15">
        <f t="shared" si="1"/>
        <v>38</v>
      </c>
      <c r="R17" s="1" t="s">
        <v>13</v>
      </c>
      <c r="S17" s="17">
        <f t="shared" ref="S17:AF17" si="9">SUM(C38:C41)</f>
        <v>27</v>
      </c>
      <c r="T17" s="17">
        <f t="shared" si="9"/>
        <v>2</v>
      </c>
      <c r="U17" s="17">
        <f t="shared" si="9"/>
        <v>6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150</v>
      </c>
      <c r="AD17" s="17">
        <f t="shared" si="9"/>
        <v>0</v>
      </c>
      <c r="AE17" s="31">
        <f t="shared" si="9"/>
        <v>47</v>
      </c>
      <c r="AF17" s="31">
        <f t="shared" si="9"/>
        <v>197</v>
      </c>
    </row>
    <row r="18" spans="2:32" ht="23.1" customHeight="1" x14ac:dyDescent="0.25">
      <c r="B18" s="23" t="s">
        <v>45</v>
      </c>
      <c r="C18" s="50">
        <v>5</v>
      </c>
      <c r="D18" s="50">
        <v>1</v>
      </c>
      <c r="E18" s="50">
        <v>2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1</v>
      </c>
      <c r="M18" s="50">
        <v>24</v>
      </c>
      <c r="N18" s="50">
        <v>0</v>
      </c>
      <c r="O18" s="15">
        <f t="shared" si="0"/>
        <v>11</v>
      </c>
      <c r="P18" s="15">
        <f t="shared" si="1"/>
        <v>35</v>
      </c>
      <c r="R18" s="1" t="s">
        <v>14</v>
      </c>
      <c r="S18" s="17">
        <f t="shared" ref="S18:AF18" si="10">SUM(C42:C45)</f>
        <v>25</v>
      </c>
      <c r="T18" s="17">
        <f t="shared" si="10"/>
        <v>3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136</v>
      </c>
      <c r="AD18" s="17">
        <f t="shared" si="10"/>
        <v>0</v>
      </c>
      <c r="AE18" s="31">
        <f t="shared" si="10"/>
        <v>39</v>
      </c>
      <c r="AF18" s="31">
        <f t="shared" si="10"/>
        <v>175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5</v>
      </c>
      <c r="P19" s="15">
        <f t="shared" si="1"/>
        <v>16</v>
      </c>
      <c r="R19" s="1" t="s">
        <v>15</v>
      </c>
      <c r="S19" s="17">
        <f t="shared" ref="S19:AF19" si="11">SUM(C46:C49)</f>
        <v>27</v>
      </c>
      <c r="T19" s="17">
        <f t="shared" si="11"/>
        <v>5</v>
      </c>
      <c r="U19" s="17">
        <f t="shared" si="11"/>
        <v>10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10</v>
      </c>
      <c r="AA19" s="17">
        <f t="shared" si="11"/>
        <v>0</v>
      </c>
      <c r="AB19" s="17">
        <f t="shared" si="11"/>
        <v>1</v>
      </c>
      <c r="AC19" s="17">
        <f t="shared" si="11"/>
        <v>77</v>
      </c>
      <c r="AD19" s="17">
        <f t="shared" si="11"/>
        <v>0</v>
      </c>
      <c r="AE19" s="31">
        <f t="shared" si="11"/>
        <v>59</v>
      </c>
      <c r="AF19" s="31">
        <f t="shared" si="11"/>
        <v>136</v>
      </c>
    </row>
    <row r="20" spans="2:32" ht="23.1" customHeight="1" x14ac:dyDescent="0.25">
      <c r="B20" s="23" t="s">
        <v>47</v>
      </c>
      <c r="C20" s="50">
        <v>11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14</v>
      </c>
      <c r="P20" s="15">
        <f t="shared" si="1"/>
        <v>40</v>
      </c>
      <c r="R20" s="1" t="s">
        <v>16</v>
      </c>
      <c r="S20" s="17">
        <f t="shared" ref="S20:AF20" si="12">SUM(C50:C53)</f>
        <v>22</v>
      </c>
      <c r="T20" s="17">
        <f t="shared" si="12"/>
        <v>2</v>
      </c>
      <c r="U20" s="17">
        <f t="shared" si="12"/>
        <v>5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1</v>
      </c>
      <c r="AC20" s="17">
        <f t="shared" si="12"/>
        <v>78</v>
      </c>
      <c r="AD20" s="17">
        <f t="shared" si="12"/>
        <v>0</v>
      </c>
      <c r="AE20" s="31">
        <f t="shared" si="12"/>
        <v>37</v>
      </c>
      <c r="AF20" s="31">
        <f t="shared" si="12"/>
        <v>115</v>
      </c>
    </row>
    <row r="21" spans="2:32" ht="23.1" customHeight="1" x14ac:dyDescent="0.25">
      <c r="B21" s="23" t="s">
        <v>48</v>
      </c>
      <c r="C21" s="50">
        <v>10</v>
      </c>
      <c r="D21" s="50">
        <v>2</v>
      </c>
      <c r="E21" s="50">
        <v>3</v>
      </c>
      <c r="F21" s="50">
        <v>1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40</v>
      </c>
      <c r="N21" s="50">
        <v>0</v>
      </c>
      <c r="O21" s="15">
        <f t="shared" si="0"/>
        <v>19</v>
      </c>
      <c r="P21" s="15">
        <f t="shared" si="1"/>
        <v>59</v>
      </c>
      <c r="R21" s="36" t="s">
        <v>20</v>
      </c>
      <c r="S21" s="34">
        <f t="shared" ref="S21:AF21" si="13">SUM(C54:C57)</f>
        <v>21</v>
      </c>
      <c r="T21" s="17">
        <f t="shared" si="13"/>
        <v>1</v>
      </c>
      <c r="U21" s="17">
        <f t="shared" si="13"/>
        <v>3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3</v>
      </c>
      <c r="AA21" s="17">
        <f t="shared" si="13"/>
        <v>5</v>
      </c>
      <c r="AB21" s="17">
        <f t="shared" si="13"/>
        <v>0</v>
      </c>
      <c r="AC21" s="17">
        <f t="shared" si="13"/>
        <v>105</v>
      </c>
      <c r="AD21" s="17">
        <f t="shared" si="13"/>
        <v>0</v>
      </c>
      <c r="AE21" s="31">
        <f t="shared" si="13"/>
        <v>45</v>
      </c>
      <c r="AF21" s="31">
        <f t="shared" si="13"/>
        <v>150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2</v>
      </c>
      <c r="F22" s="50">
        <v>1</v>
      </c>
      <c r="G22" s="50">
        <v>1</v>
      </c>
      <c r="H22" s="50">
        <v>0</v>
      </c>
      <c r="I22" s="50">
        <v>0</v>
      </c>
      <c r="J22" s="50">
        <v>1</v>
      </c>
      <c r="K22" s="50">
        <v>0</v>
      </c>
      <c r="L22" s="50">
        <v>2</v>
      </c>
      <c r="M22" s="50">
        <v>46</v>
      </c>
      <c r="N22" s="50">
        <v>0</v>
      </c>
      <c r="O22" s="15">
        <f t="shared" si="0"/>
        <v>13</v>
      </c>
      <c r="P22" s="15">
        <f t="shared" si="1"/>
        <v>59</v>
      </c>
      <c r="R22" s="38" t="s">
        <v>90</v>
      </c>
      <c r="S22" s="39">
        <f>MAX(S10:S12)</f>
        <v>30</v>
      </c>
      <c r="T22" s="39">
        <f t="shared" ref="T22:AF22" si="14">MAX(T10:T12)</f>
        <v>3</v>
      </c>
      <c r="U22" s="39">
        <f t="shared" si="14"/>
        <v>5</v>
      </c>
      <c r="V22" s="39">
        <f t="shared" si="14"/>
        <v>4</v>
      </c>
      <c r="W22" s="39">
        <f t="shared" si="14"/>
        <v>1</v>
      </c>
      <c r="X22" s="39">
        <f t="shared" si="14"/>
        <v>1</v>
      </c>
      <c r="Y22" s="39">
        <f t="shared" si="14"/>
        <v>4</v>
      </c>
      <c r="Z22" s="39">
        <f t="shared" si="14"/>
        <v>3</v>
      </c>
      <c r="AA22" s="39">
        <f t="shared" si="14"/>
        <v>0</v>
      </c>
      <c r="AB22" s="39">
        <f t="shared" si="14"/>
        <v>1</v>
      </c>
      <c r="AC22" s="39">
        <f t="shared" si="14"/>
        <v>101</v>
      </c>
      <c r="AD22" s="39">
        <f t="shared" si="14"/>
        <v>0</v>
      </c>
      <c r="AE22" s="40">
        <f t="shared" si="14"/>
        <v>49</v>
      </c>
      <c r="AF22" s="40">
        <f t="shared" si="14"/>
        <v>150</v>
      </c>
    </row>
    <row r="23" spans="2:32" ht="23.1" customHeight="1" x14ac:dyDescent="0.25">
      <c r="B23" s="23" t="s">
        <v>50</v>
      </c>
      <c r="C23" s="50">
        <v>6</v>
      </c>
      <c r="D23" s="50">
        <v>2</v>
      </c>
      <c r="E23" s="50">
        <v>4</v>
      </c>
      <c r="F23" s="50">
        <v>0</v>
      </c>
      <c r="G23" s="50">
        <v>1</v>
      </c>
      <c r="H23" s="50">
        <v>0</v>
      </c>
      <c r="I23" s="50">
        <v>1</v>
      </c>
      <c r="J23" s="50">
        <v>0</v>
      </c>
      <c r="K23" s="50">
        <v>0</v>
      </c>
      <c r="L23" s="50">
        <v>2</v>
      </c>
      <c r="M23" s="50">
        <v>39</v>
      </c>
      <c r="N23" s="50">
        <v>0</v>
      </c>
      <c r="O23" s="15">
        <f t="shared" si="0"/>
        <v>16</v>
      </c>
      <c r="P23" s="15">
        <f t="shared" si="1"/>
        <v>55</v>
      </c>
      <c r="R23" s="38" t="s">
        <v>91</v>
      </c>
      <c r="S23" s="39">
        <f>MAX(S13:S18)</f>
        <v>35</v>
      </c>
      <c r="T23" s="39">
        <f t="shared" ref="T23:AF23" si="15">MAX(T13:T18)</f>
        <v>6</v>
      </c>
      <c r="U23" s="39">
        <f t="shared" si="15"/>
        <v>13</v>
      </c>
      <c r="V23" s="39">
        <f t="shared" si="15"/>
        <v>5</v>
      </c>
      <c r="W23" s="39">
        <f t="shared" si="15"/>
        <v>3</v>
      </c>
      <c r="X23" s="39">
        <f t="shared" si="15"/>
        <v>1</v>
      </c>
      <c r="Y23" s="39">
        <f t="shared" si="15"/>
        <v>4</v>
      </c>
      <c r="Z23" s="39">
        <f t="shared" si="15"/>
        <v>6</v>
      </c>
      <c r="AA23" s="39">
        <f t="shared" si="15"/>
        <v>0</v>
      </c>
      <c r="AB23" s="39">
        <f t="shared" si="15"/>
        <v>7</v>
      </c>
      <c r="AC23" s="39">
        <f t="shared" si="15"/>
        <v>154</v>
      </c>
      <c r="AD23" s="39">
        <f t="shared" si="15"/>
        <v>0</v>
      </c>
      <c r="AE23" s="40">
        <f t="shared" si="15"/>
        <v>69</v>
      </c>
      <c r="AF23" s="40">
        <f t="shared" si="15"/>
        <v>223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3</v>
      </c>
      <c r="F24" s="50">
        <v>0</v>
      </c>
      <c r="G24" s="50">
        <v>1</v>
      </c>
      <c r="H24" s="50">
        <v>0</v>
      </c>
      <c r="I24" s="50">
        <v>2</v>
      </c>
      <c r="J24" s="50">
        <v>0</v>
      </c>
      <c r="K24" s="50">
        <v>0</v>
      </c>
      <c r="L24" s="50">
        <v>2</v>
      </c>
      <c r="M24" s="50">
        <v>20</v>
      </c>
      <c r="N24" s="50">
        <v>0</v>
      </c>
      <c r="O24" s="15">
        <f t="shared" si="0"/>
        <v>14</v>
      </c>
      <c r="P24" s="15">
        <f t="shared" si="1"/>
        <v>34</v>
      </c>
      <c r="R24" s="38" t="s">
        <v>92</v>
      </c>
      <c r="S24" s="39">
        <f>MAX(S19:S21)</f>
        <v>27</v>
      </c>
      <c r="T24" s="39">
        <f t="shared" ref="T24:AF24" si="16">MAX(T19:T21)</f>
        <v>5</v>
      </c>
      <c r="U24" s="39">
        <f t="shared" si="16"/>
        <v>10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11</v>
      </c>
      <c r="Z24" s="39">
        <f t="shared" si="16"/>
        <v>10</v>
      </c>
      <c r="AA24" s="39">
        <f t="shared" si="16"/>
        <v>5</v>
      </c>
      <c r="AB24" s="39">
        <f t="shared" si="16"/>
        <v>1</v>
      </c>
      <c r="AC24" s="39">
        <f t="shared" si="16"/>
        <v>105</v>
      </c>
      <c r="AD24" s="39">
        <f t="shared" si="16"/>
        <v>0</v>
      </c>
      <c r="AE24" s="40">
        <f t="shared" si="16"/>
        <v>59</v>
      </c>
      <c r="AF24" s="40">
        <f t="shared" si="16"/>
        <v>150</v>
      </c>
    </row>
    <row r="25" spans="2:32" ht="23.1" customHeight="1" x14ac:dyDescent="0.25">
      <c r="B25" s="23" t="s">
        <v>52</v>
      </c>
      <c r="C25" s="50">
        <v>19</v>
      </c>
      <c r="D25" s="50">
        <v>2</v>
      </c>
      <c r="E25" s="50">
        <v>4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49</v>
      </c>
      <c r="N25" s="50">
        <v>0</v>
      </c>
      <c r="O25" s="15">
        <f t="shared" si="0"/>
        <v>26</v>
      </c>
      <c r="P25" s="15">
        <f t="shared" si="1"/>
        <v>75</v>
      </c>
      <c r="R25" s="37" t="s">
        <v>85</v>
      </c>
      <c r="S25" s="35">
        <f t="shared" ref="S25:AF25" si="17">SUM(S10:S12)</f>
        <v>62</v>
      </c>
      <c r="T25" s="16">
        <f t="shared" si="17"/>
        <v>3</v>
      </c>
      <c r="U25" s="16">
        <f t="shared" si="17"/>
        <v>5</v>
      </c>
      <c r="V25" s="16">
        <f t="shared" si="17"/>
        <v>8</v>
      </c>
      <c r="W25" s="16">
        <f t="shared" si="17"/>
        <v>2</v>
      </c>
      <c r="X25" s="16">
        <f t="shared" si="17"/>
        <v>1</v>
      </c>
      <c r="Y25" s="16">
        <f t="shared" si="17"/>
        <v>8</v>
      </c>
      <c r="Z25" s="16">
        <f t="shared" si="17"/>
        <v>5</v>
      </c>
      <c r="AA25" s="16">
        <f t="shared" si="17"/>
        <v>0</v>
      </c>
      <c r="AB25" s="16">
        <f t="shared" si="17"/>
        <v>2</v>
      </c>
      <c r="AC25" s="16">
        <f t="shared" si="17"/>
        <v>279</v>
      </c>
      <c r="AD25" s="16">
        <f t="shared" si="17"/>
        <v>0</v>
      </c>
      <c r="AE25" s="32">
        <f t="shared" si="17"/>
        <v>96</v>
      </c>
      <c r="AF25" s="32">
        <f t="shared" si="17"/>
        <v>375</v>
      </c>
    </row>
    <row r="26" spans="2:32" ht="23.1" customHeight="1" x14ac:dyDescent="0.25">
      <c r="B26" s="23" t="s">
        <v>53</v>
      </c>
      <c r="C26" s="50">
        <v>11</v>
      </c>
      <c r="D26" s="50">
        <v>1</v>
      </c>
      <c r="E26" s="50">
        <v>3</v>
      </c>
      <c r="F26" s="50">
        <v>3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38</v>
      </c>
      <c r="N26" s="50">
        <v>0</v>
      </c>
      <c r="O26" s="15">
        <f t="shared" si="0"/>
        <v>19</v>
      </c>
      <c r="P26" s="15">
        <f t="shared" si="1"/>
        <v>57</v>
      </c>
      <c r="R26" s="28" t="s">
        <v>86</v>
      </c>
      <c r="S26" s="16">
        <f t="shared" ref="S26:AF26" si="18">SUM(S13:S18)</f>
        <v>172</v>
      </c>
      <c r="T26" s="16">
        <f t="shared" si="18"/>
        <v>20</v>
      </c>
      <c r="U26" s="16">
        <f t="shared" si="18"/>
        <v>45</v>
      </c>
      <c r="V26" s="16">
        <f t="shared" si="18"/>
        <v>14</v>
      </c>
      <c r="W26" s="16">
        <f t="shared" si="18"/>
        <v>5</v>
      </c>
      <c r="X26" s="16">
        <f t="shared" si="18"/>
        <v>1</v>
      </c>
      <c r="Y26" s="16">
        <f t="shared" si="18"/>
        <v>18</v>
      </c>
      <c r="Z26" s="16">
        <f t="shared" si="18"/>
        <v>18</v>
      </c>
      <c r="AA26" s="16">
        <f t="shared" si="18"/>
        <v>0</v>
      </c>
      <c r="AB26" s="16">
        <f t="shared" si="18"/>
        <v>17</v>
      </c>
      <c r="AC26" s="16">
        <f t="shared" si="18"/>
        <v>832</v>
      </c>
      <c r="AD26" s="16">
        <f t="shared" si="18"/>
        <v>0</v>
      </c>
      <c r="AE26" s="32">
        <f t="shared" si="18"/>
        <v>310</v>
      </c>
      <c r="AF26" s="32">
        <f t="shared" si="18"/>
        <v>1142</v>
      </c>
    </row>
    <row r="27" spans="2:32" ht="23.1" customHeight="1" x14ac:dyDescent="0.25">
      <c r="B27" s="23" t="s">
        <v>54</v>
      </c>
      <c r="C27" s="50">
        <v>9</v>
      </c>
      <c r="D27" s="50">
        <v>1</v>
      </c>
      <c r="E27" s="50">
        <v>2</v>
      </c>
      <c r="F27" s="50">
        <v>1</v>
      </c>
      <c r="G27" s="50">
        <v>2</v>
      </c>
      <c r="H27" s="50">
        <v>0</v>
      </c>
      <c r="I27" s="50">
        <v>0</v>
      </c>
      <c r="J27" s="50">
        <v>0</v>
      </c>
      <c r="K27" s="50">
        <v>0</v>
      </c>
      <c r="L27" s="50">
        <v>3</v>
      </c>
      <c r="M27" s="50">
        <v>24</v>
      </c>
      <c r="N27" s="50">
        <v>0</v>
      </c>
      <c r="O27" s="15">
        <f t="shared" si="0"/>
        <v>18</v>
      </c>
      <c r="P27" s="15">
        <f t="shared" si="1"/>
        <v>42</v>
      </c>
      <c r="R27" s="29" t="s">
        <v>87</v>
      </c>
      <c r="S27" s="16">
        <f t="shared" ref="S27:AF27" si="19">SUM(S19:S21)</f>
        <v>70</v>
      </c>
      <c r="T27" s="16">
        <f t="shared" si="19"/>
        <v>8</v>
      </c>
      <c r="U27" s="16">
        <f t="shared" si="19"/>
        <v>18</v>
      </c>
      <c r="V27" s="16">
        <f t="shared" si="19"/>
        <v>8</v>
      </c>
      <c r="W27" s="16">
        <f t="shared" si="19"/>
        <v>0</v>
      </c>
      <c r="X27" s="16">
        <f t="shared" si="19"/>
        <v>0</v>
      </c>
      <c r="Y27" s="16">
        <f t="shared" si="19"/>
        <v>15</v>
      </c>
      <c r="Z27" s="16">
        <f t="shared" si="19"/>
        <v>15</v>
      </c>
      <c r="AA27" s="16">
        <f t="shared" si="19"/>
        <v>5</v>
      </c>
      <c r="AB27" s="16">
        <f t="shared" si="19"/>
        <v>2</v>
      </c>
      <c r="AC27" s="16">
        <f t="shared" si="19"/>
        <v>260</v>
      </c>
      <c r="AD27" s="16">
        <f t="shared" si="19"/>
        <v>0</v>
      </c>
      <c r="AE27" s="32">
        <f t="shared" si="19"/>
        <v>141</v>
      </c>
      <c r="AF27" s="32">
        <f t="shared" si="19"/>
        <v>401</v>
      </c>
    </row>
    <row r="28" spans="2:32" ht="23.1" customHeight="1" x14ac:dyDescent="0.25">
      <c r="B28" s="23" t="s">
        <v>55</v>
      </c>
      <c r="C28" s="50">
        <v>6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2</v>
      </c>
      <c r="M28" s="50">
        <v>32</v>
      </c>
      <c r="N28" s="50">
        <v>0</v>
      </c>
      <c r="O28" s="15">
        <f t="shared" si="0"/>
        <v>12</v>
      </c>
      <c r="P28" s="15">
        <f t="shared" si="1"/>
        <v>44</v>
      </c>
      <c r="R28" s="5" t="s">
        <v>17</v>
      </c>
      <c r="S28" s="16">
        <f t="shared" ref="S28:AF28" si="20">SUM(S10:S21)</f>
        <v>304</v>
      </c>
      <c r="T28" s="16">
        <f t="shared" si="20"/>
        <v>31</v>
      </c>
      <c r="U28" s="16">
        <f t="shared" si="20"/>
        <v>68</v>
      </c>
      <c r="V28" s="16">
        <f t="shared" si="20"/>
        <v>30</v>
      </c>
      <c r="W28" s="16">
        <f t="shared" si="20"/>
        <v>7</v>
      </c>
      <c r="X28" s="16">
        <f t="shared" si="20"/>
        <v>2</v>
      </c>
      <c r="Y28" s="16">
        <f t="shared" si="20"/>
        <v>41</v>
      </c>
      <c r="Z28" s="16">
        <f t="shared" si="20"/>
        <v>38</v>
      </c>
      <c r="AA28" s="16">
        <f t="shared" si="20"/>
        <v>5</v>
      </c>
      <c r="AB28" s="16">
        <f t="shared" si="20"/>
        <v>21</v>
      </c>
      <c r="AC28" s="16">
        <f t="shared" si="20"/>
        <v>1371</v>
      </c>
      <c r="AD28" s="16">
        <f t="shared" si="20"/>
        <v>0</v>
      </c>
      <c r="AE28" s="32">
        <f t="shared" si="20"/>
        <v>547</v>
      </c>
      <c r="AF28" s="32">
        <f t="shared" si="20"/>
        <v>1918</v>
      </c>
    </row>
    <row r="29" spans="2:32" ht="23.1" customHeight="1" x14ac:dyDescent="0.25">
      <c r="B29" s="23" t="s">
        <v>56</v>
      </c>
      <c r="C29" s="50">
        <v>7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1</v>
      </c>
      <c r="M29" s="50">
        <v>25</v>
      </c>
      <c r="N29" s="50">
        <v>0</v>
      </c>
      <c r="O29" s="15">
        <f t="shared" si="0"/>
        <v>11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2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30</v>
      </c>
      <c r="N30" s="50">
        <v>0</v>
      </c>
      <c r="O30" s="15">
        <f t="shared" si="0"/>
        <v>8</v>
      </c>
      <c r="P30" s="15">
        <f t="shared" si="1"/>
        <v>38</v>
      </c>
    </row>
    <row r="31" spans="2:32" ht="23.1" customHeight="1" x14ac:dyDescent="0.25">
      <c r="B31" s="24" t="s">
        <v>58</v>
      </c>
      <c r="C31" s="50">
        <v>5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30</v>
      </c>
      <c r="N31" s="50">
        <v>0</v>
      </c>
      <c r="O31" s="15">
        <f t="shared" si="0"/>
        <v>8</v>
      </c>
      <c r="P31" s="15">
        <f t="shared" si="1"/>
        <v>38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8</v>
      </c>
      <c r="P32" s="15">
        <f t="shared" si="1"/>
        <v>42</v>
      </c>
    </row>
    <row r="33" spans="2:20" ht="23.1" customHeight="1" x14ac:dyDescent="0.25">
      <c r="B33" s="23" t="s">
        <v>60</v>
      </c>
      <c r="C33" s="50">
        <v>9</v>
      </c>
      <c r="D33" s="50">
        <v>1</v>
      </c>
      <c r="E33" s="50">
        <v>3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33</v>
      </c>
      <c r="N33" s="50">
        <v>0</v>
      </c>
      <c r="O33" s="15">
        <f t="shared" si="0"/>
        <v>15</v>
      </c>
      <c r="P33" s="15">
        <f t="shared" si="1"/>
        <v>48</v>
      </c>
    </row>
    <row r="34" spans="2:20" ht="23.1" customHeight="1" x14ac:dyDescent="0.25">
      <c r="B34" s="24" t="s">
        <v>61</v>
      </c>
      <c r="C34" s="50">
        <v>8</v>
      </c>
      <c r="D34" s="50">
        <v>1</v>
      </c>
      <c r="E34" s="50">
        <v>3</v>
      </c>
      <c r="F34" s="50">
        <v>0</v>
      </c>
      <c r="G34" s="50">
        <v>0</v>
      </c>
      <c r="H34" s="50">
        <v>0</v>
      </c>
      <c r="I34" s="50">
        <v>1</v>
      </c>
      <c r="J34" s="50">
        <v>3</v>
      </c>
      <c r="K34" s="50">
        <v>0</v>
      </c>
      <c r="L34" s="50">
        <v>1</v>
      </c>
      <c r="M34" s="50">
        <v>52</v>
      </c>
      <c r="N34" s="50">
        <v>0</v>
      </c>
      <c r="O34" s="15">
        <f t="shared" si="0"/>
        <v>17</v>
      </c>
      <c r="P34" s="15">
        <f t="shared" si="1"/>
        <v>69</v>
      </c>
    </row>
    <row r="35" spans="2:20" ht="23.1" customHeight="1" x14ac:dyDescent="0.25">
      <c r="B35" s="24" t="s">
        <v>62</v>
      </c>
      <c r="C35" s="50">
        <v>7</v>
      </c>
      <c r="D35" s="50">
        <v>2</v>
      </c>
      <c r="E35" s="50">
        <v>3</v>
      </c>
      <c r="F35" s="50">
        <v>2</v>
      </c>
      <c r="G35" s="50">
        <v>0</v>
      </c>
      <c r="H35" s="50">
        <v>0</v>
      </c>
      <c r="I35" s="50">
        <v>0</v>
      </c>
      <c r="J35" s="50">
        <v>2</v>
      </c>
      <c r="K35" s="50">
        <v>0</v>
      </c>
      <c r="L35" s="50">
        <v>1</v>
      </c>
      <c r="M35" s="50">
        <v>39</v>
      </c>
      <c r="N35" s="50">
        <v>0</v>
      </c>
      <c r="O35" s="15">
        <f t="shared" si="0"/>
        <v>17</v>
      </c>
      <c r="P35" s="15">
        <f t="shared" si="1"/>
        <v>56</v>
      </c>
    </row>
    <row r="36" spans="2:20" ht="23.1" customHeight="1" x14ac:dyDescent="0.25">
      <c r="B36" s="24" t="s">
        <v>63</v>
      </c>
      <c r="C36" s="50">
        <v>5</v>
      </c>
      <c r="D36" s="50">
        <v>1</v>
      </c>
      <c r="E36" s="50">
        <v>3</v>
      </c>
      <c r="F36" s="50">
        <v>1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31</v>
      </c>
      <c r="N36" s="50">
        <v>0</v>
      </c>
      <c r="O36" s="15">
        <f t="shared" si="0"/>
        <v>12</v>
      </c>
      <c r="P36" s="15">
        <f t="shared" si="1"/>
        <v>43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24</v>
      </c>
      <c r="N37" s="50">
        <v>0</v>
      </c>
      <c r="O37" s="15">
        <f t="shared" si="0"/>
        <v>10</v>
      </c>
      <c r="P37" s="15">
        <f t="shared" si="1"/>
        <v>34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3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33</v>
      </c>
      <c r="N38" s="50">
        <v>0</v>
      </c>
      <c r="O38" s="15">
        <f t="shared" si="0"/>
        <v>10</v>
      </c>
      <c r="P38" s="15">
        <f t="shared" si="1"/>
        <v>43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2</v>
      </c>
      <c r="J39" s="50">
        <v>2</v>
      </c>
      <c r="K39" s="50">
        <v>0</v>
      </c>
      <c r="L39" s="50">
        <v>1</v>
      </c>
      <c r="M39" s="50">
        <v>50</v>
      </c>
      <c r="N39" s="50">
        <v>0</v>
      </c>
      <c r="O39" s="15">
        <f t="shared" si="0"/>
        <v>15</v>
      </c>
      <c r="P39" s="15">
        <f t="shared" si="1"/>
        <v>65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29</v>
      </c>
      <c r="N40" s="50">
        <v>0</v>
      </c>
      <c r="O40" s="15">
        <f t="shared" si="0"/>
        <v>7</v>
      </c>
      <c r="P40" s="15">
        <f t="shared" si="1"/>
        <v>36</v>
      </c>
    </row>
    <row r="41" spans="2:20" ht="23.1" customHeight="1" x14ac:dyDescent="0.25">
      <c r="B41" s="23" t="s">
        <v>68</v>
      </c>
      <c r="C41" s="50">
        <v>8</v>
      </c>
      <c r="D41" s="50">
        <v>1</v>
      </c>
      <c r="E41" s="50">
        <v>3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38</v>
      </c>
      <c r="N41" s="50">
        <v>0</v>
      </c>
      <c r="O41" s="15">
        <f t="shared" si="0"/>
        <v>15</v>
      </c>
      <c r="P41" s="15">
        <f t="shared" si="1"/>
        <v>53</v>
      </c>
    </row>
    <row r="42" spans="2:20" ht="23.1" customHeight="1" x14ac:dyDescent="0.25">
      <c r="B42" s="24" t="s">
        <v>69</v>
      </c>
      <c r="C42" s="50">
        <v>8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24</v>
      </c>
      <c r="N42" s="50">
        <v>0</v>
      </c>
      <c r="O42" s="15">
        <f t="shared" si="0"/>
        <v>9</v>
      </c>
      <c r="P42" s="15">
        <f t="shared" si="1"/>
        <v>33</v>
      </c>
    </row>
    <row r="43" spans="2:20" ht="23.1" customHeight="1" x14ac:dyDescent="0.25">
      <c r="B43" s="23" t="s">
        <v>70</v>
      </c>
      <c r="C43" s="50">
        <v>5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38</v>
      </c>
      <c r="N43" s="50">
        <v>0</v>
      </c>
      <c r="O43" s="15">
        <f t="shared" si="0"/>
        <v>6</v>
      </c>
      <c r="P43" s="15">
        <f t="shared" si="1"/>
        <v>44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34</v>
      </c>
      <c r="N44" s="50">
        <v>0</v>
      </c>
      <c r="O44" s="15">
        <f t="shared" si="0"/>
        <v>7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8</v>
      </c>
      <c r="D45" s="50">
        <v>2</v>
      </c>
      <c r="E45" s="50">
        <v>3</v>
      </c>
      <c r="F45" s="50">
        <v>1</v>
      </c>
      <c r="G45" s="50">
        <v>0</v>
      </c>
      <c r="H45" s="50">
        <v>1</v>
      </c>
      <c r="I45" s="50">
        <v>1</v>
      </c>
      <c r="J45" s="50">
        <v>0</v>
      </c>
      <c r="K45" s="50">
        <v>0</v>
      </c>
      <c r="L45" s="50">
        <v>1</v>
      </c>
      <c r="M45" s="50">
        <v>40</v>
      </c>
      <c r="N45" s="50">
        <v>0</v>
      </c>
      <c r="O45" s="15">
        <f t="shared" si="0"/>
        <v>17</v>
      </c>
      <c r="P45" s="15">
        <f t="shared" si="1"/>
        <v>57</v>
      </c>
    </row>
    <row r="46" spans="2:20" ht="23.1" customHeight="1" x14ac:dyDescent="0.25">
      <c r="B46" s="24" t="s">
        <v>73</v>
      </c>
      <c r="C46" s="50">
        <v>11</v>
      </c>
      <c r="D46" s="50">
        <v>2</v>
      </c>
      <c r="E46" s="50">
        <v>4</v>
      </c>
      <c r="F46" s="50">
        <v>2</v>
      </c>
      <c r="G46" s="50">
        <v>0</v>
      </c>
      <c r="H46" s="50">
        <v>0</v>
      </c>
      <c r="I46" s="50">
        <v>0</v>
      </c>
      <c r="J46" s="50">
        <v>4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23</v>
      </c>
      <c r="P46" s="15">
        <f t="shared" si="1"/>
        <v>50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1</v>
      </c>
      <c r="E47" s="50">
        <v>2</v>
      </c>
      <c r="F47" s="50">
        <v>0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1</v>
      </c>
      <c r="M47" s="50">
        <v>18</v>
      </c>
      <c r="N47" s="50">
        <v>0</v>
      </c>
      <c r="O47" s="15">
        <f t="shared" si="0"/>
        <v>17</v>
      </c>
      <c r="P47" s="15">
        <f t="shared" si="1"/>
        <v>35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3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2</v>
      </c>
      <c r="E49" s="50">
        <v>4</v>
      </c>
      <c r="F49" s="50">
        <v>3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16</v>
      </c>
      <c r="P49" s="15">
        <f t="shared" si="1"/>
        <v>23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3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9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17</v>
      </c>
      <c r="N51" s="50">
        <v>0</v>
      </c>
      <c r="O51" s="15">
        <f t="shared" si="0"/>
        <v>4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28</v>
      </c>
      <c r="N52" s="50">
        <v>0</v>
      </c>
      <c r="O52" s="15">
        <f t="shared" si="0"/>
        <v>13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2</v>
      </c>
      <c r="K53" s="50">
        <v>0</v>
      </c>
      <c r="L53" s="50">
        <v>0</v>
      </c>
      <c r="M53" s="50">
        <v>25</v>
      </c>
      <c r="N53" s="50">
        <v>0</v>
      </c>
      <c r="O53" s="15">
        <f t="shared" si="0"/>
        <v>11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</v>
      </c>
      <c r="E54" s="50">
        <v>3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5</v>
      </c>
      <c r="L54" s="50">
        <v>0</v>
      </c>
      <c r="M54" s="50">
        <v>15</v>
      </c>
      <c r="N54" s="50">
        <v>0</v>
      </c>
      <c r="O54" s="15">
        <f t="shared" si="0"/>
        <v>17</v>
      </c>
      <c r="P54" s="15">
        <f t="shared" si="1"/>
        <v>32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30</v>
      </c>
      <c r="N55" s="50">
        <v>0</v>
      </c>
      <c r="O55" s="15">
        <f t="shared" si="0"/>
        <v>7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25</v>
      </c>
      <c r="N56" s="50">
        <v>0</v>
      </c>
      <c r="O56" s="15">
        <f t="shared" si="0"/>
        <v>6</v>
      </c>
      <c r="P56" s="15">
        <f t="shared" si="1"/>
        <v>31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35</v>
      </c>
      <c r="N57" s="50">
        <v>0</v>
      </c>
      <c r="O57" s="15">
        <f t="shared" si="0"/>
        <v>15</v>
      </c>
      <c r="P57" s="15">
        <f t="shared" si="1"/>
        <v>50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304</v>
      </c>
      <c r="D58" s="16">
        <f t="shared" si="21"/>
        <v>31</v>
      </c>
      <c r="E58" s="16">
        <f t="shared" si="21"/>
        <v>68</v>
      </c>
      <c r="F58" s="16">
        <f t="shared" si="21"/>
        <v>30</v>
      </c>
      <c r="G58" s="16">
        <f t="shared" si="21"/>
        <v>7</v>
      </c>
      <c r="H58" s="16">
        <f t="shared" si="21"/>
        <v>2</v>
      </c>
      <c r="I58" s="16">
        <f t="shared" si="21"/>
        <v>41</v>
      </c>
      <c r="J58" s="16">
        <f t="shared" si="21"/>
        <v>38</v>
      </c>
      <c r="K58" s="16">
        <f t="shared" si="21"/>
        <v>5</v>
      </c>
      <c r="L58" s="16">
        <f t="shared" si="21"/>
        <v>21</v>
      </c>
      <c r="M58" s="16">
        <f t="shared" si="21"/>
        <v>1371</v>
      </c>
      <c r="N58" s="16">
        <f t="shared" si="21"/>
        <v>0</v>
      </c>
      <c r="O58" s="16">
        <f t="shared" si="21"/>
        <v>547</v>
      </c>
      <c r="P58" s="16">
        <f t="shared" si="21"/>
        <v>1918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0.15849843587069865</v>
      </c>
      <c r="D59" s="43">
        <f t="shared" si="22"/>
        <v>1.6162669447340981E-2</v>
      </c>
      <c r="E59" s="43">
        <f t="shared" si="22"/>
        <v>3.5453597497393116E-2</v>
      </c>
      <c r="F59" s="43">
        <f t="shared" si="22"/>
        <v>1.5641293013555789E-2</v>
      </c>
      <c r="G59" s="43">
        <f t="shared" si="22"/>
        <v>3.6496350364963502E-3</v>
      </c>
      <c r="H59" s="43">
        <f t="shared" si="22"/>
        <v>1.0427528675703858E-3</v>
      </c>
      <c r="I59" s="43">
        <f t="shared" si="22"/>
        <v>2.1376433785192911E-2</v>
      </c>
      <c r="J59" s="43">
        <f t="shared" si="22"/>
        <v>1.9812304483837331E-2</v>
      </c>
      <c r="K59" s="43">
        <f t="shared" si="22"/>
        <v>2.6068821689259644E-3</v>
      </c>
      <c r="L59" s="43">
        <f t="shared" si="22"/>
        <v>1.0948905109489052E-2</v>
      </c>
      <c r="M59" s="43">
        <f t="shared" si="22"/>
        <v>0.71480709071949944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0.55575868372943327</v>
      </c>
      <c r="D60" s="44">
        <f t="shared" ref="D60:N60" si="23">D58/$O$58</f>
        <v>5.6672760511882997E-2</v>
      </c>
      <c r="E60" s="44">
        <f t="shared" si="23"/>
        <v>0.12431444241316271</v>
      </c>
      <c r="F60" s="44">
        <f t="shared" si="23"/>
        <v>5.4844606946983544E-2</v>
      </c>
      <c r="G60" s="44">
        <f t="shared" si="23"/>
        <v>1.2797074954296161E-2</v>
      </c>
      <c r="H60" s="44">
        <f t="shared" si="23"/>
        <v>3.6563071297989031E-3</v>
      </c>
      <c r="I60" s="44">
        <f t="shared" si="23"/>
        <v>7.4954296160877509E-2</v>
      </c>
      <c r="J60" s="44">
        <f t="shared" si="23"/>
        <v>6.9469835466179158E-2</v>
      </c>
      <c r="K60" s="44">
        <f t="shared" si="23"/>
        <v>9.140767824497258E-3</v>
      </c>
      <c r="L60" s="44">
        <f t="shared" si="23"/>
        <v>3.8391224862888484E-2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'04.08 Arua-Koboko'!G5:H5</f>
        <v>xxx</v>
      </c>
      <c r="H5" s="67"/>
      <c r="I5" s="14"/>
      <c r="J5" s="2" t="s">
        <v>5</v>
      </c>
      <c r="K5" s="66" t="str">
        <f>'04.08 Arua-Koboko'!K5:L5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Koboko-Arua'!D6:E6</f>
        <v>Koboko</v>
      </c>
      <c r="E6" s="67"/>
      <c r="F6" s="2" t="s">
        <v>2</v>
      </c>
      <c r="G6" s="66" t="str">
        <f>'31.07 Koboko-Arua'!G6:H6</f>
        <v>Arua</v>
      </c>
      <c r="H6" s="67"/>
      <c r="J6" s="2" t="s">
        <v>21</v>
      </c>
      <c r="K6" s="66" t="str">
        <f>'04.08 Arua-Koboko'!K6:L6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6</v>
      </c>
      <c r="E10" s="50">
        <v>7</v>
      </c>
      <c r="F10" s="50">
        <v>2</v>
      </c>
      <c r="G10" s="50">
        <v>3</v>
      </c>
      <c r="H10" s="50">
        <v>0</v>
      </c>
      <c r="I10" s="50">
        <v>0</v>
      </c>
      <c r="J10" s="50">
        <v>2</v>
      </c>
      <c r="K10" s="50">
        <v>1</v>
      </c>
      <c r="L10" s="50">
        <v>0</v>
      </c>
      <c r="M10" s="50">
        <v>45</v>
      </c>
      <c r="N10" s="50">
        <v>1</v>
      </c>
      <c r="O10" s="15">
        <f t="shared" ref="O10:O57" si="0">SUM(C10:L10,N10)</f>
        <v>30</v>
      </c>
      <c r="P10" s="15">
        <f t="shared" ref="P10:P57" si="1">SUM(C10:N10)</f>
        <v>75</v>
      </c>
      <c r="R10" s="1" t="s">
        <v>6</v>
      </c>
      <c r="S10" s="17">
        <f t="shared" ref="S10:AF10" si="2">SUM(C10:C13)</f>
        <v>22</v>
      </c>
      <c r="T10" s="17">
        <f t="shared" si="2"/>
        <v>28</v>
      </c>
      <c r="U10" s="17">
        <f t="shared" si="2"/>
        <v>32</v>
      </c>
      <c r="V10" s="17">
        <f t="shared" si="2"/>
        <v>26</v>
      </c>
      <c r="W10" s="17">
        <f t="shared" si="2"/>
        <v>27</v>
      </c>
      <c r="X10" s="17">
        <f t="shared" si="2"/>
        <v>1</v>
      </c>
      <c r="Y10" s="17">
        <f t="shared" si="2"/>
        <v>1</v>
      </c>
      <c r="Z10" s="17">
        <f t="shared" si="2"/>
        <v>5</v>
      </c>
      <c r="AA10" s="17">
        <f t="shared" si="2"/>
        <v>1</v>
      </c>
      <c r="AB10" s="17">
        <f t="shared" si="2"/>
        <v>2</v>
      </c>
      <c r="AC10" s="17">
        <f t="shared" si="2"/>
        <v>166</v>
      </c>
      <c r="AD10" s="17">
        <f t="shared" si="2"/>
        <v>1</v>
      </c>
      <c r="AE10" s="31">
        <f t="shared" si="2"/>
        <v>146</v>
      </c>
      <c r="AF10" s="31">
        <f t="shared" si="2"/>
        <v>312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13</v>
      </c>
      <c r="E11" s="50">
        <v>14</v>
      </c>
      <c r="F11" s="50">
        <v>4</v>
      </c>
      <c r="G11" s="50">
        <v>15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33</v>
      </c>
      <c r="N11" s="50">
        <v>0</v>
      </c>
      <c r="O11" s="15">
        <f t="shared" si="0"/>
        <v>46</v>
      </c>
      <c r="P11" s="15">
        <f t="shared" si="1"/>
        <v>79</v>
      </c>
      <c r="R11" s="1" t="s">
        <v>7</v>
      </c>
      <c r="S11" s="17">
        <f t="shared" ref="S11:AF11" si="3">SUM(C14:C17)</f>
        <v>19</v>
      </c>
      <c r="T11" s="17">
        <f t="shared" si="3"/>
        <v>13</v>
      </c>
      <c r="U11" s="17">
        <f t="shared" si="3"/>
        <v>16</v>
      </c>
      <c r="V11" s="17">
        <f t="shared" si="3"/>
        <v>31</v>
      </c>
      <c r="W11" s="17">
        <f t="shared" si="3"/>
        <v>1</v>
      </c>
      <c r="X11" s="17">
        <f t="shared" si="3"/>
        <v>0</v>
      </c>
      <c r="Y11" s="17">
        <f t="shared" si="3"/>
        <v>2</v>
      </c>
      <c r="Z11" s="17">
        <f t="shared" si="3"/>
        <v>2</v>
      </c>
      <c r="AA11" s="17">
        <f t="shared" si="3"/>
        <v>0</v>
      </c>
      <c r="AB11" s="17">
        <f t="shared" si="3"/>
        <v>2</v>
      </c>
      <c r="AC11" s="17">
        <f t="shared" si="3"/>
        <v>169</v>
      </c>
      <c r="AD11" s="17">
        <f t="shared" si="3"/>
        <v>0</v>
      </c>
      <c r="AE11" s="31">
        <f t="shared" si="3"/>
        <v>86</v>
      </c>
      <c r="AF11" s="31">
        <f t="shared" si="3"/>
        <v>255</v>
      </c>
    </row>
    <row r="12" spans="2:32" ht="23.1" customHeight="1" x14ac:dyDescent="0.25">
      <c r="B12" s="23" t="s">
        <v>39</v>
      </c>
      <c r="C12" s="50">
        <v>14</v>
      </c>
      <c r="D12" s="50">
        <v>6</v>
      </c>
      <c r="E12" s="50">
        <v>7</v>
      </c>
      <c r="F12" s="50">
        <v>8</v>
      </c>
      <c r="G12" s="50">
        <v>6</v>
      </c>
      <c r="H12" s="50">
        <v>1</v>
      </c>
      <c r="I12" s="50">
        <v>1</v>
      </c>
      <c r="J12" s="50">
        <v>3</v>
      </c>
      <c r="K12" s="50">
        <v>0</v>
      </c>
      <c r="L12" s="50">
        <v>2</v>
      </c>
      <c r="M12" s="50">
        <v>43</v>
      </c>
      <c r="N12" s="50">
        <v>0</v>
      </c>
      <c r="O12" s="15">
        <f t="shared" si="0"/>
        <v>48</v>
      </c>
      <c r="P12" s="15">
        <f t="shared" si="1"/>
        <v>91</v>
      </c>
      <c r="R12" s="1" t="s">
        <v>8</v>
      </c>
      <c r="S12" s="17">
        <f t="shared" ref="S12:AF12" si="4">SUM(C18:C21)</f>
        <v>80</v>
      </c>
      <c r="T12" s="17">
        <f t="shared" si="4"/>
        <v>6</v>
      </c>
      <c r="U12" s="17">
        <f t="shared" si="4"/>
        <v>7</v>
      </c>
      <c r="V12" s="17">
        <f t="shared" si="4"/>
        <v>29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5</v>
      </c>
      <c r="AA12" s="17">
        <f t="shared" si="4"/>
        <v>1</v>
      </c>
      <c r="AB12" s="17">
        <f t="shared" si="4"/>
        <v>3</v>
      </c>
      <c r="AC12" s="17">
        <f t="shared" si="4"/>
        <v>146</v>
      </c>
      <c r="AD12" s="17">
        <f t="shared" si="4"/>
        <v>0</v>
      </c>
      <c r="AE12" s="31">
        <f t="shared" si="4"/>
        <v>135</v>
      </c>
      <c r="AF12" s="31">
        <f t="shared" si="4"/>
        <v>281</v>
      </c>
    </row>
    <row r="13" spans="2:32" ht="23.1" customHeight="1" x14ac:dyDescent="0.25">
      <c r="B13" s="23" t="s">
        <v>40</v>
      </c>
      <c r="C13" s="50">
        <v>0</v>
      </c>
      <c r="D13" s="50">
        <v>3</v>
      </c>
      <c r="E13" s="50">
        <v>4</v>
      </c>
      <c r="F13" s="50">
        <v>12</v>
      </c>
      <c r="G13" s="50">
        <v>3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45</v>
      </c>
      <c r="N13" s="50">
        <v>0</v>
      </c>
      <c r="O13" s="15">
        <f t="shared" si="0"/>
        <v>22</v>
      </c>
      <c r="P13" s="15">
        <f t="shared" si="1"/>
        <v>67</v>
      </c>
      <c r="R13" s="1" t="s">
        <v>9</v>
      </c>
      <c r="S13" s="17">
        <f t="shared" ref="S13:AF13" si="5">SUM(C22:C25)</f>
        <v>26</v>
      </c>
      <c r="T13" s="17">
        <f t="shared" si="5"/>
        <v>7</v>
      </c>
      <c r="U13" s="17">
        <f t="shared" si="5"/>
        <v>10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92</v>
      </c>
      <c r="AD13" s="17">
        <f t="shared" si="5"/>
        <v>0</v>
      </c>
      <c r="AE13" s="31">
        <f t="shared" si="5"/>
        <v>58</v>
      </c>
      <c r="AF13" s="31">
        <f t="shared" si="5"/>
        <v>150</v>
      </c>
    </row>
    <row r="14" spans="2:32" ht="23.1" customHeight="1" x14ac:dyDescent="0.25">
      <c r="B14" s="23" t="s">
        <v>41</v>
      </c>
      <c r="C14" s="50">
        <v>0</v>
      </c>
      <c r="D14" s="50">
        <v>9</v>
      </c>
      <c r="E14" s="50">
        <v>10</v>
      </c>
      <c r="F14" s="50">
        <v>8</v>
      </c>
      <c r="G14" s="50">
        <v>1</v>
      </c>
      <c r="H14" s="50">
        <v>0</v>
      </c>
      <c r="I14" s="50">
        <v>0</v>
      </c>
      <c r="J14" s="50">
        <v>2</v>
      </c>
      <c r="K14" s="50">
        <v>0</v>
      </c>
      <c r="L14" s="50">
        <v>0</v>
      </c>
      <c r="M14" s="50">
        <v>45</v>
      </c>
      <c r="N14" s="50">
        <v>0</v>
      </c>
      <c r="O14" s="15">
        <f t="shared" si="0"/>
        <v>30</v>
      </c>
      <c r="P14" s="15">
        <f t="shared" si="1"/>
        <v>75</v>
      </c>
      <c r="R14" s="1" t="s">
        <v>10</v>
      </c>
      <c r="S14" s="17">
        <f t="shared" ref="S14:AF14" si="6">SUM(C26:C29)</f>
        <v>32</v>
      </c>
      <c r="T14" s="17">
        <f t="shared" si="6"/>
        <v>5</v>
      </c>
      <c r="U14" s="17">
        <f t="shared" si="6"/>
        <v>6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68</v>
      </c>
      <c r="AD14" s="17">
        <f t="shared" si="6"/>
        <v>0</v>
      </c>
      <c r="AE14" s="31">
        <f t="shared" si="6"/>
        <v>48</v>
      </c>
      <c r="AF14" s="31">
        <f t="shared" si="6"/>
        <v>116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2</v>
      </c>
      <c r="F15" s="50">
        <v>7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44</v>
      </c>
      <c r="N15" s="50">
        <v>0</v>
      </c>
      <c r="O15" s="15">
        <f t="shared" si="0"/>
        <v>10</v>
      </c>
      <c r="P15" s="15">
        <f t="shared" si="1"/>
        <v>54</v>
      </c>
      <c r="R15" s="1" t="s">
        <v>11</v>
      </c>
      <c r="S15" s="17">
        <f t="shared" ref="S15:AF15" si="7">SUM(C30:C33)</f>
        <v>33</v>
      </c>
      <c r="T15" s="17">
        <f t="shared" si="7"/>
        <v>7</v>
      </c>
      <c r="U15" s="17">
        <f t="shared" si="7"/>
        <v>9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159</v>
      </c>
      <c r="AD15" s="17">
        <f t="shared" si="7"/>
        <v>0</v>
      </c>
      <c r="AE15" s="31">
        <f t="shared" si="7"/>
        <v>61</v>
      </c>
      <c r="AF15" s="31">
        <f t="shared" si="7"/>
        <v>220</v>
      </c>
    </row>
    <row r="16" spans="2:32" ht="23.1" customHeight="1" x14ac:dyDescent="0.25">
      <c r="B16" s="23" t="s">
        <v>43</v>
      </c>
      <c r="C16" s="50">
        <v>6</v>
      </c>
      <c r="D16" s="50">
        <v>2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42</v>
      </c>
      <c r="N16" s="50">
        <v>0</v>
      </c>
      <c r="O16" s="15">
        <f t="shared" si="0"/>
        <v>10</v>
      </c>
      <c r="P16" s="15">
        <f t="shared" si="1"/>
        <v>52</v>
      </c>
      <c r="R16" s="1" t="s">
        <v>12</v>
      </c>
      <c r="S16" s="17">
        <f t="shared" ref="S16:AF16" si="8">SUM(C34:C37)</f>
        <v>37</v>
      </c>
      <c r="T16" s="17">
        <f t="shared" si="8"/>
        <v>9</v>
      </c>
      <c r="U16" s="17">
        <f t="shared" si="8"/>
        <v>9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171</v>
      </c>
      <c r="AD16" s="17">
        <f t="shared" si="8"/>
        <v>0</v>
      </c>
      <c r="AE16" s="31">
        <f t="shared" si="8"/>
        <v>82</v>
      </c>
      <c r="AF16" s="31">
        <f t="shared" si="8"/>
        <v>253</v>
      </c>
    </row>
    <row r="17" spans="2:32" ht="23.1" customHeight="1" x14ac:dyDescent="0.25">
      <c r="B17" s="23" t="s">
        <v>44</v>
      </c>
      <c r="C17" s="50">
        <v>13</v>
      </c>
      <c r="D17" s="50">
        <v>1</v>
      </c>
      <c r="E17" s="50">
        <v>2</v>
      </c>
      <c r="F17" s="50">
        <v>16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2</v>
      </c>
      <c r="M17" s="50">
        <v>38</v>
      </c>
      <c r="N17" s="50">
        <v>0</v>
      </c>
      <c r="O17" s="15">
        <f t="shared" si="0"/>
        <v>36</v>
      </c>
      <c r="P17" s="15">
        <f t="shared" si="1"/>
        <v>74</v>
      </c>
      <c r="R17" s="1" t="s">
        <v>13</v>
      </c>
      <c r="S17" s="17">
        <f t="shared" ref="S17:AF17" si="9">SUM(C38:C41)</f>
        <v>33</v>
      </c>
      <c r="T17" s="17">
        <f t="shared" si="9"/>
        <v>7</v>
      </c>
      <c r="U17" s="17">
        <f t="shared" si="9"/>
        <v>8</v>
      </c>
      <c r="V17" s="17">
        <f t="shared" si="9"/>
        <v>8</v>
      </c>
      <c r="W17" s="17">
        <f t="shared" si="9"/>
        <v>1</v>
      </c>
      <c r="X17" s="17">
        <f t="shared" si="9"/>
        <v>1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178</v>
      </c>
      <c r="AD17" s="17">
        <f t="shared" si="9"/>
        <v>0</v>
      </c>
      <c r="AE17" s="31">
        <f t="shared" si="9"/>
        <v>63</v>
      </c>
      <c r="AF17" s="31">
        <f t="shared" si="9"/>
        <v>241</v>
      </c>
    </row>
    <row r="18" spans="2:32" ht="23.1" customHeight="1" x14ac:dyDescent="0.25">
      <c r="B18" s="23" t="s">
        <v>45</v>
      </c>
      <c r="C18" s="50">
        <v>23</v>
      </c>
      <c r="D18" s="50">
        <v>0</v>
      </c>
      <c r="E18" s="50">
        <v>0</v>
      </c>
      <c r="F18" s="50">
        <v>7</v>
      </c>
      <c r="G18" s="50">
        <v>0</v>
      </c>
      <c r="H18" s="50">
        <v>0</v>
      </c>
      <c r="I18" s="50">
        <v>2</v>
      </c>
      <c r="J18" s="50">
        <v>0</v>
      </c>
      <c r="K18" s="50">
        <v>1</v>
      </c>
      <c r="L18" s="50">
        <v>0</v>
      </c>
      <c r="M18" s="50">
        <v>33</v>
      </c>
      <c r="N18" s="50">
        <v>0</v>
      </c>
      <c r="O18" s="15">
        <f t="shared" si="0"/>
        <v>33</v>
      </c>
      <c r="P18" s="15">
        <f t="shared" si="1"/>
        <v>66</v>
      </c>
      <c r="R18" s="1" t="s">
        <v>14</v>
      </c>
      <c r="S18" s="17">
        <f t="shared" ref="S18:AF18" si="10">SUM(C42:C45)</f>
        <v>34</v>
      </c>
      <c r="T18" s="17">
        <f t="shared" si="10"/>
        <v>11</v>
      </c>
      <c r="U18" s="17">
        <f t="shared" si="10"/>
        <v>14</v>
      </c>
      <c r="V18" s="17">
        <f t="shared" si="10"/>
        <v>6</v>
      </c>
      <c r="W18" s="17">
        <f t="shared" si="10"/>
        <v>0</v>
      </c>
      <c r="X18" s="17">
        <f t="shared" si="10"/>
        <v>1</v>
      </c>
      <c r="Y18" s="17">
        <f t="shared" si="10"/>
        <v>7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197</v>
      </c>
      <c r="AD18" s="17">
        <f t="shared" si="10"/>
        <v>1</v>
      </c>
      <c r="AE18" s="31">
        <f t="shared" si="10"/>
        <v>75</v>
      </c>
      <c r="AF18" s="31">
        <f t="shared" si="10"/>
        <v>272</v>
      </c>
    </row>
    <row r="19" spans="2:32" ht="23.1" customHeight="1" x14ac:dyDescent="0.25">
      <c r="B19" s="23" t="s">
        <v>46</v>
      </c>
      <c r="C19" s="50">
        <v>30</v>
      </c>
      <c r="D19" s="50">
        <v>4</v>
      </c>
      <c r="E19" s="50">
        <v>4</v>
      </c>
      <c r="F19" s="50">
        <v>13</v>
      </c>
      <c r="G19" s="50">
        <v>0</v>
      </c>
      <c r="H19" s="50">
        <v>0</v>
      </c>
      <c r="I19" s="50">
        <v>0</v>
      </c>
      <c r="J19" s="50">
        <v>3</v>
      </c>
      <c r="K19" s="50">
        <v>0</v>
      </c>
      <c r="L19" s="50">
        <v>2</v>
      </c>
      <c r="M19" s="50">
        <v>35</v>
      </c>
      <c r="N19" s="50">
        <v>0</v>
      </c>
      <c r="O19" s="15">
        <f t="shared" si="0"/>
        <v>56</v>
      </c>
      <c r="P19" s="15">
        <f t="shared" si="1"/>
        <v>91</v>
      </c>
      <c r="R19" s="1" t="s">
        <v>15</v>
      </c>
      <c r="S19" s="17">
        <f t="shared" ref="S19:AF19" si="11">SUM(C46:C49)</f>
        <v>28</v>
      </c>
      <c r="T19" s="17">
        <f t="shared" si="11"/>
        <v>8</v>
      </c>
      <c r="U19" s="17">
        <f t="shared" si="11"/>
        <v>15</v>
      </c>
      <c r="V19" s="17">
        <f t="shared" si="11"/>
        <v>6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179</v>
      </c>
      <c r="AD19" s="17">
        <f t="shared" si="11"/>
        <v>0</v>
      </c>
      <c r="AE19" s="31">
        <f t="shared" si="11"/>
        <v>60</v>
      </c>
      <c r="AF19" s="31">
        <f t="shared" si="11"/>
        <v>239</v>
      </c>
    </row>
    <row r="20" spans="2:32" ht="23.1" customHeight="1" x14ac:dyDescent="0.25">
      <c r="B20" s="23" t="s">
        <v>47</v>
      </c>
      <c r="C20" s="50">
        <v>8</v>
      </c>
      <c r="D20" s="50">
        <v>2</v>
      </c>
      <c r="E20" s="50">
        <v>3</v>
      </c>
      <c r="F20" s="50">
        <v>6</v>
      </c>
      <c r="G20" s="50">
        <v>0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49</v>
      </c>
      <c r="N20" s="50">
        <v>0</v>
      </c>
      <c r="O20" s="15">
        <f t="shared" si="0"/>
        <v>23</v>
      </c>
      <c r="P20" s="15">
        <f t="shared" si="1"/>
        <v>72</v>
      </c>
      <c r="R20" s="1" t="s">
        <v>16</v>
      </c>
      <c r="S20" s="17">
        <f t="shared" ref="S20:AF20" si="12">SUM(C50:C53)</f>
        <v>17</v>
      </c>
      <c r="T20" s="17">
        <f t="shared" si="12"/>
        <v>12</v>
      </c>
      <c r="U20" s="17">
        <f t="shared" si="12"/>
        <v>12</v>
      </c>
      <c r="V20" s="17">
        <f t="shared" si="12"/>
        <v>5</v>
      </c>
      <c r="W20" s="17">
        <f t="shared" si="12"/>
        <v>7</v>
      </c>
      <c r="X20" s="17">
        <f t="shared" si="12"/>
        <v>0</v>
      </c>
      <c r="Y20" s="17">
        <f t="shared" si="12"/>
        <v>6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226</v>
      </c>
      <c r="AD20" s="17">
        <f t="shared" si="12"/>
        <v>0</v>
      </c>
      <c r="AE20" s="31">
        <f t="shared" si="12"/>
        <v>62</v>
      </c>
      <c r="AF20" s="31">
        <f t="shared" si="12"/>
        <v>288</v>
      </c>
    </row>
    <row r="21" spans="2:32" ht="23.1" customHeight="1" x14ac:dyDescent="0.25">
      <c r="B21" s="23" t="s">
        <v>48</v>
      </c>
      <c r="C21" s="50">
        <v>19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29</v>
      </c>
      <c r="N21" s="50">
        <v>0</v>
      </c>
      <c r="O21" s="15">
        <f t="shared" si="0"/>
        <v>23</v>
      </c>
      <c r="P21" s="15">
        <f t="shared" si="1"/>
        <v>52</v>
      </c>
      <c r="R21" s="36" t="s">
        <v>20</v>
      </c>
      <c r="S21" s="34">
        <f t="shared" ref="S21:AF21" si="13">SUM(C54:C57)</f>
        <v>13</v>
      </c>
      <c r="T21" s="17">
        <f t="shared" si="13"/>
        <v>7</v>
      </c>
      <c r="U21" s="17">
        <f t="shared" si="13"/>
        <v>8</v>
      </c>
      <c r="V21" s="17">
        <f t="shared" si="13"/>
        <v>8</v>
      </c>
      <c r="W21" s="17">
        <f t="shared" si="13"/>
        <v>4</v>
      </c>
      <c r="X21" s="17">
        <f t="shared" si="13"/>
        <v>2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170</v>
      </c>
      <c r="AD21" s="17">
        <f t="shared" si="13"/>
        <v>0</v>
      </c>
      <c r="AE21" s="31">
        <f t="shared" si="13"/>
        <v>45</v>
      </c>
      <c r="AF21" s="31">
        <f t="shared" si="13"/>
        <v>215</v>
      </c>
    </row>
    <row r="22" spans="2:32" ht="23.1" customHeight="1" x14ac:dyDescent="0.25">
      <c r="B22" s="23" t="s">
        <v>49</v>
      </c>
      <c r="C22" s="50">
        <v>9</v>
      </c>
      <c r="D22" s="50">
        <v>1</v>
      </c>
      <c r="E22" s="50">
        <v>2</v>
      </c>
      <c r="F22" s="50">
        <v>1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43</v>
      </c>
      <c r="N22" s="50">
        <v>0</v>
      </c>
      <c r="O22" s="15">
        <f t="shared" si="0"/>
        <v>15</v>
      </c>
      <c r="P22" s="15">
        <f t="shared" si="1"/>
        <v>58</v>
      </c>
      <c r="R22" s="38" t="s">
        <v>90</v>
      </c>
      <c r="S22" s="39">
        <f>MAX(S10:S12)</f>
        <v>80</v>
      </c>
      <c r="T22" s="39">
        <f t="shared" ref="T22:AF22" si="14">MAX(T10:T12)</f>
        <v>28</v>
      </c>
      <c r="U22" s="39">
        <f t="shared" si="14"/>
        <v>32</v>
      </c>
      <c r="V22" s="39">
        <f t="shared" si="14"/>
        <v>31</v>
      </c>
      <c r="W22" s="39">
        <f t="shared" si="14"/>
        <v>27</v>
      </c>
      <c r="X22" s="39">
        <f t="shared" si="14"/>
        <v>1</v>
      </c>
      <c r="Y22" s="39">
        <f t="shared" si="14"/>
        <v>4</v>
      </c>
      <c r="Z22" s="39">
        <f t="shared" si="14"/>
        <v>5</v>
      </c>
      <c r="AA22" s="39">
        <f t="shared" si="14"/>
        <v>1</v>
      </c>
      <c r="AB22" s="39">
        <f t="shared" si="14"/>
        <v>3</v>
      </c>
      <c r="AC22" s="39">
        <f t="shared" si="14"/>
        <v>169</v>
      </c>
      <c r="AD22" s="39">
        <f t="shared" si="14"/>
        <v>1</v>
      </c>
      <c r="AE22" s="40">
        <f t="shared" si="14"/>
        <v>146</v>
      </c>
      <c r="AF22" s="40">
        <f t="shared" si="14"/>
        <v>312</v>
      </c>
    </row>
    <row r="23" spans="2:32" ht="23.1" customHeight="1" x14ac:dyDescent="0.25">
      <c r="B23" s="23" t="s">
        <v>50</v>
      </c>
      <c r="C23" s="50">
        <v>6</v>
      </c>
      <c r="D23" s="50">
        <v>4</v>
      </c>
      <c r="E23" s="50">
        <v>4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37</v>
      </c>
      <c r="N23" s="50">
        <v>0</v>
      </c>
      <c r="O23" s="15">
        <f t="shared" si="0"/>
        <v>18</v>
      </c>
      <c r="P23" s="15">
        <f t="shared" si="1"/>
        <v>55</v>
      </c>
      <c r="R23" s="38" t="s">
        <v>91</v>
      </c>
      <c r="S23" s="39">
        <f>MAX(S13:S18)</f>
        <v>37</v>
      </c>
      <c r="T23" s="39">
        <f t="shared" ref="T23:AF23" si="15">MAX(T13:T18)</f>
        <v>11</v>
      </c>
      <c r="U23" s="39">
        <f t="shared" si="15"/>
        <v>14</v>
      </c>
      <c r="V23" s="39">
        <f t="shared" si="15"/>
        <v>15</v>
      </c>
      <c r="W23" s="39">
        <f t="shared" si="15"/>
        <v>1</v>
      </c>
      <c r="X23" s="39">
        <f t="shared" si="15"/>
        <v>1</v>
      </c>
      <c r="Y23" s="39">
        <f t="shared" si="15"/>
        <v>11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197</v>
      </c>
      <c r="AD23" s="39">
        <f t="shared" si="15"/>
        <v>1</v>
      </c>
      <c r="AE23" s="40">
        <f t="shared" si="15"/>
        <v>82</v>
      </c>
      <c r="AF23" s="40">
        <f t="shared" si="15"/>
        <v>272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2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11</v>
      </c>
      <c r="P24" s="15">
        <f t="shared" si="1"/>
        <v>23</v>
      </c>
      <c r="R24" s="38" t="s">
        <v>92</v>
      </c>
      <c r="S24" s="39">
        <f>MAX(S19:S21)</f>
        <v>28</v>
      </c>
      <c r="T24" s="39">
        <f t="shared" ref="T24:AF24" si="16">MAX(T19:T21)</f>
        <v>12</v>
      </c>
      <c r="U24" s="39">
        <f t="shared" si="16"/>
        <v>15</v>
      </c>
      <c r="V24" s="39">
        <f t="shared" si="16"/>
        <v>8</v>
      </c>
      <c r="W24" s="39">
        <f t="shared" si="16"/>
        <v>7</v>
      </c>
      <c r="X24" s="39">
        <f t="shared" si="16"/>
        <v>2</v>
      </c>
      <c r="Y24" s="39">
        <f t="shared" si="16"/>
        <v>6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226</v>
      </c>
      <c r="AD24" s="39">
        <f t="shared" si="16"/>
        <v>0</v>
      </c>
      <c r="AE24" s="40">
        <f t="shared" si="16"/>
        <v>62</v>
      </c>
      <c r="AF24" s="40">
        <f t="shared" si="16"/>
        <v>288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2</v>
      </c>
      <c r="F25" s="50">
        <v>2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14</v>
      </c>
      <c r="P25" s="15">
        <f t="shared" si="1"/>
        <v>14</v>
      </c>
      <c r="R25" s="37" t="s">
        <v>85</v>
      </c>
      <c r="S25" s="35">
        <f t="shared" ref="S25:AF25" si="17">SUM(S10:S12)</f>
        <v>121</v>
      </c>
      <c r="T25" s="16">
        <f t="shared" si="17"/>
        <v>47</v>
      </c>
      <c r="U25" s="16">
        <f t="shared" si="17"/>
        <v>55</v>
      </c>
      <c r="V25" s="16">
        <f t="shared" si="17"/>
        <v>86</v>
      </c>
      <c r="W25" s="16">
        <f t="shared" si="17"/>
        <v>28</v>
      </c>
      <c r="X25" s="16">
        <f t="shared" si="17"/>
        <v>1</v>
      </c>
      <c r="Y25" s="16">
        <f t="shared" si="17"/>
        <v>7</v>
      </c>
      <c r="Z25" s="16">
        <f t="shared" si="17"/>
        <v>12</v>
      </c>
      <c r="AA25" s="16">
        <f t="shared" si="17"/>
        <v>2</v>
      </c>
      <c r="AB25" s="16">
        <f t="shared" si="17"/>
        <v>7</v>
      </c>
      <c r="AC25" s="16">
        <f t="shared" si="17"/>
        <v>481</v>
      </c>
      <c r="AD25" s="16">
        <f t="shared" si="17"/>
        <v>1</v>
      </c>
      <c r="AE25" s="32">
        <f t="shared" si="17"/>
        <v>367</v>
      </c>
      <c r="AF25" s="32">
        <f t="shared" si="17"/>
        <v>848</v>
      </c>
    </row>
    <row r="26" spans="2:32" ht="23.1" customHeight="1" x14ac:dyDescent="0.25">
      <c r="B26" s="23" t="s">
        <v>53</v>
      </c>
      <c r="C26" s="50">
        <v>9</v>
      </c>
      <c r="D26" s="50">
        <v>2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13</v>
      </c>
      <c r="P26" s="15">
        <f t="shared" si="1"/>
        <v>17</v>
      </c>
      <c r="R26" s="28" t="s">
        <v>86</v>
      </c>
      <c r="S26" s="16">
        <f t="shared" ref="S26:AF26" si="18">SUM(S13:S18)</f>
        <v>195</v>
      </c>
      <c r="T26" s="16">
        <f t="shared" si="18"/>
        <v>46</v>
      </c>
      <c r="U26" s="16">
        <f t="shared" si="18"/>
        <v>56</v>
      </c>
      <c r="V26" s="16">
        <f t="shared" si="18"/>
        <v>39</v>
      </c>
      <c r="W26" s="16">
        <f t="shared" si="18"/>
        <v>1</v>
      </c>
      <c r="X26" s="16">
        <f t="shared" si="18"/>
        <v>2</v>
      </c>
      <c r="Y26" s="16">
        <f t="shared" si="18"/>
        <v>41</v>
      </c>
      <c r="Z26" s="16">
        <f t="shared" si="18"/>
        <v>5</v>
      </c>
      <c r="AA26" s="16">
        <f t="shared" si="18"/>
        <v>1</v>
      </c>
      <c r="AB26" s="16">
        <f t="shared" si="18"/>
        <v>0</v>
      </c>
      <c r="AC26" s="16">
        <f t="shared" si="18"/>
        <v>865</v>
      </c>
      <c r="AD26" s="16">
        <f t="shared" si="18"/>
        <v>1</v>
      </c>
      <c r="AE26" s="32">
        <f t="shared" si="18"/>
        <v>387</v>
      </c>
      <c r="AF26" s="32">
        <f t="shared" si="18"/>
        <v>1252</v>
      </c>
    </row>
    <row r="27" spans="2:32" ht="23.1" customHeight="1" x14ac:dyDescent="0.25">
      <c r="B27" s="23" t="s">
        <v>54</v>
      </c>
      <c r="C27" s="50">
        <v>5</v>
      </c>
      <c r="D27" s="50">
        <v>1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10</v>
      </c>
      <c r="P27" s="15">
        <f t="shared" si="1"/>
        <v>10</v>
      </c>
      <c r="R27" s="29" t="s">
        <v>87</v>
      </c>
      <c r="S27" s="16">
        <f t="shared" ref="S27:AF27" si="19">SUM(S19:S21)</f>
        <v>58</v>
      </c>
      <c r="T27" s="16">
        <f t="shared" si="19"/>
        <v>27</v>
      </c>
      <c r="U27" s="16">
        <f t="shared" si="19"/>
        <v>35</v>
      </c>
      <c r="V27" s="16">
        <f t="shared" si="19"/>
        <v>19</v>
      </c>
      <c r="W27" s="16">
        <f t="shared" si="19"/>
        <v>12</v>
      </c>
      <c r="X27" s="16">
        <f t="shared" si="19"/>
        <v>2</v>
      </c>
      <c r="Y27" s="16">
        <f t="shared" si="19"/>
        <v>11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575</v>
      </c>
      <c r="AD27" s="16">
        <f t="shared" si="19"/>
        <v>0</v>
      </c>
      <c r="AE27" s="32">
        <f t="shared" si="19"/>
        <v>167</v>
      </c>
      <c r="AF27" s="32">
        <f t="shared" si="19"/>
        <v>742</v>
      </c>
    </row>
    <row r="28" spans="2:32" ht="23.1" customHeight="1" x14ac:dyDescent="0.25">
      <c r="B28" s="23" t="s">
        <v>55</v>
      </c>
      <c r="C28" s="50">
        <v>16</v>
      </c>
      <c r="D28" s="50">
        <v>2</v>
      </c>
      <c r="E28" s="50">
        <v>2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39</v>
      </c>
      <c r="N28" s="50">
        <v>0</v>
      </c>
      <c r="O28" s="15">
        <f t="shared" si="0"/>
        <v>23</v>
      </c>
      <c r="P28" s="15">
        <f t="shared" si="1"/>
        <v>62</v>
      </c>
      <c r="R28" s="5" t="s">
        <v>17</v>
      </c>
      <c r="S28" s="16">
        <f t="shared" ref="S28:AF28" si="20">SUM(S10:S21)</f>
        <v>374</v>
      </c>
      <c r="T28" s="16">
        <f t="shared" si="20"/>
        <v>120</v>
      </c>
      <c r="U28" s="16">
        <f t="shared" si="20"/>
        <v>146</v>
      </c>
      <c r="V28" s="16">
        <f t="shared" si="20"/>
        <v>144</v>
      </c>
      <c r="W28" s="16">
        <f t="shared" si="20"/>
        <v>41</v>
      </c>
      <c r="X28" s="16">
        <f t="shared" si="20"/>
        <v>5</v>
      </c>
      <c r="Y28" s="16">
        <f t="shared" si="20"/>
        <v>59</v>
      </c>
      <c r="Z28" s="16">
        <f t="shared" si="20"/>
        <v>20</v>
      </c>
      <c r="AA28" s="16">
        <f t="shared" si="20"/>
        <v>3</v>
      </c>
      <c r="AB28" s="16">
        <f t="shared" si="20"/>
        <v>7</v>
      </c>
      <c r="AC28" s="16">
        <f t="shared" si="20"/>
        <v>1921</v>
      </c>
      <c r="AD28" s="16">
        <f t="shared" si="20"/>
        <v>2</v>
      </c>
      <c r="AE28" s="32">
        <f t="shared" si="20"/>
        <v>921</v>
      </c>
      <c r="AF28" s="32">
        <f t="shared" si="20"/>
        <v>2842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2</v>
      </c>
      <c r="P29" s="15">
        <f t="shared" si="1"/>
        <v>27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1</v>
      </c>
      <c r="E30" s="50">
        <v>1</v>
      </c>
      <c r="F30" s="50">
        <v>2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37</v>
      </c>
      <c r="N30" s="50">
        <v>0</v>
      </c>
      <c r="O30" s="15">
        <f t="shared" si="0"/>
        <v>11</v>
      </c>
      <c r="P30" s="15">
        <f t="shared" si="1"/>
        <v>48</v>
      </c>
    </row>
    <row r="31" spans="2:32" ht="23.1" customHeight="1" x14ac:dyDescent="0.25">
      <c r="B31" s="24" t="s">
        <v>58</v>
      </c>
      <c r="C31" s="50">
        <v>10</v>
      </c>
      <c r="D31" s="50">
        <v>4</v>
      </c>
      <c r="E31" s="50">
        <v>5</v>
      </c>
      <c r="F31" s="50">
        <v>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60</v>
      </c>
      <c r="N31" s="50">
        <v>0</v>
      </c>
      <c r="O31" s="15">
        <f t="shared" si="0"/>
        <v>23</v>
      </c>
      <c r="P31" s="15">
        <f t="shared" si="1"/>
        <v>83</v>
      </c>
    </row>
    <row r="32" spans="2:32" ht="23.1" customHeight="1" x14ac:dyDescent="0.25">
      <c r="B32" s="24" t="s">
        <v>59</v>
      </c>
      <c r="C32" s="50">
        <v>10</v>
      </c>
      <c r="D32" s="50">
        <v>2</v>
      </c>
      <c r="E32" s="50">
        <v>3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18</v>
      </c>
      <c r="P32" s="15">
        <f t="shared" si="1"/>
        <v>50</v>
      </c>
    </row>
    <row r="33" spans="2:20" ht="23.1" customHeight="1" x14ac:dyDescent="0.25">
      <c r="B33" s="23" t="s">
        <v>60</v>
      </c>
      <c r="C33" s="50">
        <v>8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9</v>
      </c>
      <c r="P33" s="15">
        <f t="shared" si="1"/>
        <v>39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1</v>
      </c>
      <c r="F34" s="50">
        <v>4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51</v>
      </c>
      <c r="N34" s="50">
        <v>0</v>
      </c>
      <c r="O34" s="15">
        <f t="shared" si="0"/>
        <v>12</v>
      </c>
      <c r="P34" s="15">
        <f t="shared" si="1"/>
        <v>63</v>
      </c>
    </row>
    <row r="35" spans="2:20" ht="23.1" customHeight="1" x14ac:dyDescent="0.25">
      <c r="B35" s="24" t="s">
        <v>62</v>
      </c>
      <c r="C35" s="50">
        <v>15</v>
      </c>
      <c r="D35" s="50">
        <v>4</v>
      </c>
      <c r="E35" s="50">
        <v>4</v>
      </c>
      <c r="F35" s="50">
        <v>5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45</v>
      </c>
      <c r="N35" s="50">
        <v>0</v>
      </c>
      <c r="O35" s="15">
        <f t="shared" si="0"/>
        <v>29</v>
      </c>
      <c r="P35" s="15">
        <f t="shared" si="1"/>
        <v>74</v>
      </c>
    </row>
    <row r="36" spans="2:20" ht="23.1" customHeight="1" x14ac:dyDescent="0.25">
      <c r="B36" s="24" t="s">
        <v>63</v>
      </c>
      <c r="C36" s="50">
        <v>9</v>
      </c>
      <c r="D36" s="50">
        <v>2</v>
      </c>
      <c r="E36" s="50">
        <v>2</v>
      </c>
      <c r="F36" s="50">
        <v>3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40</v>
      </c>
      <c r="N36" s="50">
        <v>0</v>
      </c>
      <c r="O36" s="15">
        <f t="shared" si="0"/>
        <v>21</v>
      </c>
      <c r="P36" s="15">
        <f t="shared" si="1"/>
        <v>61</v>
      </c>
    </row>
    <row r="37" spans="2:20" ht="23.1" customHeight="1" x14ac:dyDescent="0.25">
      <c r="B37" s="23" t="s">
        <v>64</v>
      </c>
      <c r="C37" s="50">
        <v>10</v>
      </c>
      <c r="D37" s="50">
        <v>2</v>
      </c>
      <c r="E37" s="50">
        <v>2</v>
      </c>
      <c r="F37" s="50">
        <v>3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35</v>
      </c>
      <c r="N37" s="50">
        <v>0</v>
      </c>
      <c r="O37" s="15">
        <f t="shared" si="0"/>
        <v>20</v>
      </c>
      <c r="P37" s="15">
        <f t="shared" si="1"/>
        <v>55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6</v>
      </c>
      <c r="G38" s="50">
        <v>0</v>
      </c>
      <c r="H38" s="50">
        <v>1</v>
      </c>
      <c r="I38" s="50">
        <v>0</v>
      </c>
      <c r="J38" s="50">
        <v>0</v>
      </c>
      <c r="K38" s="50">
        <v>0</v>
      </c>
      <c r="L38" s="50">
        <v>0</v>
      </c>
      <c r="M38" s="50">
        <v>30</v>
      </c>
      <c r="N38" s="50">
        <v>0</v>
      </c>
      <c r="O38" s="15">
        <f t="shared" si="0"/>
        <v>12</v>
      </c>
      <c r="P38" s="15">
        <f t="shared" si="1"/>
        <v>42</v>
      </c>
    </row>
    <row r="39" spans="2:20" ht="23.1" customHeight="1" x14ac:dyDescent="0.25">
      <c r="B39" s="24" t="s">
        <v>66</v>
      </c>
      <c r="C39" s="50">
        <v>12</v>
      </c>
      <c r="D39" s="50">
        <v>2</v>
      </c>
      <c r="E39" s="50">
        <v>2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60</v>
      </c>
      <c r="N39" s="50">
        <v>0</v>
      </c>
      <c r="O39" s="15">
        <f t="shared" si="0"/>
        <v>19</v>
      </c>
      <c r="P39" s="15">
        <f t="shared" si="1"/>
        <v>79</v>
      </c>
    </row>
    <row r="40" spans="2:20" ht="23.1" customHeight="1" x14ac:dyDescent="0.25">
      <c r="B40" s="24" t="s">
        <v>67</v>
      </c>
      <c r="C40" s="50">
        <v>6</v>
      </c>
      <c r="D40" s="50">
        <v>3</v>
      </c>
      <c r="E40" s="50">
        <v>3</v>
      </c>
      <c r="F40" s="50">
        <v>1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50</v>
      </c>
      <c r="N40" s="50">
        <v>0</v>
      </c>
      <c r="O40" s="15">
        <f t="shared" si="0"/>
        <v>15</v>
      </c>
      <c r="P40" s="15">
        <f t="shared" si="1"/>
        <v>65</v>
      </c>
    </row>
    <row r="41" spans="2:20" ht="23.1" customHeight="1" x14ac:dyDescent="0.25">
      <c r="B41" s="23" t="s">
        <v>68</v>
      </c>
      <c r="C41" s="50">
        <v>10</v>
      </c>
      <c r="D41" s="50">
        <v>2</v>
      </c>
      <c r="E41" s="50">
        <v>3</v>
      </c>
      <c r="F41" s="50">
        <v>0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38</v>
      </c>
      <c r="N41" s="50">
        <v>0</v>
      </c>
      <c r="O41" s="15">
        <f t="shared" si="0"/>
        <v>17</v>
      </c>
      <c r="P41" s="15">
        <f t="shared" si="1"/>
        <v>55</v>
      </c>
    </row>
    <row r="42" spans="2:20" ht="23.1" customHeight="1" x14ac:dyDescent="0.25">
      <c r="B42" s="24" t="s">
        <v>69</v>
      </c>
      <c r="C42" s="50">
        <v>12</v>
      </c>
      <c r="D42" s="50">
        <v>3</v>
      </c>
      <c r="E42" s="50">
        <v>4</v>
      </c>
      <c r="F42" s="50">
        <v>0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50</v>
      </c>
      <c r="N42" s="50">
        <v>0</v>
      </c>
      <c r="O42" s="15">
        <f t="shared" si="0"/>
        <v>23</v>
      </c>
      <c r="P42" s="15">
        <f t="shared" si="1"/>
        <v>73</v>
      </c>
    </row>
    <row r="43" spans="2:20" ht="23.1" customHeight="1" x14ac:dyDescent="0.25">
      <c r="B43" s="23" t="s">
        <v>70</v>
      </c>
      <c r="C43" s="50">
        <v>3</v>
      </c>
      <c r="D43" s="50">
        <v>2</v>
      </c>
      <c r="E43" s="50">
        <v>3</v>
      </c>
      <c r="F43" s="50">
        <v>3</v>
      </c>
      <c r="G43" s="50">
        <v>0</v>
      </c>
      <c r="H43" s="50">
        <v>1</v>
      </c>
      <c r="I43" s="50">
        <v>0</v>
      </c>
      <c r="J43" s="50">
        <v>0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12</v>
      </c>
      <c r="P43" s="15">
        <f t="shared" si="1"/>
        <v>57</v>
      </c>
    </row>
    <row r="44" spans="2:20" ht="23.1" customHeight="1" x14ac:dyDescent="0.25">
      <c r="B44" s="25" t="s">
        <v>71</v>
      </c>
      <c r="C44" s="50">
        <v>7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42</v>
      </c>
      <c r="N44" s="50">
        <v>1</v>
      </c>
      <c r="O44" s="15">
        <f t="shared" si="0"/>
        <v>13</v>
      </c>
      <c r="P44" s="15">
        <f t="shared" si="1"/>
        <v>55</v>
      </c>
    </row>
    <row r="45" spans="2:20" ht="23.1" customHeight="1" x14ac:dyDescent="0.25">
      <c r="B45" s="23" t="s">
        <v>72</v>
      </c>
      <c r="C45" s="50">
        <v>12</v>
      </c>
      <c r="D45" s="50">
        <v>5</v>
      </c>
      <c r="E45" s="50">
        <v>5</v>
      </c>
      <c r="F45" s="50">
        <v>3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60</v>
      </c>
      <c r="N45" s="50">
        <v>0</v>
      </c>
      <c r="O45" s="15">
        <f t="shared" si="0"/>
        <v>27</v>
      </c>
      <c r="P45" s="15">
        <f t="shared" si="1"/>
        <v>87</v>
      </c>
    </row>
    <row r="46" spans="2:20" ht="23.1" customHeight="1" x14ac:dyDescent="0.25">
      <c r="B46" s="24" t="s">
        <v>73</v>
      </c>
      <c r="C46" s="50">
        <v>5</v>
      </c>
      <c r="D46" s="50">
        <v>3</v>
      </c>
      <c r="E46" s="50">
        <v>7</v>
      </c>
      <c r="F46" s="50">
        <v>3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36</v>
      </c>
      <c r="N46" s="50">
        <v>0</v>
      </c>
      <c r="O46" s="15">
        <f t="shared" si="0"/>
        <v>19</v>
      </c>
      <c r="P46" s="15">
        <f t="shared" si="1"/>
        <v>55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2</v>
      </c>
      <c r="E47" s="50">
        <v>3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43</v>
      </c>
      <c r="N47" s="50">
        <v>0</v>
      </c>
      <c r="O47" s="15">
        <f t="shared" si="0"/>
        <v>13</v>
      </c>
      <c r="P47" s="15">
        <f t="shared" si="1"/>
        <v>56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1</v>
      </c>
      <c r="E48" s="50">
        <v>2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58</v>
      </c>
      <c r="N48" s="50">
        <v>0</v>
      </c>
      <c r="O48" s="15">
        <f t="shared" si="0"/>
        <v>19</v>
      </c>
      <c r="P48" s="15">
        <f t="shared" si="1"/>
        <v>77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2</v>
      </c>
      <c r="E49" s="50">
        <v>3</v>
      </c>
      <c r="F49" s="50">
        <v>0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42</v>
      </c>
      <c r="N49" s="50">
        <v>0</v>
      </c>
      <c r="O49" s="15">
        <f t="shared" si="0"/>
        <v>9</v>
      </c>
      <c r="P49" s="15">
        <f t="shared" si="1"/>
        <v>51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3</v>
      </c>
      <c r="E50" s="50">
        <v>3</v>
      </c>
      <c r="F50" s="50">
        <v>5</v>
      </c>
      <c r="G50" s="50">
        <v>3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75</v>
      </c>
      <c r="N50" s="50">
        <v>0</v>
      </c>
      <c r="O50" s="15">
        <f t="shared" si="0"/>
        <v>26</v>
      </c>
      <c r="P50" s="15">
        <f t="shared" si="1"/>
        <v>101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6</v>
      </c>
      <c r="E51" s="50">
        <v>6</v>
      </c>
      <c r="F51" s="50">
        <v>0</v>
      </c>
      <c r="G51" s="50">
        <v>4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38</v>
      </c>
      <c r="N51" s="50">
        <v>0</v>
      </c>
      <c r="O51" s="15">
        <f t="shared" si="0"/>
        <v>27</v>
      </c>
      <c r="P51" s="15">
        <f t="shared" si="1"/>
        <v>65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52</v>
      </c>
      <c r="N52" s="50">
        <v>0</v>
      </c>
      <c r="O52" s="15">
        <f t="shared" si="0"/>
        <v>3</v>
      </c>
      <c r="P52" s="15">
        <f t="shared" si="1"/>
        <v>55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2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61</v>
      </c>
      <c r="N53" s="50">
        <v>0</v>
      </c>
      <c r="O53" s="15">
        <f t="shared" si="0"/>
        <v>6</v>
      </c>
      <c r="P53" s="15">
        <f t="shared" si="1"/>
        <v>67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47</v>
      </c>
      <c r="N54" s="50">
        <v>0</v>
      </c>
      <c r="O54" s="15">
        <f t="shared" si="0"/>
        <v>8</v>
      </c>
      <c r="P54" s="15">
        <f t="shared" si="1"/>
        <v>55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1</v>
      </c>
      <c r="E55" s="50">
        <v>1</v>
      </c>
      <c r="F55" s="50">
        <v>3</v>
      </c>
      <c r="G55" s="50">
        <v>0</v>
      </c>
      <c r="H55" s="50">
        <v>1</v>
      </c>
      <c r="I55" s="50">
        <v>1</v>
      </c>
      <c r="J55" s="50">
        <v>0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14</v>
      </c>
      <c r="P55" s="15">
        <f t="shared" si="1"/>
        <v>59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1</v>
      </c>
      <c r="F56" s="50">
        <v>2</v>
      </c>
      <c r="G56" s="50">
        <v>2</v>
      </c>
      <c r="H56" s="50">
        <v>1</v>
      </c>
      <c r="I56" s="50">
        <v>0</v>
      </c>
      <c r="J56" s="50">
        <v>0</v>
      </c>
      <c r="K56" s="50">
        <v>0</v>
      </c>
      <c r="L56" s="50">
        <v>0</v>
      </c>
      <c r="M56" s="50">
        <v>50</v>
      </c>
      <c r="N56" s="50">
        <v>0</v>
      </c>
      <c r="O56" s="15">
        <f t="shared" si="0"/>
        <v>7</v>
      </c>
      <c r="P56" s="15">
        <f t="shared" si="1"/>
        <v>57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4</v>
      </c>
      <c r="E57" s="50">
        <v>4</v>
      </c>
      <c r="F57" s="50">
        <v>2</v>
      </c>
      <c r="G57" s="50">
        <v>2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16</v>
      </c>
      <c r="P57" s="15">
        <f t="shared" si="1"/>
        <v>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374</v>
      </c>
      <c r="D58" s="16">
        <f t="shared" si="21"/>
        <v>120</v>
      </c>
      <c r="E58" s="16">
        <f t="shared" si="21"/>
        <v>146</v>
      </c>
      <c r="F58" s="16">
        <f t="shared" si="21"/>
        <v>144</v>
      </c>
      <c r="G58" s="16">
        <f t="shared" si="21"/>
        <v>41</v>
      </c>
      <c r="H58" s="16">
        <f t="shared" si="21"/>
        <v>5</v>
      </c>
      <c r="I58" s="16">
        <f t="shared" si="21"/>
        <v>59</v>
      </c>
      <c r="J58" s="16">
        <f t="shared" si="21"/>
        <v>20</v>
      </c>
      <c r="K58" s="16">
        <f t="shared" si="21"/>
        <v>3</v>
      </c>
      <c r="L58" s="16">
        <f t="shared" si="21"/>
        <v>7</v>
      </c>
      <c r="M58" s="16">
        <f t="shared" si="21"/>
        <v>1921</v>
      </c>
      <c r="N58" s="16">
        <f t="shared" si="21"/>
        <v>2</v>
      </c>
      <c r="O58" s="16">
        <f t="shared" si="21"/>
        <v>921</v>
      </c>
      <c r="P58" s="16">
        <f t="shared" si="21"/>
        <v>2842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0.13159746657283602</v>
      </c>
      <c r="D59" s="43">
        <f t="shared" si="22"/>
        <v>4.2223786066150598E-2</v>
      </c>
      <c r="E59" s="43">
        <f t="shared" si="22"/>
        <v>5.1372273047149891E-2</v>
      </c>
      <c r="F59" s="43">
        <f t="shared" si="22"/>
        <v>5.0668543279380716E-2</v>
      </c>
      <c r="G59" s="43">
        <f t="shared" si="22"/>
        <v>1.4426460239268121E-2</v>
      </c>
      <c r="H59" s="43">
        <f t="shared" si="22"/>
        <v>1.7593244194229415E-3</v>
      </c>
      <c r="I59" s="43">
        <f t="shared" si="22"/>
        <v>2.0760028149190712E-2</v>
      </c>
      <c r="J59" s="43">
        <f t="shared" si="22"/>
        <v>7.0372976776917661E-3</v>
      </c>
      <c r="K59" s="43">
        <f t="shared" si="22"/>
        <v>1.055594651653765E-3</v>
      </c>
      <c r="L59" s="43">
        <f t="shared" si="22"/>
        <v>2.4630541871921183E-3</v>
      </c>
      <c r="M59" s="43">
        <f t="shared" si="22"/>
        <v>0.67593244194229418</v>
      </c>
      <c r="N59" s="43">
        <f t="shared" si="22"/>
        <v>7.0372976776917663E-4</v>
      </c>
      <c r="R59" s="8"/>
      <c r="T59"/>
    </row>
    <row r="60" spans="2:20" ht="23.1" customHeight="1" x14ac:dyDescent="0.25">
      <c r="B60" s="42" t="s">
        <v>94</v>
      </c>
      <c r="C60" s="44">
        <f>C58/$O$58</f>
        <v>0.40608034744842564</v>
      </c>
      <c r="D60" s="44">
        <f t="shared" ref="D60:N60" si="23">D58/$O$58</f>
        <v>0.13029315960912052</v>
      </c>
      <c r="E60" s="44">
        <f t="shared" si="23"/>
        <v>0.15852334419109662</v>
      </c>
      <c r="F60" s="44">
        <f t="shared" si="23"/>
        <v>0.15635179153094461</v>
      </c>
      <c r="G60" s="44">
        <f t="shared" si="23"/>
        <v>4.4516829533116177E-2</v>
      </c>
      <c r="H60" s="44">
        <f t="shared" si="23"/>
        <v>5.4288816503800215E-3</v>
      </c>
      <c r="I60" s="44">
        <f t="shared" si="23"/>
        <v>6.4060803474484257E-2</v>
      </c>
      <c r="J60" s="44">
        <f t="shared" si="23"/>
        <v>2.1715526601520086E-2</v>
      </c>
      <c r="K60" s="44">
        <f t="shared" si="23"/>
        <v>3.2573289902280132E-3</v>
      </c>
      <c r="L60" s="44">
        <f t="shared" si="23"/>
        <v>7.6004343105320303E-3</v>
      </c>
      <c r="M60" s="44"/>
      <c r="N60" s="44">
        <f t="shared" si="23"/>
        <v>2.1715526601520088E-3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E50" sqref="E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'05.08 Koboko-Arua'!D5</f>
        <v>05.08.19</v>
      </c>
      <c r="E5" s="3"/>
      <c r="F5" s="41" t="s">
        <v>1</v>
      </c>
      <c r="G5" s="66" t="str">
        <f>'05.08 Koboko-Arua'!G5:H5</f>
        <v>xxx</v>
      </c>
      <c r="H5" s="67"/>
      <c r="I5" s="14"/>
      <c r="J5" s="2" t="s">
        <v>5</v>
      </c>
      <c r="K5" s="66" t="str">
        <f>'05.08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Arua-Koboko'!D6:E6</f>
        <v>Arua</v>
      </c>
      <c r="E6" s="67"/>
      <c r="F6" s="2" t="s">
        <v>2</v>
      </c>
      <c r="G6" s="66" t="str">
        <f>'31.07 Arua-Koboko'!G6:H6</f>
        <v>Koboko</v>
      </c>
      <c r="H6" s="67"/>
      <c r="J6" s="2" t="s">
        <v>21</v>
      </c>
      <c r="K6" s="66" t="str">
        <f>'05.08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1</v>
      </c>
      <c r="E10" s="50">
        <v>5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45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56</v>
      </c>
      <c r="R10" s="1" t="s">
        <v>6</v>
      </c>
      <c r="S10" s="17">
        <f t="shared" ref="S10:AF10" si="2">SUM(C10:C13)</f>
        <v>22</v>
      </c>
      <c r="T10" s="17">
        <f t="shared" si="2"/>
        <v>8</v>
      </c>
      <c r="U10" s="17">
        <f t="shared" si="2"/>
        <v>24</v>
      </c>
      <c r="V10" s="17">
        <f t="shared" si="2"/>
        <v>4</v>
      </c>
      <c r="W10" s="17">
        <f t="shared" si="2"/>
        <v>0</v>
      </c>
      <c r="X10" s="17">
        <f t="shared" si="2"/>
        <v>2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3</v>
      </c>
      <c r="AC10" s="17">
        <f t="shared" si="2"/>
        <v>134</v>
      </c>
      <c r="AD10" s="17">
        <f t="shared" si="2"/>
        <v>0</v>
      </c>
      <c r="AE10" s="31">
        <f t="shared" si="2"/>
        <v>66</v>
      </c>
      <c r="AF10" s="31">
        <f t="shared" si="2"/>
        <v>200</v>
      </c>
    </row>
    <row r="11" spans="2:32" s="6" customFormat="1" ht="23.1" customHeight="1" x14ac:dyDescent="0.25">
      <c r="B11" s="23" t="s">
        <v>38</v>
      </c>
      <c r="C11" s="50">
        <v>3</v>
      </c>
      <c r="D11" s="50">
        <v>2</v>
      </c>
      <c r="E11" s="50">
        <v>6</v>
      </c>
      <c r="F11" s="50">
        <v>2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2</v>
      </c>
      <c r="M11" s="50">
        <v>16</v>
      </c>
      <c r="N11" s="50">
        <v>0</v>
      </c>
      <c r="O11" s="15">
        <f t="shared" si="0"/>
        <v>16</v>
      </c>
      <c r="P11" s="15">
        <f t="shared" si="1"/>
        <v>32</v>
      </c>
      <c r="R11" s="1" t="s">
        <v>7</v>
      </c>
      <c r="S11" s="17">
        <f t="shared" ref="S11:AF11" si="3">SUM(C14:C17)</f>
        <v>23</v>
      </c>
      <c r="T11" s="17">
        <f t="shared" si="3"/>
        <v>4</v>
      </c>
      <c r="U11" s="17">
        <f t="shared" si="3"/>
        <v>13</v>
      </c>
      <c r="V11" s="17">
        <f t="shared" si="3"/>
        <v>9</v>
      </c>
      <c r="W11" s="17">
        <f t="shared" si="3"/>
        <v>0</v>
      </c>
      <c r="X11" s="17">
        <f t="shared" si="3"/>
        <v>1</v>
      </c>
      <c r="Y11" s="17">
        <f t="shared" si="3"/>
        <v>6</v>
      </c>
      <c r="Z11" s="17">
        <f t="shared" si="3"/>
        <v>5</v>
      </c>
      <c r="AA11" s="17">
        <f t="shared" si="3"/>
        <v>0</v>
      </c>
      <c r="AB11" s="17">
        <f t="shared" si="3"/>
        <v>5</v>
      </c>
      <c r="AC11" s="17">
        <f t="shared" si="3"/>
        <v>130</v>
      </c>
      <c r="AD11" s="17">
        <f t="shared" si="3"/>
        <v>0</v>
      </c>
      <c r="AE11" s="31">
        <f t="shared" si="3"/>
        <v>66</v>
      </c>
      <c r="AF11" s="31">
        <f t="shared" si="3"/>
        <v>196</v>
      </c>
    </row>
    <row r="12" spans="2:32" ht="23.1" customHeight="1" x14ac:dyDescent="0.25">
      <c r="B12" s="23" t="s">
        <v>39</v>
      </c>
      <c r="C12" s="50">
        <v>7</v>
      </c>
      <c r="D12" s="50">
        <v>3</v>
      </c>
      <c r="E12" s="50">
        <v>8</v>
      </c>
      <c r="F12" s="50">
        <v>2</v>
      </c>
      <c r="G12" s="50">
        <v>0</v>
      </c>
      <c r="H12" s="50">
        <v>1</v>
      </c>
      <c r="I12" s="50">
        <v>1</v>
      </c>
      <c r="J12" s="50">
        <v>0</v>
      </c>
      <c r="K12" s="50">
        <v>0</v>
      </c>
      <c r="L12" s="50">
        <v>1</v>
      </c>
      <c r="M12" s="50">
        <v>38</v>
      </c>
      <c r="N12" s="50">
        <v>0</v>
      </c>
      <c r="O12" s="15">
        <f t="shared" si="0"/>
        <v>23</v>
      </c>
      <c r="P12" s="15">
        <f t="shared" si="1"/>
        <v>61</v>
      </c>
      <c r="R12" s="1" t="s">
        <v>8</v>
      </c>
      <c r="S12" s="17">
        <f t="shared" ref="S12:AF12" si="4">SUM(C18:C21)</f>
        <v>20</v>
      </c>
      <c r="T12" s="17">
        <f t="shared" si="4"/>
        <v>7</v>
      </c>
      <c r="U12" s="17">
        <f t="shared" si="4"/>
        <v>21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160</v>
      </c>
      <c r="AD12" s="17">
        <f t="shared" si="4"/>
        <v>0</v>
      </c>
      <c r="AE12" s="31">
        <f t="shared" si="4"/>
        <v>59</v>
      </c>
      <c r="AF12" s="31">
        <f t="shared" si="4"/>
        <v>219</v>
      </c>
    </row>
    <row r="13" spans="2:32" ht="23.1" customHeight="1" x14ac:dyDescent="0.25">
      <c r="B13" s="23" t="s">
        <v>40</v>
      </c>
      <c r="C13" s="50">
        <v>7</v>
      </c>
      <c r="D13" s="50">
        <v>2</v>
      </c>
      <c r="E13" s="50">
        <v>5</v>
      </c>
      <c r="F13" s="50">
        <v>0</v>
      </c>
      <c r="G13" s="50">
        <v>0</v>
      </c>
      <c r="H13" s="50">
        <v>1</v>
      </c>
      <c r="I13" s="50">
        <v>1</v>
      </c>
      <c r="J13" s="50">
        <v>0</v>
      </c>
      <c r="K13" s="50">
        <v>0</v>
      </c>
      <c r="L13" s="50">
        <v>0</v>
      </c>
      <c r="M13" s="50">
        <v>35</v>
      </c>
      <c r="N13" s="50">
        <v>0</v>
      </c>
      <c r="O13" s="15">
        <f t="shared" si="0"/>
        <v>16</v>
      </c>
      <c r="P13" s="15">
        <f t="shared" si="1"/>
        <v>51</v>
      </c>
      <c r="R13" s="1" t="s">
        <v>9</v>
      </c>
      <c r="S13" s="17">
        <f t="shared" ref="S13:AF13" si="5">SUM(C22:C25)</f>
        <v>36</v>
      </c>
      <c r="T13" s="17">
        <f t="shared" si="5"/>
        <v>7</v>
      </c>
      <c r="U13" s="17">
        <f t="shared" si="5"/>
        <v>18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6</v>
      </c>
      <c r="AA13" s="17">
        <f t="shared" si="5"/>
        <v>0</v>
      </c>
      <c r="AB13" s="17">
        <f t="shared" si="5"/>
        <v>4</v>
      </c>
      <c r="AC13" s="17">
        <f t="shared" si="5"/>
        <v>168</v>
      </c>
      <c r="AD13" s="17">
        <f t="shared" si="5"/>
        <v>0</v>
      </c>
      <c r="AE13" s="31">
        <f t="shared" si="5"/>
        <v>84</v>
      </c>
      <c r="AF13" s="31">
        <f t="shared" si="5"/>
        <v>252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0</v>
      </c>
      <c r="F14" s="50">
        <v>3</v>
      </c>
      <c r="G14" s="50">
        <v>0</v>
      </c>
      <c r="H14" s="50">
        <v>1</v>
      </c>
      <c r="I14" s="50">
        <v>1</v>
      </c>
      <c r="J14" s="50">
        <v>1</v>
      </c>
      <c r="K14" s="50">
        <v>0</v>
      </c>
      <c r="L14" s="50">
        <v>1</v>
      </c>
      <c r="M14" s="50">
        <v>30</v>
      </c>
      <c r="N14" s="50">
        <v>0</v>
      </c>
      <c r="O14" s="15">
        <f t="shared" si="0"/>
        <v>12</v>
      </c>
      <c r="P14" s="15">
        <f t="shared" si="1"/>
        <v>42</v>
      </c>
      <c r="R14" s="1" t="s">
        <v>10</v>
      </c>
      <c r="S14" s="17">
        <f t="shared" ref="S14:AF14" si="6">SUM(C26:C29)</f>
        <v>37</v>
      </c>
      <c r="T14" s="17">
        <f t="shared" si="6"/>
        <v>9</v>
      </c>
      <c r="U14" s="17">
        <f t="shared" si="6"/>
        <v>27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5</v>
      </c>
      <c r="AA14" s="17">
        <f t="shared" si="6"/>
        <v>0</v>
      </c>
      <c r="AB14" s="17">
        <f t="shared" si="6"/>
        <v>1</v>
      </c>
      <c r="AC14" s="17">
        <f t="shared" si="6"/>
        <v>149</v>
      </c>
      <c r="AD14" s="17">
        <f t="shared" si="6"/>
        <v>0</v>
      </c>
      <c r="AE14" s="31">
        <f t="shared" si="6"/>
        <v>91</v>
      </c>
      <c r="AF14" s="31">
        <f t="shared" si="6"/>
        <v>240</v>
      </c>
    </row>
    <row r="15" spans="2:32" ht="23.1" customHeight="1" x14ac:dyDescent="0.25">
      <c r="B15" s="23" t="s">
        <v>42</v>
      </c>
      <c r="C15" s="50">
        <v>11</v>
      </c>
      <c r="D15" s="50">
        <v>3</v>
      </c>
      <c r="E15" s="50">
        <v>8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4</v>
      </c>
      <c r="M15" s="50">
        <v>45</v>
      </c>
      <c r="N15" s="50">
        <v>0</v>
      </c>
      <c r="O15" s="15">
        <f t="shared" si="0"/>
        <v>30</v>
      </c>
      <c r="P15" s="15">
        <f t="shared" si="1"/>
        <v>75</v>
      </c>
      <c r="R15" s="1" t="s">
        <v>11</v>
      </c>
      <c r="S15" s="17">
        <f t="shared" ref="S15:AF15" si="7">SUM(C30:C33)</f>
        <v>34</v>
      </c>
      <c r="T15" s="17">
        <f t="shared" si="7"/>
        <v>6</v>
      </c>
      <c r="U15" s="17">
        <f t="shared" si="7"/>
        <v>18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6</v>
      </c>
      <c r="AA15" s="17">
        <f t="shared" si="7"/>
        <v>0</v>
      </c>
      <c r="AB15" s="17">
        <f t="shared" si="7"/>
        <v>1</v>
      </c>
      <c r="AC15" s="17">
        <f t="shared" si="7"/>
        <v>146</v>
      </c>
      <c r="AD15" s="17">
        <f t="shared" si="7"/>
        <v>0</v>
      </c>
      <c r="AE15" s="31">
        <f t="shared" si="7"/>
        <v>72</v>
      </c>
      <c r="AF15" s="31">
        <f t="shared" si="7"/>
        <v>218</v>
      </c>
    </row>
    <row r="16" spans="2:32" ht="23.1" customHeight="1" x14ac:dyDescent="0.25">
      <c r="B16" s="23" t="s">
        <v>43</v>
      </c>
      <c r="C16" s="50">
        <v>6</v>
      </c>
      <c r="D16" s="50">
        <v>1</v>
      </c>
      <c r="E16" s="50">
        <v>5</v>
      </c>
      <c r="F16" s="50">
        <v>0</v>
      </c>
      <c r="G16" s="50">
        <v>0</v>
      </c>
      <c r="H16" s="50">
        <v>0</v>
      </c>
      <c r="I16" s="50">
        <v>4</v>
      </c>
      <c r="J16" s="50">
        <v>4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20</v>
      </c>
      <c r="P16" s="15">
        <f t="shared" si="1"/>
        <v>50</v>
      </c>
      <c r="R16" s="1" t="s">
        <v>12</v>
      </c>
      <c r="S16" s="17">
        <f t="shared" ref="S16:AF16" si="8">SUM(C34:C37)</f>
        <v>19</v>
      </c>
      <c r="T16" s="17">
        <f t="shared" si="8"/>
        <v>5</v>
      </c>
      <c r="U16" s="17">
        <f t="shared" si="8"/>
        <v>16</v>
      </c>
      <c r="V16" s="17">
        <f t="shared" si="8"/>
        <v>4</v>
      </c>
      <c r="W16" s="17">
        <f t="shared" si="8"/>
        <v>0</v>
      </c>
      <c r="X16" s="17">
        <f t="shared" si="8"/>
        <v>1</v>
      </c>
      <c r="Y16" s="17">
        <f t="shared" si="8"/>
        <v>3</v>
      </c>
      <c r="Z16" s="17">
        <f t="shared" si="8"/>
        <v>9</v>
      </c>
      <c r="AA16" s="17">
        <f t="shared" si="8"/>
        <v>2</v>
      </c>
      <c r="AB16" s="17">
        <f t="shared" si="8"/>
        <v>3</v>
      </c>
      <c r="AC16" s="17">
        <f t="shared" si="8"/>
        <v>166</v>
      </c>
      <c r="AD16" s="17">
        <f t="shared" si="8"/>
        <v>1</v>
      </c>
      <c r="AE16" s="31">
        <f t="shared" si="8"/>
        <v>63</v>
      </c>
      <c r="AF16" s="31">
        <f t="shared" si="8"/>
        <v>229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3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4</v>
      </c>
      <c r="P17" s="15">
        <f t="shared" si="1"/>
        <v>29</v>
      </c>
      <c r="R17" s="1" t="s">
        <v>13</v>
      </c>
      <c r="S17" s="17">
        <f t="shared" ref="S17:AF17" si="9">SUM(C38:C41)</f>
        <v>21</v>
      </c>
      <c r="T17" s="17">
        <f t="shared" si="9"/>
        <v>1</v>
      </c>
      <c r="U17" s="17">
        <f t="shared" si="9"/>
        <v>4</v>
      </c>
      <c r="V17" s="17">
        <f t="shared" si="9"/>
        <v>4</v>
      </c>
      <c r="W17" s="17">
        <f t="shared" si="9"/>
        <v>1</v>
      </c>
      <c r="X17" s="17">
        <f t="shared" si="9"/>
        <v>0</v>
      </c>
      <c r="Y17" s="17">
        <f t="shared" si="9"/>
        <v>2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96</v>
      </c>
      <c r="AD17" s="17">
        <f t="shared" si="9"/>
        <v>0</v>
      </c>
      <c r="AE17" s="31">
        <f t="shared" si="9"/>
        <v>38</v>
      </c>
      <c r="AF17" s="31">
        <f t="shared" si="9"/>
        <v>134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47</v>
      </c>
      <c r="N18" s="50">
        <v>0</v>
      </c>
      <c r="O18" s="15">
        <f t="shared" si="0"/>
        <v>5</v>
      </c>
      <c r="P18" s="15">
        <f t="shared" si="1"/>
        <v>52</v>
      </c>
      <c r="R18" s="1" t="s">
        <v>14</v>
      </c>
      <c r="S18" s="17">
        <f t="shared" ref="S18:AF18" si="10">SUM(C42:C45)</f>
        <v>13</v>
      </c>
      <c r="T18" s="17">
        <f t="shared" si="10"/>
        <v>2</v>
      </c>
      <c r="U18" s="17">
        <f t="shared" si="10"/>
        <v>6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3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22</v>
      </c>
      <c r="AD18" s="17">
        <f t="shared" si="10"/>
        <v>0</v>
      </c>
      <c r="AE18" s="31">
        <f t="shared" si="10"/>
        <v>28</v>
      </c>
      <c r="AF18" s="31">
        <f t="shared" si="10"/>
        <v>50</v>
      </c>
    </row>
    <row r="19" spans="2:32" ht="23.1" customHeight="1" x14ac:dyDescent="0.25">
      <c r="B19" s="23" t="s">
        <v>46</v>
      </c>
      <c r="C19" s="50">
        <v>6</v>
      </c>
      <c r="D19" s="50">
        <v>2</v>
      </c>
      <c r="E19" s="50">
        <v>6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43</v>
      </c>
      <c r="N19" s="50">
        <v>0</v>
      </c>
      <c r="O19" s="15">
        <f t="shared" si="0"/>
        <v>17</v>
      </c>
      <c r="P19" s="15">
        <f t="shared" si="1"/>
        <v>60</v>
      </c>
      <c r="R19" s="1" t="s">
        <v>15</v>
      </c>
      <c r="S19" s="17">
        <f t="shared" ref="S19:AF19" si="11">SUM(C46:C49)</f>
        <v>24</v>
      </c>
      <c r="T19" s="17">
        <f t="shared" si="11"/>
        <v>1</v>
      </c>
      <c r="U19" s="17">
        <f t="shared" si="11"/>
        <v>4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3</v>
      </c>
      <c r="AA19" s="17">
        <f t="shared" si="11"/>
        <v>0</v>
      </c>
      <c r="AB19" s="17">
        <f t="shared" si="11"/>
        <v>1</v>
      </c>
      <c r="AC19" s="17">
        <f t="shared" si="11"/>
        <v>80</v>
      </c>
      <c r="AD19" s="17">
        <f t="shared" si="11"/>
        <v>0</v>
      </c>
      <c r="AE19" s="31">
        <f t="shared" si="11"/>
        <v>41</v>
      </c>
      <c r="AF19" s="31">
        <f t="shared" si="11"/>
        <v>121</v>
      </c>
    </row>
    <row r="20" spans="2:32" ht="23.1" customHeight="1" x14ac:dyDescent="0.25">
      <c r="B20" s="23" t="s">
        <v>47</v>
      </c>
      <c r="C20" s="50">
        <v>4</v>
      </c>
      <c r="D20" s="50">
        <v>3</v>
      </c>
      <c r="E20" s="50">
        <v>10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25</v>
      </c>
      <c r="N20" s="50">
        <v>0</v>
      </c>
      <c r="O20" s="15">
        <f t="shared" si="0"/>
        <v>19</v>
      </c>
      <c r="P20" s="15">
        <f t="shared" si="1"/>
        <v>44</v>
      </c>
      <c r="R20" s="1" t="s">
        <v>16</v>
      </c>
      <c r="S20" s="17">
        <f t="shared" ref="S20:AF20" si="12">SUM(C50:C53)</f>
        <v>35</v>
      </c>
      <c r="T20" s="17">
        <f t="shared" si="12"/>
        <v>3</v>
      </c>
      <c r="U20" s="17">
        <f t="shared" si="12"/>
        <v>12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4</v>
      </c>
      <c r="AA20" s="17">
        <f t="shared" si="12"/>
        <v>0</v>
      </c>
      <c r="AB20" s="17">
        <f t="shared" si="12"/>
        <v>1</v>
      </c>
      <c r="AC20" s="17">
        <f t="shared" si="12"/>
        <v>141</v>
      </c>
      <c r="AD20" s="17">
        <f t="shared" si="12"/>
        <v>0</v>
      </c>
      <c r="AE20" s="31">
        <f t="shared" si="12"/>
        <v>65</v>
      </c>
      <c r="AF20" s="31">
        <f t="shared" si="12"/>
        <v>206</v>
      </c>
    </row>
    <row r="21" spans="2:32" ht="23.1" customHeight="1" x14ac:dyDescent="0.25">
      <c r="B21" s="23" t="s">
        <v>48</v>
      </c>
      <c r="C21" s="50">
        <v>7</v>
      </c>
      <c r="D21" s="50">
        <v>2</v>
      </c>
      <c r="E21" s="50">
        <v>5</v>
      </c>
      <c r="F21" s="50">
        <v>3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45</v>
      </c>
      <c r="N21" s="50">
        <v>0</v>
      </c>
      <c r="O21" s="15">
        <f t="shared" si="0"/>
        <v>18</v>
      </c>
      <c r="P21" s="15">
        <f t="shared" si="1"/>
        <v>63</v>
      </c>
      <c r="R21" s="36" t="s">
        <v>20</v>
      </c>
      <c r="S21" s="34">
        <f t="shared" ref="S21:AF21" si="13">SUM(C54:C57)</f>
        <v>16</v>
      </c>
      <c r="T21" s="17">
        <f t="shared" si="13"/>
        <v>0</v>
      </c>
      <c r="U21" s="17">
        <f t="shared" si="13"/>
        <v>0</v>
      </c>
      <c r="V21" s="17">
        <f t="shared" si="13"/>
        <v>2</v>
      </c>
      <c r="W21" s="17">
        <f t="shared" si="13"/>
        <v>1</v>
      </c>
      <c r="X21" s="17">
        <f t="shared" si="13"/>
        <v>1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129</v>
      </c>
      <c r="AD21" s="17">
        <f t="shared" si="13"/>
        <v>0</v>
      </c>
      <c r="AE21" s="31">
        <f t="shared" si="13"/>
        <v>22</v>
      </c>
      <c r="AF21" s="31">
        <f t="shared" si="13"/>
        <v>151</v>
      </c>
    </row>
    <row r="22" spans="2:32" ht="23.1" customHeight="1" x14ac:dyDescent="0.25">
      <c r="B22" s="23" t="s">
        <v>49</v>
      </c>
      <c r="C22" s="50">
        <v>10</v>
      </c>
      <c r="D22" s="50">
        <v>3</v>
      </c>
      <c r="E22" s="50">
        <v>7</v>
      </c>
      <c r="F22" s="50">
        <v>3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3</v>
      </c>
      <c r="M22" s="50">
        <v>42</v>
      </c>
      <c r="N22" s="50">
        <v>0</v>
      </c>
      <c r="O22" s="15">
        <f t="shared" si="0"/>
        <v>29</v>
      </c>
      <c r="P22" s="15">
        <f t="shared" si="1"/>
        <v>71</v>
      </c>
      <c r="R22" s="38" t="s">
        <v>90</v>
      </c>
      <c r="S22" s="39">
        <f>MAX(S10:S12)</f>
        <v>23</v>
      </c>
      <c r="T22" s="39">
        <f t="shared" ref="T22:AF22" si="14">MAX(T10:T12)</f>
        <v>8</v>
      </c>
      <c r="U22" s="39">
        <f t="shared" si="14"/>
        <v>24</v>
      </c>
      <c r="V22" s="39">
        <f t="shared" si="14"/>
        <v>9</v>
      </c>
      <c r="W22" s="39">
        <f t="shared" si="14"/>
        <v>0</v>
      </c>
      <c r="X22" s="39">
        <f t="shared" si="14"/>
        <v>2</v>
      </c>
      <c r="Y22" s="39">
        <f t="shared" si="14"/>
        <v>6</v>
      </c>
      <c r="Z22" s="39">
        <f t="shared" si="14"/>
        <v>5</v>
      </c>
      <c r="AA22" s="39">
        <f t="shared" si="14"/>
        <v>0</v>
      </c>
      <c r="AB22" s="39">
        <f t="shared" si="14"/>
        <v>5</v>
      </c>
      <c r="AC22" s="39">
        <f t="shared" si="14"/>
        <v>160</v>
      </c>
      <c r="AD22" s="39">
        <f t="shared" si="14"/>
        <v>0</v>
      </c>
      <c r="AE22" s="40">
        <f t="shared" si="14"/>
        <v>66</v>
      </c>
      <c r="AF22" s="40">
        <f t="shared" si="14"/>
        <v>219</v>
      </c>
    </row>
    <row r="23" spans="2:32" ht="23.1" customHeight="1" x14ac:dyDescent="0.25">
      <c r="B23" s="23" t="s">
        <v>50</v>
      </c>
      <c r="C23" s="50">
        <v>13</v>
      </c>
      <c r="D23" s="50">
        <v>2</v>
      </c>
      <c r="E23" s="50">
        <v>5</v>
      </c>
      <c r="F23" s="50">
        <v>2</v>
      </c>
      <c r="G23" s="50">
        <v>0</v>
      </c>
      <c r="H23" s="50">
        <v>0</v>
      </c>
      <c r="I23" s="50">
        <v>2</v>
      </c>
      <c r="J23" s="50">
        <v>3</v>
      </c>
      <c r="K23" s="50">
        <v>0</v>
      </c>
      <c r="L23" s="50">
        <v>1</v>
      </c>
      <c r="M23" s="50">
        <v>56</v>
      </c>
      <c r="N23" s="50">
        <v>0</v>
      </c>
      <c r="O23" s="15">
        <f t="shared" si="0"/>
        <v>28</v>
      </c>
      <c r="P23" s="15">
        <f t="shared" si="1"/>
        <v>84</v>
      </c>
      <c r="R23" s="38" t="s">
        <v>91</v>
      </c>
      <c r="S23" s="39">
        <f>MAX(S13:S18)</f>
        <v>37</v>
      </c>
      <c r="T23" s="39">
        <f t="shared" ref="T23:AF23" si="15">MAX(T13:T18)</f>
        <v>9</v>
      </c>
      <c r="U23" s="39">
        <f t="shared" si="15"/>
        <v>27</v>
      </c>
      <c r="V23" s="39">
        <f t="shared" si="15"/>
        <v>8</v>
      </c>
      <c r="W23" s="39">
        <f t="shared" si="15"/>
        <v>1</v>
      </c>
      <c r="X23" s="39">
        <f t="shared" si="15"/>
        <v>1</v>
      </c>
      <c r="Y23" s="39">
        <f t="shared" si="15"/>
        <v>8</v>
      </c>
      <c r="Z23" s="39">
        <f t="shared" si="15"/>
        <v>9</v>
      </c>
      <c r="AA23" s="39">
        <f t="shared" si="15"/>
        <v>2</v>
      </c>
      <c r="AB23" s="39">
        <f t="shared" si="15"/>
        <v>4</v>
      </c>
      <c r="AC23" s="39">
        <f t="shared" si="15"/>
        <v>168</v>
      </c>
      <c r="AD23" s="39">
        <f t="shared" si="15"/>
        <v>1</v>
      </c>
      <c r="AE23" s="40">
        <f t="shared" si="15"/>
        <v>91</v>
      </c>
      <c r="AF23" s="40">
        <f t="shared" si="15"/>
        <v>252</v>
      </c>
    </row>
    <row r="24" spans="2:32" ht="23.1" customHeight="1" x14ac:dyDescent="0.25">
      <c r="B24" s="23" t="s">
        <v>51</v>
      </c>
      <c r="C24" s="50">
        <v>10</v>
      </c>
      <c r="D24" s="50">
        <v>2</v>
      </c>
      <c r="E24" s="50">
        <v>6</v>
      </c>
      <c r="F24" s="50">
        <v>0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43</v>
      </c>
      <c r="N24" s="50">
        <v>0</v>
      </c>
      <c r="O24" s="15">
        <f t="shared" si="0"/>
        <v>22</v>
      </c>
      <c r="P24" s="15">
        <f t="shared" si="1"/>
        <v>65</v>
      </c>
      <c r="R24" s="38" t="s">
        <v>92</v>
      </c>
      <c r="S24" s="39">
        <f>MAX(S19:S21)</f>
        <v>35</v>
      </c>
      <c r="T24" s="39">
        <f t="shared" ref="T24:AF24" si="16">MAX(T19:T21)</f>
        <v>3</v>
      </c>
      <c r="U24" s="39">
        <f t="shared" si="16"/>
        <v>12</v>
      </c>
      <c r="V24" s="39">
        <f t="shared" si="16"/>
        <v>6</v>
      </c>
      <c r="W24" s="39">
        <f t="shared" si="16"/>
        <v>1</v>
      </c>
      <c r="X24" s="39">
        <f t="shared" si="16"/>
        <v>1</v>
      </c>
      <c r="Y24" s="39">
        <f t="shared" si="16"/>
        <v>4</v>
      </c>
      <c r="Z24" s="39">
        <f t="shared" si="16"/>
        <v>4</v>
      </c>
      <c r="AA24" s="39">
        <f t="shared" si="16"/>
        <v>0</v>
      </c>
      <c r="AB24" s="39">
        <f t="shared" si="16"/>
        <v>2</v>
      </c>
      <c r="AC24" s="39">
        <f t="shared" si="16"/>
        <v>141</v>
      </c>
      <c r="AD24" s="39">
        <f t="shared" si="16"/>
        <v>0</v>
      </c>
      <c r="AE24" s="40">
        <f t="shared" si="16"/>
        <v>65</v>
      </c>
      <c r="AF24" s="40">
        <f t="shared" si="16"/>
        <v>206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27</v>
      </c>
      <c r="N25" s="50">
        <v>0</v>
      </c>
      <c r="O25" s="15">
        <f t="shared" si="0"/>
        <v>5</v>
      </c>
      <c r="P25" s="15">
        <f t="shared" si="1"/>
        <v>32</v>
      </c>
      <c r="R25" s="37" t="s">
        <v>85</v>
      </c>
      <c r="S25" s="35">
        <f t="shared" ref="S25:AF25" si="17">SUM(S10:S12)</f>
        <v>65</v>
      </c>
      <c r="T25" s="16">
        <f t="shared" si="17"/>
        <v>19</v>
      </c>
      <c r="U25" s="16">
        <f t="shared" si="17"/>
        <v>58</v>
      </c>
      <c r="V25" s="16">
        <f t="shared" si="17"/>
        <v>18</v>
      </c>
      <c r="W25" s="16">
        <f t="shared" si="17"/>
        <v>0</v>
      </c>
      <c r="X25" s="16">
        <f t="shared" si="17"/>
        <v>3</v>
      </c>
      <c r="Y25" s="16">
        <f t="shared" si="17"/>
        <v>13</v>
      </c>
      <c r="Z25" s="16">
        <f t="shared" si="17"/>
        <v>7</v>
      </c>
      <c r="AA25" s="16">
        <f t="shared" si="17"/>
        <v>0</v>
      </c>
      <c r="AB25" s="16">
        <f t="shared" si="17"/>
        <v>8</v>
      </c>
      <c r="AC25" s="16">
        <f t="shared" si="17"/>
        <v>424</v>
      </c>
      <c r="AD25" s="16">
        <f t="shared" si="17"/>
        <v>0</v>
      </c>
      <c r="AE25" s="32">
        <f t="shared" si="17"/>
        <v>191</v>
      </c>
      <c r="AF25" s="32">
        <f t="shared" si="17"/>
        <v>615</v>
      </c>
    </row>
    <row r="26" spans="2:32" ht="23.1" customHeight="1" x14ac:dyDescent="0.25">
      <c r="B26" s="23" t="s">
        <v>53</v>
      </c>
      <c r="C26" s="50">
        <v>12</v>
      </c>
      <c r="D26" s="50">
        <v>3</v>
      </c>
      <c r="E26" s="50">
        <v>9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40</v>
      </c>
      <c r="N26" s="50">
        <v>0</v>
      </c>
      <c r="O26" s="15">
        <f t="shared" si="0"/>
        <v>27</v>
      </c>
      <c r="P26" s="15">
        <f t="shared" si="1"/>
        <v>67</v>
      </c>
      <c r="R26" s="28" t="s">
        <v>86</v>
      </c>
      <c r="S26" s="16">
        <f t="shared" ref="S26:AF26" si="18">SUM(S13:S18)</f>
        <v>160</v>
      </c>
      <c r="T26" s="16">
        <f t="shared" si="18"/>
        <v>30</v>
      </c>
      <c r="U26" s="16">
        <f t="shared" si="18"/>
        <v>89</v>
      </c>
      <c r="V26" s="16">
        <f t="shared" si="18"/>
        <v>26</v>
      </c>
      <c r="W26" s="16">
        <f t="shared" si="18"/>
        <v>1</v>
      </c>
      <c r="X26" s="16">
        <f t="shared" si="18"/>
        <v>2</v>
      </c>
      <c r="Y26" s="16">
        <f t="shared" si="18"/>
        <v>23</v>
      </c>
      <c r="Z26" s="16">
        <f t="shared" si="18"/>
        <v>33</v>
      </c>
      <c r="AA26" s="16">
        <f t="shared" si="18"/>
        <v>2</v>
      </c>
      <c r="AB26" s="16">
        <f t="shared" si="18"/>
        <v>9</v>
      </c>
      <c r="AC26" s="16">
        <f t="shared" si="18"/>
        <v>747</v>
      </c>
      <c r="AD26" s="16">
        <f t="shared" si="18"/>
        <v>1</v>
      </c>
      <c r="AE26" s="32">
        <f t="shared" si="18"/>
        <v>376</v>
      </c>
      <c r="AF26" s="32">
        <f t="shared" si="18"/>
        <v>1123</v>
      </c>
    </row>
    <row r="27" spans="2:32" ht="23.1" customHeight="1" x14ac:dyDescent="0.25">
      <c r="B27" s="23" t="s">
        <v>54</v>
      </c>
      <c r="C27" s="50">
        <v>13</v>
      </c>
      <c r="D27" s="50">
        <v>1</v>
      </c>
      <c r="E27" s="50">
        <v>4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21</v>
      </c>
      <c r="P27" s="15">
        <f t="shared" si="1"/>
        <v>66</v>
      </c>
      <c r="R27" s="29" t="s">
        <v>87</v>
      </c>
      <c r="S27" s="16">
        <f t="shared" ref="S27:AF27" si="19">SUM(S19:S21)</f>
        <v>75</v>
      </c>
      <c r="T27" s="16">
        <f t="shared" si="19"/>
        <v>4</v>
      </c>
      <c r="U27" s="16">
        <f t="shared" si="19"/>
        <v>16</v>
      </c>
      <c r="V27" s="16">
        <f t="shared" si="19"/>
        <v>13</v>
      </c>
      <c r="W27" s="16">
        <f t="shared" si="19"/>
        <v>1</v>
      </c>
      <c r="X27" s="16">
        <f t="shared" si="19"/>
        <v>1</v>
      </c>
      <c r="Y27" s="16">
        <f t="shared" si="19"/>
        <v>7</v>
      </c>
      <c r="Z27" s="16">
        <f t="shared" si="19"/>
        <v>7</v>
      </c>
      <c r="AA27" s="16">
        <f t="shared" si="19"/>
        <v>0</v>
      </c>
      <c r="AB27" s="16">
        <f t="shared" si="19"/>
        <v>4</v>
      </c>
      <c r="AC27" s="16">
        <f t="shared" si="19"/>
        <v>350</v>
      </c>
      <c r="AD27" s="16">
        <f t="shared" si="19"/>
        <v>0</v>
      </c>
      <c r="AE27" s="32">
        <f t="shared" si="19"/>
        <v>128</v>
      </c>
      <c r="AF27" s="32">
        <f t="shared" si="19"/>
        <v>478</v>
      </c>
    </row>
    <row r="28" spans="2:32" ht="23.1" customHeight="1" x14ac:dyDescent="0.25">
      <c r="B28" s="23" t="s">
        <v>55</v>
      </c>
      <c r="C28" s="50">
        <v>5</v>
      </c>
      <c r="D28" s="50">
        <v>3</v>
      </c>
      <c r="E28" s="50">
        <v>9</v>
      </c>
      <c r="F28" s="50">
        <v>4</v>
      </c>
      <c r="G28" s="50">
        <v>0</v>
      </c>
      <c r="H28" s="50">
        <v>0</v>
      </c>
      <c r="I28" s="50">
        <v>0</v>
      </c>
      <c r="J28" s="50">
        <v>3</v>
      </c>
      <c r="K28" s="50">
        <v>0</v>
      </c>
      <c r="L28" s="50">
        <v>1</v>
      </c>
      <c r="M28" s="50">
        <v>31</v>
      </c>
      <c r="N28" s="50">
        <v>0</v>
      </c>
      <c r="O28" s="15">
        <f t="shared" si="0"/>
        <v>25</v>
      </c>
      <c r="P28" s="15">
        <f t="shared" si="1"/>
        <v>56</v>
      </c>
      <c r="R28" s="5" t="s">
        <v>17</v>
      </c>
      <c r="S28" s="16">
        <f t="shared" ref="S28:AF28" si="20">SUM(S10:S21)</f>
        <v>300</v>
      </c>
      <c r="T28" s="16">
        <f t="shared" si="20"/>
        <v>53</v>
      </c>
      <c r="U28" s="16">
        <f t="shared" si="20"/>
        <v>163</v>
      </c>
      <c r="V28" s="16">
        <f t="shared" si="20"/>
        <v>57</v>
      </c>
      <c r="W28" s="16">
        <f t="shared" si="20"/>
        <v>2</v>
      </c>
      <c r="X28" s="16">
        <f t="shared" si="20"/>
        <v>6</v>
      </c>
      <c r="Y28" s="16">
        <f t="shared" si="20"/>
        <v>43</v>
      </c>
      <c r="Z28" s="16">
        <f t="shared" si="20"/>
        <v>47</v>
      </c>
      <c r="AA28" s="16">
        <f t="shared" si="20"/>
        <v>2</v>
      </c>
      <c r="AB28" s="16">
        <f t="shared" si="20"/>
        <v>21</v>
      </c>
      <c r="AC28" s="16">
        <f t="shared" si="20"/>
        <v>1521</v>
      </c>
      <c r="AD28" s="16">
        <f t="shared" si="20"/>
        <v>1</v>
      </c>
      <c r="AE28" s="32">
        <f t="shared" si="20"/>
        <v>695</v>
      </c>
      <c r="AF28" s="32">
        <f t="shared" si="20"/>
        <v>2216</v>
      </c>
    </row>
    <row r="29" spans="2:32" ht="23.1" customHeight="1" x14ac:dyDescent="0.25">
      <c r="B29" s="23" t="s">
        <v>56</v>
      </c>
      <c r="C29" s="50">
        <v>7</v>
      </c>
      <c r="D29" s="50">
        <v>2</v>
      </c>
      <c r="E29" s="50">
        <v>5</v>
      </c>
      <c r="F29" s="50">
        <v>1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33</v>
      </c>
      <c r="N29" s="50">
        <v>0</v>
      </c>
      <c r="O29" s="15">
        <f t="shared" si="0"/>
        <v>18</v>
      </c>
      <c r="P29" s="15">
        <f t="shared" si="1"/>
        <v>51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1</v>
      </c>
      <c r="E30" s="50">
        <v>4</v>
      </c>
      <c r="F30" s="50">
        <v>2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1</v>
      </c>
      <c r="M30" s="50">
        <v>36</v>
      </c>
      <c r="N30" s="50">
        <v>0</v>
      </c>
      <c r="O30" s="15">
        <f t="shared" si="0"/>
        <v>17</v>
      </c>
      <c r="P30" s="15">
        <f t="shared" si="1"/>
        <v>53</v>
      </c>
    </row>
    <row r="31" spans="2:32" ht="23.1" customHeight="1" x14ac:dyDescent="0.25">
      <c r="B31" s="24" t="s">
        <v>58</v>
      </c>
      <c r="C31" s="50">
        <v>9</v>
      </c>
      <c r="D31" s="50">
        <v>2</v>
      </c>
      <c r="E31" s="50">
        <v>6</v>
      </c>
      <c r="F31" s="50">
        <v>0</v>
      </c>
      <c r="G31" s="50">
        <v>0</v>
      </c>
      <c r="H31" s="50">
        <v>0</v>
      </c>
      <c r="I31" s="50">
        <v>2</v>
      </c>
      <c r="J31" s="50">
        <v>3</v>
      </c>
      <c r="K31" s="50">
        <v>0</v>
      </c>
      <c r="L31" s="50">
        <v>0</v>
      </c>
      <c r="M31" s="50">
        <v>39</v>
      </c>
      <c r="N31" s="50">
        <v>0</v>
      </c>
      <c r="O31" s="15">
        <f t="shared" si="0"/>
        <v>22</v>
      </c>
      <c r="P31" s="15">
        <f t="shared" si="1"/>
        <v>61</v>
      </c>
    </row>
    <row r="32" spans="2:32" ht="23.1" customHeight="1" x14ac:dyDescent="0.25">
      <c r="B32" s="24" t="s">
        <v>59</v>
      </c>
      <c r="C32" s="50">
        <v>7</v>
      </c>
      <c r="D32" s="50">
        <v>1</v>
      </c>
      <c r="E32" s="50">
        <v>3</v>
      </c>
      <c r="F32" s="50">
        <v>1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40</v>
      </c>
      <c r="N32" s="50">
        <v>0</v>
      </c>
      <c r="O32" s="15">
        <f t="shared" si="0"/>
        <v>14</v>
      </c>
      <c r="P32" s="15">
        <f t="shared" si="1"/>
        <v>54</v>
      </c>
    </row>
    <row r="33" spans="2:20" ht="23.1" customHeight="1" x14ac:dyDescent="0.25">
      <c r="B33" s="23" t="s">
        <v>60</v>
      </c>
      <c r="C33" s="50">
        <v>10</v>
      </c>
      <c r="D33" s="50">
        <v>2</v>
      </c>
      <c r="E33" s="50">
        <v>5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31</v>
      </c>
      <c r="N33" s="50">
        <v>0</v>
      </c>
      <c r="O33" s="15">
        <f t="shared" si="0"/>
        <v>19</v>
      </c>
      <c r="P33" s="15">
        <f t="shared" si="1"/>
        <v>50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3</v>
      </c>
      <c r="F34" s="50">
        <v>1</v>
      </c>
      <c r="G34" s="50">
        <v>0</v>
      </c>
      <c r="H34" s="50">
        <v>0</v>
      </c>
      <c r="I34" s="50">
        <v>1</v>
      </c>
      <c r="J34" s="50">
        <v>4</v>
      </c>
      <c r="K34" s="50">
        <v>0</v>
      </c>
      <c r="L34" s="50">
        <v>0</v>
      </c>
      <c r="M34" s="50">
        <v>34</v>
      </c>
      <c r="N34" s="50">
        <v>1</v>
      </c>
      <c r="O34" s="15">
        <f t="shared" si="0"/>
        <v>17</v>
      </c>
      <c r="P34" s="15">
        <f t="shared" si="1"/>
        <v>51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3</v>
      </c>
      <c r="F35" s="50">
        <v>1</v>
      </c>
      <c r="G35" s="50">
        <v>0</v>
      </c>
      <c r="H35" s="50">
        <v>0</v>
      </c>
      <c r="I35" s="50">
        <v>1</v>
      </c>
      <c r="J35" s="50">
        <v>2</v>
      </c>
      <c r="K35" s="50">
        <v>1</v>
      </c>
      <c r="L35" s="50">
        <v>0</v>
      </c>
      <c r="M35" s="50">
        <v>45</v>
      </c>
      <c r="N35" s="50">
        <v>0</v>
      </c>
      <c r="O35" s="15">
        <f t="shared" si="0"/>
        <v>12</v>
      </c>
      <c r="P35" s="15">
        <f t="shared" si="1"/>
        <v>57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3</v>
      </c>
      <c r="F36" s="50">
        <v>0</v>
      </c>
      <c r="G36" s="50">
        <v>0</v>
      </c>
      <c r="H36" s="50">
        <v>1</v>
      </c>
      <c r="I36" s="50">
        <v>0</v>
      </c>
      <c r="J36" s="50">
        <v>3</v>
      </c>
      <c r="K36" s="50">
        <v>1</v>
      </c>
      <c r="L36" s="50">
        <v>2</v>
      </c>
      <c r="M36" s="50">
        <v>44</v>
      </c>
      <c r="N36" s="50">
        <v>0</v>
      </c>
      <c r="O36" s="15">
        <f t="shared" si="0"/>
        <v>12</v>
      </c>
      <c r="P36" s="15">
        <f t="shared" si="1"/>
        <v>56</v>
      </c>
    </row>
    <row r="37" spans="2:20" ht="23.1" customHeight="1" x14ac:dyDescent="0.25">
      <c r="B37" s="23" t="s">
        <v>64</v>
      </c>
      <c r="C37" s="50">
        <v>9</v>
      </c>
      <c r="D37" s="50">
        <v>2</v>
      </c>
      <c r="E37" s="50">
        <v>7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1</v>
      </c>
      <c r="M37" s="50">
        <v>43</v>
      </c>
      <c r="N37" s="50"/>
      <c r="O37" s="15">
        <f t="shared" si="0"/>
        <v>22</v>
      </c>
      <c r="P37" s="15">
        <f t="shared" si="1"/>
        <v>65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28</v>
      </c>
      <c r="N38" s="50">
        <v>0</v>
      </c>
      <c r="O38" s="15">
        <f t="shared" si="0"/>
        <v>3</v>
      </c>
      <c r="P38" s="15">
        <f t="shared" si="1"/>
        <v>31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0</v>
      </c>
      <c r="F39" s="50">
        <v>1</v>
      </c>
      <c r="G39" s="50">
        <v>1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28</v>
      </c>
      <c r="N39" s="50">
        <v>0</v>
      </c>
      <c r="O39" s="15">
        <f t="shared" si="0"/>
        <v>12</v>
      </c>
      <c r="P39" s="15">
        <f t="shared" si="1"/>
        <v>40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7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7</v>
      </c>
      <c r="D41" s="50">
        <v>1</v>
      </c>
      <c r="E41" s="50">
        <v>4</v>
      </c>
      <c r="F41" s="50">
        <v>1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30</v>
      </c>
      <c r="N41" s="50">
        <v>0</v>
      </c>
      <c r="O41" s="15">
        <f t="shared" si="0"/>
        <v>16</v>
      </c>
      <c r="P41" s="15">
        <f t="shared" si="1"/>
        <v>46</v>
      </c>
    </row>
    <row r="42" spans="2:20" ht="23.1" customHeight="1" x14ac:dyDescent="0.25">
      <c r="B42" s="24" t="s">
        <v>69</v>
      </c>
      <c r="C42" s="50">
        <v>6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7</v>
      </c>
      <c r="P42" s="15">
        <f t="shared" si="1"/>
        <v>22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3</v>
      </c>
      <c r="F43" s="50">
        <v>0</v>
      </c>
      <c r="G43" s="50">
        <v>0</v>
      </c>
      <c r="H43" s="50">
        <v>1</v>
      </c>
      <c r="I43" s="50">
        <v>2</v>
      </c>
      <c r="J43" s="50"/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9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5</v>
      </c>
      <c r="D44" s="50">
        <v>1</v>
      </c>
      <c r="E44" s="50">
        <v>3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11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1</v>
      </c>
      <c r="P45" s="15">
        <f t="shared" si="1"/>
        <v>4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9</v>
      </c>
      <c r="N46" s="50">
        <v>0</v>
      </c>
      <c r="O46" s="15">
        <f t="shared" si="0"/>
        <v>6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4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35</v>
      </c>
      <c r="N48" s="50">
        <v>0</v>
      </c>
      <c r="O48" s="15">
        <f t="shared" si="0"/>
        <v>12</v>
      </c>
      <c r="P48" s="15">
        <f t="shared" si="1"/>
        <v>47</v>
      </c>
      <c r="R48" s="8"/>
      <c r="T48"/>
    </row>
    <row r="49" spans="2:20" ht="23.1" customHeight="1" x14ac:dyDescent="0.25">
      <c r="B49" s="23" t="s">
        <v>76</v>
      </c>
      <c r="C49" s="50">
        <v>9</v>
      </c>
      <c r="D49" s="50">
        <v>1</v>
      </c>
      <c r="E49" s="50">
        <v>4</v>
      </c>
      <c r="F49" s="50">
        <v>2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31</v>
      </c>
      <c r="N49" s="50">
        <v>0</v>
      </c>
      <c r="O49" s="15">
        <f t="shared" si="0"/>
        <v>19</v>
      </c>
      <c r="P49" s="15">
        <f t="shared" si="1"/>
        <v>50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1</v>
      </c>
      <c r="E50" s="50">
        <v>3</v>
      </c>
      <c r="F50" s="50">
        <v>0</v>
      </c>
      <c r="G50" s="50">
        <v>0</v>
      </c>
      <c r="H50" s="50">
        <v>0</v>
      </c>
      <c r="I50" s="50">
        <v>0</v>
      </c>
      <c r="J50" s="50"/>
      <c r="K50" s="50">
        <v>0</v>
      </c>
      <c r="L50" s="50">
        <v>0</v>
      </c>
      <c r="M50" s="50">
        <v>32</v>
      </c>
      <c r="N50" s="50">
        <v>0</v>
      </c>
      <c r="O50" s="15">
        <f t="shared" si="0"/>
        <v>13</v>
      </c>
      <c r="P50" s="15">
        <f t="shared" si="1"/>
        <v>45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1</v>
      </c>
      <c r="E51" s="50">
        <v>4</v>
      </c>
      <c r="F51" s="50">
        <v>2</v>
      </c>
      <c r="G51" s="50">
        <v>0</v>
      </c>
      <c r="H51" s="50">
        <v>0</v>
      </c>
      <c r="I51" s="50">
        <v>0</v>
      </c>
      <c r="J51" s="50">
        <v>3</v>
      </c>
      <c r="K51" s="50">
        <v>0</v>
      </c>
      <c r="L51" s="50">
        <v>0</v>
      </c>
      <c r="M51" s="50">
        <v>24</v>
      </c>
      <c r="N51" s="50">
        <v>0</v>
      </c>
      <c r="O51" s="15">
        <f t="shared" si="0"/>
        <v>17</v>
      </c>
      <c r="P51" s="15">
        <f t="shared" si="1"/>
        <v>41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1</v>
      </c>
      <c r="M52" s="50">
        <v>45</v>
      </c>
      <c r="N52" s="50">
        <v>0</v>
      </c>
      <c r="O52" s="15">
        <f t="shared" si="0"/>
        <v>17</v>
      </c>
      <c r="P52" s="15">
        <f t="shared" si="1"/>
        <v>62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1</v>
      </c>
      <c r="E53" s="50">
        <v>5</v>
      </c>
      <c r="F53" s="50">
        <v>1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40</v>
      </c>
      <c r="N53" s="50">
        <v>0</v>
      </c>
      <c r="O53" s="15">
        <f t="shared" si="0"/>
        <v>18</v>
      </c>
      <c r="P53" s="15">
        <f t="shared" si="1"/>
        <v>58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0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1</v>
      </c>
      <c r="M54" s="50">
        <v>30</v>
      </c>
      <c r="N54" s="50">
        <v>0</v>
      </c>
      <c r="O54" s="15">
        <f t="shared" si="0"/>
        <v>7</v>
      </c>
      <c r="P54" s="15">
        <f t="shared" si="1"/>
        <v>37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1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27</v>
      </c>
      <c r="N55" s="50">
        <v>0</v>
      </c>
      <c r="O55" s="15">
        <f t="shared" si="0"/>
        <v>5</v>
      </c>
      <c r="P55" s="15">
        <f t="shared" si="1"/>
        <v>32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30</v>
      </c>
      <c r="N56" s="50">
        <v>0</v>
      </c>
      <c r="O56" s="15">
        <f t="shared" si="0"/>
        <v>3</v>
      </c>
      <c r="P56" s="15">
        <f t="shared" si="1"/>
        <v>33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42</v>
      </c>
      <c r="N57" s="50">
        <v>0</v>
      </c>
      <c r="O57" s="15">
        <f t="shared" si="0"/>
        <v>7</v>
      </c>
      <c r="P57" s="15">
        <f t="shared" si="1"/>
        <v>49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300</v>
      </c>
      <c r="D58" s="16">
        <f t="shared" si="21"/>
        <v>53</v>
      </c>
      <c r="E58" s="16">
        <f t="shared" si="21"/>
        <v>163</v>
      </c>
      <c r="F58" s="16">
        <f t="shared" si="21"/>
        <v>57</v>
      </c>
      <c r="G58" s="16">
        <f t="shared" si="21"/>
        <v>2</v>
      </c>
      <c r="H58" s="16">
        <f t="shared" si="21"/>
        <v>6</v>
      </c>
      <c r="I58" s="16">
        <f t="shared" si="21"/>
        <v>43</v>
      </c>
      <c r="J58" s="16">
        <f t="shared" si="21"/>
        <v>47</v>
      </c>
      <c r="K58" s="16">
        <f t="shared" si="21"/>
        <v>2</v>
      </c>
      <c r="L58" s="16">
        <f t="shared" si="21"/>
        <v>21</v>
      </c>
      <c r="M58" s="16">
        <f t="shared" si="21"/>
        <v>1521</v>
      </c>
      <c r="N58" s="16">
        <f t="shared" si="21"/>
        <v>1</v>
      </c>
      <c r="O58" s="16">
        <f t="shared" si="21"/>
        <v>695</v>
      </c>
      <c r="P58" s="16">
        <f t="shared" si="21"/>
        <v>2216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0.13537906137184116</v>
      </c>
      <c r="D59" s="43">
        <f t="shared" si="22"/>
        <v>2.3916967509025271E-2</v>
      </c>
      <c r="E59" s="43">
        <f t="shared" si="22"/>
        <v>7.3555956678700365E-2</v>
      </c>
      <c r="F59" s="43">
        <f t="shared" si="22"/>
        <v>2.5722021660649821E-2</v>
      </c>
      <c r="G59" s="43">
        <f t="shared" si="22"/>
        <v>9.025270758122744E-4</v>
      </c>
      <c r="H59" s="43">
        <f t="shared" si="22"/>
        <v>2.707581227436823E-3</v>
      </c>
      <c r="I59" s="43">
        <f t="shared" si="22"/>
        <v>1.9404332129963901E-2</v>
      </c>
      <c r="J59" s="43">
        <f t="shared" si="22"/>
        <v>2.1209386281588447E-2</v>
      </c>
      <c r="K59" s="43">
        <f t="shared" si="22"/>
        <v>9.025270758122744E-4</v>
      </c>
      <c r="L59" s="43">
        <f t="shared" si="22"/>
        <v>9.4765342960288802E-3</v>
      </c>
      <c r="M59" s="43">
        <f t="shared" si="22"/>
        <v>0.68637184115523464</v>
      </c>
      <c r="N59" s="43">
        <f t="shared" si="22"/>
        <v>4.512635379061372E-4</v>
      </c>
      <c r="R59" s="8"/>
      <c r="T59"/>
    </row>
    <row r="60" spans="2:20" ht="23.1" customHeight="1" x14ac:dyDescent="0.25">
      <c r="B60" s="42" t="s">
        <v>94</v>
      </c>
      <c r="C60" s="44">
        <f>C58/$O$58</f>
        <v>0.43165467625899279</v>
      </c>
      <c r="D60" s="44">
        <f t="shared" ref="D60:N60" si="23">D58/$O$58</f>
        <v>7.6258992805755391E-2</v>
      </c>
      <c r="E60" s="44">
        <f t="shared" si="23"/>
        <v>0.23453237410071942</v>
      </c>
      <c r="F60" s="44">
        <f t="shared" si="23"/>
        <v>8.2014388489208639E-2</v>
      </c>
      <c r="G60" s="44">
        <f t="shared" si="23"/>
        <v>2.8776978417266188E-3</v>
      </c>
      <c r="H60" s="44">
        <f t="shared" si="23"/>
        <v>8.6330935251798559E-3</v>
      </c>
      <c r="I60" s="44">
        <f t="shared" si="23"/>
        <v>6.1870503597122303E-2</v>
      </c>
      <c r="J60" s="44">
        <f t="shared" si="23"/>
        <v>6.7625899280575538E-2</v>
      </c>
      <c r="K60" s="44">
        <f t="shared" si="23"/>
        <v>2.8776978417266188E-3</v>
      </c>
      <c r="L60" s="44">
        <f t="shared" si="23"/>
        <v>3.0215827338129497E-2</v>
      </c>
      <c r="M60" s="44"/>
      <c r="N60" s="44">
        <f t="shared" si="23"/>
        <v>1.4388489208633094E-3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36" zoomScale="60" workbookViewId="0">
      <selection activeCell="E46" sqref="E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Koboko-Arua'!C3:G3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6" t="str">
        <f>'03.08 Arua-Koboko-24h'!G5:H5</f>
        <v>xxx</v>
      </c>
      <c r="H5" s="67"/>
      <c r="I5" s="14"/>
      <c r="J5" s="2" t="s">
        <v>5</v>
      </c>
      <c r="K5" s="66" t="str">
        <f>'03.08 Arua-Koboko-24h'!K5:L5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Koboko-Arua'!D6:E6</f>
        <v>Koboko</v>
      </c>
      <c r="E6" s="67"/>
      <c r="F6" s="2" t="s">
        <v>2</v>
      </c>
      <c r="G6" s="66" t="str">
        <f>'31.07 Koboko-Arua'!G6:H6</f>
        <v>Arua</v>
      </c>
      <c r="H6" s="67"/>
      <c r="J6" s="2" t="s">
        <v>21</v>
      </c>
      <c r="K6" s="66" t="str">
        <f>'03.08 Arua-Koboko-24h'!K6:L6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14</v>
      </c>
      <c r="E10" s="50">
        <v>15</v>
      </c>
      <c r="F10" s="50">
        <v>10</v>
      </c>
      <c r="G10" s="50">
        <v>2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57</v>
      </c>
      <c r="N10" s="50">
        <v>0</v>
      </c>
      <c r="O10" s="15">
        <f t="shared" ref="O10:O57" si="0">SUM(C10:L10,N10)</f>
        <v>49</v>
      </c>
      <c r="P10" s="15">
        <f t="shared" ref="P10:P57" si="1">SUM(C10:N10)</f>
        <v>106</v>
      </c>
      <c r="R10" s="1" t="s">
        <v>6</v>
      </c>
      <c r="S10" s="17">
        <f t="shared" ref="S10:AF10" si="2">SUM(C10:C13)</f>
        <v>32</v>
      </c>
      <c r="T10" s="17">
        <f t="shared" si="2"/>
        <v>26</v>
      </c>
      <c r="U10" s="17">
        <f t="shared" si="2"/>
        <v>34</v>
      </c>
      <c r="V10" s="17">
        <f t="shared" si="2"/>
        <v>17</v>
      </c>
      <c r="W10" s="17">
        <f t="shared" si="2"/>
        <v>7</v>
      </c>
      <c r="X10" s="17">
        <f t="shared" si="2"/>
        <v>4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149</v>
      </c>
      <c r="AD10" s="17">
        <f t="shared" si="2"/>
        <v>0</v>
      </c>
      <c r="AE10" s="31">
        <f t="shared" si="2"/>
        <v>123</v>
      </c>
      <c r="AF10" s="31">
        <f t="shared" si="2"/>
        <v>272</v>
      </c>
    </row>
    <row r="11" spans="2:32" s="6" customFormat="1" ht="23.1" customHeight="1" x14ac:dyDescent="0.25">
      <c r="B11" s="23" t="s">
        <v>38</v>
      </c>
      <c r="C11" s="50">
        <v>6</v>
      </c>
      <c r="D11" s="50">
        <v>12</v>
      </c>
      <c r="E11" s="50">
        <v>19</v>
      </c>
      <c r="F11" s="50">
        <v>0</v>
      </c>
      <c r="G11" s="50">
        <v>0</v>
      </c>
      <c r="H11" s="50">
        <v>2</v>
      </c>
      <c r="I11" s="50">
        <v>0</v>
      </c>
      <c r="J11" s="50">
        <v>0</v>
      </c>
      <c r="K11" s="50">
        <v>0</v>
      </c>
      <c r="L11" s="50">
        <v>0</v>
      </c>
      <c r="M11" s="50">
        <v>27</v>
      </c>
      <c r="N11" s="50">
        <v>0</v>
      </c>
      <c r="O11" s="15">
        <f t="shared" si="0"/>
        <v>39</v>
      </c>
      <c r="P11" s="15">
        <f t="shared" si="1"/>
        <v>66</v>
      </c>
      <c r="R11" s="1" t="s">
        <v>7</v>
      </c>
      <c r="S11" s="17">
        <f t="shared" ref="S11:AF11" si="3">SUM(C14:C17)</f>
        <v>37</v>
      </c>
      <c r="T11" s="17">
        <f t="shared" si="3"/>
        <v>0</v>
      </c>
      <c r="U11" s="17">
        <f t="shared" si="3"/>
        <v>0</v>
      </c>
      <c r="V11" s="17">
        <f t="shared" si="3"/>
        <v>19</v>
      </c>
      <c r="W11" s="17">
        <f t="shared" si="3"/>
        <v>0</v>
      </c>
      <c r="X11" s="17">
        <f t="shared" si="3"/>
        <v>4</v>
      </c>
      <c r="Y11" s="17">
        <f t="shared" si="3"/>
        <v>6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107</v>
      </c>
      <c r="AD11" s="17">
        <f t="shared" si="3"/>
        <v>0</v>
      </c>
      <c r="AE11" s="31">
        <f t="shared" si="3"/>
        <v>66</v>
      </c>
      <c r="AF11" s="31">
        <f t="shared" si="3"/>
        <v>173</v>
      </c>
    </row>
    <row r="12" spans="2:32" ht="23.1" customHeight="1" x14ac:dyDescent="0.25">
      <c r="B12" s="23" t="s">
        <v>39</v>
      </c>
      <c r="C12" s="50">
        <v>14</v>
      </c>
      <c r="D12" s="50">
        <v>0</v>
      </c>
      <c r="E12" s="50">
        <v>0</v>
      </c>
      <c r="F12" s="50">
        <v>0</v>
      </c>
      <c r="G12" s="50">
        <v>5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35</v>
      </c>
      <c r="N12" s="50">
        <v>0</v>
      </c>
      <c r="O12" s="15">
        <f t="shared" si="0"/>
        <v>19</v>
      </c>
      <c r="P12" s="15">
        <f t="shared" si="1"/>
        <v>54</v>
      </c>
      <c r="R12" s="1" t="s">
        <v>8</v>
      </c>
      <c r="S12" s="17">
        <f t="shared" ref="S12:AF12" si="4">SUM(C18:C21)</f>
        <v>68</v>
      </c>
      <c r="T12" s="17">
        <f t="shared" si="4"/>
        <v>3</v>
      </c>
      <c r="U12" s="17">
        <f t="shared" si="4"/>
        <v>4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116</v>
      </c>
      <c r="AD12" s="17">
        <f t="shared" si="4"/>
        <v>0</v>
      </c>
      <c r="AE12" s="31">
        <f t="shared" si="4"/>
        <v>86</v>
      </c>
      <c r="AF12" s="31">
        <f t="shared" si="4"/>
        <v>202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7</v>
      </c>
      <c r="G13" s="50">
        <v>0</v>
      </c>
      <c r="H13" s="50">
        <v>2</v>
      </c>
      <c r="I13" s="50">
        <v>3</v>
      </c>
      <c r="J13" s="50">
        <v>0</v>
      </c>
      <c r="K13" s="50">
        <v>0</v>
      </c>
      <c r="L13" s="50">
        <v>0</v>
      </c>
      <c r="M13" s="50">
        <v>30</v>
      </c>
      <c r="N13" s="50">
        <v>0</v>
      </c>
      <c r="O13" s="15">
        <f t="shared" si="0"/>
        <v>16</v>
      </c>
      <c r="P13" s="15">
        <f t="shared" si="1"/>
        <v>46</v>
      </c>
      <c r="R13" s="1" t="s">
        <v>9</v>
      </c>
      <c r="S13" s="17">
        <f t="shared" ref="S13:AF13" si="5">SUM(C22:C25)</f>
        <v>25</v>
      </c>
      <c r="T13" s="17">
        <f t="shared" si="5"/>
        <v>9</v>
      </c>
      <c r="U13" s="17">
        <f t="shared" si="5"/>
        <v>11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147</v>
      </c>
      <c r="AD13" s="17">
        <f t="shared" si="5"/>
        <v>0</v>
      </c>
      <c r="AE13" s="31">
        <f t="shared" si="5"/>
        <v>56</v>
      </c>
      <c r="AF13" s="31">
        <f t="shared" si="5"/>
        <v>203</v>
      </c>
    </row>
    <row r="14" spans="2:32" ht="23.1" customHeight="1" x14ac:dyDescent="0.25">
      <c r="B14" s="23" t="s">
        <v>41</v>
      </c>
      <c r="C14" s="50">
        <v>15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15</v>
      </c>
      <c r="P14" s="15">
        <f t="shared" si="1"/>
        <v>27</v>
      </c>
      <c r="R14" s="1" t="s">
        <v>10</v>
      </c>
      <c r="S14" s="17">
        <f t="shared" ref="S14:AF14" si="6">SUM(C26:C29)</f>
        <v>23</v>
      </c>
      <c r="T14" s="17">
        <f t="shared" si="6"/>
        <v>8</v>
      </c>
      <c r="U14" s="17">
        <f t="shared" si="6"/>
        <v>10</v>
      </c>
      <c r="V14" s="17">
        <f t="shared" si="6"/>
        <v>14</v>
      </c>
      <c r="W14" s="17">
        <f t="shared" si="6"/>
        <v>2</v>
      </c>
      <c r="X14" s="17">
        <f t="shared" si="6"/>
        <v>2</v>
      </c>
      <c r="Y14" s="17">
        <f t="shared" si="6"/>
        <v>4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179</v>
      </c>
      <c r="AD14" s="17">
        <f t="shared" si="6"/>
        <v>0</v>
      </c>
      <c r="AE14" s="31">
        <f t="shared" si="6"/>
        <v>66</v>
      </c>
      <c r="AF14" s="31">
        <f t="shared" si="6"/>
        <v>245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0</v>
      </c>
      <c r="F15" s="50">
        <v>7</v>
      </c>
      <c r="G15" s="50">
        <v>0</v>
      </c>
      <c r="H15" s="50">
        <v>2</v>
      </c>
      <c r="I15" s="50">
        <v>3</v>
      </c>
      <c r="J15" s="50">
        <v>0</v>
      </c>
      <c r="K15" s="50">
        <v>0</v>
      </c>
      <c r="L15" s="50">
        <v>0</v>
      </c>
      <c r="M15" s="50">
        <v>30</v>
      </c>
      <c r="N15" s="50">
        <v>0</v>
      </c>
      <c r="O15" s="15">
        <f t="shared" si="0"/>
        <v>16</v>
      </c>
      <c r="P15" s="15">
        <f t="shared" si="1"/>
        <v>46</v>
      </c>
      <c r="R15" s="1" t="s">
        <v>11</v>
      </c>
      <c r="S15" s="17">
        <f t="shared" ref="S15:AF15" si="7">SUM(C30:C33)</f>
        <v>40</v>
      </c>
      <c r="T15" s="17">
        <f t="shared" si="7"/>
        <v>9</v>
      </c>
      <c r="U15" s="17">
        <f t="shared" si="7"/>
        <v>10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17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172</v>
      </c>
      <c r="AD15" s="17">
        <f t="shared" si="7"/>
        <v>0</v>
      </c>
      <c r="AE15" s="31">
        <f t="shared" si="7"/>
        <v>82</v>
      </c>
      <c r="AF15" s="31">
        <f t="shared" si="7"/>
        <v>254</v>
      </c>
    </row>
    <row r="16" spans="2:32" ht="23.1" customHeight="1" x14ac:dyDescent="0.25">
      <c r="B16" s="23" t="s">
        <v>43</v>
      </c>
      <c r="C16" s="50">
        <v>14</v>
      </c>
      <c r="D16" s="50">
        <v>0</v>
      </c>
      <c r="E16" s="50">
        <v>0</v>
      </c>
      <c r="F16" s="50">
        <v>5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35</v>
      </c>
      <c r="N16" s="50">
        <v>0</v>
      </c>
      <c r="O16" s="15">
        <f t="shared" si="0"/>
        <v>19</v>
      </c>
      <c r="P16" s="15">
        <f t="shared" si="1"/>
        <v>54</v>
      </c>
      <c r="R16" s="1" t="s">
        <v>12</v>
      </c>
      <c r="S16" s="17">
        <f t="shared" ref="S16:AF16" si="8">SUM(C34:C37)</f>
        <v>49</v>
      </c>
      <c r="T16" s="17">
        <f t="shared" si="8"/>
        <v>11</v>
      </c>
      <c r="U16" s="17">
        <f t="shared" si="8"/>
        <v>13</v>
      </c>
      <c r="V16" s="17">
        <f t="shared" si="8"/>
        <v>14</v>
      </c>
      <c r="W16" s="17">
        <f t="shared" si="8"/>
        <v>2</v>
      </c>
      <c r="X16" s="17">
        <f t="shared" si="8"/>
        <v>0</v>
      </c>
      <c r="Y16" s="17">
        <f t="shared" si="8"/>
        <v>15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204</v>
      </c>
      <c r="AD16" s="17">
        <f t="shared" si="8"/>
        <v>0</v>
      </c>
      <c r="AE16" s="31">
        <f t="shared" si="8"/>
        <v>104</v>
      </c>
      <c r="AF16" s="31">
        <f t="shared" si="8"/>
        <v>308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7</v>
      </c>
      <c r="G17" s="50">
        <v>0</v>
      </c>
      <c r="H17" s="50">
        <v>2</v>
      </c>
      <c r="I17" s="50">
        <v>3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16</v>
      </c>
      <c r="P17" s="15">
        <f t="shared" si="1"/>
        <v>46</v>
      </c>
      <c r="R17" s="1" t="s">
        <v>13</v>
      </c>
      <c r="S17" s="17">
        <f t="shared" ref="S17:AF17" si="9">SUM(C38:C41)</f>
        <v>20</v>
      </c>
      <c r="T17" s="17">
        <f t="shared" si="9"/>
        <v>9</v>
      </c>
      <c r="U17" s="17">
        <f t="shared" si="9"/>
        <v>9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166</v>
      </c>
      <c r="AD17" s="17">
        <f t="shared" si="9"/>
        <v>0</v>
      </c>
      <c r="AE17" s="31">
        <f t="shared" si="9"/>
        <v>50</v>
      </c>
      <c r="AF17" s="31">
        <f t="shared" si="9"/>
        <v>216</v>
      </c>
    </row>
    <row r="18" spans="2:32" ht="23.1" customHeight="1" x14ac:dyDescent="0.25">
      <c r="B18" s="23" t="s">
        <v>45</v>
      </c>
      <c r="C18" s="50">
        <v>15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15</v>
      </c>
      <c r="P18" s="15">
        <f t="shared" si="1"/>
        <v>27</v>
      </c>
      <c r="R18" s="1" t="s">
        <v>14</v>
      </c>
      <c r="S18" s="17">
        <f t="shared" ref="S18:AF18" si="10">SUM(C42:C45)</f>
        <v>17</v>
      </c>
      <c r="T18" s="17">
        <f t="shared" si="10"/>
        <v>3</v>
      </c>
      <c r="U18" s="17">
        <f t="shared" si="10"/>
        <v>4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107</v>
      </c>
      <c r="AD18" s="17">
        <f t="shared" si="10"/>
        <v>0</v>
      </c>
      <c r="AE18" s="31">
        <f t="shared" si="10"/>
        <v>29</v>
      </c>
      <c r="AF18" s="31">
        <f t="shared" si="10"/>
        <v>136</v>
      </c>
    </row>
    <row r="19" spans="2:32" ht="23.1" customHeight="1" x14ac:dyDescent="0.25">
      <c r="B19" s="23" t="s">
        <v>46</v>
      </c>
      <c r="C19" s="50">
        <v>35</v>
      </c>
      <c r="D19" s="50">
        <v>0</v>
      </c>
      <c r="E19" s="50">
        <v>0</v>
      </c>
      <c r="F19" s="50">
        <v>5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27</v>
      </c>
      <c r="N19" s="50">
        <v>0</v>
      </c>
      <c r="O19" s="15">
        <f t="shared" si="0"/>
        <v>42</v>
      </c>
      <c r="P19" s="15">
        <f t="shared" si="1"/>
        <v>69</v>
      </c>
      <c r="R19" s="1" t="s">
        <v>15</v>
      </c>
      <c r="S19" s="17">
        <f t="shared" ref="S19:AF19" si="11">SUM(C46:C49)</f>
        <v>68</v>
      </c>
      <c r="T19" s="17">
        <f t="shared" si="11"/>
        <v>12</v>
      </c>
      <c r="U19" s="17">
        <f t="shared" si="11"/>
        <v>13</v>
      </c>
      <c r="V19" s="17">
        <f t="shared" si="11"/>
        <v>6</v>
      </c>
      <c r="W19" s="17">
        <f t="shared" si="11"/>
        <v>3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106</v>
      </c>
      <c r="AD19" s="17">
        <f t="shared" si="11"/>
        <v>0</v>
      </c>
      <c r="AE19" s="31">
        <f t="shared" si="11"/>
        <v>110</v>
      </c>
      <c r="AF19" s="31">
        <f t="shared" si="11"/>
        <v>216</v>
      </c>
    </row>
    <row r="20" spans="2:32" ht="23.1" customHeight="1" x14ac:dyDescent="0.25">
      <c r="B20" s="23" t="s">
        <v>47</v>
      </c>
      <c r="C20" s="50">
        <v>8</v>
      </c>
      <c r="D20" s="50">
        <v>1</v>
      </c>
      <c r="E20" s="50">
        <v>2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32</v>
      </c>
      <c r="N20" s="50">
        <v>0</v>
      </c>
      <c r="O20" s="15">
        <f t="shared" si="0"/>
        <v>13</v>
      </c>
      <c r="P20" s="15">
        <f t="shared" si="1"/>
        <v>45</v>
      </c>
      <c r="R20" s="1" t="s">
        <v>16</v>
      </c>
      <c r="S20" s="17">
        <f t="shared" ref="S20:AF20" si="12">SUM(C50:C53)</f>
        <v>44</v>
      </c>
      <c r="T20" s="17">
        <f t="shared" si="12"/>
        <v>13</v>
      </c>
      <c r="U20" s="17">
        <f t="shared" si="12"/>
        <v>14</v>
      </c>
      <c r="V20" s="17">
        <f t="shared" si="12"/>
        <v>29</v>
      </c>
      <c r="W20" s="17">
        <f t="shared" si="12"/>
        <v>9</v>
      </c>
      <c r="X20" s="17">
        <f t="shared" si="12"/>
        <v>0</v>
      </c>
      <c r="Y20" s="17">
        <f t="shared" si="12"/>
        <v>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106</v>
      </c>
      <c r="AD20" s="17">
        <f t="shared" si="12"/>
        <v>0</v>
      </c>
      <c r="AE20" s="31">
        <f t="shared" si="12"/>
        <v>111</v>
      </c>
      <c r="AF20" s="31">
        <f t="shared" si="12"/>
        <v>217</v>
      </c>
    </row>
    <row r="21" spans="2:32" ht="23.1" customHeight="1" x14ac:dyDescent="0.25">
      <c r="B21" s="23" t="s">
        <v>48</v>
      </c>
      <c r="C21" s="50">
        <v>10</v>
      </c>
      <c r="D21" s="50">
        <v>2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45</v>
      </c>
      <c r="N21" s="50">
        <v>0</v>
      </c>
      <c r="O21" s="15">
        <f t="shared" si="0"/>
        <v>16</v>
      </c>
      <c r="P21" s="15">
        <f t="shared" si="1"/>
        <v>61</v>
      </c>
      <c r="R21" s="36" t="s">
        <v>20</v>
      </c>
      <c r="S21" s="34">
        <f t="shared" ref="S21:AF21" si="13">SUM(C54:C57)</f>
        <v>28</v>
      </c>
      <c r="T21" s="17">
        <f t="shared" si="13"/>
        <v>2</v>
      </c>
      <c r="U21" s="17">
        <f t="shared" si="13"/>
        <v>2</v>
      </c>
      <c r="V21" s="17">
        <f t="shared" si="13"/>
        <v>25</v>
      </c>
      <c r="W21" s="17">
        <f t="shared" si="13"/>
        <v>2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95</v>
      </c>
      <c r="AD21" s="17">
        <f t="shared" si="13"/>
        <v>0</v>
      </c>
      <c r="AE21" s="31">
        <f t="shared" si="13"/>
        <v>59</v>
      </c>
      <c r="AF21" s="31">
        <f t="shared" si="13"/>
        <v>154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2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39</v>
      </c>
      <c r="N22" s="50">
        <v>0</v>
      </c>
      <c r="O22" s="15">
        <f t="shared" si="0"/>
        <v>8</v>
      </c>
      <c r="P22" s="15">
        <f t="shared" si="1"/>
        <v>47</v>
      </c>
      <c r="R22" s="38" t="s">
        <v>90</v>
      </c>
      <c r="S22" s="39">
        <f>MAX(S10:S12)</f>
        <v>68</v>
      </c>
      <c r="T22" s="39">
        <f t="shared" ref="T22:AF22" si="14">MAX(T10:T12)</f>
        <v>26</v>
      </c>
      <c r="U22" s="39">
        <f t="shared" si="14"/>
        <v>34</v>
      </c>
      <c r="V22" s="39">
        <f t="shared" si="14"/>
        <v>19</v>
      </c>
      <c r="W22" s="39">
        <f t="shared" si="14"/>
        <v>7</v>
      </c>
      <c r="X22" s="39">
        <f t="shared" si="14"/>
        <v>4</v>
      </c>
      <c r="Y22" s="39">
        <f t="shared" si="14"/>
        <v>6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149</v>
      </c>
      <c r="AD22" s="39">
        <f t="shared" si="14"/>
        <v>0</v>
      </c>
      <c r="AE22" s="40">
        <f t="shared" si="14"/>
        <v>123</v>
      </c>
      <c r="AF22" s="40">
        <f t="shared" si="14"/>
        <v>272</v>
      </c>
    </row>
    <row r="23" spans="2:32" ht="23.1" customHeight="1" x14ac:dyDescent="0.25">
      <c r="B23" s="23" t="s">
        <v>50</v>
      </c>
      <c r="C23" s="50">
        <v>5</v>
      </c>
      <c r="D23" s="50">
        <v>2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9</v>
      </c>
      <c r="P23" s="15">
        <f t="shared" si="1"/>
        <v>26</v>
      </c>
      <c r="R23" s="38" t="s">
        <v>91</v>
      </c>
      <c r="S23" s="39">
        <f>MAX(S13:S18)</f>
        <v>49</v>
      </c>
      <c r="T23" s="39">
        <f t="shared" ref="T23:AF23" si="15">MAX(T13:T18)</f>
        <v>11</v>
      </c>
      <c r="U23" s="39">
        <f t="shared" si="15"/>
        <v>13</v>
      </c>
      <c r="V23" s="39">
        <f t="shared" si="15"/>
        <v>14</v>
      </c>
      <c r="W23" s="39">
        <f t="shared" si="15"/>
        <v>2</v>
      </c>
      <c r="X23" s="39">
        <f t="shared" si="15"/>
        <v>2</v>
      </c>
      <c r="Y23" s="39">
        <f t="shared" si="15"/>
        <v>17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204</v>
      </c>
      <c r="AD23" s="39">
        <f t="shared" si="15"/>
        <v>0</v>
      </c>
      <c r="AE23" s="40">
        <f t="shared" si="15"/>
        <v>104</v>
      </c>
      <c r="AF23" s="40">
        <f t="shared" si="15"/>
        <v>308</v>
      </c>
    </row>
    <row r="24" spans="2:32" ht="23.1" customHeight="1" x14ac:dyDescent="0.25">
      <c r="B24" s="23" t="s">
        <v>51</v>
      </c>
      <c r="C24" s="50">
        <v>8</v>
      </c>
      <c r="D24" s="50">
        <v>2</v>
      </c>
      <c r="E24" s="50">
        <v>3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13</v>
      </c>
      <c r="P24" s="15">
        <f t="shared" si="1"/>
        <v>44</v>
      </c>
      <c r="R24" s="38" t="s">
        <v>92</v>
      </c>
      <c r="S24" s="39">
        <f>MAX(S19:S21)</f>
        <v>68</v>
      </c>
      <c r="T24" s="39">
        <f t="shared" ref="T24:AF24" si="16">MAX(T19:T21)</f>
        <v>13</v>
      </c>
      <c r="U24" s="39">
        <f t="shared" si="16"/>
        <v>14</v>
      </c>
      <c r="V24" s="39">
        <f t="shared" si="16"/>
        <v>29</v>
      </c>
      <c r="W24" s="39">
        <f t="shared" si="16"/>
        <v>9</v>
      </c>
      <c r="X24" s="39">
        <f t="shared" si="16"/>
        <v>0</v>
      </c>
      <c r="Y24" s="39">
        <f t="shared" si="16"/>
        <v>8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106</v>
      </c>
      <c r="AD24" s="39">
        <f t="shared" si="16"/>
        <v>0</v>
      </c>
      <c r="AE24" s="40">
        <f t="shared" si="16"/>
        <v>111</v>
      </c>
      <c r="AF24" s="40">
        <f t="shared" si="16"/>
        <v>217</v>
      </c>
    </row>
    <row r="25" spans="2:32" ht="23.1" customHeight="1" x14ac:dyDescent="0.25">
      <c r="B25" s="23" t="s">
        <v>52</v>
      </c>
      <c r="C25" s="50">
        <v>9</v>
      </c>
      <c r="D25" s="50">
        <v>5</v>
      </c>
      <c r="E25" s="50">
        <v>6</v>
      </c>
      <c r="F25" s="50">
        <v>3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60</v>
      </c>
      <c r="N25" s="50">
        <v>0</v>
      </c>
      <c r="O25" s="15">
        <f t="shared" si="0"/>
        <v>26</v>
      </c>
      <c r="P25" s="15">
        <f t="shared" si="1"/>
        <v>86</v>
      </c>
      <c r="R25" s="37" t="s">
        <v>85</v>
      </c>
      <c r="S25" s="35">
        <f t="shared" ref="S25:AF25" si="17">SUM(S10:S12)</f>
        <v>137</v>
      </c>
      <c r="T25" s="16">
        <f t="shared" si="17"/>
        <v>29</v>
      </c>
      <c r="U25" s="16">
        <f t="shared" si="17"/>
        <v>38</v>
      </c>
      <c r="V25" s="16">
        <f t="shared" si="17"/>
        <v>45</v>
      </c>
      <c r="W25" s="16">
        <f t="shared" si="17"/>
        <v>7</v>
      </c>
      <c r="X25" s="16">
        <f t="shared" si="17"/>
        <v>8</v>
      </c>
      <c r="Y25" s="16">
        <f t="shared" si="17"/>
        <v>9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372</v>
      </c>
      <c r="AD25" s="16">
        <f t="shared" si="17"/>
        <v>0</v>
      </c>
      <c r="AE25" s="32">
        <f t="shared" si="17"/>
        <v>275</v>
      </c>
      <c r="AF25" s="32">
        <f t="shared" si="17"/>
        <v>647</v>
      </c>
    </row>
    <row r="26" spans="2:32" ht="23.1" customHeight="1" x14ac:dyDescent="0.25">
      <c r="B26" s="23" t="s">
        <v>53</v>
      </c>
      <c r="C26" s="50">
        <v>7</v>
      </c>
      <c r="D26" s="50">
        <v>2</v>
      </c>
      <c r="E26" s="50">
        <v>3</v>
      </c>
      <c r="F26" s="50">
        <v>2</v>
      </c>
      <c r="G26" s="50">
        <v>0</v>
      </c>
      <c r="H26" s="50">
        <v>0</v>
      </c>
      <c r="I26" s="50">
        <v>2</v>
      </c>
      <c r="J26" s="50">
        <v>3</v>
      </c>
      <c r="K26" s="50">
        <v>0</v>
      </c>
      <c r="L26" s="50">
        <v>0</v>
      </c>
      <c r="M26" s="50">
        <v>56</v>
      </c>
      <c r="N26" s="50">
        <v>0</v>
      </c>
      <c r="O26" s="15">
        <f t="shared" si="0"/>
        <v>19</v>
      </c>
      <c r="P26" s="15">
        <f t="shared" si="1"/>
        <v>75</v>
      </c>
      <c r="R26" s="28" t="s">
        <v>86</v>
      </c>
      <c r="S26" s="16">
        <f t="shared" ref="S26:AF26" si="18">SUM(S13:S18)</f>
        <v>174</v>
      </c>
      <c r="T26" s="16">
        <f t="shared" si="18"/>
        <v>49</v>
      </c>
      <c r="U26" s="16">
        <f t="shared" si="18"/>
        <v>57</v>
      </c>
      <c r="V26" s="16">
        <f t="shared" si="18"/>
        <v>50</v>
      </c>
      <c r="W26" s="16">
        <f t="shared" si="18"/>
        <v>4</v>
      </c>
      <c r="X26" s="16">
        <f t="shared" si="18"/>
        <v>2</v>
      </c>
      <c r="Y26" s="16">
        <f t="shared" si="18"/>
        <v>48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975</v>
      </c>
      <c r="AD26" s="16">
        <f t="shared" si="18"/>
        <v>0</v>
      </c>
      <c r="AE26" s="32">
        <f t="shared" si="18"/>
        <v>387</v>
      </c>
      <c r="AF26" s="32">
        <f t="shared" si="18"/>
        <v>1362</v>
      </c>
    </row>
    <row r="27" spans="2:32" ht="23.1" customHeight="1" x14ac:dyDescent="0.25">
      <c r="B27" s="23" t="s">
        <v>54</v>
      </c>
      <c r="C27" s="50">
        <v>5</v>
      </c>
      <c r="D27" s="50">
        <v>3</v>
      </c>
      <c r="E27" s="50">
        <v>3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43</v>
      </c>
      <c r="N27" s="50">
        <v>0</v>
      </c>
      <c r="O27" s="15">
        <f t="shared" si="0"/>
        <v>11</v>
      </c>
      <c r="P27" s="15">
        <f t="shared" si="1"/>
        <v>54</v>
      </c>
      <c r="R27" s="29" t="s">
        <v>87</v>
      </c>
      <c r="S27" s="16">
        <f t="shared" ref="S27:AF27" si="19">SUM(S19:S21)</f>
        <v>140</v>
      </c>
      <c r="T27" s="16">
        <f t="shared" si="19"/>
        <v>27</v>
      </c>
      <c r="U27" s="16">
        <f t="shared" si="19"/>
        <v>29</v>
      </c>
      <c r="V27" s="16">
        <f t="shared" si="19"/>
        <v>60</v>
      </c>
      <c r="W27" s="16">
        <f t="shared" si="19"/>
        <v>14</v>
      </c>
      <c r="X27" s="16">
        <f t="shared" si="19"/>
        <v>0</v>
      </c>
      <c r="Y27" s="16">
        <f t="shared" si="19"/>
        <v>8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307</v>
      </c>
      <c r="AD27" s="16">
        <f t="shared" si="19"/>
        <v>0</v>
      </c>
      <c r="AE27" s="32">
        <f t="shared" si="19"/>
        <v>280</v>
      </c>
      <c r="AF27" s="32">
        <f t="shared" si="19"/>
        <v>587</v>
      </c>
    </row>
    <row r="28" spans="2:32" ht="23.1" customHeight="1" x14ac:dyDescent="0.25">
      <c r="B28" s="23" t="s">
        <v>55</v>
      </c>
      <c r="C28" s="50">
        <v>4</v>
      </c>
      <c r="D28" s="50">
        <v>2</v>
      </c>
      <c r="E28" s="50">
        <v>3</v>
      </c>
      <c r="F28" s="50">
        <v>5</v>
      </c>
      <c r="G28" s="50">
        <v>2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44</v>
      </c>
      <c r="N28" s="50">
        <v>0</v>
      </c>
      <c r="O28" s="15">
        <f t="shared" si="0"/>
        <v>18</v>
      </c>
      <c r="P28" s="15">
        <f t="shared" si="1"/>
        <v>62</v>
      </c>
      <c r="R28" s="5" t="s">
        <v>17</v>
      </c>
      <c r="S28" s="16">
        <f t="shared" ref="S28:AF28" si="20">SUM(S10:S21)</f>
        <v>451</v>
      </c>
      <c r="T28" s="16">
        <f t="shared" si="20"/>
        <v>105</v>
      </c>
      <c r="U28" s="16">
        <f t="shared" si="20"/>
        <v>124</v>
      </c>
      <c r="V28" s="16">
        <f t="shared" si="20"/>
        <v>155</v>
      </c>
      <c r="W28" s="16">
        <f t="shared" si="20"/>
        <v>25</v>
      </c>
      <c r="X28" s="16">
        <f t="shared" si="20"/>
        <v>10</v>
      </c>
      <c r="Y28" s="16">
        <f t="shared" si="20"/>
        <v>65</v>
      </c>
      <c r="Z28" s="16">
        <f t="shared" si="20"/>
        <v>7</v>
      </c>
      <c r="AA28" s="16">
        <f t="shared" si="20"/>
        <v>0</v>
      </c>
      <c r="AB28" s="16">
        <f t="shared" si="20"/>
        <v>0</v>
      </c>
      <c r="AC28" s="16">
        <f t="shared" si="20"/>
        <v>1654</v>
      </c>
      <c r="AD28" s="16">
        <f t="shared" si="20"/>
        <v>0</v>
      </c>
      <c r="AE28" s="32">
        <f t="shared" si="20"/>
        <v>942</v>
      </c>
      <c r="AF28" s="32">
        <f t="shared" si="20"/>
        <v>2596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1</v>
      </c>
      <c r="F29" s="50">
        <v>7</v>
      </c>
      <c r="G29" s="50">
        <v>0</v>
      </c>
      <c r="H29" s="50">
        <v>2</v>
      </c>
      <c r="I29" s="50">
        <v>0</v>
      </c>
      <c r="J29" s="50">
        <v>0</v>
      </c>
      <c r="K29" s="50">
        <v>0</v>
      </c>
      <c r="L29" s="50">
        <v>0</v>
      </c>
      <c r="M29" s="50">
        <v>36</v>
      </c>
      <c r="N29" s="50">
        <v>0</v>
      </c>
      <c r="O29" s="15">
        <f t="shared" si="0"/>
        <v>18</v>
      </c>
      <c r="P29" s="15">
        <f t="shared" si="1"/>
        <v>54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2</v>
      </c>
      <c r="E30" s="50">
        <v>3</v>
      </c>
      <c r="F30" s="50">
        <v>4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55</v>
      </c>
      <c r="N30" s="50">
        <v>0</v>
      </c>
      <c r="O30" s="15">
        <f t="shared" si="0"/>
        <v>25</v>
      </c>
      <c r="P30" s="15">
        <f t="shared" si="1"/>
        <v>80</v>
      </c>
    </row>
    <row r="31" spans="2:32" ht="23.1" customHeight="1" x14ac:dyDescent="0.25">
      <c r="B31" s="24" t="s">
        <v>58</v>
      </c>
      <c r="C31" s="50">
        <v>9</v>
      </c>
      <c r="D31" s="50">
        <v>3</v>
      </c>
      <c r="E31" s="50">
        <v>3</v>
      </c>
      <c r="F31" s="50">
        <v>0</v>
      </c>
      <c r="G31" s="50">
        <v>0</v>
      </c>
      <c r="H31" s="50">
        <v>0</v>
      </c>
      <c r="I31" s="50">
        <v>10</v>
      </c>
      <c r="J31" s="50">
        <v>0</v>
      </c>
      <c r="K31" s="50">
        <v>0</v>
      </c>
      <c r="L31" s="50">
        <v>0</v>
      </c>
      <c r="M31" s="50">
        <v>50</v>
      </c>
      <c r="N31" s="50">
        <v>0</v>
      </c>
      <c r="O31" s="15">
        <f t="shared" si="0"/>
        <v>25</v>
      </c>
      <c r="P31" s="15">
        <f t="shared" si="1"/>
        <v>75</v>
      </c>
    </row>
    <row r="32" spans="2:32" ht="23.1" customHeight="1" x14ac:dyDescent="0.25">
      <c r="B32" s="24" t="s">
        <v>59</v>
      </c>
      <c r="C32" s="50">
        <v>10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35</v>
      </c>
      <c r="N32" s="50">
        <v>0</v>
      </c>
      <c r="O32" s="15">
        <f t="shared" si="0"/>
        <v>12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10</v>
      </c>
      <c r="D33" s="50">
        <v>3</v>
      </c>
      <c r="E33" s="50">
        <v>3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32</v>
      </c>
      <c r="N33" s="50">
        <v>0</v>
      </c>
      <c r="O33" s="15">
        <f t="shared" si="0"/>
        <v>20</v>
      </c>
      <c r="P33" s="15">
        <f t="shared" si="1"/>
        <v>52</v>
      </c>
    </row>
    <row r="34" spans="2:20" ht="23.1" customHeight="1" x14ac:dyDescent="0.25">
      <c r="B34" s="24" t="s">
        <v>61</v>
      </c>
      <c r="C34" s="50">
        <v>8</v>
      </c>
      <c r="D34" s="50">
        <v>4</v>
      </c>
      <c r="E34" s="50">
        <v>4</v>
      </c>
      <c r="F34" s="50">
        <v>2</v>
      </c>
      <c r="G34" s="50">
        <v>0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60</v>
      </c>
      <c r="N34" s="50">
        <v>0</v>
      </c>
      <c r="O34" s="15">
        <f t="shared" si="0"/>
        <v>22</v>
      </c>
      <c r="P34" s="15">
        <f t="shared" si="1"/>
        <v>82</v>
      </c>
    </row>
    <row r="35" spans="2:20" ht="23.1" customHeight="1" x14ac:dyDescent="0.25">
      <c r="B35" s="24" t="s">
        <v>62</v>
      </c>
      <c r="C35" s="50">
        <v>18</v>
      </c>
      <c r="D35" s="50">
        <v>3</v>
      </c>
      <c r="E35" s="50">
        <v>3</v>
      </c>
      <c r="F35" s="50">
        <v>7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50</v>
      </c>
      <c r="N35" s="50">
        <v>0</v>
      </c>
      <c r="O35" s="15">
        <f t="shared" si="0"/>
        <v>33</v>
      </c>
      <c r="P35" s="15">
        <f t="shared" si="1"/>
        <v>83</v>
      </c>
    </row>
    <row r="36" spans="2:20" ht="23.1" customHeight="1" x14ac:dyDescent="0.25">
      <c r="B36" s="24" t="s">
        <v>63</v>
      </c>
      <c r="C36" s="50">
        <v>10</v>
      </c>
      <c r="D36" s="50">
        <v>2</v>
      </c>
      <c r="E36" s="50">
        <v>3</v>
      </c>
      <c r="F36" s="50">
        <v>3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46</v>
      </c>
      <c r="N36" s="50">
        <v>0</v>
      </c>
      <c r="O36" s="15">
        <f t="shared" si="0"/>
        <v>22</v>
      </c>
      <c r="P36" s="15">
        <f t="shared" si="1"/>
        <v>68</v>
      </c>
    </row>
    <row r="37" spans="2:20" ht="23.1" customHeight="1" x14ac:dyDescent="0.25">
      <c r="B37" s="23" t="s">
        <v>64</v>
      </c>
      <c r="C37" s="50">
        <v>13</v>
      </c>
      <c r="D37" s="50">
        <v>2</v>
      </c>
      <c r="E37" s="50">
        <v>3</v>
      </c>
      <c r="F37" s="50">
        <v>2</v>
      </c>
      <c r="G37" s="50">
        <v>2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48</v>
      </c>
      <c r="N37" s="50">
        <v>0</v>
      </c>
      <c r="O37" s="15">
        <f t="shared" si="0"/>
        <v>27</v>
      </c>
      <c r="P37" s="15">
        <f t="shared" si="1"/>
        <v>75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5</v>
      </c>
      <c r="P38" s="15">
        <f t="shared" si="1"/>
        <v>29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30</v>
      </c>
      <c r="N39" s="50">
        <v>0</v>
      </c>
      <c r="O39" s="15">
        <f t="shared" si="0"/>
        <v>5</v>
      </c>
      <c r="P39" s="15">
        <f t="shared" si="1"/>
        <v>35</v>
      </c>
    </row>
    <row r="40" spans="2:20" ht="23.1" customHeight="1" x14ac:dyDescent="0.25">
      <c r="B40" s="24" t="s">
        <v>67</v>
      </c>
      <c r="C40" s="50">
        <v>9</v>
      </c>
      <c r="D40" s="50">
        <v>3</v>
      </c>
      <c r="E40" s="50">
        <v>3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60</v>
      </c>
      <c r="N40" s="50">
        <v>0</v>
      </c>
      <c r="O40" s="15">
        <f t="shared" si="0"/>
        <v>18</v>
      </c>
      <c r="P40" s="15">
        <f t="shared" si="1"/>
        <v>78</v>
      </c>
    </row>
    <row r="41" spans="2:20" ht="23.1" customHeight="1" x14ac:dyDescent="0.25">
      <c r="B41" s="23" t="s">
        <v>68</v>
      </c>
      <c r="C41" s="50">
        <v>6</v>
      </c>
      <c r="D41" s="50">
        <v>5</v>
      </c>
      <c r="E41" s="50">
        <v>5</v>
      </c>
      <c r="F41" s="50">
        <v>4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52</v>
      </c>
      <c r="N41" s="50">
        <v>0</v>
      </c>
      <c r="O41" s="15">
        <f t="shared" si="0"/>
        <v>22</v>
      </c>
      <c r="P41" s="15">
        <f t="shared" si="1"/>
        <v>74</v>
      </c>
    </row>
    <row r="42" spans="2:20" ht="23.1" customHeight="1" x14ac:dyDescent="0.25">
      <c r="B42" s="24" t="s">
        <v>69</v>
      </c>
      <c r="C42" s="50">
        <v>9</v>
      </c>
      <c r="D42" s="50">
        <v>3</v>
      </c>
      <c r="E42" s="50">
        <v>4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16</v>
      </c>
      <c r="P42" s="15">
        <f t="shared" si="1"/>
        <v>51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4</v>
      </c>
      <c r="P43" s="15">
        <f t="shared" si="1"/>
        <v>31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0</v>
      </c>
      <c r="F44" s="50">
        <v>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9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5">
        <f t="shared" si="0"/>
        <v>0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17</v>
      </c>
      <c r="D46" s="50">
        <v>2</v>
      </c>
      <c r="E46" s="50">
        <v>2</v>
      </c>
      <c r="F46" s="50">
        <v>2</v>
      </c>
      <c r="G46" s="50">
        <v>0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29</v>
      </c>
      <c r="P46" s="15">
        <f t="shared" si="1"/>
        <v>64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4</v>
      </c>
      <c r="E47" s="50">
        <v>4</v>
      </c>
      <c r="F47" s="50">
        <v>0</v>
      </c>
      <c r="G47" s="50">
        <v>2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35</v>
      </c>
      <c r="P47" s="15">
        <f t="shared" si="1"/>
        <v>56</v>
      </c>
      <c r="R47" s="8"/>
      <c r="T47"/>
    </row>
    <row r="48" spans="2:20" ht="23.1" customHeight="1" x14ac:dyDescent="0.25">
      <c r="B48" s="24" t="s">
        <v>75</v>
      </c>
      <c r="C48" s="50">
        <v>22</v>
      </c>
      <c r="D48" s="50">
        <v>2</v>
      </c>
      <c r="E48" s="50">
        <v>3</v>
      </c>
      <c r="F48" s="50">
        <v>4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28</v>
      </c>
      <c r="N48" s="50">
        <v>0</v>
      </c>
      <c r="O48" s="15">
        <f t="shared" si="0"/>
        <v>31</v>
      </c>
      <c r="P48" s="15">
        <f t="shared" si="1"/>
        <v>59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4</v>
      </c>
      <c r="E49" s="50">
        <v>4</v>
      </c>
      <c r="F49" s="50">
        <v>0</v>
      </c>
      <c r="G49" s="50">
        <v>1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22</v>
      </c>
      <c r="N49" s="50">
        <v>0</v>
      </c>
      <c r="O49" s="15">
        <f t="shared" si="0"/>
        <v>15</v>
      </c>
      <c r="P49" s="15">
        <f t="shared" si="1"/>
        <v>37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8</v>
      </c>
      <c r="E50" s="50">
        <v>8</v>
      </c>
      <c r="F50" s="50">
        <v>0</v>
      </c>
      <c r="G50" s="50">
        <v>6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30</v>
      </c>
      <c r="P50" s="15">
        <f t="shared" si="1"/>
        <v>54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2</v>
      </c>
      <c r="E51" s="50">
        <v>2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28</v>
      </c>
      <c r="N51" s="50">
        <v>0</v>
      </c>
      <c r="O51" s="15">
        <f t="shared" si="0"/>
        <v>17</v>
      </c>
      <c r="P51" s="15">
        <f t="shared" si="1"/>
        <v>45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2</v>
      </c>
      <c r="E52" s="50">
        <v>3</v>
      </c>
      <c r="F52" s="50">
        <v>20</v>
      </c>
      <c r="G52" s="50">
        <v>3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36</v>
      </c>
      <c r="N52" s="50">
        <v>0</v>
      </c>
      <c r="O52" s="15">
        <f t="shared" si="0"/>
        <v>41</v>
      </c>
      <c r="P52" s="15">
        <f t="shared" si="1"/>
        <v>77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1</v>
      </c>
      <c r="E53" s="50">
        <v>1</v>
      </c>
      <c r="F53" s="50">
        <v>7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23</v>
      </c>
      <c r="P53" s="15">
        <f t="shared" si="1"/>
        <v>41</v>
      </c>
      <c r="R53" s="8"/>
      <c r="T53"/>
    </row>
    <row r="54" spans="2:20" ht="23.1" customHeight="1" x14ac:dyDescent="0.25">
      <c r="B54" s="23" t="s">
        <v>81</v>
      </c>
      <c r="C54" s="50">
        <v>13</v>
      </c>
      <c r="D54" s="50">
        <v>2</v>
      </c>
      <c r="E54" s="50">
        <v>2</v>
      </c>
      <c r="F54" s="50">
        <v>11</v>
      </c>
      <c r="G54" s="50">
        <v>2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34</v>
      </c>
      <c r="N54" s="50">
        <v>0</v>
      </c>
      <c r="O54" s="15">
        <f t="shared" si="0"/>
        <v>30</v>
      </c>
      <c r="P54" s="15">
        <f t="shared" si="1"/>
        <v>64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6</v>
      </c>
      <c r="P55" s="15">
        <f t="shared" si="1"/>
        <v>25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0</v>
      </c>
      <c r="E56" s="50">
        <v>0</v>
      </c>
      <c r="F56" s="50">
        <v>8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17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4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30</v>
      </c>
      <c r="N57" s="50">
        <v>0</v>
      </c>
      <c r="O57" s="15">
        <f t="shared" si="0"/>
        <v>6</v>
      </c>
      <c r="P57" s="15">
        <f t="shared" si="1"/>
        <v>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451</v>
      </c>
      <c r="D58" s="16">
        <f t="shared" si="21"/>
        <v>105</v>
      </c>
      <c r="E58" s="16">
        <f t="shared" si="21"/>
        <v>124</v>
      </c>
      <c r="F58" s="16">
        <f t="shared" si="21"/>
        <v>155</v>
      </c>
      <c r="G58" s="16">
        <f t="shared" si="21"/>
        <v>25</v>
      </c>
      <c r="H58" s="16">
        <f t="shared" si="21"/>
        <v>10</v>
      </c>
      <c r="I58" s="16">
        <f t="shared" si="21"/>
        <v>65</v>
      </c>
      <c r="J58" s="16">
        <f t="shared" si="21"/>
        <v>7</v>
      </c>
      <c r="K58" s="16">
        <f t="shared" si="21"/>
        <v>0</v>
      </c>
      <c r="L58" s="16">
        <f t="shared" si="21"/>
        <v>0</v>
      </c>
      <c r="M58" s="16">
        <f t="shared" si="21"/>
        <v>1654</v>
      </c>
      <c r="N58" s="16">
        <f t="shared" si="21"/>
        <v>0</v>
      </c>
      <c r="O58" s="16">
        <f t="shared" si="21"/>
        <v>942</v>
      </c>
      <c r="P58" s="16">
        <f t="shared" si="21"/>
        <v>2596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0.17372881355932204</v>
      </c>
      <c r="D59" s="43">
        <f t="shared" si="22"/>
        <v>4.0446841294298923E-2</v>
      </c>
      <c r="E59" s="43">
        <f t="shared" si="22"/>
        <v>4.7765793528505393E-2</v>
      </c>
      <c r="F59" s="43">
        <f t="shared" si="22"/>
        <v>5.9707241910631738E-2</v>
      </c>
      <c r="G59" s="43">
        <f t="shared" si="22"/>
        <v>9.6302003081664093E-3</v>
      </c>
      <c r="H59" s="43">
        <f t="shared" si="22"/>
        <v>3.852080123266564E-3</v>
      </c>
      <c r="I59" s="43">
        <f t="shared" si="22"/>
        <v>2.5038520801232665E-2</v>
      </c>
      <c r="J59" s="43">
        <f t="shared" si="22"/>
        <v>2.6964560862865949E-3</v>
      </c>
      <c r="K59" s="43">
        <f t="shared" si="22"/>
        <v>0</v>
      </c>
      <c r="L59" s="43">
        <f t="shared" si="22"/>
        <v>0</v>
      </c>
      <c r="M59" s="43">
        <f t="shared" si="22"/>
        <v>0.63713405238828968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0.47876857749469215</v>
      </c>
      <c r="D60" s="44">
        <f t="shared" ref="D60:N60" si="23">D58/$O$58</f>
        <v>0.11146496815286625</v>
      </c>
      <c r="E60" s="44">
        <f t="shared" si="23"/>
        <v>0.1316348195329087</v>
      </c>
      <c r="F60" s="44">
        <f t="shared" si="23"/>
        <v>0.16454352441613587</v>
      </c>
      <c r="G60" s="44">
        <f t="shared" si="23"/>
        <v>2.6539278131634821E-2</v>
      </c>
      <c r="H60" s="44">
        <f t="shared" si="23"/>
        <v>1.0615711252653927E-2</v>
      </c>
      <c r="I60" s="44">
        <f t="shared" si="23"/>
        <v>6.9002123142250529E-2</v>
      </c>
      <c r="J60" s="44">
        <f t="shared" si="23"/>
        <v>7.4309978768577496E-3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36" zoomScale="60" workbookViewId="0">
      <selection activeCell="E52" sqref="E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'31.07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'06.08 Koboko-Arua'!D5</f>
        <v>06.08.19</v>
      </c>
      <c r="E5" s="3"/>
      <c r="F5" s="41" t="s">
        <v>1</v>
      </c>
      <c r="G5" s="66" t="str">
        <f>'06.08 Koboko-Arua'!G5:H5</f>
        <v>xxx</v>
      </c>
      <c r="H5" s="67"/>
      <c r="I5" s="14"/>
      <c r="J5" s="2" t="s">
        <v>5</v>
      </c>
      <c r="K5" s="66" t="str">
        <f>'06.08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'31.07 Arua-Koboko'!D6:E6</f>
        <v>Arua</v>
      </c>
      <c r="E6" s="67"/>
      <c r="F6" s="2" t="s">
        <v>2</v>
      </c>
      <c r="G6" s="66" t="str">
        <f>'31.07 Arua-Koboko'!G6:H6</f>
        <v>Koboko</v>
      </c>
      <c r="H6" s="67"/>
      <c r="J6" s="2" t="s">
        <v>21</v>
      </c>
      <c r="K6" s="66" t="str">
        <f>'06.08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0</v>
      </c>
      <c r="E10" s="50">
        <v>0</v>
      </c>
      <c r="F10" s="50">
        <v>2</v>
      </c>
      <c r="G10" s="50">
        <v>1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35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51</v>
      </c>
      <c r="R10" s="1" t="s">
        <v>6</v>
      </c>
      <c r="S10" s="17">
        <f t="shared" ref="S10:AF10" si="2">SUM(C10:C13)</f>
        <v>70</v>
      </c>
      <c r="T10" s="17">
        <f t="shared" si="2"/>
        <v>6</v>
      </c>
      <c r="U10" s="17">
        <f t="shared" si="2"/>
        <v>17</v>
      </c>
      <c r="V10" s="17">
        <f t="shared" si="2"/>
        <v>5</v>
      </c>
      <c r="W10" s="17">
        <f t="shared" si="2"/>
        <v>6</v>
      </c>
      <c r="X10" s="17">
        <f t="shared" si="2"/>
        <v>0</v>
      </c>
      <c r="Y10" s="17">
        <f t="shared" si="2"/>
        <v>8</v>
      </c>
      <c r="Z10" s="17">
        <f t="shared" si="2"/>
        <v>5</v>
      </c>
      <c r="AA10" s="17">
        <f t="shared" si="2"/>
        <v>0</v>
      </c>
      <c r="AB10" s="17">
        <f t="shared" si="2"/>
        <v>4</v>
      </c>
      <c r="AC10" s="17">
        <f t="shared" si="2"/>
        <v>160</v>
      </c>
      <c r="AD10" s="17">
        <f t="shared" si="2"/>
        <v>0</v>
      </c>
      <c r="AE10" s="31">
        <f t="shared" si="2"/>
        <v>121</v>
      </c>
      <c r="AF10" s="31">
        <f t="shared" si="2"/>
        <v>281</v>
      </c>
    </row>
    <row r="11" spans="2:32" s="6" customFormat="1" ht="23.1" customHeight="1" x14ac:dyDescent="0.25">
      <c r="B11" s="23" t="s">
        <v>38</v>
      </c>
      <c r="C11" s="50">
        <v>25</v>
      </c>
      <c r="D11" s="50">
        <v>0</v>
      </c>
      <c r="E11" s="50">
        <v>0</v>
      </c>
      <c r="F11" s="50">
        <v>2</v>
      </c>
      <c r="G11" s="50">
        <v>3</v>
      </c>
      <c r="H11" s="50">
        <v>0</v>
      </c>
      <c r="I11" s="50">
        <v>1</v>
      </c>
      <c r="J11" s="50">
        <v>2</v>
      </c>
      <c r="K11" s="50">
        <v>0</v>
      </c>
      <c r="L11" s="50">
        <v>1</v>
      </c>
      <c r="M11" s="50">
        <v>50</v>
      </c>
      <c r="N11" s="50">
        <v>0</v>
      </c>
      <c r="O11" s="15">
        <f t="shared" si="0"/>
        <v>34</v>
      </c>
      <c r="P11" s="15">
        <f t="shared" si="1"/>
        <v>84</v>
      </c>
      <c r="R11" s="1" t="s">
        <v>7</v>
      </c>
      <c r="S11" s="17">
        <f t="shared" ref="S11:AF11" si="3">SUM(C14:C17)</f>
        <v>43</v>
      </c>
      <c r="T11" s="17">
        <f t="shared" si="3"/>
        <v>9</v>
      </c>
      <c r="U11" s="17">
        <f t="shared" si="3"/>
        <v>22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4</v>
      </c>
      <c r="AA11" s="17">
        <f t="shared" si="3"/>
        <v>0</v>
      </c>
      <c r="AB11" s="17">
        <f t="shared" si="3"/>
        <v>4</v>
      </c>
      <c r="AC11" s="17">
        <f t="shared" si="3"/>
        <v>134</v>
      </c>
      <c r="AD11" s="17">
        <f t="shared" si="3"/>
        <v>0</v>
      </c>
      <c r="AE11" s="31">
        <f t="shared" si="3"/>
        <v>97</v>
      </c>
      <c r="AF11" s="31">
        <f t="shared" si="3"/>
        <v>231</v>
      </c>
    </row>
    <row r="12" spans="2:32" ht="23.1" customHeight="1" x14ac:dyDescent="0.25">
      <c r="B12" s="23" t="s">
        <v>39</v>
      </c>
      <c r="C12" s="50">
        <v>20</v>
      </c>
      <c r="D12" s="50">
        <v>4</v>
      </c>
      <c r="E12" s="50">
        <v>11</v>
      </c>
      <c r="F12" s="50">
        <v>1</v>
      </c>
      <c r="G12" s="50">
        <v>2</v>
      </c>
      <c r="H12" s="50">
        <v>0</v>
      </c>
      <c r="I12" s="50">
        <v>2</v>
      </c>
      <c r="J12" s="50">
        <v>1</v>
      </c>
      <c r="K12" s="50">
        <v>0</v>
      </c>
      <c r="L12" s="50">
        <v>1</v>
      </c>
      <c r="M12" s="50">
        <v>40</v>
      </c>
      <c r="N12" s="50">
        <v>0</v>
      </c>
      <c r="O12" s="15">
        <f t="shared" si="0"/>
        <v>42</v>
      </c>
      <c r="P12" s="15">
        <f t="shared" si="1"/>
        <v>82</v>
      </c>
      <c r="R12" s="1" t="s">
        <v>8</v>
      </c>
      <c r="S12" s="17">
        <f t="shared" ref="S12:AF12" si="4">SUM(C18:C21)</f>
        <v>23</v>
      </c>
      <c r="T12" s="17">
        <f t="shared" si="4"/>
        <v>7</v>
      </c>
      <c r="U12" s="17">
        <f t="shared" si="4"/>
        <v>22</v>
      </c>
      <c r="V12" s="17">
        <f t="shared" si="4"/>
        <v>12</v>
      </c>
      <c r="W12" s="17">
        <f t="shared" si="4"/>
        <v>2</v>
      </c>
      <c r="X12" s="17">
        <f t="shared" si="4"/>
        <v>1</v>
      </c>
      <c r="Y12" s="17">
        <f t="shared" si="4"/>
        <v>1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137</v>
      </c>
      <c r="AD12" s="17">
        <f t="shared" si="4"/>
        <v>0</v>
      </c>
      <c r="AE12" s="31">
        <f t="shared" si="4"/>
        <v>71</v>
      </c>
      <c r="AF12" s="31">
        <f t="shared" si="4"/>
        <v>208</v>
      </c>
    </row>
    <row r="13" spans="2:32" ht="23.1" customHeight="1" x14ac:dyDescent="0.25">
      <c r="B13" s="23" t="s">
        <v>40</v>
      </c>
      <c r="C13" s="50">
        <v>15</v>
      </c>
      <c r="D13" s="50">
        <v>2</v>
      </c>
      <c r="E13" s="50">
        <v>6</v>
      </c>
      <c r="F13" s="50">
        <v>0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2</v>
      </c>
      <c r="M13" s="50">
        <v>35</v>
      </c>
      <c r="N13" s="50">
        <v>0</v>
      </c>
      <c r="O13" s="15">
        <f t="shared" si="0"/>
        <v>29</v>
      </c>
      <c r="P13" s="15">
        <f t="shared" si="1"/>
        <v>64</v>
      </c>
      <c r="R13" s="1" t="s">
        <v>9</v>
      </c>
      <c r="S13" s="17">
        <f t="shared" ref="S13:AF13" si="5">SUM(C22:C25)</f>
        <v>25</v>
      </c>
      <c r="T13" s="17">
        <f t="shared" si="5"/>
        <v>8</v>
      </c>
      <c r="U13" s="17">
        <f t="shared" si="5"/>
        <v>25</v>
      </c>
      <c r="V13" s="17">
        <f t="shared" si="5"/>
        <v>12</v>
      </c>
      <c r="W13" s="17">
        <f t="shared" si="5"/>
        <v>0</v>
      </c>
      <c r="X13" s="17">
        <f t="shared" si="5"/>
        <v>2</v>
      </c>
      <c r="Y13" s="17">
        <f t="shared" si="5"/>
        <v>7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179</v>
      </c>
      <c r="AD13" s="17">
        <f t="shared" si="5"/>
        <v>0</v>
      </c>
      <c r="AE13" s="31">
        <f t="shared" si="5"/>
        <v>83</v>
      </c>
      <c r="AF13" s="31">
        <f t="shared" si="5"/>
        <v>262</v>
      </c>
    </row>
    <row r="14" spans="2:32" ht="23.1" customHeight="1" x14ac:dyDescent="0.25">
      <c r="B14" s="23" t="s">
        <v>41</v>
      </c>
      <c r="C14" s="50">
        <v>10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2</v>
      </c>
      <c r="K14" s="50">
        <v>0</v>
      </c>
      <c r="L14" s="50">
        <v>3</v>
      </c>
      <c r="M14" s="50">
        <v>45</v>
      </c>
      <c r="N14" s="50">
        <v>0</v>
      </c>
      <c r="O14" s="15">
        <f t="shared" si="0"/>
        <v>17</v>
      </c>
      <c r="P14" s="15">
        <f t="shared" si="1"/>
        <v>62</v>
      </c>
      <c r="R14" s="1" t="s">
        <v>10</v>
      </c>
      <c r="S14" s="17">
        <f t="shared" ref="S14:AF14" si="6">SUM(C26:C29)</f>
        <v>41</v>
      </c>
      <c r="T14" s="17">
        <f t="shared" si="6"/>
        <v>6</v>
      </c>
      <c r="U14" s="17">
        <f t="shared" si="6"/>
        <v>20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2</v>
      </c>
      <c r="AA14" s="17">
        <f t="shared" si="6"/>
        <v>0</v>
      </c>
      <c r="AB14" s="17">
        <f t="shared" si="6"/>
        <v>2</v>
      </c>
      <c r="AC14" s="17">
        <f t="shared" si="6"/>
        <v>162</v>
      </c>
      <c r="AD14" s="17">
        <f t="shared" si="6"/>
        <v>0</v>
      </c>
      <c r="AE14" s="31">
        <f t="shared" si="6"/>
        <v>83</v>
      </c>
      <c r="AF14" s="31">
        <f t="shared" si="6"/>
        <v>245</v>
      </c>
    </row>
    <row r="15" spans="2:32" ht="23.1" customHeight="1" x14ac:dyDescent="0.25">
      <c r="B15" s="23" t="s">
        <v>42</v>
      </c>
      <c r="C15" s="50">
        <v>20</v>
      </c>
      <c r="D15" s="50">
        <v>3</v>
      </c>
      <c r="E15" s="50">
        <v>7</v>
      </c>
      <c r="F15" s="50">
        <v>3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1</v>
      </c>
      <c r="M15" s="50">
        <v>45</v>
      </c>
      <c r="N15" s="50">
        <v>0</v>
      </c>
      <c r="O15" s="15">
        <f t="shared" si="0"/>
        <v>37</v>
      </c>
      <c r="P15" s="15">
        <f t="shared" si="1"/>
        <v>82</v>
      </c>
      <c r="R15" s="1" t="s">
        <v>11</v>
      </c>
      <c r="S15" s="17">
        <f t="shared" ref="S15:AF15" si="7">SUM(C30:C33)</f>
        <v>31</v>
      </c>
      <c r="T15" s="17">
        <f t="shared" si="7"/>
        <v>7</v>
      </c>
      <c r="U15" s="17">
        <f t="shared" si="7"/>
        <v>22</v>
      </c>
      <c r="V15" s="17">
        <f t="shared" si="7"/>
        <v>13</v>
      </c>
      <c r="W15" s="17">
        <f t="shared" si="7"/>
        <v>2</v>
      </c>
      <c r="X15" s="17">
        <f t="shared" si="7"/>
        <v>1</v>
      </c>
      <c r="Y15" s="17">
        <f t="shared" si="7"/>
        <v>8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129</v>
      </c>
      <c r="AD15" s="17">
        <f t="shared" si="7"/>
        <v>0</v>
      </c>
      <c r="AE15" s="31">
        <f t="shared" si="7"/>
        <v>88</v>
      </c>
      <c r="AF15" s="31">
        <f t="shared" si="7"/>
        <v>217</v>
      </c>
    </row>
    <row r="16" spans="2:32" ht="23.1" customHeight="1" x14ac:dyDescent="0.25">
      <c r="B16" s="23" t="s">
        <v>43</v>
      </c>
      <c r="C16" s="50">
        <v>9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10</v>
      </c>
      <c r="P16" s="15">
        <f t="shared" si="1"/>
        <v>29</v>
      </c>
      <c r="R16" s="1" t="s">
        <v>12</v>
      </c>
      <c r="S16" s="17">
        <f t="shared" ref="S16:AF16" si="8">SUM(C34:C37)</f>
        <v>20</v>
      </c>
      <c r="T16" s="17">
        <f t="shared" si="8"/>
        <v>2</v>
      </c>
      <c r="U16" s="17">
        <f t="shared" si="8"/>
        <v>8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151</v>
      </c>
      <c r="AD16" s="17">
        <f t="shared" si="8"/>
        <v>0</v>
      </c>
      <c r="AE16" s="31">
        <f t="shared" si="8"/>
        <v>45</v>
      </c>
      <c r="AF16" s="31">
        <f t="shared" si="8"/>
        <v>196</v>
      </c>
    </row>
    <row r="17" spans="2:32" ht="23.1" customHeight="1" x14ac:dyDescent="0.25">
      <c r="B17" s="23" t="s">
        <v>44</v>
      </c>
      <c r="C17" s="50">
        <v>4</v>
      </c>
      <c r="D17" s="50">
        <v>6</v>
      </c>
      <c r="E17" s="50">
        <v>15</v>
      </c>
      <c r="F17" s="50">
        <v>2</v>
      </c>
      <c r="G17" s="50">
        <v>0</v>
      </c>
      <c r="H17" s="50">
        <v>0</v>
      </c>
      <c r="I17" s="50">
        <v>5</v>
      </c>
      <c r="J17" s="50">
        <v>1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33</v>
      </c>
      <c r="P17" s="15">
        <f t="shared" si="1"/>
        <v>58</v>
      </c>
      <c r="R17" s="1" t="s">
        <v>13</v>
      </c>
      <c r="S17" s="17">
        <f t="shared" ref="S17:AF17" si="9">SUM(C38:C41)</f>
        <v>25</v>
      </c>
      <c r="T17" s="17">
        <f t="shared" si="9"/>
        <v>3</v>
      </c>
      <c r="U17" s="17">
        <f t="shared" si="9"/>
        <v>11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125</v>
      </c>
      <c r="AD17" s="17">
        <f t="shared" si="9"/>
        <v>0</v>
      </c>
      <c r="AE17" s="31">
        <f t="shared" si="9"/>
        <v>55</v>
      </c>
      <c r="AF17" s="31">
        <f t="shared" si="9"/>
        <v>180</v>
      </c>
    </row>
    <row r="18" spans="2:32" ht="23.1" customHeight="1" x14ac:dyDescent="0.25">
      <c r="B18" s="23" t="s">
        <v>45</v>
      </c>
      <c r="C18" s="50">
        <v>7</v>
      </c>
      <c r="D18" s="50">
        <v>2</v>
      </c>
      <c r="E18" s="50">
        <v>5</v>
      </c>
      <c r="F18" s="50">
        <v>4</v>
      </c>
      <c r="G18" s="50">
        <v>1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24</v>
      </c>
      <c r="N18" s="50">
        <v>0</v>
      </c>
      <c r="O18" s="15">
        <f t="shared" si="0"/>
        <v>20</v>
      </c>
      <c r="P18" s="15">
        <f t="shared" si="1"/>
        <v>44</v>
      </c>
      <c r="R18" s="1" t="s">
        <v>14</v>
      </c>
      <c r="S18" s="17">
        <f t="shared" ref="S18:AF18" si="10">SUM(C42:C45)</f>
        <v>30</v>
      </c>
      <c r="T18" s="17">
        <f t="shared" si="10"/>
        <v>5</v>
      </c>
      <c r="U18" s="17">
        <f t="shared" si="10"/>
        <v>14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143</v>
      </c>
      <c r="AD18" s="17">
        <f t="shared" si="10"/>
        <v>0</v>
      </c>
      <c r="AE18" s="31">
        <f t="shared" si="10"/>
        <v>67</v>
      </c>
      <c r="AF18" s="31">
        <f t="shared" si="10"/>
        <v>210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22</v>
      </c>
      <c r="N19" s="50">
        <v>0</v>
      </c>
      <c r="O19" s="15">
        <f t="shared" si="0"/>
        <v>7</v>
      </c>
      <c r="P19" s="15">
        <f t="shared" si="1"/>
        <v>29</v>
      </c>
      <c r="R19" s="1" t="s">
        <v>15</v>
      </c>
      <c r="S19" s="17">
        <f t="shared" ref="S19:AF19" si="11">SUM(C46:C49)</f>
        <v>32</v>
      </c>
      <c r="T19" s="17">
        <f t="shared" si="11"/>
        <v>1</v>
      </c>
      <c r="U19" s="17">
        <f t="shared" si="11"/>
        <v>5</v>
      </c>
      <c r="V19" s="17">
        <f t="shared" si="11"/>
        <v>6</v>
      </c>
      <c r="W19" s="17">
        <f t="shared" si="11"/>
        <v>0</v>
      </c>
      <c r="X19" s="17">
        <f t="shared" si="11"/>
        <v>1</v>
      </c>
      <c r="Y19" s="17">
        <f t="shared" si="11"/>
        <v>4</v>
      </c>
      <c r="Z19" s="17">
        <f t="shared" si="11"/>
        <v>4</v>
      </c>
      <c r="AA19" s="17">
        <f t="shared" si="11"/>
        <v>0</v>
      </c>
      <c r="AB19" s="17">
        <f t="shared" si="11"/>
        <v>5</v>
      </c>
      <c r="AC19" s="17">
        <f t="shared" si="11"/>
        <v>160</v>
      </c>
      <c r="AD19" s="17">
        <f t="shared" si="11"/>
        <v>0</v>
      </c>
      <c r="AE19" s="31">
        <f t="shared" si="11"/>
        <v>58</v>
      </c>
      <c r="AF19" s="31">
        <f t="shared" si="11"/>
        <v>218</v>
      </c>
    </row>
    <row r="20" spans="2:32" ht="23.1" customHeight="1" x14ac:dyDescent="0.25">
      <c r="B20" s="23" t="s">
        <v>47</v>
      </c>
      <c r="C20" s="50">
        <v>3</v>
      </c>
      <c r="D20" s="50">
        <v>3</v>
      </c>
      <c r="E20" s="50">
        <v>10</v>
      </c>
      <c r="F20" s="50">
        <v>2</v>
      </c>
      <c r="G20" s="50">
        <v>1</v>
      </c>
      <c r="H20" s="50">
        <v>1</v>
      </c>
      <c r="I20" s="50">
        <v>0</v>
      </c>
      <c r="J20" s="50">
        <v>1</v>
      </c>
      <c r="K20" s="50">
        <v>0</v>
      </c>
      <c r="L20" s="50">
        <v>0</v>
      </c>
      <c r="M20" s="50">
        <v>45</v>
      </c>
      <c r="N20" s="50">
        <v>0</v>
      </c>
      <c r="O20" s="15">
        <f t="shared" si="0"/>
        <v>21</v>
      </c>
      <c r="P20" s="15">
        <f t="shared" si="1"/>
        <v>66</v>
      </c>
      <c r="R20" s="1" t="s">
        <v>16</v>
      </c>
      <c r="S20" s="17">
        <f t="shared" ref="S20:AF20" si="12">SUM(C50:C53)</f>
        <v>20</v>
      </c>
      <c r="T20" s="17">
        <f t="shared" si="12"/>
        <v>2</v>
      </c>
      <c r="U20" s="17">
        <f t="shared" si="12"/>
        <v>6</v>
      </c>
      <c r="V20" s="17">
        <f t="shared" si="12"/>
        <v>2</v>
      </c>
      <c r="W20" s="17">
        <f t="shared" si="12"/>
        <v>4</v>
      </c>
      <c r="X20" s="17">
        <f t="shared" si="12"/>
        <v>1</v>
      </c>
      <c r="Y20" s="17">
        <f t="shared" si="12"/>
        <v>5</v>
      </c>
      <c r="Z20" s="17">
        <f t="shared" si="12"/>
        <v>3</v>
      </c>
      <c r="AA20" s="17">
        <f t="shared" si="12"/>
        <v>1</v>
      </c>
      <c r="AB20" s="17">
        <f t="shared" si="12"/>
        <v>4</v>
      </c>
      <c r="AC20" s="17">
        <f t="shared" si="12"/>
        <v>101</v>
      </c>
      <c r="AD20" s="17">
        <f t="shared" si="12"/>
        <v>0</v>
      </c>
      <c r="AE20" s="31">
        <f t="shared" si="12"/>
        <v>48</v>
      </c>
      <c r="AF20" s="31">
        <f t="shared" si="12"/>
        <v>149</v>
      </c>
    </row>
    <row r="21" spans="2:32" ht="23.1" customHeight="1" x14ac:dyDescent="0.25">
      <c r="B21" s="23" t="s">
        <v>48</v>
      </c>
      <c r="C21" s="50">
        <v>9</v>
      </c>
      <c r="D21" s="50">
        <v>2</v>
      </c>
      <c r="E21" s="50">
        <v>7</v>
      </c>
      <c r="F21" s="50">
        <v>4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46</v>
      </c>
      <c r="N21" s="50">
        <v>0</v>
      </c>
      <c r="O21" s="15">
        <f t="shared" si="0"/>
        <v>23</v>
      </c>
      <c r="P21" s="15">
        <f t="shared" si="1"/>
        <v>69</v>
      </c>
      <c r="R21" s="36" t="s">
        <v>20</v>
      </c>
      <c r="S21" s="34">
        <f t="shared" ref="S21:AF21" si="13">SUM(C54:C57)</f>
        <v>24</v>
      </c>
      <c r="T21" s="17">
        <f t="shared" si="13"/>
        <v>4</v>
      </c>
      <c r="U21" s="17">
        <f t="shared" si="13"/>
        <v>12</v>
      </c>
      <c r="V21" s="17">
        <f t="shared" si="13"/>
        <v>3</v>
      </c>
      <c r="W21" s="17">
        <f t="shared" si="13"/>
        <v>2</v>
      </c>
      <c r="X21" s="17">
        <f t="shared" si="13"/>
        <v>0</v>
      </c>
      <c r="Y21" s="17">
        <f t="shared" si="13"/>
        <v>4</v>
      </c>
      <c r="Z21" s="17">
        <f t="shared" si="13"/>
        <v>11</v>
      </c>
      <c r="AA21" s="17">
        <f t="shared" si="13"/>
        <v>1</v>
      </c>
      <c r="AB21" s="17">
        <f t="shared" si="13"/>
        <v>4</v>
      </c>
      <c r="AC21" s="17">
        <f t="shared" si="13"/>
        <v>150</v>
      </c>
      <c r="AD21" s="17">
        <f t="shared" si="13"/>
        <v>0</v>
      </c>
      <c r="AE21" s="31">
        <f t="shared" si="13"/>
        <v>65</v>
      </c>
      <c r="AF21" s="31">
        <f t="shared" si="13"/>
        <v>215</v>
      </c>
    </row>
    <row r="22" spans="2:32" ht="23.1" customHeight="1" x14ac:dyDescent="0.25">
      <c r="B22" s="23" t="s">
        <v>49</v>
      </c>
      <c r="C22" s="50">
        <v>9</v>
      </c>
      <c r="D22" s="50">
        <v>3</v>
      </c>
      <c r="E22" s="50">
        <v>8</v>
      </c>
      <c r="F22" s="50">
        <v>6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41</v>
      </c>
      <c r="N22" s="50">
        <v>0</v>
      </c>
      <c r="O22" s="15">
        <f t="shared" si="0"/>
        <v>29</v>
      </c>
      <c r="P22" s="15">
        <f t="shared" si="1"/>
        <v>70</v>
      </c>
      <c r="R22" s="38" t="s">
        <v>90</v>
      </c>
      <c r="S22" s="39">
        <f>MAX(S10:S12)</f>
        <v>70</v>
      </c>
      <c r="T22" s="39">
        <f t="shared" ref="T22:AF22" si="14">MAX(T10:T12)</f>
        <v>9</v>
      </c>
      <c r="U22" s="39">
        <f t="shared" si="14"/>
        <v>22</v>
      </c>
      <c r="V22" s="39">
        <f t="shared" si="14"/>
        <v>12</v>
      </c>
      <c r="W22" s="39">
        <f t="shared" si="14"/>
        <v>6</v>
      </c>
      <c r="X22" s="39">
        <f t="shared" si="14"/>
        <v>1</v>
      </c>
      <c r="Y22" s="39">
        <f t="shared" si="14"/>
        <v>9</v>
      </c>
      <c r="Z22" s="39">
        <f t="shared" si="14"/>
        <v>5</v>
      </c>
      <c r="AA22" s="39">
        <f t="shared" si="14"/>
        <v>0</v>
      </c>
      <c r="AB22" s="39">
        <f t="shared" si="14"/>
        <v>4</v>
      </c>
      <c r="AC22" s="39">
        <f t="shared" si="14"/>
        <v>160</v>
      </c>
      <c r="AD22" s="39">
        <f t="shared" si="14"/>
        <v>0</v>
      </c>
      <c r="AE22" s="40">
        <f t="shared" si="14"/>
        <v>121</v>
      </c>
      <c r="AF22" s="40">
        <f t="shared" si="14"/>
        <v>281</v>
      </c>
    </row>
    <row r="23" spans="2:32" ht="23.1" customHeight="1" x14ac:dyDescent="0.25">
      <c r="B23" s="23" t="s">
        <v>50</v>
      </c>
      <c r="C23" s="50">
        <v>7</v>
      </c>
      <c r="D23" s="50">
        <v>3</v>
      </c>
      <c r="E23" s="50">
        <v>9</v>
      </c>
      <c r="F23" s="50">
        <v>4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45</v>
      </c>
      <c r="N23" s="50">
        <v>0</v>
      </c>
      <c r="O23" s="15">
        <f t="shared" si="0"/>
        <v>25</v>
      </c>
      <c r="P23" s="15">
        <f t="shared" si="1"/>
        <v>70</v>
      </c>
      <c r="R23" s="38" t="s">
        <v>91</v>
      </c>
      <c r="S23" s="39">
        <f>MAX(S13:S18)</f>
        <v>41</v>
      </c>
      <c r="T23" s="39">
        <f t="shared" ref="T23:AF23" si="15">MAX(T13:T18)</f>
        <v>8</v>
      </c>
      <c r="U23" s="39">
        <f t="shared" si="15"/>
        <v>25</v>
      </c>
      <c r="V23" s="39">
        <f t="shared" si="15"/>
        <v>13</v>
      </c>
      <c r="W23" s="39">
        <f t="shared" si="15"/>
        <v>2</v>
      </c>
      <c r="X23" s="39">
        <f t="shared" si="15"/>
        <v>2</v>
      </c>
      <c r="Y23" s="39">
        <f t="shared" si="15"/>
        <v>8</v>
      </c>
      <c r="Z23" s="39">
        <f t="shared" si="15"/>
        <v>4</v>
      </c>
      <c r="AA23" s="39">
        <f t="shared" si="15"/>
        <v>0</v>
      </c>
      <c r="AB23" s="39">
        <f t="shared" si="15"/>
        <v>2</v>
      </c>
      <c r="AC23" s="39">
        <f t="shared" si="15"/>
        <v>179</v>
      </c>
      <c r="AD23" s="39">
        <f t="shared" si="15"/>
        <v>0</v>
      </c>
      <c r="AE23" s="40">
        <f t="shared" si="15"/>
        <v>88</v>
      </c>
      <c r="AF23" s="40">
        <f t="shared" si="15"/>
        <v>262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5</v>
      </c>
      <c r="F24" s="50">
        <v>0</v>
      </c>
      <c r="G24" s="50">
        <v>0</v>
      </c>
      <c r="H24" s="50">
        <v>1</v>
      </c>
      <c r="I24" s="50">
        <v>1</v>
      </c>
      <c r="J24" s="50">
        <v>2</v>
      </c>
      <c r="K24" s="50">
        <v>0</v>
      </c>
      <c r="L24" s="50">
        <v>1</v>
      </c>
      <c r="M24" s="50">
        <v>55</v>
      </c>
      <c r="N24" s="50">
        <v>0</v>
      </c>
      <c r="O24" s="15">
        <f t="shared" si="0"/>
        <v>16</v>
      </c>
      <c r="P24" s="15">
        <f t="shared" si="1"/>
        <v>71</v>
      </c>
      <c r="R24" s="38" t="s">
        <v>92</v>
      </c>
      <c r="S24" s="39">
        <f>MAX(S19:S21)</f>
        <v>32</v>
      </c>
      <c r="T24" s="39">
        <f t="shared" ref="T24:AF24" si="16">MAX(T19:T21)</f>
        <v>4</v>
      </c>
      <c r="U24" s="39">
        <f t="shared" si="16"/>
        <v>12</v>
      </c>
      <c r="V24" s="39">
        <f t="shared" si="16"/>
        <v>6</v>
      </c>
      <c r="W24" s="39">
        <f t="shared" si="16"/>
        <v>4</v>
      </c>
      <c r="X24" s="39">
        <f t="shared" si="16"/>
        <v>1</v>
      </c>
      <c r="Y24" s="39">
        <f t="shared" si="16"/>
        <v>5</v>
      </c>
      <c r="Z24" s="39">
        <f t="shared" si="16"/>
        <v>11</v>
      </c>
      <c r="AA24" s="39">
        <f t="shared" si="16"/>
        <v>1</v>
      </c>
      <c r="AB24" s="39">
        <f t="shared" si="16"/>
        <v>5</v>
      </c>
      <c r="AC24" s="39">
        <f t="shared" si="16"/>
        <v>160</v>
      </c>
      <c r="AD24" s="39">
        <f t="shared" si="16"/>
        <v>0</v>
      </c>
      <c r="AE24" s="40">
        <f t="shared" si="16"/>
        <v>65</v>
      </c>
      <c r="AF24" s="40">
        <f t="shared" si="16"/>
        <v>218</v>
      </c>
    </row>
    <row r="25" spans="2:32" ht="23.1" customHeight="1" x14ac:dyDescent="0.25">
      <c r="B25" s="23" t="s">
        <v>52</v>
      </c>
      <c r="C25" s="50">
        <v>4</v>
      </c>
      <c r="D25" s="50">
        <v>1</v>
      </c>
      <c r="E25" s="50">
        <v>3</v>
      </c>
      <c r="F25" s="50">
        <v>2</v>
      </c>
      <c r="G25" s="50">
        <v>0</v>
      </c>
      <c r="H25" s="50">
        <v>1</v>
      </c>
      <c r="I25" s="50">
        <v>2</v>
      </c>
      <c r="J25" s="50">
        <v>0</v>
      </c>
      <c r="K25" s="50">
        <v>0</v>
      </c>
      <c r="L25" s="50">
        <v>0</v>
      </c>
      <c r="M25" s="50">
        <v>38</v>
      </c>
      <c r="N25" s="50">
        <v>0</v>
      </c>
      <c r="O25" s="15">
        <f t="shared" si="0"/>
        <v>13</v>
      </c>
      <c r="P25" s="15">
        <f t="shared" si="1"/>
        <v>51</v>
      </c>
      <c r="R25" s="37" t="s">
        <v>85</v>
      </c>
      <c r="S25" s="35">
        <f t="shared" ref="S25:AF25" si="17">SUM(S10:S12)</f>
        <v>136</v>
      </c>
      <c r="T25" s="16">
        <f t="shared" si="17"/>
        <v>22</v>
      </c>
      <c r="U25" s="16">
        <f t="shared" si="17"/>
        <v>61</v>
      </c>
      <c r="V25" s="16">
        <f t="shared" si="17"/>
        <v>23</v>
      </c>
      <c r="W25" s="16">
        <f t="shared" si="17"/>
        <v>8</v>
      </c>
      <c r="X25" s="16">
        <f t="shared" si="17"/>
        <v>1</v>
      </c>
      <c r="Y25" s="16">
        <f t="shared" si="17"/>
        <v>18</v>
      </c>
      <c r="Z25" s="16">
        <f t="shared" si="17"/>
        <v>12</v>
      </c>
      <c r="AA25" s="16">
        <f t="shared" si="17"/>
        <v>0</v>
      </c>
      <c r="AB25" s="16">
        <f t="shared" si="17"/>
        <v>8</v>
      </c>
      <c r="AC25" s="16">
        <f t="shared" si="17"/>
        <v>431</v>
      </c>
      <c r="AD25" s="16">
        <f t="shared" si="17"/>
        <v>0</v>
      </c>
      <c r="AE25" s="32">
        <f t="shared" si="17"/>
        <v>289</v>
      </c>
      <c r="AF25" s="32">
        <f t="shared" si="17"/>
        <v>720</v>
      </c>
    </row>
    <row r="26" spans="2:32" ht="23.1" customHeight="1" x14ac:dyDescent="0.25">
      <c r="B26" s="23" t="s">
        <v>53</v>
      </c>
      <c r="C26" s="50">
        <v>9</v>
      </c>
      <c r="D26" s="50">
        <v>2</v>
      </c>
      <c r="E26" s="50">
        <v>7</v>
      </c>
      <c r="F26" s="50">
        <v>2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2</v>
      </c>
      <c r="M26" s="50">
        <v>52</v>
      </c>
      <c r="N26" s="50">
        <v>0</v>
      </c>
      <c r="O26" s="15">
        <f t="shared" si="0"/>
        <v>24</v>
      </c>
      <c r="P26" s="15">
        <f t="shared" si="1"/>
        <v>76</v>
      </c>
      <c r="R26" s="28" t="s">
        <v>86</v>
      </c>
      <c r="S26" s="16">
        <f t="shared" ref="S26:AF26" si="18">SUM(S13:S18)</f>
        <v>172</v>
      </c>
      <c r="T26" s="16">
        <f t="shared" si="18"/>
        <v>31</v>
      </c>
      <c r="U26" s="16">
        <f t="shared" si="18"/>
        <v>100</v>
      </c>
      <c r="V26" s="16">
        <f t="shared" si="18"/>
        <v>46</v>
      </c>
      <c r="W26" s="16">
        <f t="shared" si="18"/>
        <v>2</v>
      </c>
      <c r="X26" s="16">
        <f t="shared" si="18"/>
        <v>3</v>
      </c>
      <c r="Y26" s="16">
        <f t="shared" si="18"/>
        <v>45</v>
      </c>
      <c r="Z26" s="16">
        <f t="shared" si="18"/>
        <v>17</v>
      </c>
      <c r="AA26" s="16">
        <f t="shared" si="18"/>
        <v>0</v>
      </c>
      <c r="AB26" s="16">
        <f t="shared" si="18"/>
        <v>5</v>
      </c>
      <c r="AC26" s="16">
        <f t="shared" si="18"/>
        <v>889</v>
      </c>
      <c r="AD26" s="16">
        <f t="shared" si="18"/>
        <v>0</v>
      </c>
      <c r="AE26" s="32">
        <f t="shared" si="18"/>
        <v>421</v>
      </c>
      <c r="AF26" s="32">
        <f t="shared" si="18"/>
        <v>1310</v>
      </c>
    </row>
    <row r="27" spans="2:32" ht="23.1" customHeight="1" x14ac:dyDescent="0.25">
      <c r="B27" s="23" t="s">
        <v>54</v>
      </c>
      <c r="C27" s="50">
        <v>16</v>
      </c>
      <c r="D27" s="50">
        <v>3</v>
      </c>
      <c r="E27" s="50">
        <v>10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38</v>
      </c>
      <c r="N27" s="50">
        <v>0</v>
      </c>
      <c r="O27" s="15">
        <f t="shared" si="0"/>
        <v>30</v>
      </c>
      <c r="P27" s="15">
        <f t="shared" si="1"/>
        <v>68</v>
      </c>
      <c r="R27" s="29" t="s">
        <v>87</v>
      </c>
      <c r="S27" s="16">
        <f t="shared" ref="S27:AF27" si="19">SUM(S19:S21)</f>
        <v>76</v>
      </c>
      <c r="T27" s="16">
        <f t="shared" si="19"/>
        <v>7</v>
      </c>
      <c r="U27" s="16">
        <f t="shared" si="19"/>
        <v>23</v>
      </c>
      <c r="V27" s="16">
        <f t="shared" si="19"/>
        <v>11</v>
      </c>
      <c r="W27" s="16">
        <f t="shared" si="19"/>
        <v>6</v>
      </c>
      <c r="X27" s="16">
        <f t="shared" si="19"/>
        <v>2</v>
      </c>
      <c r="Y27" s="16">
        <f t="shared" si="19"/>
        <v>13</v>
      </c>
      <c r="Z27" s="16">
        <f t="shared" si="19"/>
        <v>18</v>
      </c>
      <c r="AA27" s="16">
        <f t="shared" si="19"/>
        <v>2</v>
      </c>
      <c r="AB27" s="16">
        <f t="shared" si="19"/>
        <v>13</v>
      </c>
      <c r="AC27" s="16">
        <f t="shared" si="19"/>
        <v>411</v>
      </c>
      <c r="AD27" s="16">
        <f t="shared" si="19"/>
        <v>0</v>
      </c>
      <c r="AE27" s="32">
        <f t="shared" si="19"/>
        <v>171</v>
      </c>
      <c r="AF27" s="32">
        <f t="shared" si="19"/>
        <v>582</v>
      </c>
    </row>
    <row r="28" spans="2:32" ht="23.1" customHeight="1" x14ac:dyDescent="0.25">
      <c r="B28" s="23" t="s">
        <v>55</v>
      </c>
      <c r="C28" s="50">
        <v>11</v>
      </c>
      <c r="D28" s="50">
        <v>1</v>
      </c>
      <c r="E28" s="50">
        <v>3</v>
      </c>
      <c r="F28" s="50">
        <v>0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39</v>
      </c>
      <c r="N28" s="50">
        <v>0</v>
      </c>
      <c r="O28" s="15">
        <f t="shared" si="0"/>
        <v>19</v>
      </c>
      <c r="P28" s="15">
        <f t="shared" si="1"/>
        <v>58</v>
      </c>
      <c r="R28" s="5" t="s">
        <v>17</v>
      </c>
      <c r="S28" s="16">
        <f t="shared" ref="S28:AF28" si="20">SUM(S10:S21)</f>
        <v>384</v>
      </c>
      <c r="T28" s="16">
        <f t="shared" si="20"/>
        <v>60</v>
      </c>
      <c r="U28" s="16">
        <f t="shared" si="20"/>
        <v>184</v>
      </c>
      <c r="V28" s="16">
        <f t="shared" si="20"/>
        <v>80</v>
      </c>
      <c r="W28" s="16">
        <f t="shared" si="20"/>
        <v>16</v>
      </c>
      <c r="X28" s="16">
        <f t="shared" si="20"/>
        <v>6</v>
      </c>
      <c r="Y28" s="16">
        <f t="shared" si="20"/>
        <v>76</v>
      </c>
      <c r="Z28" s="16">
        <f t="shared" si="20"/>
        <v>47</v>
      </c>
      <c r="AA28" s="16">
        <f t="shared" si="20"/>
        <v>2</v>
      </c>
      <c r="AB28" s="16">
        <f t="shared" si="20"/>
        <v>26</v>
      </c>
      <c r="AC28" s="16">
        <f t="shared" si="20"/>
        <v>1731</v>
      </c>
      <c r="AD28" s="16">
        <f t="shared" si="20"/>
        <v>0</v>
      </c>
      <c r="AE28" s="32">
        <f t="shared" si="20"/>
        <v>881</v>
      </c>
      <c r="AF28" s="32">
        <f t="shared" si="20"/>
        <v>2612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33</v>
      </c>
      <c r="N29" s="50">
        <v>0</v>
      </c>
      <c r="O29" s="15">
        <f t="shared" si="0"/>
        <v>10</v>
      </c>
      <c r="P29" s="15">
        <f t="shared" si="1"/>
        <v>43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3</v>
      </c>
      <c r="E30" s="50">
        <v>8</v>
      </c>
      <c r="F30" s="50">
        <v>9</v>
      </c>
      <c r="G30" s="50">
        <v>0</v>
      </c>
      <c r="H30" s="50">
        <v>0</v>
      </c>
      <c r="I30" s="50">
        <v>1</v>
      </c>
      <c r="J30" s="50">
        <v>3</v>
      </c>
      <c r="K30" s="50">
        <v>0</v>
      </c>
      <c r="L30" s="50">
        <v>0</v>
      </c>
      <c r="M30" s="50">
        <v>36</v>
      </c>
      <c r="N30" s="50">
        <v>0</v>
      </c>
      <c r="O30" s="15">
        <f t="shared" si="0"/>
        <v>41</v>
      </c>
      <c r="P30" s="15">
        <f t="shared" si="1"/>
        <v>77</v>
      </c>
    </row>
    <row r="31" spans="2:32" ht="23.1" customHeight="1" x14ac:dyDescent="0.25">
      <c r="B31" s="24" t="s">
        <v>58</v>
      </c>
      <c r="C31" s="50">
        <v>5</v>
      </c>
      <c r="D31" s="50">
        <v>3</v>
      </c>
      <c r="E31" s="50">
        <v>9</v>
      </c>
      <c r="F31" s="50">
        <v>2</v>
      </c>
      <c r="G31" s="50">
        <v>1</v>
      </c>
      <c r="H31" s="50">
        <v>1</v>
      </c>
      <c r="I31" s="50">
        <v>6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27</v>
      </c>
      <c r="P31" s="15">
        <f t="shared" si="1"/>
        <v>54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5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45</v>
      </c>
      <c r="N32" s="50">
        <v>0</v>
      </c>
      <c r="O32" s="15">
        <f t="shared" si="0"/>
        <v>13</v>
      </c>
      <c r="P32" s="15">
        <f t="shared" si="1"/>
        <v>58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0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1</v>
      </c>
      <c r="M33" s="50">
        <v>21</v>
      </c>
      <c r="N33" s="50">
        <v>0</v>
      </c>
      <c r="O33" s="15">
        <f t="shared" si="0"/>
        <v>7</v>
      </c>
      <c r="P33" s="15">
        <f t="shared" si="1"/>
        <v>28</v>
      </c>
    </row>
    <row r="34" spans="2:20" ht="23.1" customHeight="1" x14ac:dyDescent="0.25">
      <c r="B34" s="24" t="s">
        <v>61</v>
      </c>
      <c r="C34" s="50">
        <v>9</v>
      </c>
      <c r="D34" s="50">
        <v>1</v>
      </c>
      <c r="E34" s="50">
        <v>5</v>
      </c>
      <c r="F34" s="50">
        <v>1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44</v>
      </c>
      <c r="N34" s="50">
        <v>0</v>
      </c>
      <c r="O34" s="15">
        <f t="shared" si="0"/>
        <v>18</v>
      </c>
      <c r="P34" s="15">
        <f t="shared" si="1"/>
        <v>62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/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3</v>
      </c>
      <c r="P35" s="15">
        <f t="shared" si="1"/>
        <v>33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0</v>
      </c>
      <c r="M36" s="50">
        <v>40</v>
      </c>
      <c r="N36" s="50">
        <v>0</v>
      </c>
      <c r="O36" s="15">
        <f t="shared" si="0"/>
        <v>11</v>
      </c>
      <c r="P36" s="15">
        <f t="shared" si="1"/>
        <v>51</v>
      </c>
    </row>
    <row r="37" spans="2:20" ht="23.1" customHeight="1" x14ac:dyDescent="0.25">
      <c r="B37" s="23" t="s">
        <v>64</v>
      </c>
      <c r="C37" s="50">
        <v>7</v>
      </c>
      <c r="D37" s="50">
        <v>1</v>
      </c>
      <c r="E37" s="50">
        <v>3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37</v>
      </c>
      <c r="N37" s="50">
        <v>0</v>
      </c>
      <c r="O37" s="15">
        <f t="shared" si="0"/>
        <v>13</v>
      </c>
      <c r="P37" s="15">
        <f t="shared" si="1"/>
        <v>50</v>
      </c>
    </row>
    <row r="38" spans="2:20" ht="23.1" customHeight="1" x14ac:dyDescent="0.25">
      <c r="B38" s="24" t="s">
        <v>65</v>
      </c>
      <c r="C38" s="50">
        <v>5</v>
      </c>
      <c r="D38" s="50">
        <v>1</v>
      </c>
      <c r="E38" s="50">
        <v>3</v>
      </c>
      <c r="F38" s="50">
        <v>1</v>
      </c>
      <c r="G38" s="50">
        <v>0</v>
      </c>
      <c r="H38" s="50">
        <v>0</v>
      </c>
      <c r="I38" s="50">
        <v>4</v>
      </c>
      <c r="J38" s="50">
        <v>1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15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7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30</v>
      </c>
      <c r="N39" s="50">
        <v>0</v>
      </c>
      <c r="O39" s="15">
        <f t="shared" si="0"/>
        <v>10</v>
      </c>
      <c r="P39" s="15">
        <f t="shared" si="1"/>
        <v>40</v>
      </c>
    </row>
    <row r="40" spans="2:20" ht="23.1" customHeight="1" x14ac:dyDescent="0.25">
      <c r="B40" s="24" t="s">
        <v>67</v>
      </c>
      <c r="C40" s="50">
        <v>8</v>
      </c>
      <c r="D40" s="50">
        <v>1</v>
      </c>
      <c r="E40" s="50">
        <v>3</v>
      </c>
      <c r="F40" s="50">
        <v>1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16</v>
      </c>
      <c r="P40" s="15">
        <f t="shared" si="1"/>
        <v>61</v>
      </c>
    </row>
    <row r="41" spans="2:20" ht="23.1" customHeight="1" x14ac:dyDescent="0.25">
      <c r="B41" s="23" t="s">
        <v>68</v>
      </c>
      <c r="C41" s="50">
        <v>5</v>
      </c>
      <c r="D41" s="50">
        <v>1</v>
      </c>
      <c r="E41" s="50">
        <v>5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14</v>
      </c>
      <c r="P41" s="15">
        <f t="shared" si="1"/>
        <v>49</v>
      </c>
    </row>
    <row r="42" spans="2:20" ht="23.1" customHeight="1" x14ac:dyDescent="0.25">
      <c r="B42" s="24" t="s">
        <v>69</v>
      </c>
      <c r="C42" s="50">
        <v>10</v>
      </c>
      <c r="D42" s="50">
        <v>3</v>
      </c>
      <c r="E42" s="50">
        <v>7</v>
      </c>
      <c r="F42" s="50">
        <v>3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26</v>
      </c>
      <c r="P42" s="15">
        <f t="shared" si="1"/>
        <v>60</v>
      </c>
    </row>
    <row r="43" spans="2:20" ht="23.1" customHeight="1" x14ac:dyDescent="0.25">
      <c r="B43" s="23" t="s">
        <v>70</v>
      </c>
      <c r="C43" s="50">
        <v>9</v>
      </c>
      <c r="D43" s="50">
        <v>1</v>
      </c>
      <c r="E43" s="50">
        <v>4</v>
      </c>
      <c r="F43" s="50">
        <v>1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34</v>
      </c>
      <c r="N43" s="50">
        <v>0</v>
      </c>
      <c r="O43" s="15">
        <f t="shared" si="0"/>
        <v>17</v>
      </c>
      <c r="P43" s="15">
        <f t="shared" si="1"/>
        <v>51</v>
      </c>
    </row>
    <row r="44" spans="2:20" ht="23.1" customHeight="1" x14ac:dyDescent="0.25">
      <c r="B44" s="25" t="s">
        <v>71</v>
      </c>
      <c r="C44" s="50">
        <v>5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45</v>
      </c>
      <c r="N44" s="50">
        <v>0</v>
      </c>
      <c r="O44" s="15">
        <f t="shared" si="0"/>
        <v>10</v>
      </c>
      <c r="P44" s="15">
        <f t="shared" si="1"/>
        <v>55</v>
      </c>
    </row>
    <row r="45" spans="2:20" ht="23.1" customHeight="1" x14ac:dyDescent="0.25">
      <c r="B45" s="23" t="s">
        <v>72</v>
      </c>
      <c r="C45" s="50">
        <v>6</v>
      </c>
      <c r="D45" s="50">
        <v>1</v>
      </c>
      <c r="E45" s="50">
        <v>3</v>
      </c>
      <c r="F45" s="50">
        <v>1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30</v>
      </c>
      <c r="N45" s="50">
        <v>0</v>
      </c>
      <c r="O45" s="15">
        <f t="shared" si="0"/>
        <v>14</v>
      </c>
      <c r="P45" s="15">
        <f t="shared" si="1"/>
        <v>44</v>
      </c>
    </row>
    <row r="46" spans="2:20" ht="23.1" customHeight="1" x14ac:dyDescent="0.25">
      <c r="B46" s="24" t="s">
        <v>73</v>
      </c>
      <c r="C46" s="50">
        <v>3</v>
      </c>
      <c r="D46" s="50">
        <v>1</v>
      </c>
      <c r="E46" s="50">
        <v>5</v>
      </c>
      <c r="F46" s="50">
        <v>1</v>
      </c>
      <c r="G46" s="50">
        <v>0</v>
      </c>
      <c r="H46" s="50">
        <v>0</v>
      </c>
      <c r="I46" s="50"/>
      <c r="J46" s="50">
        <v>0</v>
      </c>
      <c r="K46" s="50">
        <v>0</v>
      </c>
      <c r="L46" s="50">
        <v>0</v>
      </c>
      <c r="M46" s="50">
        <v>55</v>
      </c>
      <c r="N46" s="50">
        <v>0</v>
      </c>
      <c r="O46" s="15">
        <f t="shared" si="0"/>
        <v>10</v>
      </c>
      <c r="P46" s="15">
        <f t="shared" si="1"/>
        <v>65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1</v>
      </c>
      <c r="M47" s="50">
        <v>30</v>
      </c>
      <c r="N47" s="50">
        <v>0</v>
      </c>
      <c r="O47" s="15">
        <f t="shared" si="0"/>
        <v>12</v>
      </c>
      <c r="P47" s="15">
        <f t="shared" si="1"/>
        <v>42</v>
      </c>
      <c r="R47" s="8"/>
      <c r="T47"/>
    </row>
    <row r="48" spans="2:20" ht="23.1" customHeight="1" x14ac:dyDescent="0.25">
      <c r="B48" s="24" t="s">
        <v>75</v>
      </c>
      <c r="C48" s="50">
        <v>12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3</v>
      </c>
      <c r="M48" s="50">
        <v>40</v>
      </c>
      <c r="N48" s="50">
        <v>0</v>
      </c>
      <c r="O48" s="15">
        <f t="shared" si="0"/>
        <v>17</v>
      </c>
      <c r="P48" s="15">
        <f t="shared" si="1"/>
        <v>57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0</v>
      </c>
      <c r="E49" s="50">
        <v>0</v>
      </c>
      <c r="F49" s="50">
        <v>4</v>
      </c>
      <c r="G49" s="50">
        <v>0</v>
      </c>
      <c r="H49" s="50">
        <v>1</v>
      </c>
      <c r="I49" s="50">
        <v>0</v>
      </c>
      <c r="J49" s="50">
        <v>3</v>
      </c>
      <c r="K49" s="50">
        <v>0</v>
      </c>
      <c r="L49" s="50">
        <v>1</v>
      </c>
      <c r="M49" s="50">
        <v>35</v>
      </c>
      <c r="N49" s="50">
        <v>0</v>
      </c>
      <c r="O49" s="15">
        <f t="shared" si="0"/>
        <v>19</v>
      </c>
      <c r="P49" s="15">
        <f t="shared" si="1"/>
        <v>54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1</v>
      </c>
      <c r="E50" s="50">
        <v>3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15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8</v>
      </c>
      <c r="D51" s="50">
        <v>1</v>
      </c>
      <c r="E51" s="50">
        <v>3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26</v>
      </c>
      <c r="N51" s="50">
        <v>0</v>
      </c>
      <c r="O51" s="15">
        <f t="shared" si="0"/>
        <v>14</v>
      </c>
      <c r="P51" s="15">
        <f t="shared" si="1"/>
        <v>40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2</v>
      </c>
      <c r="K52" s="50">
        <v>0</v>
      </c>
      <c r="L52" s="50">
        <v>1</v>
      </c>
      <c r="M52" s="50">
        <v>20</v>
      </c>
      <c r="N52" s="50">
        <v>0</v>
      </c>
      <c r="O52" s="15">
        <f t="shared" si="0"/>
        <v>7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4</v>
      </c>
      <c r="H53" s="50">
        <v>1</v>
      </c>
      <c r="I53" s="50">
        <v>2</v>
      </c>
      <c r="J53" s="50">
        <v>0</v>
      </c>
      <c r="K53" s="50">
        <v>1</v>
      </c>
      <c r="L53" s="50">
        <v>3</v>
      </c>
      <c r="M53" s="50">
        <v>30</v>
      </c>
      <c r="N53" s="50">
        <v>0</v>
      </c>
      <c r="O53" s="15">
        <f t="shared" si="0"/>
        <v>12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2</v>
      </c>
      <c r="E54" s="50">
        <v>6</v>
      </c>
      <c r="F54" s="50">
        <v>0</v>
      </c>
      <c r="G54" s="50">
        <v>1</v>
      </c>
      <c r="H54" s="50">
        <v>0</v>
      </c>
      <c r="I54" s="50">
        <v>1</v>
      </c>
      <c r="J54" s="50">
        <v>3</v>
      </c>
      <c r="K54" s="50">
        <v>0</v>
      </c>
      <c r="L54" s="50">
        <v>0</v>
      </c>
      <c r="M54" s="50">
        <v>35</v>
      </c>
      <c r="N54" s="50">
        <v>0</v>
      </c>
      <c r="O54" s="15">
        <f t="shared" si="0"/>
        <v>16</v>
      </c>
      <c r="P54" s="15">
        <f t="shared" si="1"/>
        <v>51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1</v>
      </c>
      <c r="E55" s="50">
        <v>3</v>
      </c>
      <c r="F55" s="50">
        <v>1</v>
      </c>
      <c r="G55" s="50">
        <v>0</v>
      </c>
      <c r="H55" s="50">
        <v>0</v>
      </c>
      <c r="I55" s="50">
        <v>2</v>
      </c>
      <c r="J55" s="50">
        <v>3</v>
      </c>
      <c r="K55" s="50">
        <v>0</v>
      </c>
      <c r="L55" s="50">
        <v>0</v>
      </c>
      <c r="M55" s="50">
        <v>20</v>
      </c>
      <c r="N55" s="50">
        <v>0</v>
      </c>
      <c r="O55" s="15">
        <f t="shared" si="0"/>
        <v>18</v>
      </c>
      <c r="P55" s="15">
        <f t="shared" si="1"/>
        <v>38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1</v>
      </c>
      <c r="H56" s="50">
        <v>0</v>
      </c>
      <c r="I56" s="50">
        <v>1</v>
      </c>
      <c r="J56" s="50">
        <v>2</v>
      </c>
      <c r="K56" s="50">
        <v>0</v>
      </c>
      <c r="L56" s="50">
        <v>4</v>
      </c>
      <c r="M56" s="50">
        <v>50</v>
      </c>
      <c r="N56" s="50">
        <v>0</v>
      </c>
      <c r="O56" s="15">
        <f t="shared" si="0"/>
        <v>11</v>
      </c>
      <c r="P56" s="15">
        <f t="shared" si="1"/>
        <v>61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1</v>
      </c>
      <c r="E57" s="50">
        <v>3</v>
      </c>
      <c r="F57" s="50">
        <v>2</v>
      </c>
      <c r="G57" s="50">
        <v>0</v>
      </c>
      <c r="H57" s="50">
        <v>0</v>
      </c>
      <c r="I57" s="50">
        <v>0</v>
      </c>
      <c r="J57" s="50">
        <v>3</v>
      </c>
      <c r="K57" s="50">
        <v>1</v>
      </c>
      <c r="L57" s="50">
        <v>0</v>
      </c>
      <c r="M57" s="50">
        <v>45</v>
      </c>
      <c r="N57" s="50">
        <v>0</v>
      </c>
      <c r="O57" s="15">
        <f t="shared" si="0"/>
        <v>20</v>
      </c>
      <c r="P57" s="15">
        <f t="shared" si="1"/>
        <v>65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384</v>
      </c>
      <c r="D58" s="16">
        <f t="shared" si="21"/>
        <v>60</v>
      </c>
      <c r="E58" s="16">
        <f t="shared" si="21"/>
        <v>184</v>
      </c>
      <c r="F58" s="16">
        <f t="shared" si="21"/>
        <v>80</v>
      </c>
      <c r="G58" s="16">
        <f t="shared" si="21"/>
        <v>16</v>
      </c>
      <c r="H58" s="16">
        <f t="shared" si="21"/>
        <v>6</v>
      </c>
      <c r="I58" s="16">
        <f t="shared" si="21"/>
        <v>76</v>
      </c>
      <c r="J58" s="16">
        <f t="shared" si="21"/>
        <v>47</v>
      </c>
      <c r="K58" s="16">
        <f t="shared" si="21"/>
        <v>2</v>
      </c>
      <c r="L58" s="16">
        <f t="shared" si="21"/>
        <v>26</v>
      </c>
      <c r="M58" s="16">
        <f t="shared" si="21"/>
        <v>1731</v>
      </c>
      <c r="N58" s="16">
        <f t="shared" si="21"/>
        <v>0</v>
      </c>
      <c r="O58" s="16">
        <f t="shared" si="21"/>
        <v>881</v>
      </c>
      <c r="P58" s="16">
        <f t="shared" si="21"/>
        <v>2612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0.14701378254211334</v>
      </c>
      <c r="D59" s="43">
        <f t="shared" si="22"/>
        <v>2.2970903522205207E-2</v>
      </c>
      <c r="E59" s="43">
        <f t="shared" si="22"/>
        <v>7.0444104134762639E-2</v>
      </c>
      <c r="F59" s="43">
        <f t="shared" si="22"/>
        <v>3.0627871362940276E-2</v>
      </c>
      <c r="G59" s="43">
        <f t="shared" si="22"/>
        <v>6.1255742725880554E-3</v>
      </c>
      <c r="H59" s="43">
        <f t="shared" si="22"/>
        <v>2.2970903522205209E-3</v>
      </c>
      <c r="I59" s="43">
        <f t="shared" si="22"/>
        <v>2.9096477794793262E-2</v>
      </c>
      <c r="J59" s="43">
        <f t="shared" si="22"/>
        <v>1.7993874425727412E-2</v>
      </c>
      <c r="K59" s="43">
        <f t="shared" si="22"/>
        <v>7.6569678407350692E-4</v>
      </c>
      <c r="L59" s="43">
        <f t="shared" si="22"/>
        <v>9.954058192955589E-3</v>
      </c>
      <c r="M59" s="43">
        <f t="shared" si="22"/>
        <v>0.66271056661562022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0.43586833144154369</v>
      </c>
      <c r="D60" s="44">
        <f t="shared" ref="D60:N60" si="23">D58/$O$58</f>
        <v>6.8104426787741201E-2</v>
      </c>
      <c r="E60" s="44">
        <f t="shared" si="23"/>
        <v>0.20885357548240635</v>
      </c>
      <c r="F60" s="44">
        <f t="shared" si="23"/>
        <v>9.0805902383654935E-2</v>
      </c>
      <c r="G60" s="44">
        <f t="shared" si="23"/>
        <v>1.8161180476730987E-2</v>
      </c>
      <c r="H60" s="44">
        <f t="shared" si="23"/>
        <v>6.8104426787741201E-3</v>
      </c>
      <c r="I60" s="44">
        <f t="shared" si="23"/>
        <v>8.6265607264472188E-2</v>
      </c>
      <c r="J60" s="44">
        <f t="shared" si="23"/>
        <v>5.3348467650397274E-2</v>
      </c>
      <c r="K60" s="44">
        <f t="shared" si="23"/>
        <v>2.2701475595913734E-3</v>
      </c>
      <c r="L60" s="44">
        <f t="shared" si="23"/>
        <v>2.9511918274687854E-2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K40" zoomScale="60" workbookViewId="0">
      <selection activeCell="AD52" sqref="AD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'06.08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164</v>
      </c>
      <c r="E5" s="69"/>
      <c r="F5" s="41" t="s">
        <v>1</v>
      </c>
      <c r="G5" s="66" t="str">
        <f>'06.08 Koboko-Arua'!G5:H5</f>
        <v>xxx</v>
      </c>
      <c r="H5" s="67"/>
      <c r="I5" s="14"/>
      <c r="J5" s="2" t="s">
        <v>5</v>
      </c>
      <c r="K5" s="66" t="str">
        <f>'06.08 Koboko-Arua'!K5:L5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'06.08 Koboko-Arua'!D6:E6</f>
        <v>Koboko</v>
      </c>
      <c r="E6" s="67"/>
      <c r="F6" s="2" t="s">
        <v>2</v>
      </c>
      <c r="G6" s="66" t="str">
        <f>'06.08 Koboko-Arua'!G6:H6</f>
        <v>Arua</v>
      </c>
      <c r="H6" s="67"/>
      <c r="J6" s="2" t="s">
        <v>21</v>
      </c>
      <c r="K6" s="66" t="str">
        <f>'06.08 Koboko-Arua'!K6:L6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AVERAGE('31.07 Koboko-Arua'!C10,'01.08 Koboko-Arua'!C10,'04.08 Koboko-Arua'!C10,'05.08 Koboko-Arua'!C10,'02.08 Koboko-Arua-24h'!C10,'03.08 Koboko-Arua-24h'!C10,'06.08 Koboko-Arua'!C10)</f>
        <v>5.2857142857142856</v>
      </c>
      <c r="D10" s="49">
        <f>AVERAGE('31.07 Koboko-Arua'!D10,'01.08 Koboko-Arua'!D10,'04.08 Koboko-Arua'!D10,'05.08 Koboko-Arua'!D10,'02.08 Koboko-Arua-24h'!D10,'03.08 Koboko-Arua-24h'!D10,'06.08 Koboko-Arua'!D10)</f>
        <v>3</v>
      </c>
      <c r="E10" s="49">
        <f>AVERAGE('31.07 Koboko-Arua'!E10,'01.08 Koboko-Arua'!E10,'04.08 Koboko-Arua'!E10,'05.08 Koboko-Arua'!E10,'02.08 Koboko-Arua-24h'!E10,'03.08 Koboko-Arua-24h'!E10,'06.08 Koboko-Arua'!E10)</f>
        <v>3.4285714285714284</v>
      </c>
      <c r="F10" s="49">
        <f>AVERAGE('31.07 Koboko-Arua'!F10,'01.08 Koboko-Arua'!F10,'04.08 Koboko-Arua'!F10,'05.08 Koboko-Arua'!F10,'02.08 Koboko-Arua-24h'!F10,'03.08 Koboko-Arua-24h'!F10,'06.08 Koboko-Arua'!F10)</f>
        <v>2.1428571428571428</v>
      </c>
      <c r="G10" s="49">
        <f>AVERAGE('31.07 Koboko-Arua'!G10,'01.08 Koboko-Arua'!G10,'04.08 Koboko-Arua'!G10,'05.08 Koboko-Arua'!G10,'02.08 Koboko-Arua-24h'!G10,'03.08 Koboko-Arua-24h'!G10,'06.08 Koboko-Arua'!G10)</f>
        <v>1.1428571428571428</v>
      </c>
      <c r="H10" s="49">
        <f>AVERAGE('31.07 Koboko-Arua'!H10,'01.08 Koboko-Arua'!H10,'04.08 Koboko-Arua'!H10,'05.08 Koboko-Arua'!H10,'02.08 Koboko-Arua-24h'!H10,'03.08 Koboko-Arua-24h'!H10,'06.08 Koboko-Arua'!H10)</f>
        <v>0</v>
      </c>
      <c r="I10" s="49">
        <f>AVERAGE('31.07 Koboko-Arua'!I10,'01.08 Koboko-Arua'!I10,'04.08 Koboko-Arua'!I10,'05.08 Koboko-Arua'!I10,'02.08 Koboko-Arua-24h'!I10,'03.08 Koboko-Arua-24h'!I10,'06.08 Koboko-Arua'!I10)</f>
        <v>0.2857142857142857</v>
      </c>
      <c r="J10" s="49">
        <f>AVERAGE('31.07 Koboko-Arua'!J10,'01.08 Koboko-Arua'!J10,'04.08 Koboko-Arua'!J10,'05.08 Koboko-Arua'!J10,'02.08 Koboko-Arua-24h'!J10,'03.08 Koboko-Arua-24h'!J10,'06.08 Koboko-Arua'!J10)</f>
        <v>0.7142857142857143</v>
      </c>
      <c r="K10" s="49">
        <f>AVERAGE('31.07 Koboko-Arua'!K10,'01.08 Koboko-Arua'!K10,'04.08 Koboko-Arua'!K10,'05.08 Koboko-Arua'!K10,'02.08 Koboko-Arua-24h'!K10,'03.08 Koboko-Arua-24h'!K10,'06.08 Koboko-Arua'!K10)</f>
        <v>0.14285714285714285</v>
      </c>
      <c r="L10" s="49">
        <f>AVERAGE('31.07 Koboko-Arua'!L10,'01.08 Koboko-Arua'!L10,'04.08 Koboko-Arua'!L10,'05.08 Koboko-Arua'!L10,'02.08 Koboko-Arua-24h'!L10,'03.08 Koboko-Arua-24h'!L10,'06.08 Koboko-Arua'!L10)</f>
        <v>0.5714285714285714</v>
      </c>
      <c r="M10" s="49">
        <f>AVERAGE('31.07 Koboko-Arua'!M10,'01.08 Koboko-Arua'!M10,'04.08 Koboko-Arua'!M10,'05.08 Koboko-Arua'!M10,'02.08 Koboko-Arua-24h'!M10,'03.08 Koboko-Arua-24h'!M10,'06.08 Koboko-Arua'!M10)</f>
        <v>26.142857142857142</v>
      </c>
      <c r="N10" s="49">
        <f>AVERAGE('31.07 Koboko-Arua'!N10,'01.08 Koboko-Arua'!N10,'04.08 Koboko-Arua'!N10,'05.08 Koboko-Arua'!N10,'02.08 Koboko-Arua-24h'!N10,'03.08 Koboko-Arua-24h'!N10,'06.08 Koboko-Arua'!N10)</f>
        <v>0.14285714285714285</v>
      </c>
      <c r="O10" s="15">
        <f t="shared" ref="O10:O73" si="0">SUM(C10:L10,N10)</f>
        <v>16.857142857142858</v>
      </c>
      <c r="P10" s="15">
        <f t="shared" ref="P10:P73" si="1">SUM(C10:N10)</f>
        <v>43.000000000000007</v>
      </c>
      <c r="R10" s="1" t="s">
        <v>6</v>
      </c>
      <c r="S10" s="17">
        <f t="shared" ref="S10:AF10" si="2">SUM(C10:C13)</f>
        <v>17.571428571428573</v>
      </c>
      <c r="T10" s="17">
        <f t="shared" si="2"/>
        <v>8.8571428571428559</v>
      </c>
      <c r="U10" s="17">
        <f t="shared" si="2"/>
        <v>11.857142857142858</v>
      </c>
      <c r="V10" s="17">
        <f t="shared" si="2"/>
        <v>9.5714285714285712</v>
      </c>
      <c r="W10" s="17">
        <f t="shared" si="2"/>
        <v>5.5714285714285712</v>
      </c>
      <c r="X10" s="17">
        <f t="shared" si="2"/>
        <v>1.4285714285714286</v>
      </c>
      <c r="Y10" s="17">
        <f t="shared" si="2"/>
        <v>1.8571428571428572</v>
      </c>
      <c r="Z10" s="17">
        <f t="shared" si="2"/>
        <v>1.5714285714285712</v>
      </c>
      <c r="AA10" s="17">
        <f t="shared" si="2"/>
        <v>0.14285714285714285</v>
      </c>
      <c r="AB10" s="17">
        <f t="shared" si="2"/>
        <v>0.8571428571428571</v>
      </c>
      <c r="AC10" s="17">
        <f t="shared" si="2"/>
        <v>126.14285714285714</v>
      </c>
      <c r="AD10" s="17">
        <f t="shared" si="2"/>
        <v>0.14285714285714285</v>
      </c>
      <c r="AE10" s="31">
        <f t="shared" si="2"/>
        <v>59.428571428571431</v>
      </c>
      <c r="AF10" s="31">
        <f t="shared" si="2"/>
        <v>185.57142857142856</v>
      </c>
    </row>
    <row r="11" spans="2:32" s="6" customFormat="1" ht="23.1" customHeight="1" x14ac:dyDescent="0.25">
      <c r="B11" s="23" t="s">
        <v>38</v>
      </c>
      <c r="C11" s="49">
        <f>AVERAGE('31.07 Koboko-Arua'!C11,'01.08 Koboko-Arua'!C11,'04.08 Koboko-Arua'!C11,'05.08 Koboko-Arua'!C11,'02.08 Koboko-Arua-24h'!C11,'03.08 Koboko-Arua-24h'!C11,'06.08 Koboko-Arua'!C11)</f>
        <v>1.7142857142857142</v>
      </c>
      <c r="D11" s="49">
        <f>AVERAGE('31.07 Koboko-Arua'!D11,'01.08 Koboko-Arua'!D11,'04.08 Koboko-Arua'!D11,'05.08 Koboko-Arua'!D11,'02.08 Koboko-Arua-24h'!D11,'03.08 Koboko-Arua-24h'!D11,'06.08 Koboko-Arua'!D11)</f>
        <v>4.2857142857142856</v>
      </c>
      <c r="E11" s="49">
        <f>AVERAGE('31.07 Koboko-Arua'!E11,'01.08 Koboko-Arua'!E11,'04.08 Koboko-Arua'!E11,'05.08 Koboko-Arua'!E11,'02.08 Koboko-Arua-24h'!E11,'03.08 Koboko-Arua-24h'!E11,'06.08 Koboko-Arua'!E11)</f>
        <v>6</v>
      </c>
      <c r="F11" s="49">
        <f>AVERAGE('31.07 Koboko-Arua'!F11,'01.08 Koboko-Arua'!F11,'04.08 Koboko-Arua'!F11,'05.08 Koboko-Arua'!F11,'02.08 Koboko-Arua-24h'!F11,'03.08 Koboko-Arua-24h'!F11,'06.08 Koboko-Arua'!F11)</f>
        <v>0.8571428571428571</v>
      </c>
      <c r="G11" s="49">
        <f>AVERAGE('31.07 Koboko-Arua'!G11,'01.08 Koboko-Arua'!G11,'04.08 Koboko-Arua'!G11,'05.08 Koboko-Arua'!G11,'02.08 Koboko-Arua-24h'!G11,'03.08 Koboko-Arua-24h'!G11,'06.08 Koboko-Arua'!G11)</f>
        <v>2.1428571428571428</v>
      </c>
      <c r="H11" s="49">
        <f>AVERAGE('31.07 Koboko-Arua'!H11,'01.08 Koboko-Arua'!H11,'04.08 Koboko-Arua'!H11,'05.08 Koboko-Arua'!H11,'02.08 Koboko-Arua-24h'!H11,'03.08 Koboko-Arua-24h'!H11,'06.08 Koboko-Arua'!H11)</f>
        <v>0.2857142857142857</v>
      </c>
      <c r="I11" s="49">
        <f>AVERAGE('31.07 Koboko-Arua'!I11,'01.08 Koboko-Arua'!I11,'04.08 Koboko-Arua'!I11,'05.08 Koboko-Arua'!I11,'02.08 Koboko-Arua-24h'!I11,'03.08 Koboko-Arua-24h'!I11,'06.08 Koboko-Arua'!I11)</f>
        <v>0</v>
      </c>
      <c r="J11" s="49">
        <f>AVERAGE('31.07 Koboko-Arua'!J11,'01.08 Koboko-Arua'!J11,'04.08 Koboko-Arua'!J11,'05.08 Koboko-Arua'!J11,'02.08 Koboko-Arua-24h'!J11,'03.08 Koboko-Arua-24h'!J11,'06.08 Koboko-Arua'!J11)</f>
        <v>0</v>
      </c>
      <c r="K11" s="49">
        <f>AVERAGE('31.07 Koboko-Arua'!K11,'01.08 Koboko-Arua'!K11,'04.08 Koboko-Arua'!K11,'05.08 Koboko-Arua'!K11,'02.08 Koboko-Arua-24h'!K11,'03.08 Koboko-Arua-24h'!K11,'06.08 Koboko-Arua'!K11)</f>
        <v>0</v>
      </c>
      <c r="L11" s="49">
        <f>AVERAGE('31.07 Koboko-Arua'!L11,'01.08 Koboko-Arua'!L11,'04.08 Koboko-Arua'!L11,'05.08 Koboko-Arua'!L11,'02.08 Koboko-Arua-24h'!L11,'03.08 Koboko-Arua-24h'!L11,'06.08 Koboko-Arua'!L11)</f>
        <v>0</v>
      </c>
      <c r="M11" s="49">
        <f>AVERAGE('31.07 Koboko-Arua'!M11,'01.08 Koboko-Arua'!M11,'04.08 Koboko-Arua'!M11,'05.08 Koboko-Arua'!M11,'02.08 Koboko-Arua-24h'!M11,'03.08 Koboko-Arua-24h'!M11,'06.08 Koboko-Arua'!M11)</f>
        <v>27.714285714285715</v>
      </c>
      <c r="N11" s="49">
        <f>AVERAGE('31.07 Koboko-Arua'!N11,'01.08 Koboko-Arua'!N11,'04.08 Koboko-Arua'!N11,'05.08 Koboko-Arua'!N11,'02.08 Koboko-Arua-24h'!N11,'03.08 Koboko-Arua-24h'!N11,'06.08 Koboko-Arua'!N11)</f>
        <v>0</v>
      </c>
      <c r="O11" s="15">
        <f t="shared" si="0"/>
        <v>15.285714285714286</v>
      </c>
      <c r="P11" s="15">
        <f t="shared" si="1"/>
        <v>43</v>
      </c>
      <c r="R11" s="1" t="s">
        <v>7</v>
      </c>
      <c r="S11" s="17">
        <f t="shared" ref="S11:AF11" si="3">SUM(C14:C17)</f>
        <v>23.857142857142854</v>
      </c>
      <c r="T11" s="17">
        <f t="shared" si="3"/>
        <v>3.8571428571428568</v>
      </c>
      <c r="U11" s="17">
        <f t="shared" si="3"/>
        <v>6.5714285714285712</v>
      </c>
      <c r="V11" s="17">
        <f t="shared" si="3"/>
        <v>11.857142857142858</v>
      </c>
      <c r="W11" s="17">
        <f t="shared" si="3"/>
        <v>0.71428571428571419</v>
      </c>
      <c r="X11" s="17">
        <f t="shared" si="3"/>
        <v>0.8571428571428571</v>
      </c>
      <c r="Y11" s="17">
        <f t="shared" si="3"/>
        <v>4</v>
      </c>
      <c r="Z11" s="17">
        <f t="shared" si="3"/>
        <v>1.8571428571428572</v>
      </c>
      <c r="AA11" s="17">
        <f t="shared" si="3"/>
        <v>0</v>
      </c>
      <c r="AB11" s="17">
        <f t="shared" si="3"/>
        <v>0.2857142857142857</v>
      </c>
      <c r="AC11" s="17">
        <f t="shared" si="3"/>
        <v>136</v>
      </c>
      <c r="AD11" s="17">
        <f t="shared" si="3"/>
        <v>0</v>
      </c>
      <c r="AE11" s="31">
        <f t="shared" si="3"/>
        <v>53.857142857142854</v>
      </c>
      <c r="AF11" s="31">
        <f t="shared" si="3"/>
        <v>189.85714285714286</v>
      </c>
    </row>
    <row r="12" spans="2:32" ht="23.1" customHeight="1" x14ac:dyDescent="0.25">
      <c r="B12" s="23" t="s">
        <v>39</v>
      </c>
      <c r="C12" s="49">
        <f>AVERAGE('31.07 Koboko-Arua'!C12,'01.08 Koboko-Arua'!C12,'04.08 Koboko-Arua'!C12,'05.08 Koboko-Arua'!C12,'02.08 Koboko-Arua-24h'!C12,'03.08 Koboko-Arua-24h'!C12,'06.08 Koboko-Arua'!C12)</f>
        <v>7</v>
      </c>
      <c r="D12" s="49">
        <f>AVERAGE('31.07 Koboko-Arua'!D12,'01.08 Koboko-Arua'!D12,'04.08 Koboko-Arua'!D12,'05.08 Koboko-Arua'!D12,'02.08 Koboko-Arua-24h'!D12,'03.08 Koboko-Arua-24h'!D12,'06.08 Koboko-Arua'!D12)</f>
        <v>0.8571428571428571</v>
      </c>
      <c r="E12" s="49">
        <f>AVERAGE('31.07 Koboko-Arua'!E12,'01.08 Koboko-Arua'!E12,'04.08 Koboko-Arua'!E12,'05.08 Koboko-Arua'!E12,'02.08 Koboko-Arua-24h'!E12,'03.08 Koboko-Arua-24h'!E12,'06.08 Koboko-Arua'!E12)</f>
        <v>1</v>
      </c>
      <c r="F12" s="49">
        <f>AVERAGE('31.07 Koboko-Arua'!F12,'01.08 Koboko-Arua'!F12,'04.08 Koboko-Arua'!F12,'05.08 Koboko-Arua'!F12,'02.08 Koboko-Arua-24h'!F12,'03.08 Koboko-Arua-24h'!F12,'06.08 Koboko-Arua'!F12)</f>
        <v>2</v>
      </c>
      <c r="G12" s="49">
        <f>AVERAGE('31.07 Koboko-Arua'!G12,'01.08 Koboko-Arua'!G12,'04.08 Koboko-Arua'!G12,'05.08 Koboko-Arua'!G12,'02.08 Koboko-Arua-24h'!G12,'03.08 Koboko-Arua-24h'!G12,'06.08 Koboko-Arua'!G12)</f>
        <v>1.7142857142857142</v>
      </c>
      <c r="H12" s="49">
        <f>AVERAGE('31.07 Koboko-Arua'!H12,'01.08 Koboko-Arua'!H12,'04.08 Koboko-Arua'!H12,'05.08 Koboko-Arua'!H12,'02.08 Koboko-Arua-24h'!H12,'03.08 Koboko-Arua-24h'!H12,'06.08 Koboko-Arua'!H12)</f>
        <v>0.14285714285714285</v>
      </c>
      <c r="I12" s="49">
        <f>AVERAGE('31.07 Koboko-Arua'!I12,'01.08 Koboko-Arua'!I12,'04.08 Koboko-Arua'!I12,'05.08 Koboko-Arua'!I12,'02.08 Koboko-Arua-24h'!I12,'03.08 Koboko-Arua-24h'!I12,'06.08 Koboko-Arua'!I12)</f>
        <v>0.8571428571428571</v>
      </c>
      <c r="J12" s="49">
        <f>AVERAGE('31.07 Koboko-Arua'!J12,'01.08 Koboko-Arua'!J12,'04.08 Koboko-Arua'!J12,'05.08 Koboko-Arua'!J12,'02.08 Koboko-Arua-24h'!J12,'03.08 Koboko-Arua-24h'!J12,'06.08 Koboko-Arua'!J12)</f>
        <v>0.5714285714285714</v>
      </c>
      <c r="K12" s="49">
        <f>AVERAGE('31.07 Koboko-Arua'!K12,'01.08 Koboko-Arua'!K12,'04.08 Koboko-Arua'!K12,'05.08 Koboko-Arua'!K12,'02.08 Koboko-Arua-24h'!K12,'03.08 Koboko-Arua-24h'!K12,'06.08 Koboko-Arua'!K12)</f>
        <v>0</v>
      </c>
      <c r="L12" s="49">
        <f>AVERAGE('31.07 Koboko-Arua'!L12,'01.08 Koboko-Arua'!L12,'04.08 Koboko-Arua'!L12,'05.08 Koboko-Arua'!L12,'02.08 Koboko-Arua-24h'!L12,'03.08 Koboko-Arua-24h'!L12,'06.08 Koboko-Arua'!L12)</f>
        <v>0.2857142857142857</v>
      </c>
      <c r="M12" s="49">
        <f>AVERAGE('31.07 Koboko-Arua'!M12,'01.08 Koboko-Arua'!M12,'04.08 Koboko-Arua'!M12,'05.08 Koboko-Arua'!M12,'02.08 Koboko-Arua-24h'!M12,'03.08 Koboko-Arua-24h'!M12,'06.08 Koboko-Arua'!M12)</f>
        <v>36.428571428571431</v>
      </c>
      <c r="N12" s="49">
        <f>AVERAGE('31.07 Koboko-Arua'!N12,'01.08 Koboko-Arua'!N12,'04.08 Koboko-Arua'!N12,'05.08 Koboko-Arua'!N12,'02.08 Koboko-Arua-24h'!N12,'03.08 Koboko-Arua-24h'!N12,'06.08 Koboko-Arua'!N12)</f>
        <v>0</v>
      </c>
      <c r="O12" s="15">
        <f t="shared" si="0"/>
        <v>14.428571428571429</v>
      </c>
      <c r="P12" s="15">
        <f t="shared" si="1"/>
        <v>50.857142857142861</v>
      </c>
      <c r="R12" s="1" t="s">
        <v>8</v>
      </c>
      <c r="S12" s="17">
        <f t="shared" ref="S12:AF12" si="4">SUM(C18:C21)</f>
        <v>43</v>
      </c>
      <c r="T12" s="17">
        <f t="shared" si="4"/>
        <v>4.5714285714285712</v>
      </c>
      <c r="U12" s="17">
        <f t="shared" si="4"/>
        <v>9.7142857142857135</v>
      </c>
      <c r="V12" s="17">
        <f t="shared" si="4"/>
        <v>8.571428571428573</v>
      </c>
      <c r="W12" s="17">
        <f t="shared" si="4"/>
        <v>0.14285714285714285</v>
      </c>
      <c r="X12" s="17">
        <f t="shared" si="4"/>
        <v>0</v>
      </c>
      <c r="Y12" s="17">
        <f t="shared" si="4"/>
        <v>6</v>
      </c>
      <c r="Z12" s="17">
        <f t="shared" si="4"/>
        <v>1.857142857142857</v>
      </c>
      <c r="AA12" s="17">
        <f t="shared" si="4"/>
        <v>0.42857142857142855</v>
      </c>
      <c r="AB12" s="17">
        <f t="shared" si="4"/>
        <v>1.1428571428571428</v>
      </c>
      <c r="AC12" s="17">
        <f t="shared" si="4"/>
        <v>125.99999999999999</v>
      </c>
      <c r="AD12" s="17">
        <f t="shared" si="4"/>
        <v>0</v>
      </c>
      <c r="AE12" s="31">
        <f t="shared" si="4"/>
        <v>75.428571428571431</v>
      </c>
      <c r="AF12" s="31">
        <f t="shared" si="4"/>
        <v>201.42857142857142</v>
      </c>
    </row>
    <row r="13" spans="2:32" ht="23.1" customHeight="1" x14ac:dyDescent="0.25">
      <c r="B13" s="23" t="s">
        <v>40</v>
      </c>
      <c r="C13" s="49">
        <f>AVERAGE('31.07 Koboko-Arua'!C13,'01.08 Koboko-Arua'!C13,'04.08 Koboko-Arua'!C13,'05.08 Koboko-Arua'!C13,'02.08 Koboko-Arua-24h'!C13,'03.08 Koboko-Arua-24h'!C13,'06.08 Koboko-Arua'!C13)</f>
        <v>3.5714285714285716</v>
      </c>
      <c r="D13" s="49">
        <f>AVERAGE('31.07 Koboko-Arua'!D13,'01.08 Koboko-Arua'!D13,'04.08 Koboko-Arua'!D13,'05.08 Koboko-Arua'!D13,'02.08 Koboko-Arua-24h'!D13,'03.08 Koboko-Arua-24h'!D13,'06.08 Koboko-Arua'!D13)</f>
        <v>0.7142857142857143</v>
      </c>
      <c r="E13" s="49">
        <f>AVERAGE('31.07 Koboko-Arua'!E13,'01.08 Koboko-Arua'!E13,'04.08 Koboko-Arua'!E13,'05.08 Koboko-Arua'!E13,'02.08 Koboko-Arua-24h'!E13,'03.08 Koboko-Arua-24h'!E13,'06.08 Koboko-Arua'!E13)</f>
        <v>1.4285714285714286</v>
      </c>
      <c r="F13" s="49">
        <f>AVERAGE('31.07 Koboko-Arua'!F13,'01.08 Koboko-Arua'!F13,'04.08 Koboko-Arua'!F13,'05.08 Koboko-Arua'!F13,'02.08 Koboko-Arua-24h'!F13,'03.08 Koboko-Arua-24h'!F13,'06.08 Koboko-Arua'!F13)</f>
        <v>4.5714285714285712</v>
      </c>
      <c r="G13" s="49">
        <f>AVERAGE('31.07 Koboko-Arua'!G13,'01.08 Koboko-Arua'!G13,'04.08 Koboko-Arua'!G13,'05.08 Koboko-Arua'!G13,'02.08 Koboko-Arua-24h'!G13,'03.08 Koboko-Arua-24h'!G13,'06.08 Koboko-Arua'!G13)</f>
        <v>0.5714285714285714</v>
      </c>
      <c r="H13" s="49">
        <f>AVERAGE('31.07 Koboko-Arua'!H13,'01.08 Koboko-Arua'!H13,'04.08 Koboko-Arua'!H13,'05.08 Koboko-Arua'!H13,'02.08 Koboko-Arua-24h'!H13,'03.08 Koboko-Arua-24h'!H13,'06.08 Koboko-Arua'!H13)</f>
        <v>1</v>
      </c>
      <c r="I13" s="49">
        <f>AVERAGE('31.07 Koboko-Arua'!I13,'01.08 Koboko-Arua'!I13,'04.08 Koboko-Arua'!I13,'05.08 Koboko-Arua'!I13,'02.08 Koboko-Arua-24h'!I13,'03.08 Koboko-Arua-24h'!I13,'06.08 Koboko-Arua'!I13)</f>
        <v>0.7142857142857143</v>
      </c>
      <c r="J13" s="49">
        <f>AVERAGE('31.07 Koboko-Arua'!J13,'01.08 Koboko-Arua'!J13,'04.08 Koboko-Arua'!J13,'05.08 Koboko-Arua'!J13,'02.08 Koboko-Arua-24h'!J13,'03.08 Koboko-Arua-24h'!J13,'06.08 Koboko-Arua'!J13)</f>
        <v>0.2857142857142857</v>
      </c>
      <c r="K13" s="49">
        <f>AVERAGE('31.07 Koboko-Arua'!K13,'01.08 Koboko-Arua'!K13,'04.08 Koboko-Arua'!K13,'05.08 Koboko-Arua'!K13,'02.08 Koboko-Arua-24h'!K13,'03.08 Koboko-Arua-24h'!K13,'06.08 Koboko-Arua'!K13)</f>
        <v>0</v>
      </c>
      <c r="L13" s="49">
        <f>AVERAGE('31.07 Koboko-Arua'!L13,'01.08 Koboko-Arua'!L13,'04.08 Koboko-Arua'!L13,'05.08 Koboko-Arua'!L13,'02.08 Koboko-Arua-24h'!L13,'03.08 Koboko-Arua-24h'!L13,'06.08 Koboko-Arua'!L13)</f>
        <v>0</v>
      </c>
      <c r="M13" s="49">
        <f>AVERAGE('31.07 Koboko-Arua'!M13,'01.08 Koboko-Arua'!M13,'04.08 Koboko-Arua'!M13,'05.08 Koboko-Arua'!M13,'02.08 Koboko-Arua-24h'!M13,'03.08 Koboko-Arua-24h'!M13,'06.08 Koboko-Arua'!M13)</f>
        <v>35.857142857142854</v>
      </c>
      <c r="N13" s="49">
        <f>AVERAGE('31.07 Koboko-Arua'!N13,'01.08 Koboko-Arua'!N13,'04.08 Koboko-Arua'!N13,'05.08 Koboko-Arua'!N13,'02.08 Koboko-Arua-24h'!N13,'03.08 Koboko-Arua-24h'!N13,'06.08 Koboko-Arua'!N13)</f>
        <v>0</v>
      </c>
      <c r="O13" s="15">
        <f t="shared" si="0"/>
        <v>12.857142857142856</v>
      </c>
      <c r="P13" s="15">
        <f t="shared" si="1"/>
        <v>48.714285714285708</v>
      </c>
      <c r="R13" s="1" t="s">
        <v>9</v>
      </c>
      <c r="S13" s="17">
        <f t="shared" ref="S13:AF13" si="5">SUM(C22:C25)</f>
        <v>28.428571428571431</v>
      </c>
      <c r="T13" s="17">
        <f t="shared" si="5"/>
        <v>6.1428571428571423</v>
      </c>
      <c r="U13" s="17">
        <f t="shared" si="5"/>
        <v>10.714285714285714</v>
      </c>
      <c r="V13" s="17">
        <f t="shared" si="5"/>
        <v>4.4285714285714279</v>
      </c>
      <c r="W13" s="17">
        <f t="shared" si="5"/>
        <v>1</v>
      </c>
      <c r="X13" s="17">
        <f t="shared" si="5"/>
        <v>0.14285714285714285</v>
      </c>
      <c r="Y13" s="17">
        <f t="shared" si="5"/>
        <v>7.7142857142857135</v>
      </c>
      <c r="Z13" s="17">
        <f t="shared" si="5"/>
        <v>1.2619047619047619</v>
      </c>
      <c r="AA13" s="17">
        <f t="shared" si="5"/>
        <v>0</v>
      </c>
      <c r="AB13" s="17">
        <f t="shared" si="5"/>
        <v>0.5714285714285714</v>
      </c>
      <c r="AC13" s="17">
        <f t="shared" si="5"/>
        <v>143.85714285714286</v>
      </c>
      <c r="AD13" s="17">
        <f t="shared" si="5"/>
        <v>0</v>
      </c>
      <c r="AE13" s="31">
        <f t="shared" si="5"/>
        <v>60.404761904761898</v>
      </c>
      <c r="AF13" s="31">
        <f t="shared" si="5"/>
        <v>204.26190476190476</v>
      </c>
    </row>
    <row r="14" spans="2:32" ht="23.1" customHeight="1" x14ac:dyDescent="0.25">
      <c r="B14" s="23" t="s">
        <v>41</v>
      </c>
      <c r="C14" s="49">
        <f>AVERAGE('31.07 Koboko-Arua'!C14,'01.08 Koboko-Arua'!C14,'04.08 Koboko-Arua'!C14,'05.08 Koboko-Arua'!C14,'02.08 Koboko-Arua-24h'!C14,'03.08 Koboko-Arua-24h'!C14,'06.08 Koboko-Arua'!C14)</f>
        <v>4.7142857142857144</v>
      </c>
      <c r="D14" s="49">
        <f>AVERAGE('31.07 Koboko-Arua'!D14,'01.08 Koboko-Arua'!D14,'04.08 Koboko-Arua'!D14,'05.08 Koboko-Arua'!D14,'02.08 Koboko-Arua-24h'!D14,'03.08 Koboko-Arua-24h'!D14,'06.08 Koboko-Arua'!D14)</f>
        <v>1.7142857142857142</v>
      </c>
      <c r="E14" s="49">
        <f>AVERAGE('31.07 Koboko-Arua'!E14,'01.08 Koboko-Arua'!E14,'04.08 Koboko-Arua'!E14,'05.08 Koboko-Arua'!E14,'02.08 Koboko-Arua-24h'!E14,'03.08 Koboko-Arua-24h'!E14,'06.08 Koboko-Arua'!E14)</f>
        <v>2.5714285714285716</v>
      </c>
      <c r="F14" s="49">
        <f>AVERAGE('31.07 Koboko-Arua'!F14,'01.08 Koboko-Arua'!F14,'04.08 Koboko-Arua'!F14,'05.08 Koboko-Arua'!F14,'02.08 Koboko-Arua-24h'!F14,'03.08 Koboko-Arua-24h'!F14,'06.08 Koboko-Arua'!F14)</f>
        <v>2.4285714285714284</v>
      </c>
      <c r="G14" s="49">
        <f>AVERAGE('31.07 Koboko-Arua'!G14,'01.08 Koboko-Arua'!G14,'04.08 Koboko-Arua'!G14,'05.08 Koboko-Arua'!G14,'02.08 Koboko-Arua-24h'!G14,'03.08 Koboko-Arua-24h'!G14,'06.08 Koboko-Arua'!G14)</f>
        <v>0.14285714285714285</v>
      </c>
      <c r="H14" s="49">
        <f>AVERAGE('31.07 Koboko-Arua'!H14,'01.08 Koboko-Arua'!H14,'04.08 Koboko-Arua'!H14,'05.08 Koboko-Arua'!H14,'02.08 Koboko-Arua-24h'!H14,'03.08 Koboko-Arua-24h'!H14,'06.08 Koboko-Arua'!H14)</f>
        <v>0.14285714285714285</v>
      </c>
      <c r="I14" s="49">
        <f>AVERAGE('31.07 Koboko-Arua'!I14,'01.08 Koboko-Arua'!I14,'04.08 Koboko-Arua'!I14,'05.08 Koboko-Arua'!I14,'02.08 Koboko-Arua-24h'!I14,'03.08 Koboko-Arua-24h'!I14,'06.08 Koboko-Arua'!I14)</f>
        <v>0.7142857142857143</v>
      </c>
      <c r="J14" s="49">
        <f>AVERAGE('31.07 Koboko-Arua'!J14,'01.08 Koboko-Arua'!J14,'04.08 Koboko-Arua'!J14,'05.08 Koboko-Arua'!J14,'02.08 Koboko-Arua-24h'!J14,'03.08 Koboko-Arua-24h'!J14,'06.08 Koboko-Arua'!J14)</f>
        <v>0.42857142857142855</v>
      </c>
      <c r="K14" s="49">
        <f>AVERAGE('31.07 Koboko-Arua'!K14,'01.08 Koboko-Arua'!K14,'04.08 Koboko-Arua'!K14,'05.08 Koboko-Arua'!K14,'02.08 Koboko-Arua-24h'!K14,'03.08 Koboko-Arua-24h'!K14,'06.08 Koboko-Arua'!K14)</f>
        <v>0</v>
      </c>
      <c r="L14" s="49">
        <f>AVERAGE('31.07 Koboko-Arua'!L14,'01.08 Koboko-Arua'!L14,'04.08 Koboko-Arua'!L14,'05.08 Koboko-Arua'!L14,'02.08 Koboko-Arua-24h'!L14,'03.08 Koboko-Arua-24h'!L14,'06.08 Koboko-Arua'!L14)</f>
        <v>0</v>
      </c>
      <c r="M14" s="49">
        <f>AVERAGE('31.07 Koboko-Arua'!M14,'01.08 Koboko-Arua'!M14,'04.08 Koboko-Arua'!M14,'05.08 Koboko-Arua'!M14,'02.08 Koboko-Arua-24h'!M14,'03.08 Koboko-Arua-24h'!M14,'06.08 Koboko-Arua'!M14)</f>
        <v>34.571428571428569</v>
      </c>
      <c r="N14" s="49">
        <f>AVERAGE('31.07 Koboko-Arua'!N14,'01.08 Koboko-Arua'!N14,'04.08 Koboko-Arua'!N14,'05.08 Koboko-Arua'!N14,'02.08 Koboko-Arua-24h'!N14,'03.08 Koboko-Arua-24h'!N14,'06.08 Koboko-Arua'!N14)</f>
        <v>0</v>
      </c>
      <c r="O14" s="15">
        <f t="shared" si="0"/>
        <v>12.857142857142856</v>
      </c>
      <c r="P14" s="15">
        <f t="shared" si="1"/>
        <v>47.428571428571423</v>
      </c>
      <c r="R14" s="1" t="s">
        <v>10</v>
      </c>
      <c r="S14" s="17">
        <f t="shared" ref="S14:AF14" si="6">SUM(C26:C29)</f>
        <v>34.142857142857139</v>
      </c>
      <c r="T14" s="17">
        <f t="shared" si="6"/>
        <v>4.7142857142857144</v>
      </c>
      <c r="U14" s="17">
        <f t="shared" si="6"/>
        <v>8</v>
      </c>
      <c r="V14" s="17">
        <f t="shared" si="6"/>
        <v>5.2857142857142856</v>
      </c>
      <c r="W14" s="17">
        <f t="shared" si="6"/>
        <v>0.42857142857142855</v>
      </c>
      <c r="X14" s="17">
        <f t="shared" si="6"/>
        <v>1</v>
      </c>
      <c r="Y14" s="17">
        <f t="shared" si="6"/>
        <v>8.4285714285714288</v>
      </c>
      <c r="Z14" s="17">
        <f t="shared" si="6"/>
        <v>1.714285714285714</v>
      </c>
      <c r="AA14" s="17">
        <f t="shared" si="6"/>
        <v>0.2857142857142857</v>
      </c>
      <c r="AB14" s="17">
        <f t="shared" si="6"/>
        <v>0</v>
      </c>
      <c r="AC14" s="17">
        <f t="shared" si="6"/>
        <v>136.57142857142858</v>
      </c>
      <c r="AD14" s="17">
        <f t="shared" si="6"/>
        <v>0.14285714285714285</v>
      </c>
      <c r="AE14" s="31">
        <f t="shared" si="6"/>
        <v>64.142857142857139</v>
      </c>
      <c r="AF14" s="31">
        <f t="shared" si="6"/>
        <v>200.71428571428572</v>
      </c>
    </row>
    <row r="15" spans="2:32" ht="23.1" customHeight="1" x14ac:dyDescent="0.25">
      <c r="B15" s="23" t="s">
        <v>42</v>
      </c>
      <c r="C15" s="49">
        <f>AVERAGE('31.07 Koboko-Arua'!C15,'01.08 Koboko-Arua'!C15,'04.08 Koboko-Arua'!C15,'05.08 Koboko-Arua'!C15,'02.08 Koboko-Arua-24h'!C15,'03.08 Koboko-Arua-24h'!C15,'06.08 Koboko-Arua'!C15)</f>
        <v>4.4285714285714288</v>
      </c>
      <c r="D15" s="49">
        <f>AVERAGE('31.07 Koboko-Arua'!D15,'01.08 Koboko-Arua'!D15,'04.08 Koboko-Arua'!D15,'05.08 Koboko-Arua'!D15,'02.08 Koboko-Arua-24h'!D15,'03.08 Koboko-Arua-24h'!D15,'06.08 Koboko-Arua'!D15)</f>
        <v>0.2857142857142857</v>
      </c>
      <c r="E15" s="49">
        <f>AVERAGE('31.07 Koboko-Arua'!E15,'01.08 Koboko-Arua'!E15,'04.08 Koboko-Arua'!E15,'05.08 Koboko-Arua'!E15,'02.08 Koboko-Arua-24h'!E15,'03.08 Koboko-Arua-24h'!E15,'06.08 Koboko-Arua'!E15)</f>
        <v>0.5714285714285714</v>
      </c>
      <c r="F15" s="49">
        <f>AVERAGE('31.07 Koboko-Arua'!F15,'01.08 Koboko-Arua'!F15,'04.08 Koboko-Arua'!F15,'05.08 Koboko-Arua'!F15,'02.08 Koboko-Arua-24h'!F15,'03.08 Koboko-Arua-24h'!F15,'06.08 Koboko-Arua'!F15)</f>
        <v>3.5714285714285716</v>
      </c>
      <c r="G15" s="49">
        <f>AVERAGE('31.07 Koboko-Arua'!G15,'01.08 Koboko-Arua'!G15,'04.08 Koboko-Arua'!G15,'05.08 Koboko-Arua'!G15,'02.08 Koboko-Arua-24h'!G15,'03.08 Koboko-Arua-24h'!G15,'06.08 Koboko-Arua'!G15)</f>
        <v>0.2857142857142857</v>
      </c>
      <c r="H15" s="49">
        <f>AVERAGE('31.07 Koboko-Arua'!H15,'01.08 Koboko-Arua'!H15,'04.08 Koboko-Arua'!H15,'05.08 Koboko-Arua'!H15,'02.08 Koboko-Arua-24h'!H15,'03.08 Koboko-Arua-24h'!H15,'06.08 Koboko-Arua'!H15)</f>
        <v>0.42857142857142855</v>
      </c>
      <c r="I15" s="49">
        <f>AVERAGE('31.07 Koboko-Arua'!I15,'01.08 Koboko-Arua'!I15,'04.08 Koboko-Arua'!I15,'05.08 Koboko-Arua'!I15,'02.08 Koboko-Arua-24h'!I15,'03.08 Koboko-Arua-24h'!I15,'06.08 Koboko-Arua'!I15)</f>
        <v>0.8571428571428571</v>
      </c>
      <c r="J15" s="49">
        <f>AVERAGE('31.07 Koboko-Arua'!J15,'01.08 Koboko-Arua'!J15,'04.08 Koboko-Arua'!J15,'05.08 Koboko-Arua'!J15,'02.08 Koboko-Arua-24h'!J15,'03.08 Koboko-Arua-24h'!J15,'06.08 Koboko-Arua'!J15)</f>
        <v>1</v>
      </c>
      <c r="K15" s="49">
        <f>AVERAGE('31.07 Koboko-Arua'!K15,'01.08 Koboko-Arua'!K15,'04.08 Koboko-Arua'!K15,'05.08 Koboko-Arua'!K15,'02.08 Koboko-Arua-24h'!K15,'03.08 Koboko-Arua-24h'!K15,'06.08 Koboko-Arua'!K15)</f>
        <v>0</v>
      </c>
      <c r="L15" s="49">
        <f>AVERAGE('31.07 Koboko-Arua'!L15,'01.08 Koboko-Arua'!L15,'04.08 Koboko-Arua'!L15,'05.08 Koboko-Arua'!L15,'02.08 Koboko-Arua-24h'!L15,'03.08 Koboko-Arua-24h'!L15,'06.08 Koboko-Arua'!L15)</f>
        <v>0</v>
      </c>
      <c r="M15" s="49">
        <f>AVERAGE('31.07 Koboko-Arua'!M15,'01.08 Koboko-Arua'!M15,'04.08 Koboko-Arua'!M15,'05.08 Koboko-Arua'!M15,'02.08 Koboko-Arua-24h'!M15,'03.08 Koboko-Arua-24h'!M15,'06.08 Koboko-Arua'!M15)</f>
        <v>31</v>
      </c>
      <c r="N15" s="49">
        <f>AVERAGE('31.07 Koboko-Arua'!N15,'01.08 Koboko-Arua'!N15,'04.08 Koboko-Arua'!N15,'05.08 Koboko-Arua'!N15,'02.08 Koboko-Arua-24h'!N15,'03.08 Koboko-Arua-24h'!N15,'06.08 Koboko-Arua'!N15)</f>
        <v>0</v>
      </c>
      <c r="O15" s="15">
        <f t="shared" si="0"/>
        <v>11.428571428571431</v>
      </c>
      <c r="P15" s="15">
        <f t="shared" si="1"/>
        <v>42.428571428571431</v>
      </c>
      <c r="R15" s="1" t="s">
        <v>11</v>
      </c>
      <c r="S15" s="17">
        <f t="shared" ref="S15:AF15" si="7">SUM(C30:C33)</f>
        <v>33.142857142857139</v>
      </c>
      <c r="T15" s="17">
        <f t="shared" si="7"/>
        <v>6.8571428571428577</v>
      </c>
      <c r="U15" s="17">
        <f t="shared" si="7"/>
        <v>12.285714285714285</v>
      </c>
      <c r="V15" s="17">
        <f t="shared" si="7"/>
        <v>6</v>
      </c>
      <c r="W15" s="17">
        <f t="shared" si="7"/>
        <v>0.14285714285714285</v>
      </c>
      <c r="X15" s="17">
        <f t="shared" si="7"/>
        <v>0.2857142857142857</v>
      </c>
      <c r="Y15" s="17">
        <f t="shared" si="7"/>
        <v>9.5714285714285712</v>
      </c>
      <c r="Z15" s="17">
        <f t="shared" si="7"/>
        <v>1.2857142857142856</v>
      </c>
      <c r="AA15" s="17">
        <f t="shared" si="7"/>
        <v>0.2857142857142857</v>
      </c>
      <c r="AB15" s="17">
        <f t="shared" si="7"/>
        <v>0</v>
      </c>
      <c r="AC15" s="17">
        <f t="shared" si="7"/>
        <v>165.85714285714286</v>
      </c>
      <c r="AD15" s="17">
        <f t="shared" si="7"/>
        <v>0</v>
      </c>
      <c r="AE15" s="31">
        <f t="shared" si="7"/>
        <v>69.857142857142847</v>
      </c>
      <c r="AF15" s="31">
        <f t="shared" si="7"/>
        <v>235.71428571428572</v>
      </c>
    </row>
    <row r="16" spans="2:32" ht="23.1" customHeight="1" x14ac:dyDescent="0.25">
      <c r="B16" s="23" t="s">
        <v>43</v>
      </c>
      <c r="C16" s="49">
        <f>AVERAGE('31.07 Koboko-Arua'!C16,'01.08 Koboko-Arua'!C16,'04.08 Koboko-Arua'!C16,'05.08 Koboko-Arua'!C16,'02.08 Koboko-Arua-24h'!C16,'03.08 Koboko-Arua-24h'!C16,'06.08 Koboko-Arua'!C16)</f>
        <v>8.1428571428571423</v>
      </c>
      <c r="D16" s="49">
        <f>AVERAGE('31.07 Koboko-Arua'!D16,'01.08 Koboko-Arua'!D16,'04.08 Koboko-Arua'!D16,'05.08 Koboko-Arua'!D16,'02.08 Koboko-Arua-24h'!D16,'03.08 Koboko-Arua-24h'!D16,'06.08 Koboko-Arua'!D16)</f>
        <v>0.5714285714285714</v>
      </c>
      <c r="E16" s="49">
        <f>AVERAGE('31.07 Koboko-Arua'!E16,'01.08 Koboko-Arua'!E16,'04.08 Koboko-Arua'!E16,'05.08 Koboko-Arua'!E16,'02.08 Koboko-Arua-24h'!E16,'03.08 Koboko-Arua-24h'!E16,'06.08 Koboko-Arua'!E16)</f>
        <v>0.8571428571428571</v>
      </c>
      <c r="F16" s="49">
        <f>AVERAGE('31.07 Koboko-Arua'!F16,'01.08 Koboko-Arua'!F16,'04.08 Koboko-Arua'!F16,'05.08 Koboko-Arua'!F16,'02.08 Koboko-Arua-24h'!F16,'03.08 Koboko-Arua-24h'!F16,'06.08 Koboko-Arua'!F16)</f>
        <v>1.1428571428571428</v>
      </c>
      <c r="G16" s="49">
        <f>AVERAGE('31.07 Koboko-Arua'!G16,'01.08 Koboko-Arua'!G16,'04.08 Koboko-Arua'!G16,'05.08 Koboko-Arua'!G16,'02.08 Koboko-Arua-24h'!G16,'03.08 Koboko-Arua-24h'!G16,'06.08 Koboko-Arua'!G16)</f>
        <v>0</v>
      </c>
      <c r="H16" s="49">
        <f>AVERAGE('31.07 Koboko-Arua'!H16,'01.08 Koboko-Arua'!H16,'04.08 Koboko-Arua'!H16,'05.08 Koboko-Arua'!H16,'02.08 Koboko-Arua-24h'!H16,'03.08 Koboko-Arua-24h'!H16,'06.08 Koboko-Arua'!H16)</f>
        <v>0</v>
      </c>
      <c r="I16" s="49">
        <f>AVERAGE('31.07 Koboko-Arua'!I16,'01.08 Koboko-Arua'!I16,'04.08 Koboko-Arua'!I16,'05.08 Koboko-Arua'!I16,'02.08 Koboko-Arua-24h'!I16,'03.08 Koboko-Arua-24h'!I16,'06.08 Koboko-Arua'!I16)</f>
        <v>1.2857142857142858</v>
      </c>
      <c r="J16" s="49">
        <f>AVERAGE('31.07 Koboko-Arua'!J16,'01.08 Koboko-Arua'!J16,'04.08 Koboko-Arua'!J16,'05.08 Koboko-Arua'!J16,'02.08 Koboko-Arua-24h'!J16,'03.08 Koboko-Arua-24h'!J16,'06.08 Koboko-Arua'!J16)</f>
        <v>0</v>
      </c>
      <c r="K16" s="49">
        <f>AVERAGE('31.07 Koboko-Arua'!K16,'01.08 Koboko-Arua'!K16,'04.08 Koboko-Arua'!K16,'05.08 Koboko-Arua'!K16,'02.08 Koboko-Arua-24h'!K16,'03.08 Koboko-Arua-24h'!K16,'06.08 Koboko-Arua'!K16)</f>
        <v>0</v>
      </c>
      <c r="L16" s="49">
        <f>AVERAGE('31.07 Koboko-Arua'!L16,'01.08 Koboko-Arua'!L16,'04.08 Koboko-Arua'!L16,'05.08 Koboko-Arua'!L16,'02.08 Koboko-Arua-24h'!L16,'03.08 Koboko-Arua-24h'!L16,'06.08 Koboko-Arua'!L16)</f>
        <v>0</v>
      </c>
      <c r="M16" s="49">
        <f>AVERAGE('31.07 Koboko-Arua'!M16,'01.08 Koboko-Arua'!M16,'04.08 Koboko-Arua'!M16,'05.08 Koboko-Arua'!M16,'02.08 Koboko-Arua-24h'!M16,'03.08 Koboko-Arua-24h'!M16,'06.08 Koboko-Arua'!M16)</f>
        <v>40.714285714285715</v>
      </c>
      <c r="N16" s="49">
        <f>AVERAGE('31.07 Koboko-Arua'!N16,'01.08 Koboko-Arua'!N16,'04.08 Koboko-Arua'!N16,'05.08 Koboko-Arua'!N16,'02.08 Koboko-Arua-24h'!N16,'03.08 Koboko-Arua-24h'!N16,'06.08 Koboko-Arua'!N16)</f>
        <v>0</v>
      </c>
      <c r="O16" s="15">
        <f t="shared" si="0"/>
        <v>12</v>
      </c>
      <c r="P16" s="15">
        <f t="shared" si="1"/>
        <v>52.714285714285715</v>
      </c>
      <c r="R16" s="1" t="s">
        <v>12</v>
      </c>
      <c r="S16" s="17">
        <f t="shared" ref="S16:AF16" si="8">SUM(C34:C37)</f>
        <v>31.857142857142861</v>
      </c>
      <c r="T16" s="17">
        <f t="shared" si="8"/>
        <v>7.7142857142857144</v>
      </c>
      <c r="U16" s="17">
        <f t="shared" si="8"/>
        <v>13.714285714285715</v>
      </c>
      <c r="V16" s="17">
        <f t="shared" si="8"/>
        <v>8.5714285714285712</v>
      </c>
      <c r="W16" s="17">
        <f t="shared" si="8"/>
        <v>0.42857142857142855</v>
      </c>
      <c r="X16" s="17">
        <f t="shared" si="8"/>
        <v>29</v>
      </c>
      <c r="Y16" s="17">
        <f t="shared" si="8"/>
        <v>9.4285714285714288</v>
      </c>
      <c r="Z16" s="17">
        <f t="shared" si="8"/>
        <v>2</v>
      </c>
      <c r="AA16" s="17">
        <f t="shared" si="8"/>
        <v>0.2857142857142857</v>
      </c>
      <c r="AB16" s="17">
        <f t="shared" si="8"/>
        <v>0.5714285714285714</v>
      </c>
      <c r="AC16" s="17">
        <f t="shared" si="8"/>
        <v>114.71428571428572</v>
      </c>
      <c r="AD16" s="17">
        <f t="shared" si="8"/>
        <v>0</v>
      </c>
      <c r="AE16" s="31">
        <f t="shared" si="8"/>
        <v>103.57142857142858</v>
      </c>
      <c r="AF16" s="31">
        <f t="shared" si="8"/>
        <v>218.28571428571428</v>
      </c>
    </row>
    <row r="17" spans="2:32" ht="23.1" customHeight="1" x14ac:dyDescent="0.25">
      <c r="B17" s="23" t="s">
        <v>44</v>
      </c>
      <c r="C17" s="49">
        <f>AVERAGE('31.07 Koboko-Arua'!C17,'01.08 Koboko-Arua'!C17,'04.08 Koboko-Arua'!C17,'05.08 Koboko-Arua'!C17,'02.08 Koboko-Arua-24h'!C17,'03.08 Koboko-Arua-24h'!C17,'06.08 Koboko-Arua'!C17)</f>
        <v>6.5714285714285712</v>
      </c>
      <c r="D17" s="49">
        <f>AVERAGE('31.07 Koboko-Arua'!D17,'01.08 Koboko-Arua'!D17,'04.08 Koboko-Arua'!D17,'05.08 Koboko-Arua'!D17,'02.08 Koboko-Arua-24h'!D17,'03.08 Koboko-Arua-24h'!D17,'06.08 Koboko-Arua'!D17)</f>
        <v>1.2857142857142858</v>
      </c>
      <c r="E17" s="49">
        <f>AVERAGE('31.07 Koboko-Arua'!E17,'01.08 Koboko-Arua'!E17,'04.08 Koboko-Arua'!E17,'05.08 Koboko-Arua'!E17,'02.08 Koboko-Arua-24h'!E17,'03.08 Koboko-Arua-24h'!E17,'06.08 Koboko-Arua'!E17)</f>
        <v>2.5714285714285716</v>
      </c>
      <c r="F17" s="49">
        <f>AVERAGE('31.07 Koboko-Arua'!F17,'01.08 Koboko-Arua'!F17,'04.08 Koboko-Arua'!F17,'05.08 Koboko-Arua'!F17,'02.08 Koboko-Arua-24h'!F17,'03.08 Koboko-Arua-24h'!F17,'06.08 Koboko-Arua'!F17)</f>
        <v>4.7142857142857144</v>
      </c>
      <c r="G17" s="49">
        <f>AVERAGE('31.07 Koboko-Arua'!G17,'01.08 Koboko-Arua'!G17,'04.08 Koboko-Arua'!G17,'05.08 Koboko-Arua'!G17,'02.08 Koboko-Arua-24h'!G17,'03.08 Koboko-Arua-24h'!G17,'06.08 Koboko-Arua'!G17)</f>
        <v>0.2857142857142857</v>
      </c>
      <c r="H17" s="49">
        <f>AVERAGE('31.07 Koboko-Arua'!H17,'01.08 Koboko-Arua'!H17,'04.08 Koboko-Arua'!H17,'05.08 Koboko-Arua'!H17,'02.08 Koboko-Arua-24h'!H17,'03.08 Koboko-Arua-24h'!H17,'06.08 Koboko-Arua'!H17)</f>
        <v>0.2857142857142857</v>
      </c>
      <c r="I17" s="49">
        <f>AVERAGE('31.07 Koboko-Arua'!I17,'01.08 Koboko-Arua'!I17,'04.08 Koboko-Arua'!I17,'05.08 Koboko-Arua'!I17,'02.08 Koboko-Arua-24h'!I17,'03.08 Koboko-Arua-24h'!I17,'06.08 Koboko-Arua'!I17)</f>
        <v>1.1428571428571428</v>
      </c>
      <c r="J17" s="49">
        <f>AVERAGE('31.07 Koboko-Arua'!J17,'01.08 Koboko-Arua'!J17,'04.08 Koboko-Arua'!J17,'05.08 Koboko-Arua'!J17,'02.08 Koboko-Arua-24h'!J17,'03.08 Koboko-Arua-24h'!J17,'06.08 Koboko-Arua'!J17)</f>
        <v>0.42857142857142855</v>
      </c>
      <c r="K17" s="49">
        <f>AVERAGE('31.07 Koboko-Arua'!K17,'01.08 Koboko-Arua'!K17,'04.08 Koboko-Arua'!K17,'05.08 Koboko-Arua'!K17,'02.08 Koboko-Arua-24h'!K17,'03.08 Koboko-Arua-24h'!K17,'06.08 Koboko-Arua'!K17)</f>
        <v>0</v>
      </c>
      <c r="L17" s="49">
        <f>AVERAGE('31.07 Koboko-Arua'!L17,'01.08 Koboko-Arua'!L17,'04.08 Koboko-Arua'!L17,'05.08 Koboko-Arua'!L17,'02.08 Koboko-Arua-24h'!L17,'03.08 Koboko-Arua-24h'!L17,'06.08 Koboko-Arua'!L17)</f>
        <v>0.2857142857142857</v>
      </c>
      <c r="M17" s="49">
        <f>AVERAGE('31.07 Koboko-Arua'!M17,'01.08 Koboko-Arua'!M17,'04.08 Koboko-Arua'!M17,'05.08 Koboko-Arua'!M17,'02.08 Koboko-Arua-24h'!M17,'03.08 Koboko-Arua-24h'!M17,'06.08 Koboko-Arua'!M17)</f>
        <v>29.714285714285715</v>
      </c>
      <c r="N17" s="49">
        <f>AVERAGE('31.07 Koboko-Arua'!N17,'01.08 Koboko-Arua'!N17,'04.08 Koboko-Arua'!N17,'05.08 Koboko-Arua'!N17,'02.08 Koboko-Arua-24h'!N17,'03.08 Koboko-Arua-24h'!N17,'06.08 Koboko-Arua'!N17)</f>
        <v>0</v>
      </c>
      <c r="O17" s="15">
        <f t="shared" si="0"/>
        <v>17.571428571428569</v>
      </c>
      <c r="P17" s="15">
        <f t="shared" si="1"/>
        <v>47.285714285714285</v>
      </c>
      <c r="R17" s="1" t="s">
        <v>13</v>
      </c>
      <c r="S17" s="17">
        <f t="shared" ref="S17:AF17" si="9">SUM(C38:C41)</f>
        <v>24.857142857142858</v>
      </c>
      <c r="T17" s="17">
        <f t="shared" si="9"/>
        <v>6.2857142857142856</v>
      </c>
      <c r="U17" s="17">
        <f t="shared" si="9"/>
        <v>11.142857142857142</v>
      </c>
      <c r="V17" s="17">
        <f t="shared" si="9"/>
        <v>5.7142857142857144</v>
      </c>
      <c r="W17" s="17">
        <f t="shared" si="9"/>
        <v>1</v>
      </c>
      <c r="X17" s="17">
        <f t="shared" si="9"/>
        <v>27.857142857142854</v>
      </c>
      <c r="Y17" s="17">
        <f t="shared" si="9"/>
        <v>6.4285714285714288</v>
      </c>
      <c r="Z17" s="17">
        <f t="shared" si="9"/>
        <v>1.4285714285714284</v>
      </c>
      <c r="AA17" s="17">
        <f t="shared" si="9"/>
        <v>0.42857142857142855</v>
      </c>
      <c r="AB17" s="17">
        <f t="shared" si="9"/>
        <v>0.42857142857142855</v>
      </c>
      <c r="AC17" s="17">
        <f t="shared" si="9"/>
        <v>123</v>
      </c>
      <c r="AD17" s="17">
        <f t="shared" si="9"/>
        <v>0</v>
      </c>
      <c r="AE17" s="31">
        <f t="shared" si="9"/>
        <v>85.571428571428555</v>
      </c>
      <c r="AF17" s="31">
        <f t="shared" si="9"/>
        <v>208.57142857142858</v>
      </c>
    </row>
    <row r="18" spans="2:32" ht="23.1" customHeight="1" x14ac:dyDescent="0.25">
      <c r="B18" s="23" t="s">
        <v>45</v>
      </c>
      <c r="C18" s="49">
        <f>AVERAGE('31.07 Koboko-Arua'!C18,'01.08 Koboko-Arua'!C18,'04.08 Koboko-Arua'!C18,'05.08 Koboko-Arua'!C18,'02.08 Koboko-Arua-24h'!C18,'03.08 Koboko-Arua-24h'!C18,'06.08 Koboko-Arua'!C18)</f>
        <v>12.142857142857142</v>
      </c>
      <c r="D18" s="49">
        <f>AVERAGE('31.07 Koboko-Arua'!D18,'01.08 Koboko-Arua'!D18,'04.08 Koboko-Arua'!D18,'05.08 Koboko-Arua'!D18,'02.08 Koboko-Arua-24h'!D18,'03.08 Koboko-Arua-24h'!D18,'06.08 Koboko-Arua'!D18)</f>
        <v>0.8571428571428571</v>
      </c>
      <c r="E18" s="49">
        <f>AVERAGE('31.07 Koboko-Arua'!E18,'01.08 Koboko-Arua'!E18,'04.08 Koboko-Arua'!E18,'05.08 Koboko-Arua'!E18,'02.08 Koboko-Arua-24h'!E18,'03.08 Koboko-Arua-24h'!E18,'06.08 Koboko-Arua'!E18)</f>
        <v>2</v>
      </c>
      <c r="F18" s="49">
        <f>AVERAGE('31.07 Koboko-Arua'!F18,'01.08 Koboko-Arua'!F18,'04.08 Koboko-Arua'!F18,'05.08 Koboko-Arua'!F18,'02.08 Koboko-Arua-24h'!F18,'03.08 Koboko-Arua-24h'!F18,'06.08 Koboko-Arua'!F18)</f>
        <v>2</v>
      </c>
      <c r="G18" s="49">
        <f>AVERAGE('31.07 Koboko-Arua'!G18,'01.08 Koboko-Arua'!G18,'04.08 Koboko-Arua'!G18,'05.08 Koboko-Arua'!G18,'02.08 Koboko-Arua-24h'!G18,'03.08 Koboko-Arua-24h'!G18,'06.08 Koboko-Arua'!G18)</f>
        <v>0.14285714285714285</v>
      </c>
      <c r="H18" s="49">
        <f>AVERAGE('31.07 Koboko-Arua'!H18,'01.08 Koboko-Arua'!H18,'04.08 Koboko-Arua'!H18,'05.08 Koboko-Arua'!H18,'02.08 Koboko-Arua-24h'!H18,'03.08 Koboko-Arua-24h'!H18,'06.08 Koboko-Arua'!H18)</f>
        <v>0</v>
      </c>
      <c r="I18" s="49">
        <f>AVERAGE('31.07 Koboko-Arua'!I18,'01.08 Koboko-Arua'!I18,'04.08 Koboko-Arua'!I18,'05.08 Koboko-Arua'!I18,'02.08 Koboko-Arua-24h'!I18,'03.08 Koboko-Arua-24h'!I18,'06.08 Koboko-Arua'!I18)</f>
        <v>1.1428571428571428</v>
      </c>
      <c r="J18" s="49">
        <f>AVERAGE('31.07 Koboko-Arua'!J18,'01.08 Koboko-Arua'!J18,'04.08 Koboko-Arua'!J18,'05.08 Koboko-Arua'!J18,'02.08 Koboko-Arua-24h'!J18,'03.08 Koboko-Arua-24h'!J18,'06.08 Koboko-Arua'!J18)</f>
        <v>0.2857142857142857</v>
      </c>
      <c r="K18" s="49">
        <f>AVERAGE('31.07 Koboko-Arua'!K18,'01.08 Koboko-Arua'!K18,'04.08 Koboko-Arua'!K18,'05.08 Koboko-Arua'!K18,'02.08 Koboko-Arua-24h'!K18,'03.08 Koboko-Arua-24h'!K18,'06.08 Koboko-Arua'!K18)</f>
        <v>0.14285714285714285</v>
      </c>
      <c r="L18" s="49">
        <f>AVERAGE('31.07 Koboko-Arua'!L18,'01.08 Koboko-Arua'!L18,'04.08 Koboko-Arua'!L18,'05.08 Koboko-Arua'!L18,'02.08 Koboko-Arua-24h'!L18,'03.08 Koboko-Arua-24h'!L18,'06.08 Koboko-Arua'!L18)</f>
        <v>0</v>
      </c>
      <c r="M18" s="49">
        <f>AVERAGE('31.07 Koboko-Arua'!M18,'01.08 Koboko-Arua'!M18,'04.08 Koboko-Arua'!M18,'05.08 Koboko-Arua'!M18,'02.08 Koboko-Arua-24h'!M18,'03.08 Koboko-Arua-24h'!M18,'06.08 Koboko-Arua'!M18)</f>
        <v>29.285714285714285</v>
      </c>
      <c r="N18" s="49">
        <f>AVERAGE('31.07 Koboko-Arua'!N18,'01.08 Koboko-Arua'!N18,'04.08 Koboko-Arua'!N18,'05.08 Koboko-Arua'!N18,'02.08 Koboko-Arua-24h'!N18,'03.08 Koboko-Arua-24h'!N18,'06.08 Koboko-Arua'!N18)</f>
        <v>0</v>
      </c>
      <c r="O18" s="15">
        <f t="shared" si="0"/>
        <v>18.714285714285712</v>
      </c>
      <c r="P18" s="15">
        <f t="shared" si="1"/>
        <v>48</v>
      </c>
      <c r="R18" s="1" t="s">
        <v>14</v>
      </c>
      <c r="S18" s="17">
        <f t="shared" ref="S18:AF18" si="10">SUM(C42:C45)</f>
        <v>28.285714285714285</v>
      </c>
      <c r="T18" s="17">
        <f t="shared" si="10"/>
        <v>10.142857142857142</v>
      </c>
      <c r="U18" s="17">
        <f t="shared" si="10"/>
        <v>20.285714285714285</v>
      </c>
      <c r="V18" s="17">
        <f t="shared" si="10"/>
        <v>4.7142857142857135</v>
      </c>
      <c r="W18" s="17">
        <f t="shared" si="10"/>
        <v>0.14285714285714285</v>
      </c>
      <c r="X18" s="17">
        <f t="shared" si="10"/>
        <v>21</v>
      </c>
      <c r="Y18" s="17">
        <f t="shared" si="10"/>
        <v>5.8571428571428568</v>
      </c>
      <c r="Z18" s="17">
        <f t="shared" si="10"/>
        <v>1.857142857142857</v>
      </c>
      <c r="AA18" s="17">
        <f t="shared" si="10"/>
        <v>0.14285714285714285</v>
      </c>
      <c r="AB18" s="17">
        <f t="shared" si="10"/>
        <v>0.85714285714285698</v>
      </c>
      <c r="AC18" s="17">
        <f t="shared" si="10"/>
        <v>124.28571428571428</v>
      </c>
      <c r="AD18" s="17">
        <f t="shared" si="10"/>
        <v>0.14285714285714285</v>
      </c>
      <c r="AE18" s="31">
        <f t="shared" si="10"/>
        <v>93.428571428571416</v>
      </c>
      <c r="AF18" s="31">
        <f t="shared" si="10"/>
        <v>217.71428571428572</v>
      </c>
    </row>
    <row r="19" spans="2:32" ht="23.1" customHeight="1" x14ac:dyDescent="0.25">
      <c r="B19" s="23" t="s">
        <v>46</v>
      </c>
      <c r="C19" s="49">
        <f>AVERAGE('31.07 Koboko-Arua'!C19,'01.08 Koboko-Arua'!C19,'04.08 Koboko-Arua'!C19,'05.08 Koboko-Arua'!C19,'02.08 Koboko-Arua-24h'!C19,'03.08 Koboko-Arua-24h'!C19,'06.08 Koboko-Arua'!C19)</f>
        <v>13.142857142857142</v>
      </c>
      <c r="D19" s="49">
        <f>AVERAGE('31.07 Koboko-Arua'!D19,'01.08 Koboko-Arua'!D19,'04.08 Koboko-Arua'!D19,'05.08 Koboko-Arua'!D19,'02.08 Koboko-Arua-24h'!D19,'03.08 Koboko-Arua-24h'!D19,'06.08 Koboko-Arua'!D19)</f>
        <v>1.1428571428571428</v>
      </c>
      <c r="E19" s="49">
        <f>AVERAGE('31.07 Koboko-Arua'!E19,'01.08 Koboko-Arua'!E19,'04.08 Koboko-Arua'!E19,'05.08 Koboko-Arua'!E19,'02.08 Koboko-Arua-24h'!E19,'03.08 Koboko-Arua-24h'!E19,'06.08 Koboko-Arua'!E19)</f>
        <v>2.1428571428571428</v>
      </c>
      <c r="F19" s="49">
        <f>AVERAGE('31.07 Koboko-Arua'!F19,'01.08 Koboko-Arua'!F19,'04.08 Koboko-Arua'!F19,'05.08 Koboko-Arua'!F19,'02.08 Koboko-Arua-24h'!F19,'03.08 Koboko-Arua-24h'!F19,'06.08 Koboko-Arua'!F19)</f>
        <v>2.8571428571428572</v>
      </c>
      <c r="G19" s="49">
        <f>AVERAGE('31.07 Koboko-Arua'!G19,'01.08 Koboko-Arua'!G19,'04.08 Koboko-Arua'!G19,'05.08 Koboko-Arua'!G19,'02.08 Koboko-Arua-24h'!G19,'03.08 Koboko-Arua-24h'!G19,'06.08 Koboko-Arua'!G19)</f>
        <v>0</v>
      </c>
      <c r="H19" s="49">
        <f>AVERAGE('31.07 Koboko-Arua'!H19,'01.08 Koboko-Arua'!H19,'04.08 Koboko-Arua'!H19,'05.08 Koboko-Arua'!H19,'02.08 Koboko-Arua-24h'!H19,'03.08 Koboko-Arua-24h'!H19,'06.08 Koboko-Arua'!H19)</f>
        <v>0</v>
      </c>
      <c r="I19" s="49">
        <f>AVERAGE('31.07 Koboko-Arua'!I19,'01.08 Koboko-Arua'!I19,'04.08 Koboko-Arua'!I19,'05.08 Koboko-Arua'!I19,'02.08 Koboko-Arua-24h'!I19,'03.08 Koboko-Arua-24h'!I19,'06.08 Koboko-Arua'!I19)</f>
        <v>0.8571428571428571</v>
      </c>
      <c r="J19" s="49">
        <f>AVERAGE('31.07 Koboko-Arua'!J19,'01.08 Koboko-Arua'!J19,'04.08 Koboko-Arua'!J19,'05.08 Koboko-Arua'!J19,'02.08 Koboko-Arua-24h'!J19,'03.08 Koboko-Arua-24h'!J19,'06.08 Koboko-Arua'!J19)</f>
        <v>1</v>
      </c>
      <c r="K19" s="49">
        <f>AVERAGE('31.07 Koboko-Arua'!K19,'01.08 Koboko-Arua'!K19,'04.08 Koboko-Arua'!K19,'05.08 Koboko-Arua'!K19,'02.08 Koboko-Arua-24h'!K19,'03.08 Koboko-Arua-24h'!K19,'06.08 Koboko-Arua'!K19)</f>
        <v>0</v>
      </c>
      <c r="L19" s="49">
        <f>AVERAGE('31.07 Koboko-Arua'!L19,'01.08 Koboko-Arua'!L19,'04.08 Koboko-Arua'!L19,'05.08 Koboko-Arua'!L19,'02.08 Koboko-Arua-24h'!L19,'03.08 Koboko-Arua-24h'!L19,'06.08 Koboko-Arua'!L19)</f>
        <v>1</v>
      </c>
      <c r="M19" s="49">
        <f>AVERAGE('31.07 Koboko-Arua'!M19,'01.08 Koboko-Arua'!M19,'04.08 Koboko-Arua'!M19,'05.08 Koboko-Arua'!M19,'02.08 Koboko-Arua-24h'!M19,'03.08 Koboko-Arua-24h'!M19,'06.08 Koboko-Arua'!M19)</f>
        <v>27.428571428571427</v>
      </c>
      <c r="N19" s="49">
        <f>AVERAGE('31.07 Koboko-Arua'!N19,'01.08 Koboko-Arua'!N19,'04.08 Koboko-Arua'!N19,'05.08 Koboko-Arua'!N19,'02.08 Koboko-Arua-24h'!N19,'03.08 Koboko-Arua-24h'!N19,'06.08 Koboko-Arua'!N19)</f>
        <v>0</v>
      </c>
      <c r="O19" s="15">
        <f t="shared" si="0"/>
        <v>22.142857142857142</v>
      </c>
      <c r="P19" s="15">
        <f t="shared" si="1"/>
        <v>49.571428571428569</v>
      </c>
      <c r="R19" s="1" t="s">
        <v>15</v>
      </c>
      <c r="S19" s="17">
        <f t="shared" ref="S19:AF19" si="11">SUM(C46:C49)</f>
        <v>37.285714285714285</v>
      </c>
      <c r="T19" s="17">
        <f t="shared" si="11"/>
        <v>9</v>
      </c>
      <c r="U19" s="17">
        <f t="shared" si="11"/>
        <v>15.142857142857142</v>
      </c>
      <c r="V19" s="17">
        <f t="shared" si="11"/>
        <v>7.1428571428571423</v>
      </c>
      <c r="W19" s="17">
        <f t="shared" si="11"/>
        <v>0.99999999999999989</v>
      </c>
      <c r="X19" s="17">
        <f t="shared" si="11"/>
        <v>22.428571428571427</v>
      </c>
      <c r="Y19" s="17">
        <f t="shared" si="11"/>
        <v>3.8571428571428568</v>
      </c>
      <c r="Z19" s="17">
        <f t="shared" si="11"/>
        <v>3.1428571428571428</v>
      </c>
      <c r="AA19" s="17">
        <f t="shared" si="11"/>
        <v>0.14285714285714285</v>
      </c>
      <c r="AB19" s="17">
        <f t="shared" si="11"/>
        <v>1</v>
      </c>
      <c r="AC19" s="17">
        <f t="shared" si="11"/>
        <v>114</v>
      </c>
      <c r="AD19" s="17">
        <f t="shared" si="11"/>
        <v>0</v>
      </c>
      <c r="AE19" s="31">
        <f t="shared" si="11"/>
        <v>100.14285714285714</v>
      </c>
      <c r="AF19" s="31">
        <f t="shared" si="11"/>
        <v>214.14285714285717</v>
      </c>
    </row>
    <row r="20" spans="2:32" ht="23.1" customHeight="1" x14ac:dyDescent="0.25">
      <c r="B20" s="23" t="s">
        <v>47</v>
      </c>
      <c r="C20" s="49">
        <f>AVERAGE('31.07 Koboko-Arua'!C20,'01.08 Koboko-Arua'!C20,'04.08 Koboko-Arua'!C20,'05.08 Koboko-Arua'!C20,'02.08 Koboko-Arua-24h'!C20,'03.08 Koboko-Arua-24h'!C20,'06.08 Koboko-Arua'!C20)</f>
        <v>7.4285714285714288</v>
      </c>
      <c r="D20" s="49">
        <f>AVERAGE('31.07 Koboko-Arua'!D20,'01.08 Koboko-Arua'!D20,'04.08 Koboko-Arua'!D20,'05.08 Koboko-Arua'!D20,'02.08 Koboko-Arua-24h'!D20,'03.08 Koboko-Arua-24h'!D20,'06.08 Koboko-Arua'!D20)</f>
        <v>1.4285714285714286</v>
      </c>
      <c r="E20" s="49">
        <f>AVERAGE('31.07 Koboko-Arua'!E20,'01.08 Koboko-Arua'!E20,'04.08 Koboko-Arua'!E20,'05.08 Koboko-Arua'!E20,'02.08 Koboko-Arua-24h'!E20,'03.08 Koboko-Arua-24h'!E20,'06.08 Koboko-Arua'!E20)</f>
        <v>3</v>
      </c>
      <c r="F20" s="49">
        <f>AVERAGE('31.07 Koboko-Arua'!F20,'01.08 Koboko-Arua'!F20,'04.08 Koboko-Arua'!F20,'05.08 Koboko-Arua'!F20,'02.08 Koboko-Arua-24h'!F20,'03.08 Koboko-Arua-24h'!F20,'06.08 Koboko-Arua'!F20)</f>
        <v>2.7142857142857144</v>
      </c>
      <c r="G20" s="49">
        <f>AVERAGE('31.07 Koboko-Arua'!G20,'01.08 Koboko-Arua'!G20,'04.08 Koboko-Arua'!G20,'05.08 Koboko-Arua'!G20,'02.08 Koboko-Arua-24h'!G20,'03.08 Koboko-Arua-24h'!G20,'06.08 Koboko-Arua'!G20)</f>
        <v>0</v>
      </c>
      <c r="H20" s="49">
        <f>AVERAGE('31.07 Koboko-Arua'!H20,'01.08 Koboko-Arua'!H20,'04.08 Koboko-Arua'!H20,'05.08 Koboko-Arua'!H20,'02.08 Koboko-Arua-24h'!H20,'03.08 Koboko-Arua-24h'!H20,'06.08 Koboko-Arua'!H20)</f>
        <v>0</v>
      </c>
      <c r="I20" s="49">
        <f>AVERAGE('31.07 Koboko-Arua'!I20,'01.08 Koboko-Arua'!I20,'04.08 Koboko-Arua'!I20,'05.08 Koboko-Arua'!I20,'02.08 Koboko-Arua-24h'!I20,'03.08 Koboko-Arua-24h'!I20,'06.08 Koboko-Arua'!I20)</f>
        <v>2.7142857142857144</v>
      </c>
      <c r="J20" s="49">
        <f>AVERAGE('31.07 Koboko-Arua'!J20,'01.08 Koboko-Arua'!J20,'04.08 Koboko-Arua'!J20,'05.08 Koboko-Arua'!J20,'02.08 Koboko-Arua-24h'!J20,'03.08 Koboko-Arua-24h'!J20,'06.08 Koboko-Arua'!J20)</f>
        <v>0.5714285714285714</v>
      </c>
      <c r="K20" s="49">
        <f>AVERAGE('31.07 Koboko-Arua'!K20,'01.08 Koboko-Arua'!K20,'04.08 Koboko-Arua'!K20,'05.08 Koboko-Arua'!K20,'02.08 Koboko-Arua-24h'!K20,'03.08 Koboko-Arua-24h'!K20,'06.08 Koboko-Arua'!K20)</f>
        <v>0.2857142857142857</v>
      </c>
      <c r="L20" s="49">
        <f>AVERAGE('31.07 Koboko-Arua'!L20,'01.08 Koboko-Arua'!L20,'04.08 Koboko-Arua'!L20,'05.08 Koboko-Arua'!L20,'02.08 Koboko-Arua-24h'!L20,'03.08 Koboko-Arua-24h'!L20,'06.08 Koboko-Arua'!L20)</f>
        <v>0</v>
      </c>
      <c r="M20" s="49">
        <f>AVERAGE('31.07 Koboko-Arua'!M20,'01.08 Koboko-Arua'!M20,'04.08 Koboko-Arua'!M20,'05.08 Koboko-Arua'!M20,'02.08 Koboko-Arua-24h'!M20,'03.08 Koboko-Arua-24h'!M20,'06.08 Koboko-Arua'!M20)</f>
        <v>38.857142857142854</v>
      </c>
      <c r="N20" s="49">
        <f>AVERAGE('31.07 Koboko-Arua'!N20,'01.08 Koboko-Arua'!N20,'04.08 Koboko-Arua'!N20,'05.08 Koboko-Arua'!N20,'02.08 Koboko-Arua-24h'!N20,'03.08 Koboko-Arua-24h'!N20,'06.08 Koboko-Arua'!N20)</f>
        <v>0</v>
      </c>
      <c r="O20" s="15">
        <f t="shared" si="0"/>
        <v>18.142857142857146</v>
      </c>
      <c r="P20" s="15">
        <f t="shared" si="1"/>
        <v>57</v>
      </c>
      <c r="R20" s="1" t="s">
        <v>16</v>
      </c>
      <c r="S20" s="17">
        <f t="shared" ref="S20:AF20" si="12">SUM(C50:C53)</f>
        <v>34.428571428571431</v>
      </c>
      <c r="T20" s="17">
        <f t="shared" si="12"/>
        <v>8.2857142857142847</v>
      </c>
      <c r="U20" s="17">
        <f t="shared" si="12"/>
        <v>14</v>
      </c>
      <c r="V20" s="17">
        <f t="shared" si="12"/>
        <v>8.7142857142857135</v>
      </c>
      <c r="W20" s="17">
        <f t="shared" si="12"/>
        <v>3</v>
      </c>
      <c r="X20" s="17">
        <f t="shared" si="12"/>
        <v>1.857142857142857</v>
      </c>
      <c r="Y20" s="17">
        <f t="shared" si="12"/>
        <v>5.4285714285714288</v>
      </c>
      <c r="Z20" s="17">
        <f t="shared" si="12"/>
        <v>2.5714285714285712</v>
      </c>
      <c r="AA20" s="17">
        <f t="shared" si="12"/>
        <v>1</v>
      </c>
      <c r="AB20" s="17">
        <f t="shared" si="12"/>
        <v>1.857142857142857</v>
      </c>
      <c r="AC20" s="17">
        <f t="shared" si="12"/>
        <v>152.85714285714286</v>
      </c>
      <c r="AD20" s="17">
        <f t="shared" si="12"/>
        <v>0.2857142857142857</v>
      </c>
      <c r="AE20" s="31">
        <f t="shared" si="12"/>
        <v>81.428571428571416</v>
      </c>
      <c r="AF20" s="31">
        <f t="shared" si="12"/>
        <v>234.28571428571428</v>
      </c>
    </row>
    <row r="21" spans="2:32" ht="23.1" customHeight="1" x14ac:dyDescent="0.25">
      <c r="B21" s="23" t="s">
        <v>48</v>
      </c>
      <c r="C21" s="49">
        <f>AVERAGE('31.07 Koboko-Arua'!C21,'01.08 Koboko-Arua'!C21,'04.08 Koboko-Arua'!C21,'05.08 Koboko-Arua'!C21,'02.08 Koboko-Arua-24h'!C21,'03.08 Koboko-Arua-24h'!C21,'06.08 Koboko-Arua'!C21)</f>
        <v>10.285714285714286</v>
      </c>
      <c r="D21" s="49">
        <f>AVERAGE('31.07 Koboko-Arua'!D21,'01.08 Koboko-Arua'!D21,'04.08 Koboko-Arua'!D21,'05.08 Koboko-Arua'!D21,'02.08 Koboko-Arua-24h'!D21,'03.08 Koboko-Arua-24h'!D21,'06.08 Koboko-Arua'!D21)</f>
        <v>1.1428571428571428</v>
      </c>
      <c r="E21" s="49">
        <f>AVERAGE('31.07 Koboko-Arua'!E21,'01.08 Koboko-Arua'!E21,'04.08 Koboko-Arua'!E21,'05.08 Koboko-Arua'!E21,'02.08 Koboko-Arua-24h'!E21,'03.08 Koboko-Arua-24h'!E21,'06.08 Koboko-Arua'!E21)</f>
        <v>2.5714285714285716</v>
      </c>
      <c r="F21" s="49">
        <f>AVERAGE('31.07 Koboko-Arua'!F21,'01.08 Koboko-Arua'!F21,'04.08 Koboko-Arua'!F21,'05.08 Koboko-Arua'!F21,'02.08 Koboko-Arua-24h'!F21,'03.08 Koboko-Arua-24h'!F21,'06.08 Koboko-Arua'!F21)</f>
        <v>1</v>
      </c>
      <c r="G21" s="49">
        <f>AVERAGE('31.07 Koboko-Arua'!G21,'01.08 Koboko-Arua'!G21,'04.08 Koboko-Arua'!G21,'05.08 Koboko-Arua'!G21,'02.08 Koboko-Arua-24h'!G21,'03.08 Koboko-Arua-24h'!G21,'06.08 Koboko-Arua'!G21)</f>
        <v>0</v>
      </c>
      <c r="H21" s="49">
        <f>AVERAGE('31.07 Koboko-Arua'!H21,'01.08 Koboko-Arua'!H21,'04.08 Koboko-Arua'!H21,'05.08 Koboko-Arua'!H21,'02.08 Koboko-Arua-24h'!H21,'03.08 Koboko-Arua-24h'!H21,'06.08 Koboko-Arua'!H21)</f>
        <v>0</v>
      </c>
      <c r="I21" s="49">
        <f>AVERAGE('31.07 Koboko-Arua'!I21,'01.08 Koboko-Arua'!I21,'04.08 Koboko-Arua'!I21,'05.08 Koboko-Arua'!I21,'02.08 Koboko-Arua-24h'!I21,'03.08 Koboko-Arua-24h'!I21,'06.08 Koboko-Arua'!I21)</f>
        <v>1.2857142857142858</v>
      </c>
      <c r="J21" s="49">
        <f>AVERAGE('31.07 Koboko-Arua'!J21,'01.08 Koboko-Arua'!J21,'04.08 Koboko-Arua'!J21,'05.08 Koboko-Arua'!J21,'02.08 Koboko-Arua-24h'!J21,'03.08 Koboko-Arua-24h'!J21,'06.08 Koboko-Arua'!J21)</f>
        <v>0</v>
      </c>
      <c r="K21" s="49">
        <f>AVERAGE('31.07 Koboko-Arua'!K21,'01.08 Koboko-Arua'!K21,'04.08 Koboko-Arua'!K21,'05.08 Koboko-Arua'!K21,'02.08 Koboko-Arua-24h'!K21,'03.08 Koboko-Arua-24h'!K21,'06.08 Koboko-Arua'!K21)</f>
        <v>0</v>
      </c>
      <c r="L21" s="49">
        <f>AVERAGE('31.07 Koboko-Arua'!L21,'01.08 Koboko-Arua'!L21,'04.08 Koboko-Arua'!L21,'05.08 Koboko-Arua'!L21,'02.08 Koboko-Arua-24h'!L21,'03.08 Koboko-Arua-24h'!L21,'06.08 Koboko-Arua'!L21)</f>
        <v>0.14285714285714285</v>
      </c>
      <c r="M21" s="49">
        <f>AVERAGE('31.07 Koboko-Arua'!M21,'01.08 Koboko-Arua'!M21,'04.08 Koboko-Arua'!M21,'05.08 Koboko-Arua'!M21,'02.08 Koboko-Arua-24h'!M21,'03.08 Koboko-Arua-24h'!M21,'06.08 Koboko-Arua'!M21)</f>
        <v>30.428571428571427</v>
      </c>
      <c r="N21" s="49">
        <f>AVERAGE('31.07 Koboko-Arua'!N21,'01.08 Koboko-Arua'!N21,'04.08 Koboko-Arua'!N21,'05.08 Koboko-Arua'!N21,'02.08 Koboko-Arua-24h'!N21,'03.08 Koboko-Arua-24h'!N21,'06.08 Koboko-Arua'!N21)</f>
        <v>0</v>
      </c>
      <c r="O21" s="15">
        <f t="shared" si="0"/>
        <v>16.428571428571427</v>
      </c>
      <c r="P21" s="15">
        <f t="shared" si="1"/>
        <v>46.857142857142854</v>
      </c>
      <c r="R21" s="36" t="s">
        <v>20</v>
      </c>
      <c r="S21" s="34">
        <f t="shared" ref="S21:AF21" si="13">SUM(C54:C57)</f>
        <v>26</v>
      </c>
      <c r="T21" s="17">
        <f t="shared" si="13"/>
        <v>6.5714285714285712</v>
      </c>
      <c r="U21" s="17">
        <f t="shared" si="13"/>
        <v>10.714285714285715</v>
      </c>
      <c r="V21" s="17">
        <f t="shared" si="13"/>
        <v>8.428571428571427</v>
      </c>
      <c r="W21" s="17">
        <f t="shared" si="13"/>
        <v>5.1428571428571423</v>
      </c>
      <c r="X21" s="17">
        <f t="shared" si="13"/>
        <v>1</v>
      </c>
      <c r="Y21" s="17">
        <f t="shared" si="13"/>
        <v>5.2857142857142856</v>
      </c>
      <c r="Z21" s="17">
        <f t="shared" si="13"/>
        <v>2.7142857142857144</v>
      </c>
      <c r="AA21" s="17">
        <f t="shared" si="13"/>
        <v>1.5714285714285714</v>
      </c>
      <c r="AB21" s="17">
        <f t="shared" si="13"/>
        <v>3.1428571428571432</v>
      </c>
      <c r="AC21" s="17">
        <f t="shared" si="13"/>
        <v>108.85714285714286</v>
      </c>
      <c r="AD21" s="17">
        <f t="shared" si="13"/>
        <v>0</v>
      </c>
      <c r="AE21" s="31">
        <f t="shared" si="13"/>
        <v>70.571428571428569</v>
      </c>
      <c r="AF21" s="31">
        <f t="shared" si="13"/>
        <v>179.42857142857144</v>
      </c>
    </row>
    <row r="22" spans="2:32" ht="23.1" customHeight="1" x14ac:dyDescent="0.25">
      <c r="B22" s="23" t="s">
        <v>49</v>
      </c>
      <c r="C22" s="49">
        <f>AVERAGE('31.07 Koboko-Arua'!C22,'01.08 Koboko-Arua'!C22,'04.08 Koboko-Arua'!C22,'05.08 Koboko-Arua'!C22,'02.08 Koboko-Arua-24h'!C22,'03.08 Koboko-Arua-24h'!C22,'06.08 Koboko-Arua'!C22)</f>
        <v>5.5714285714285712</v>
      </c>
      <c r="D22" s="49">
        <f>AVERAGE('31.07 Koboko-Arua'!D22,'01.08 Koboko-Arua'!D22,'04.08 Koboko-Arua'!D22,'05.08 Koboko-Arua'!D22,'02.08 Koboko-Arua-24h'!D22,'03.08 Koboko-Arua-24h'!D22,'06.08 Koboko-Arua'!D22)</f>
        <v>1.4285714285714286</v>
      </c>
      <c r="E22" s="49">
        <f>AVERAGE('31.07 Koboko-Arua'!E22,'01.08 Koboko-Arua'!E22,'04.08 Koboko-Arua'!E22,'05.08 Koboko-Arua'!E22,'02.08 Koboko-Arua-24h'!E22,'03.08 Koboko-Arua-24h'!E22,'06.08 Koboko-Arua'!E22)</f>
        <v>3.1428571428571428</v>
      </c>
      <c r="F22" s="49">
        <f>AVERAGE('31.07 Koboko-Arua'!F22,'01.08 Koboko-Arua'!F22,'04.08 Koboko-Arua'!F22,'05.08 Koboko-Arua'!F22,'02.08 Koboko-Arua-24h'!F22,'03.08 Koboko-Arua-24h'!F22,'06.08 Koboko-Arua'!F22)</f>
        <v>1.4285714285714286</v>
      </c>
      <c r="G22" s="49">
        <f>AVERAGE('31.07 Koboko-Arua'!G22,'01.08 Koboko-Arua'!G22,'04.08 Koboko-Arua'!G22,'05.08 Koboko-Arua'!G22,'02.08 Koboko-Arua-24h'!G22,'03.08 Koboko-Arua-24h'!G22,'06.08 Koboko-Arua'!G22)</f>
        <v>0.2857142857142857</v>
      </c>
      <c r="H22" s="49">
        <f>AVERAGE('31.07 Koboko-Arua'!H22,'01.08 Koboko-Arua'!H22,'04.08 Koboko-Arua'!H22,'05.08 Koboko-Arua'!H22,'02.08 Koboko-Arua-24h'!H22,'03.08 Koboko-Arua-24h'!H22,'06.08 Koboko-Arua'!H22)</f>
        <v>0</v>
      </c>
      <c r="I22" s="49">
        <f>AVERAGE('31.07 Koboko-Arua'!I22,'01.08 Koboko-Arua'!I22,'04.08 Koboko-Arua'!I22,'05.08 Koboko-Arua'!I22,'02.08 Koboko-Arua-24h'!I22,'03.08 Koboko-Arua-24h'!I22,'06.08 Koboko-Arua'!I22)</f>
        <v>2</v>
      </c>
      <c r="J22" s="49">
        <f>AVERAGE('31.07 Koboko-Arua'!J22,'01.08 Koboko-Arua'!J22,'04.08 Koboko-Arua'!J22,'05.08 Koboko-Arua'!J22,'02.08 Koboko-Arua-24h'!J22,'03.08 Koboko-Arua-24h'!J22,'06.08 Koboko-Arua'!J22)</f>
        <v>0.83333333333333337</v>
      </c>
      <c r="K22" s="49">
        <f>AVERAGE('31.07 Koboko-Arua'!K22,'01.08 Koboko-Arua'!K22,'04.08 Koboko-Arua'!K22,'05.08 Koboko-Arua'!K22,'02.08 Koboko-Arua-24h'!K22,'03.08 Koboko-Arua-24h'!K22,'06.08 Koboko-Arua'!K22)</f>
        <v>0</v>
      </c>
      <c r="L22" s="49">
        <f>AVERAGE('31.07 Koboko-Arua'!L22,'01.08 Koboko-Arua'!L22,'04.08 Koboko-Arua'!L22,'05.08 Koboko-Arua'!L22,'02.08 Koboko-Arua-24h'!L22,'03.08 Koboko-Arua-24h'!L22,'06.08 Koboko-Arua'!L22)</f>
        <v>0.2857142857142857</v>
      </c>
      <c r="M22" s="49">
        <f>AVERAGE('31.07 Koboko-Arua'!M22,'01.08 Koboko-Arua'!M22,'04.08 Koboko-Arua'!M22,'05.08 Koboko-Arua'!M22,'02.08 Koboko-Arua-24h'!M22,'03.08 Koboko-Arua-24h'!M22,'06.08 Koboko-Arua'!M22)</f>
        <v>36.714285714285715</v>
      </c>
      <c r="N22" s="49">
        <f>AVERAGE('31.07 Koboko-Arua'!N22,'01.08 Koboko-Arua'!N22,'04.08 Koboko-Arua'!N22,'05.08 Koboko-Arua'!N22,'02.08 Koboko-Arua-24h'!N22,'03.08 Koboko-Arua-24h'!N22,'06.08 Koboko-Arua'!N22)</f>
        <v>0</v>
      </c>
      <c r="O22" s="15">
        <f t="shared" si="0"/>
        <v>14.976190476190478</v>
      </c>
      <c r="P22" s="15">
        <f t="shared" si="1"/>
        <v>51.69047619047619</v>
      </c>
      <c r="R22" s="1" t="s">
        <v>146</v>
      </c>
      <c r="S22" s="34">
        <f>SUM(C58:C61)</f>
        <v>37.5</v>
      </c>
      <c r="T22" s="34">
        <f t="shared" ref="T22:AF22" si="14">SUM(D58:D61)</f>
        <v>12</v>
      </c>
      <c r="U22" s="34">
        <f t="shared" si="14"/>
        <v>25</v>
      </c>
      <c r="V22" s="34">
        <f t="shared" si="14"/>
        <v>21</v>
      </c>
      <c r="W22" s="34">
        <f t="shared" si="14"/>
        <v>11.5</v>
      </c>
      <c r="X22" s="34">
        <f t="shared" si="14"/>
        <v>2</v>
      </c>
      <c r="Y22" s="34">
        <f t="shared" si="14"/>
        <v>8.5</v>
      </c>
      <c r="Z22" s="34">
        <f t="shared" si="14"/>
        <v>5.5</v>
      </c>
      <c r="AA22" s="34">
        <f t="shared" si="14"/>
        <v>2</v>
      </c>
      <c r="AB22" s="34">
        <f t="shared" si="14"/>
        <v>1.5</v>
      </c>
      <c r="AC22" s="34">
        <f t="shared" si="14"/>
        <v>193.5</v>
      </c>
      <c r="AD22" s="34">
        <f t="shared" si="14"/>
        <v>0.5</v>
      </c>
      <c r="AE22" s="31">
        <f t="shared" si="14"/>
        <v>127</v>
      </c>
      <c r="AF22" s="31">
        <f t="shared" si="14"/>
        <v>320.5</v>
      </c>
    </row>
    <row r="23" spans="2:32" ht="23.1" customHeight="1" x14ac:dyDescent="0.25">
      <c r="B23" s="23" t="s">
        <v>50</v>
      </c>
      <c r="C23" s="49">
        <f>AVERAGE('31.07 Koboko-Arua'!C23,'01.08 Koboko-Arua'!C23,'04.08 Koboko-Arua'!C23,'05.08 Koboko-Arua'!C23,'02.08 Koboko-Arua-24h'!C23,'03.08 Koboko-Arua-24h'!C23,'06.08 Koboko-Arua'!C23)</f>
        <v>7.2857142857142856</v>
      </c>
      <c r="D23" s="49">
        <f>AVERAGE('31.07 Koboko-Arua'!D23,'01.08 Koboko-Arua'!D23,'04.08 Koboko-Arua'!D23,'05.08 Koboko-Arua'!D23,'02.08 Koboko-Arua-24h'!D23,'03.08 Koboko-Arua-24h'!D23,'06.08 Koboko-Arua'!D23)</f>
        <v>1.7142857142857142</v>
      </c>
      <c r="E23" s="49">
        <f>AVERAGE('31.07 Koboko-Arua'!E23,'01.08 Koboko-Arua'!E23,'04.08 Koboko-Arua'!E23,'05.08 Koboko-Arua'!E23,'02.08 Koboko-Arua-24h'!E23,'03.08 Koboko-Arua-24h'!E23,'06.08 Koboko-Arua'!E23)</f>
        <v>2.5714285714285716</v>
      </c>
      <c r="F23" s="49">
        <f>AVERAGE('31.07 Koboko-Arua'!F23,'01.08 Koboko-Arua'!F23,'04.08 Koboko-Arua'!F23,'05.08 Koboko-Arua'!F23,'02.08 Koboko-Arua-24h'!F23,'03.08 Koboko-Arua-24h'!F23,'06.08 Koboko-Arua'!F23)</f>
        <v>1.1428571428571428</v>
      </c>
      <c r="G23" s="49">
        <f>AVERAGE('31.07 Koboko-Arua'!G23,'01.08 Koboko-Arua'!G23,'04.08 Koboko-Arua'!G23,'05.08 Koboko-Arua'!G23,'02.08 Koboko-Arua-24h'!G23,'03.08 Koboko-Arua-24h'!G23,'06.08 Koboko-Arua'!G23)</f>
        <v>0.7142857142857143</v>
      </c>
      <c r="H23" s="49">
        <f>AVERAGE('31.07 Koboko-Arua'!H23,'01.08 Koboko-Arua'!H23,'04.08 Koboko-Arua'!H23,'05.08 Koboko-Arua'!H23,'02.08 Koboko-Arua-24h'!H23,'03.08 Koboko-Arua-24h'!H23,'06.08 Koboko-Arua'!H23)</f>
        <v>0</v>
      </c>
      <c r="I23" s="49">
        <f>AVERAGE('31.07 Koboko-Arua'!I23,'01.08 Koboko-Arua'!I23,'04.08 Koboko-Arua'!I23,'05.08 Koboko-Arua'!I23,'02.08 Koboko-Arua-24h'!I23,'03.08 Koboko-Arua-24h'!I23,'06.08 Koboko-Arua'!I23)</f>
        <v>1.5714285714285714</v>
      </c>
      <c r="J23" s="49">
        <f>AVERAGE('31.07 Koboko-Arua'!J23,'01.08 Koboko-Arua'!J23,'04.08 Koboko-Arua'!J23,'05.08 Koboko-Arua'!J23,'02.08 Koboko-Arua-24h'!J23,'03.08 Koboko-Arua-24h'!J23,'06.08 Koboko-Arua'!J23)</f>
        <v>0.14285714285714285</v>
      </c>
      <c r="K23" s="49">
        <f>AVERAGE('31.07 Koboko-Arua'!K23,'01.08 Koboko-Arua'!K23,'04.08 Koboko-Arua'!K23,'05.08 Koboko-Arua'!K23,'02.08 Koboko-Arua-24h'!K23,'03.08 Koboko-Arua-24h'!K23,'06.08 Koboko-Arua'!K23)</f>
        <v>0</v>
      </c>
      <c r="L23" s="49">
        <f>AVERAGE('31.07 Koboko-Arua'!L23,'01.08 Koboko-Arua'!L23,'04.08 Koboko-Arua'!L23,'05.08 Koboko-Arua'!L23,'02.08 Koboko-Arua-24h'!L23,'03.08 Koboko-Arua-24h'!L23,'06.08 Koboko-Arua'!L23)</f>
        <v>0</v>
      </c>
      <c r="M23" s="49">
        <f>AVERAGE('31.07 Koboko-Arua'!M23,'01.08 Koboko-Arua'!M23,'04.08 Koboko-Arua'!M23,'05.08 Koboko-Arua'!M23,'02.08 Koboko-Arua-24h'!M23,'03.08 Koboko-Arua-24h'!M23,'06.08 Koboko-Arua'!M23)</f>
        <v>32.714285714285715</v>
      </c>
      <c r="N23" s="49">
        <f>AVERAGE('31.07 Koboko-Arua'!N23,'01.08 Koboko-Arua'!N23,'04.08 Koboko-Arua'!N23,'05.08 Koboko-Arua'!N23,'02.08 Koboko-Arua-24h'!N23,'03.08 Koboko-Arua-24h'!N23,'06.08 Koboko-Arua'!N23)</f>
        <v>0</v>
      </c>
      <c r="O23" s="15">
        <f t="shared" si="0"/>
        <v>15.142857142857141</v>
      </c>
      <c r="P23" s="15">
        <f t="shared" si="1"/>
        <v>47.857142857142854</v>
      </c>
      <c r="R23" s="1" t="s">
        <v>147</v>
      </c>
      <c r="S23" s="34">
        <f>SUM(C62:C65)</f>
        <v>25.5</v>
      </c>
      <c r="T23" s="34">
        <f t="shared" ref="T23:AF23" si="15">SUM(D62:D65)</f>
        <v>7</v>
      </c>
      <c r="U23" s="34">
        <f t="shared" si="15"/>
        <v>20</v>
      </c>
      <c r="V23" s="34">
        <f t="shared" si="15"/>
        <v>11.5</v>
      </c>
      <c r="W23" s="34">
        <f t="shared" si="15"/>
        <v>5.5</v>
      </c>
      <c r="X23" s="34">
        <f t="shared" si="15"/>
        <v>3</v>
      </c>
      <c r="Y23" s="34">
        <f t="shared" si="15"/>
        <v>8.5</v>
      </c>
      <c r="Z23" s="34">
        <f t="shared" si="15"/>
        <v>2.5</v>
      </c>
      <c r="AA23" s="34">
        <f t="shared" si="15"/>
        <v>2</v>
      </c>
      <c r="AB23" s="34">
        <f t="shared" si="15"/>
        <v>1</v>
      </c>
      <c r="AC23" s="34">
        <f t="shared" si="15"/>
        <v>179.5</v>
      </c>
      <c r="AD23" s="34">
        <f t="shared" si="15"/>
        <v>0</v>
      </c>
      <c r="AE23" s="31">
        <f t="shared" si="15"/>
        <v>86.5</v>
      </c>
      <c r="AF23" s="31">
        <f t="shared" si="15"/>
        <v>266</v>
      </c>
    </row>
    <row r="24" spans="2:32" ht="23.1" customHeight="1" x14ac:dyDescent="0.25">
      <c r="B24" s="23" t="s">
        <v>51</v>
      </c>
      <c r="C24" s="49">
        <f>AVERAGE('31.07 Koboko-Arua'!C24,'01.08 Koboko-Arua'!C24,'04.08 Koboko-Arua'!C24,'05.08 Koboko-Arua'!C24,'02.08 Koboko-Arua-24h'!C24,'03.08 Koboko-Arua-24h'!C24,'06.08 Koboko-Arua'!C24)</f>
        <v>7.2857142857142856</v>
      </c>
      <c r="D24" s="49">
        <f>AVERAGE('31.07 Koboko-Arua'!D24,'01.08 Koboko-Arua'!D24,'04.08 Koboko-Arua'!D24,'05.08 Koboko-Arua'!D24,'02.08 Koboko-Arua-24h'!D24,'03.08 Koboko-Arua-24h'!D24,'06.08 Koboko-Arua'!D24)</f>
        <v>1</v>
      </c>
      <c r="E24" s="49">
        <f>AVERAGE('31.07 Koboko-Arua'!E24,'01.08 Koboko-Arua'!E24,'04.08 Koboko-Arua'!E24,'05.08 Koboko-Arua'!E24,'02.08 Koboko-Arua-24h'!E24,'03.08 Koboko-Arua-24h'!E24,'06.08 Koboko-Arua'!E24)</f>
        <v>1.8571428571428572</v>
      </c>
      <c r="F24" s="49">
        <f>AVERAGE('31.07 Koboko-Arua'!F24,'01.08 Koboko-Arua'!F24,'04.08 Koboko-Arua'!F24,'05.08 Koboko-Arua'!F24,'02.08 Koboko-Arua-24h'!F24,'03.08 Koboko-Arua-24h'!F24,'06.08 Koboko-Arua'!F24)</f>
        <v>1</v>
      </c>
      <c r="G24" s="49">
        <f>AVERAGE('31.07 Koboko-Arua'!G24,'01.08 Koboko-Arua'!G24,'04.08 Koboko-Arua'!G24,'05.08 Koboko-Arua'!G24,'02.08 Koboko-Arua-24h'!G24,'03.08 Koboko-Arua-24h'!G24,'06.08 Koboko-Arua'!G24)</f>
        <v>0</v>
      </c>
      <c r="H24" s="49">
        <f>AVERAGE('31.07 Koboko-Arua'!H24,'01.08 Koboko-Arua'!H24,'04.08 Koboko-Arua'!H24,'05.08 Koboko-Arua'!H24,'02.08 Koboko-Arua-24h'!H24,'03.08 Koboko-Arua-24h'!H24,'06.08 Koboko-Arua'!H24)</f>
        <v>0</v>
      </c>
      <c r="I24" s="49">
        <f>AVERAGE('31.07 Koboko-Arua'!I24,'01.08 Koboko-Arua'!I24,'04.08 Koboko-Arua'!I24,'05.08 Koboko-Arua'!I24,'02.08 Koboko-Arua-24h'!I24,'03.08 Koboko-Arua-24h'!I24,'06.08 Koboko-Arua'!I24)</f>
        <v>1.5714285714285714</v>
      </c>
      <c r="J24" s="49">
        <f>AVERAGE('31.07 Koboko-Arua'!J24,'01.08 Koboko-Arua'!J24,'04.08 Koboko-Arua'!J24,'05.08 Koboko-Arua'!J24,'02.08 Koboko-Arua-24h'!J24,'03.08 Koboko-Arua-24h'!J24,'06.08 Koboko-Arua'!J24)</f>
        <v>0.2857142857142857</v>
      </c>
      <c r="K24" s="49">
        <f>AVERAGE('31.07 Koboko-Arua'!K24,'01.08 Koboko-Arua'!K24,'04.08 Koboko-Arua'!K24,'05.08 Koboko-Arua'!K24,'02.08 Koboko-Arua-24h'!K24,'03.08 Koboko-Arua-24h'!K24,'06.08 Koboko-Arua'!K24)</f>
        <v>0</v>
      </c>
      <c r="L24" s="49">
        <f>AVERAGE('31.07 Koboko-Arua'!L24,'01.08 Koboko-Arua'!L24,'04.08 Koboko-Arua'!L24,'05.08 Koboko-Arua'!L24,'02.08 Koboko-Arua-24h'!L24,'03.08 Koboko-Arua-24h'!L24,'06.08 Koboko-Arua'!L24)</f>
        <v>0.14285714285714285</v>
      </c>
      <c r="M24" s="49">
        <f>AVERAGE('31.07 Koboko-Arua'!M24,'01.08 Koboko-Arua'!M24,'04.08 Koboko-Arua'!M24,'05.08 Koboko-Arua'!M24,'02.08 Koboko-Arua-24h'!M24,'03.08 Koboko-Arua-24h'!M24,'06.08 Koboko-Arua'!M24)</f>
        <v>35.571428571428569</v>
      </c>
      <c r="N24" s="49">
        <f>AVERAGE('31.07 Koboko-Arua'!N24,'01.08 Koboko-Arua'!N24,'04.08 Koboko-Arua'!N24,'05.08 Koboko-Arua'!N24,'02.08 Koboko-Arua-24h'!N24,'03.08 Koboko-Arua-24h'!N24,'06.08 Koboko-Arua'!N24)</f>
        <v>0</v>
      </c>
      <c r="O24" s="15">
        <f t="shared" si="0"/>
        <v>13.142857142857142</v>
      </c>
      <c r="P24" s="15">
        <f t="shared" si="1"/>
        <v>48.714285714285708</v>
      </c>
      <c r="R24" s="1" t="s">
        <v>148</v>
      </c>
      <c r="S24" s="34">
        <f>SUM(C66:C69)</f>
        <v>22.5</v>
      </c>
      <c r="T24" s="34">
        <f t="shared" ref="T24:AF24" si="16">SUM(D66:D69)</f>
        <v>3.5</v>
      </c>
      <c r="U24" s="34">
        <f t="shared" si="16"/>
        <v>15.5</v>
      </c>
      <c r="V24" s="34">
        <f t="shared" si="16"/>
        <v>18.5</v>
      </c>
      <c r="W24" s="34">
        <f t="shared" si="16"/>
        <v>0.5</v>
      </c>
      <c r="X24" s="34">
        <f t="shared" si="16"/>
        <v>1</v>
      </c>
      <c r="Y24" s="34">
        <f t="shared" si="16"/>
        <v>3.5</v>
      </c>
      <c r="Z24" s="34">
        <f t="shared" si="16"/>
        <v>3</v>
      </c>
      <c r="AA24" s="34">
        <f t="shared" si="16"/>
        <v>0</v>
      </c>
      <c r="AB24" s="34">
        <f t="shared" si="16"/>
        <v>0.5</v>
      </c>
      <c r="AC24" s="34">
        <f t="shared" si="16"/>
        <v>91</v>
      </c>
      <c r="AD24" s="34">
        <f t="shared" si="16"/>
        <v>0</v>
      </c>
      <c r="AE24" s="31">
        <f t="shared" si="16"/>
        <v>68.5</v>
      </c>
      <c r="AF24" s="31">
        <f t="shared" si="16"/>
        <v>159.5</v>
      </c>
    </row>
    <row r="25" spans="2:32" ht="23.1" customHeight="1" x14ac:dyDescent="0.25">
      <c r="B25" s="23" t="s">
        <v>52</v>
      </c>
      <c r="C25" s="49">
        <f>AVERAGE('31.07 Koboko-Arua'!C25,'01.08 Koboko-Arua'!C25,'04.08 Koboko-Arua'!C25,'05.08 Koboko-Arua'!C25,'02.08 Koboko-Arua-24h'!C25,'03.08 Koboko-Arua-24h'!C25,'06.08 Koboko-Arua'!C25)</f>
        <v>8.2857142857142865</v>
      </c>
      <c r="D25" s="49">
        <f>AVERAGE('31.07 Koboko-Arua'!D25,'01.08 Koboko-Arua'!D25,'04.08 Koboko-Arua'!D25,'05.08 Koboko-Arua'!D25,'02.08 Koboko-Arua-24h'!D25,'03.08 Koboko-Arua-24h'!D25,'06.08 Koboko-Arua'!D25)</f>
        <v>2</v>
      </c>
      <c r="E25" s="49">
        <f>AVERAGE('31.07 Koboko-Arua'!E25,'01.08 Koboko-Arua'!E25,'04.08 Koboko-Arua'!E25,'05.08 Koboko-Arua'!E25,'02.08 Koboko-Arua-24h'!E25,'03.08 Koboko-Arua-24h'!E25,'06.08 Koboko-Arua'!E25)</f>
        <v>3.1428571428571428</v>
      </c>
      <c r="F25" s="49">
        <f>AVERAGE('31.07 Koboko-Arua'!F25,'01.08 Koboko-Arua'!F25,'04.08 Koboko-Arua'!F25,'05.08 Koboko-Arua'!F25,'02.08 Koboko-Arua-24h'!F25,'03.08 Koboko-Arua-24h'!F25,'06.08 Koboko-Arua'!F25)</f>
        <v>0.8571428571428571</v>
      </c>
      <c r="G25" s="49">
        <f>AVERAGE('31.07 Koboko-Arua'!G25,'01.08 Koboko-Arua'!G25,'04.08 Koboko-Arua'!G25,'05.08 Koboko-Arua'!G25,'02.08 Koboko-Arua-24h'!G25,'03.08 Koboko-Arua-24h'!G25,'06.08 Koboko-Arua'!G25)</f>
        <v>0</v>
      </c>
      <c r="H25" s="49">
        <f>AVERAGE('31.07 Koboko-Arua'!H25,'01.08 Koboko-Arua'!H25,'04.08 Koboko-Arua'!H25,'05.08 Koboko-Arua'!H25,'02.08 Koboko-Arua-24h'!H25,'03.08 Koboko-Arua-24h'!H25,'06.08 Koboko-Arua'!H25)</f>
        <v>0.14285714285714285</v>
      </c>
      <c r="I25" s="49">
        <f>AVERAGE('31.07 Koboko-Arua'!I25,'01.08 Koboko-Arua'!I25,'04.08 Koboko-Arua'!I25,'05.08 Koboko-Arua'!I25,'02.08 Koboko-Arua-24h'!I25,'03.08 Koboko-Arua-24h'!I25,'06.08 Koboko-Arua'!I25)</f>
        <v>2.5714285714285716</v>
      </c>
      <c r="J25" s="49">
        <f>AVERAGE('31.07 Koboko-Arua'!J25,'01.08 Koboko-Arua'!J25,'04.08 Koboko-Arua'!J25,'05.08 Koboko-Arua'!J25,'02.08 Koboko-Arua-24h'!J25,'03.08 Koboko-Arua-24h'!J25,'06.08 Koboko-Arua'!J25)</f>
        <v>0</v>
      </c>
      <c r="K25" s="49">
        <f>AVERAGE('31.07 Koboko-Arua'!K25,'01.08 Koboko-Arua'!K25,'04.08 Koboko-Arua'!K25,'05.08 Koboko-Arua'!K25,'02.08 Koboko-Arua-24h'!K25,'03.08 Koboko-Arua-24h'!K25,'06.08 Koboko-Arua'!K25)</f>
        <v>0</v>
      </c>
      <c r="L25" s="49">
        <f>AVERAGE('31.07 Koboko-Arua'!L25,'01.08 Koboko-Arua'!L25,'04.08 Koboko-Arua'!L25,'05.08 Koboko-Arua'!L25,'02.08 Koboko-Arua-24h'!L25,'03.08 Koboko-Arua-24h'!L25,'06.08 Koboko-Arua'!L25)</f>
        <v>0.14285714285714285</v>
      </c>
      <c r="M25" s="49">
        <f>AVERAGE('31.07 Koboko-Arua'!M25,'01.08 Koboko-Arua'!M25,'04.08 Koboko-Arua'!M25,'05.08 Koboko-Arua'!M25,'02.08 Koboko-Arua-24h'!M25,'03.08 Koboko-Arua-24h'!M25,'06.08 Koboko-Arua'!M25)</f>
        <v>38.857142857142854</v>
      </c>
      <c r="N25" s="49">
        <f>AVERAGE('31.07 Koboko-Arua'!N25,'01.08 Koboko-Arua'!N25,'04.08 Koboko-Arua'!N25,'05.08 Koboko-Arua'!N25,'02.08 Koboko-Arua-24h'!N25,'03.08 Koboko-Arua-24h'!N25,'06.08 Koboko-Arua'!N25)</f>
        <v>0</v>
      </c>
      <c r="O25" s="15">
        <f t="shared" si="0"/>
        <v>17.142857142857142</v>
      </c>
      <c r="P25" s="15">
        <f t="shared" si="1"/>
        <v>56</v>
      </c>
      <c r="R25" s="1" t="s">
        <v>149</v>
      </c>
      <c r="S25" s="34">
        <f>SUM(C70:C73)</f>
        <v>5.5</v>
      </c>
      <c r="T25" s="34">
        <f t="shared" ref="T25:AF25" si="17">SUM(D70:D73)</f>
        <v>0.5</v>
      </c>
      <c r="U25" s="34">
        <f t="shared" si="17"/>
        <v>2.5</v>
      </c>
      <c r="V25" s="34">
        <f t="shared" si="17"/>
        <v>5.5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1</v>
      </c>
      <c r="AB25" s="34">
        <f t="shared" si="17"/>
        <v>1</v>
      </c>
      <c r="AC25" s="34">
        <f t="shared" si="17"/>
        <v>58.5</v>
      </c>
      <c r="AD25" s="34">
        <f t="shared" si="17"/>
        <v>0</v>
      </c>
      <c r="AE25" s="31">
        <f t="shared" si="17"/>
        <v>18</v>
      </c>
      <c r="AF25" s="31">
        <f t="shared" si="17"/>
        <v>76.5</v>
      </c>
    </row>
    <row r="26" spans="2:32" ht="23.1" customHeight="1" x14ac:dyDescent="0.25">
      <c r="B26" s="23" t="s">
        <v>53</v>
      </c>
      <c r="C26" s="49">
        <f>AVERAGE('31.07 Koboko-Arua'!C26,'01.08 Koboko-Arua'!C26,'04.08 Koboko-Arua'!C26,'05.08 Koboko-Arua'!C26,'02.08 Koboko-Arua-24h'!C26,'03.08 Koboko-Arua-24h'!C26,'06.08 Koboko-Arua'!C26)</f>
        <v>11</v>
      </c>
      <c r="D26" s="49">
        <f>AVERAGE('31.07 Koboko-Arua'!D26,'01.08 Koboko-Arua'!D26,'04.08 Koboko-Arua'!D26,'05.08 Koboko-Arua'!D26,'02.08 Koboko-Arua-24h'!D26,'03.08 Koboko-Arua-24h'!D26,'06.08 Koboko-Arua'!D26)</f>
        <v>1.8571428571428572</v>
      </c>
      <c r="E26" s="49">
        <f>AVERAGE('31.07 Koboko-Arua'!E26,'01.08 Koboko-Arua'!E26,'04.08 Koboko-Arua'!E26,'05.08 Koboko-Arua'!E26,'02.08 Koboko-Arua-24h'!E26,'03.08 Koboko-Arua-24h'!E26,'06.08 Koboko-Arua'!E26)</f>
        <v>3.4285714285714284</v>
      </c>
      <c r="F26" s="49">
        <f>AVERAGE('31.07 Koboko-Arua'!F26,'01.08 Koboko-Arua'!F26,'04.08 Koboko-Arua'!F26,'05.08 Koboko-Arua'!F26,'02.08 Koboko-Arua-24h'!F26,'03.08 Koboko-Arua-24h'!F26,'06.08 Koboko-Arua'!F26)</f>
        <v>1.1428571428571428</v>
      </c>
      <c r="G26" s="49">
        <f>AVERAGE('31.07 Koboko-Arua'!G26,'01.08 Koboko-Arua'!G26,'04.08 Koboko-Arua'!G26,'05.08 Koboko-Arua'!G26,'02.08 Koboko-Arua-24h'!G26,'03.08 Koboko-Arua-24h'!G26,'06.08 Koboko-Arua'!G26)</f>
        <v>0</v>
      </c>
      <c r="H26" s="49">
        <f>AVERAGE('31.07 Koboko-Arua'!H26,'01.08 Koboko-Arua'!H26,'04.08 Koboko-Arua'!H26,'05.08 Koboko-Arua'!H26,'02.08 Koboko-Arua-24h'!H26,'03.08 Koboko-Arua-24h'!H26,'06.08 Koboko-Arua'!H26)</f>
        <v>0.42857142857142855</v>
      </c>
      <c r="I26" s="49">
        <f>AVERAGE('31.07 Koboko-Arua'!I26,'01.08 Koboko-Arua'!I26,'04.08 Koboko-Arua'!I26,'05.08 Koboko-Arua'!I26,'02.08 Koboko-Arua-24h'!I26,'03.08 Koboko-Arua-24h'!I26,'06.08 Koboko-Arua'!I26)</f>
        <v>3.2857142857142856</v>
      </c>
      <c r="J26" s="49">
        <f>AVERAGE('31.07 Koboko-Arua'!J26,'01.08 Koboko-Arua'!J26,'04.08 Koboko-Arua'!J26,'05.08 Koboko-Arua'!J26,'02.08 Koboko-Arua-24h'!J26,'03.08 Koboko-Arua-24h'!J26,'06.08 Koboko-Arua'!J26)</f>
        <v>0.8571428571428571</v>
      </c>
      <c r="K26" s="49">
        <f>AVERAGE('31.07 Koboko-Arua'!K26,'01.08 Koboko-Arua'!K26,'04.08 Koboko-Arua'!K26,'05.08 Koboko-Arua'!K26,'02.08 Koboko-Arua-24h'!K26,'03.08 Koboko-Arua-24h'!K26,'06.08 Koboko-Arua'!K26)</f>
        <v>0.14285714285714285</v>
      </c>
      <c r="L26" s="49">
        <f>AVERAGE('31.07 Koboko-Arua'!L26,'01.08 Koboko-Arua'!L26,'04.08 Koboko-Arua'!L26,'05.08 Koboko-Arua'!L26,'02.08 Koboko-Arua-24h'!L26,'03.08 Koboko-Arua-24h'!L26,'06.08 Koboko-Arua'!L26)</f>
        <v>0</v>
      </c>
      <c r="M26" s="49">
        <f>AVERAGE('31.07 Koboko-Arua'!M26,'01.08 Koboko-Arua'!M26,'04.08 Koboko-Arua'!M26,'05.08 Koboko-Arua'!M26,'02.08 Koboko-Arua-24h'!M26,'03.08 Koboko-Arua-24h'!M26,'06.08 Koboko-Arua'!M26)</f>
        <v>38.714285714285715</v>
      </c>
      <c r="N26" s="49">
        <f>AVERAGE('31.07 Koboko-Arua'!N26,'01.08 Koboko-Arua'!N26,'04.08 Koboko-Arua'!N26,'05.08 Koboko-Arua'!N26,'02.08 Koboko-Arua-24h'!N26,'03.08 Koboko-Arua-24h'!N26,'06.08 Koboko-Arua'!N26)</f>
        <v>0.14285714285714285</v>
      </c>
      <c r="O26" s="15">
        <f t="shared" si="0"/>
        <v>22.285714285714281</v>
      </c>
      <c r="P26" s="15">
        <f t="shared" si="1"/>
        <v>61</v>
      </c>
      <c r="R26" s="1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1.5</v>
      </c>
      <c r="AB26" s="34">
        <f t="shared" si="18"/>
        <v>0.5</v>
      </c>
      <c r="AC26" s="34">
        <f t="shared" si="18"/>
        <v>22</v>
      </c>
      <c r="AD26" s="34">
        <f t="shared" si="18"/>
        <v>0</v>
      </c>
      <c r="AE26" s="31">
        <f t="shared" si="18"/>
        <v>10</v>
      </c>
      <c r="AF26" s="31">
        <f t="shared" si="18"/>
        <v>32</v>
      </c>
    </row>
    <row r="27" spans="2:32" ht="23.1" customHeight="1" x14ac:dyDescent="0.25">
      <c r="B27" s="23" t="s">
        <v>54</v>
      </c>
      <c r="C27" s="49">
        <f>AVERAGE('31.07 Koboko-Arua'!C27,'01.08 Koboko-Arua'!C27,'04.08 Koboko-Arua'!C27,'05.08 Koboko-Arua'!C27,'02.08 Koboko-Arua-24h'!C27,'03.08 Koboko-Arua-24h'!C27,'06.08 Koboko-Arua'!C27)</f>
        <v>5.5714285714285712</v>
      </c>
      <c r="D27" s="49">
        <f>AVERAGE('31.07 Koboko-Arua'!D27,'01.08 Koboko-Arua'!D27,'04.08 Koboko-Arua'!D27,'05.08 Koboko-Arua'!D27,'02.08 Koboko-Arua-24h'!D27,'03.08 Koboko-Arua-24h'!D27,'06.08 Koboko-Arua'!D27)</f>
        <v>1.1428571428571428</v>
      </c>
      <c r="E27" s="49">
        <f>AVERAGE('31.07 Koboko-Arua'!E27,'01.08 Koboko-Arua'!E27,'04.08 Koboko-Arua'!E27,'05.08 Koboko-Arua'!E27,'02.08 Koboko-Arua-24h'!E27,'03.08 Koboko-Arua-24h'!E27,'06.08 Koboko-Arua'!E27)</f>
        <v>1.4285714285714286</v>
      </c>
      <c r="F27" s="49">
        <f>AVERAGE('31.07 Koboko-Arua'!F27,'01.08 Koboko-Arua'!F27,'04.08 Koboko-Arua'!F27,'05.08 Koboko-Arua'!F27,'02.08 Koboko-Arua-24h'!F27,'03.08 Koboko-Arua-24h'!F27,'06.08 Koboko-Arua'!F27)</f>
        <v>0.5714285714285714</v>
      </c>
      <c r="G27" s="49">
        <f>AVERAGE('31.07 Koboko-Arua'!G27,'01.08 Koboko-Arua'!G27,'04.08 Koboko-Arua'!G27,'05.08 Koboko-Arua'!G27,'02.08 Koboko-Arua-24h'!G27,'03.08 Koboko-Arua-24h'!G27,'06.08 Koboko-Arua'!G27)</f>
        <v>0.14285714285714285</v>
      </c>
      <c r="H27" s="49">
        <f>AVERAGE('31.07 Koboko-Arua'!H27,'01.08 Koboko-Arua'!H27,'04.08 Koboko-Arua'!H27,'05.08 Koboko-Arua'!H27,'02.08 Koboko-Arua-24h'!H27,'03.08 Koboko-Arua-24h'!H27,'06.08 Koboko-Arua'!H27)</f>
        <v>0</v>
      </c>
      <c r="I27" s="49">
        <f>AVERAGE('31.07 Koboko-Arua'!I27,'01.08 Koboko-Arua'!I27,'04.08 Koboko-Arua'!I27,'05.08 Koboko-Arua'!I27,'02.08 Koboko-Arua-24h'!I27,'03.08 Koboko-Arua-24h'!I27,'06.08 Koboko-Arua'!I27)</f>
        <v>1.2857142857142858</v>
      </c>
      <c r="J27" s="49">
        <f>AVERAGE('31.07 Koboko-Arua'!J27,'01.08 Koboko-Arua'!J27,'04.08 Koboko-Arua'!J27,'05.08 Koboko-Arua'!J27,'02.08 Koboko-Arua-24h'!J27,'03.08 Koboko-Arua-24h'!J27,'06.08 Koboko-Arua'!J27)</f>
        <v>0.2857142857142857</v>
      </c>
      <c r="K27" s="49">
        <f>AVERAGE('31.07 Koboko-Arua'!K27,'01.08 Koboko-Arua'!K27,'04.08 Koboko-Arua'!K27,'05.08 Koboko-Arua'!K27,'02.08 Koboko-Arua-24h'!K27,'03.08 Koboko-Arua-24h'!K27,'06.08 Koboko-Arua'!K27)</f>
        <v>0</v>
      </c>
      <c r="L27" s="49">
        <f>AVERAGE('31.07 Koboko-Arua'!L27,'01.08 Koboko-Arua'!L27,'04.08 Koboko-Arua'!L27,'05.08 Koboko-Arua'!L27,'02.08 Koboko-Arua-24h'!L27,'03.08 Koboko-Arua-24h'!L27,'06.08 Koboko-Arua'!L27)</f>
        <v>0</v>
      </c>
      <c r="M27" s="49">
        <f>AVERAGE('31.07 Koboko-Arua'!M27,'01.08 Koboko-Arua'!M27,'04.08 Koboko-Arua'!M27,'05.08 Koboko-Arua'!M27,'02.08 Koboko-Arua-24h'!M27,'03.08 Koboko-Arua-24h'!M27,'06.08 Koboko-Arua'!M27)</f>
        <v>22.714285714285715</v>
      </c>
      <c r="N27" s="49">
        <f>AVERAGE('31.07 Koboko-Arua'!N27,'01.08 Koboko-Arua'!N27,'04.08 Koboko-Arua'!N27,'05.08 Koboko-Arua'!N27,'02.08 Koboko-Arua-24h'!N27,'03.08 Koboko-Arua-24h'!N27,'06.08 Koboko-Arua'!N27)</f>
        <v>0</v>
      </c>
      <c r="O27" s="15">
        <f t="shared" si="0"/>
        <v>10.428571428571429</v>
      </c>
      <c r="P27" s="15">
        <f t="shared" si="1"/>
        <v>33.142857142857146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</v>
      </c>
      <c r="AD27" s="34">
        <f t="shared" si="19"/>
        <v>0</v>
      </c>
      <c r="AE27" s="31">
        <f t="shared" si="19"/>
        <v>3</v>
      </c>
      <c r="AF27" s="31">
        <f t="shared" si="19"/>
        <v>11</v>
      </c>
    </row>
    <row r="28" spans="2:32" ht="23.1" customHeight="1" x14ac:dyDescent="0.25">
      <c r="B28" s="23" t="s">
        <v>55</v>
      </c>
      <c r="C28" s="49">
        <f>AVERAGE('31.07 Koboko-Arua'!C28,'01.08 Koboko-Arua'!C28,'04.08 Koboko-Arua'!C28,'05.08 Koboko-Arua'!C28,'02.08 Koboko-Arua-24h'!C28,'03.08 Koboko-Arua-24h'!C28,'06.08 Koboko-Arua'!C28)</f>
        <v>8.7142857142857135</v>
      </c>
      <c r="D28" s="49">
        <f>AVERAGE('31.07 Koboko-Arua'!D28,'01.08 Koboko-Arua'!D28,'04.08 Koboko-Arua'!D28,'05.08 Koboko-Arua'!D28,'02.08 Koboko-Arua-24h'!D28,'03.08 Koboko-Arua-24h'!D28,'06.08 Koboko-Arua'!D28)</f>
        <v>0.8571428571428571</v>
      </c>
      <c r="E28" s="49">
        <f>AVERAGE('31.07 Koboko-Arua'!E28,'01.08 Koboko-Arua'!E28,'04.08 Koboko-Arua'!E28,'05.08 Koboko-Arua'!E28,'02.08 Koboko-Arua-24h'!E28,'03.08 Koboko-Arua-24h'!E28,'06.08 Koboko-Arua'!E28)</f>
        <v>1.1428571428571428</v>
      </c>
      <c r="F28" s="49">
        <f>AVERAGE('31.07 Koboko-Arua'!F28,'01.08 Koboko-Arua'!F28,'04.08 Koboko-Arua'!F28,'05.08 Koboko-Arua'!F28,'02.08 Koboko-Arua-24h'!F28,'03.08 Koboko-Arua-24h'!F28,'06.08 Koboko-Arua'!F28)</f>
        <v>1.7142857142857142</v>
      </c>
      <c r="G28" s="49">
        <f>AVERAGE('31.07 Koboko-Arua'!G28,'01.08 Koboko-Arua'!G28,'04.08 Koboko-Arua'!G28,'05.08 Koboko-Arua'!G28,'02.08 Koboko-Arua-24h'!G28,'03.08 Koboko-Arua-24h'!G28,'06.08 Koboko-Arua'!G28)</f>
        <v>0.2857142857142857</v>
      </c>
      <c r="H28" s="49">
        <f>AVERAGE('31.07 Koboko-Arua'!H28,'01.08 Koboko-Arua'!H28,'04.08 Koboko-Arua'!H28,'05.08 Koboko-Arua'!H28,'02.08 Koboko-Arua-24h'!H28,'03.08 Koboko-Arua-24h'!H28,'06.08 Koboko-Arua'!H28)</f>
        <v>0</v>
      </c>
      <c r="I28" s="49">
        <f>AVERAGE('31.07 Koboko-Arua'!I28,'01.08 Koboko-Arua'!I28,'04.08 Koboko-Arua'!I28,'05.08 Koboko-Arua'!I28,'02.08 Koboko-Arua-24h'!I28,'03.08 Koboko-Arua-24h'!I28,'06.08 Koboko-Arua'!I28)</f>
        <v>2.4285714285714284</v>
      </c>
      <c r="J28" s="49">
        <f>AVERAGE('31.07 Koboko-Arua'!J28,'01.08 Koboko-Arua'!J28,'04.08 Koboko-Arua'!J28,'05.08 Koboko-Arua'!J28,'02.08 Koboko-Arua-24h'!J28,'03.08 Koboko-Arua-24h'!J28,'06.08 Koboko-Arua'!J28)</f>
        <v>0.2857142857142857</v>
      </c>
      <c r="K28" s="49">
        <f>AVERAGE('31.07 Koboko-Arua'!K28,'01.08 Koboko-Arua'!K28,'04.08 Koboko-Arua'!K28,'05.08 Koboko-Arua'!K28,'02.08 Koboko-Arua-24h'!K28,'03.08 Koboko-Arua-24h'!K28,'06.08 Koboko-Arua'!K28)</f>
        <v>0.14285714285714285</v>
      </c>
      <c r="L28" s="49">
        <f>AVERAGE('31.07 Koboko-Arua'!L28,'01.08 Koboko-Arua'!L28,'04.08 Koboko-Arua'!L28,'05.08 Koboko-Arua'!L28,'02.08 Koboko-Arua-24h'!L28,'03.08 Koboko-Arua-24h'!L28,'06.08 Koboko-Arua'!L28)</f>
        <v>0</v>
      </c>
      <c r="M28" s="49">
        <f>AVERAGE('31.07 Koboko-Arua'!M28,'01.08 Koboko-Arua'!M28,'04.08 Koboko-Arua'!M28,'05.08 Koboko-Arua'!M28,'02.08 Koboko-Arua-24h'!M28,'03.08 Koboko-Arua-24h'!M28,'06.08 Koboko-Arua'!M28)</f>
        <v>36.428571428571431</v>
      </c>
      <c r="N28" s="49">
        <f>AVERAGE('31.07 Koboko-Arua'!N28,'01.08 Koboko-Arua'!N28,'04.08 Koboko-Arua'!N28,'05.08 Koboko-Arua'!N28,'02.08 Koboko-Arua-24h'!N28,'03.08 Koboko-Arua-24h'!N28,'06.08 Koboko-Arua'!N28)</f>
        <v>0</v>
      </c>
      <c r="O28" s="15">
        <f t="shared" si="0"/>
        <v>15.571428571428571</v>
      </c>
      <c r="P28" s="15">
        <f t="shared" si="1"/>
        <v>52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0.5</v>
      </c>
      <c r="AC28" s="34">
        <f t="shared" si="20"/>
        <v>8</v>
      </c>
      <c r="AD28" s="34">
        <f t="shared" si="20"/>
        <v>0</v>
      </c>
      <c r="AE28" s="31">
        <f t="shared" si="20"/>
        <v>2.5</v>
      </c>
      <c r="AF28" s="31">
        <f t="shared" si="20"/>
        <v>10.5</v>
      </c>
    </row>
    <row r="29" spans="2:32" ht="23.1" customHeight="1" x14ac:dyDescent="0.25">
      <c r="B29" s="23" t="s">
        <v>56</v>
      </c>
      <c r="C29" s="49">
        <f>AVERAGE('31.07 Koboko-Arua'!C29,'01.08 Koboko-Arua'!C29,'04.08 Koboko-Arua'!C29,'05.08 Koboko-Arua'!C29,'02.08 Koboko-Arua-24h'!C29,'03.08 Koboko-Arua-24h'!C29,'06.08 Koboko-Arua'!C29)</f>
        <v>8.8571428571428577</v>
      </c>
      <c r="D29" s="49">
        <f>AVERAGE('31.07 Koboko-Arua'!D29,'01.08 Koboko-Arua'!D29,'04.08 Koboko-Arua'!D29,'05.08 Koboko-Arua'!D29,'02.08 Koboko-Arua-24h'!D29,'03.08 Koboko-Arua-24h'!D29,'06.08 Koboko-Arua'!D29)</f>
        <v>0.8571428571428571</v>
      </c>
      <c r="E29" s="49">
        <f>AVERAGE('31.07 Koboko-Arua'!E29,'01.08 Koboko-Arua'!E29,'04.08 Koboko-Arua'!E29,'05.08 Koboko-Arua'!E29,'02.08 Koboko-Arua-24h'!E29,'03.08 Koboko-Arua-24h'!E29,'06.08 Koboko-Arua'!E29)</f>
        <v>2</v>
      </c>
      <c r="F29" s="49">
        <f>AVERAGE('31.07 Koboko-Arua'!F29,'01.08 Koboko-Arua'!F29,'04.08 Koboko-Arua'!F29,'05.08 Koboko-Arua'!F29,'02.08 Koboko-Arua-24h'!F29,'03.08 Koboko-Arua-24h'!F29,'06.08 Koboko-Arua'!F29)</f>
        <v>1.8571428571428572</v>
      </c>
      <c r="G29" s="49">
        <f>AVERAGE('31.07 Koboko-Arua'!G29,'01.08 Koboko-Arua'!G29,'04.08 Koboko-Arua'!G29,'05.08 Koboko-Arua'!G29,'02.08 Koboko-Arua-24h'!G29,'03.08 Koboko-Arua-24h'!G29,'06.08 Koboko-Arua'!G29)</f>
        <v>0</v>
      </c>
      <c r="H29" s="49">
        <f>AVERAGE('31.07 Koboko-Arua'!H29,'01.08 Koboko-Arua'!H29,'04.08 Koboko-Arua'!H29,'05.08 Koboko-Arua'!H29,'02.08 Koboko-Arua-24h'!H29,'03.08 Koboko-Arua-24h'!H29,'06.08 Koboko-Arua'!H29)</f>
        <v>0.5714285714285714</v>
      </c>
      <c r="I29" s="49">
        <f>AVERAGE('31.07 Koboko-Arua'!I29,'01.08 Koboko-Arua'!I29,'04.08 Koboko-Arua'!I29,'05.08 Koboko-Arua'!I29,'02.08 Koboko-Arua-24h'!I29,'03.08 Koboko-Arua-24h'!I29,'06.08 Koboko-Arua'!I29)</f>
        <v>1.4285714285714286</v>
      </c>
      <c r="J29" s="49">
        <f>AVERAGE('31.07 Koboko-Arua'!J29,'01.08 Koboko-Arua'!J29,'04.08 Koboko-Arua'!J29,'05.08 Koboko-Arua'!J29,'02.08 Koboko-Arua-24h'!J29,'03.08 Koboko-Arua-24h'!J29,'06.08 Koboko-Arua'!J29)</f>
        <v>0.2857142857142857</v>
      </c>
      <c r="K29" s="49">
        <f>AVERAGE('31.07 Koboko-Arua'!K29,'01.08 Koboko-Arua'!K29,'04.08 Koboko-Arua'!K29,'05.08 Koboko-Arua'!K29,'02.08 Koboko-Arua-24h'!K29,'03.08 Koboko-Arua-24h'!K29,'06.08 Koboko-Arua'!K29)</f>
        <v>0</v>
      </c>
      <c r="L29" s="49">
        <f>AVERAGE('31.07 Koboko-Arua'!L29,'01.08 Koboko-Arua'!L29,'04.08 Koboko-Arua'!L29,'05.08 Koboko-Arua'!L29,'02.08 Koboko-Arua-24h'!L29,'03.08 Koboko-Arua-24h'!L29,'06.08 Koboko-Arua'!L29)</f>
        <v>0</v>
      </c>
      <c r="M29" s="49">
        <f>AVERAGE('31.07 Koboko-Arua'!M29,'01.08 Koboko-Arua'!M29,'04.08 Koboko-Arua'!M29,'05.08 Koboko-Arua'!M29,'02.08 Koboko-Arua-24h'!M29,'03.08 Koboko-Arua-24h'!M29,'06.08 Koboko-Arua'!M29)</f>
        <v>38.714285714285715</v>
      </c>
      <c r="N29" s="49">
        <f>AVERAGE('31.07 Koboko-Arua'!N29,'01.08 Koboko-Arua'!N29,'04.08 Koboko-Arua'!N29,'05.08 Koboko-Arua'!N29,'02.08 Koboko-Arua-24h'!N29,'03.08 Koboko-Arua-24h'!N29,'06.08 Koboko-Arua'!N29)</f>
        <v>0</v>
      </c>
      <c r="O29" s="15">
        <f t="shared" si="0"/>
        <v>15.857142857142859</v>
      </c>
      <c r="P29" s="15">
        <f t="shared" si="1"/>
        <v>54.571428571428577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2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AVERAGE('31.07 Koboko-Arua'!C30,'01.08 Koboko-Arua'!C30,'04.08 Koboko-Arua'!C30,'05.08 Koboko-Arua'!C30,'02.08 Koboko-Arua-24h'!C30,'03.08 Koboko-Arua-24h'!C30,'06.08 Koboko-Arua'!C30)</f>
        <v>6.2857142857142856</v>
      </c>
      <c r="D30" s="49">
        <f>AVERAGE('31.07 Koboko-Arua'!D30,'01.08 Koboko-Arua'!D30,'04.08 Koboko-Arua'!D30,'05.08 Koboko-Arua'!D30,'02.08 Koboko-Arua-24h'!D30,'03.08 Koboko-Arua-24h'!D30,'06.08 Koboko-Arua'!D30)</f>
        <v>1.2857142857142858</v>
      </c>
      <c r="E30" s="49">
        <f>AVERAGE('31.07 Koboko-Arua'!E30,'01.08 Koboko-Arua'!E30,'04.08 Koboko-Arua'!E30,'05.08 Koboko-Arua'!E30,'02.08 Koboko-Arua-24h'!E30,'03.08 Koboko-Arua-24h'!E30,'06.08 Koboko-Arua'!E30)</f>
        <v>2.4285714285714284</v>
      </c>
      <c r="F30" s="49">
        <f>AVERAGE('31.07 Koboko-Arua'!F30,'01.08 Koboko-Arua'!F30,'04.08 Koboko-Arua'!F30,'05.08 Koboko-Arua'!F30,'02.08 Koboko-Arua-24h'!F30,'03.08 Koboko-Arua-24h'!F30,'06.08 Koboko-Arua'!F30)</f>
        <v>2.5714285714285716</v>
      </c>
      <c r="G30" s="49">
        <f>AVERAGE('31.07 Koboko-Arua'!G30,'01.08 Koboko-Arua'!G30,'04.08 Koboko-Arua'!G30,'05.08 Koboko-Arua'!G30,'02.08 Koboko-Arua-24h'!G30,'03.08 Koboko-Arua-24h'!G30,'06.08 Koboko-Arua'!G30)</f>
        <v>0</v>
      </c>
      <c r="H30" s="49">
        <f>AVERAGE('31.07 Koboko-Arua'!H30,'01.08 Koboko-Arua'!H30,'04.08 Koboko-Arua'!H30,'05.08 Koboko-Arua'!H30,'02.08 Koboko-Arua-24h'!H30,'03.08 Koboko-Arua-24h'!H30,'06.08 Koboko-Arua'!H30)</f>
        <v>0</v>
      </c>
      <c r="I30" s="49">
        <f>AVERAGE('31.07 Koboko-Arua'!I30,'01.08 Koboko-Arua'!I30,'04.08 Koboko-Arua'!I30,'05.08 Koboko-Arua'!I30,'02.08 Koboko-Arua-24h'!I30,'03.08 Koboko-Arua-24h'!I30,'06.08 Koboko-Arua'!I30)</f>
        <v>2.4285714285714284</v>
      </c>
      <c r="J30" s="49">
        <f>AVERAGE('31.07 Koboko-Arua'!J30,'01.08 Koboko-Arua'!J30,'04.08 Koboko-Arua'!J30,'05.08 Koboko-Arua'!J30,'02.08 Koboko-Arua-24h'!J30,'03.08 Koboko-Arua-24h'!J30,'06.08 Koboko-Arua'!J30)</f>
        <v>0.14285714285714285</v>
      </c>
      <c r="K30" s="49">
        <f>AVERAGE('31.07 Koboko-Arua'!K30,'01.08 Koboko-Arua'!K30,'04.08 Koboko-Arua'!K30,'05.08 Koboko-Arua'!K30,'02.08 Koboko-Arua-24h'!K30,'03.08 Koboko-Arua-24h'!K30,'06.08 Koboko-Arua'!K30)</f>
        <v>0</v>
      </c>
      <c r="L30" s="49">
        <f>AVERAGE('31.07 Koboko-Arua'!L30,'01.08 Koboko-Arua'!L30,'04.08 Koboko-Arua'!L30,'05.08 Koboko-Arua'!L30,'02.08 Koboko-Arua-24h'!L30,'03.08 Koboko-Arua-24h'!L30,'06.08 Koboko-Arua'!L30)</f>
        <v>0</v>
      </c>
      <c r="M30" s="49">
        <f>AVERAGE('31.07 Koboko-Arua'!M30,'01.08 Koboko-Arua'!M30,'04.08 Koboko-Arua'!M30,'05.08 Koboko-Arua'!M30,'02.08 Koboko-Arua-24h'!M30,'03.08 Koboko-Arua-24h'!M30,'06.08 Koboko-Arua'!M30)</f>
        <v>48.142857142857146</v>
      </c>
      <c r="N30" s="49">
        <f>AVERAGE('31.07 Koboko-Arua'!N30,'01.08 Koboko-Arua'!N30,'04.08 Koboko-Arua'!N30,'05.08 Koboko-Arua'!N30,'02.08 Koboko-Arua-24h'!N30,'03.08 Koboko-Arua-24h'!N30,'06.08 Koboko-Arua'!N30)</f>
        <v>0</v>
      </c>
      <c r="O30" s="15">
        <f t="shared" si="0"/>
        <v>15.142857142857142</v>
      </c>
      <c r="P30" s="15">
        <f t="shared" si="1"/>
        <v>63.285714285714292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3.5</v>
      </c>
      <c r="AD30" s="34">
        <f t="shared" si="22"/>
        <v>0</v>
      </c>
      <c r="AE30" s="31">
        <f t="shared" si="22"/>
        <v>0</v>
      </c>
      <c r="AF30" s="31">
        <f t="shared" si="22"/>
        <v>3.5</v>
      </c>
    </row>
    <row r="31" spans="2:32" ht="23.1" customHeight="1" x14ac:dyDescent="0.25">
      <c r="B31" s="24" t="s">
        <v>58</v>
      </c>
      <c r="C31" s="49">
        <f>AVERAGE('31.07 Koboko-Arua'!C31,'01.08 Koboko-Arua'!C31,'04.08 Koboko-Arua'!C31,'05.08 Koboko-Arua'!C31,'02.08 Koboko-Arua-24h'!C31,'03.08 Koboko-Arua-24h'!C31,'06.08 Koboko-Arua'!C31)</f>
        <v>10.142857142857142</v>
      </c>
      <c r="D31" s="49">
        <f>AVERAGE('31.07 Koboko-Arua'!D31,'01.08 Koboko-Arua'!D31,'04.08 Koboko-Arua'!D31,'05.08 Koboko-Arua'!D31,'02.08 Koboko-Arua-24h'!D31,'03.08 Koboko-Arua-24h'!D31,'06.08 Koboko-Arua'!D31)</f>
        <v>2.2857142857142856</v>
      </c>
      <c r="E31" s="49">
        <f>AVERAGE('31.07 Koboko-Arua'!E31,'01.08 Koboko-Arua'!E31,'04.08 Koboko-Arua'!E31,'05.08 Koboko-Arua'!E31,'02.08 Koboko-Arua-24h'!E31,'03.08 Koboko-Arua-24h'!E31,'06.08 Koboko-Arua'!E31)</f>
        <v>4.1428571428571432</v>
      </c>
      <c r="F31" s="49">
        <f>AVERAGE('31.07 Koboko-Arua'!F31,'01.08 Koboko-Arua'!F31,'04.08 Koboko-Arua'!F31,'05.08 Koboko-Arua'!F31,'02.08 Koboko-Arua-24h'!F31,'03.08 Koboko-Arua-24h'!F31,'06.08 Koboko-Arua'!F31)</f>
        <v>1.2857142857142858</v>
      </c>
      <c r="G31" s="49">
        <f>AVERAGE('31.07 Koboko-Arua'!G31,'01.08 Koboko-Arua'!G31,'04.08 Koboko-Arua'!G31,'05.08 Koboko-Arua'!G31,'02.08 Koboko-Arua-24h'!G31,'03.08 Koboko-Arua-24h'!G31,'06.08 Koboko-Arua'!G31)</f>
        <v>0</v>
      </c>
      <c r="H31" s="49">
        <f>AVERAGE('31.07 Koboko-Arua'!H31,'01.08 Koboko-Arua'!H31,'04.08 Koboko-Arua'!H31,'05.08 Koboko-Arua'!H31,'02.08 Koboko-Arua-24h'!H31,'03.08 Koboko-Arua-24h'!H31,'06.08 Koboko-Arua'!H31)</f>
        <v>0.14285714285714285</v>
      </c>
      <c r="I31" s="49">
        <f>AVERAGE('31.07 Koboko-Arua'!I31,'01.08 Koboko-Arua'!I31,'04.08 Koboko-Arua'!I31,'05.08 Koboko-Arua'!I31,'02.08 Koboko-Arua-24h'!I31,'03.08 Koboko-Arua-24h'!I31,'06.08 Koboko-Arua'!I31)</f>
        <v>3.5714285714285716</v>
      </c>
      <c r="J31" s="49">
        <f>AVERAGE('31.07 Koboko-Arua'!J31,'01.08 Koboko-Arua'!J31,'04.08 Koboko-Arua'!J31,'05.08 Koboko-Arua'!J31,'02.08 Koboko-Arua-24h'!J31,'03.08 Koboko-Arua-24h'!J31,'06.08 Koboko-Arua'!J31)</f>
        <v>0.2857142857142857</v>
      </c>
      <c r="K31" s="49">
        <f>AVERAGE('31.07 Koboko-Arua'!K31,'01.08 Koboko-Arua'!K31,'04.08 Koboko-Arua'!K31,'05.08 Koboko-Arua'!K31,'02.08 Koboko-Arua-24h'!K31,'03.08 Koboko-Arua-24h'!K31,'06.08 Koboko-Arua'!K31)</f>
        <v>0.14285714285714285</v>
      </c>
      <c r="L31" s="49">
        <f>AVERAGE('31.07 Koboko-Arua'!L31,'01.08 Koboko-Arua'!L31,'04.08 Koboko-Arua'!L31,'05.08 Koboko-Arua'!L31,'02.08 Koboko-Arua-24h'!L31,'03.08 Koboko-Arua-24h'!L31,'06.08 Koboko-Arua'!L31)</f>
        <v>0</v>
      </c>
      <c r="M31" s="49">
        <f>AVERAGE('31.07 Koboko-Arua'!M31,'01.08 Koboko-Arua'!M31,'04.08 Koboko-Arua'!M31,'05.08 Koboko-Arua'!M31,'02.08 Koboko-Arua-24h'!M31,'03.08 Koboko-Arua-24h'!M31,'06.08 Koboko-Arua'!M31)</f>
        <v>49.571428571428569</v>
      </c>
      <c r="N31" s="49">
        <f>AVERAGE('31.07 Koboko-Arua'!N31,'01.08 Koboko-Arua'!N31,'04.08 Koboko-Arua'!N31,'05.08 Koboko-Arua'!N31,'02.08 Koboko-Arua-24h'!N31,'03.08 Koboko-Arua-24h'!N31,'06.08 Koboko-Arua'!N31)</f>
        <v>0</v>
      </c>
      <c r="O31" s="15">
        <f t="shared" si="0"/>
        <v>21.999999999999996</v>
      </c>
      <c r="P31" s="15">
        <f t="shared" si="1"/>
        <v>71.571428571428569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1</v>
      </c>
      <c r="AF31" s="31">
        <f t="shared" si="23"/>
        <v>5</v>
      </c>
    </row>
    <row r="32" spans="2:32" ht="23.1" customHeight="1" x14ac:dyDescent="0.25">
      <c r="B32" s="24" t="s">
        <v>59</v>
      </c>
      <c r="C32" s="49">
        <f>AVERAGE('31.07 Koboko-Arua'!C32,'01.08 Koboko-Arua'!C32,'04.08 Koboko-Arua'!C32,'05.08 Koboko-Arua'!C32,'02.08 Koboko-Arua-24h'!C32,'03.08 Koboko-Arua-24h'!C32,'06.08 Koboko-Arua'!C32)</f>
        <v>7.7142857142857144</v>
      </c>
      <c r="D32" s="49">
        <f>AVERAGE('31.07 Koboko-Arua'!D32,'01.08 Koboko-Arua'!D32,'04.08 Koboko-Arua'!D32,'05.08 Koboko-Arua'!D32,'02.08 Koboko-Arua-24h'!D32,'03.08 Koboko-Arua-24h'!D32,'06.08 Koboko-Arua'!D32)</f>
        <v>1.8571428571428572</v>
      </c>
      <c r="E32" s="49">
        <f>AVERAGE('31.07 Koboko-Arua'!E32,'01.08 Koboko-Arua'!E32,'04.08 Koboko-Arua'!E32,'05.08 Koboko-Arua'!E32,'02.08 Koboko-Arua-24h'!E32,'03.08 Koboko-Arua-24h'!E32,'06.08 Koboko-Arua'!E32)</f>
        <v>3.7142857142857144</v>
      </c>
      <c r="F32" s="49">
        <f>AVERAGE('31.07 Koboko-Arua'!F32,'01.08 Koboko-Arua'!F32,'04.08 Koboko-Arua'!F32,'05.08 Koboko-Arua'!F32,'02.08 Koboko-Arua-24h'!F32,'03.08 Koboko-Arua-24h'!F32,'06.08 Koboko-Arua'!F32)</f>
        <v>1.1428571428571428</v>
      </c>
      <c r="G32" s="49">
        <f>AVERAGE('31.07 Koboko-Arua'!G32,'01.08 Koboko-Arua'!G32,'04.08 Koboko-Arua'!G32,'05.08 Koboko-Arua'!G32,'02.08 Koboko-Arua-24h'!G32,'03.08 Koboko-Arua-24h'!G32,'06.08 Koboko-Arua'!G32)</f>
        <v>0</v>
      </c>
      <c r="H32" s="49">
        <f>AVERAGE('31.07 Koboko-Arua'!H32,'01.08 Koboko-Arua'!H32,'04.08 Koboko-Arua'!H32,'05.08 Koboko-Arua'!H32,'02.08 Koboko-Arua-24h'!H32,'03.08 Koboko-Arua-24h'!H32,'06.08 Koboko-Arua'!H32)</f>
        <v>0</v>
      </c>
      <c r="I32" s="49">
        <f>AVERAGE('31.07 Koboko-Arua'!I32,'01.08 Koboko-Arua'!I32,'04.08 Koboko-Arua'!I32,'05.08 Koboko-Arua'!I32,'02.08 Koboko-Arua-24h'!I32,'03.08 Koboko-Arua-24h'!I32,'06.08 Koboko-Arua'!I32)</f>
        <v>2</v>
      </c>
      <c r="J32" s="49">
        <f>AVERAGE('31.07 Koboko-Arua'!J32,'01.08 Koboko-Arua'!J32,'04.08 Koboko-Arua'!J32,'05.08 Koboko-Arua'!J32,'02.08 Koboko-Arua-24h'!J32,'03.08 Koboko-Arua-24h'!J32,'06.08 Koboko-Arua'!J32)</f>
        <v>0.42857142857142855</v>
      </c>
      <c r="K32" s="49">
        <f>AVERAGE('31.07 Koboko-Arua'!K32,'01.08 Koboko-Arua'!K32,'04.08 Koboko-Arua'!K32,'05.08 Koboko-Arua'!K32,'02.08 Koboko-Arua-24h'!K32,'03.08 Koboko-Arua-24h'!K32,'06.08 Koboko-Arua'!K32)</f>
        <v>0.14285714285714285</v>
      </c>
      <c r="L32" s="49">
        <f>AVERAGE('31.07 Koboko-Arua'!L32,'01.08 Koboko-Arua'!L32,'04.08 Koboko-Arua'!L32,'05.08 Koboko-Arua'!L32,'02.08 Koboko-Arua-24h'!L32,'03.08 Koboko-Arua-24h'!L32,'06.08 Koboko-Arua'!L32)</f>
        <v>0</v>
      </c>
      <c r="M32" s="49">
        <f>AVERAGE('31.07 Koboko-Arua'!M32,'01.08 Koboko-Arua'!M32,'04.08 Koboko-Arua'!M32,'05.08 Koboko-Arua'!M32,'02.08 Koboko-Arua-24h'!M32,'03.08 Koboko-Arua-24h'!M32,'06.08 Koboko-Arua'!M32)</f>
        <v>33.142857142857146</v>
      </c>
      <c r="N32" s="49">
        <f>AVERAGE('31.07 Koboko-Arua'!N32,'01.08 Koboko-Arua'!N32,'04.08 Koboko-Arua'!N32,'05.08 Koboko-Arua'!N32,'02.08 Koboko-Arua-24h'!N32,'03.08 Koboko-Arua-24h'!N32,'06.08 Koboko-Arua'!N32)</f>
        <v>0</v>
      </c>
      <c r="O32" s="15">
        <f t="shared" si="0"/>
        <v>16.999999999999996</v>
      </c>
      <c r="P32" s="15">
        <f t="shared" si="1"/>
        <v>50.142857142857139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11</v>
      </c>
      <c r="AD32" s="34">
        <f t="shared" si="24"/>
        <v>0</v>
      </c>
      <c r="AE32" s="31">
        <f t="shared" si="24"/>
        <v>0.5</v>
      </c>
      <c r="AF32" s="31">
        <f t="shared" si="24"/>
        <v>11.5</v>
      </c>
    </row>
    <row r="33" spans="2:32" ht="23.1" customHeight="1" x14ac:dyDescent="0.25">
      <c r="B33" s="23" t="s">
        <v>60</v>
      </c>
      <c r="C33" s="49">
        <f>AVERAGE('31.07 Koboko-Arua'!C33,'01.08 Koboko-Arua'!C33,'04.08 Koboko-Arua'!C33,'05.08 Koboko-Arua'!C33,'02.08 Koboko-Arua-24h'!C33,'03.08 Koboko-Arua-24h'!C33,'06.08 Koboko-Arua'!C33)</f>
        <v>9</v>
      </c>
      <c r="D33" s="49">
        <f>AVERAGE('31.07 Koboko-Arua'!D33,'01.08 Koboko-Arua'!D33,'04.08 Koboko-Arua'!D33,'05.08 Koboko-Arua'!D33,'02.08 Koboko-Arua-24h'!D33,'03.08 Koboko-Arua-24h'!D33,'06.08 Koboko-Arua'!D33)</f>
        <v>1.4285714285714286</v>
      </c>
      <c r="E33" s="49">
        <f>AVERAGE('31.07 Koboko-Arua'!E33,'01.08 Koboko-Arua'!E33,'04.08 Koboko-Arua'!E33,'05.08 Koboko-Arua'!E33,'02.08 Koboko-Arua-24h'!E33,'03.08 Koboko-Arua-24h'!E33,'06.08 Koboko-Arua'!E33)</f>
        <v>2</v>
      </c>
      <c r="F33" s="49">
        <f>AVERAGE('31.07 Koboko-Arua'!F33,'01.08 Koboko-Arua'!F33,'04.08 Koboko-Arua'!F33,'05.08 Koboko-Arua'!F33,'02.08 Koboko-Arua-24h'!F33,'03.08 Koboko-Arua-24h'!F33,'06.08 Koboko-Arua'!F33)</f>
        <v>1</v>
      </c>
      <c r="G33" s="49">
        <f>AVERAGE('31.07 Koboko-Arua'!G33,'01.08 Koboko-Arua'!G33,'04.08 Koboko-Arua'!G33,'05.08 Koboko-Arua'!G33,'02.08 Koboko-Arua-24h'!G33,'03.08 Koboko-Arua-24h'!G33,'06.08 Koboko-Arua'!G33)</f>
        <v>0.14285714285714285</v>
      </c>
      <c r="H33" s="49">
        <f>AVERAGE('31.07 Koboko-Arua'!H33,'01.08 Koboko-Arua'!H33,'04.08 Koboko-Arua'!H33,'05.08 Koboko-Arua'!H33,'02.08 Koboko-Arua-24h'!H33,'03.08 Koboko-Arua-24h'!H33,'06.08 Koboko-Arua'!H33)</f>
        <v>0.14285714285714285</v>
      </c>
      <c r="I33" s="49">
        <f>AVERAGE('31.07 Koboko-Arua'!I33,'01.08 Koboko-Arua'!I33,'04.08 Koboko-Arua'!I33,'05.08 Koboko-Arua'!I33,'02.08 Koboko-Arua-24h'!I33,'03.08 Koboko-Arua-24h'!I33,'06.08 Koboko-Arua'!I33)</f>
        <v>1.5714285714285714</v>
      </c>
      <c r="J33" s="49">
        <f>AVERAGE('31.07 Koboko-Arua'!J33,'01.08 Koboko-Arua'!J33,'04.08 Koboko-Arua'!J33,'05.08 Koboko-Arua'!J33,'02.08 Koboko-Arua-24h'!J33,'03.08 Koboko-Arua-24h'!J33,'06.08 Koboko-Arua'!J33)</f>
        <v>0.42857142857142855</v>
      </c>
      <c r="K33" s="49">
        <f>AVERAGE('31.07 Koboko-Arua'!K33,'01.08 Koboko-Arua'!K33,'04.08 Koboko-Arua'!K33,'05.08 Koboko-Arua'!K33,'02.08 Koboko-Arua-24h'!K33,'03.08 Koboko-Arua-24h'!K33,'06.08 Koboko-Arua'!K33)</f>
        <v>0</v>
      </c>
      <c r="L33" s="49">
        <f>AVERAGE('31.07 Koboko-Arua'!L33,'01.08 Koboko-Arua'!L33,'04.08 Koboko-Arua'!L33,'05.08 Koboko-Arua'!L33,'02.08 Koboko-Arua-24h'!L33,'03.08 Koboko-Arua-24h'!L33,'06.08 Koboko-Arua'!L33)</f>
        <v>0</v>
      </c>
      <c r="M33" s="49">
        <f>AVERAGE('31.07 Koboko-Arua'!M33,'01.08 Koboko-Arua'!M33,'04.08 Koboko-Arua'!M33,'05.08 Koboko-Arua'!M33,'02.08 Koboko-Arua-24h'!M33,'03.08 Koboko-Arua-24h'!M33,'06.08 Koboko-Arua'!M33)</f>
        <v>35</v>
      </c>
      <c r="N33" s="49">
        <f>AVERAGE('31.07 Koboko-Arua'!N33,'01.08 Koboko-Arua'!N33,'04.08 Koboko-Arua'!N33,'05.08 Koboko-Arua'!N33,'02.08 Koboko-Arua-24h'!N33,'03.08 Koboko-Arua-24h'!N33,'06.08 Koboko-Arua'!N33)</f>
        <v>0</v>
      </c>
      <c r="O33" s="15">
        <f t="shared" si="0"/>
        <v>15.714285714285714</v>
      </c>
      <c r="P33" s="15">
        <f t="shared" si="1"/>
        <v>50.714285714285715</v>
      </c>
      <c r="R33" s="1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2</v>
      </c>
      <c r="V33" s="34">
        <f t="shared" si="25"/>
        <v>0.5</v>
      </c>
      <c r="W33" s="34">
        <f t="shared" si="25"/>
        <v>0.5</v>
      </c>
      <c r="X33" s="34">
        <f t="shared" si="25"/>
        <v>0</v>
      </c>
      <c r="Y33" s="34">
        <f t="shared" si="25"/>
        <v>1.5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63</v>
      </c>
      <c r="AD33" s="34">
        <f t="shared" si="25"/>
        <v>0</v>
      </c>
      <c r="AE33" s="31">
        <f t="shared" si="25"/>
        <v>6</v>
      </c>
      <c r="AF33" s="31">
        <f t="shared" si="25"/>
        <v>69</v>
      </c>
    </row>
    <row r="34" spans="2:32" ht="23.1" customHeight="1" x14ac:dyDescent="0.25">
      <c r="B34" s="24" t="s">
        <v>61</v>
      </c>
      <c r="C34" s="49">
        <f>AVERAGE('31.07 Koboko-Arua'!C34,'01.08 Koboko-Arua'!C34,'04.08 Koboko-Arua'!C34,'05.08 Koboko-Arua'!C34,'02.08 Koboko-Arua-24h'!C34,'03.08 Koboko-Arua-24h'!C34,'06.08 Koboko-Arua'!C34)</f>
        <v>7.7142857142857144</v>
      </c>
      <c r="D34" s="49">
        <f>AVERAGE('31.07 Koboko-Arua'!D34,'01.08 Koboko-Arua'!D34,'04.08 Koboko-Arua'!D34,'05.08 Koboko-Arua'!D34,'02.08 Koboko-Arua-24h'!D34,'03.08 Koboko-Arua-24h'!D34,'06.08 Koboko-Arua'!D34)</f>
        <v>2.7142857142857144</v>
      </c>
      <c r="E34" s="49">
        <f>AVERAGE('31.07 Koboko-Arua'!E34,'01.08 Koboko-Arua'!E34,'04.08 Koboko-Arua'!E34,'05.08 Koboko-Arua'!E34,'02.08 Koboko-Arua-24h'!E34,'03.08 Koboko-Arua-24h'!E34,'06.08 Koboko-Arua'!E34)</f>
        <v>5.4285714285714288</v>
      </c>
      <c r="F34" s="49">
        <f>AVERAGE('31.07 Koboko-Arua'!F34,'01.08 Koboko-Arua'!F34,'04.08 Koboko-Arua'!F34,'05.08 Koboko-Arua'!F34,'02.08 Koboko-Arua-24h'!F34,'03.08 Koboko-Arua-24h'!F34,'06.08 Koboko-Arua'!F34)</f>
        <v>2</v>
      </c>
      <c r="G34" s="49">
        <f>AVERAGE('31.07 Koboko-Arua'!G34,'01.08 Koboko-Arua'!G34,'04.08 Koboko-Arua'!G34,'05.08 Koboko-Arua'!G34,'02.08 Koboko-Arua-24h'!G34,'03.08 Koboko-Arua-24h'!G34,'06.08 Koboko-Arua'!G34)</f>
        <v>0.14285714285714285</v>
      </c>
      <c r="H34" s="49">
        <f>AVERAGE('31.07 Koboko-Arua'!H34,'01.08 Koboko-Arua'!H34,'04.08 Koboko-Arua'!H34,'05.08 Koboko-Arua'!H34,'02.08 Koboko-Arua-24h'!H34,'03.08 Koboko-Arua-24h'!H34,'06.08 Koboko-Arua'!H34)</f>
        <v>5.4285714285714288</v>
      </c>
      <c r="I34" s="49">
        <f>AVERAGE('31.07 Koboko-Arua'!I34,'01.08 Koboko-Arua'!I34,'04.08 Koboko-Arua'!I34,'05.08 Koboko-Arua'!I34,'02.08 Koboko-Arua-24h'!I34,'03.08 Koboko-Arua-24h'!I34,'06.08 Koboko-Arua'!I34)</f>
        <v>2.7142857142857144</v>
      </c>
      <c r="J34" s="49">
        <f>AVERAGE('31.07 Koboko-Arua'!J34,'01.08 Koboko-Arua'!J34,'04.08 Koboko-Arua'!J34,'05.08 Koboko-Arua'!J34,'02.08 Koboko-Arua-24h'!J34,'03.08 Koboko-Arua-24h'!J34,'06.08 Koboko-Arua'!J34)</f>
        <v>0.7142857142857143</v>
      </c>
      <c r="K34" s="49">
        <f>AVERAGE('31.07 Koboko-Arua'!K34,'01.08 Koboko-Arua'!K34,'04.08 Koboko-Arua'!K34,'05.08 Koboko-Arua'!K34,'02.08 Koboko-Arua-24h'!K34,'03.08 Koboko-Arua-24h'!K34,'06.08 Koboko-Arua'!K34)</f>
        <v>0.14285714285714285</v>
      </c>
      <c r="L34" s="49">
        <f>AVERAGE('31.07 Koboko-Arua'!L34,'01.08 Koboko-Arua'!L34,'04.08 Koboko-Arua'!L34,'05.08 Koboko-Arua'!L34,'02.08 Koboko-Arua-24h'!L34,'03.08 Koboko-Arua-24h'!L34,'06.08 Koboko-Arua'!L34)</f>
        <v>0.2857142857142857</v>
      </c>
      <c r="M34" s="49">
        <f>AVERAGE('31.07 Koboko-Arua'!M34,'01.08 Koboko-Arua'!M34,'04.08 Koboko-Arua'!M34,'05.08 Koboko-Arua'!M34,'02.08 Koboko-Arua-24h'!M34,'03.08 Koboko-Arua-24h'!M34,'06.08 Koboko-Arua'!M34)</f>
        <v>32.285714285714285</v>
      </c>
      <c r="N34" s="49">
        <f>AVERAGE('31.07 Koboko-Arua'!N34,'01.08 Koboko-Arua'!N34,'04.08 Koboko-Arua'!N34,'05.08 Koboko-Arua'!N34,'02.08 Koboko-Arua-24h'!N34,'03.08 Koboko-Arua-24h'!N34,'06.08 Koboko-Arua'!N34)</f>
        <v>0</v>
      </c>
      <c r="O34" s="15">
        <f t="shared" si="0"/>
        <v>27.285714285714288</v>
      </c>
      <c r="P34" s="15">
        <f t="shared" si="1"/>
        <v>59.571428571428569</v>
      </c>
      <c r="R34" s="51" t="s">
        <v>90</v>
      </c>
      <c r="S34" s="52">
        <f t="shared" ref="S34:AF34" si="26">MAX(S10:S12)</f>
        <v>43</v>
      </c>
      <c r="T34" s="52">
        <f t="shared" si="26"/>
        <v>8.8571428571428559</v>
      </c>
      <c r="U34" s="52">
        <f t="shared" si="26"/>
        <v>11.857142857142858</v>
      </c>
      <c r="V34" s="52">
        <f t="shared" si="26"/>
        <v>11.857142857142858</v>
      </c>
      <c r="W34" s="52">
        <f t="shared" si="26"/>
        <v>5.5714285714285712</v>
      </c>
      <c r="X34" s="52">
        <f t="shared" si="26"/>
        <v>1.4285714285714286</v>
      </c>
      <c r="Y34" s="52">
        <f t="shared" si="26"/>
        <v>6</v>
      </c>
      <c r="Z34" s="52">
        <f t="shared" si="26"/>
        <v>1.8571428571428572</v>
      </c>
      <c r="AA34" s="52">
        <f t="shared" si="26"/>
        <v>0.42857142857142855</v>
      </c>
      <c r="AB34" s="52">
        <f t="shared" si="26"/>
        <v>1.1428571428571428</v>
      </c>
      <c r="AC34" s="52">
        <f t="shared" si="26"/>
        <v>136</v>
      </c>
      <c r="AD34" s="52">
        <f t="shared" si="26"/>
        <v>0.14285714285714285</v>
      </c>
      <c r="AE34" s="40">
        <f t="shared" si="26"/>
        <v>75.428571428571431</v>
      </c>
      <c r="AF34" s="40">
        <f t="shared" si="26"/>
        <v>201.42857142857142</v>
      </c>
    </row>
    <row r="35" spans="2:32" ht="23.1" customHeight="1" x14ac:dyDescent="0.25">
      <c r="B35" s="24" t="s">
        <v>62</v>
      </c>
      <c r="C35" s="49">
        <f>AVERAGE('31.07 Koboko-Arua'!C35,'01.08 Koboko-Arua'!C35,'04.08 Koboko-Arua'!C35,'05.08 Koboko-Arua'!C35,'02.08 Koboko-Arua-24h'!C35,'03.08 Koboko-Arua-24h'!C35,'06.08 Koboko-Arua'!C35)</f>
        <v>9.1428571428571423</v>
      </c>
      <c r="D35" s="49">
        <f>AVERAGE('31.07 Koboko-Arua'!D35,'01.08 Koboko-Arua'!D35,'04.08 Koboko-Arua'!D35,'05.08 Koboko-Arua'!D35,'02.08 Koboko-Arua-24h'!D35,'03.08 Koboko-Arua-24h'!D35,'06.08 Koboko-Arua'!D35)</f>
        <v>2.2857142857142856</v>
      </c>
      <c r="E35" s="49">
        <f>AVERAGE('31.07 Koboko-Arua'!E35,'01.08 Koboko-Arua'!E35,'04.08 Koboko-Arua'!E35,'05.08 Koboko-Arua'!E35,'02.08 Koboko-Arua-24h'!E35,'03.08 Koboko-Arua-24h'!E35,'06.08 Koboko-Arua'!E35)</f>
        <v>3.5714285714285716</v>
      </c>
      <c r="F35" s="49">
        <f>AVERAGE('31.07 Koboko-Arua'!F35,'01.08 Koboko-Arua'!F35,'04.08 Koboko-Arua'!F35,'05.08 Koboko-Arua'!F35,'02.08 Koboko-Arua-24h'!F35,'03.08 Koboko-Arua-24h'!F35,'06.08 Koboko-Arua'!F35)</f>
        <v>2.5714285714285716</v>
      </c>
      <c r="G35" s="49">
        <f>AVERAGE('31.07 Koboko-Arua'!G35,'01.08 Koboko-Arua'!G35,'04.08 Koboko-Arua'!G35,'05.08 Koboko-Arua'!G35,'02.08 Koboko-Arua-24h'!G35,'03.08 Koboko-Arua-24h'!G35,'06.08 Koboko-Arua'!G35)</f>
        <v>0</v>
      </c>
      <c r="H35" s="49">
        <f>AVERAGE('31.07 Koboko-Arua'!H35,'01.08 Koboko-Arua'!H35,'04.08 Koboko-Arua'!H35,'05.08 Koboko-Arua'!H35,'02.08 Koboko-Arua-24h'!H35,'03.08 Koboko-Arua-24h'!H35,'06.08 Koboko-Arua'!H35)</f>
        <v>7</v>
      </c>
      <c r="I35" s="49">
        <f>AVERAGE('31.07 Koboko-Arua'!I35,'01.08 Koboko-Arua'!I35,'04.08 Koboko-Arua'!I35,'05.08 Koboko-Arua'!I35,'02.08 Koboko-Arua-24h'!I35,'03.08 Koboko-Arua-24h'!I35,'06.08 Koboko-Arua'!I35)</f>
        <v>0.8571428571428571</v>
      </c>
      <c r="J35" s="49">
        <f>AVERAGE('31.07 Koboko-Arua'!J35,'01.08 Koboko-Arua'!J35,'04.08 Koboko-Arua'!J35,'05.08 Koboko-Arua'!J35,'02.08 Koboko-Arua-24h'!J35,'03.08 Koboko-Arua-24h'!J35,'06.08 Koboko-Arua'!J35)</f>
        <v>0.7142857142857143</v>
      </c>
      <c r="K35" s="49">
        <f>AVERAGE('31.07 Koboko-Arua'!K35,'01.08 Koboko-Arua'!K35,'04.08 Koboko-Arua'!K35,'05.08 Koboko-Arua'!K35,'02.08 Koboko-Arua-24h'!K35,'03.08 Koboko-Arua-24h'!K35,'06.08 Koboko-Arua'!K35)</f>
        <v>0.14285714285714285</v>
      </c>
      <c r="L35" s="49">
        <f>AVERAGE('31.07 Koboko-Arua'!L35,'01.08 Koboko-Arua'!L35,'04.08 Koboko-Arua'!L35,'05.08 Koboko-Arua'!L35,'02.08 Koboko-Arua-24h'!L35,'03.08 Koboko-Arua-24h'!L35,'06.08 Koboko-Arua'!L35)</f>
        <v>0.14285714285714285</v>
      </c>
      <c r="M35" s="49">
        <f>AVERAGE('31.07 Koboko-Arua'!M35,'01.08 Koboko-Arua'!M35,'04.08 Koboko-Arua'!M35,'05.08 Koboko-Arua'!M35,'02.08 Koboko-Arua-24h'!M35,'03.08 Koboko-Arua-24h'!M35,'06.08 Koboko-Arua'!M35)</f>
        <v>23.571428571428573</v>
      </c>
      <c r="N35" s="49">
        <f>AVERAGE('31.07 Koboko-Arua'!N35,'01.08 Koboko-Arua'!N35,'04.08 Koboko-Arua'!N35,'05.08 Koboko-Arua'!N35,'02.08 Koboko-Arua-24h'!N35,'03.08 Koboko-Arua-24h'!N35,'06.08 Koboko-Arua'!N35)</f>
        <v>0</v>
      </c>
      <c r="O35" s="15">
        <f t="shared" si="0"/>
        <v>26.428571428571427</v>
      </c>
      <c r="P35" s="15">
        <f t="shared" si="1"/>
        <v>50</v>
      </c>
      <c r="R35" s="51" t="s">
        <v>91</v>
      </c>
      <c r="S35" s="52">
        <f t="shared" ref="S35:AF35" si="27">MAX(S13:S18)</f>
        <v>34.142857142857139</v>
      </c>
      <c r="T35" s="52">
        <f t="shared" si="27"/>
        <v>10.142857142857142</v>
      </c>
      <c r="U35" s="52">
        <f t="shared" si="27"/>
        <v>20.285714285714285</v>
      </c>
      <c r="V35" s="52">
        <f t="shared" si="27"/>
        <v>8.5714285714285712</v>
      </c>
      <c r="W35" s="52">
        <f t="shared" si="27"/>
        <v>1</v>
      </c>
      <c r="X35" s="52">
        <f t="shared" si="27"/>
        <v>29</v>
      </c>
      <c r="Y35" s="52">
        <f t="shared" si="27"/>
        <v>9.5714285714285712</v>
      </c>
      <c r="Z35" s="52">
        <f t="shared" si="27"/>
        <v>2</v>
      </c>
      <c r="AA35" s="52">
        <f t="shared" si="27"/>
        <v>0.42857142857142855</v>
      </c>
      <c r="AB35" s="52">
        <f t="shared" si="27"/>
        <v>0.85714285714285698</v>
      </c>
      <c r="AC35" s="52">
        <f t="shared" si="27"/>
        <v>165.85714285714286</v>
      </c>
      <c r="AD35" s="52">
        <f t="shared" si="27"/>
        <v>0.14285714285714285</v>
      </c>
      <c r="AE35" s="40">
        <f t="shared" si="27"/>
        <v>103.57142857142858</v>
      </c>
      <c r="AF35" s="40">
        <f t="shared" si="27"/>
        <v>235.71428571428572</v>
      </c>
    </row>
    <row r="36" spans="2:32" ht="23.1" customHeight="1" x14ac:dyDescent="0.25">
      <c r="B36" s="24" t="s">
        <v>63</v>
      </c>
      <c r="C36" s="49">
        <f>AVERAGE('31.07 Koboko-Arua'!C36,'01.08 Koboko-Arua'!C36,'04.08 Koboko-Arua'!C36,'05.08 Koboko-Arua'!C36,'02.08 Koboko-Arua-24h'!C36,'03.08 Koboko-Arua-24h'!C36,'06.08 Koboko-Arua'!C36)</f>
        <v>6.7142857142857144</v>
      </c>
      <c r="D36" s="49">
        <f>AVERAGE('31.07 Koboko-Arua'!D36,'01.08 Koboko-Arua'!D36,'04.08 Koboko-Arua'!D36,'05.08 Koboko-Arua'!D36,'02.08 Koboko-Arua-24h'!D36,'03.08 Koboko-Arua-24h'!D36,'06.08 Koboko-Arua'!D36)</f>
        <v>1.4285714285714286</v>
      </c>
      <c r="E36" s="49">
        <f>AVERAGE('31.07 Koboko-Arua'!E36,'01.08 Koboko-Arua'!E36,'04.08 Koboko-Arua'!E36,'05.08 Koboko-Arua'!E36,'02.08 Koboko-Arua-24h'!E36,'03.08 Koboko-Arua-24h'!E36,'06.08 Koboko-Arua'!E36)</f>
        <v>2.7142857142857144</v>
      </c>
      <c r="F36" s="49">
        <f>AVERAGE('31.07 Koboko-Arua'!F36,'01.08 Koboko-Arua'!F36,'04.08 Koboko-Arua'!F36,'05.08 Koboko-Arua'!F36,'02.08 Koboko-Arua-24h'!F36,'03.08 Koboko-Arua-24h'!F36,'06.08 Koboko-Arua'!F36)</f>
        <v>1.2857142857142858</v>
      </c>
      <c r="G36" s="49">
        <f>AVERAGE('31.07 Koboko-Arua'!G36,'01.08 Koboko-Arua'!G36,'04.08 Koboko-Arua'!G36,'05.08 Koboko-Arua'!G36,'02.08 Koboko-Arua-24h'!G36,'03.08 Koboko-Arua-24h'!G36,'06.08 Koboko-Arua'!G36)</f>
        <v>0</v>
      </c>
      <c r="H36" s="49">
        <f>AVERAGE('31.07 Koboko-Arua'!H36,'01.08 Koboko-Arua'!H36,'04.08 Koboko-Arua'!H36,'05.08 Koboko-Arua'!H36,'02.08 Koboko-Arua-24h'!H36,'03.08 Koboko-Arua-24h'!H36,'06.08 Koboko-Arua'!H36)</f>
        <v>7.5714285714285712</v>
      </c>
      <c r="I36" s="49">
        <f>AVERAGE('31.07 Koboko-Arua'!I36,'01.08 Koboko-Arua'!I36,'04.08 Koboko-Arua'!I36,'05.08 Koboko-Arua'!I36,'02.08 Koboko-Arua-24h'!I36,'03.08 Koboko-Arua-24h'!I36,'06.08 Koboko-Arua'!I36)</f>
        <v>2.2857142857142856</v>
      </c>
      <c r="J36" s="49">
        <f>AVERAGE('31.07 Koboko-Arua'!J36,'01.08 Koboko-Arua'!J36,'04.08 Koboko-Arua'!J36,'05.08 Koboko-Arua'!J36,'02.08 Koboko-Arua-24h'!J36,'03.08 Koboko-Arua-24h'!J36,'06.08 Koboko-Arua'!J36)</f>
        <v>0.14285714285714285</v>
      </c>
      <c r="K36" s="49">
        <f>AVERAGE('31.07 Koboko-Arua'!K36,'01.08 Koboko-Arua'!K36,'04.08 Koboko-Arua'!K36,'05.08 Koboko-Arua'!K36,'02.08 Koboko-Arua-24h'!K36,'03.08 Koboko-Arua-24h'!K36,'06.08 Koboko-Arua'!K36)</f>
        <v>0</v>
      </c>
      <c r="L36" s="49">
        <f>AVERAGE('31.07 Koboko-Arua'!L36,'01.08 Koboko-Arua'!L36,'04.08 Koboko-Arua'!L36,'05.08 Koboko-Arua'!L36,'02.08 Koboko-Arua-24h'!L36,'03.08 Koboko-Arua-24h'!L36,'06.08 Koboko-Arua'!L36)</f>
        <v>0</v>
      </c>
      <c r="M36" s="49">
        <f>AVERAGE('31.07 Koboko-Arua'!M36,'01.08 Koboko-Arua'!M36,'04.08 Koboko-Arua'!M36,'05.08 Koboko-Arua'!M36,'02.08 Koboko-Arua-24h'!M36,'03.08 Koboko-Arua-24h'!M36,'06.08 Koboko-Arua'!M36)</f>
        <v>29.857142857142858</v>
      </c>
      <c r="N36" s="49">
        <f>AVERAGE('31.07 Koboko-Arua'!N36,'01.08 Koboko-Arua'!N36,'04.08 Koboko-Arua'!N36,'05.08 Koboko-Arua'!N36,'02.08 Koboko-Arua-24h'!N36,'03.08 Koboko-Arua-24h'!N36,'06.08 Koboko-Arua'!N36)</f>
        <v>0</v>
      </c>
      <c r="O36" s="15">
        <f t="shared" si="0"/>
        <v>22.142857142857142</v>
      </c>
      <c r="P36" s="15">
        <f t="shared" si="1"/>
        <v>52</v>
      </c>
      <c r="R36" s="51" t="s">
        <v>92</v>
      </c>
      <c r="S36" s="52">
        <f t="shared" ref="S36:AF36" si="28">MAX(S19:S21)</f>
        <v>37.285714285714285</v>
      </c>
      <c r="T36" s="52">
        <f t="shared" si="28"/>
        <v>9</v>
      </c>
      <c r="U36" s="52">
        <f t="shared" si="28"/>
        <v>15.142857142857142</v>
      </c>
      <c r="V36" s="52">
        <f t="shared" si="28"/>
        <v>8.7142857142857135</v>
      </c>
      <c r="W36" s="52">
        <f t="shared" si="28"/>
        <v>5.1428571428571423</v>
      </c>
      <c r="X36" s="52">
        <f t="shared" si="28"/>
        <v>22.428571428571427</v>
      </c>
      <c r="Y36" s="52">
        <f t="shared" si="28"/>
        <v>5.4285714285714288</v>
      </c>
      <c r="Z36" s="52">
        <f t="shared" si="28"/>
        <v>3.1428571428571428</v>
      </c>
      <c r="AA36" s="52">
        <f t="shared" si="28"/>
        <v>1.5714285714285714</v>
      </c>
      <c r="AB36" s="52">
        <f t="shared" si="28"/>
        <v>3.1428571428571432</v>
      </c>
      <c r="AC36" s="52">
        <f t="shared" si="28"/>
        <v>152.85714285714286</v>
      </c>
      <c r="AD36" s="52">
        <f t="shared" si="28"/>
        <v>0.2857142857142857</v>
      </c>
      <c r="AE36" s="40">
        <f t="shared" si="28"/>
        <v>100.14285714285714</v>
      </c>
      <c r="AF36" s="40">
        <f t="shared" si="28"/>
        <v>234.28571428571428</v>
      </c>
    </row>
    <row r="37" spans="2:32" ht="23.1" customHeight="1" x14ac:dyDescent="0.25">
      <c r="B37" s="23" t="s">
        <v>64</v>
      </c>
      <c r="C37" s="49">
        <f>AVERAGE('31.07 Koboko-Arua'!C37,'01.08 Koboko-Arua'!C37,'04.08 Koboko-Arua'!C37,'05.08 Koboko-Arua'!C37,'02.08 Koboko-Arua-24h'!C37,'03.08 Koboko-Arua-24h'!C37,'06.08 Koboko-Arua'!C37)</f>
        <v>8.2857142857142865</v>
      </c>
      <c r="D37" s="49">
        <f>AVERAGE('31.07 Koboko-Arua'!D37,'01.08 Koboko-Arua'!D37,'04.08 Koboko-Arua'!D37,'05.08 Koboko-Arua'!D37,'02.08 Koboko-Arua-24h'!D37,'03.08 Koboko-Arua-24h'!D37,'06.08 Koboko-Arua'!D37)</f>
        <v>1.2857142857142858</v>
      </c>
      <c r="E37" s="49">
        <f>AVERAGE('31.07 Koboko-Arua'!E37,'01.08 Koboko-Arua'!E37,'04.08 Koboko-Arua'!E37,'05.08 Koboko-Arua'!E37,'02.08 Koboko-Arua-24h'!E37,'03.08 Koboko-Arua-24h'!E37,'06.08 Koboko-Arua'!E37)</f>
        <v>2</v>
      </c>
      <c r="F37" s="49">
        <f>AVERAGE('31.07 Koboko-Arua'!F37,'01.08 Koboko-Arua'!F37,'04.08 Koboko-Arua'!F37,'05.08 Koboko-Arua'!F37,'02.08 Koboko-Arua-24h'!F37,'03.08 Koboko-Arua-24h'!F37,'06.08 Koboko-Arua'!F37)</f>
        <v>2.7142857142857144</v>
      </c>
      <c r="G37" s="49">
        <f>AVERAGE('31.07 Koboko-Arua'!G37,'01.08 Koboko-Arua'!G37,'04.08 Koboko-Arua'!G37,'05.08 Koboko-Arua'!G37,'02.08 Koboko-Arua-24h'!G37,'03.08 Koboko-Arua-24h'!G37,'06.08 Koboko-Arua'!G37)</f>
        <v>0.2857142857142857</v>
      </c>
      <c r="H37" s="49">
        <f>AVERAGE('31.07 Koboko-Arua'!H37,'01.08 Koboko-Arua'!H37,'04.08 Koboko-Arua'!H37,'05.08 Koboko-Arua'!H37,'02.08 Koboko-Arua-24h'!H37,'03.08 Koboko-Arua-24h'!H37,'06.08 Koboko-Arua'!H37)</f>
        <v>9</v>
      </c>
      <c r="I37" s="49">
        <f>AVERAGE('31.07 Koboko-Arua'!I37,'01.08 Koboko-Arua'!I37,'04.08 Koboko-Arua'!I37,'05.08 Koboko-Arua'!I37,'02.08 Koboko-Arua-24h'!I37,'03.08 Koboko-Arua-24h'!I37,'06.08 Koboko-Arua'!I37)</f>
        <v>3.5714285714285716</v>
      </c>
      <c r="J37" s="49">
        <f>AVERAGE('31.07 Koboko-Arua'!J37,'01.08 Koboko-Arua'!J37,'04.08 Koboko-Arua'!J37,'05.08 Koboko-Arua'!J37,'02.08 Koboko-Arua-24h'!J37,'03.08 Koboko-Arua-24h'!J37,'06.08 Koboko-Arua'!J37)</f>
        <v>0.42857142857142855</v>
      </c>
      <c r="K37" s="49">
        <f>AVERAGE('31.07 Koboko-Arua'!K37,'01.08 Koboko-Arua'!K37,'04.08 Koboko-Arua'!K37,'05.08 Koboko-Arua'!K37,'02.08 Koboko-Arua-24h'!K37,'03.08 Koboko-Arua-24h'!K37,'06.08 Koboko-Arua'!K37)</f>
        <v>0</v>
      </c>
      <c r="L37" s="49">
        <f>AVERAGE('31.07 Koboko-Arua'!L37,'01.08 Koboko-Arua'!L37,'04.08 Koboko-Arua'!L37,'05.08 Koboko-Arua'!L37,'02.08 Koboko-Arua-24h'!L37,'03.08 Koboko-Arua-24h'!L37,'06.08 Koboko-Arua'!L37)</f>
        <v>0.14285714285714285</v>
      </c>
      <c r="M37" s="49">
        <f>AVERAGE('31.07 Koboko-Arua'!M37,'01.08 Koboko-Arua'!M37,'04.08 Koboko-Arua'!M37,'05.08 Koboko-Arua'!M37,'02.08 Koboko-Arua-24h'!M37,'03.08 Koboko-Arua-24h'!M37,'06.08 Koboko-Arua'!M37)</f>
        <v>29</v>
      </c>
      <c r="N37" s="49">
        <f>AVERAGE('31.07 Koboko-Arua'!N37,'01.08 Koboko-Arua'!N37,'04.08 Koboko-Arua'!N37,'05.08 Koboko-Arua'!N37,'02.08 Koboko-Arua-24h'!N37,'03.08 Koboko-Arua-24h'!N37,'06.08 Koboko-Arua'!N37)</f>
        <v>0</v>
      </c>
      <c r="O37" s="15">
        <f t="shared" si="0"/>
        <v>27.714285714285719</v>
      </c>
      <c r="P37" s="15">
        <f t="shared" si="1"/>
        <v>56.714285714285722</v>
      </c>
      <c r="R37" s="37" t="s">
        <v>85</v>
      </c>
      <c r="S37" s="53">
        <f t="shared" ref="S37:AF37" si="29">SUM(S10:S12)</f>
        <v>84.428571428571431</v>
      </c>
      <c r="T37" s="54">
        <f t="shared" si="29"/>
        <v>17.285714285714285</v>
      </c>
      <c r="U37" s="54">
        <f t="shared" si="29"/>
        <v>28.142857142857146</v>
      </c>
      <c r="V37" s="54">
        <f t="shared" si="29"/>
        <v>30.000000000000004</v>
      </c>
      <c r="W37" s="54">
        <f t="shared" si="29"/>
        <v>6.4285714285714288</v>
      </c>
      <c r="X37" s="54">
        <f t="shared" si="29"/>
        <v>2.2857142857142856</v>
      </c>
      <c r="Y37" s="54">
        <f t="shared" si="29"/>
        <v>11.857142857142858</v>
      </c>
      <c r="Z37" s="54">
        <f t="shared" si="29"/>
        <v>5.2857142857142856</v>
      </c>
      <c r="AA37" s="54">
        <f t="shared" si="29"/>
        <v>0.5714285714285714</v>
      </c>
      <c r="AB37" s="54">
        <f t="shared" si="29"/>
        <v>2.2857142857142856</v>
      </c>
      <c r="AC37" s="54">
        <f t="shared" si="29"/>
        <v>388.14285714285711</v>
      </c>
      <c r="AD37" s="54">
        <f t="shared" si="29"/>
        <v>0.14285714285714285</v>
      </c>
      <c r="AE37" s="55">
        <f t="shared" si="29"/>
        <v>188.71428571428572</v>
      </c>
      <c r="AF37" s="55">
        <f t="shared" si="29"/>
        <v>576.85714285714289</v>
      </c>
    </row>
    <row r="38" spans="2:32" ht="23.1" customHeight="1" x14ac:dyDescent="0.25">
      <c r="B38" s="24" t="s">
        <v>65</v>
      </c>
      <c r="C38" s="49">
        <f>AVERAGE('31.07 Koboko-Arua'!C38,'01.08 Koboko-Arua'!C38,'04.08 Koboko-Arua'!C38,'05.08 Koboko-Arua'!C38,'02.08 Koboko-Arua-24h'!C38,'03.08 Koboko-Arua-24h'!C38,'06.08 Koboko-Arua'!C38)</f>
        <v>5.4285714285714288</v>
      </c>
      <c r="D38" s="49">
        <f>AVERAGE('31.07 Koboko-Arua'!D38,'01.08 Koboko-Arua'!D38,'04.08 Koboko-Arua'!D38,'05.08 Koboko-Arua'!D38,'02.08 Koboko-Arua-24h'!D38,'03.08 Koboko-Arua-24h'!D38,'06.08 Koboko-Arua'!D38)</f>
        <v>1</v>
      </c>
      <c r="E38" s="49">
        <f>AVERAGE('31.07 Koboko-Arua'!E38,'01.08 Koboko-Arua'!E38,'04.08 Koboko-Arua'!E38,'05.08 Koboko-Arua'!E38,'02.08 Koboko-Arua-24h'!E38,'03.08 Koboko-Arua-24h'!E38,'06.08 Koboko-Arua'!E38)</f>
        <v>1.5714285714285714</v>
      </c>
      <c r="F38" s="49">
        <f>AVERAGE('31.07 Koboko-Arua'!F38,'01.08 Koboko-Arua'!F38,'04.08 Koboko-Arua'!F38,'05.08 Koboko-Arua'!F38,'02.08 Koboko-Arua-24h'!F38,'03.08 Koboko-Arua-24h'!F38,'06.08 Koboko-Arua'!F38)</f>
        <v>2.4285714285714284</v>
      </c>
      <c r="G38" s="49">
        <f>AVERAGE('31.07 Koboko-Arua'!G38,'01.08 Koboko-Arua'!G38,'04.08 Koboko-Arua'!G38,'05.08 Koboko-Arua'!G38,'02.08 Koboko-Arua-24h'!G38,'03.08 Koboko-Arua-24h'!G38,'06.08 Koboko-Arua'!G38)</f>
        <v>0</v>
      </c>
      <c r="H38" s="49">
        <f>AVERAGE('31.07 Koboko-Arua'!H38,'01.08 Koboko-Arua'!H38,'04.08 Koboko-Arua'!H38,'05.08 Koboko-Arua'!H38,'02.08 Koboko-Arua-24h'!H38,'03.08 Koboko-Arua-24h'!H38,'06.08 Koboko-Arua'!H38)</f>
        <v>6.7142857142857144</v>
      </c>
      <c r="I38" s="49">
        <f>AVERAGE('31.07 Koboko-Arua'!I38,'01.08 Koboko-Arua'!I38,'04.08 Koboko-Arua'!I38,'05.08 Koboko-Arua'!I38,'02.08 Koboko-Arua-24h'!I38,'03.08 Koboko-Arua-24h'!I38,'06.08 Koboko-Arua'!I38)</f>
        <v>0.7142857142857143</v>
      </c>
      <c r="J38" s="49">
        <f>AVERAGE('31.07 Koboko-Arua'!J38,'01.08 Koboko-Arua'!J38,'04.08 Koboko-Arua'!J38,'05.08 Koboko-Arua'!J38,'02.08 Koboko-Arua-24h'!J38,'03.08 Koboko-Arua-24h'!J38,'06.08 Koboko-Arua'!J38)</f>
        <v>0</v>
      </c>
      <c r="K38" s="49">
        <f>AVERAGE('31.07 Koboko-Arua'!K38,'01.08 Koboko-Arua'!K38,'04.08 Koboko-Arua'!K38,'05.08 Koboko-Arua'!K38,'02.08 Koboko-Arua-24h'!K38,'03.08 Koboko-Arua-24h'!K38,'06.08 Koboko-Arua'!K38)</f>
        <v>0.14285714285714285</v>
      </c>
      <c r="L38" s="49">
        <f>AVERAGE('31.07 Koboko-Arua'!L38,'01.08 Koboko-Arua'!L38,'04.08 Koboko-Arua'!L38,'05.08 Koboko-Arua'!L38,'02.08 Koboko-Arua-24h'!L38,'03.08 Koboko-Arua-24h'!L38,'06.08 Koboko-Arua'!L38)</f>
        <v>0</v>
      </c>
      <c r="M38" s="49">
        <f>AVERAGE('31.07 Koboko-Arua'!M38,'01.08 Koboko-Arua'!M38,'04.08 Koboko-Arua'!M38,'05.08 Koboko-Arua'!M38,'02.08 Koboko-Arua-24h'!M38,'03.08 Koboko-Arua-24h'!M38,'06.08 Koboko-Arua'!M38)</f>
        <v>29.285714285714285</v>
      </c>
      <c r="N38" s="49">
        <f>AVERAGE('31.07 Koboko-Arua'!N38,'01.08 Koboko-Arua'!N38,'04.08 Koboko-Arua'!N38,'05.08 Koboko-Arua'!N38,'02.08 Koboko-Arua-24h'!N38,'03.08 Koboko-Arua-24h'!N38,'06.08 Koboko-Arua'!N38)</f>
        <v>0</v>
      </c>
      <c r="O38" s="15">
        <f t="shared" si="0"/>
        <v>18</v>
      </c>
      <c r="P38" s="15">
        <f t="shared" si="1"/>
        <v>47.285714285714285</v>
      </c>
      <c r="R38" s="28" t="s">
        <v>86</v>
      </c>
      <c r="S38" s="54">
        <f t="shared" ref="S38:AF38" si="30">SUM(S13:S18)</f>
        <v>180.71428571428569</v>
      </c>
      <c r="T38" s="54">
        <f t="shared" si="30"/>
        <v>41.857142857142861</v>
      </c>
      <c r="U38" s="54">
        <f t="shared" si="30"/>
        <v>76.142857142857139</v>
      </c>
      <c r="V38" s="54">
        <f t="shared" si="30"/>
        <v>34.714285714285715</v>
      </c>
      <c r="W38" s="54">
        <f t="shared" si="30"/>
        <v>3.1428571428571428</v>
      </c>
      <c r="X38" s="54">
        <f t="shared" si="30"/>
        <v>79.285714285714278</v>
      </c>
      <c r="Y38" s="54">
        <f t="shared" si="30"/>
        <v>47.428571428571431</v>
      </c>
      <c r="Z38" s="54">
        <f t="shared" si="30"/>
        <v>9.5476190476190474</v>
      </c>
      <c r="AA38" s="54">
        <f t="shared" si="30"/>
        <v>1.4285714285714284</v>
      </c>
      <c r="AB38" s="54">
        <f t="shared" si="30"/>
        <v>2.4285714285714284</v>
      </c>
      <c r="AC38" s="54">
        <f t="shared" si="30"/>
        <v>808.28571428571422</v>
      </c>
      <c r="AD38" s="54">
        <f t="shared" si="30"/>
        <v>0.2857142857142857</v>
      </c>
      <c r="AE38" s="55">
        <f t="shared" si="30"/>
        <v>476.97619047619048</v>
      </c>
      <c r="AF38" s="55">
        <f t="shared" si="30"/>
        <v>1285.2619047619048</v>
      </c>
    </row>
    <row r="39" spans="2:32" ht="23.1" customHeight="1" x14ac:dyDescent="0.25">
      <c r="B39" s="24" t="s">
        <v>66</v>
      </c>
      <c r="C39" s="49">
        <f>AVERAGE('31.07 Koboko-Arua'!C39,'01.08 Koboko-Arua'!C39,'04.08 Koboko-Arua'!C39,'05.08 Koboko-Arua'!C39,'02.08 Koboko-Arua-24h'!C39,'03.08 Koboko-Arua-24h'!C39,'06.08 Koboko-Arua'!C39)</f>
        <v>5.7142857142857144</v>
      </c>
      <c r="D39" s="49">
        <f>AVERAGE('31.07 Koboko-Arua'!D39,'01.08 Koboko-Arua'!D39,'04.08 Koboko-Arua'!D39,'05.08 Koboko-Arua'!D39,'02.08 Koboko-Arua-24h'!D39,'03.08 Koboko-Arua-24h'!D39,'06.08 Koboko-Arua'!D39)</f>
        <v>1.7142857142857142</v>
      </c>
      <c r="E39" s="49">
        <f>AVERAGE('31.07 Koboko-Arua'!E39,'01.08 Koboko-Arua'!E39,'04.08 Koboko-Arua'!E39,'05.08 Koboko-Arua'!E39,'02.08 Koboko-Arua-24h'!E39,'03.08 Koboko-Arua-24h'!E39,'06.08 Koboko-Arua'!E39)</f>
        <v>3.4285714285714284</v>
      </c>
      <c r="F39" s="49">
        <f>AVERAGE('31.07 Koboko-Arua'!F39,'01.08 Koboko-Arua'!F39,'04.08 Koboko-Arua'!F39,'05.08 Koboko-Arua'!F39,'02.08 Koboko-Arua-24h'!F39,'03.08 Koboko-Arua-24h'!F39,'06.08 Koboko-Arua'!F39)</f>
        <v>1.2857142857142858</v>
      </c>
      <c r="G39" s="49">
        <f>AVERAGE('31.07 Koboko-Arua'!G39,'01.08 Koboko-Arua'!G39,'04.08 Koboko-Arua'!G39,'05.08 Koboko-Arua'!G39,'02.08 Koboko-Arua-24h'!G39,'03.08 Koboko-Arua-24h'!G39,'06.08 Koboko-Arua'!G39)</f>
        <v>0.14285714285714285</v>
      </c>
      <c r="H39" s="49">
        <f>AVERAGE('31.07 Koboko-Arua'!H39,'01.08 Koboko-Arua'!H39,'04.08 Koboko-Arua'!H39,'05.08 Koboko-Arua'!H39,'02.08 Koboko-Arua-24h'!H39,'03.08 Koboko-Arua-24h'!H39,'06.08 Koboko-Arua'!H39)</f>
        <v>6.5714285714285712</v>
      </c>
      <c r="I39" s="49">
        <f>AVERAGE('31.07 Koboko-Arua'!I39,'01.08 Koboko-Arua'!I39,'04.08 Koboko-Arua'!I39,'05.08 Koboko-Arua'!I39,'02.08 Koboko-Arua-24h'!I39,'03.08 Koboko-Arua-24h'!I39,'06.08 Koboko-Arua'!I39)</f>
        <v>1</v>
      </c>
      <c r="J39" s="49">
        <f>AVERAGE('31.07 Koboko-Arua'!J39,'01.08 Koboko-Arua'!J39,'04.08 Koboko-Arua'!J39,'05.08 Koboko-Arua'!J39,'02.08 Koboko-Arua-24h'!J39,'03.08 Koboko-Arua-24h'!J39,'06.08 Koboko-Arua'!J39)</f>
        <v>0.2857142857142857</v>
      </c>
      <c r="K39" s="49">
        <f>AVERAGE('31.07 Koboko-Arua'!K39,'01.08 Koboko-Arua'!K39,'04.08 Koboko-Arua'!K39,'05.08 Koboko-Arua'!K39,'02.08 Koboko-Arua-24h'!K39,'03.08 Koboko-Arua-24h'!K39,'06.08 Koboko-Arua'!K39)</f>
        <v>0</v>
      </c>
      <c r="L39" s="49">
        <f>AVERAGE('31.07 Koboko-Arua'!L39,'01.08 Koboko-Arua'!L39,'04.08 Koboko-Arua'!L39,'05.08 Koboko-Arua'!L39,'02.08 Koboko-Arua-24h'!L39,'03.08 Koboko-Arua-24h'!L39,'06.08 Koboko-Arua'!L39)</f>
        <v>0</v>
      </c>
      <c r="M39" s="49">
        <f>AVERAGE('31.07 Koboko-Arua'!M39,'01.08 Koboko-Arua'!M39,'04.08 Koboko-Arua'!M39,'05.08 Koboko-Arua'!M39,'02.08 Koboko-Arua-24h'!M39,'03.08 Koboko-Arua-24h'!M39,'06.08 Koboko-Arua'!M39)</f>
        <v>28.285714285714285</v>
      </c>
      <c r="N39" s="49">
        <f>AVERAGE('31.07 Koboko-Arua'!N39,'01.08 Koboko-Arua'!N39,'04.08 Koboko-Arua'!N39,'05.08 Koboko-Arua'!N39,'02.08 Koboko-Arua-24h'!N39,'03.08 Koboko-Arua-24h'!N39,'06.08 Koboko-Arua'!N39)</f>
        <v>0</v>
      </c>
      <c r="O39" s="15">
        <f t="shared" si="0"/>
        <v>20.142857142857142</v>
      </c>
      <c r="P39" s="15">
        <f t="shared" si="1"/>
        <v>48.428571428571431</v>
      </c>
      <c r="R39" s="29" t="s">
        <v>87</v>
      </c>
      <c r="S39" s="54">
        <f t="shared" ref="S39:AF39" si="31">SUM(S19:S21)</f>
        <v>97.714285714285722</v>
      </c>
      <c r="T39" s="54">
        <f t="shared" si="31"/>
        <v>23.857142857142854</v>
      </c>
      <c r="U39" s="54">
        <f t="shared" si="31"/>
        <v>39.857142857142861</v>
      </c>
      <c r="V39" s="54">
        <f t="shared" si="31"/>
        <v>24.285714285714285</v>
      </c>
      <c r="W39" s="54">
        <f t="shared" si="31"/>
        <v>9.1428571428571423</v>
      </c>
      <c r="X39" s="54">
        <f t="shared" si="31"/>
        <v>25.285714285714285</v>
      </c>
      <c r="Y39" s="54">
        <f t="shared" si="31"/>
        <v>14.571428571428569</v>
      </c>
      <c r="Z39" s="54">
        <f t="shared" si="31"/>
        <v>8.428571428571427</v>
      </c>
      <c r="AA39" s="54">
        <f t="shared" si="31"/>
        <v>2.7142857142857144</v>
      </c>
      <c r="AB39" s="54">
        <f t="shared" si="31"/>
        <v>6</v>
      </c>
      <c r="AC39" s="54">
        <f t="shared" si="31"/>
        <v>375.71428571428578</v>
      </c>
      <c r="AD39" s="54">
        <f t="shared" si="31"/>
        <v>0.2857142857142857</v>
      </c>
      <c r="AE39" s="55">
        <f t="shared" si="31"/>
        <v>252.14285714285711</v>
      </c>
      <c r="AF39" s="55">
        <f t="shared" si="31"/>
        <v>627.85714285714289</v>
      </c>
    </row>
    <row r="40" spans="2:32" ht="23.1" customHeight="1" x14ac:dyDescent="0.25">
      <c r="B40" s="24" t="s">
        <v>67</v>
      </c>
      <c r="C40" s="49">
        <f>AVERAGE('31.07 Koboko-Arua'!C40,'01.08 Koboko-Arua'!C40,'04.08 Koboko-Arua'!C40,'05.08 Koboko-Arua'!C40,'02.08 Koboko-Arua-24h'!C40,'03.08 Koboko-Arua-24h'!C40,'06.08 Koboko-Arua'!C40)</f>
        <v>6.8571428571428568</v>
      </c>
      <c r="D40" s="49">
        <f>AVERAGE('31.07 Koboko-Arua'!D40,'01.08 Koboko-Arua'!D40,'04.08 Koboko-Arua'!D40,'05.08 Koboko-Arua'!D40,'02.08 Koboko-Arua-24h'!D40,'03.08 Koboko-Arua-24h'!D40,'06.08 Koboko-Arua'!D40)</f>
        <v>1.5714285714285714</v>
      </c>
      <c r="E40" s="49">
        <f>AVERAGE('31.07 Koboko-Arua'!E40,'01.08 Koboko-Arua'!E40,'04.08 Koboko-Arua'!E40,'05.08 Koboko-Arua'!E40,'02.08 Koboko-Arua-24h'!E40,'03.08 Koboko-Arua-24h'!E40,'06.08 Koboko-Arua'!E40)</f>
        <v>2.4285714285714284</v>
      </c>
      <c r="F40" s="49">
        <f>AVERAGE('31.07 Koboko-Arua'!F40,'01.08 Koboko-Arua'!F40,'04.08 Koboko-Arua'!F40,'05.08 Koboko-Arua'!F40,'02.08 Koboko-Arua-24h'!F40,'03.08 Koboko-Arua-24h'!F40,'06.08 Koboko-Arua'!F40)</f>
        <v>0.42857142857142855</v>
      </c>
      <c r="G40" s="49">
        <f>AVERAGE('31.07 Koboko-Arua'!G40,'01.08 Koboko-Arua'!G40,'04.08 Koboko-Arua'!G40,'05.08 Koboko-Arua'!G40,'02.08 Koboko-Arua-24h'!G40,'03.08 Koboko-Arua-24h'!G40,'06.08 Koboko-Arua'!G40)</f>
        <v>0.2857142857142857</v>
      </c>
      <c r="H40" s="49">
        <f>AVERAGE('31.07 Koboko-Arua'!H40,'01.08 Koboko-Arua'!H40,'04.08 Koboko-Arua'!H40,'05.08 Koboko-Arua'!H40,'02.08 Koboko-Arua-24h'!H40,'03.08 Koboko-Arua-24h'!H40,'06.08 Koboko-Arua'!H40)</f>
        <v>6</v>
      </c>
      <c r="I40" s="49">
        <f>AVERAGE('31.07 Koboko-Arua'!I40,'01.08 Koboko-Arua'!I40,'04.08 Koboko-Arua'!I40,'05.08 Koboko-Arua'!I40,'02.08 Koboko-Arua-24h'!I40,'03.08 Koboko-Arua-24h'!I40,'06.08 Koboko-Arua'!I40)</f>
        <v>2.7142857142857144</v>
      </c>
      <c r="J40" s="49">
        <f>AVERAGE('31.07 Koboko-Arua'!J40,'01.08 Koboko-Arua'!J40,'04.08 Koboko-Arua'!J40,'05.08 Koboko-Arua'!J40,'02.08 Koboko-Arua-24h'!J40,'03.08 Koboko-Arua-24h'!J40,'06.08 Koboko-Arua'!J40)</f>
        <v>0.8571428571428571</v>
      </c>
      <c r="K40" s="49">
        <f>AVERAGE('31.07 Koboko-Arua'!K40,'01.08 Koboko-Arua'!K40,'04.08 Koboko-Arua'!K40,'05.08 Koboko-Arua'!K40,'02.08 Koboko-Arua-24h'!K40,'03.08 Koboko-Arua-24h'!K40,'06.08 Koboko-Arua'!K40)</f>
        <v>0.2857142857142857</v>
      </c>
      <c r="L40" s="49">
        <f>AVERAGE('31.07 Koboko-Arua'!L40,'01.08 Koboko-Arua'!L40,'04.08 Koboko-Arua'!L40,'05.08 Koboko-Arua'!L40,'02.08 Koboko-Arua-24h'!L40,'03.08 Koboko-Arua-24h'!L40,'06.08 Koboko-Arua'!L40)</f>
        <v>0.14285714285714285</v>
      </c>
      <c r="M40" s="49">
        <f>AVERAGE('31.07 Koboko-Arua'!M40,'01.08 Koboko-Arua'!M40,'04.08 Koboko-Arua'!M40,'05.08 Koboko-Arua'!M40,'02.08 Koboko-Arua-24h'!M40,'03.08 Koboko-Arua-24h'!M40,'06.08 Koboko-Arua'!M40)</f>
        <v>33.428571428571431</v>
      </c>
      <c r="N40" s="49">
        <f>AVERAGE('31.07 Koboko-Arua'!N40,'01.08 Koboko-Arua'!N40,'04.08 Koboko-Arua'!N40,'05.08 Koboko-Arua'!N40,'02.08 Koboko-Arua-24h'!N40,'03.08 Koboko-Arua-24h'!N40,'06.08 Koboko-Arua'!N40)</f>
        <v>0</v>
      </c>
      <c r="O40" s="15">
        <f t="shared" si="0"/>
        <v>21.571428571428573</v>
      </c>
      <c r="P40" s="15">
        <f t="shared" si="1"/>
        <v>55</v>
      </c>
      <c r="R40" s="5" t="s">
        <v>17</v>
      </c>
      <c r="S40" s="54">
        <f t="shared" ref="S40:AF40" si="32">SUM(S10:S21)</f>
        <v>362.85714285714289</v>
      </c>
      <c r="T40" s="54">
        <f t="shared" si="32"/>
        <v>82.999999999999986</v>
      </c>
      <c r="U40" s="54">
        <f t="shared" si="32"/>
        <v>144.14285714285714</v>
      </c>
      <c r="V40" s="54">
        <f t="shared" si="32"/>
        <v>88.999999999999986</v>
      </c>
      <c r="W40" s="54">
        <f t="shared" si="32"/>
        <v>18.714285714285715</v>
      </c>
      <c r="X40" s="54">
        <f t="shared" si="32"/>
        <v>106.85714285714286</v>
      </c>
      <c r="Y40" s="54">
        <f t="shared" si="32"/>
        <v>73.857142857142861</v>
      </c>
      <c r="Z40" s="54">
        <f t="shared" si="32"/>
        <v>23.261904761904766</v>
      </c>
      <c r="AA40" s="54">
        <f t="shared" si="32"/>
        <v>4.7142857142857144</v>
      </c>
      <c r="AB40" s="54">
        <f t="shared" si="32"/>
        <v>10.714285714285714</v>
      </c>
      <c r="AC40" s="54">
        <f t="shared" si="32"/>
        <v>1572.1428571428571</v>
      </c>
      <c r="AD40" s="54">
        <f t="shared" si="32"/>
        <v>0.71428571428571419</v>
      </c>
      <c r="AE40" s="55">
        <f t="shared" si="32"/>
        <v>917.83333333333326</v>
      </c>
      <c r="AF40" s="55">
        <f t="shared" si="32"/>
        <v>2489.9761904761908</v>
      </c>
    </row>
    <row r="41" spans="2:32" ht="23.1" customHeight="1" x14ac:dyDescent="0.25">
      <c r="B41" s="23" t="s">
        <v>68</v>
      </c>
      <c r="C41" s="49">
        <f>AVERAGE('31.07 Koboko-Arua'!C41,'01.08 Koboko-Arua'!C41,'04.08 Koboko-Arua'!C41,'05.08 Koboko-Arua'!C41,'02.08 Koboko-Arua-24h'!C41,'03.08 Koboko-Arua-24h'!C41,'06.08 Koboko-Arua'!C41)</f>
        <v>6.8571428571428568</v>
      </c>
      <c r="D41" s="49">
        <f>AVERAGE('31.07 Koboko-Arua'!D41,'01.08 Koboko-Arua'!D41,'04.08 Koboko-Arua'!D41,'05.08 Koboko-Arua'!D41,'02.08 Koboko-Arua-24h'!D41,'03.08 Koboko-Arua-24h'!D41,'06.08 Koboko-Arua'!D41)</f>
        <v>2</v>
      </c>
      <c r="E41" s="49">
        <f>AVERAGE('31.07 Koboko-Arua'!E41,'01.08 Koboko-Arua'!E41,'04.08 Koboko-Arua'!E41,'05.08 Koboko-Arua'!E41,'02.08 Koboko-Arua-24h'!E41,'03.08 Koboko-Arua-24h'!E41,'06.08 Koboko-Arua'!E41)</f>
        <v>3.7142857142857144</v>
      </c>
      <c r="F41" s="49">
        <f>AVERAGE('31.07 Koboko-Arua'!F41,'01.08 Koboko-Arua'!F41,'04.08 Koboko-Arua'!F41,'05.08 Koboko-Arua'!F41,'02.08 Koboko-Arua-24h'!F41,'03.08 Koboko-Arua-24h'!F41,'06.08 Koboko-Arua'!F41)</f>
        <v>1.5714285714285714</v>
      </c>
      <c r="G41" s="49">
        <f>AVERAGE('31.07 Koboko-Arua'!G41,'01.08 Koboko-Arua'!G41,'04.08 Koboko-Arua'!G41,'05.08 Koboko-Arua'!G41,'02.08 Koboko-Arua-24h'!G41,'03.08 Koboko-Arua-24h'!G41,'06.08 Koboko-Arua'!G41)</f>
        <v>0.5714285714285714</v>
      </c>
      <c r="H41" s="49">
        <f>AVERAGE('31.07 Koboko-Arua'!H41,'01.08 Koboko-Arua'!H41,'04.08 Koboko-Arua'!H41,'05.08 Koboko-Arua'!H41,'02.08 Koboko-Arua-24h'!H41,'03.08 Koboko-Arua-24h'!H41,'06.08 Koboko-Arua'!H41)</f>
        <v>8.5714285714285712</v>
      </c>
      <c r="I41" s="49">
        <f>AVERAGE('31.07 Koboko-Arua'!I41,'01.08 Koboko-Arua'!I41,'04.08 Koboko-Arua'!I41,'05.08 Koboko-Arua'!I41,'02.08 Koboko-Arua-24h'!I41,'03.08 Koboko-Arua-24h'!I41,'06.08 Koboko-Arua'!I41)</f>
        <v>2</v>
      </c>
      <c r="J41" s="49">
        <f>AVERAGE('31.07 Koboko-Arua'!J41,'01.08 Koboko-Arua'!J41,'04.08 Koboko-Arua'!J41,'05.08 Koboko-Arua'!J41,'02.08 Koboko-Arua-24h'!J41,'03.08 Koboko-Arua-24h'!J41,'06.08 Koboko-Arua'!J41)</f>
        <v>0.2857142857142857</v>
      </c>
      <c r="K41" s="49">
        <f>AVERAGE('31.07 Koboko-Arua'!K41,'01.08 Koboko-Arua'!K41,'04.08 Koboko-Arua'!K41,'05.08 Koboko-Arua'!K41,'02.08 Koboko-Arua-24h'!K41,'03.08 Koboko-Arua-24h'!K41,'06.08 Koboko-Arua'!K41)</f>
        <v>0</v>
      </c>
      <c r="L41" s="49">
        <f>AVERAGE('31.07 Koboko-Arua'!L41,'01.08 Koboko-Arua'!L41,'04.08 Koboko-Arua'!L41,'05.08 Koboko-Arua'!L41,'02.08 Koboko-Arua-24h'!L41,'03.08 Koboko-Arua-24h'!L41,'06.08 Koboko-Arua'!L41)</f>
        <v>0.2857142857142857</v>
      </c>
      <c r="M41" s="49">
        <f>AVERAGE('31.07 Koboko-Arua'!M41,'01.08 Koboko-Arua'!M41,'04.08 Koboko-Arua'!M41,'05.08 Koboko-Arua'!M41,'02.08 Koboko-Arua-24h'!M41,'03.08 Koboko-Arua-24h'!M41,'06.08 Koboko-Arua'!M41)</f>
        <v>32</v>
      </c>
      <c r="N41" s="49">
        <f>AVERAGE('31.07 Koboko-Arua'!N41,'01.08 Koboko-Arua'!N41,'04.08 Koboko-Arua'!N41,'05.08 Koboko-Arua'!N41,'02.08 Koboko-Arua-24h'!N41,'03.08 Koboko-Arua-24h'!N41,'06.08 Koboko-Arua'!N41)</f>
        <v>0</v>
      </c>
      <c r="O41" s="15">
        <f t="shared" si="0"/>
        <v>25.857142857142854</v>
      </c>
      <c r="P41" s="15">
        <f t="shared" si="1"/>
        <v>57.857142857142854</v>
      </c>
      <c r="R41" s="5" t="s">
        <v>174</v>
      </c>
      <c r="S41" s="54">
        <f>SUM(S10:S33)</f>
        <v>460.35714285714289</v>
      </c>
      <c r="T41" s="54">
        <f t="shared" ref="T41:AD41" si="33">SUM(T10:T33)</f>
        <v>105.99999999999999</v>
      </c>
      <c r="U41" s="54">
        <f t="shared" si="33"/>
        <v>213.64285714285714</v>
      </c>
      <c r="V41" s="54">
        <f t="shared" si="33"/>
        <v>150.5</v>
      </c>
      <c r="W41" s="54">
        <f t="shared" si="33"/>
        <v>36.714285714285715</v>
      </c>
      <c r="X41" s="54">
        <f t="shared" si="33"/>
        <v>112.85714285714286</v>
      </c>
      <c r="Y41" s="54">
        <f t="shared" si="33"/>
        <v>98.857142857142861</v>
      </c>
      <c r="Z41" s="54">
        <f t="shared" si="33"/>
        <v>35.761904761904766</v>
      </c>
      <c r="AA41" s="54">
        <f t="shared" si="33"/>
        <v>11.214285714285715</v>
      </c>
      <c r="AB41" s="54">
        <f t="shared" si="33"/>
        <v>15.714285714285714</v>
      </c>
      <c r="AC41" s="54">
        <f t="shared" si="33"/>
        <v>2215.1428571428569</v>
      </c>
      <c r="AD41" s="54">
        <f t="shared" si="33"/>
        <v>1.2142857142857142</v>
      </c>
      <c r="AE41" s="55">
        <f>SUM(AE10:AE33)</f>
        <v>1242.8333333333333</v>
      </c>
      <c r="AF41" s="55">
        <f>SUM(AF10:AF33)</f>
        <v>3457.9761904761908</v>
      </c>
    </row>
    <row r="42" spans="2:32" ht="23.1" customHeight="1" x14ac:dyDescent="0.25">
      <c r="B42" s="24" t="s">
        <v>69</v>
      </c>
      <c r="C42" s="49">
        <f>AVERAGE('31.07 Koboko-Arua'!C42,'01.08 Koboko-Arua'!C42,'04.08 Koboko-Arua'!C42,'05.08 Koboko-Arua'!C42,'02.08 Koboko-Arua-24h'!C42,'03.08 Koboko-Arua-24h'!C42,'06.08 Koboko-Arua'!C42)</f>
        <v>7.5714285714285712</v>
      </c>
      <c r="D42" s="49">
        <f>AVERAGE('31.07 Koboko-Arua'!D42,'01.08 Koboko-Arua'!D42,'04.08 Koboko-Arua'!D42,'05.08 Koboko-Arua'!D42,'02.08 Koboko-Arua-24h'!D42,'03.08 Koboko-Arua-24h'!D42,'06.08 Koboko-Arua'!D42)</f>
        <v>2.2857142857142856</v>
      </c>
      <c r="E42" s="49">
        <f>AVERAGE('31.07 Koboko-Arua'!E42,'01.08 Koboko-Arua'!E42,'04.08 Koboko-Arua'!E42,'05.08 Koboko-Arua'!E42,'02.08 Koboko-Arua-24h'!E42,'03.08 Koboko-Arua-24h'!E42,'06.08 Koboko-Arua'!E42)</f>
        <v>4.2857142857142856</v>
      </c>
      <c r="F42" s="49">
        <f>AVERAGE('31.07 Koboko-Arua'!F42,'01.08 Koboko-Arua'!F42,'04.08 Koboko-Arua'!F42,'05.08 Koboko-Arua'!F42,'02.08 Koboko-Arua-24h'!F42,'03.08 Koboko-Arua-24h'!F42,'06.08 Koboko-Arua'!F42)</f>
        <v>0.8571428571428571</v>
      </c>
      <c r="G42" s="49">
        <f>AVERAGE('31.07 Koboko-Arua'!G42,'01.08 Koboko-Arua'!G42,'04.08 Koboko-Arua'!G42,'05.08 Koboko-Arua'!G42,'02.08 Koboko-Arua-24h'!G42,'03.08 Koboko-Arua-24h'!G42,'06.08 Koboko-Arua'!G42)</f>
        <v>0</v>
      </c>
      <c r="H42" s="49">
        <f>AVERAGE('31.07 Koboko-Arua'!H42,'01.08 Koboko-Arua'!H42,'04.08 Koboko-Arua'!H42,'05.08 Koboko-Arua'!H42,'02.08 Koboko-Arua-24h'!H42,'03.08 Koboko-Arua-24h'!H42,'06.08 Koboko-Arua'!H42)</f>
        <v>5.2857142857142856</v>
      </c>
      <c r="I42" s="49">
        <f>AVERAGE('31.07 Koboko-Arua'!I42,'01.08 Koboko-Arua'!I42,'04.08 Koboko-Arua'!I42,'05.08 Koboko-Arua'!I42,'02.08 Koboko-Arua-24h'!I42,'03.08 Koboko-Arua-24h'!I42,'06.08 Koboko-Arua'!I42)</f>
        <v>1.5714285714285714</v>
      </c>
      <c r="J42" s="49">
        <f>AVERAGE('31.07 Koboko-Arua'!J42,'01.08 Koboko-Arua'!J42,'04.08 Koboko-Arua'!J42,'05.08 Koboko-Arua'!J42,'02.08 Koboko-Arua-24h'!J42,'03.08 Koboko-Arua-24h'!J42,'06.08 Koboko-Arua'!J42)</f>
        <v>0.2857142857142857</v>
      </c>
      <c r="K42" s="49">
        <f>AVERAGE('31.07 Koboko-Arua'!K42,'01.08 Koboko-Arua'!K42,'04.08 Koboko-Arua'!K42,'05.08 Koboko-Arua'!K42,'02.08 Koboko-Arua-24h'!K42,'03.08 Koboko-Arua-24h'!K42,'06.08 Koboko-Arua'!K42)</f>
        <v>0.14285714285714285</v>
      </c>
      <c r="L42" s="49">
        <f>AVERAGE('31.07 Koboko-Arua'!L42,'01.08 Koboko-Arua'!L42,'04.08 Koboko-Arua'!L42,'05.08 Koboko-Arua'!L42,'02.08 Koboko-Arua-24h'!L42,'03.08 Koboko-Arua-24h'!L42,'06.08 Koboko-Arua'!L42)</f>
        <v>0.2857142857142857</v>
      </c>
      <c r="M42" s="49">
        <f>AVERAGE('31.07 Koboko-Arua'!M42,'01.08 Koboko-Arua'!M42,'04.08 Koboko-Arua'!M42,'05.08 Koboko-Arua'!M42,'02.08 Koboko-Arua-24h'!M42,'03.08 Koboko-Arua-24h'!M42,'06.08 Koboko-Arua'!M42)</f>
        <v>31.142857142857142</v>
      </c>
      <c r="N42" s="49">
        <f>AVERAGE('31.07 Koboko-Arua'!N42,'01.08 Koboko-Arua'!N42,'04.08 Koboko-Arua'!N42,'05.08 Koboko-Arua'!N42,'02.08 Koboko-Arua-24h'!N42,'03.08 Koboko-Arua-24h'!N42,'06.08 Koboko-Arua'!N42)</f>
        <v>0</v>
      </c>
      <c r="O42" s="15">
        <f t="shared" si="0"/>
        <v>22.571428571428569</v>
      </c>
      <c r="P42" s="15">
        <f t="shared" si="1"/>
        <v>53.714285714285708</v>
      </c>
      <c r="R42" s="5" t="s">
        <v>160</v>
      </c>
      <c r="S42" s="48">
        <f>S41/S40</f>
        <v>1.2687007874015748</v>
      </c>
      <c r="T42" s="48">
        <f t="shared" ref="T42:AF42" si="34">T41/T40</f>
        <v>1.2771084337349399</v>
      </c>
      <c r="U42" s="48">
        <f t="shared" si="34"/>
        <v>1.4821605550049555</v>
      </c>
      <c r="V42" s="48">
        <f t="shared" si="34"/>
        <v>1.6910112359550564</v>
      </c>
      <c r="W42" s="48">
        <f t="shared" si="34"/>
        <v>1.9618320610687023</v>
      </c>
      <c r="X42" s="48">
        <f t="shared" si="34"/>
        <v>1.0561497326203209</v>
      </c>
      <c r="Y42" s="48">
        <f t="shared" si="34"/>
        <v>1.3384912959381043</v>
      </c>
      <c r="Z42" s="48">
        <f t="shared" si="34"/>
        <v>1.5373592630501534</v>
      </c>
      <c r="AA42" s="48">
        <f t="shared" si="34"/>
        <v>2.3787878787878789</v>
      </c>
      <c r="AB42" s="48">
        <f t="shared" si="34"/>
        <v>1.4666666666666668</v>
      </c>
      <c r="AC42" s="48">
        <f t="shared" si="34"/>
        <v>1.4089959109495682</v>
      </c>
      <c r="AD42" s="48">
        <f t="shared" si="34"/>
        <v>1.7000000000000002</v>
      </c>
      <c r="AE42" s="56">
        <f t="shared" si="34"/>
        <v>1.3540947884510623</v>
      </c>
      <c r="AF42" s="56">
        <f t="shared" si="34"/>
        <v>1.3887587374138211</v>
      </c>
    </row>
    <row r="43" spans="2:32" ht="23.1" customHeight="1" x14ac:dyDescent="0.25">
      <c r="B43" s="23" t="s">
        <v>70</v>
      </c>
      <c r="C43" s="49">
        <f>AVERAGE('31.07 Koboko-Arua'!C43,'01.08 Koboko-Arua'!C43,'04.08 Koboko-Arua'!C43,'05.08 Koboko-Arua'!C43,'02.08 Koboko-Arua-24h'!C43,'03.08 Koboko-Arua-24h'!C43,'06.08 Koboko-Arua'!C43)</f>
        <v>8.1428571428571423</v>
      </c>
      <c r="D43" s="49">
        <f>AVERAGE('31.07 Koboko-Arua'!D43,'01.08 Koboko-Arua'!D43,'04.08 Koboko-Arua'!D43,'05.08 Koboko-Arua'!D43,'02.08 Koboko-Arua-24h'!D43,'03.08 Koboko-Arua-24h'!D43,'06.08 Koboko-Arua'!D43)</f>
        <v>1.8571428571428572</v>
      </c>
      <c r="E43" s="49">
        <f>AVERAGE('31.07 Koboko-Arua'!E43,'01.08 Koboko-Arua'!E43,'04.08 Koboko-Arua'!E43,'05.08 Koboko-Arua'!E43,'02.08 Koboko-Arua-24h'!E43,'03.08 Koboko-Arua-24h'!E43,'06.08 Koboko-Arua'!E43)</f>
        <v>3.7142857142857144</v>
      </c>
      <c r="F43" s="49">
        <f>AVERAGE('31.07 Koboko-Arua'!F43,'01.08 Koboko-Arua'!F43,'04.08 Koboko-Arua'!F43,'05.08 Koboko-Arua'!F43,'02.08 Koboko-Arua-24h'!F43,'03.08 Koboko-Arua-24h'!F43,'06.08 Koboko-Arua'!F43)</f>
        <v>1.5714285714285714</v>
      </c>
      <c r="G43" s="49">
        <f>AVERAGE('31.07 Koboko-Arua'!G43,'01.08 Koboko-Arua'!G43,'04.08 Koboko-Arua'!G43,'05.08 Koboko-Arua'!G43,'02.08 Koboko-Arua-24h'!G43,'03.08 Koboko-Arua-24h'!G43,'06.08 Koboko-Arua'!G43)</f>
        <v>0.14285714285714285</v>
      </c>
      <c r="H43" s="49">
        <f>AVERAGE('31.07 Koboko-Arua'!H43,'01.08 Koboko-Arua'!H43,'04.08 Koboko-Arua'!H43,'05.08 Koboko-Arua'!H43,'02.08 Koboko-Arua-24h'!H43,'03.08 Koboko-Arua-24h'!H43,'06.08 Koboko-Arua'!H43)</f>
        <v>8.1428571428571423</v>
      </c>
      <c r="I43" s="49">
        <f>AVERAGE('31.07 Koboko-Arua'!I43,'01.08 Koboko-Arua'!I43,'04.08 Koboko-Arua'!I43,'05.08 Koboko-Arua'!I43,'02.08 Koboko-Arua-24h'!I43,'03.08 Koboko-Arua-24h'!I43,'06.08 Koboko-Arua'!I43)</f>
        <v>2.1428571428571428</v>
      </c>
      <c r="J43" s="49">
        <f>AVERAGE('31.07 Koboko-Arua'!J43,'01.08 Koboko-Arua'!J43,'04.08 Koboko-Arua'!J43,'05.08 Koboko-Arua'!J43,'02.08 Koboko-Arua-24h'!J43,'03.08 Koboko-Arua-24h'!J43,'06.08 Koboko-Arua'!J43)</f>
        <v>0.2857142857142857</v>
      </c>
      <c r="K43" s="49">
        <f>AVERAGE('31.07 Koboko-Arua'!K43,'01.08 Koboko-Arua'!K43,'04.08 Koboko-Arua'!K43,'05.08 Koboko-Arua'!K43,'02.08 Koboko-Arua-24h'!K43,'03.08 Koboko-Arua-24h'!K43,'06.08 Koboko-Arua'!K43)</f>
        <v>0</v>
      </c>
      <c r="L43" s="49">
        <f>AVERAGE('31.07 Koboko-Arua'!L43,'01.08 Koboko-Arua'!L43,'04.08 Koboko-Arua'!L43,'05.08 Koboko-Arua'!L43,'02.08 Koboko-Arua-24h'!L43,'03.08 Koboko-Arua-24h'!L43,'06.08 Koboko-Arua'!L43)</f>
        <v>0.42857142857142855</v>
      </c>
      <c r="M43" s="49">
        <f>AVERAGE('31.07 Koboko-Arua'!M43,'01.08 Koboko-Arua'!M43,'04.08 Koboko-Arua'!M43,'05.08 Koboko-Arua'!M43,'02.08 Koboko-Arua-24h'!M43,'03.08 Koboko-Arua-24h'!M43,'06.08 Koboko-Arua'!M43)</f>
        <v>28.857142857142858</v>
      </c>
      <c r="N43" s="49">
        <f>AVERAGE('31.07 Koboko-Arua'!N43,'01.08 Koboko-Arua'!N43,'04.08 Koboko-Arua'!N43,'05.08 Koboko-Arua'!N43,'02.08 Koboko-Arua-24h'!N43,'03.08 Koboko-Arua-24h'!N43,'06.08 Koboko-Arua'!N43)</f>
        <v>0</v>
      </c>
      <c r="O43" s="15">
        <f t="shared" si="0"/>
        <v>26.428571428571423</v>
      </c>
      <c r="P43" s="15">
        <f t="shared" si="1"/>
        <v>55.285714285714278</v>
      </c>
    </row>
    <row r="44" spans="2:32" ht="23.1" customHeight="1" x14ac:dyDescent="0.25">
      <c r="B44" s="25" t="s">
        <v>71</v>
      </c>
      <c r="C44" s="49">
        <f>AVERAGE('31.07 Koboko-Arua'!C44,'01.08 Koboko-Arua'!C44,'04.08 Koboko-Arua'!C44,'05.08 Koboko-Arua'!C44,'02.08 Koboko-Arua-24h'!C44,'03.08 Koboko-Arua-24h'!C44,'06.08 Koboko-Arua'!C44)</f>
        <v>4.1428571428571432</v>
      </c>
      <c r="D44" s="49">
        <f>AVERAGE('31.07 Koboko-Arua'!D44,'01.08 Koboko-Arua'!D44,'04.08 Koboko-Arua'!D44,'05.08 Koboko-Arua'!D44,'02.08 Koboko-Arua-24h'!D44,'03.08 Koboko-Arua-24h'!D44,'06.08 Koboko-Arua'!D44)</f>
        <v>0.7142857142857143</v>
      </c>
      <c r="E44" s="49">
        <f>AVERAGE('31.07 Koboko-Arua'!E44,'01.08 Koboko-Arua'!E44,'04.08 Koboko-Arua'!E44,'05.08 Koboko-Arua'!E44,'02.08 Koboko-Arua-24h'!E44,'03.08 Koboko-Arua-24h'!E44,'06.08 Koboko-Arua'!E44)</f>
        <v>1.4285714285714286</v>
      </c>
      <c r="F44" s="49">
        <f>AVERAGE('31.07 Koboko-Arua'!F44,'01.08 Koboko-Arua'!F44,'04.08 Koboko-Arua'!F44,'05.08 Koboko-Arua'!F44,'02.08 Koboko-Arua-24h'!F44,'03.08 Koboko-Arua-24h'!F44,'06.08 Koboko-Arua'!F44)</f>
        <v>1.1428571428571428</v>
      </c>
      <c r="G44" s="49">
        <f>AVERAGE('31.07 Koboko-Arua'!G44,'01.08 Koboko-Arua'!G44,'04.08 Koboko-Arua'!G44,'05.08 Koboko-Arua'!G44,'02.08 Koboko-Arua-24h'!G44,'03.08 Koboko-Arua-24h'!G44,'06.08 Koboko-Arua'!G44)</f>
        <v>0</v>
      </c>
      <c r="H44" s="49">
        <f>AVERAGE('31.07 Koboko-Arua'!H44,'01.08 Koboko-Arua'!H44,'04.08 Koboko-Arua'!H44,'05.08 Koboko-Arua'!H44,'02.08 Koboko-Arua-24h'!H44,'03.08 Koboko-Arua-24h'!H44,'06.08 Koboko-Arua'!H44)</f>
        <v>7.5714285714285712</v>
      </c>
      <c r="I44" s="49">
        <f>AVERAGE('31.07 Koboko-Arua'!I44,'01.08 Koboko-Arua'!I44,'04.08 Koboko-Arua'!I44,'05.08 Koboko-Arua'!I44,'02.08 Koboko-Arua-24h'!I44,'03.08 Koboko-Arua-24h'!I44,'06.08 Koboko-Arua'!I44)</f>
        <v>0.8571428571428571</v>
      </c>
      <c r="J44" s="49">
        <f>AVERAGE('31.07 Koboko-Arua'!J44,'01.08 Koboko-Arua'!J44,'04.08 Koboko-Arua'!J44,'05.08 Koboko-Arua'!J44,'02.08 Koboko-Arua-24h'!J44,'03.08 Koboko-Arua-24h'!J44,'06.08 Koboko-Arua'!J44)</f>
        <v>0.7142857142857143</v>
      </c>
      <c r="K44" s="49">
        <f>AVERAGE('31.07 Koboko-Arua'!K44,'01.08 Koboko-Arua'!K44,'04.08 Koboko-Arua'!K44,'05.08 Koboko-Arua'!K44,'02.08 Koboko-Arua-24h'!K44,'03.08 Koboko-Arua-24h'!K44,'06.08 Koboko-Arua'!K44)</f>
        <v>0</v>
      </c>
      <c r="L44" s="49">
        <f>AVERAGE('31.07 Koboko-Arua'!L44,'01.08 Koboko-Arua'!L44,'04.08 Koboko-Arua'!L44,'05.08 Koboko-Arua'!L44,'02.08 Koboko-Arua-24h'!L44,'03.08 Koboko-Arua-24h'!L44,'06.08 Koboko-Arua'!L44)</f>
        <v>0</v>
      </c>
      <c r="M44" s="49">
        <f>AVERAGE('31.07 Koboko-Arua'!M44,'01.08 Koboko-Arua'!M44,'04.08 Koboko-Arua'!M44,'05.08 Koboko-Arua'!M44,'02.08 Koboko-Arua-24h'!M44,'03.08 Koboko-Arua-24h'!M44,'06.08 Koboko-Arua'!M44)</f>
        <v>24.428571428571427</v>
      </c>
      <c r="N44" s="49">
        <f>AVERAGE('31.07 Koboko-Arua'!N44,'01.08 Koboko-Arua'!N44,'04.08 Koboko-Arua'!N44,'05.08 Koboko-Arua'!N44,'02.08 Koboko-Arua-24h'!N44,'03.08 Koboko-Arua-24h'!N44,'06.08 Koboko-Arua'!N44)</f>
        <v>0.14285714285714285</v>
      </c>
      <c r="O44" s="15">
        <f t="shared" si="0"/>
        <v>16.714285714285715</v>
      </c>
      <c r="P44" s="15">
        <f t="shared" si="1"/>
        <v>41.142857142857146</v>
      </c>
    </row>
    <row r="45" spans="2:32" ht="23.1" customHeight="1" x14ac:dyDescent="0.25">
      <c r="B45" s="23" t="s">
        <v>72</v>
      </c>
      <c r="C45" s="49">
        <f>AVERAGE('31.07 Koboko-Arua'!C45,'01.08 Koboko-Arua'!C45,'04.08 Koboko-Arua'!C45,'05.08 Koboko-Arua'!C45,'02.08 Koboko-Arua-24h'!C45,'03.08 Koboko-Arua-24h'!C45,'06.08 Koboko-Arua'!C45)</f>
        <v>8.4285714285714288</v>
      </c>
      <c r="D45" s="49">
        <f>AVERAGE('31.07 Koboko-Arua'!D45,'01.08 Koboko-Arua'!D45,'04.08 Koboko-Arua'!D45,'05.08 Koboko-Arua'!D45,'02.08 Koboko-Arua-24h'!D45,'03.08 Koboko-Arua-24h'!D45,'06.08 Koboko-Arua'!D45)</f>
        <v>5.2857142857142856</v>
      </c>
      <c r="E45" s="49">
        <f>AVERAGE('31.07 Koboko-Arua'!E45,'01.08 Koboko-Arua'!E45,'04.08 Koboko-Arua'!E45,'05.08 Koboko-Arua'!E45,'02.08 Koboko-Arua-24h'!E45,'03.08 Koboko-Arua-24h'!E45,'06.08 Koboko-Arua'!E45)</f>
        <v>10.857142857142858</v>
      </c>
      <c r="F45" s="49">
        <f>AVERAGE('31.07 Koboko-Arua'!F45,'01.08 Koboko-Arua'!F45,'04.08 Koboko-Arua'!F45,'05.08 Koboko-Arua'!F45,'02.08 Koboko-Arua-24h'!F45,'03.08 Koboko-Arua-24h'!F45,'06.08 Koboko-Arua'!F45)</f>
        <v>1.1428571428571428</v>
      </c>
      <c r="G45" s="49">
        <f>AVERAGE('31.07 Koboko-Arua'!G45,'01.08 Koboko-Arua'!G45,'04.08 Koboko-Arua'!G45,'05.08 Koboko-Arua'!G45,'02.08 Koboko-Arua-24h'!G45,'03.08 Koboko-Arua-24h'!G45,'06.08 Koboko-Arua'!G45)</f>
        <v>0</v>
      </c>
      <c r="H45" s="49">
        <f>AVERAGE('31.07 Koboko-Arua'!H45,'01.08 Koboko-Arua'!H45,'04.08 Koboko-Arua'!H45,'05.08 Koboko-Arua'!H45,'02.08 Koboko-Arua-24h'!H45,'03.08 Koboko-Arua-24h'!H45,'06.08 Koboko-Arua'!H45)</f>
        <v>0</v>
      </c>
      <c r="I45" s="49">
        <f>AVERAGE('31.07 Koboko-Arua'!I45,'01.08 Koboko-Arua'!I45,'04.08 Koboko-Arua'!I45,'05.08 Koboko-Arua'!I45,'02.08 Koboko-Arua-24h'!I45,'03.08 Koboko-Arua-24h'!I45,'06.08 Koboko-Arua'!I45)</f>
        <v>1.2857142857142858</v>
      </c>
      <c r="J45" s="49">
        <f>AVERAGE('31.07 Koboko-Arua'!J45,'01.08 Koboko-Arua'!J45,'04.08 Koboko-Arua'!J45,'05.08 Koboko-Arua'!J45,'02.08 Koboko-Arua-24h'!J45,'03.08 Koboko-Arua-24h'!J45,'06.08 Koboko-Arua'!J45)</f>
        <v>0.5714285714285714</v>
      </c>
      <c r="K45" s="49">
        <f>AVERAGE('31.07 Koboko-Arua'!K45,'01.08 Koboko-Arua'!K45,'04.08 Koboko-Arua'!K45,'05.08 Koboko-Arua'!K45,'02.08 Koboko-Arua-24h'!K45,'03.08 Koboko-Arua-24h'!K45,'06.08 Koboko-Arua'!K45)</f>
        <v>0</v>
      </c>
      <c r="L45" s="49">
        <f>AVERAGE('31.07 Koboko-Arua'!L45,'01.08 Koboko-Arua'!L45,'04.08 Koboko-Arua'!L45,'05.08 Koboko-Arua'!L45,'02.08 Koboko-Arua-24h'!L45,'03.08 Koboko-Arua-24h'!L45,'06.08 Koboko-Arua'!L45)</f>
        <v>0.14285714285714285</v>
      </c>
      <c r="M45" s="49">
        <f>AVERAGE('31.07 Koboko-Arua'!M45,'01.08 Koboko-Arua'!M45,'04.08 Koboko-Arua'!M45,'05.08 Koboko-Arua'!M45,'02.08 Koboko-Arua-24h'!M45,'03.08 Koboko-Arua-24h'!M45,'06.08 Koboko-Arua'!M45)</f>
        <v>39.857142857142854</v>
      </c>
      <c r="N45" s="49">
        <f>AVERAGE('31.07 Koboko-Arua'!N45,'01.08 Koboko-Arua'!N45,'04.08 Koboko-Arua'!N45,'05.08 Koboko-Arua'!N45,'02.08 Koboko-Arua-24h'!N45,'03.08 Koboko-Arua-24h'!N45,'06.08 Koboko-Arua'!N45)</f>
        <v>0</v>
      </c>
      <c r="O45" s="15">
        <f t="shared" si="0"/>
        <v>27.714285714285715</v>
      </c>
      <c r="P45" s="15">
        <f t="shared" si="1"/>
        <v>67.571428571428569</v>
      </c>
    </row>
    <row r="46" spans="2:32" ht="23.1" customHeight="1" x14ac:dyDescent="0.25">
      <c r="B46" s="24" t="s">
        <v>73</v>
      </c>
      <c r="C46" s="49">
        <f>AVERAGE('31.07 Koboko-Arua'!C46,'01.08 Koboko-Arua'!C46,'04.08 Koboko-Arua'!C46,'05.08 Koboko-Arua'!C46,'02.08 Koboko-Arua-24h'!C46,'03.08 Koboko-Arua-24h'!C46,'06.08 Koboko-Arua'!C46)</f>
        <v>7.1428571428571432</v>
      </c>
      <c r="D46" s="49">
        <f>AVERAGE('31.07 Koboko-Arua'!D46,'01.08 Koboko-Arua'!D46,'04.08 Koboko-Arua'!D46,'05.08 Koboko-Arua'!D46,'02.08 Koboko-Arua-24h'!D46,'03.08 Koboko-Arua-24h'!D46,'06.08 Koboko-Arua'!D46)</f>
        <v>1.7142857142857142</v>
      </c>
      <c r="E46" s="49">
        <f>AVERAGE('31.07 Koboko-Arua'!E46,'01.08 Koboko-Arua'!E46,'04.08 Koboko-Arua'!E46,'05.08 Koboko-Arua'!E46,'02.08 Koboko-Arua-24h'!E46,'03.08 Koboko-Arua-24h'!E46,'06.08 Koboko-Arua'!E46)</f>
        <v>3</v>
      </c>
      <c r="F46" s="49">
        <f>AVERAGE('31.07 Koboko-Arua'!F46,'01.08 Koboko-Arua'!F46,'04.08 Koboko-Arua'!F46,'05.08 Koboko-Arua'!F46,'02.08 Koboko-Arua-24h'!F46,'03.08 Koboko-Arua-24h'!F46,'06.08 Koboko-Arua'!F46)</f>
        <v>1.2857142857142858</v>
      </c>
      <c r="G46" s="49">
        <f>AVERAGE('31.07 Koboko-Arua'!G46,'01.08 Koboko-Arua'!G46,'04.08 Koboko-Arua'!G46,'05.08 Koboko-Arua'!G46,'02.08 Koboko-Arua-24h'!G46,'03.08 Koboko-Arua-24h'!G46,'06.08 Koboko-Arua'!G46)</f>
        <v>0</v>
      </c>
      <c r="H46" s="49">
        <f>AVERAGE('31.07 Koboko-Arua'!H46,'01.08 Koboko-Arua'!H46,'04.08 Koboko-Arua'!H46,'05.08 Koboko-Arua'!H46,'02.08 Koboko-Arua-24h'!H46,'03.08 Koboko-Arua-24h'!H46,'06.08 Koboko-Arua'!H46)</f>
        <v>3.7142857142857144</v>
      </c>
      <c r="I46" s="49">
        <f>AVERAGE('31.07 Koboko-Arua'!I46,'01.08 Koboko-Arua'!I46,'04.08 Koboko-Arua'!I46,'05.08 Koboko-Arua'!I46,'02.08 Koboko-Arua-24h'!I46,'03.08 Koboko-Arua-24h'!I46,'06.08 Koboko-Arua'!I46)</f>
        <v>1.7142857142857142</v>
      </c>
      <c r="J46" s="49">
        <f>AVERAGE('31.07 Koboko-Arua'!J46,'01.08 Koboko-Arua'!J46,'04.08 Koboko-Arua'!J46,'05.08 Koboko-Arua'!J46,'02.08 Koboko-Arua-24h'!J46,'03.08 Koboko-Arua-24h'!J46,'06.08 Koboko-Arua'!J46)</f>
        <v>0.5714285714285714</v>
      </c>
      <c r="K46" s="49">
        <f>AVERAGE('31.07 Koboko-Arua'!K46,'01.08 Koboko-Arua'!K46,'04.08 Koboko-Arua'!K46,'05.08 Koboko-Arua'!K46,'02.08 Koboko-Arua-24h'!K46,'03.08 Koboko-Arua-24h'!K46,'06.08 Koboko-Arua'!K46)</f>
        <v>0</v>
      </c>
      <c r="L46" s="49">
        <f>AVERAGE('31.07 Koboko-Arua'!L46,'01.08 Koboko-Arua'!L46,'04.08 Koboko-Arua'!L46,'05.08 Koboko-Arua'!L46,'02.08 Koboko-Arua-24h'!L46,'03.08 Koboko-Arua-24h'!L46,'06.08 Koboko-Arua'!L46)</f>
        <v>0</v>
      </c>
      <c r="M46" s="49">
        <f>AVERAGE('31.07 Koboko-Arua'!M46,'01.08 Koboko-Arua'!M46,'04.08 Koboko-Arua'!M46,'05.08 Koboko-Arua'!M46,'02.08 Koboko-Arua-24h'!M46,'03.08 Koboko-Arua-24h'!M46,'06.08 Koboko-Arua'!M46)</f>
        <v>26.857142857142858</v>
      </c>
      <c r="N46" s="49">
        <f>AVERAGE('31.07 Koboko-Arua'!N46,'01.08 Koboko-Arua'!N46,'04.08 Koboko-Arua'!N46,'05.08 Koboko-Arua'!N46,'02.08 Koboko-Arua-24h'!N46,'03.08 Koboko-Arua-24h'!N46,'06.08 Koboko-Arua'!N46)</f>
        <v>0</v>
      </c>
      <c r="O46" s="15">
        <f t="shared" si="0"/>
        <v>19.142857142857146</v>
      </c>
      <c r="P46" s="15">
        <f t="shared" si="1"/>
        <v>46</v>
      </c>
      <c r="R46" s="8"/>
      <c r="T46"/>
    </row>
    <row r="47" spans="2:32" ht="23.1" customHeight="1" x14ac:dyDescent="0.25">
      <c r="B47" s="24" t="s">
        <v>74</v>
      </c>
      <c r="C47" s="49">
        <f>AVERAGE('31.07 Koboko-Arua'!C47,'01.08 Koboko-Arua'!C47,'04.08 Koboko-Arua'!C47,'05.08 Koboko-Arua'!C47,'02.08 Koboko-Arua-24h'!C47,'03.08 Koboko-Arua-24h'!C47,'06.08 Koboko-Arua'!C47)</f>
        <v>11</v>
      </c>
      <c r="D47" s="49">
        <f>AVERAGE('31.07 Koboko-Arua'!D47,'01.08 Koboko-Arua'!D47,'04.08 Koboko-Arua'!D47,'05.08 Koboko-Arua'!D47,'02.08 Koboko-Arua-24h'!D47,'03.08 Koboko-Arua-24h'!D47,'06.08 Koboko-Arua'!D47)</f>
        <v>2.1428571428571428</v>
      </c>
      <c r="E47" s="49">
        <f>AVERAGE('31.07 Koboko-Arua'!E47,'01.08 Koboko-Arua'!E47,'04.08 Koboko-Arua'!E47,'05.08 Koboko-Arua'!E47,'02.08 Koboko-Arua-24h'!E47,'03.08 Koboko-Arua-24h'!E47,'06.08 Koboko-Arua'!E47)</f>
        <v>3.4285714285714284</v>
      </c>
      <c r="F47" s="49">
        <f>AVERAGE('31.07 Koboko-Arua'!F47,'01.08 Koboko-Arua'!F47,'04.08 Koboko-Arua'!F47,'05.08 Koboko-Arua'!F47,'02.08 Koboko-Arua-24h'!F47,'03.08 Koboko-Arua-24h'!F47,'06.08 Koboko-Arua'!F47)</f>
        <v>0.42857142857142855</v>
      </c>
      <c r="G47" s="49">
        <f>AVERAGE('31.07 Koboko-Arua'!G47,'01.08 Koboko-Arua'!G47,'04.08 Koboko-Arua'!G47,'05.08 Koboko-Arua'!G47,'02.08 Koboko-Arua-24h'!G47,'03.08 Koboko-Arua-24h'!G47,'06.08 Koboko-Arua'!G47)</f>
        <v>0.2857142857142857</v>
      </c>
      <c r="H47" s="49">
        <f>AVERAGE('31.07 Koboko-Arua'!H47,'01.08 Koboko-Arua'!H47,'04.08 Koboko-Arua'!H47,'05.08 Koboko-Arua'!H47,'02.08 Koboko-Arua-24h'!H47,'03.08 Koboko-Arua-24h'!H47,'06.08 Koboko-Arua'!H47)</f>
        <v>9.2857142857142865</v>
      </c>
      <c r="I47" s="49">
        <f>AVERAGE('31.07 Koboko-Arua'!I47,'01.08 Koboko-Arua'!I47,'04.08 Koboko-Arua'!I47,'05.08 Koboko-Arua'!I47,'02.08 Koboko-Arua-24h'!I47,'03.08 Koboko-Arua-24h'!I47,'06.08 Koboko-Arua'!I47)</f>
        <v>0.7142857142857143</v>
      </c>
      <c r="J47" s="49">
        <f>AVERAGE('31.07 Koboko-Arua'!J47,'01.08 Koboko-Arua'!J47,'04.08 Koboko-Arua'!J47,'05.08 Koboko-Arua'!J47,'02.08 Koboko-Arua-24h'!J47,'03.08 Koboko-Arua-24h'!J47,'06.08 Koboko-Arua'!J47)</f>
        <v>0.5714285714285714</v>
      </c>
      <c r="K47" s="49">
        <f>AVERAGE('31.07 Koboko-Arua'!K47,'01.08 Koboko-Arua'!K47,'04.08 Koboko-Arua'!K47,'05.08 Koboko-Arua'!K47,'02.08 Koboko-Arua-24h'!K47,'03.08 Koboko-Arua-24h'!K47,'06.08 Koboko-Arua'!K47)</f>
        <v>0</v>
      </c>
      <c r="L47" s="49">
        <f>AVERAGE('31.07 Koboko-Arua'!L47,'01.08 Koboko-Arua'!L47,'04.08 Koboko-Arua'!L47,'05.08 Koboko-Arua'!L47,'02.08 Koboko-Arua-24h'!L47,'03.08 Koboko-Arua-24h'!L47,'06.08 Koboko-Arua'!L47)</f>
        <v>0.14285714285714285</v>
      </c>
      <c r="M47" s="49">
        <f>AVERAGE('31.07 Koboko-Arua'!M47,'01.08 Koboko-Arua'!M47,'04.08 Koboko-Arua'!M47,'05.08 Koboko-Arua'!M47,'02.08 Koboko-Arua-24h'!M47,'03.08 Koboko-Arua-24h'!M47,'06.08 Koboko-Arua'!M47)</f>
        <v>24.428571428571427</v>
      </c>
      <c r="N47" s="49">
        <f>AVERAGE('31.07 Koboko-Arua'!N47,'01.08 Koboko-Arua'!N47,'04.08 Koboko-Arua'!N47,'05.08 Koboko-Arua'!N47,'02.08 Koboko-Arua-24h'!N47,'03.08 Koboko-Arua-24h'!N47,'06.08 Koboko-Arua'!N47)</f>
        <v>0</v>
      </c>
      <c r="O47" s="15">
        <f t="shared" si="0"/>
        <v>28</v>
      </c>
      <c r="P47" s="15">
        <f t="shared" si="1"/>
        <v>52.428571428571431</v>
      </c>
      <c r="R47" s="8"/>
      <c r="T47"/>
    </row>
    <row r="48" spans="2:32" ht="23.1" customHeight="1" x14ac:dyDescent="0.25">
      <c r="B48" s="24" t="s">
        <v>75</v>
      </c>
      <c r="C48" s="49">
        <f>AVERAGE('31.07 Koboko-Arua'!C48,'01.08 Koboko-Arua'!C48,'04.08 Koboko-Arua'!C48,'05.08 Koboko-Arua'!C48,'02.08 Koboko-Arua-24h'!C48,'03.08 Koboko-Arua-24h'!C48,'06.08 Koboko-Arua'!C48)</f>
        <v>11.142857142857142</v>
      </c>
      <c r="D48" s="49">
        <f>AVERAGE('31.07 Koboko-Arua'!D48,'01.08 Koboko-Arua'!D48,'04.08 Koboko-Arua'!D48,'05.08 Koboko-Arua'!D48,'02.08 Koboko-Arua-24h'!D48,'03.08 Koboko-Arua-24h'!D48,'06.08 Koboko-Arua'!D48)</f>
        <v>1.7142857142857142</v>
      </c>
      <c r="E48" s="49">
        <f>AVERAGE('31.07 Koboko-Arua'!E48,'01.08 Koboko-Arua'!E48,'04.08 Koboko-Arua'!E48,'05.08 Koboko-Arua'!E48,'02.08 Koboko-Arua-24h'!E48,'03.08 Koboko-Arua-24h'!E48,'06.08 Koboko-Arua'!E48)</f>
        <v>2.7142857142857144</v>
      </c>
      <c r="F48" s="49">
        <f>AVERAGE('31.07 Koboko-Arua'!F48,'01.08 Koboko-Arua'!F48,'04.08 Koboko-Arua'!F48,'05.08 Koboko-Arua'!F48,'02.08 Koboko-Arua-24h'!F48,'03.08 Koboko-Arua-24h'!F48,'06.08 Koboko-Arua'!F48)</f>
        <v>3.8571428571428572</v>
      </c>
      <c r="G48" s="49">
        <f>AVERAGE('31.07 Koboko-Arua'!G48,'01.08 Koboko-Arua'!G48,'04.08 Koboko-Arua'!G48,'05.08 Koboko-Arua'!G48,'02.08 Koboko-Arua-24h'!G48,'03.08 Koboko-Arua-24h'!G48,'06.08 Koboko-Arua'!G48)</f>
        <v>0.42857142857142855</v>
      </c>
      <c r="H48" s="49">
        <f>AVERAGE('31.07 Koboko-Arua'!H48,'01.08 Koboko-Arua'!H48,'04.08 Koboko-Arua'!H48,'05.08 Koboko-Arua'!H48,'02.08 Koboko-Arua-24h'!H48,'03.08 Koboko-Arua-24h'!H48,'06.08 Koboko-Arua'!H48)</f>
        <v>6.5714285714285712</v>
      </c>
      <c r="I48" s="49">
        <f>AVERAGE('31.07 Koboko-Arua'!I48,'01.08 Koboko-Arua'!I48,'04.08 Koboko-Arua'!I48,'05.08 Koboko-Arua'!I48,'02.08 Koboko-Arua-24h'!I48,'03.08 Koboko-Arua-24h'!I48,'06.08 Koboko-Arua'!I48)</f>
        <v>0.42857142857142855</v>
      </c>
      <c r="J48" s="49">
        <f>AVERAGE('31.07 Koboko-Arua'!J48,'01.08 Koboko-Arua'!J48,'04.08 Koboko-Arua'!J48,'05.08 Koboko-Arua'!J48,'02.08 Koboko-Arua-24h'!J48,'03.08 Koboko-Arua-24h'!J48,'06.08 Koboko-Arua'!J48)</f>
        <v>1</v>
      </c>
      <c r="K48" s="49">
        <f>AVERAGE('31.07 Koboko-Arua'!K48,'01.08 Koboko-Arua'!K48,'04.08 Koboko-Arua'!K48,'05.08 Koboko-Arua'!K48,'02.08 Koboko-Arua-24h'!K48,'03.08 Koboko-Arua-24h'!K48,'06.08 Koboko-Arua'!K48)</f>
        <v>0</v>
      </c>
      <c r="L48" s="49">
        <f>AVERAGE('31.07 Koboko-Arua'!L48,'01.08 Koboko-Arua'!L48,'04.08 Koboko-Arua'!L48,'05.08 Koboko-Arua'!L48,'02.08 Koboko-Arua-24h'!L48,'03.08 Koboko-Arua-24h'!L48,'06.08 Koboko-Arua'!L48)</f>
        <v>0.7142857142857143</v>
      </c>
      <c r="M48" s="49">
        <f>AVERAGE('31.07 Koboko-Arua'!M48,'01.08 Koboko-Arua'!M48,'04.08 Koboko-Arua'!M48,'05.08 Koboko-Arua'!M48,'02.08 Koboko-Arua-24h'!M48,'03.08 Koboko-Arua-24h'!M48,'06.08 Koboko-Arua'!M48)</f>
        <v>33.428571428571431</v>
      </c>
      <c r="N48" s="49">
        <f>AVERAGE('31.07 Koboko-Arua'!N48,'01.08 Koboko-Arua'!N48,'04.08 Koboko-Arua'!N48,'05.08 Koboko-Arua'!N48,'02.08 Koboko-Arua-24h'!N48,'03.08 Koboko-Arua-24h'!N48,'06.08 Koboko-Arua'!N48)</f>
        <v>0</v>
      </c>
      <c r="O48" s="15">
        <f t="shared" si="0"/>
        <v>28.571428571428566</v>
      </c>
      <c r="P48" s="15">
        <f t="shared" si="1"/>
        <v>62</v>
      </c>
      <c r="R48" s="8"/>
      <c r="T48"/>
    </row>
    <row r="49" spans="2:20" ht="23.1" customHeight="1" x14ac:dyDescent="0.25">
      <c r="B49" s="23" t="s">
        <v>76</v>
      </c>
      <c r="C49" s="49">
        <f>AVERAGE('31.07 Koboko-Arua'!C49,'01.08 Koboko-Arua'!C49,'04.08 Koboko-Arua'!C49,'05.08 Koboko-Arua'!C49,'02.08 Koboko-Arua-24h'!C49,'03.08 Koboko-Arua-24h'!C49,'06.08 Koboko-Arua'!C49)</f>
        <v>8</v>
      </c>
      <c r="D49" s="49">
        <f>AVERAGE('31.07 Koboko-Arua'!D49,'01.08 Koboko-Arua'!D49,'04.08 Koboko-Arua'!D49,'05.08 Koboko-Arua'!D49,'02.08 Koboko-Arua-24h'!D49,'03.08 Koboko-Arua-24h'!D49,'06.08 Koboko-Arua'!D49)</f>
        <v>3.4285714285714284</v>
      </c>
      <c r="E49" s="49">
        <f>AVERAGE('31.07 Koboko-Arua'!E49,'01.08 Koboko-Arua'!E49,'04.08 Koboko-Arua'!E49,'05.08 Koboko-Arua'!E49,'02.08 Koboko-Arua-24h'!E49,'03.08 Koboko-Arua-24h'!E49,'06.08 Koboko-Arua'!E49)</f>
        <v>6</v>
      </c>
      <c r="F49" s="49">
        <f>AVERAGE('31.07 Koboko-Arua'!F49,'01.08 Koboko-Arua'!F49,'04.08 Koboko-Arua'!F49,'05.08 Koboko-Arua'!F49,'02.08 Koboko-Arua-24h'!F49,'03.08 Koboko-Arua-24h'!F49,'06.08 Koboko-Arua'!F49)</f>
        <v>1.5714285714285714</v>
      </c>
      <c r="G49" s="49">
        <f>AVERAGE('31.07 Koboko-Arua'!G49,'01.08 Koboko-Arua'!G49,'04.08 Koboko-Arua'!G49,'05.08 Koboko-Arua'!G49,'02.08 Koboko-Arua-24h'!G49,'03.08 Koboko-Arua-24h'!G49,'06.08 Koboko-Arua'!G49)</f>
        <v>0.2857142857142857</v>
      </c>
      <c r="H49" s="49">
        <f>AVERAGE('31.07 Koboko-Arua'!H49,'01.08 Koboko-Arua'!H49,'04.08 Koboko-Arua'!H49,'05.08 Koboko-Arua'!H49,'02.08 Koboko-Arua-24h'!H49,'03.08 Koboko-Arua-24h'!H49,'06.08 Koboko-Arua'!H49)</f>
        <v>2.8571428571428572</v>
      </c>
      <c r="I49" s="49">
        <f>AVERAGE('31.07 Koboko-Arua'!I49,'01.08 Koboko-Arua'!I49,'04.08 Koboko-Arua'!I49,'05.08 Koboko-Arua'!I49,'02.08 Koboko-Arua-24h'!I49,'03.08 Koboko-Arua-24h'!I49,'06.08 Koboko-Arua'!I49)</f>
        <v>1</v>
      </c>
      <c r="J49" s="49">
        <f>AVERAGE('31.07 Koboko-Arua'!J49,'01.08 Koboko-Arua'!J49,'04.08 Koboko-Arua'!J49,'05.08 Koboko-Arua'!J49,'02.08 Koboko-Arua-24h'!J49,'03.08 Koboko-Arua-24h'!J49,'06.08 Koboko-Arua'!J49)</f>
        <v>1</v>
      </c>
      <c r="K49" s="49">
        <f>AVERAGE('31.07 Koboko-Arua'!K49,'01.08 Koboko-Arua'!K49,'04.08 Koboko-Arua'!K49,'05.08 Koboko-Arua'!K49,'02.08 Koboko-Arua-24h'!K49,'03.08 Koboko-Arua-24h'!K49,'06.08 Koboko-Arua'!K49)</f>
        <v>0.14285714285714285</v>
      </c>
      <c r="L49" s="49">
        <f>AVERAGE('31.07 Koboko-Arua'!L49,'01.08 Koboko-Arua'!L49,'04.08 Koboko-Arua'!L49,'05.08 Koboko-Arua'!L49,'02.08 Koboko-Arua-24h'!L49,'03.08 Koboko-Arua-24h'!L49,'06.08 Koboko-Arua'!L49)</f>
        <v>0.14285714285714285</v>
      </c>
      <c r="M49" s="49">
        <f>AVERAGE('31.07 Koboko-Arua'!M49,'01.08 Koboko-Arua'!M49,'04.08 Koboko-Arua'!M49,'05.08 Koboko-Arua'!M49,'02.08 Koboko-Arua-24h'!M49,'03.08 Koboko-Arua-24h'!M49,'06.08 Koboko-Arua'!M49)</f>
        <v>29.285714285714285</v>
      </c>
      <c r="N49" s="49">
        <f>AVERAGE('31.07 Koboko-Arua'!N49,'01.08 Koboko-Arua'!N49,'04.08 Koboko-Arua'!N49,'05.08 Koboko-Arua'!N49,'02.08 Koboko-Arua-24h'!N49,'03.08 Koboko-Arua-24h'!N49,'06.08 Koboko-Arua'!N49)</f>
        <v>0</v>
      </c>
      <c r="O49" s="15">
        <f t="shared" si="0"/>
        <v>24.428571428571431</v>
      </c>
      <c r="P49" s="15">
        <f t="shared" si="1"/>
        <v>53.714285714285715</v>
      </c>
      <c r="R49" s="8"/>
      <c r="T49"/>
    </row>
    <row r="50" spans="2:20" ht="23.1" customHeight="1" x14ac:dyDescent="0.25">
      <c r="B50" s="24" t="s">
        <v>77</v>
      </c>
      <c r="C50" s="49">
        <f>AVERAGE('31.07 Koboko-Arua'!C50,'01.08 Koboko-Arua'!C50,'04.08 Koboko-Arua'!C50,'05.08 Koboko-Arua'!C50,'02.08 Koboko-Arua-24h'!C50,'03.08 Koboko-Arua-24h'!C50,'06.08 Koboko-Arua'!C50)</f>
        <v>7.7142857142857144</v>
      </c>
      <c r="D50" s="49">
        <f>AVERAGE('31.07 Koboko-Arua'!D50,'01.08 Koboko-Arua'!D50,'04.08 Koboko-Arua'!D50,'05.08 Koboko-Arua'!D50,'02.08 Koboko-Arua-24h'!D50,'03.08 Koboko-Arua-24h'!D50,'06.08 Koboko-Arua'!D50)</f>
        <v>2.7142857142857144</v>
      </c>
      <c r="E50" s="49">
        <f>AVERAGE('31.07 Koboko-Arua'!E50,'01.08 Koboko-Arua'!E50,'04.08 Koboko-Arua'!E50,'05.08 Koboko-Arua'!E50,'02.08 Koboko-Arua-24h'!E50,'03.08 Koboko-Arua-24h'!E50,'06.08 Koboko-Arua'!E50)</f>
        <v>4.5714285714285712</v>
      </c>
      <c r="F50" s="49">
        <f>AVERAGE('31.07 Koboko-Arua'!F50,'01.08 Koboko-Arua'!F50,'04.08 Koboko-Arua'!F50,'05.08 Koboko-Arua'!F50,'02.08 Koboko-Arua-24h'!F50,'03.08 Koboko-Arua-24h'!F50,'06.08 Koboko-Arua'!F50)</f>
        <v>1.4285714285714286</v>
      </c>
      <c r="G50" s="49">
        <f>AVERAGE('31.07 Koboko-Arua'!G50,'01.08 Koboko-Arua'!G50,'04.08 Koboko-Arua'!G50,'05.08 Koboko-Arua'!G50,'02.08 Koboko-Arua-24h'!G50,'03.08 Koboko-Arua-24h'!G50,'06.08 Koboko-Arua'!G50)</f>
        <v>1.4285714285714286</v>
      </c>
      <c r="H50" s="49">
        <f>AVERAGE('31.07 Koboko-Arua'!H50,'01.08 Koboko-Arua'!H50,'04.08 Koboko-Arua'!H50,'05.08 Koboko-Arua'!H50,'02.08 Koboko-Arua-24h'!H50,'03.08 Koboko-Arua-24h'!H50,'06.08 Koboko-Arua'!H50)</f>
        <v>1.7142857142857142</v>
      </c>
      <c r="I50" s="49">
        <f>AVERAGE('31.07 Koboko-Arua'!I50,'01.08 Koboko-Arua'!I50,'04.08 Koboko-Arua'!I50,'05.08 Koboko-Arua'!I50,'02.08 Koboko-Arua-24h'!I50,'03.08 Koboko-Arua-24h'!I50,'06.08 Koboko-Arua'!I50)</f>
        <v>2.1428571428571428</v>
      </c>
      <c r="J50" s="49">
        <f>AVERAGE('31.07 Koboko-Arua'!J50,'01.08 Koboko-Arua'!J50,'04.08 Koboko-Arua'!J50,'05.08 Koboko-Arua'!J50,'02.08 Koboko-Arua-24h'!J50,'03.08 Koboko-Arua-24h'!J50,'06.08 Koboko-Arua'!J50)</f>
        <v>0.8571428571428571</v>
      </c>
      <c r="K50" s="49">
        <f>AVERAGE('31.07 Koboko-Arua'!K50,'01.08 Koboko-Arua'!K50,'04.08 Koboko-Arua'!K50,'05.08 Koboko-Arua'!K50,'02.08 Koboko-Arua-24h'!K50,'03.08 Koboko-Arua-24h'!K50,'06.08 Koboko-Arua'!K50)</f>
        <v>0.14285714285714285</v>
      </c>
      <c r="L50" s="49">
        <f>AVERAGE('31.07 Koboko-Arua'!L50,'01.08 Koboko-Arua'!L50,'04.08 Koboko-Arua'!L50,'05.08 Koboko-Arua'!L50,'02.08 Koboko-Arua-24h'!L50,'03.08 Koboko-Arua-24h'!L50,'06.08 Koboko-Arua'!L50)</f>
        <v>0.14285714285714285</v>
      </c>
      <c r="M50" s="49">
        <f>AVERAGE('31.07 Koboko-Arua'!M50,'01.08 Koboko-Arua'!M50,'04.08 Koboko-Arua'!M50,'05.08 Koboko-Arua'!M50,'02.08 Koboko-Arua-24h'!M50,'03.08 Koboko-Arua-24h'!M50,'06.08 Koboko-Arua'!M50)</f>
        <v>36.142857142857146</v>
      </c>
      <c r="N50" s="49">
        <f>AVERAGE('31.07 Koboko-Arua'!N50,'01.08 Koboko-Arua'!N50,'04.08 Koboko-Arua'!N50,'05.08 Koboko-Arua'!N50,'02.08 Koboko-Arua-24h'!N50,'03.08 Koboko-Arua-24h'!N50,'06.08 Koboko-Arua'!N50)</f>
        <v>0</v>
      </c>
      <c r="O50" s="15">
        <f t="shared" si="0"/>
        <v>22.857142857142854</v>
      </c>
      <c r="P50" s="15">
        <f t="shared" si="1"/>
        <v>59</v>
      </c>
      <c r="R50" s="8"/>
      <c r="T50"/>
    </row>
    <row r="51" spans="2:20" ht="23.1" customHeight="1" x14ac:dyDescent="0.25">
      <c r="B51" s="24" t="s">
        <v>78</v>
      </c>
      <c r="C51" s="49">
        <f>AVERAGE('31.07 Koboko-Arua'!C51,'01.08 Koboko-Arua'!C51,'04.08 Koboko-Arua'!C51,'05.08 Koboko-Arua'!C51,'02.08 Koboko-Arua-24h'!C51,'03.08 Koboko-Arua-24h'!C51,'06.08 Koboko-Arua'!C51)</f>
        <v>9.1428571428571423</v>
      </c>
      <c r="D51" s="49">
        <f>AVERAGE('31.07 Koboko-Arua'!D51,'01.08 Koboko-Arua'!D51,'04.08 Koboko-Arua'!D51,'05.08 Koboko-Arua'!D51,'02.08 Koboko-Arua-24h'!D51,'03.08 Koboko-Arua-24h'!D51,'06.08 Koboko-Arua'!D51)</f>
        <v>2.4285714285714284</v>
      </c>
      <c r="E51" s="49">
        <f>AVERAGE('31.07 Koboko-Arua'!E51,'01.08 Koboko-Arua'!E51,'04.08 Koboko-Arua'!E51,'05.08 Koboko-Arua'!E51,'02.08 Koboko-Arua-24h'!E51,'03.08 Koboko-Arua-24h'!E51,'06.08 Koboko-Arua'!E51)</f>
        <v>3.8571428571428572</v>
      </c>
      <c r="F51" s="49">
        <f>AVERAGE('31.07 Koboko-Arua'!F51,'01.08 Koboko-Arua'!F51,'04.08 Koboko-Arua'!F51,'05.08 Koboko-Arua'!F51,'02.08 Koboko-Arua-24h'!F51,'03.08 Koboko-Arua-24h'!F51,'06.08 Koboko-Arua'!F51)</f>
        <v>0.8571428571428571</v>
      </c>
      <c r="G51" s="49">
        <f>AVERAGE('31.07 Koboko-Arua'!G51,'01.08 Koboko-Arua'!G51,'04.08 Koboko-Arua'!G51,'05.08 Koboko-Arua'!G51,'02.08 Koboko-Arua-24h'!G51,'03.08 Koboko-Arua-24h'!G51,'06.08 Koboko-Arua'!G51)</f>
        <v>0.5714285714285714</v>
      </c>
      <c r="H51" s="49">
        <f>AVERAGE('31.07 Koboko-Arua'!H51,'01.08 Koboko-Arua'!H51,'04.08 Koboko-Arua'!H51,'05.08 Koboko-Arua'!H51,'02.08 Koboko-Arua-24h'!H51,'03.08 Koboko-Arua-24h'!H51,'06.08 Koboko-Arua'!H51)</f>
        <v>0.14285714285714285</v>
      </c>
      <c r="I51" s="49">
        <f>AVERAGE('31.07 Koboko-Arua'!I51,'01.08 Koboko-Arua'!I51,'04.08 Koboko-Arua'!I51,'05.08 Koboko-Arua'!I51,'02.08 Koboko-Arua-24h'!I51,'03.08 Koboko-Arua-24h'!I51,'06.08 Koboko-Arua'!I51)</f>
        <v>1.2857142857142858</v>
      </c>
      <c r="J51" s="49">
        <f>AVERAGE('31.07 Koboko-Arua'!J51,'01.08 Koboko-Arua'!J51,'04.08 Koboko-Arua'!J51,'05.08 Koboko-Arua'!J51,'02.08 Koboko-Arua-24h'!J51,'03.08 Koboko-Arua-24h'!J51,'06.08 Koboko-Arua'!J51)</f>
        <v>0.42857142857142855</v>
      </c>
      <c r="K51" s="49">
        <f>AVERAGE('31.07 Koboko-Arua'!K51,'01.08 Koboko-Arua'!K51,'04.08 Koboko-Arua'!K51,'05.08 Koboko-Arua'!K51,'02.08 Koboko-Arua-24h'!K51,'03.08 Koboko-Arua-24h'!K51,'06.08 Koboko-Arua'!K51)</f>
        <v>0.2857142857142857</v>
      </c>
      <c r="L51" s="49">
        <f>AVERAGE('31.07 Koboko-Arua'!L51,'01.08 Koboko-Arua'!L51,'04.08 Koboko-Arua'!L51,'05.08 Koboko-Arua'!L51,'02.08 Koboko-Arua-24h'!L51,'03.08 Koboko-Arua-24h'!L51,'06.08 Koboko-Arua'!L51)</f>
        <v>1</v>
      </c>
      <c r="M51" s="49">
        <f>AVERAGE('31.07 Koboko-Arua'!M51,'01.08 Koboko-Arua'!M51,'04.08 Koboko-Arua'!M51,'05.08 Koboko-Arua'!M51,'02.08 Koboko-Arua-24h'!M51,'03.08 Koboko-Arua-24h'!M51,'06.08 Koboko-Arua'!M51)</f>
        <v>38.571428571428569</v>
      </c>
      <c r="N51" s="49">
        <f>AVERAGE('31.07 Koboko-Arua'!N51,'01.08 Koboko-Arua'!N51,'04.08 Koboko-Arua'!N51,'05.08 Koboko-Arua'!N51,'02.08 Koboko-Arua-24h'!N51,'03.08 Koboko-Arua-24h'!N51,'06.08 Koboko-Arua'!N51)</f>
        <v>0</v>
      </c>
      <c r="O51" s="15">
        <f t="shared" si="0"/>
        <v>19.999999999999996</v>
      </c>
      <c r="P51" s="15">
        <f t="shared" si="1"/>
        <v>58.571428571428569</v>
      </c>
      <c r="R51" s="8"/>
      <c r="T51"/>
    </row>
    <row r="52" spans="2:20" ht="23.1" customHeight="1" x14ac:dyDescent="0.25">
      <c r="B52" s="24" t="s">
        <v>79</v>
      </c>
      <c r="C52" s="49">
        <f>AVERAGE('31.07 Koboko-Arua'!C52,'01.08 Koboko-Arua'!C52,'04.08 Koboko-Arua'!C52,'05.08 Koboko-Arua'!C52,'02.08 Koboko-Arua-24h'!C52,'03.08 Koboko-Arua-24h'!C52,'06.08 Koboko-Arua'!C52)</f>
        <v>10.142857142857142</v>
      </c>
      <c r="D52" s="49">
        <f>AVERAGE('31.07 Koboko-Arua'!D52,'01.08 Koboko-Arua'!D52,'04.08 Koboko-Arua'!D52,'05.08 Koboko-Arua'!D52,'02.08 Koboko-Arua-24h'!D52,'03.08 Koboko-Arua-24h'!D52,'06.08 Koboko-Arua'!D52)</f>
        <v>2</v>
      </c>
      <c r="E52" s="49">
        <f>AVERAGE('31.07 Koboko-Arua'!E52,'01.08 Koboko-Arua'!E52,'04.08 Koboko-Arua'!E52,'05.08 Koboko-Arua'!E52,'02.08 Koboko-Arua-24h'!E52,'03.08 Koboko-Arua-24h'!E52,'06.08 Koboko-Arua'!E52)</f>
        <v>3.5714285714285716</v>
      </c>
      <c r="F52" s="49">
        <f>AVERAGE('31.07 Koboko-Arua'!F52,'01.08 Koboko-Arua'!F52,'04.08 Koboko-Arua'!F52,'05.08 Koboko-Arua'!F52,'02.08 Koboko-Arua-24h'!F52,'03.08 Koboko-Arua-24h'!F52,'06.08 Koboko-Arua'!F52)</f>
        <v>4.2857142857142856</v>
      </c>
      <c r="G52" s="49">
        <f>AVERAGE('31.07 Koboko-Arua'!G52,'01.08 Koboko-Arua'!G52,'04.08 Koboko-Arua'!G52,'05.08 Koboko-Arua'!G52,'02.08 Koboko-Arua-24h'!G52,'03.08 Koboko-Arua-24h'!G52,'06.08 Koboko-Arua'!G52)</f>
        <v>0.42857142857142855</v>
      </c>
      <c r="H52" s="49">
        <f>AVERAGE('31.07 Koboko-Arua'!H52,'01.08 Koboko-Arua'!H52,'04.08 Koboko-Arua'!H52,'05.08 Koboko-Arua'!H52,'02.08 Koboko-Arua-24h'!H52,'03.08 Koboko-Arua-24h'!H52,'06.08 Koboko-Arua'!H52)</f>
        <v>0</v>
      </c>
      <c r="I52" s="49">
        <f>AVERAGE('31.07 Koboko-Arua'!I52,'01.08 Koboko-Arua'!I52,'04.08 Koboko-Arua'!I52,'05.08 Koboko-Arua'!I52,'02.08 Koboko-Arua-24h'!I52,'03.08 Koboko-Arua-24h'!I52,'06.08 Koboko-Arua'!I52)</f>
        <v>0.7142857142857143</v>
      </c>
      <c r="J52" s="49">
        <f>AVERAGE('31.07 Koboko-Arua'!J52,'01.08 Koboko-Arua'!J52,'04.08 Koboko-Arua'!J52,'05.08 Koboko-Arua'!J52,'02.08 Koboko-Arua-24h'!J52,'03.08 Koboko-Arua-24h'!J52,'06.08 Koboko-Arua'!J52)</f>
        <v>0.5714285714285714</v>
      </c>
      <c r="K52" s="49">
        <f>AVERAGE('31.07 Koboko-Arua'!K52,'01.08 Koboko-Arua'!K52,'04.08 Koboko-Arua'!K52,'05.08 Koboko-Arua'!K52,'02.08 Koboko-Arua-24h'!K52,'03.08 Koboko-Arua-24h'!K52,'06.08 Koboko-Arua'!K52)</f>
        <v>0</v>
      </c>
      <c r="L52" s="49">
        <f>AVERAGE('31.07 Koboko-Arua'!L52,'01.08 Koboko-Arua'!L52,'04.08 Koboko-Arua'!L52,'05.08 Koboko-Arua'!L52,'02.08 Koboko-Arua-24h'!L52,'03.08 Koboko-Arua-24h'!L52,'06.08 Koboko-Arua'!L52)</f>
        <v>0.2857142857142857</v>
      </c>
      <c r="M52" s="49">
        <f>AVERAGE('31.07 Koboko-Arua'!M52,'01.08 Koboko-Arua'!M52,'04.08 Koboko-Arua'!M52,'05.08 Koboko-Arua'!M52,'02.08 Koboko-Arua-24h'!M52,'03.08 Koboko-Arua-24h'!M52,'06.08 Koboko-Arua'!M52)</f>
        <v>43.142857142857146</v>
      </c>
      <c r="N52" s="49">
        <f>AVERAGE('31.07 Koboko-Arua'!N52,'01.08 Koboko-Arua'!N52,'04.08 Koboko-Arua'!N52,'05.08 Koboko-Arua'!N52,'02.08 Koboko-Arua-24h'!N52,'03.08 Koboko-Arua-24h'!N52,'06.08 Koboko-Arua'!N52)</f>
        <v>0.2857142857142857</v>
      </c>
      <c r="O52" s="15">
        <f t="shared" si="0"/>
        <v>22.285714285714285</v>
      </c>
      <c r="P52" s="15">
        <f t="shared" si="1"/>
        <v>65.428571428571431</v>
      </c>
      <c r="R52" s="8"/>
      <c r="T52"/>
    </row>
    <row r="53" spans="2:20" ht="23.1" customHeight="1" x14ac:dyDescent="0.25">
      <c r="B53" s="23" t="s">
        <v>80</v>
      </c>
      <c r="C53" s="49">
        <f>AVERAGE('31.07 Koboko-Arua'!C53,'01.08 Koboko-Arua'!C53,'04.08 Koboko-Arua'!C53,'05.08 Koboko-Arua'!C53,'02.08 Koboko-Arua-24h'!C53,'03.08 Koboko-Arua-24h'!C53,'06.08 Koboko-Arua'!C53)</f>
        <v>7.4285714285714288</v>
      </c>
      <c r="D53" s="49">
        <f>AVERAGE('31.07 Koboko-Arua'!D53,'01.08 Koboko-Arua'!D53,'04.08 Koboko-Arua'!D53,'05.08 Koboko-Arua'!D53,'02.08 Koboko-Arua-24h'!D53,'03.08 Koboko-Arua-24h'!D53,'06.08 Koboko-Arua'!D53)</f>
        <v>1.1428571428571428</v>
      </c>
      <c r="E53" s="49">
        <f>AVERAGE('31.07 Koboko-Arua'!E53,'01.08 Koboko-Arua'!E53,'04.08 Koboko-Arua'!E53,'05.08 Koboko-Arua'!E53,'02.08 Koboko-Arua-24h'!E53,'03.08 Koboko-Arua-24h'!E53,'06.08 Koboko-Arua'!E53)</f>
        <v>2</v>
      </c>
      <c r="F53" s="49">
        <f>AVERAGE('31.07 Koboko-Arua'!F53,'01.08 Koboko-Arua'!F53,'04.08 Koboko-Arua'!F53,'05.08 Koboko-Arua'!F53,'02.08 Koboko-Arua-24h'!F53,'03.08 Koboko-Arua-24h'!F53,'06.08 Koboko-Arua'!F53)</f>
        <v>2.1428571428571428</v>
      </c>
      <c r="G53" s="49">
        <f>AVERAGE('31.07 Koboko-Arua'!G53,'01.08 Koboko-Arua'!G53,'04.08 Koboko-Arua'!G53,'05.08 Koboko-Arua'!G53,'02.08 Koboko-Arua-24h'!G53,'03.08 Koboko-Arua-24h'!G53,'06.08 Koboko-Arua'!G53)</f>
        <v>0.5714285714285714</v>
      </c>
      <c r="H53" s="49">
        <f>AVERAGE('31.07 Koboko-Arua'!H53,'01.08 Koboko-Arua'!H53,'04.08 Koboko-Arua'!H53,'05.08 Koboko-Arua'!H53,'02.08 Koboko-Arua-24h'!H53,'03.08 Koboko-Arua-24h'!H53,'06.08 Koboko-Arua'!H53)</f>
        <v>0</v>
      </c>
      <c r="I53" s="49">
        <f>AVERAGE('31.07 Koboko-Arua'!I53,'01.08 Koboko-Arua'!I53,'04.08 Koboko-Arua'!I53,'05.08 Koboko-Arua'!I53,'02.08 Koboko-Arua-24h'!I53,'03.08 Koboko-Arua-24h'!I53,'06.08 Koboko-Arua'!I53)</f>
        <v>1.2857142857142858</v>
      </c>
      <c r="J53" s="49">
        <f>AVERAGE('31.07 Koboko-Arua'!J53,'01.08 Koboko-Arua'!J53,'04.08 Koboko-Arua'!J53,'05.08 Koboko-Arua'!J53,'02.08 Koboko-Arua-24h'!J53,'03.08 Koboko-Arua-24h'!J53,'06.08 Koboko-Arua'!J53)</f>
        <v>0.7142857142857143</v>
      </c>
      <c r="K53" s="49">
        <f>AVERAGE('31.07 Koboko-Arua'!K53,'01.08 Koboko-Arua'!K53,'04.08 Koboko-Arua'!K53,'05.08 Koboko-Arua'!K53,'02.08 Koboko-Arua-24h'!K53,'03.08 Koboko-Arua-24h'!K53,'06.08 Koboko-Arua'!K53)</f>
        <v>0.5714285714285714</v>
      </c>
      <c r="L53" s="49">
        <f>AVERAGE('31.07 Koboko-Arua'!L53,'01.08 Koboko-Arua'!L53,'04.08 Koboko-Arua'!L53,'05.08 Koboko-Arua'!L53,'02.08 Koboko-Arua-24h'!L53,'03.08 Koboko-Arua-24h'!L53,'06.08 Koboko-Arua'!L53)</f>
        <v>0.42857142857142855</v>
      </c>
      <c r="M53" s="49">
        <f>AVERAGE('31.07 Koboko-Arua'!M53,'01.08 Koboko-Arua'!M53,'04.08 Koboko-Arua'!M53,'05.08 Koboko-Arua'!M53,'02.08 Koboko-Arua-24h'!M53,'03.08 Koboko-Arua-24h'!M53,'06.08 Koboko-Arua'!M53)</f>
        <v>35</v>
      </c>
      <c r="N53" s="49">
        <f>AVERAGE('31.07 Koboko-Arua'!N53,'01.08 Koboko-Arua'!N53,'04.08 Koboko-Arua'!N53,'05.08 Koboko-Arua'!N53,'02.08 Koboko-Arua-24h'!N53,'03.08 Koboko-Arua-24h'!N53,'06.08 Koboko-Arua'!N53)</f>
        <v>0</v>
      </c>
      <c r="O53" s="15">
        <f t="shared" si="0"/>
        <v>16.285714285714285</v>
      </c>
      <c r="P53" s="15">
        <f t="shared" si="1"/>
        <v>51.285714285714285</v>
      </c>
      <c r="R53" s="8"/>
      <c r="T53"/>
    </row>
    <row r="54" spans="2:20" ht="23.1" customHeight="1" x14ac:dyDescent="0.25">
      <c r="B54" s="23" t="s">
        <v>81</v>
      </c>
      <c r="C54" s="49">
        <f>AVERAGE('31.07 Koboko-Arua'!C54,'01.08 Koboko-Arua'!C54,'04.08 Koboko-Arua'!C54,'05.08 Koboko-Arua'!C54,'02.08 Koboko-Arua-24h'!C54,'03.08 Koboko-Arua-24h'!C54,'06.08 Koboko-Arua'!C54)</f>
        <v>7.2857142857142856</v>
      </c>
      <c r="D54" s="49">
        <f>AVERAGE('31.07 Koboko-Arua'!D54,'01.08 Koboko-Arua'!D54,'04.08 Koboko-Arua'!D54,'05.08 Koboko-Arua'!D54,'02.08 Koboko-Arua-24h'!D54,'03.08 Koboko-Arua-24h'!D54,'06.08 Koboko-Arua'!D54)</f>
        <v>2.7142857142857144</v>
      </c>
      <c r="E54" s="49">
        <f>AVERAGE('31.07 Koboko-Arua'!E54,'01.08 Koboko-Arua'!E54,'04.08 Koboko-Arua'!E54,'05.08 Koboko-Arua'!E54,'02.08 Koboko-Arua-24h'!E54,'03.08 Koboko-Arua-24h'!E54,'06.08 Koboko-Arua'!E54)</f>
        <v>4.1428571428571432</v>
      </c>
      <c r="F54" s="49">
        <f>AVERAGE('31.07 Koboko-Arua'!F54,'01.08 Koboko-Arua'!F54,'04.08 Koboko-Arua'!F54,'05.08 Koboko-Arua'!F54,'02.08 Koboko-Arua-24h'!F54,'03.08 Koboko-Arua-24h'!F54,'06.08 Koboko-Arua'!F54)</f>
        <v>2.2857142857142856</v>
      </c>
      <c r="G54" s="49">
        <f>AVERAGE('31.07 Koboko-Arua'!G54,'01.08 Koboko-Arua'!G54,'04.08 Koboko-Arua'!G54,'05.08 Koboko-Arua'!G54,'02.08 Koboko-Arua-24h'!G54,'03.08 Koboko-Arua-24h'!G54,'06.08 Koboko-Arua'!G54)</f>
        <v>2.4285714285714284</v>
      </c>
      <c r="H54" s="49">
        <f>AVERAGE('31.07 Koboko-Arua'!H54,'01.08 Koboko-Arua'!H54,'04.08 Koboko-Arua'!H54,'05.08 Koboko-Arua'!H54,'02.08 Koboko-Arua-24h'!H54,'03.08 Koboko-Arua-24h'!H54,'06.08 Koboko-Arua'!H54)</f>
        <v>0</v>
      </c>
      <c r="I54" s="49">
        <f>AVERAGE('31.07 Koboko-Arua'!I54,'01.08 Koboko-Arua'!I54,'04.08 Koboko-Arua'!I54,'05.08 Koboko-Arua'!I54,'02.08 Koboko-Arua-24h'!I54,'03.08 Koboko-Arua-24h'!I54,'06.08 Koboko-Arua'!I54)</f>
        <v>1.8571428571428572</v>
      </c>
      <c r="J54" s="49">
        <f>AVERAGE('31.07 Koboko-Arua'!J54,'01.08 Koboko-Arua'!J54,'04.08 Koboko-Arua'!J54,'05.08 Koboko-Arua'!J54,'02.08 Koboko-Arua-24h'!J54,'03.08 Koboko-Arua-24h'!J54,'06.08 Koboko-Arua'!J54)</f>
        <v>0</v>
      </c>
      <c r="K54" s="49">
        <f>AVERAGE('31.07 Koboko-Arua'!K54,'01.08 Koboko-Arua'!K54,'04.08 Koboko-Arua'!K54,'05.08 Koboko-Arua'!K54,'02.08 Koboko-Arua-24h'!K54,'03.08 Koboko-Arua-24h'!K54,'06.08 Koboko-Arua'!K54)</f>
        <v>0.42857142857142855</v>
      </c>
      <c r="L54" s="49">
        <f>AVERAGE('31.07 Koboko-Arua'!L54,'01.08 Koboko-Arua'!L54,'04.08 Koboko-Arua'!L54,'05.08 Koboko-Arua'!L54,'02.08 Koboko-Arua-24h'!L54,'03.08 Koboko-Arua-24h'!L54,'06.08 Koboko-Arua'!L54)</f>
        <v>0.7142857142857143</v>
      </c>
      <c r="M54" s="49">
        <f>AVERAGE('31.07 Koboko-Arua'!M54,'01.08 Koboko-Arua'!M54,'04.08 Koboko-Arua'!M54,'05.08 Koboko-Arua'!M54,'02.08 Koboko-Arua-24h'!M54,'03.08 Koboko-Arua-24h'!M54,'06.08 Koboko-Arua'!M54)</f>
        <v>36.142857142857146</v>
      </c>
      <c r="N54" s="49">
        <f>AVERAGE('31.07 Koboko-Arua'!N54,'01.08 Koboko-Arua'!N54,'04.08 Koboko-Arua'!N54,'05.08 Koboko-Arua'!N54,'02.08 Koboko-Arua-24h'!N54,'03.08 Koboko-Arua-24h'!N54,'06.08 Koboko-Arua'!N54)</f>
        <v>0</v>
      </c>
      <c r="O54" s="15">
        <f t="shared" si="0"/>
        <v>21.857142857142854</v>
      </c>
      <c r="P54" s="15">
        <f t="shared" si="1"/>
        <v>58</v>
      </c>
      <c r="R54" s="8"/>
      <c r="T54"/>
    </row>
    <row r="55" spans="2:20" ht="23.1" customHeight="1" x14ac:dyDescent="0.25">
      <c r="B55" s="23" t="s">
        <v>82</v>
      </c>
      <c r="C55" s="49">
        <f>AVERAGE('31.07 Koboko-Arua'!C55,'01.08 Koboko-Arua'!C55,'04.08 Koboko-Arua'!C55,'05.08 Koboko-Arua'!C55,'02.08 Koboko-Arua-24h'!C55,'03.08 Koboko-Arua-24h'!C55,'06.08 Koboko-Arua'!C55)</f>
        <v>7.1428571428571432</v>
      </c>
      <c r="D55" s="49">
        <f>AVERAGE('31.07 Koboko-Arua'!D55,'01.08 Koboko-Arua'!D55,'04.08 Koboko-Arua'!D55,'05.08 Koboko-Arua'!D55,'02.08 Koboko-Arua-24h'!D55,'03.08 Koboko-Arua-24h'!D55,'06.08 Koboko-Arua'!D55)</f>
        <v>0.8571428571428571</v>
      </c>
      <c r="E55" s="49">
        <f>AVERAGE('31.07 Koboko-Arua'!E55,'01.08 Koboko-Arua'!E55,'04.08 Koboko-Arua'!E55,'05.08 Koboko-Arua'!E55,'02.08 Koboko-Arua-24h'!E55,'03.08 Koboko-Arua-24h'!E55,'06.08 Koboko-Arua'!E55)</f>
        <v>1.4285714285714286</v>
      </c>
      <c r="F55" s="49">
        <f>AVERAGE('31.07 Koboko-Arua'!F55,'01.08 Koboko-Arua'!F55,'04.08 Koboko-Arua'!F55,'05.08 Koboko-Arua'!F55,'02.08 Koboko-Arua-24h'!F55,'03.08 Koboko-Arua-24h'!F55,'06.08 Koboko-Arua'!F55)</f>
        <v>1.5714285714285714</v>
      </c>
      <c r="G55" s="49">
        <f>AVERAGE('31.07 Koboko-Arua'!G55,'01.08 Koboko-Arua'!G55,'04.08 Koboko-Arua'!G55,'05.08 Koboko-Arua'!G55,'02.08 Koboko-Arua-24h'!G55,'03.08 Koboko-Arua-24h'!G55,'06.08 Koboko-Arua'!G55)</f>
        <v>1.5714285714285714</v>
      </c>
      <c r="H55" s="49">
        <f>AVERAGE('31.07 Koboko-Arua'!H55,'01.08 Koboko-Arua'!H55,'04.08 Koboko-Arua'!H55,'05.08 Koboko-Arua'!H55,'02.08 Koboko-Arua-24h'!H55,'03.08 Koboko-Arua-24h'!H55,'06.08 Koboko-Arua'!H55)</f>
        <v>0.14285714285714285</v>
      </c>
      <c r="I55" s="49">
        <f>AVERAGE('31.07 Koboko-Arua'!I55,'01.08 Koboko-Arua'!I55,'04.08 Koboko-Arua'!I55,'05.08 Koboko-Arua'!I55,'02.08 Koboko-Arua-24h'!I55,'03.08 Koboko-Arua-24h'!I55,'06.08 Koboko-Arua'!I55)</f>
        <v>1.1428571428571428</v>
      </c>
      <c r="J55" s="49">
        <f>AVERAGE('31.07 Koboko-Arua'!J55,'01.08 Koboko-Arua'!J55,'04.08 Koboko-Arua'!J55,'05.08 Koboko-Arua'!J55,'02.08 Koboko-Arua-24h'!J55,'03.08 Koboko-Arua-24h'!J55,'06.08 Koboko-Arua'!J55)</f>
        <v>0.8571428571428571</v>
      </c>
      <c r="K55" s="49">
        <f>AVERAGE('31.07 Koboko-Arua'!K55,'01.08 Koboko-Arua'!K55,'04.08 Koboko-Arua'!K55,'05.08 Koboko-Arua'!K55,'02.08 Koboko-Arua-24h'!K55,'03.08 Koboko-Arua-24h'!K55,'06.08 Koboko-Arua'!K55)</f>
        <v>0.5714285714285714</v>
      </c>
      <c r="L55" s="49">
        <f>AVERAGE('31.07 Koboko-Arua'!L55,'01.08 Koboko-Arua'!L55,'04.08 Koboko-Arua'!L55,'05.08 Koboko-Arua'!L55,'02.08 Koboko-Arua-24h'!L55,'03.08 Koboko-Arua-24h'!L55,'06.08 Koboko-Arua'!L55)</f>
        <v>0.7142857142857143</v>
      </c>
      <c r="M55" s="49">
        <f>AVERAGE('31.07 Koboko-Arua'!M55,'01.08 Koboko-Arua'!M55,'04.08 Koboko-Arua'!M55,'05.08 Koboko-Arua'!M55,'02.08 Koboko-Arua-24h'!M55,'03.08 Koboko-Arua-24h'!M55,'06.08 Koboko-Arua'!M55)</f>
        <v>26.857142857142858</v>
      </c>
      <c r="N55" s="49">
        <f>AVERAGE('31.07 Koboko-Arua'!N55,'01.08 Koboko-Arua'!N55,'04.08 Koboko-Arua'!N55,'05.08 Koboko-Arua'!N55,'02.08 Koboko-Arua-24h'!N55,'03.08 Koboko-Arua-24h'!N55,'06.08 Koboko-Arua'!N55)</f>
        <v>0</v>
      </c>
      <c r="O55" s="15">
        <f t="shared" si="0"/>
        <v>15.999999999999998</v>
      </c>
      <c r="P55" s="15">
        <f t="shared" si="1"/>
        <v>42.857142857142854</v>
      </c>
      <c r="R55" s="8"/>
      <c r="T55"/>
    </row>
    <row r="56" spans="2:20" ht="23.1" customHeight="1" x14ac:dyDescent="0.25">
      <c r="B56" s="23" t="s">
        <v>83</v>
      </c>
      <c r="C56" s="49">
        <f>AVERAGE('31.07 Koboko-Arua'!C56,'01.08 Koboko-Arua'!C56,'04.08 Koboko-Arua'!C56,'05.08 Koboko-Arua'!C56,'02.08 Koboko-Arua-24h'!C56,'03.08 Koboko-Arua-24h'!C56,'06.08 Koboko-Arua'!C56)</f>
        <v>6.8571428571428568</v>
      </c>
      <c r="D56" s="49">
        <f>AVERAGE('31.07 Koboko-Arua'!D56,'01.08 Koboko-Arua'!D56,'04.08 Koboko-Arua'!D56,'05.08 Koboko-Arua'!D56,'02.08 Koboko-Arua-24h'!D56,'03.08 Koboko-Arua-24h'!D56,'06.08 Koboko-Arua'!D56)</f>
        <v>1.4285714285714286</v>
      </c>
      <c r="E56" s="49">
        <f>AVERAGE('31.07 Koboko-Arua'!E56,'01.08 Koboko-Arua'!E56,'04.08 Koboko-Arua'!E56,'05.08 Koboko-Arua'!E56,'02.08 Koboko-Arua-24h'!E56,'03.08 Koboko-Arua-24h'!E56,'06.08 Koboko-Arua'!E56)</f>
        <v>2.4285714285714284</v>
      </c>
      <c r="F56" s="49">
        <f>AVERAGE('31.07 Koboko-Arua'!F56,'01.08 Koboko-Arua'!F56,'04.08 Koboko-Arua'!F56,'05.08 Koboko-Arua'!F56,'02.08 Koboko-Arua-24h'!F56,'03.08 Koboko-Arua-24h'!F56,'06.08 Koboko-Arua'!F56)</f>
        <v>2.2857142857142856</v>
      </c>
      <c r="G56" s="49">
        <f>AVERAGE('31.07 Koboko-Arua'!G56,'01.08 Koboko-Arua'!G56,'04.08 Koboko-Arua'!G56,'05.08 Koboko-Arua'!G56,'02.08 Koboko-Arua-24h'!G56,'03.08 Koboko-Arua-24h'!G56,'06.08 Koboko-Arua'!G56)</f>
        <v>0.5714285714285714</v>
      </c>
      <c r="H56" s="49">
        <f>AVERAGE('31.07 Koboko-Arua'!H56,'01.08 Koboko-Arua'!H56,'04.08 Koboko-Arua'!H56,'05.08 Koboko-Arua'!H56,'02.08 Koboko-Arua-24h'!H56,'03.08 Koboko-Arua-24h'!H56,'06.08 Koboko-Arua'!H56)</f>
        <v>0.2857142857142857</v>
      </c>
      <c r="I56" s="49">
        <f>AVERAGE('31.07 Koboko-Arua'!I56,'01.08 Koboko-Arua'!I56,'04.08 Koboko-Arua'!I56,'05.08 Koboko-Arua'!I56,'02.08 Koboko-Arua-24h'!I56,'03.08 Koboko-Arua-24h'!I56,'06.08 Koboko-Arua'!I56)</f>
        <v>2</v>
      </c>
      <c r="J56" s="49">
        <f>AVERAGE('31.07 Koboko-Arua'!J56,'01.08 Koboko-Arua'!J56,'04.08 Koboko-Arua'!J56,'05.08 Koboko-Arua'!J56,'02.08 Koboko-Arua-24h'!J56,'03.08 Koboko-Arua-24h'!J56,'06.08 Koboko-Arua'!J56)</f>
        <v>0.42857142857142855</v>
      </c>
      <c r="K56" s="49">
        <f>AVERAGE('31.07 Koboko-Arua'!K56,'01.08 Koboko-Arua'!K56,'04.08 Koboko-Arua'!K56,'05.08 Koboko-Arua'!K56,'02.08 Koboko-Arua-24h'!K56,'03.08 Koboko-Arua-24h'!K56,'06.08 Koboko-Arua'!K56)</f>
        <v>0.42857142857142855</v>
      </c>
      <c r="L56" s="49">
        <f>AVERAGE('31.07 Koboko-Arua'!L56,'01.08 Koboko-Arua'!L56,'04.08 Koboko-Arua'!L56,'05.08 Koboko-Arua'!L56,'02.08 Koboko-Arua-24h'!L56,'03.08 Koboko-Arua-24h'!L56,'06.08 Koboko-Arua'!L56)</f>
        <v>0.42857142857142855</v>
      </c>
      <c r="M56" s="49">
        <f>AVERAGE('31.07 Koboko-Arua'!M56,'01.08 Koboko-Arua'!M56,'04.08 Koboko-Arua'!M56,'05.08 Koboko-Arua'!M56,'02.08 Koboko-Arua-24h'!M56,'03.08 Koboko-Arua-24h'!M56,'06.08 Koboko-Arua'!M56)</f>
        <v>19.428571428571427</v>
      </c>
      <c r="N56" s="49">
        <f>AVERAGE('31.07 Koboko-Arua'!N56,'01.08 Koboko-Arua'!N56,'04.08 Koboko-Arua'!N56,'05.08 Koboko-Arua'!N56,'02.08 Koboko-Arua-24h'!N56,'03.08 Koboko-Arua-24h'!N56,'06.08 Koboko-Arua'!N56)</f>
        <v>0</v>
      </c>
      <c r="O56" s="15">
        <f t="shared" si="0"/>
        <v>17.142857142857139</v>
      </c>
      <c r="P56" s="15">
        <f t="shared" si="1"/>
        <v>36.571428571428569</v>
      </c>
      <c r="R56" s="8"/>
      <c r="T56"/>
    </row>
    <row r="57" spans="2:20" ht="23.1" customHeight="1" x14ac:dyDescent="0.25">
      <c r="B57" s="23" t="s">
        <v>84</v>
      </c>
      <c r="C57" s="49">
        <f>AVERAGE('31.07 Koboko-Arua'!C57,'01.08 Koboko-Arua'!C57,'04.08 Koboko-Arua'!C57,'05.08 Koboko-Arua'!C57,'02.08 Koboko-Arua-24h'!C57,'03.08 Koboko-Arua-24h'!C57,'06.08 Koboko-Arua'!C57)</f>
        <v>4.7142857142857144</v>
      </c>
      <c r="D57" s="49">
        <f>AVERAGE('31.07 Koboko-Arua'!D57,'01.08 Koboko-Arua'!D57,'04.08 Koboko-Arua'!D57,'05.08 Koboko-Arua'!D57,'02.08 Koboko-Arua-24h'!D57,'03.08 Koboko-Arua-24h'!D57,'06.08 Koboko-Arua'!D57)</f>
        <v>1.5714285714285714</v>
      </c>
      <c r="E57" s="49">
        <f>AVERAGE('31.07 Koboko-Arua'!E57,'01.08 Koboko-Arua'!E57,'04.08 Koboko-Arua'!E57,'05.08 Koboko-Arua'!E57,'02.08 Koboko-Arua-24h'!E57,'03.08 Koboko-Arua-24h'!E57,'06.08 Koboko-Arua'!E57)</f>
        <v>2.7142857142857144</v>
      </c>
      <c r="F57" s="49">
        <f>AVERAGE('31.07 Koboko-Arua'!F57,'01.08 Koboko-Arua'!F57,'04.08 Koboko-Arua'!F57,'05.08 Koboko-Arua'!F57,'02.08 Koboko-Arua-24h'!F57,'03.08 Koboko-Arua-24h'!F57,'06.08 Koboko-Arua'!F57)</f>
        <v>2.2857142857142856</v>
      </c>
      <c r="G57" s="49">
        <f>AVERAGE('31.07 Koboko-Arua'!G57,'01.08 Koboko-Arua'!G57,'04.08 Koboko-Arua'!G57,'05.08 Koboko-Arua'!G57,'02.08 Koboko-Arua-24h'!G57,'03.08 Koboko-Arua-24h'!G57,'06.08 Koboko-Arua'!G57)</f>
        <v>0.5714285714285714</v>
      </c>
      <c r="H57" s="49">
        <f>AVERAGE('31.07 Koboko-Arua'!H57,'01.08 Koboko-Arua'!H57,'04.08 Koboko-Arua'!H57,'05.08 Koboko-Arua'!H57,'02.08 Koboko-Arua-24h'!H57,'03.08 Koboko-Arua-24h'!H57,'06.08 Koboko-Arua'!H57)</f>
        <v>0.5714285714285714</v>
      </c>
      <c r="I57" s="49">
        <f>AVERAGE('31.07 Koboko-Arua'!I57,'01.08 Koboko-Arua'!I57,'04.08 Koboko-Arua'!I57,'05.08 Koboko-Arua'!I57,'02.08 Koboko-Arua-24h'!I57,'03.08 Koboko-Arua-24h'!I57,'06.08 Koboko-Arua'!I57)</f>
        <v>0.2857142857142857</v>
      </c>
      <c r="J57" s="49">
        <f>AVERAGE('31.07 Koboko-Arua'!J57,'01.08 Koboko-Arua'!J57,'04.08 Koboko-Arua'!J57,'05.08 Koboko-Arua'!J57,'02.08 Koboko-Arua-24h'!J57,'03.08 Koboko-Arua-24h'!J57,'06.08 Koboko-Arua'!J57)</f>
        <v>1.4285714285714286</v>
      </c>
      <c r="K57" s="49">
        <f>AVERAGE('31.07 Koboko-Arua'!K57,'01.08 Koboko-Arua'!K57,'04.08 Koboko-Arua'!K57,'05.08 Koboko-Arua'!K57,'02.08 Koboko-Arua-24h'!K57,'03.08 Koboko-Arua-24h'!K57,'06.08 Koboko-Arua'!K57)</f>
        <v>0.14285714285714285</v>
      </c>
      <c r="L57" s="49">
        <f>AVERAGE('31.07 Koboko-Arua'!L57,'01.08 Koboko-Arua'!L57,'04.08 Koboko-Arua'!L57,'05.08 Koboko-Arua'!L57,'02.08 Koboko-Arua-24h'!L57,'03.08 Koboko-Arua-24h'!L57,'06.08 Koboko-Arua'!L57)</f>
        <v>1.2857142857142858</v>
      </c>
      <c r="M57" s="49">
        <f>AVERAGE('31.07 Koboko-Arua'!M57,'01.08 Koboko-Arua'!M57,'04.08 Koboko-Arua'!M57,'05.08 Koboko-Arua'!M57,'02.08 Koboko-Arua-24h'!M57,'03.08 Koboko-Arua-24h'!M57,'06.08 Koboko-Arua'!M57)</f>
        <v>26.428571428571427</v>
      </c>
      <c r="N57" s="49">
        <f>AVERAGE('31.07 Koboko-Arua'!N57,'01.08 Koboko-Arua'!N57,'04.08 Koboko-Arua'!N57,'05.08 Koboko-Arua'!N57,'02.08 Koboko-Arua-24h'!N57,'03.08 Koboko-Arua-24h'!N57,'06.08 Koboko-Arua'!N57)</f>
        <v>0</v>
      </c>
      <c r="O57" s="15">
        <f t="shared" si="0"/>
        <v>15.571428571428571</v>
      </c>
      <c r="P57" s="15">
        <f t="shared" si="1"/>
        <v>42</v>
      </c>
      <c r="R57" s="8"/>
      <c r="T57"/>
    </row>
    <row r="58" spans="2:20" ht="23.1" customHeight="1" x14ac:dyDescent="0.25">
      <c r="B58" s="23" t="s">
        <v>99</v>
      </c>
      <c r="C58" s="49">
        <f>AVERAGE('02.08 Koboko-Arua-24h'!C58,'03.08 Koboko-Arua-24h'!C58)</f>
        <v>10.5</v>
      </c>
      <c r="D58" s="49">
        <f>AVERAGE('02.08 Koboko-Arua-24h'!D58,'03.08 Koboko-Arua-24h'!D58)</f>
        <v>3.5</v>
      </c>
      <c r="E58" s="49">
        <f>AVERAGE('02.08 Koboko-Arua-24h'!E58,'03.08 Koboko-Arua-24h'!E58)</f>
        <v>8</v>
      </c>
      <c r="F58" s="49">
        <f>AVERAGE('02.08 Koboko-Arua-24h'!F58,'03.08 Koboko-Arua-24h'!F58)</f>
        <v>7</v>
      </c>
      <c r="G58" s="49">
        <f>AVERAGE('02.08 Koboko-Arua-24h'!G58,'03.08 Koboko-Arua-24h'!G58)</f>
        <v>0</v>
      </c>
      <c r="H58" s="49">
        <f>AVERAGE('02.08 Koboko-Arua-24h'!H58,'03.08 Koboko-Arua-24h'!H58)</f>
        <v>0</v>
      </c>
      <c r="I58" s="49">
        <f>AVERAGE('02.08 Koboko-Arua-24h'!I58,'03.08 Koboko-Arua-24h'!I58)</f>
        <v>0.5</v>
      </c>
      <c r="J58" s="49">
        <f>AVERAGE('02.08 Koboko-Arua-24h'!J58,'03.08 Koboko-Arua-24h'!J58)</f>
        <v>1.5</v>
      </c>
      <c r="K58" s="49">
        <f>AVERAGE('02.08 Koboko-Arua-24h'!K58,'03.08 Koboko-Arua-24h'!K58)</f>
        <v>0</v>
      </c>
      <c r="L58" s="49">
        <f>AVERAGE('02.08 Koboko-Arua-24h'!L58,'03.08 Koboko-Arua-24h'!L58)</f>
        <v>0</v>
      </c>
      <c r="M58" s="49">
        <f>AVERAGE('02.08 Koboko-Arua-24h'!M58,'03.08 Koboko-Arua-24h'!M58)</f>
        <v>37.5</v>
      </c>
      <c r="N58" s="49">
        <f>AVERAGE('02.08 Koboko-Arua-24h'!N58,'03.08 Koboko-Arua-24h'!N58)</f>
        <v>0</v>
      </c>
      <c r="O58" s="15">
        <f t="shared" si="0"/>
        <v>31</v>
      </c>
      <c r="P58" s="15">
        <f t="shared" si="1"/>
        <v>68.5</v>
      </c>
      <c r="R58" s="8"/>
      <c r="T58"/>
    </row>
    <row r="59" spans="2:20" ht="23.1" customHeight="1" x14ac:dyDescent="0.25">
      <c r="B59" s="23" t="s">
        <v>100</v>
      </c>
      <c r="C59" s="49">
        <f>AVERAGE('02.08 Koboko-Arua-24h'!C59,'03.08 Koboko-Arua-24h'!C59)</f>
        <v>12</v>
      </c>
      <c r="D59" s="49">
        <f>AVERAGE('02.08 Koboko-Arua-24h'!D59,'03.08 Koboko-Arua-24h'!D59)</f>
        <v>2</v>
      </c>
      <c r="E59" s="49">
        <f>AVERAGE('02.08 Koboko-Arua-24h'!E59,'03.08 Koboko-Arua-24h'!E59)</f>
        <v>3.5</v>
      </c>
      <c r="F59" s="49">
        <f>AVERAGE('02.08 Koboko-Arua-24h'!F59,'03.08 Koboko-Arua-24h'!F59)</f>
        <v>7.5</v>
      </c>
      <c r="G59" s="49">
        <f>AVERAGE('02.08 Koboko-Arua-24h'!G59,'03.08 Koboko-Arua-24h'!G59)</f>
        <v>7</v>
      </c>
      <c r="H59" s="49">
        <f>AVERAGE('02.08 Koboko-Arua-24h'!H59,'03.08 Koboko-Arua-24h'!H59)</f>
        <v>0.5</v>
      </c>
      <c r="I59" s="49">
        <f>AVERAGE('02.08 Koboko-Arua-24h'!I59,'03.08 Koboko-Arua-24h'!I59)</f>
        <v>4</v>
      </c>
      <c r="J59" s="49">
        <f>AVERAGE('02.08 Koboko-Arua-24h'!J59,'03.08 Koboko-Arua-24h'!J59)</f>
        <v>0.5</v>
      </c>
      <c r="K59" s="49">
        <f>AVERAGE('02.08 Koboko-Arua-24h'!K59,'03.08 Koboko-Arua-24h'!K59)</f>
        <v>0.5</v>
      </c>
      <c r="L59" s="49">
        <f>AVERAGE('02.08 Koboko-Arua-24h'!L59,'03.08 Koboko-Arua-24h'!L59)</f>
        <v>0.5</v>
      </c>
      <c r="M59" s="49">
        <f>AVERAGE('02.08 Koboko-Arua-24h'!M59,'03.08 Koboko-Arua-24h'!M59)</f>
        <v>55.5</v>
      </c>
      <c r="N59" s="49">
        <f>AVERAGE('02.08 Koboko-Arua-24h'!N59,'03.08 Koboko-Arua-24h'!N59)</f>
        <v>0</v>
      </c>
      <c r="O59" s="15">
        <f t="shared" si="0"/>
        <v>38</v>
      </c>
      <c r="P59" s="15">
        <f t="shared" si="1"/>
        <v>93.5</v>
      </c>
      <c r="R59" s="8"/>
      <c r="T59"/>
    </row>
    <row r="60" spans="2:20" ht="23.1" customHeight="1" x14ac:dyDescent="0.25">
      <c r="B60" s="23" t="s">
        <v>101</v>
      </c>
      <c r="C60" s="49">
        <f>AVERAGE('02.08 Koboko-Arua-24h'!C60,'03.08 Koboko-Arua-24h'!C60)</f>
        <v>7</v>
      </c>
      <c r="D60" s="49">
        <f>AVERAGE('02.08 Koboko-Arua-24h'!D60,'03.08 Koboko-Arua-24h'!D60)</f>
        <v>3</v>
      </c>
      <c r="E60" s="49">
        <f>AVERAGE('02.08 Koboko-Arua-24h'!E60,'03.08 Koboko-Arua-24h'!E60)</f>
        <v>6</v>
      </c>
      <c r="F60" s="49">
        <f>AVERAGE('02.08 Koboko-Arua-24h'!F60,'03.08 Koboko-Arua-24h'!F60)</f>
        <v>3.5</v>
      </c>
      <c r="G60" s="49">
        <f>AVERAGE('02.08 Koboko-Arua-24h'!G60,'03.08 Koboko-Arua-24h'!G60)</f>
        <v>3.5</v>
      </c>
      <c r="H60" s="49">
        <f>AVERAGE('02.08 Koboko-Arua-24h'!H60,'03.08 Koboko-Arua-24h'!H60)</f>
        <v>0.5</v>
      </c>
      <c r="I60" s="49">
        <f>AVERAGE('02.08 Koboko-Arua-24h'!I60,'03.08 Koboko-Arua-24h'!I60)</f>
        <v>1.5</v>
      </c>
      <c r="J60" s="49">
        <f>AVERAGE('02.08 Koboko-Arua-24h'!J60,'03.08 Koboko-Arua-24h'!J60)</f>
        <v>1.5</v>
      </c>
      <c r="K60" s="49">
        <f>AVERAGE('02.08 Koboko-Arua-24h'!K60,'03.08 Koboko-Arua-24h'!K60)</f>
        <v>0.5</v>
      </c>
      <c r="L60" s="49">
        <f>AVERAGE('02.08 Koboko-Arua-24h'!L60,'03.08 Koboko-Arua-24h'!L60)</f>
        <v>0.5</v>
      </c>
      <c r="M60" s="49">
        <f>AVERAGE('02.08 Koboko-Arua-24h'!M60,'03.08 Koboko-Arua-24h'!M60)</f>
        <v>46.5</v>
      </c>
      <c r="N60" s="49">
        <f>AVERAGE('02.08 Koboko-Arua-24h'!N60,'03.08 Koboko-Arua-24h'!N60)</f>
        <v>0</v>
      </c>
      <c r="O60" s="15">
        <f t="shared" si="0"/>
        <v>27.5</v>
      </c>
      <c r="P60" s="15">
        <f t="shared" si="1"/>
        <v>74</v>
      </c>
      <c r="R60" s="8"/>
      <c r="T60"/>
    </row>
    <row r="61" spans="2:20" ht="23.1" customHeight="1" x14ac:dyDescent="0.25">
      <c r="B61" s="23" t="s">
        <v>102</v>
      </c>
      <c r="C61" s="49">
        <f>AVERAGE('02.08 Koboko-Arua-24h'!C61,'03.08 Koboko-Arua-24h'!C61)</f>
        <v>8</v>
      </c>
      <c r="D61" s="49">
        <f>AVERAGE('02.08 Koboko-Arua-24h'!D61,'03.08 Koboko-Arua-24h'!D61)</f>
        <v>3.5</v>
      </c>
      <c r="E61" s="49">
        <f>AVERAGE('02.08 Koboko-Arua-24h'!E61,'03.08 Koboko-Arua-24h'!E61)</f>
        <v>7.5</v>
      </c>
      <c r="F61" s="49">
        <f>AVERAGE('02.08 Koboko-Arua-24h'!F61,'03.08 Koboko-Arua-24h'!F61)</f>
        <v>3</v>
      </c>
      <c r="G61" s="49">
        <f>AVERAGE('02.08 Koboko-Arua-24h'!G61,'03.08 Koboko-Arua-24h'!G61)</f>
        <v>1</v>
      </c>
      <c r="H61" s="49">
        <f>AVERAGE('02.08 Koboko-Arua-24h'!H61,'03.08 Koboko-Arua-24h'!H61)</f>
        <v>1</v>
      </c>
      <c r="I61" s="49">
        <f>AVERAGE('02.08 Koboko-Arua-24h'!I61,'03.08 Koboko-Arua-24h'!I61)</f>
        <v>2.5</v>
      </c>
      <c r="J61" s="49">
        <f>AVERAGE('02.08 Koboko-Arua-24h'!J61,'03.08 Koboko-Arua-24h'!J61)</f>
        <v>2</v>
      </c>
      <c r="K61" s="49">
        <f>AVERAGE('02.08 Koboko-Arua-24h'!K61,'03.08 Koboko-Arua-24h'!K61)</f>
        <v>1</v>
      </c>
      <c r="L61" s="49">
        <f>AVERAGE('02.08 Koboko-Arua-24h'!L61,'03.08 Koboko-Arua-24h'!L61)</f>
        <v>0.5</v>
      </c>
      <c r="M61" s="49">
        <f>AVERAGE('02.08 Koboko-Arua-24h'!M61,'03.08 Koboko-Arua-24h'!M61)</f>
        <v>54</v>
      </c>
      <c r="N61" s="49">
        <f>AVERAGE('02.08 Koboko-Arua-24h'!N61,'03.08 Koboko-Arua-24h'!N61)</f>
        <v>0.5</v>
      </c>
      <c r="O61" s="15">
        <f t="shared" si="0"/>
        <v>30.5</v>
      </c>
      <c r="P61" s="15">
        <f t="shared" si="1"/>
        <v>84.5</v>
      </c>
      <c r="R61" s="8"/>
      <c r="T61"/>
    </row>
    <row r="62" spans="2:20" ht="23.1" customHeight="1" x14ac:dyDescent="0.25">
      <c r="B62" s="23" t="s">
        <v>107</v>
      </c>
      <c r="C62" s="49">
        <f>AVERAGE('02.08 Koboko-Arua-24h'!C62,'03.08 Koboko-Arua-24h'!C62)</f>
        <v>7</v>
      </c>
      <c r="D62" s="49">
        <f>AVERAGE('02.08 Koboko-Arua-24h'!D62,'03.08 Koboko-Arua-24h'!D62)</f>
        <v>2</v>
      </c>
      <c r="E62" s="49">
        <f>AVERAGE('02.08 Koboko-Arua-24h'!E62,'03.08 Koboko-Arua-24h'!E62)</f>
        <v>5</v>
      </c>
      <c r="F62" s="49">
        <f>AVERAGE('02.08 Koboko-Arua-24h'!F62,'03.08 Koboko-Arua-24h'!F62)</f>
        <v>2.5</v>
      </c>
      <c r="G62" s="49">
        <f>AVERAGE('02.08 Koboko-Arua-24h'!G62,'03.08 Koboko-Arua-24h'!G62)</f>
        <v>1.5</v>
      </c>
      <c r="H62" s="49">
        <f>AVERAGE('02.08 Koboko-Arua-24h'!H62,'03.08 Koboko-Arua-24h'!H62)</f>
        <v>0.5</v>
      </c>
      <c r="I62" s="49">
        <f>AVERAGE('02.08 Koboko-Arua-24h'!I62,'03.08 Koboko-Arua-24h'!I62)</f>
        <v>2.5</v>
      </c>
      <c r="J62" s="49">
        <f>AVERAGE('02.08 Koboko-Arua-24h'!J62,'03.08 Koboko-Arua-24h'!J62)</f>
        <v>1.5</v>
      </c>
      <c r="K62" s="49">
        <f>AVERAGE('02.08 Koboko-Arua-24h'!K62,'03.08 Koboko-Arua-24h'!K62)</f>
        <v>1</v>
      </c>
      <c r="L62" s="49">
        <f>AVERAGE('02.08 Koboko-Arua-24h'!L62,'03.08 Koboko-Arua-24h'!L62)</f>
        <v>0.5</v>
      </c>
      <c r="M62" s="49">
        <f>AVERAGE('02.08 Koboko-Arua-24h'!M62,'03.08 Koboko-Arua-24h'!M62)</f>
        <v>59</v>
      </c>
      <c r="N62" s="49">
        <f>AVERAGE('02.08 Koboko-Arua-24h'!N62,'03.08 Koboko-Arua-24h'!N62)</f>
        <v>0</v>
      </c>
      <c r="O62" s="15">
        <f t="shared" si="0"/>
        <v>24</v>
      </c>
      <c r="P62" s="15">
        <f t="shared" si="1"/>
        <v>83</v>
      </c>
      <c r="R62" s="8"/>
      <c r="T62"/>
    </row>
    <row r="63" spans="2:20" ht="23.1" customHeight="1" x14ac:dyDescent="0.25">
      <c r="B63" s="23" t="s">
        <v>108</v>
      </c>
      <c r="C63" s="49">
        <f>AVERAGE('02.08 Koboko-Arua-24h'!C63,'03.08 Koboko-Arua-24h'!C63)</f>
        <v>7</v>
      </c>
      <c r="D63" s="49">
        <f>AVERAGE('02.08 Koboko-Arua-24h'!D63,'03.08 Koboko-Arua-24h'!D63)</f>
        <v>2</v>
      </c>
      <c r="E63" s="49">
        <f>AVERAGE('02.08 Koboko-Arua-24h'!E63,'03.08 Koboko-Arua-24h'!E63)</f>
        <v>6.5</v>
      </c>
      <c r="F63" s="49">
        <f>AVERAGE('02.08 Koboko-Arua-24h'!F63,'03.08 Koboko-Arua-24h'!F63)</f>
        <v>3</v>
      </c>
      <c r="G63" s="49">
        <f>AVERAGE('02.08 Koboko-Arua-24h'!G63,'03.08 Koboko-Arua-24h'!G63)</f>
        <v>4</v>
      </c>
      <c r="H63" s="49">
        <f>AVERAGE('02.08 Koboko-Arua-24h'!H63,'03.08 Koboko-Arua-24h'!H63)</f>
        <v>0.5</v>
      </c>
      <c r="I63" s="49">
        <f>AVERAGE('02.08 Koboko-Arua-24h'!I63,'03.08 Koboko-Arua-24h'!I63)</f>
        <v>0</v>
      </c>
      <c r="J63" s="49">
        <f>AVERAGE('02.08 Koboko-Arua-24h'!J63,'03.08 Koboko-Arua-24h'!J63)</f>
        <v>0.5</v>
      </c>
      <c r="K63" s="49">
        <f>AVERAGE('02.08 Koboko-Arua-24h'!K63,'03.08 Koboko-Arua-24h'!K63)</f>
        <v>1</v>
      </c>
      <c r="L63" s="49">
        <f>AVERAGE('02.08 Koboko-Arua-24h'!L63,'03.08 Koboko-Arua-24h'!L63)</f>
        <v>0.5</v>
      </c>
      <c r="M63" s="49">
        <f>AVERAGE('02.08 Koboko-Arua-24h'!M63,'03.08 Koboko-Arua-24h'!M63)</f>
        <v>51</v>
      </c>
      <c r="N63" s="49">
        <f>AVERAGE('02.08 Koboko-Arua-24h'!N63,'03.08 Koboko-Arua-24h'!N63)</f>
        <v>0</v>
      </c>
      <c r="O63" s="15">
        <f t="shared" si="0"/>
        <v>25</v>
      </c>
      <c r="P63" s="15">
        <f t="shared" si="1"/>
        <v>76</v>
      </c>
      <c r="R63" s="8"/>
      <c r="T63"/>
    </row>
    <row r="64" spans="2:20" ht="23.1" customHeight="1" x14ac:dyDescent="0.25">
      <c r="B64" s="23" t="s">
        <v>109</v>
      </c>
      <c r="C64" s="49">
        <f>AVERAGE('02.08 Koboko-Arua-24h'!C64,'03.08 Koboko-Arua-24h'!C64)</f>
        <v>6</v>
      </c>
      <c r="D64" s="49">
        <f>AVERAGE('02.08 Koboko-Arua-24h'!D64,'03.08 Koboko-Arua-24h'!D64)</f>
        <v>1.5</v>
      </c>
      <c r="E64" s="49">
        <f>AVERAGE('02.08 Koboko-Arua-24h'!E64,'03.08 Koboko-Arua-24h'!E64)</f>
        <v>4</v>
      </c>
      <c r="F64" s="49">
        <f>AVERAGE('02.08 Koboko-Arua-24h'!F64,'03.08 Koboko-Arua-24h'!F64)</f>
        <v>4</v>
      </c>
      <c r="G64" s="49">
        <f>AVERAGE('02.08 Koboko-Arua-24h'!G64,'03.08 Koboko-Arua-24h'!G64)</f>
        <v>0</v>
      </c>
      <c r="H64" s="49">
        <f>AVERAGE('02.08 Koboko-Arua-24h'!H64,'03.08 Koboko-Arua-24h'!H64)</f>
        <v>0.5</v>
      </c>
      <c r="I64" s="49">
        <f>AVERAGE('02.08 Koboko-Arua-24h'!I64,'03.08 Koboko-Arua-24h'!I64)</f>
        <v>4</v>
      </c>
      <c r="J64" s="49">
        <f>AVERAGE('02.08 Koboko-Arua-24h'!J64,'03.08 Koboko-Arua-24h'!J64)</f>
        <v>0</v>
      </c>
      <c r="K64" s="49">
        <f>AVERAGE('02.08 Koboko-Arua-24h'!K64,'03.08 Koboko-Arua-24h'!K64)</f>
        <v>0</v>
      </c>
      <c r="L64" s="49">
        <f>AVERAGE('02.08 Koboko-Arua-24h'!L64,'03.08 Koboko-Arua-24h'!L64)</f>
        <v>0</v>
      </c>
      <c r="M64" s="49">
        <f>AVERAGE('02.08 Koboko-Arua-24h'!M64,'03.08 Koboko-Arua-24h'!M64)</f>
        <v>37</v>
      </c>
      <c r="N64" s="49">
        <f>AVERAGE('02.08 Koboko-Arua-24h'!N64,'03.08 Koboko-Arua-24h'!N64)</f>
        <v>0</v>
      </c>
      <c r="O64" s="15">
        <f t="shared" si="0"/>
        <v>20</v>
      </c>
      <c r="P64" s="15">
        <f t="shared" si="1"/>
        <v>57</v>
      </c>
      <c r="R64" s="8"/>
      <c r="T64"/>
    </row>
    <row r="65" spans="2:20" ht="23.1" customHeight="1" x14ac:dyDescent="0.25">
      <c r="B65" s="23" t="s">
        <v>158</v>
      </c>
      <c r="C65" s="49">
        <f>AVERAGE('02.08 Koboko-Arua-24h'!C65,'03.08 Koboko-Arua-24h'!C65)</f>
        <v>5.5</v>
      </c>
      <c r="D65" s="49">
        <f>AVERAGE('02.08 Koboko-Arua-24h'!D65,'03.08 Koboko-Arua-24h'!D65)</f>
        <v>1.5</v>
      </c>
      <c r="E65" s="49">
        <f>AVERAGE('02.08 Koboko-Arua-24h'!E65,'03.08 Koboko-Arua-24h'!E65)</f>
        <v>4.5</v>
      </c>
      <c r="F65" s="49">
        <f>AVERAGE('02.08 Koboko-Arua-24h'!F65,'03.08 Koboko-Arua-24h'!F65)</f>
        <v>2</v>
      </c>
      <c r="G65" s="49">
        <f>AVERAGE('02.08 Koboko-Arua-24h'!G65,'03.08 Koboko-Arua-24h'!G65)</f>
        <v>0</v>
      </c>
      <c r="H65" s="49">
        <f>AVERAGE('02.08 Koboko-Arua-24h'!H65,'03.08 Koboko-Arua-24h'!H65)</f>
        <v>1.5</v>
      </c>
      <c r="I65" s="49">
        <f>AVERAGE('02.08 Koboko-Arua-24h'!I65,'03.08 Koboko-Arua-24h'!I65)</f>
        <v>2</v>
      </c>
      <c r="J65" s="49">
        <f>AVERAGE('02.08 Koboko-Arua-24h'!J65,'03.08 Koboko-Arua-24h'!J65)</f>
        <v>0.5</v>
      </c>
      <c r="K65" s="49">
        <f>AVERAGE('02.08 Koboko-Arua-24h'!K65,'03.08 Koboko-Arua-24h'!K65)</f>
        <v>0</v>
      </c>
      <c r="L65" s="49">
        <f>AVERAGE('02.08 Koboko-Arua-24h'!L65,'03.08 Koboko-Arua-24h'!L65)</f>
        <v>0</v>
      </c>
      <c r="M65" s="49">
        <f>AVERAGE('02.08 Koboko-Arua-24h'!M65,'03.08 Koboko-Arua-24h'!M65)</f>
        <v>32.5</v>
      </c>
      <c r="N65" s="49">
        <f>AVERAGE('02.08 Koboko-Arua-24h'!N65,'03.08 Koboko-Arua-24h'!N65)</f>
        <v>0</v>
      </c>
      <c r="O65" s="15">
        <f t="shared" si="0"/>
        <v>17.5</v>
      </c>
      <c r="P65" s="15">
        <f t="shared" si="1"/>
        <v>50</v>
      </c>
      <c r="R65" s="8"/>
      <c r="T65"/>
    </row>
    <row r="66" spans="2:20" ht="23.1" customHeight="1" x14ac:dyDescent="0.25">
      <c r="B66" s="23" t="s">
        <v>103</v>
      </c>
      <c r="C66" s="49">
        <f>AVERAGE('02.08 Koboko-Arua-24h'!C66,'03.08 Koboko-Arua-24h'!C66)</f>
        <v>7.5</v>
      </c>
      <c r="D66" s="49">
        <f>AVERAGE('02.08 Koboko-Arua-24h'!D66,'03.08 Koboko-Arua-24h'!D66)</f>
        <v>0.5</v>
      </c>
      <c r="E66" s="49">
        <f>AVERAGE('02.08 Koboko-Arua-24h'!E66,'03.08 Koboko-Arua-24h'!E66)</f>
        <v>3.5</v>
      </c>
      <c r="F66" s="49">
        <f>AVERAGE('02.08 Koboko-Arua-24h'!F66,'03.08 Koboko-Arua-24h'!F66)</f>
        <v>4.5</v>
      </c>
      <c r="G66" s="49">
        <f>AVERAGE('02.08 Koboko-Arua-24h'!G66,'03.08 Koboko-Arua-24h'!G66)</f>
        <v>0.5</v>
      </c>
      <c r="H66" s="49">
        <f>AVERAGE('02.08 Koboko-Arua-24h'!H66,'03.08 Koboko-Arua-24h'!H66)</f>
        <v>1</v>
      </c>
      <c r="I66" s="49">
        <f>AVERAGE('02.08 Koboko-Arua-24h'!I66,'03.08 Koboko-Arua-24h'!I66)</f>
        <v>2.5</v>
      </c>
      <c r="J66" s="49">
        <f>AVERAGE('02.08 Koboko-Arua-24h'!J66,'03.08 Koboko-Arua-24h'!J66)</f>
        <v>2</v>
      </c>
      <c r="K66" s="49">
        <f>AVERAGE('02.08 Koboko-Arua-24h'!K66,'03.08 Koboko-Arua-24h'!K66)</f>
        <v>0</v>
      </c>
      <c r="L66" s="49">
        <f>AVERAGE('02.08 Koboko-Arua-24h'!L66,'03.08 Koboko-Arua-24h'!L66)</f>
        <v>0</v>
      </c>
      <c r="M66" s="49">
        <f>AVERAGE('02.08 Koboko-Arua-24h'!M66,'03.08 Koboko-Arua-24h'!M66)</f>
        <v>31.5</v>
      </c>
      <c r="N66" s="49">
        <f>AVERAGE('02.08 Koboko-Arua-24h'!N66,'03.08 Koboko-Arua-24h'!N66)</f>
        <v>0</v>
      </c>
      <c r="O66" s="15">
        <f t="shared" si="0"/>
        <v>22</v>
      </c>
      <c r="P66" s="15">
        <f t="shared" si="1"/>
        <v>53.5</v>
      </c>
      <c r="R66" s="8"/>
      <c r="T66"/>
    </row>
    <row r="67" spans="2:20" ht="23.1" customHeight="1" x14ac:dyDescent="0.25">
      <c r="B67" s="23" t="s">
        <v>104</v>
      </c>
      <c r="C67" s="49">
        <f>AVERAGE('02.08 Koboko-Arua-24h'!C67,'03.08 Koboko-Arua-24h'!C67)</f>
        <v>5</v>
      </c>
      <c r="D67" s="49">
        <f>AVERAGE('02.08 Koboko-Arua-24h'!D67,'03.08 Koboko-Arua-24h'!D67)</f>
        <v>1.5</v>
      </c>
      <c r="E67" s="49">
        <f>AVERAGE('02.08 Koboko-Arua-24h'!E67,'03.08 Koboko-Arua-24h'!E67)</f>
        <v>5.5</v>
      </c>
      <c r="F67" s="49">
        <f>AVERAGE('02.08 Koboko-Arua-24h'!F67,'03.08 Koboko-Arua-24h'!F67)</f>
        <v>5.5</v>
      </c>
      <c r="G67" s="49">
        <f>AVERAGE('02.08 Koboko-Arua-24h'!G67,'03.08 Koboko-Arua-24h'!G67)</f>
        <v>0</v>
      </c>
      <c r="H67" s="49">
        <f>AVERAGE('02.08 Koboko-Arua-24h'!H67,'03.08 Koboko-Arua-24h'!H67)</f>
        <v>0</v>
      </c>
      <c r="I67" s="49">
        <f>AVERAGE('02.08 Koboko-Arua-24h'!I67,'03.08 Koboko-Arua-24h'!I67)</f>
        <v>0</v>
      </c>
      <c r="J67" s="49">
        <f>AVERAGE('02.08 Koboko-Arua-24h'!J67,'03.08 Koboko-Arua-24h'!J67)</f>
        <v>0.5</v>
      </c>
      <c r="K67" s="49">
        <f>AVERAGE('02.08 Koboko-Arua-24h'!K67,'03.08 Koboko-Arua-24h'!K67)</f>
        <v>0</v>
      </c>
      <c r="L67" s="49">
        <f>AVERAGE('02.08 Koboko-Arua-24h'!L67,'03.08 Koboko-Arua-24h'!L67)</f>
        <v>0</v>
      </c>
      <c r="M67" s="49">
        <f>AVERAGE('02.08 Koboko-Arua-24h'!M67,'03.08 Koboko-Arua-24h'!M67)</f>
        <v>25.5</v>
      </c>
      <c r="N67" s="49">
        <f>AVERAGE('02.08 Koboko-Arua-24h'!N67,'03.08 Koboko-Arua-24h'!N67)</f>
        <v>0</v>
      </c>
      <c r="O67" s="15">
        <f t="shared" si="0"/>
        <v>18</v>
      </c>
      <c r="P67" s="15">
        <f t="shared" si="1"/>
        <v>43.5</v>
      </c>
      <c r="R67" s="8"/>
      <c r="T67"/>
    </row>
    <row r="68" spans="2:20" ht="23.1" customHeight="1" x14ac:dyDescent="0.25">
      <c r="B68" s="23" t="s">
        <v>105</v>
      </c>
      <c r="C68" s="49">
        <f>AVERAGE('02.08 Koboko-Arua-24h'!C68,'03.08 Koboko-Arua-24h'!C68)</f>
        <v>6</v>
      </c>
      <c r="D68" s="49">
        <f>AVERAGE('02.08 Koboko-Arua-24h'!D68,'03.08 Koboko-Arua-24h'!D68)</f>
        <v>1</v>
      </c>
      <c r="E68" s="49">
        <f>AVERAGE('02.08 Koboko-Arua-24h'!E68,'03.08 Koboko-Arua-24h'!E68)</f>
        <v>3</v>
      </c>
      <c r="F68" s="49">
        <f>AVERAGE('02.08 Koboko-Arua-24h'!F68,'03.08 Koboko-Arua-24h'!F68)</f>
        <v>2.5</v>
      </c>
      <c r="G68" s="49">
        <f>AVERAGE('02.08 Koboko-Arua-24h'!G68,'03.08 Koboko-Arua-24h'!G68)</f>
        <v>0</v>
      </c>
      <c r="H68" s="49">
        <f>AVERAGE('02.08 Koboko-Arua-24h'!H68,'03.08 Koboko-Arua-24h'!H68)</f>
        <v>0</v>
      </c>
      <c r="I68" s="49">
        <f>AVERAGE('02.08 Koboko-Arua-24h'!I68,'03.08 Koboko-Arua-24h'!I68)</f>
        <v>0</v>
      </c>
      <c r="J68" s="49">
        <f>AVERAGE('02.08 Koboko-Arua-24h'!J68,'03.08 Koboko-Arua-24h'!J68)</f>
        <v>0</v>
      </c>
      <c r="K68" s="49">
        <f>AVERAGE('02.08 Koboko-Arua-24h'!K68,'03.08 Koboko-Arua-24h'!K68)</f>
        <v>0</v>
      </c>
      <c r="L68" s="49">
        <f>AVERAGE('02.08 Koboko-Arua-24h'!L68,'03.08 Koboko-Arua-24h'!L68)</f>
        <v>0.5</v>
      </c>
      <c r="M68" s="49">
        <f>AVERAGE('02.08 Koboko-Arua-24h'!M68,'03.08 Koboko-Arua-24h'!M68)</f>
        <v>18.5</v>
      </c>
      <c r="N68" s="49">
        <f>AVERAGE('02.08 Koboko-Arua-24h'!N68,'03.08 Koboko-Arua-24h'!N68)</f>
        <v>0</v>
      </c>
      <c r="O68" s="15">
        <f t="shared" si="0"/>
        <v>13</v>
      </c>
      <c r="P68" s="15">
        <f t="shared" si="1"/>
        <v>31.5</v>
      </c>
      <c r="R68" s="8"/>
      <c r="T68"/>
    </row>
    <row r="69" spans="2:20" ht="23.1" customHeight="1" x14ac:dyDescent="0.25">
      <c r="B69" s="23" t="s">
        <v>106</v>
      </c>
      <c r="C69" s="49">
        <f>AVERAGE('02.08 Koboko-Arua-24h'!C69,'03.08 Koboko-Arua-24h'!C69)</f>
        <v>4</v>
      </c>
      <c r="D69" s="49">
        <f>AVERAGE('02.08 Koboko-Arua-24h'!D69,'03.08 Koboko-Arua-24h'!D69)</f>
        <v>0.5</v>
      </c>
      <c r="E69" s="49">
        <f>AVERAGE('02.08 Koboko-Arua-24h'!E69,'03.08 Koboko-Arua-24h'!E69)</f>
        <v>3.5</v>
      </c>
      <c r="F69" s="49">
        <f>AVERAGE('02.08 Koboko-Arua-24h'!F69,'03.08 Koboko-Arua-24h'!F69)</f>
        <v>6</v>
      </c>
      <c r="G69" s="49">
        <f>AVERAGE('02.08 Koboko-Arua-24h'!G69,'03.08 Koboko-Arua-24h'!G69)</f>
        <v>0</v>
      </c>
      <c r="H69" s="49">
        <f>AVERAGE('02.08 Koboko-Arua-24h'!H69,'03.08 Koboko-Arua-24h'!H69)</f>
        <v>0</v>
      </c>
      <c r="I69" s="49">
        <f>AVERAGE('02.08 Koboko-Arua-24h'!I69,'03.08 Koboko-Arua-24h'!I69)</f>
        <v>1</v>
      </c>
      <c r="J69" s="49">
        <f>AVERAGE('02.08 Koboko-Arua-24h'!J69,'03.08 Koboko-Arua-24h'!J69)</f>
        <v>0.5</v>
      </c>
      <c r="K69" s="49">
        <f>AVERAGE('02.08 Koboko-Arua-24h'!K69,'03.08 Koboko-Arua-24h'!K69)</f>
        <v>0</v>
      </c>
      <c r="L69" s="49">
        <f>AVERAGE('02.08 Koboko-Arua-24h'!L69,'03.08 Koboko-Arua-24h'!L69)</f>
        <v>0</v>
      </c>
      <c r="M69" s="49">
        <f>AVERAGE('02.08 Koboko-Arua-24h'!M69,'03.08 Koboko-Arua-24h'!M69)</f>
        <v>15.5</v>
      </c>
      <c r="N69" s="49">
        <f>AVERAGE('02.08 Koboko-Arua-24h'!N69,'03.08 Koboko-Arua-24h'!N69)</f>
        <v>0</v>
      </c>
      <c r="O69" s="15">
        <f t="shared" si="0"/>
        <v>15.5</v>
      </c>
      <c r="P69" s="15">
        <f t="shared" si="1"/>
        <v>31</v>
      </c>
      <c r="R69" s="8"/>
      <c r="T69"/>
    </row>
    <row r="70" spans="2:20" ht="23.1" customHeight="1" x14ac:dyDescent="0.25">
      <c r="B70" s="23" t="s">
        <v>110</v>
      </c>
      <c r="C70" s="49">
        <f>AVERAGE('02.08 Koboko-Arua-24h'!C70,'03.08 Koboko-Arua-24h'!C70)</f>
        <v>0.5</v>
      </c>
      <c r="D70" s="49">
        <f>AVERAGE('02.08 Koboko-Arua-24h'!D70,'03.08 Koboko-Arua-24h'!D70)</f>
        <v>0</v>
      </c>
      <c r="E70" s="49">
        <f>AVERAGE('02.08 Koboko-Arua-24h'!E70,'03.08 Koboko-Arua-24h'!E70)</f>
        <v>0</v>
      </c>
      <c r="F70" s="49">
        <f>AVERAGE('02.08 Koboko-Arua-24h'!F70,'03.08 Koboko-Arua-24h'!F70)</f>
        <v>2</v>
      </c>
      <c r="G70" s="49">
        <f>AVERAGE('02.08 Koboko-Arua-24h'!G70,'03.08 Koboko-Arua-24h'!G70)</f>
        <v>0</v>
      </c>
      <c r="H70" s="49">
        <f>AVERAGE('02.08 Koboko-Arua-24h'!H70,'03.08 Koboko-Arua-24h'!H70)</f>
        <v>0</v>
      </c>
      <c r="I70" s="49">
        <f>AVERAGE('02.08 Koboko-Arua-24h'!I70,'03.08 Koboko-Arua-24h'!I70)</f>
        <v>0</v>
      </c>
      <c r="J70" s="49">
        <f>AVERAGE('02.08 Koboko-Arua-24h'!J70,'03.08 Koboko-Arua-24h'!J70)</f>
        <v>0</v>
      </c>
      <c r="K70" s="49">
        <f>AVERAGE('02.08 Koboko-Arua-24h'!K70,'03.08 Koboko-Arua-24h'!K70)</f>
        <v>0.5</v>
      </c>
      <c r="L70" s="49">
        <f>AVERAGE('02.08 Koboko-Arua-24h'!L70,'03.08 Koboko-Arua-24h'!L70)</f>
        <v>0.5</v>
      </c>
      <c r="M70" s="49">
        <f>AVERAGE('02.08 Koboko-Arua-24h'!M70,'03.08 Koboko-Arua-24h'!M70)</f>
        <v>19</v>
      </c>
      <c r="N70" s="49">
        <f>AVERAGE('02.08 Koboko-Arua-24h'!N70,'03.08 Koboko-Arua-24h'!N70)</f>
        <v>0</v>
      </c>
      <c r="O70" s="15">
        <f t="shared" si="0"/>
        <v>3.5</v>
      </c>
      <c r="P70" s="15">
        <f t="shared" si="1"/>
        <v>22.5</v>
      </c>
      <c r="R70" s="8"/>
      <c r="T70"/>
    </row>
    <row r="71" spans="2:20" ht="23.1" customHeight="1" x14ac:dyDescent="0.25">
      <c r="B71" s="23" t="s">
        <v>111</v>
      </c>
      <c r="C71" s="49">
        <f>AVERAGE('02.08 Koboko-Arua-24h'!C71,'03.08 Koboko-Arua-24h'!C71)</f>
        <v>1.5</v>
      </c>
      <c r="D71" s="49">
        <f>AVERAGE('02.08 Koboko-Arua-24h'!D71,'03.08 Koboko-Arua-24h'!D71)</f>
        <v>0</v>
      </c>
      <c r="E71" s="49">
        <f>AVERAGE('02.08 Koboko-Arua-24h'!E71,'03.08 Koboko-Arua-24h'!E71)</f>
        <v>1</v>
      </c>
      <c r="F71" s="49">
        <f>AVERAGE('02.08 Koboko-Arua-24h'!F71,'03.08 Koboko-Arua-24h'!F71)</f>
        <v>1</v>
      </c>
      <c r="G71" s="49">
        <f>AVERAGE('02.08 Koboko-Arua-24h'!G71,'03.08 Koboko-Arua-24h'!G71)</f>
        <v>0</v>
      </c>
      <c r="H71" s="49">
        <f>AVERAGE('02.08 Koboko-Arua-24h'!H71,'03.08 Koboko-Arua-24h'!H71)</f>
        <v>0</v>
      </c>
      <c r="I71" s="49">
        <f>AVERAGE('02.08 Koboko-Arua-24h'!I71,'03.08 Koboko-Arua-24h'!I71)</f>
        <v>0.5</v>
      </c>
      <c r="J71" s="49">
        <f>AVERAGE('02.08 Koboko-Arua-24h'!J71,'03.08 Koboko-Arua-24h'!J71)</f>
        <v>0.5</v>
      </c>
      <c r="K71" s="49">
        <f>AVERAGE('02.08 Koboko-Arua-24h'!K71,'03.08 Koboko-Arua-24h'!K71)</f>
        <v>0.5</v>
      </c>
      <c r="L71" s="49">
        <f>AVERAGE('02.08 Koboko-Arua-24h'!L71,'03.08 Koboko-Arua-24h'!L71)</f>
        <v>0.5</v>
      </c>
      <c r="M71" s="49">
        <f>AVERAGE('02.08 Koboko-Arua-24h'!M71,'03.08 Koboko-Arua-24h'!M71)</f>
        <v>12.5</v>
      </c>
      <c r="N71" s="49">
        <f>AVERAGE('02.08 Koboko-Arua-24h'!N71,'03.08 Koboko-Arua-24h'!N71)</f>
        <v>0</v>
      </c>
      <c r="O71" s="15">
        <f t="shared" si="0"/>
        <v>5.5</v>
      </c>
      <c r="P71" s="15">
        <f t="shared" si="1"/>
        <v>18</v>
      </c>
      <c r="R71" s="8"/>
      <c r="T71"/>
    </row>
    <row r="72" spans="2:20" ht="23.1" customHeight="1" x14ac:dyDescent="0.25">
      <c r="B72" s="23" t="s">
        <v>112</v>
      </c>
      <c r="C72" s="49">
        <f>AVERAGE('02.08 Koboko-Arua-24h'!C72,'03.08 Koboko-Arua-24h'!C72)</f>
        <v>2</v>
      </c>
      <c r="D72" s="49">
        <f>AVERAGE('02.08 Koboko-Arua-24h'!D72,'03.08 Koboko-Arua-24h'!D72)</f>
        <v>0.5</v>
      </c>
      <c r="E72" s="49">
        <f>AVERAGE('02.08 Koboko-Arua-24h'!E72,'03.08 Koboko-Arua-24h'!E72)</f>
        <v>1.5</v>
      </c>
      <c r="F72" s="49">
        <f>AVERAGE('02.08 Koboko-Arua-24h'!F72,'03.08 Koboko-Arua-24h'!F72)</f>
        <v>1.5</v>
      </c>
      <c r="G72" s="49">
        <f>AVERAGE('02.08 Koboko-Arua-24h'!G72,'03.08 Koboko-Arua-24h'!G72)</f>
        <v>0</v>
      </c>
      <c r="H72" s="49">
        <f>AVERAGE('02.08 Koboko-Arua-24h'!H72,'03.08 Koboko-Arua-24h'!H72)</f>
        <v>0</v>
      </c>
      <c r="I72" s="49">
        <f>AVERAGE('02.08 Koboko-Arua-24h'!I72,'03.08 Koboko-Arua-24h'!I72)</f>
        <v>0</v>
      </c>
      <c r="J72" s="49">
        <f>AVERAGE('02.08 Koboko-Arua-24h'!J72,'03.08 Koboko-Arua-24h'!J72)</f>
        <v>0.5</v>
      </c>
      <c r="K72" s="49">
        <f>AVERAGE('02.08 Koboko-Arua-24h'!K72,'03.08 Koboko-Arua-24h'!K72)</f>
        <v>0</v>
      </c>
      <c r="L72" s="49">
        <f>AVERAGE('02.08 Koboko-Arua-24h'!L72,'03.08 Koboko-Arua-24h'!L72)</f>
        <v>0</v>
      </c>
      <c r="M72" s="49">
        <f>AVERAGE('02.08 Koboko-Arua-24h'!M72,'03.08 Koboko-Arua-24h'!M72)</f>
        <v>16</v>
      </c>
      <c r="N72" s="49">
        <f>AVERAGE('02.08 Koboko-Arua-24h'!N72,'03.08 Koboko-Arua-24h'!N72)</f>
        <v>0</v>
      </c>
      <c r="O72" s="15">
        <f t="shared" si="0"/>
        <v>6</v>
      </c>
      <c r="P72" s="15">
        <f t="shared" si="1"/>
        <v>22</v>
      </c>
      <c r="R72" s="8"/>
      <c r="T72"/>
    </row>
    <row r="73" spans="2:20" ht="23.1" customHeight="1" x14ac:dyDescent="0.25">
      <c r="B73" s="23" t="s">
        <v>113</v>
      </c>
      <c r="C73" s="49">
        <f>AVERAGE('02.08 Koboko-Arua-24h'!C73,'03.08 Koboko-Arua-24h'!C73)</f>
        <v>1.5</v>
      </c>
      <c r="D73" s="49">
        <f>AVERAGE('02.08 Koboko-Arua-24h'!D73,'03.08 Koboko-Arua-24h'!D73)</f>
        <v>0</v>
      </c>
      <c r="E73" s="49">
        <f>AVERAGE('02.08 Koboko-Arua-24h'!E73,'03.08 Koboko-Arua-24h'!E73)</f>
        <v>0</v>
      </c>
      <c r="F73" s="49">
        <f>AVERAGE('02.08 Koboko-Arua-24h'!F73,'03.08 Koboko-Arua-24h'!F73)</f>
        <v>1</v>
      </c>
      <c r="G73" s="49">
        <f>AVERAGE('02.08 Koboko-Arua-24h'!G73,'03.08 Koboko-Arua-24h'!G73)</f>
        <v>0</v>
      </c>
      <c r="H73" s="49">
        <f>AVERAGE('02.08 Koboko-Arua-24h'!H73,'03.08 Koboko-Arua-24h'!H73)</f>
        <v>0</v>
      </c>
      <c r="I73" s="49">
        <f>AVERAGE('02.08 Koboko-Arua-24h'!I73,'03.08 Koboko-Arua-24h'!I73)</f>
        <v>0.5</v>
      </c>
      <c r="J73" s="49">
        <f>AVERAGE('02.08 Koboko-Arua-24h'!J73,'03.08 Koboko-Arua-24h'!J73)</f>
        <v>0</v>
      </c>
      <c r="K73" s="49">
        <f>AVERAGE('02.08 Koboko-Arua-24h'!K73,'03.08 Koboko-Arua-24h'!K73)</f>
        <v>0</v>
      </c>
      <c r="L73" s="49">
        <f>AVERAGE('02.08 Koboko-Arua-24h'!L73,'03.08 Koboko-Arua-24h'!L73)</f>
        <v>0</v>
      </c>
      <c r="M73" s="49">
        <f>AVERAGE('02.08 Koboko-Arua-24h'!M73,'03.08 Koboko-Arua-24h'!M73)</f>
        <v>11</v>
      </c>
      <c r="N73" s="49">
        <f>AVERAGE('02.08 Koboko-Arua-24h'!N73,'03.08 Koboko-Arua-24h'!N73)</f>
        <v>0</v>
      </c>
      <c r="O73" s="15">
        <f t="shared" si="0"/>
        <v>3</v>
      </c>
      <c r="P73" s="15">
        <f t="shared" si="1"/>
        <v>14</v>
      </c>
      <c r="R73" s="8"/>
      <c r="T73"/>
    </row>
    <row r="74" spans="2:20" ht="23.1" customHeight="1" x14ac:dyDescent="0.25">
      <c r="B74" s="23" t="s">
        <v>114</v>
      </c>
      <c r="C74" s="49">
        <f>AVERAGE('02.08 Koboko-Arua-24h'!C74,'03.08 Koboko-Arua-24h'!C74)</f>
        <v>1</v>
      </c>
      <c r="D74" s="49">
        <f>AVERAGE('02.08 Koboko-Arua-24h'!D74,'03.08 Koboko-Arua-24h'!D74)</f>
        <v>0</v>
      </c>
      <c r="E74" s="49">
        <f>AVERAGE('02.08 Koboko-Arua-24h'!E74,'03.08 Koboko-Arua-24h'!E74)</f>
        <v>0</v>
      </c>
      <c r="F74" s="49">
        <f>AVERAGE('02.08 Koboko-Arua-24h'!F74,'03.08 Koboko-Arua-24h'!F74)</f>
        <v>1</v>
      </c>
      <c r="G74" s="49">
        <f>AVERAGE('02.08 Koboko-Arua-24h'!G74,'03.08 Koboko-Arua-24h'!G74)</f>
        <v>0</v>
      </c>
      <c r="H74" s="49">
        <f>AVERAGE('02.08 Koboko-Arua-24h'!H74,'03.08 Koboko-Arua-24h'!H74)</f>
        <v>0</v>
      </c>
      <c r="I74" s="49">
        <f>AVERAGE('02.08 Koboko-Arua-24h'!I74,'03.08 Koboko-Arua-24h'!I74)</f>
        <v>0</v>
      </c>
      <c r="J74" s="49">
        <f>AVERAGE('02.08 Koboko-Arua-24h'!J74,'03.08 Koboko-Arua-24h'!J74)</f>
        <v>0</v>
      </c>
      <c r="K74" s="49">
        <f>AVERAGE('02.08 Koboko-Arua-24h'!K74,'03.08 Koboko-Arua-24h'!K74)</f>
        <v>0</v>
      </c>
      <c r="L74" s="49">
        <f>AVERAGE('02.08 Koboko-Arua-24h'!L74,'03.08 Koboko-Arua-24h'!L74)</f>
        <v>0.5</v>
      </c>
      <c r="M74" s="49">
        <f>AVERAGE('02.08 Koboko-Arua-24h'!M74,'03.08 Koboko-Arua-24h'!M74)</f>
        <v>7</v>
      </c>
      <c r="N74" s="49">
        <f>AVERAGE('02.08 Koboko-Arua-24h'!N74,'03.08 Koboko-Arua-24h'!N74)</f>
        <v>0</v>
      </c>
      <c r="O74" s="15">
        <f t="shared" ref="O74:O105" si="35">SUM(C74:L74,N74)</f>
        <v>2.5</v>
      </c>
      <c r="P74" s="15">
        <f t="shared" ref="P74:P105" si="36">SUM(C74:N74)</f>
        <v>9.5</v>
      </c>
      <c r="R74" s="8"/>
      <c r="T74"/>
    </row>
    <row r="75" spans="2:20" ht="23.1" customHeight="1" x14ac:dyDescent="0.25">
      <c r="B75" s="23" t="s">
        <v>115</v>
      </c>
      <c r="C75" s="49">
        <f>AVERAGE('02.08 Koboko-Arua-24h'!C75,'03.08 Koboko-Arua-24h'!C75)</f>
        <v>1</v>
      </c>
      <c r="D75" s="49">
        <f>AVERAGE('02.08 Koboko-Arua-24h'!D75,'03.08 Koboko-Arua-24h'!D75)</f>
        <v>0</v>
      </c>
      <c r="E75" s="49">
        <f>AVERAGE('02.08 Koboko-Arua-24h'!E75,'03.08 Koboko-Arua-24h'!E75)</f>
        <v>0</v>
      </c>
      <c r="F75" s="49">
        <f>AVERAGE('02.08 Koboko-Arua-24h'!F75,'03.08 Koboko-Arua-24h'!F75)</f>
        <v>0</v>
      </c>
      <c r="G75" s="49">
        <f>AVERAGE('02.08 Koboko-Arua-24h'!G75,'03.08 Koboko-Arua-24h'!G75)</f>
        <v>0</v>
      </c>
      <c r="H75" s="49">
        <f>AVERAGE('02.08 Koboko-Arua-24h'!H75,'03.08 Koboko-Arua-24h'!H75)</f>
        <v>0</v>
      </c>
      <c r="I75" s="49">
        <f>AVERAGE('02.08 Koboko-Arua-24h'!I75,'03.08 Koboko-Arua-24h'!I75)</f>
        <v>0.5</v>
      </c>
      <c r="J75" s="49">
        <f>AVERAGE('02.08 Koboko-Arua-24h'!J75,'03.08 Koboko-Arua-24h'!J75)</f>
        <v>0</v>
      </c>
      <c r="K75" s="49">
        <f>AVERAGE('02.08 Koboko-Arua-24h'!K75,'03.08 Koboko-Arua-24h'!K75)</f>
        <v>0</v>
      </c>
      <c r="L75" s="49">
        <f>AVERAGE('02.08 Koboko-Arua-24h'!L75,'03.08 Koboko-Arua-24h'!L75)</f>
        <v>0</v>
      </c>
      <c r="M75" s="49">
        <f>AVERAGE('02.08 Koboko-Arua-24h'!M75,'03.08 Koboko-Arua-24h'!M75)</f>
        <v>6</v>
      </c>
      <c r="N75" s="49">
        <f>AVERAGE('02.08 Koboko-Arua-24h'!N75,'03.08 Koboko-Arua-24h'!N75)</f>
        <v>0</v>
      </c>
      <c r="O75" s="15">
        <f t="shared" si="35"/>
        <v>1.5</v>
      </c>
      <c r="P75" s="15">
        <f t="shared" si="36"/>
        <v>7.5</v>
      </c>
      <c r="R75" s="8"/>
      <c r="T75"/>
    </row>
    <row r="76" spans="2:20" ht="23.1" customHeight="1" x14ac:dyDescent="0.25">
      <c r="B76" s="23" t="s">
        <v>116</v>
      </c>
      <c r="C76" s="49">
        <f>AVERAGE('02.08 Koboko-Arua-24h'!C76,'03.08 Koboko-Arua-24h'!C76)</f>
        <v>1.5</v>
      </c>
      <c r="D76" s="49">
        <f>AVERAGE('02.08 Koboko-Arua-24h'!D76,'03.08 Koboko-Arua-24h'!D76)</f>
        <v>0</v>
      </c>
      <c r="E76" s="49">
        <f>AVERAGE('02.08 Koboko-Arua-24h'!E76,'03.08 Koboko-Arua-24h'!E76)</f>
        <v>0.5</v>
      </c>
      <c r="F76" s="49">
        <f>AVERAGE('02.08 Koboko-Arua-24h'!F76,'03.08 Koboko-Arua-24h'!F76)</f>
        <v>0.5</v>
      </c>
      <c r="G76" s="49">
        <f>AVERAGE('02.08 Koboko-Arua-24h'!G76,'03.08 Koboko-Arua-24h'!G76)</f>
        <v>0</v>
      </c>
      <c r="H76" s="49">
        <f>AVERAGE('02.08 Koboko-Arua-24h'!H76,'03.08 Koboko-Arua-24h'!H76)</f>
        <v>0</v>
      </c>
      <c r="I76" s="49">
        <f>AVERAGE('02.08 Koboko-Arua-24h'!I76,'03.08 Koboko-Arua-24h'!I76)</f>
        <v>0</v>
      </c>
      <c r="J76" s="49">
        <f>AVERAGE('02.08 Koboko-Arua-24h'!J76,'03.08 Koboko-Arua-24h'!J76)</f>
        <v>0</v>
      </c>
      <c r="K76" s="49">
        <f>AVERAGE('02.08 Koboko-Arua-24h'!K76,'03.08 Koboko-Arua-24h'!K76)</f>
        <v>0.5</v>
      </c>
      <c r="L76" s="49">
        <f>AVERAGE('02.08 Koboko-Arua-24h'!L76,'03.08 Koboko-Arua-24h'!L76)</f>
        <v>0</v>
      </c>
      <c r="M76" s="49">
        <f>AVERAGE('02.08 Koboko-Arua-24h'!M76,'03.08 Koboko-Arua-24h'!M76)</f>
        <v>3.5</v>
      </c>
      <c r="N76" s="49">
        <f>AVERAGE('02.08 Koboko-Arua-24h'!N76,'03.08 Koboko-Arua-24h'!N76)</f>
        <v>0</v>
      </c>
      <c r="O76" s="15">
        <f t="shared" si="35"/>
        <v>3</v>
      </c>
      <c r="P76" s="15">
        <f t="shared" si="36"/>
        <v>6.5</v>
      </c>
      <c r="R76" s="8"/>
      <c r="T76"/>
    </row>
    <row r="77" spans="2:20" ht="23.1" customHeight="1" x14ac:dyDescent="0.25">
      <c r="B77" s="23" t="s">
        <v>117</v>
      </c>
      <c r="C77" s="49">
        <f>AVERAGE('02.08 Koboko-Arua-24h'!C77,'03.08 Koboko-Arua-24h'!C77)</f>
        <v>0.5</v>
      </c>
      <c r="D77" s="49">
        <f>AVERAGE('02.08 Koboko-Arua-24h'!D77,'03.08 Koboko-Arua-24h'!D77)</f>
        <v>0</v>
      </c>
      <c r="E77" s="49">
        <f>AVERAGE('02.08 Koboko-Arua-24h'!E77,'03.08 Koboko-Arua-24h'!E77)</f>
        <v>0.5</v>
      </c>
      <c r="F77" s="49">
        <f>AVERAGE('02.08 Koboko-Arua-24h'!F77,'03.08 Koboko-Arua-24h'!F77)</f>
        <v>0.5</v>
      </c>
      <c r="G77" s="49">
        <f>AVERAGE('02.08 Koboko-Arua-24h'!G77,'03.08 Koboko-Arua-24h'!G77)</f>
        <v>0</v>
      </c>
      <c r="H77" s="49">
        <f>AVERAGE('02.08 Koboko-Arua-24h'!H77,'03.08 Koboko-Arua-24h'!H77)</f>
        <v>0</v>
      </c>
      <c r="I77" s="49">
        <f>AVERAGE('02.08 Koboko-Arua-24h'!I77,'03.08 Koboko-Arua-24h'!I77)</f>
        <v>0.5</v>
      </c>
      <c r="J77" s="49">
        <f>AVERAGE('02.08 Koboko-Arua-24h'!J77,'03.08 Koboko-Arua-24h'!J77)</f>
        <v>0</v>
      </c>
      <c r="K77" s="49">
        <f>AVERAGE('02.08 Koboko-Arua-24h'!K77,'03.08 Koboko-Arua-24h'!K77)</f>
        <v>1</v>
      </c>
      <c r="L77" s="49">
        <f>AVERAGE('02.08 Koboko-Arua-24h'!L77,'03.08 Koboko-Arua-24h'!L77)</f>
        <v>0</v>
      </c>
      <c r="M77" s="49">
        <f>AVERAGE('02.08 Koboko-Arua-24h'!M77,'03.08 Koboko-Arua-24h'!M77)</f>
        <v>5.5</v>
      </c>
      <c r="N77" s="49">
        <f>AVERAGE('02.08 Koboko-Arua-24h'!N77,'03.08 Koboko-Arua-24h'!N77)</f>
        <v>0</v>
      </c>
      <c r="O77" s="15">
        <f t="shared" si="35"/>
        <v>3</v>
      </c>
      <c r="P77" s="15">
        <f t="shared" si="36"/>
        <v>8.5</v>
      </c>
      <c r="R77" s="8"/>
      <c r="T77"/>
    </row>
    <row r="78" spans="2:20" ht="23.1" customHeight="1" x14ac:dyDescent="0.25">
      <c r="B78" s="24" t="s">
        <v>118</v>
      </c>
      <c r="C78" s="49">
        <f>AVERAGE('02.08 Koboko-Arua-24h'!C78,'03.08 Koboko-Arua-24h'!C78)</f>
        <v>0</v>
      </c>
      <c r="D78" s="49">
        <f>AVERAGE('02.08 Koboko-Arua-24h'!D78,'03.08 Koboko-Arua-24h'!D78)</f>
        <v>0</v>
      </c>
      <c r="E78" s="49">
        <f>AVERAGE('02.08 Koboko-Arua-24h'!E78,'03.08 Koboko-Arua-24h'!E78)</f>
        <v>0.5</v>
      </c>
      <c r="F78" s="49">
        <f>AVERAGE('02.08 Koboko-Arua-24h'!F78,'03.08 Koboko-Arua-24h'!F78)</f>
        <v>0.5</v>
      </c>
      <c r="G78" s="49">
        <f>AVERAGE('02.08 Koboko-Arua-24h'!G78,'03.08 Koboko-Arua-24h'!G78)</f>
        <v>0</v>
      </c>
      <c r="H78" s="49">
        <f>AVERAGE('02.08 Koboko-Arua-24h'!H78,'03.08 Koboko-Arua-24h'!H78)</f>
        <v>0</v>
      </c>
      <c r="I78" s="49">
        <f>AVERAGE('02.08 Koboko-Arua-24h'!I78,'03.08 Koboko-Arua-24h'!I78)</f>
        <v>0</v>
      </c>
      <c r="J78" s="49">
        <f>AVERAGE('02.08 Koboko-Arua-24h'!J78,'03.08 Koboko-Arua-24h'!J78)</f>
        <v>0</v>
      </c>
      <c r="K78" s="49">
        <f>AVERAGE('02.08 Koboko-Arua-24h'!K78,'03.08 Koboko-Arua-24h'!K78)</f>
        <v>0</v>
      </c>
      <c r="L78" s="49">
        <f>AVERAGE('02.08 Koboko-Arua-24h'!L78,'03.08 Koboko-Arua-24h'!L78)</f>
        <v>0</v>
      </c>
      <c r="M78" s="49">
        <f>AVERAGE('02.08 Koboko-Arua-24h'!M78,'03.08 Koboko-Arua-24h'!M78)</f>
        <v>4</v>
      </c>
      <c r="N78" s="49">
        <f>AVERAGE('02.08 Koboko-Arua-24h'!N78,'03.08 Koboko-Arua-24h'!N78)</f>
        <v>0</v>
      </c>
      <c r="O78" s="15">
        <f t="shared" si="35"/>
        <v>1</v>
      </c>
      <c r="P78" s="15">
        <f t="shared" si="36"/>
        <v>5</v>
      </c>
      <c r="R78" s="8"/>
      <c r="T78"/>
    </row>
    <row r="79" spans="2:20" ht="23.1" customHeight="1" x14ac:dyDescent="0.25">
      <c r="B79" s="23" t="s">
        <v>119</v>
      </c>
      <c r="C79" s="49">
        <f>AVERAGE('02.08 Koboko-Arua-24h'!C79,'03.08 Koboko-Arua-24h'!C79)</f>
        <v>0</v>
      </c>
      <c r="D79" s="49">
        <f>AVERAGE('02.08 Koboko-Arua-24h'!D79,'03.08 Koboko-Arua-24h'!D79)</f>
        <v>0</v>
      </c>
      <c r="E79" s="49">
        <f>AVERAGE('02.08 Koboko-Arua-24h'!E79,'03.08 Koboko-Arua-24h'!E79)</f>
        <v>0</v>
      </c>
      <c r="F79" s="49">
        <f>AVERAGE('02.08 Koboko-Arua-24h'!F79,'03.08 Koboko-Arua-24h'!F79)</f>
        <v>0</v>
      </c>
      <c r="G79" s="49">
        <f>AVERAGE('02.08 Koboko-Arua-24h'!G79,'03.08 Koboko-Arua-24h'!G79)</f>
        <v>0</v>
      </c>
      <c r="H79" s="49">
        <f>AVERAGE('02.08 Koboko-Arua-24h'!H79,'03.08 Koboko-Arua-24h'!H79)</f>
        <v>0</v>
      </c>
      <c r="I79" s="49">
        <f>AVERAGE('02.08 Koboko-Arua-24h'!I79,'03.08 Koboko-Arua-24h'!I79)</f>
        <v>0</v>
      </c>
      <c r="J79" s="49">
        <f>AVERAGE('02.08 Koboko-Arua-24h'!J79,'03.08 Koboko-Arua-24h'!J79)</f>
        <v>0</v>
      </c>
      <c r="K79" s="49">
        <f>AVERAGE('02.08 Koboko-Arua-24h'!K79,'03.08 Koboko-Arua-24h'!K79)</f>
        <v>0</v>
      </c>
      <c r="L79" s="49">
        <f>AVERAGE('02.08 Koboko-Arua-24h'!L79,'03.08 Koboko-Arua-24h'!L79)</f>
        <v>0</v>
      </c>
      <c r="M79" s="49">
        <f>AVERAGE('02.08 Koboko-Arua-24h'!M79,'03.08 Koboko-Arua-24h'!M79)</f>
        <v>0</v>
      </c>
      <c r="N79" s="49">
        <f>AVERAGE('02.08 Koboko-Arua-24h'!N79,'03.08 Koboko-Arua-24h'!N79)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AVERAGE('02.08 Koboko-Arua-24h'!C80,'03.08 Koboko-Arua-24h'!C80)</f>
        <v>0</v>
      </c>
      <c r="D80" s="49">
        <f>AVERAGE('02.08 Koboko-Arua-24h'!D80,'03.08 Koboko-Arua-24h'!D80)</f>
        <v>0</v>
      </c>
      <c r="E80" s="49">
        <f>AVERAGE('02.08 Koboko-Arua-24h'!E80,'03.08 Koboko-Arua-24h'!E80)</f>
        <v>1</v>
      </c>
      <c r="F80" s="49">
        <f>AVERAGE('02.08 Koboko-Arua-24h'!F80,'03.08 Koboko-Arua-24h'!F80)</f>
        <v>0</v>
      </c>
      <c r="G80" s="49">
        <f>AVERAGE('02.08 Koboko-Arua-24h'!G80,'03.08 Koboko-Arua-24h'!G80)</f>
        <v>0</v>
      </c>
      <c r="H80" s="49">
        <f>AVERAGE('02.08 Koboko-Arua-24h'!H80,'03.08 Koboko-Arua-24h'!H80)</f>
        <v>0</v>
      </c>
      <c r="I80" s="49">
        <f>AVERAGE('02.08 Koboko-Arua-24h'!I80,'03.08 Koboko-Arua-24h'!I80)</f>
        <v>0</v>
      </c>
      <c r="J80" s="49">
        <f>AVERAGE('02.08 Koboko-Arua-24h'!J80,'03.08 Koboko-Arua-24h'!J80)</f>
        <v>0</v>
      </c>
      <c r="K80" s="49">
        <f>AVERAGE('02.08 Koboko-Arua-24h'!K80,'03.08 Koboko-Arua-24h'!K80)</f>
        <v>0</v>
      </c>
      <c r="L80" s="49">
        <f>AVERAGE('02.08 Koboko-Arua-24h'!L80,'03.08 Koboko-Arua-24h'!L80)</f>
        <v>0</v>
      </c>
      <c r="M80" s="49">
        <f>AVERAGE('02.08 Koboko-Arua-24h'!M80,'03.08 Koboko-Arua-24h'!M80)</f>
        <v>1.5</v>
      </c>
      <c r="N80" s="49">
        <f>AVERAGE('02.08 Koboko-Arua-24h'!N80,'03.08 Koboko-Arua-24h'!N80)</f>
        <v>0</v>
      </c>
      <c r="O80" s="15">
        <f t="shared" si="35"/>
        <v>1</v>
      </c>
      <c r="P80" s="15">
        <f t="shared" si="36"/>
        <v>2.5</v>
      </c>
      <c r="R80" s="8"/>
      <c r="T80"/>
    </row>
    <row r="81" spans="2:20" ht="23.1" customHeight="1" x14ac:dyDescent="0.25">
      <c r="B81" s="23" t="s">
        <v>121</v>
      </c>
      <c r="C81" s="49">
        <f>AVERAGE('02.08 Koboko-Arua-24h'!C81,'03.08 Koboko-Arua-24h'!C81)</f>
        <v>0</v>
      </c>
      <c r="D81" s="49">
        <f>AVERAGE('02.08 Koboko-Arua-24h'!D81,'03.08 Koboko-Arua-24h'!D81)</f>
        <v>0</v>
      </c>
      <c r="E81" s="49">
        <f>AVERAGE('02.08 Koboko-Arua-24h'!E81,'03.08 Koboko-Arua-24h'!E81)</f>
        <v>0.5</v>
      </c>
      <c r="F81" s="49">
        <f>AVERAGE('02.08 Koboko-Arua-24h'!F81,'03.08 Koboko-Arua-24h'!F81)</f>
        <v>0.5</v>
      </c>
      <c r="G81" s="49">
        <f>AVERAGE('02.08 Koboko-Arua-24h'!G81,'03.08 Koboko-Arua-24h'!G81)</f>
        <v>0</v>
      </c>
      <c r="H81" s="49">
        <f>AVERAGE('02.08 Koboko-Arua-24h'!H81,'03.08 Koboko-Arua-24h'!H81)</f>
        <v>0</v>
      </c>
      <c r="I81" s="49">
        <f>AVERAGE('02.08 Koboko-Arua-24h'!I81,'03.08 Koboko-Arua-24h'!I81)</f>
        <v>0</v>
      </c>
      <c r="J81" s="49">
        <f>AVERAGE('02.08 Koboko-Arua-24h'!J81,'03.08 Koboko-Arua-24h'!J81)</f>
        <v>0</v>
      </c>
      <c r="K81" s="49">
        <f>AVERAGE('02.08 Koboko-Arua-24h'!K81,'03.08 Koboko-Arua-24h'!K81)</f>
        <v>0</v>
      </c>
      <c r="L81" s="49">
        <f>AVERAGE('02.08 Koboko-Arua-24h'!L81,'03.08 Koboko-Arua-24h'!L81)</f>
        <v>0</v>
      </c>
      <c r="M81" s="49">
        <f>AVERAGE('02.08 Koboko-Arua-24h'!M81,'03.08 Koboko-Arua-24h'!M81)</f>
        <v>2.5</v>
      </c>
      <c r="N81" s="49">
        <f>AVERAGE('02.08 Koboko-Arua-24h'!N81,'03.08 Koboko-Arua-24h'!N81)</f>
        <v>0</v>
      </c>
      <c r="O81" s="15">
        <f t="shared" si="35"/>
        <v>1</v>
      </c>
      <c r="P81" s="15">
        <f t="shared" si="36"/>
        <v>3.5</v>
      </c>
      <c r="R81" s="8"/>
      <c r="T81"/>
    </row>
    <row r="82" spans="2:20" ht="23.1" customHeight="1" x14ac:dyDescent="0.25">
      <c r="B82" s="24" t="s">
        <v>122</v>
      </c>
      <c r="C82" s="49">
        <f>AVERAGE('02.08 Koboko-Arua-24h'!C82,'03.08 Koboko-Arua-24h'!C82)</f>
        <v>0</v>
      </c>
      <c r="D82" s="49">
        <f>AVERAGE('02.08 Koboko-Arua-24h'!D82,'03.08 Koboko-Arua-24h'!D82)</f>
        <v>0</v>
      </c>
      <c r="E82" s="49">
        <f>AVERAGE('02.08 Koboko-Arua-24h'!E82,'03.08 Koboko-Arua-24h'!E82)</f>
        <v>0</v>
      </c>
      <c r="F82" s="49">
        <f>AVERAGE('02.08 Koboko-Arua-24h'!F82,'03.08 Koboko-Arua-24h'!F82)</f>
        <v>0</v>
      </c>
      <c r="G82" s="49">
        <f>AVERAGE('02.08 Koboko-Arua-24h'!G82,'03.08 Koboko-Arua-24h'!G82)</f>
        <v>0</v>
      </c>
      <c r="H82" s="49">
        <f>AVERAGE('02.08 Koboko-Arua-24h'!H82,'03.08 Koboko-Arua-24h'!H82)</f>
        <v>0</v>
      </c>
      <c r="I82" s="49">
        <f>AVERAGE('02.08 Koboko-Arua-24h'!I82,'03.08 Koboko-Arua-24h'!I82)</f>
        <v>0.5</v>
      </c>
      <c r="J82" s="49">
        <f>AVERAGE('02.08 Koboko-Arua-24h'!J82,'03.08 Koboko-Arua-24h'!J82)</f>
        <v>0</v>
      </c>
      <c r="K82" s="49">
        <f>AVERAGE('02.08 Koboko-Arua-24h'!K82,'03.08 Koboko-Arua-24h'!K82)</f>
        <v>0</v>
      </c>
      <c r="L82" s="49">
        <f>AVERAGE('02.08 Koboko-Arua-24h'!L82,'03.08 Koboko-Arua-24h'!L82)</f>
        <v>0</v>
      </c>
      <c r="M82" s="49">
        <f>AVERAGE('02.08 Koboko-Arua-24h'!M82,'03.08 Koboko-Arua-24h'!M82)</f>
        <v>4.5</v>
      </c>
      <c r="N82" s="49">
        <f>AVERAGE('02.08 Koboko-Arua-24h'!N82,'03.08 Koboko-Arua-24h'!N82)</f>
        <v>0</v>
      </c>
      <c r="O82" s="15">
        <f t="shared" si="35"/>
        <v>0.5</v>
      </c>
      <c r="P82" s="15">
        <f t="shared" si="36"/>
        <v>5</v>
      </c>
      <c r="R82" s="8"/>
      <c r="T82"/>
    </row>
    <row r="83" spans="2:20" ht="23.1" customHeight="1" x14ac:dyDescent="0.25">
      <c r="B83" s="23" t="s">
        <v>123</v>
      </c>
      <c r="C83" s="49">
        <f>AVERAGE('02.08 Koboko-Arua-24h'!C83,'03.08 Koboko-Arua-24h'!C83)</f>
        <v>0</v>
      </c>
      <c r="D83" s="49">
        <f>AVERAGE('02.08 Koboko-Arua-24h'!D83,'03.08 Koboko-Arua-24h'!D83)</f>
        <v>0</v>
      </c>
      <c r="E83" s="49">
        <f>AVERAGE('02.08 Koboko-Arua-24h'!E83,'03.08 Koboko-Arua-24h'!E83)</f>
        <v>0</v>
      </c>
      <c r="F83" s="49">
        <f>AVERAGE('02.08 Koboko-Arua-24h'!F83,'03.08 Koboko-Arua-24h'!F83)</f>
        <v>0</v>
      </c>
      <c r="G83" s="49">
        <f>AVERAGE('02.08 Koboko-Arua-24h'!G83,'03.08 Koboko-Arua-24h'!G83)</f>
        <v>0</v>
      </c>
      <c r="H83" s="49">
        <f>AVERAGE('02.08 Koboko-Arua-24h'!H83,'03.08 Koboko-Arua-24h'!H83)</f>
        <v>0</v>
      </c>
      <c r="I83" s="49">
        <f>AVERAGE('02.08 Koboko-Arua-24h'!I83,'03.08 Koboko-Arua-24h'!I83)</f>
        <v>0</v>
      </c>
      <c r="J83" s="49">
        <f>AVERAGE('02.08 Koboko-Arua-24h'!J83,'03.08 Koboko-Arua-24h'!J83)</f>
        <v>0</v>
      </c>
      <c r="K83" s="49">
        <f>AVERAGE('02.08 Koboko-Arua-24h'!K83,'03.08 Koboko-Arua-24h'!K83)</f>
        <v>0</v>
      </c>
      <c r="L83" s="49">
        <f>AVERAGE('02.08 Koboko-Arua-24h'!L83,'03.08 Koboko-Arua-24h'!L83)</f>
        <v>0</v>
      </c>
      <c r="M83" s="49">
        <f>AVERAGE('02.08 Koboko-Arua-24h'!M83,'03.08 Koboko-Arua-24h'!M83)</f>
        <v>2</v>
      </c>
      <c r="N83" s="49">
        <f>AVERAGE('02.08 Koboko-Arua-24h'!N83,'03.08 Koboko-Arua-24h'!N83)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AVERAGE('02.08 Koboko-Arua-24h'!C84,'03.08 Koboko-Arua-24h'!C84)</f>
        <v>0.5</v>
      </c>
      <c r="D84" s="49">
        <f>AVERAGE('02.08 Koboko-Arua-24h'!D84,'03.08 Koboko-Arua-24h'!D84)</f>
        <v>0</v>
      </c>
      <c r="E84" s="49">
        <f>AVERAGE('02.08 Koboko-Arua-24h'!E84,'03.08 Koboko-Arua-24h'!E84)</f>
        <v>0.5</v>
      </c>
      <c r="F84" s="49">
        <f>AVERAGE('02.08 Koboko-Arua-24h'!F84,'03.08 Koboko-Arua-24h'!F84)</f>
        <v>0</v>
      </c>
      <c r="G84" s="49">
        <f>AVERAGE('02.08 Koboko-Arua-24h'!G84,'03.08 Koboko-Arua-24h'!G84)</f>
        <v>0</v>
      </c>
      <c r="H84" s="49">
        <f>AVERAGE('02.08 Koboko-Arua-24h'!H84,'03.08 Koboko-Arua-24h'!H84)</f>
        <v>0</v>
      </c>
      <c r="I84" s="49">
        <f>AVERAGE('02.08 Koboko-Arua-24h'!I84,'03.08 Koboko-Arua-24h'!I84)</f>
        <v>0</v>
      </c>
      <c r="J84" s="49">
        <f>AVERAGE('02.08 Koboko-Arua-24h'!J84,'03.08 Koboko-Arua-24h'!J84)</f>
        <v>0</v>
      </c>
      <c r="K84" s="49">
        <f>AVERAGE('02.08 Koboko-Arua-24h'!K84,'03.08 Koboko-Arua-24h'!K84)</f>
        <v>0</v>
      </c>
      <c r="L84" s="49">
        <f>AVERAGE('02.08 Koboko-Arua-24h'!L84,'03.08 Koboko-Arua-24h'!L84)</f>
        <v>0.5</v>
      </c>
      <c r="M84" s="49">
        <f>AVERAGE('02.08 Koboko-Arua-24h'!M84,'03.08 Koboko-Arua-24h'!M84)</f>
        <v>0.5</v>
      </c>
      <c r="N84" s="49">
        <f>AVERAGE('02.08 Koboko-Arua-24h'!N84,'03.08 Koboko-Arua-24h'!N84)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AVERAGE('02.08 Koboko-Arua-24h'!C85,'03.08 Koboko-Arua-24h'!C85)</f>
        <v>0.5</v>
      </c>
      <c r="D85" s="49">
        <f>AVERAGE('02.08 Koboko-Arua-24h'!D85,'03.08 Koboko-Arua-24h'!D85)</f>
        <v>0</v>
      </c>
      <c r="E85" s="49">
        <f>AVERAGE('02.08 Koboko-Arua-24h'!E85,'03.08 Koboko-Arua-24h'!E85)</f>
        <v>0</v>
      </c>
      <c r="F85" s="49">
        <f>AVERAGE('02.08 Koboko-Arua-24h'!F85,'03.08 Koboko-Arua-24h'!F85)</f>
        <v>0</v>
      </c>
      <c r="G85" s="49">
        <f>AVERAGE('02.08 Koboko-Arua-24h'!G85,'03.08 Koboko-Arua-24h'!G85)</f>
        <v>0</v>
      </c>
      <c r="H85" s="49">
        <f>AVERAGE('02.08 Koboko-Arua-24h'!H85,'03.08 Koboko-Arua-24h'!H85)</f>
        <v>0</v>
      </c>
      <c r="I85" s="49">
        <f>AVERAGE('02.08 Koboko-Arua-24h'!I85,'03.08 Koboko-Arua-24h'!I85)</f>
        <v>0</v>
      </c>
      <c r="J85" s="49">
        <f>AVERAGE('02.08 Koboko-Arua-24h'!J85,'03.08 Koboko-Arua-24h'!J85)</f>
        <v>0</v>
      </c>
      <c r="K85" s="49">
        <f>AVERAGE('02.08 Koboko-Arua-24h'!K85,'03.08 Koboko-Arua-24h'!K85)</f>
        <v>0</v>
      </c>
      <c r="L85" s="49">
        <f>AVERAGE('02.08 Koboko-Arua-24h'!L85,'03.08 Koboko-Arua-24h'!L85)</f>
        <v>0</v>
      </c>
      <c r="M85" s="49">
        <f>AVERAGE('02.08 Koboko-Arua-24h'!M85,'03.08 Koboko-Arua-24h'!M85)</f>
        <v>1</v>
      </c>
      <c r="N85" s="49">
        <f>AVERAGE('02.08 Koboko-Arua-24h'!N85,'03.08 Koboko-Arua-24h'!N85)</f>
        <v>0</v>
      </c>
      <c r="O85" s="15">
        <f t="shared" si="35"/>
        <v>0.5</v>
      </c>
      <c r="P85" s="15">
        <f t="shared" si="36"/>
        <v>1.5</v>
      </c>
      <c r="R85" s="8"/>
      <c r="T85"/>
    </row>
    <row r="86" spans="2:20" ht="23.1" customHeight="1" x14ac:dyDescent="0.25">
      <c r="B86" s="24" t="s">
        <v>126</v>
      </c>
      <c r="C86" s="49">
        <f>AVERAGE('02.08 Koboko-Arua-24h'!C86,'03.08 Koboko-Arua-24h'!C86)</f>
        <v>0</v>
      </c>
      <c r="D86" s="49">
        <f>AVERAGE('02.08 Koboko-Arua-24h'!D86,'03.08 Koboko-Arua-24h'!D86)</f>
        <v>0</v>
      </c>
      <c r="E86" s="49">
        <f>AVERAGE('02.08 Koboko-Arua-24h'!E86,'03.08 Koboko-Arua-24h'!E86)</f>
        <v>0</v>
      </c>
      <c r="F86" s="49">
        <f>AVERAGE('02.08 Koboko-Arua-24h'!F86,'03.08 Koboko-Arua-24h'!F86)</f>
        <v>1</v>
      </c>
      <c r="G86" s="49">
        <f>AVERAGE('02.08 Koboko-Arua-24h'!G86,'03.08 Koboko-Arua-24h'!G86)</f>
        <v>0</v>
      </c>
      <c r="H86" s="49">
        <f>AVERAGE('02.08 Koboko-Arua-24h'!H86,'03.08 Koboko-Arua-24h'!H86)</f>
        <v>0</v>
      </c>
      <c r="I86" s="49">
        <f>AVERAGE('02.08 Koboko-Arua-24h'!I86,'03.08 Koboko-Arua-24h'!I86)</f>
        <v>0</v>
      </c>
      <c r="J86" s="49">
        <f>AVERAGE('02.08 Koboko-Arua-24h'!J86,'03.08 Koboko-Arua-24h'!J86)</f>
        <v>0</v>
      </c>
      <c r="K86" s="49">
        <f>AVERAGE('02.08 Koboko-Arua-24h'!K86,'03.08 Koboko-Arua-24h'!K86)</f>
        <v>0</v>
      </c>
      <c r="L86" s="49">
        <f>AVERAGE('02.08 Koboko-Arua-24h'!L86,'03.08 Koboko-Arua-24h'!L86)</f>
        <v>0</v>
      </c>
      <c r="M86" s="49">
        <f>AVERAGE('02.08 Koboko-Arua-24h'!M86,'03.08 Koboko-Arua-24h'!M86)</f>
        <v>0.5</v>
      </c>
      <c r="N86" s="49">
        <f>AVERAGE('02.08 Koboko-Arua-24h'!N86,'03.08 Koboko-Arua-24h'!N86)</f>
        <v>0</v>
      </c>
      <c r="O86" s="15">
        <f t="shared" si="35"/>
        <v>1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AVERAGE('02.08 Koboko-Arua-24h'!C87,'03.08 Koboko-Arua-24h'!C87)</f>
        <v>0</v>
      </c>
      <c r="D87" s="49">
        <f>AVERAGE('02.08 Koboko-Arua-24h'!D87,'03.08 Koboko-Arua-24h'!D87)</f>
        <v>0</v>
      </c>
      <c r="E87" s="49">
        <f>AVERAGE('02.08 Koboko-Arua-24h'!E87,'03.08 Koboko-Arua-24h'!E87)</f>
        <v>0</v>
      </c>
      <c r="F87" s="49">
        <f>AVERAGE('02.08 Koboko-Arua-24h'!F87,'03.08 Koboko-Arua-24h'!F87)</f>
        <v>0</v>
      </c>
      <c r="G87" s="49">
        <f>AVERAGE('02.08 Koboko-Arua-24h'!G87,'03.08 Koboko-Arua-24h'!G87)</f>
        <v>0</v>
      </c>
      <c r="H87" s="49">
        <f>AVERAGE('02.08 Koboko-Arua-24h'!H87,'03.08 Koboko-Arua-24h'!H87)</f>
        <v>0</v>
      </c>
      <c r="I87" s="49">
        <f>AVERAGE('02.08 Koboko-Arua-24h'!I87,'03.08 Koboko-Arua-24h'!I87)</f>
        <v>0</v>
      </c>
      <c r="J87" s="49">
        <f>AVERAGE('02.08 Koboko-Arua-24h'!J87,'03.08 Koboko-Arua-24h'!J87)</f>
        <v>0</v>
      </c>
      <c r="K87" s="49">
        <f>AVERAGE('02.08 Koboko-Arua-24h'!K87,'03.08 Koboko-Arua-24h'!K87)</f>
        <v>0</v>
      </c>
      <c r="L87" s="49">
        <f>AVERAGE('02.08 Koboko-Arua-24h'!L87,'03.08 Koboko-Arua-24h'!L87)</f>
        <v>0</v>
      </c>
      <c r="M87" s="49">
        <f>AVERAGE('02.08 Koboko-Arua-24h'!M87,'03.08 Koboko-Arua-24h'!M87)</f>
        <v>0</v>
      </c>
      <c r="N87" s="49">
        <f>AVERAGE('02.08 Koboko-Arua-24h'!N87,'03.08 Koboko-Arua-24h'!N87)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AVERAGE('02.08 Koboko-Arua-24h'!C88,'03.08 Koboko-Arua-24h'!C88)</f>
        <v>0</v>
      </c>
      <c r="D88" s="49">
        <f>AVERAGE('02.08 Koboko-Arua-24h'!D88,'03.08 Koboko-Arua-24h'!D88)</f>
        <v>0</v>
      </c>
      <c r="E88" s="49">
        <f>AVERAGE('02.08 Koboko-Arua-24h'!E88,'03.08 Koboko-Arua-24h'!E88)</f>
        <v>0.5</v>
      </c>
      <c r="F88" s="49">
        <f>AVERAGE('02.08 Koboko-Arua-24h'!F88,'03.08 Koboko-Arua-24h'!F88)</f>
        <v>0</v>
      </c>
      <c r="G88" s="49">
        <f>AVERAGE('02.08 Koboko-Arua-24h'!G88,'03.08 Koboko-Arua-24h'!G88)</f>
        <v>0</v>
      </c>
      <c r="H88" s="49">
        <f>AVERAGE('02.08 Koboko-Arua-24h'!H88,'03.08 Koboko-Arua-24h'!H88)</f>
        <v>0</v>
      </c>
      <c r="I88" s="49">
        <f>AVERAGE('02.08 Koboko-Arua-24h'!I88,'03.08 Koboko-Arua-24h'!I88)</f>
        <v>0</v>
      </c>
      <c r="J88" s="49">
        <f>AVERAGE('02.08 Koboko-Arua-24h'!J88,'03.08 Koboko-Arua-24h'!J88)</f>
        <v>0</v>
      </c>
      <c r="K88" s="49">
        <f>AVERAGE('02.08 Koboko-Arua-24h'!K88,'03.08 Koboko-Arua-24h'!K88)</f>
        <v>0</v>
      </c>
      <c r="L88" s="49">
        <f>AVERAGE('02.08 Koboko-Arua-24h'!L88,'03.08 Koboko-Arua-24h'!L88)</f>
        <v>0</v>
      </c>
      <c r="M88" s="49">
        <f>AVERAGE('02.08 Koboko-Arua-24h'!M88,'03.08 Koboko-Arua-24h'!M88)</f>
        <v>0.5</v>
      </c>
      <c r="N88" s="49">
        <f>AVERAGE('02.08 Koboko-Arua-24h'!N88,'03.08 Koboko-Arua-24h'!N88)</f>
        <v>0</v>
      </c>
      <c r="O88" s="15">
        <f t="shared" si="35"/>
        <v>0.5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AVERAGE('02.08 Koboko-Arua-24h'!C89,'03.08 Koboko-Arua-24h'!C89)</f>
        <v>0.5</v>
      </c>
      <c r="D89" s="49">
        <f>AVERAGE('02.08 Koboko-Arua-24h'!D89,'03.08 Koboko-Arua-24h'!D89)</f>
        <v>0</v>
      </c>
      <c r="E89" s="49">
        <f>AVERAGE('02.08 Koboko-Arua-24h'!E89,'03.08 Koboko-Arua-24h'!E89)</f>
        <v>0</v>
      </c>
      <c r="F89" s="49">
        <f>AVERAGE('02.08 Koboko-Arua-24h'!F89,'03.08 Koboko-Arua-24h'!F89)</f>
        <v>0</v>
      </c>
      <c r="G89" s="49">
        <f>AVERAGE('02.08 Koboko-Arua-24h'!G89,'03.08 Koboko-Arua-24h'!G89)</f>
        <v>0</v>
      </c>
      <c r="H89" s="49">
        <f>AVERAGE('02.08 Koboko-Arua-24h'!H89,'03.08 Koboko-Arua-24h'!H89)</f>
        <v>0</v>
      </c>
      <c r="I89" s="49">
        <f>AVERAGE('02.08 Koboko-Arua-24h'!I89,'03.08 Koboko-Arua-24h'!I89)</f>
        <v>0</v>
      </c>
      <c r="J89" s="49">
        <f>AVERAGE('02.08 Koboko-Arua-24h'!J89,'03.08 Koboko-Arua-24h'!J89)</f>
        <v>0</v>
      </c>
      <c r="K89" s="49">
        <f>AVERAGE('02.08 Koboko-Arua-24h'!K89,'03.08 Koboko-Arua-24h'!K89)</f>
        <v>0</v>
      </c>
      <c r="L89" s="49">
        <f>AVERAGE('02.08 Koboko-Arua-24h'!L89,'03.08 Koboko-Arua-24h'!L89)</f>
        <v>0</v>
      </c>
      <c r="M89" s="49">
        <f>AVERAGE('02.08 Koboko-Arua-24h'!M89,'03.08 Koboko-Arua-24h'!M89)</f>
        <v>0</v>
      </c>
      <c r="N89" s="49">
        <f>AVERAGE('02.08 Koboko-Arua-24h'!N89,'03.08 Koboko-Arua-24h'!N89)</f>
        <v>0</v>
      </c>
      <c r="O89" s="15">
        <f t="shared" si="35"/>
        <v>0.5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AVERAGE('02.08 Koboko-Arua-24h'!C90,'03.08 Koboko-Arua-24h'!C90)</f>
        <v>0</v>
      </c>
      <c r="D90" s="49">
        <f>AVERAGE('02.08 Koboko-Arua-24h'!D90,'03.08 Koboko-Arua-24h'!D90)</f>
        <v>0</v>
      </c>
      <c r="E90" s="49">
        <f>AVERAGE('02.08 Koboko-Arua-24h'!E90,'03.08 Koboko-Arua-24h'!E90)</f>
        <v>0</v>
      </c>
      <c r="F90" s="49">
        <f>AVERAGE('02.08 Koboko-Arua-24h'!F90,'03.08 Koboko-Arua-24h'!F90)</f>
        <v>0</v>
      </c>
      <c r="G90" s="49">
        <f>AVERAGE('02.08 Koboko-Arua-24h'!G90,'03.08 Koboko-Arua-24h'!G90)</f>
        <v>0</v>
      </c>
      <c r="H90" s="49">
        <f>AVERAGE('02.08 Koboko-Arua-24h'!H90,'03.08 Koboko-Arua-24h'!H90)</f>
        <v>0</v>
      </c>
      <c r="I90" s="49">
        <f>AVERAGE('02.08 Koboko-Arua-24h'!I90,'03.08 Koboko-Arua-24h'!I90)</f>
        <v>0</v>
      </c>
      <c r="J90" s="49">
        <f>AVERAGE('02.08 Koboko-Arua-24h'!J90,'03.08 Koboko-Arua-24h'!J90)</f>
        <v>0</v>
      </c>
      <c r="K90" s="49">
        <f>AVERAGE('02.08 Koboko-Arua-24h'!K90,'03.08 Koboko-Arua-24h'!K90)</f>
        <v>0</v>
      </c>
      <c r="L90" s="49">
        <f>AVERAGE('02.08 Koboko-Arua-24h'!L90,'03.08 Koboko-Arua-24h'!L90)</f>
        <v>0</v>
      </c>
      <c r="M90" s="49">
        <f>AVERAGE('02.08 Koboko-Arua-24h'!M90,'03.08 Koboko-Arua-24h'!M90)</f>
        <v>1</v>
      </c>
      <c r="N90" s="49">
        <f>AVERAGE('02.08 Koboko-Arua-24h'!N90,'03.08 Koboko-Arua-24h'!N90)</f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AVERAGE('02.08 Koboko-Arua-24h'!C91,'03.08 Koboko-Arua-24h'!C91)</f>
        <v>0</v>
      </c>
      <c r="D91" s="49">
        <f>AVERAGE('02.08 Koboko-Arua-24h'!D91,'03.08 Koboko-Arua-24h'!D91)</f>
        <v>0</v>
      </c>
      <c r="E91" s="49">
        <f>AVERAGE('02.08 Koboko-Arua-24h'!E91,'03.08 Koboko-Arua-24h'!E91)</f>
        <v>0</v>
      </c>
      <c r="F91" s="49">
        <f>AVERAGE('02.08 Koboko-Arua-24h'!F91,'03.08 Koboko-Arua-24h'!F91)</f>
        <v>0</v>
      </c>
      <c r="G91" s="49">
        <f>AVERAGE('02.08 Koboko-Arua-24h'!G91,'03.08 Koboko-Arua-24h'!G91)</f>
        <v>0</v>
      </c>
      <c r="H91" s="49">
        <f>AVERAGE('02.08 Koboko-Arua-24h'!H91,'03.08 Koboko-Arua-24h'!H91)</f>
        <v>0</v>
      </c>
      <c r="I91" s="49">
        <f>AVERAGE('02.08 Koboko-Arua-24h'!I91,'03.08 Koboko-Arua-24h'!I91)</f>
        <v>0</v>
      </c>
      <c r="J91" s="49">
        <f>AVERAGE('02.08 Koboko-Arua-24h'!J91,'03.08 Koboko-Arua-24h'!J91)</f>
        <v>0</v>
      </c>
      <c r="K91" s="49">
        <f>AVERAGE('02.08 Koboko-Arua-24h'!K91,'03.08 Koboko-Arua-24h'!K91)</f>
        <v>0</v>
      </c>
      <c r="L91" s="49">
        <f>AVERAGE('02.08 Koboko-Arua-24h'!L91,'03.08 Koboko-Arua-24h'!L91)</f>
        <v>0</v>
      </c>
      <c r="M91" s="49">
        <f>AVERAGE('02.08 Koboko-Arua-24h'!M91,'03.08 Koboko-Arua-24h'!M91)</f>
        <v>1</v>
      </c>
      <c r="N91" s="49">
        <f>AVERAGE('02.08 Koboko-Arua-24h'!N91,'03.08 Koboko-Arua-24h'!N91)</f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AVERAGE('02.08 Koboko-Arua-24h'!C92,'03.08 Koboko-Arua-24h'!C92)</f>
        <v>0</v>
      </c>
      <c r="D92" s="49">
        <f>AVERAGE('02.08 Koboko-Arua-24h'!D92,'03.08 Koboko-Arua-24h'!D92)</f>
        <v>0</v>
      </c>
      <c r="E92" s="49">
        <f>AVERAGE('02.08 Koboko-Arua-24h'!E92,'03.08 Koboko-Arua-24h'!E92)</f>
        <v>0</v>
      </c>
      <c r="F92" s="49">
        <f>AVERAGE('02.08 Koboko-Arua-24h'!F92,'03.08 Koboko-Arua-24h'!F92)</f>
        <v>0</v>
      </c>
      <c r="G92" s="49">
        <f>AVERAGE('02.08 Koboko-Arua-24h'!G92,'03.08 Koboko-Arua-24h'!G92)</f>
        <v>0</v>
      </c>
      <c r="H92" s="49">
        <f>AVERAGE('02.08 Koboko-Arua-24h'!H92,'03.08 Koboko-Arua-24h'!H92)</f>
        <v>0</v>
      </c>
      <c r="I92" s="49">
        <f>AVERAGE('02.08 Koboko-Arua-24h'!I92,'03.08 Koboko-Arua-24h'!I92)</f>
        <v>0</v>
      </c>
      <c r="J92" s="49">
        <f>AVERAGE('02.08 Koboko-Arua-24h'!J92,'03.08 Koboko-Arua-24h'!J92)</f>
        <v>0</v>
      </c>
      <c r="K92" s="49">
        <f>AVERAGE('02.08 Koboko-Arua-24h'!K92,'03.08 Koboko-Arua-24h'!K92)</f>
        <v>0</v>
      </c>
      <c r="L92" s="49">
        <f>AVERAGE('02.08 Koboko-Arua-24h'!L92,'03.08 Koboko-Arua-24h'!L92)</f>
        <v>0</v>
      </c>
      <c r="M92" s="49">
        <f>AVERAGE('02.08 Koboko-Arua-24h'!M92,'03.08 Koboko-Arua-24h'!M92)</f>
        <v>0.5</v>
      </c>
      <c r="N92" s="49">
        <f>AVERAGE('02.08 Koboko-Arua-24h'!N92,'03.08 Koboko-Arua-24h'!N92)</f>
        <v>0</v>
      </c>
      <c r="O92" s="15">
        <f t="shared" si="35"/>
        <v>0</v>
      </c>
      <c r="P92" s="15">
        <f t="shared" si="36"/>
        <v>0.5</v>
      </c>
      <c r="R92" s="8"/>
      <c r="T92"/>
    </row>
    <row r="93" spans="2:20" ht="23.1" customHeight="1" x14ac:dyDescent="0.25">
      <c r="B93" s="23" t="s">
        <v>133</v>
      </c>
      <c r="C93" s="49">
        <f>AVERAGE('02.08 Koboko-Arua-24h'!C93,'03.08 Koboko-Arua-24h'!C93)</f>
        <v>0</v>
      </c>
      <c r="D93" s="49">
        <f>AVERAGE('02.08 Koboko-Arua-24h'!D93,'03.08 Koboko-Arua-24h'!D93)</f>
        <v>0</v>
      </c>
      <c r="E93" s="49">
        <f>AVERAGE('02.08 Koboko-Arua-24h'!E93,'03.08 Koboko-Arua-24h'!E93)</f>
        <v>0</v>
      </c>
      <c r="F93" s="49">
        <f>AVERAGE('02.08 Koboko-Arua-24h'!F93,'03.08 Koboko-Arua-24h'!F93)</f>
        <v>0</v>
      </c>
      <c r="G93" s="49">
        <f>AVERAGE('02.08 Koboko-Arua-24h'!G93,'03.08 Koboko-Arua-24h'!G93)</f>
        <v>0</v>
      </c>
      <c r="H93" s="49">
        <f>AVERAGE('02.08 Koboko-Arua-24h'!H93,'03.08 Koboko-Arua-24h'!H93)</f>
        <v>0</v>
      </c>
      <c r="I93" s="49">
        <f>AVERAGE('02.08 Koboko-Arua-24h'!I93,'03.08 Koboko-Arua-24h'!I93)</f>
        <v>0</v>
      </c>
      <c r="J93" s="49">
        <f>AVERAGE('02.08 Koboko-Arua-24h'!J93,'03.08 Koboko-Arua-24h'!J93)</f>
        <v>0</v>
      </c>
      <c r="K93" s="49">
        <f>AVERAGE('02.08 Koboko-Arua-24h'!K93,'03.08 Koboko-Arua-24h'!K93)</f>
        <v>0</v>
      </c>
      <c r="L93" s="49">
        <f>AVERAGE('02.08 Koboko-Arua-24h'!L93,'03.08 Koboko-Arua-24h'!L93)</f>
        <v>0</v>
      </c>
      <c r="M93" s="49">
        <f>AVERAGE('02.08 Koboko-Arua-24h'!M93,'03.08 Koboko-Arua-24h'!M93)</f>
        <v>1</v>
      </c>
      <c r="N93" s="49">
        <f>AVERAGE('02.08 Koboko-Arua-24h'!N93,'03.08 Koboko-Arua-24h'!N93)</f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AVERAGE('02.08 Koboko-Arua-24h'!C94,'03.08 Koboko-Arua-24h'!C94)</f>
        <v>0</v>
      </c>
      <c r="D94" s="49">
        <f>AVERAGE('02.08 Koboko-Arua-24h'!D94,'03.08 Koboko-Arua-24h'!D94)</f>
        <v>0</v>
      </c>
      <c r="E94" s="49">
        <f>AVERAGE('02.08 Koboko-Arua-24h'!E94,'03.08 Koboko-Arua-24h'!E94)</f>
        <v>0</v>
      </c>
      <c r="F94" s="49">
        <f>AVERAGE('02.08 Koboko-Arua-24h'!F94,'03.08 Koboko-Arua-24h'!F94)</f>
        <v>0</v>
      </c>
      <c r="G94" s="49">
        <f>AVERAGE('02.08 Koboko-Arua-24h'!G94,'03.08 Koboko-Arua-24h'!G94)</f>
        <v>0</v>
      </c>
      <c r="H94" s="49">
        <f>AVERAGE('02.08 Koboko-Arua-24h'!H94,'03.08 Koboko-Arua-24h'!H94)</f>
        <v>0</v>
      </c>
      <c r="I94" s="49">
        <f>AVERAGE('02.08 Koboko-Arua-24h'!I94,'03.08 Koboko-Arua-24h'!I94)</f>
        <v>0</v>
      </c>
      <c r="J94" s="49">
        <f>AVERAGE('02.08 Koboko-Arua-24h'!J94,'03.08 Koboko-Arua-24h'!J94)</f>
        <v>0</v>
      </c>
      <c r="K94" s="49">
        <f>AVERAGE('02.08 Koboko-Arua-24h'!K94,'03.08 Koboko-Arua-24h'!K94)</f>
        <v>0</v>
      </c>
      <c r="L94" s="49">
        <f>AVERAGE('02.08 Koboko-Arua-24h'!L94,'03.08 Koboko-Arua-24h'!L94)</f>
        <v>0</v>
      </c>
      <c r="M94" s="49">
        <f>AVERAGE('02.08 Koboko-Arua-24h'!M94,'03.08 Koboko-Arua-24h'!M94)</f>
        <v>1.5</v>
      </c>
      <c r="N94" s="49">
        <f>AVERAGE('02.08 Koboko-Arua-24h'!N94,'03.08 Koboko-Arua-24h'!N94)</f>
        <v>0</v>
      </c>
      <c r="O94" s="15">
        <f t="shared" si="35"/>
        <v>0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AVERAGE('02.08 Koboko-Arua-24h'!C95,'03.08 Koboko-Arua-24h'!C95)</f>
        <v>0</v>
      </c>
      <c r="D95" s="49">
        <f>AVERAGE('02.08 Koboko-Arua-24h'!D95,'03.08 Koboko-Arua-24h'!D95)</f>
        <v>0</v>
      </c>
      <c r="E95" s="49">
        <f>AVERAGE('02.08 Koboko-Arua-24h'!E95,'03.08 Koboko-Arua-24h'!E95)</f>
        <v>0.5</v>
      </c>
      <c r="F95" s="49">
        <f>AVERAGE('02.08 Koboko-Arua-24h'!F95,'03.08 Koboko-Arua-24h'!F95)</f>
        <v>0</v>
      </c>
      <c r="G95" s="49">
        <f>AVERAGE('02.08 Koboko-Arua-24h'!G95,'03.08 Koboko-Arua-24h'!G95)</f>
        <v>0</v>
      </c>
      <c r="H95" s="49">
        <f>AVERAGE('02.08 Koboko-Arua-24h'!H95,'03.08 Koboko-Arua-24h'!H95)</f>
        <v>0</v>
      </c>
      <c r="I95" s="49">
        <f>AVERAGE('02.08 Koboko-Arua-24h'!I95,'03.08 Koboko-Arua-24h'!I95)</f>
        <v>0</v>
      </c>
      <c r="J95" s="49">
        <f>AVERAGE('02.08 Koboko-Arua-24h'!J95,'03.08 Koboko-Arua-24h'!J95)</f>
        <v>0</v>
      </c>
      <c r="K95" s="49">
        <f>AVERAGE('02.08 Koboko-Arua-24h'!K95,'03.08 Koboko-Arua-24h'!K95)</f>
        <v>0</v>
      </c>
      <c r="L95" s="49">
        <f>AVERAGE('02.08 Koboko-Arua-24h'!L95,'03.08 Koboko-Arua-24h'!L95)</f>
        <v>0</v>
      </c>
      <c r="M95" s="49">
        <f>AVERAGE('02.08 Koboko-Arua-24h'!M95,'03.08 Koboko-Arua-24h'!M95)</f>
        <v>1</v>
      </c>
      <c r="N95" s="49">
        <f>AVERAGE('02.08 Koboko-Arua-24h'!N95,'03.08 Koboko-Arua-24h'!N95)</f>
        <v>0</v>
      </c>
      <c r="O95" s="15">
        <f t="shared" si="35"/>
        <v>0.5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AVERAGE('02.08 Koboko-Arua-24h'!C96,'03.08 Koboko-Arua-24h'!C96)</f>
        <v>0</v>
      </c>
      <c r="D96" s="49">
        <f>AVERAGE('02.08 Koboko-Arua-24h'!D96,'03.08 Koboko-Arua-24h'!D96)</f>
        <v>0</v>
      </c>
      <c r="E96" s="49">
        <f>AVERAGE('02.08 Koboko-Arua-24h'!E96,'03.08 Koboko-Arua-24h'!E96)</f>
        <v>0</v>
      </c>
      <c r="F96" s="49">
        <f>AVERAGE('02.08 Koboko-Arua-24h'!F96,'03.08 Koboko-Arua-24h'!F96)</f>
        <v>0</v>
      </c>
      <c r="G96" s="49">
        <f>AVERAGE('02.08 Koboko-Arua-24h'!G96,'03.08 Koboko-Arua-24h'!G96)</f>
        <v>0</v>
      </c>
      <c r="H96" s="49">
        <f>AVERAGE('02.08 Koboko-Arua-24h'!H96,'03.08 Koboko-Arua-24h'!H96)</f>
        <v>0</v>
      </c>
      <c r="I96" s="49">
        <f>AVERAGE('02.08 Koboko-Arua-24h'!I96,'03.08 Koboko-Arua-24h'!I96)</f>
        <v>0</v>
      </c>
      <c r="J96" s="49">
        <f>AVERAGE('02.08 Koboko-Arua-24h'!J96,'03.08 Koboko-Arua-24h'!J96)</f>
        <v>0</v>
      </c>
      <c r="K96" s="49">
        <f>AVERAGE('02.08 Koboko-Arua-24h'!K96,'03.08 Koboko-Arua-24h'!K96)</f>
        <v>0</v>
      </c>
      <c r="L96" s="49">
        <f>AVERAGE('02.08 Koboko-Arua-24h'!L96,'03.08 Koboko-Arua-24h'!L96)</f>
        <v>0</v>
      </c>
      <c r="M96" s="49">
        <f>AVERAGE('02.08 Koboko-Arua-24h'!M96,'03.08 Koboko-Arua-24h'!M96)</f>
        <v>1</v>
      </c>
      <c r="N96" s="49">
        <f>AVERAGE('02.08 Koboko-Arua-24h'!N96,'03.08 Koboko-Arua-24h'!N96)</f>
        <v>0</v>
      </c>
      <c r="O96" s="15">
        <f t="shared" si="35"/>
        <v>0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AVERAGE('02.08 Koboko-Arua-24h'!C97,'03.08 Koboko-Arua-24h'!C97)</f>
        <v>0</v>
      </c>
      <c r="D97" s="49">
        <f>AVERAGE('02.08 Koboko-Arua-24h'!D97,'03.08 Koboko-Arua-24h'!D97)</f>
        <v>0</v>
      </c>
      <c r="E97" s="49">
        <f>AVERAGE('02.08 Koboko-Arua-24h'!E97,'03.08 Koboko-Arua-24h'!E97)</f>
        <v>0</v>
      </c>
      <c r="F97" s="49">
        <f>AVERAGE('02.08 Koboko-Arua-24h'!F97,'03.08 Koboko-Arua-24h'!F97)</f>
        <v>0.5</v>
      </c>
      <c r="G97" s="49">
        <f>AVERAGE('02.08 Koboko-Arua-24h'!G97,'03.08 Koboko-Arua-24h'!G97)</f>
        <v>0</v>
      </c>
      <c r="H97" s="49">
        <f>AVERAGE('02.08 Koboko-Arua-24h'!H97,'03.08 Koboko-Arua-24h'!H97)</f>
        <v>0</v>
      </c>
      <c r="I97" s="49">
        <f>AVERAGE('02.08 Koboko-Arua-24h'!I97,'03.08 Koboko-Arua-24h'!I97)</f>
        <v>0</v>
      </c>
      <c r="J97" s="49">
        <f>AVERAGE('02.08 Koboko-Arua-24h'!J97,'03.08 Koboko-Arua-24h'!J97)</f>
        <v>0</v>
      </c>
      <c r="K97" s="49">
        <f>AVERAGE('02.08 Koboko-Arua-24h'!K97,'03.08 Koboko-Arua-24h'!K97)</f>
        <v>0</v>
      </c>
      <c r="L97" s="49">
        <f>AVERAGE('02.08 Koboko-Arua-24h'!L97,'03.08 Koboko-Arua-24h'!L97)</f>
        <v>0</v>
      </c>
      <c r="M97" s="49">
        <f>AVERAGE('02.08 Koboko-Arua-24h'!M97,'03.08 Koboko-Arua-24h'!M97)</f>
        <v>0.5</v>
      </c>
      <c r="N97" s="49">
        <f>AVERAGE('02.08 Koboko-Arua-24h'!N97,'03.08 Koboko-Arua-24h'!N97)</f>
        <v>0</v>
      </c>
      <c r="O97" s="15">
        <f t="shared" si="35"/>
        <v>0.5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AVERAGE('02.08 Koboko-Arua-24h'!C98,'03.08 Koboko-Arua-24h'!C98)</f>
        <v>0</v>
      </c>
      <c r="D98" s="49">
        <f>AVERAGE('02.08 Koboko-Arua-24h'!D98,'03.08 Koboko-Arua-24h'!D98)</f>
        <v>0</v>
      </c>
      <c r="E98" s="49">
        <f>AVERAGE('02.08 Koboko-Arua-24h'!E98,'03.08 Koboko-Arua-24h'!E98)</f>
        <v>0</v>
      </c>
      <c r="F98" s="49">
        <f>AVERAGE('02.08 Koboko-Arua-24h'!F98,'03.08 Koboko-Arua-24h'!F98)</f>
        <v>0</v>
      </c>
      <c r="G98" s="49">
        <f>AVERAGE('02.08 Koboko-Arua-24h'!G98,'03.08 Koboko-Arua-24h'!G98)</f>
        <v>0</v>
      </c>
      <c r="H98" s="49">
        <f>AVERAGE('02.08 Koboko-Arua-24h'!H98,'03.08 Koboko-Arua-24h'!H98)</f>
        <v>0</v>
      </c>
      <c r="I98" s="49">
        <f>AVERAGE('02.08 Koboko-Arua-24h'!I98,'03.08 Koboko-Arua-24h'!I98)</f>
        <v>0</v>
      </c>
      <c r="J98" s="49">
        <f>AVERAGE('02.08 Koboko-Arua-24h'!J98,'03.08 Koboko-Arua-24h'!J98)</f>
        <v>0</v>
      </c>
      <c r="K98" s="49">
        <f>AVERAGE('02.08 Koboko-Arua-24h'!K98,'03.08 Koboko-Arua-24h'!K98)</f>
        <v>0</v>
      </c>
      <c r="L98" s="49">
        <f>AVERAGE('02.08 Koboko-Arua-24h'!L98,'03.08 Koboko-Arua-24h'!L98)</f>
        <v>0</v>
      </c>
      <c r="M98" s="49">
        <f>AVERAGE('02.08 Koboko-Arua-24h'!M98,'03.08 Koboko-Arua-24h'!M98)</f>
        <v>0.5</v>
      </c>
      <c r="N98" s="49">
        <f>AVERAGE('02.08 Koboko-Arua-24h'!N98,'03.08 Koboko-Arua-24h'!N98)</f>
        <v>0</v>
      </c>
      <c r="O98" s="15">
        <f t="shared" si="35"/>
        <v>0</v>
      </c>
      <c r="P98" s="15">
        <f t="shared" si="36"/>
        <v>0.5</v>
      </c>
      <c r="R98" s="8"/>
      <c r="T98"/>
    </row>
    <row r="99" spans="2:20" ht="23.1" customHeight="1" x14ac:dyDescent="0.25">
      <c r="B99" s="23" t="s">
        <v>139</v>
      </c>
      <c r="C99" s="49">
        <f>AVERAGE('02.08 Koboko-Arua-24h'!C99,'03.08 Koboko-Arua-24h'!C99)</f>
        <v>0</v>
      </c>
      <c r="D99" s="49">
        <f>AVERAGE('02.08 Koboko-Arua-24h'!D99,'03.08 Koboko-Arua-24h'!D99)</f>
        <v>0</v>
      </c>
      <c r="E99" s="49">
        <f>AVERAGE('02.08 Koboko-Arua-24h'!E99,'03.08 Koboko-Arua-24h'!E99)</f>
        <v>0</v>
      </c>
      <c r="F99" s="49">
        <f>AVERAGE('02.08 Koboko-Arua-24h'!F99,'03.08 Koboko-Arua-24h'!F99)</f>
        <v>0</v>
      </c>
      <c r="G99" s="49">
        <f>AVERAGE('02.08 Koboko-Arua-24h'!G99,'03.08 Koboko-Arua-24h'!G99)</f>
        <v>0</v>
      </c>
      <c r="H99" s="49">
        <f>AVERAGE('02.08 Koboko-Arua-24h'!H99,'03.08 Koboko-Arua-24h'!H99)</f>
        <v>0</v>
      </c>
      <c r="I99" s="49">
        <f>AVERAGE('02.08 Koboko-Arua-24h'!I99,'03.08 Koboko-Arua-24h'!I99)</f>
        <v>0</v>
      </c>
      <c r="J99" s="49">
        <f>AVERAGE('02.08 Koboko-Arua-24h'!J99,'03.08 Koboko-Arua-24h'!J99)</f>
        <v>0</v>
      </c>
      <c r="K99" s="49">
        <f>AVERAGE('02.08 Koboko-Arua-24h'!K99,'03.08 Koboko-Arua-24h'!K99)</f>
        <v>0</v>
      </c>
      <c r="L99" s="49">
        <f>AVERAGE('02.08 Koboko-Arua-24h'!L99,'03.08 Koboko-Arua-24h'!L99)</f>
        <v>0</v>
      </c>
      <c r="M99" s="49">
        <f>AVERAGE('02.08 Koboko-Arua-24h'!M99,'03.08 Koboko-Arua-24h'!M99)</f>
        <v>4.5</v>
      </c>
      <c r="N99" s="49">
        <f>AVERAGE('02.08 Koboko-Arua-24h'!N99,'03.08 Koboko-Arua-24h'!N99)</f>
        <v>0</v>
      </c>
      <c r="O99" s="15">
        <f t="shared" si="35"/>
        <v>0</v>
      </c>
      <c r="P99" s="15">
        <f t="shared" si="36"/>
        <v>4.5</v>
      </c>
      <c r="R99" s="8"/>
      <c r="T99"/>
    </row>
    <row r="100" spans="2:20" ht="23.1" customHeight="1" x14ac:dyDescent="0.25">
      <c r="B100" s="25" t="s">
        <v>140</v>
      </c>
      <c r="C100" s="49">
        <f>AVERAGE('02.08 Koboko-Arua-24h'!C100,'03.08 Koboko-Arua-24h'!C100)</f>
        <v>0</v>
      </c>
      <c r="D100" s="49">
        <f>AVERAGE('02.08 Koboko-Arua-24h'!D100,'03.08 Koboko-Arua-24h'!D100)</f>
        <v>0</v>
      </c>
      <c r="E100" s="49">
        <f>AVERAGE('02.08 Koboko-Arua-24h'!E100,'03.08 Koboko-Arua-24h'!E100)</f>
        <v>0</v>
      </c>
      <c r="F100" s="49">
        <f>AVERAGE('02.08 Koboko-Arua-24h'!F100,'03.08 Koboko-Arua-24h'!F100)</f>
        <v>0</v>
      </c>
      <c r="G100" s="49">
        <f>AVERAGE('02.08 Koboko-Arua-24h'!G100,'03.08 Koboko-Arua-24h'!G100)</f>
        <v>0</v>
      </c>
      <c r="H100" s="49">
        <f>AVERAGE('02.08 Koboko-Arua-24h'!H100,'03.08 Koboko-Arua-24h'!H100)</f>
        <v>0</v>
      </c>
      <c r="I100" s="49">
        <f>AVERAGE('02.08 Koboko-Arua-24h'!I100,'03.08 Koboko-Arua-24h'!I100)</f>
        <v>0.5</v>
      </c>
      <c r="J100" s="49">
        <f>AVERAGE('02.08 Koboko-Arua-24h'!J100,'03.08 Koboko-Arua-24h'!J100)</f>
        <v>0</v>
      </c>
      <c r="K100" s="49">
        <f>AVERAGE('02.08 Koboko-Arua-24h'!K100,'03.08 Koboko-Arua-24h'!K100)</f>
        <v>0</v>
      </c>
      <c r="L100" s="49">
        <f>AVERAGE('02.08 Koboko-Arua-24h'!L100,'03.08 Koboko-Arua-24h'!L100)</f>
        <v>0</v>
      </c>
      <c r="M100" s="49">
        <f>AVERAGE('02.08 Koboko-Arua-24h'!M100,'03.08 Koboko-Arua-24h'!M100)</f>
        <v>1.5</v>
      </c>
      <c r="N100" s="49">
        <f>AVERAGE('02.08 Koboko-Arua-24h'!N100,'03.08 Koboko-Arua-24h'!N100)</f>
        <v>0</v>
      </c>
      <c r="O100" s="15">
        <f t="shared" si="35"/>
        <v>0.5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AVERAGE('02.08 Koboko-Arua-24h'!C101,'03.08 Koboko-Arua-24h'!C101)</f>
        <v>0</v>
      </c>
      <c r="D101" s="49">
        <f>AVERAGE('02.08 Koboko-Arua-24h'!D101,'03.08 Koboko-Arua-24h'!D101)</f>
        <v>0</v>
      </c>
      <c r="E101" s="49">
        <f>AVERAGE('02.08 Koboko-Arua-24h'!E101,'03.08 Koboko-Arua-24h'!E101)</f>
        <v>0</v>
      </c>
      <c r="F101" s="49">
        <f>AVERAGE('02.08 Koboko-Arua-24h'!F101,'03.08 Koboko-Arua-24h'!F101)</f>
        <v>0</v>
      </c>
      <c r="G101" s="49">
        <f>AVERAGE('02.08 Koboko-Arua-24h'!G101,'03.08 Koboko-Arua-24h'!G101)</f>
        <v>0</v>
      </c>
      <c r="H101" s="49">
        <f>AVERAGE('02.08 Koboko-Arua-24h'!H101,'03.08 Koboko-Arua-24h'!H101)</f>
        <v>0</v>
      </c>
      <c r="I101" s="49">
        <f>AVERAGE('02.08 Koboko-Arua-24h'!I101,'03.08 Koboko-Arua-24h'!I101)</f>
        <v>0</v>
      </c>
      <c r="J101" s="49">
        <f>AVERAGE('02.08 Koboko-Arua-24h'!J101,'03.08 Koboko-Arua-24h'!J101)</f>
        <v>0</v>
      </c>
      <c r="K101" s="49">
        <f>AVERAGE('02.08 Koboko-Arua-24h'!K101,'03.08 Koboko-Arua-24h'!K101)</f>
        <v>0</v>
      </c>
      <c r="L101" s="49">
        <f>AVERAGE('02.08 Koboko-Arua-24h'!L101,'03.08 Koboko-Arua-24h'!L101)</f>
        <v>0</v>
      </c>
      <c r="M101" s="49">
        <f>AVERAGE('02.08 Koboko-Arua-24h'!M101,'03.08 Koboko-Arua-24h'!M101)</f>
        <v>4.5</v>
      </c>
      <c r="N101" s="49">
        <f>AVERAGE('02.08 Koboko-Arua-24h'!N101,'03.08 Koboko-Arua-24h'!N101)</f>
        <v>0</v>
      </c>
      <c r="O101" s="15">
        <f t="shared" si="35"/>
        <v>0</v>
      </c>
      <c r="P101" s="15">
        <f t="shared" si="36"/>
        <v>4.5</v>
      </c>
      <c r="R101" s="8"/>
      <c r="T101"/>
    </row>
    <row r="102" spans="2:20" ht="23.1" customHeight="1" x14ac:dyDescent="0.25">
      <c r="B102" s="24" t="s">
        <v>142</v>
      </c>
      <c r="C102" s="49">
        <f>AVERAGE('02.08 Koboko-Arua-24h'!C102,'03.08 Koboko-Arua-24h'!C102)</f>
        <v>0</v>
      </c>
      <c r="D102" s="49">
        <f>AVERAGE('02.08 Koboko-Arua-24h'!D102,'03.08 Koboko-Arua-24h'!D102)</f>
        <v>0</v>
      </c>
      <c r="E102" s="49">
        <f>AVERAGE('02.08 Koboko-Arua-24h'!E102,'03.08 Koboko-Arua-24h'!E102)</f>
        <v>0</v>
      </c>
      <c r="F102" s="49">
        <f>AVERAGE('02.08 Koboko-Arua-24h'!F102,'03.08 Koboko-Arua-24h'!F102)</f>
        <v>0.5</v>
      </c>
      <c r="G102" s="49">
        <f>AVERAGE('02.08 Koboko-Arua-24h'!G102,'03.08 Koboko-Arua-24h'!G102)</f>
        <v>0</v>
      </c>
      <c r="H102" s="49">
        <f>AVERAGE('02.08 Koboko-Arua-24h'!H102,'03.08 Koboko-Arua-24h'!H102)</f>
        <v>0</v>
      </c>
      <c r="I102" s="49">
        <f>AVERAGE('02.08 Koboko-Arua-24h'!I102,'03.08 Koboko-Arua-24h'!I102)</f>
        <v>0</v>
      </c>
      <c r="J102" s="49">
        <f>AVERAGE('02.08 Koboko-Arua-24h'!J102,'03.08 Koboko-Arua-24h'!J102)</f>
        <v>0</v>
      </c>
      <c r="K102" s="49">
        <f>AVERAGE('02.08 Koboko-Arua-24h'!K102,'03.08 Koboko-Arua-24h'!K102)</f>
        <v>0</v>
      </c>
      <c r="L102" s="49">
        <f>AVERAGE('02.08 Koboko-Arua-24h'!L102,'03.08 Koboko-Arua-24h'!L102)</f>
        <v>0</v>
      </c>
      <c r="M102" s="49">
        <f>AVERAGE('02.08 Koboko-Arua-24h'!M102,'03.08 Koboko-Arua-24h'!M102)</f>
        <v>3</v>
      </c>
      <c r="N102" s="49">
        <f>AVERAGE('02.08 Koboko-Arua-24h'!N102,'03.08 Koboko-Arua-24h'!N102)</f>
        <v>0</v>
      </c>
      <c r="O102" s="15">
        <f t="shared" si="35"/>
        <v>0.5</v>
      </c>
      <c r="P102" s="15">
        <f t="shared" si="36"/>
        <v>3.5</v>
      </c>
      <c r="R102" s="8"/>
      <c r="T102"/>
    </row>
    <row r="103" spans="2:20" ht="23.1" customHeight="1" x14ac:dyDescent="0.25">
      <c r="B103" s="23" t="s">
        <v>143</v>
      </c>
      <c r="C103" s="49">
        <f>AVERAGE('02.08 Koboko-Arua-24h'!C103,'03.08 Koboko-Arua-24h'!C103)</f>
        <v>0</v>
      </c>
      <c r="D103" s="49">
        <f>AVERAGE('02.08 Koboko-Arua-24h'!D103,'03.08 Koboko-Arua-24h'!D103)</f>
        <v>0</v>
      </c>
      <c r="E103" s="49">
        <f>AVERAGE('02.08 Koboko-Arua-24h'!E103,'03.08 Koboko-Arua-24h'!E103)</f>
        <v>0.5</v>
      </c>
      <c r="F103" s="49">
        <f>AVERAGE('02.08 Koboko-Arua-24h'!F103,'03.08 Koboko-Arua-24h'!F103)</f>
        <v>0</v>
      </c>
      <c r="G103" s="49">
        <f>AVERAGE('02.08 Koboko-Arua-24h'!G103,'03.08 Koboko-Arua-24h'!G103)</f>
        <v>0</v>
      </c>
      <c r="H103" s="49">
        <f>AVERAGE('02.08 Koboko-Arua-24h'!H103,'03.08 Koboko-Arua-24h'!H103)</f>
        <v>0</v>
      </c>
      <c r="I103" s="49">
        <f>AVERAGE('02.08 Koboko-Arua-24h'!I103,'03.08 Koboko-Arua-24h'!I103)</f>
        <v>0</v>
      </c>
      <c r="J103" s="49">
        <f>AVERAGE('02.08 Koboko-Arua-24h'!J103,'03.08 Koboko-Arua-24h'!J103)</f>
        <v>0</v>
      </c>
      <c r="K103" s="49">
        <f>AVERAGE('02.08 Koboko-Arua-24h'!K103,'03.08 Koboko-Arua-24h'!K103)</f>
        <v>0</v>
      </c>
      <c r="L103" s="49">
        <f>AVERAGE('02.08 Koboko-Arua-24h'!L103,'03.08 Koboko-Arua-24h'!L103)</f>
        <v>0</v>
      </c>
      <c r="M103" s="49">
        <f>AVERAGE('02.08 Koboko-Arua-24h'!M103,'03.08 Koboko-Arua-24h'!M103)</f>
        <v>7.5</v>
      </c>
      <c r="N103" s="49">
        <f>AVERAGE('02.08 Koboko-Arua-24h'!N103,'03.08 Koboko-Arua-24h'!N103)</f>
        <v>0</v>
      </c>
      <c r="O103" s="15">
        <f t="shared" si="35"/>
        <v>0.5</v>
      </c>
      <c r="P103" s="15">
        <f t="shared" si="36"/>
        <v>8</v>
      </c>
      <c r="R103" s="8"/>
      <c r="T103"/>
    </row>
    <row r="104" spans="2:20" ht="23.1" customHeight="1" x14ac:dyDescent="0.25">
      <c r="B104" s="25" t="s">
        <v>144</v>
      </c>
      <c r="C104" s="49">
        <f>AVERAGE('02.08 Koboko-Arua-24h'!C104,'03.08 Koboko-Arua-24h'!C104)</f>
        <v>0.5</v>
      </c>
      <c r="D104" s="49">
        <f>AVERAGE('02.08 Koboko-Arua-24h'!D104,'03.08 Koboko-Arua-24h'!D104)</f>
        <v>0</v>
      </c>
      <c r="E104" s="49">
        <f>AVERAGE('02.08 Koboko-Arua-24h'!E104,'03.08 Koboko-Arua-24h'!E104)</f>
        <v>0.5</v>
      </c>
      <c r="F104" s="49">
        <f>AVERAGE('02.08 Koboko-Arua-24h'!F104,'03.08 Koboko-Arua-24h'!F104)</f>
        <v>0</v>
      </c>
      <c r="G104" s="49">
        <f>AVERAGE('02.08 Koboko-Arua-24h'!G104,'03.08 Koboko-Arua-24h'!G104)</f>
        <v>0.5</v>
      </c>
      <c r="H104" s="49">
        <f>AVERAGE('02.08 Koboko-Arua-24h'!H104,'03.08 Koboko-Arua-24h'!H104)</f>
        <v>0</v>
      </c>
      <c r="I104" s="49">
        <f>AVERAGE('02.08 Koboko-Arua-24h'!I104,'03.08 Koboko-Arua-24h'!I104)</f>
        <v>1</v>
      </c>
      <c r="J104" s="49">
        <f>AVERAGE('02.08 Koboko-Arua-24h'!J104,'03.08 Koboko-Arua-24h'!J104)</f>
        <v>0</v>
      </c>
      <c r="K104" s="49">
        <f>AVERAGE('02.08 Koboko-Arua-24h'!K104,'03.08 Koboko-Arua-24h'!K104)</f>
        <v>0</v>
      </c>
      <c r="L104" s="49">
        <f>AVERAGE('02.08 Koboko-Arua-24h'!L104,'03.08 Koboko-Arua-24h'!L104)</f>
        <v>0</v>
      </c>
      <c r="M104" s="49">
        <f>AVERAGE('02.08 Koboko-Arua-24h'!M104,'03.08 Koboko-Arua-24h'!M104)</f>
        <v>19</v>
      </c>
      <c r="N104" s="49">
        <f>AVERAGE('02.08 Koboko-Arua-24h'!N104,'03.08 Koboko-Arua-24h'!N104)</f>
        <v>0</v>
      </c>
      <c r="O104" s="15">
        <f t="shared" si="35"/>
        <v>2.5</v>
      </c>
      <c r="P104" s="15">
        <f t="shared" si="36"/>
        <v>21.5</v>
      </c>
      <c r="R104" s="8"/>
      <c r="T104"/>
    </row>
    <row r="105" spans="2:20" ht="23.1" customHeight="1" x14ac:dyDescent="0.25">
      <c r="B105" s="23" t="s">
        <v>145</v>
      </c>
      <c r="C105" s="49">
        <f>AVERAGE('02.08 Koboko-Arua-24h'!C105,'03.08 Koboko-Arua-24h'!C105)</f>
        <v>0.5</v>
      </c>
      <c r="D105" s="49">
        <f>AVERAGE('02.08 Koboko-Arua-24h'!D105,'03.08 Koboko-Arua-24h'!D105)</f>
        <v>0</v>
      </c>
      <c r="E105" s="49">
        <f>AVERAGE('02.08 Koboko-Arua-24h'!E105,'03.08 Koboko-Arua-24h'!E105)</f>
        <v>1</v>
      </c>
      <c r="F105" s="49">
        <f>AVERAGE('02.08 Koboko-Arua-24h'!F105,'03.08 Koboko-Arua-24h'!F105)</f>
        <v>0</v>
      </c>
      <c r="G105" s="49">
        <f>AVERAGE('02.08 Koboko-Arua-24h'!G105,'03.08 Koboko-Arua-24h'!G105)</f>
        <v>0</v>
      </c>
      <c r="H105" s="49">
        <f>AVERAGE('02.08 Koboko-Arua-24h'!H105,'03.08 Koboko-Arua-24h'!H105)</f>
        <v>0</v>
      </c>
      <c r="I105" s="49">
        <f>AVERAGE('02.08 Koboko-Arua-24h'!I105,'03.08 Koboko-Arua-24h'!I105)</f>
        <v>0.5</v>
      </c>
      <c r="J105" s="49">
        <f>AVERAGE('02.08 Koboko-Arua-24h'!J105,'03.08 Koboko-Arua-24h'!J105)</f>
        <v>0.5</v>
      </c>
      <c r="K105" s="49">
        <f>AVERAGE('02.08 Koboko-Arua-24h'!K105,'03.08 Koboko-Arua-24h'!K105)</f>
        <v>0</v>
      </c>
      <c r="L105" s="49">
        <f>AVERAGE('02.08 Koboko-Arua-24h'!L105,'03.08 Koboko-Arua-24h'!L105)</f>
        <v>0</v>
      </c>
      <c r="M105" s="49">
        <f>AVERAGE('02.08 Koboko-Arua-24h'!M105,'03.08 Koboko-Arua-24h'!M105)</f>
        <v>33.5</v>
      </c>
      <c r="N105" s="49">
        <f>AVERAGE('02.08 Koboko-Arua-24h'!N105,'03.08 Koboko-Arua-24h'!N105)</f>
        <v>0</v>
      </c>
      <c r="O105" s="15">
        <f t="shared" si="35"/>
        <v>2.5</v>
      </c>
      <c r="P105" s="15">
        <f t="shared" si="36"/>
        <v>36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460.35714285714306</v>
      </c>
      <c r="D106" s="16">
        <f t="shared" ref="D106:P106" si="37">SUM(D10:D105)</f>
        <v>105.99999999999999</v>
      </c>
      <c r="E106" s="16">
        <f t="shared" si="37"/>
        <v>213.64285714285714</v>
      </c>
      <c r="F106" s="16">
        <f t="shared" si="37"/>
        <v>150.50000000000003</v>
      </c>
      <c r="G106" s="16">
        <f t="shared" si="37"/>
        <v>36.714285714285722</v>
      </c>
      <c r="H106" s="16">
        <f t="shared" si="37"/>
        <v>112.85714285714285</v>
      </c>
      <c r="I106" s="16">
        <f t="shared" si="37"/>
        <v>98.857142857142861</v>
      </c>
      <c r="J106" s="16">
        <f t="shared" si="37"/>
        <v>35.761904761904759</v>
      </c>
      <c r="K106" s="16">
        <f t="shared" si="37"/>
        <v>11.214285714285715</v>
      </c>
      <c r="L106" s="16">
        <f t="shared" si="37"/>
        <v>15.714285714285715</v>
      </c>
      <c r="M106" s="16">
        <f t="shared" si="37"/>
        <v>2215.1428571428569</v>
      </c>
      <c r="N106" s="16">
        <f t="shared" si="37"/>
        <v>1.2142857142857142</v>
      </c>
      <c r="O106" s="16">
        <f t="shared" si="37"/>
        <v>1242.8333333333335</v>
      </c>
      <c r="P106" s="16">
        <f t="shared" si="37"/>
        <v>3457.9761904761899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0.1331290666850278</v>
      </c>
      <c r="D107" s="43">
        <f t="shared" si="38"/>
        <v>3.0653768031121974E-2</v>
      </c>
      <c r="E107" s="43">
        <f t="shared" si="38"/>
        <v>6.1782628154370509E-2</v>
      </c>
      <c r="F107" s="43">
        <f t="shared" si="38"/>
        <v>4.3522566874376029E-2</v>
      </c>
      <c r="G107" s="43">
        <f t="shared" si="38"/>
        <v>1.0617275450132548E-2</v>
      </c>
      <c r="H107" s="43">
        <f t="shared" si="38"/>
        <v>3.2636761111302377E-2</v>
      </c>
      <c r="I107" s="43">
        <f t="shared" si="38"/>
        <v>2.8588150239267401E-2</v>
      </c>
      <c r="J107" s="43">
        <f t="shared" si="38"/>
        <v>1.0341859744551934E-2</v>
      </c>
      <c r="K107" s="43">
        <f t="shared" si="38"/>
        <v>3.2430199332116921E-3</v>
      </c>
      <c r="L107" s="43">
        <f t="shared" si="38"/>
        <v>4.5443591420800782E-3</v>
      </c>
      <c r="M107" s="43">
        <f t="shared" si="38"/>
        <v>0.64058938960994249</v>
      </c>
      <c r="N107" s="43">
        <f t="shared" si="38"/>
        <v>3.511550246152787E-4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0.37040939481599278</v>
      </c>
      <c r="D108" s="44">
        <f t="shared" ref="D108:N108" si="39">D106/$O$106</f>
        <v>8.5288990210540414E-2</v>
      </c>
      <c r="E108" s="44">
        <f t="shared" si="39"/>
        <v>0.17189984482461348</v>
      </c>
      <c r="F108" s="44">
        <f t="shared" si="39"/>
        <v>0.12109427383666355</v>
      </c>
      <c r="G108" s="44">
        <f t="shared" si="39"/>
        <v>2.9540795800685839E-2</v>
      </c>
      <c r="H108" s="44">
        <f t="shared" si="39"/>
        <v>9.0806337286154892E-2</v>
      </c>
      <c r="I108" s="44">
        <f t="shared" si="39"/>
        <v>7.9541753673442017E-2</v>
      </c>
      <c r="J108" s="44">
        <f t="shared" si="39"/>
        <v>2.8774497595739378E-2</v>
      </c>
      <c r="K108" s="44">
        <f t="shared" si="39"/>
        <v>9.0231613632445057E-3</v>
      </c>
      <c r="L108" s="44">
        <f t="shared" si="39"/>
        <v>1.2643920381616505E-2</v>
      </c>
      <c r="M108" s="44"/>
      <c r="N108" s="44">
        <f t="shared" si="39"/>
        <v>9.7703021130672975E-4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I58" zoomScale="60" workbookViewId="0">
      <selection activeCell="AF66" sqref="AF6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'06.08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164</v>
      </c>
      <c r="E5" s="69"/>
      <c r="F5" s="41" t="s">
        <v>1</v>
      </c>
      <c r="G5" s="66" t="str">
        <f>'06.08 Arua-Koboko'!G5:H5</f>
        <v>xxx</v>
      </c>
      <c r="H5" s="67"/>
      <c r="I5" s="14"/>
      <c r="J5" s="2" t="s">
        <v>5</v>
      </c>
      <c r="K5" s="66" t="str">
        <f>'06.08 Arua-Koboko'!K5:L5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'06.08 Arua-Koboko'!D6:E6</f>
        <v>Arua</v>
      </c>
      <c r="E6" s="67"/>
      <c r="F6" s="2" t="s">
        <v>2</v>
      </c>
      <c r="G6" s="66" t="str">
        <f>'06.08 Arua-Koboko'!G6:H6</f>
        <v>Koboko</v>
      </c>
      <c r="H6" s="67"/>
      <c r="J6" s="2" t="s">
        <v>21</v>
      </c>
      <c r="K6" s="66" t="str">
        <f>'06.08 Arua-Koboko'!K6:L6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AVERAGE('31.07 Arua-Koboko'!C10,'01.08 Arua-Koboko'!C10,'04.08 Arua-Koboko'!C10,'05.08 Arua-Koboko'!C10,'02.08 Arua-Koboko-24h'!C10,'03.08 Arua-Koboko-24h'!C10,'06.08 Arua-Koboko'!C10)</f>
        <v>6.4285714285714288</v>
      </c>
      <c r="D10" s="49">
        <f>AVERAGE('31.07 Arua-Koboko'!D10,'01.08 Arua-Koboko'!D10,'04.08 Arua-Koboko'!D10,'05.08 Arua-Koboko'!D10,'02.08 Arua-Koboko-24h'!D10,'03.08 Arua-Koboko-24h'!D10,'06.08 Arua-Koboko'!D10)</f>
        <v>0.2857142857142857</v>
      </c>
      <c r="E10" s="49">
        <f>AVERAGE('31.07 Arua-Koboko'!E10,'01.08 Arua-Koboko'!E10,'04.08 Arua-Koboko'!E10,'05.08 Arua-Koboko'!E10,'02.08 Arua-Koboko-24h'!E10,'03.08 Arua-Koboko-24h'!E10,'06.08 Arua-Koboko'!E10)</f>
        <v>1</v>
      </c>
      <c r="F10" s="49">
        <f>AVERAGE('31.07 Arua-Koboko'!F10,'01.08 Arua-Koboko'!F10,'04.08 Arua-Koboko'!F10,'05.08 Arua-Koboko'!F10,'02.08 Arua-Koboko-24h'!F10,'03.08 Arua-Koboko-24h'!F10,'06.08 Arua-Koboko'!F10)</f>
        <v>0.2857142857142857</v>
      </c>
      <c r="G10" s="49">
        <f>AVERAGE('31.07 Arua-Koboko'!G10,'01.08 Arua-Koboko'!G10,'04.08 Arua-Koboko'!G10,'05.08 Arua-Koboko'!G10,'02.08 Arua-Koboko-24h'!G10,'03.08 Arua-Koboko-24h'!G10,'06.08 Arua-Koboko'!G10)</f>
        <v>0.5714285714285714</v>
      </c>
      <c r="H10" s="49">
        <f>AVERAGE('31.07 Arua-Koboko'!H10,'01.08 Arua-Koboko'!H10,'04.08 Arua-Koboko'!H10,'05.08 Arua-Koboko'!H10,'02.08 Arua-Koboko-24h'!H10,'03.08 Arua-Koboko-24h'!H10,'06.08 Arua-Koboko'!H10)</f>
        <v>0.14285714285714285</v>
      </c>
      <c r="I10" s="49">
        <f>AVERAGE('31.07 Arua-Koboko'!I10,'01.08 Arua-Koboko'!I10,'04.08 Arua-Koboko'!I10,'05.08 Arua-Koboko'!I10,'02.08 Arua-Koboko-24h'!I10,'03.08 Arua-Koboko-24h'!I10,'06.08 Arua-Koboko'!I10)</f>
        <v>0.2857142857142857</v>
      </c>
      <c r="J10" s="49">
        <f>AVERAGE('31.07 Arua-Koboko'!J10,'01.08 Arua-Koboko'!J10,'04.08 Arua-Koboko'!J10,'05.08 Arua-Koboko'!J10,'02.08 Arua-Koboko-24h'!J10,'03.08 Arua-Koboko-24h'!J10,'06.08 Arua-Koboko'!J10)</f>
        <v>0.14285714285714285</v>
      </c>
      <c r="K10" s="49">
        <f>AVERAGE('31.07 Arua-Koboko'!K10,'01.08 Arua-Koboko'!K10,'04.08 Arua-Koboko'!K10,'05.08 Arua-Koboko'!K10,'02.08 Arua-Koboko-24h'!K10,'03.08 Arua-Koboko-24h'!K10,'06.08 Arua-Koboko'!K10)</f>
        <v>0</v>
      </c>
      <c r="L10" s="49">
        <f>AVERAGE('31.07 Arua-Koboko'!L10,'01.08 Arua-Koboko'!L10,'04.08 Arua-Koboko'!L10,'05.08 Arua-Koboko'!L10,'02.08 Arua-Koboko-24h'!L10,'03.08 Arua-Koboko-24h'!L10,'06.08 Arua-Koboko'!L10)</f>
        <v>0.42857142857142855</v>
      </c>
      <c r="M10" s="49">
        <f>AVERAGE('31.07 Arua-Koboko'!M10,'01.08 Arua-Koboko'!M10,'04.08 Arua-Koboko'!M10,'05.08 Arua-Koboko'!M10,'02.08 Arua-Koboko-24h'!M10,'03.08 Arua-Koboko-24h'!M10,'06.08 Arua-Koboko'!M10)</f>
        <v>35.857142857142854</v>
      </c>
      <c r="N10" s="49">
        <f>AVERAGE('31.07 Arua-Koboko'!N10,'01.08 Arua-Koboko'!N10,'04.08 Arua-Koboko'!N10,'05.08 Arua-Koboko'!N10,'02.08 Arua-Koboko-24h'!N10,'03.08 Arua-Koboko-24h'!N10,'06.08 Arua-Koboko'!N10)</f>
        <v>0</v>
      </c>
      <c r="O10" s="15">
        <f t="shared" ref="O10:O73" si="0">SUM(C10:L10,N10)</f>
        <v>9.5714285714285712</v>
      </c>
      <c r="P10" s="15">
        <f t="shared" ref="P10:P73" si="1">SUM(C10:N10)</f>
        <v>45.428571428571423</v>
      </c>
      <c r="R10" s="1" t="s">
        <v>6</v>
      </c>
      <c r="S10" s="17">
        <f t="shared" ref="S10:AF10" si="2">SUM(C10:C13)</f>
        <v>25.285714285714285</v>
      </c>
      <c r="T10" s="17">
        <f t="shared" si="2"/>
        <v>3.5714285714285716</v>
      </c>
      <c r="U10" s="17">
        <f t="shared" si="2"/>
        <v>8.4285714285714288</v>
      </c>
      <c r="V10" s="17">
        <f t="shared" si="2"/>
        <v>3.7142857142857144</v>
      </c>
      <c r="W10" s="17">
        <f t="shared" si="2"/>
        <v>2.2857142857142856</v>
      </c>
      <c r="X10" s="17">
        <f t="shared" si="2"/>
        <v>5</v>
      </c>
      <c r="Y10" s="17">
        <f t="shared" si="2"/>
        <v>3.2857142857142856</v>
      </c>
      <c r="Z10" s="17">
        <f t="shared" si="2"/>
        <v>1.5714285714285714</v>
      </c>
      <c r="AA10" s="17">
        <f t="shared" si="2"/>
        <v>0</v>
      </c>
      <c r="AB10" s="17">
        <f t="shared" si="2"/>
        <v>2.4285714285714284</v>
      </c>
      <c r="AC10" s="17">
        <f t="shared" si="2"/>
        <v>114.42857142857143</v>
      </c>
      <c r="AD10" s="17">
        <f t="shared" si="2"/>
        <v>0.2857142857142857</v>
      </c>
      <c r="AE10" s="31">
        <f t="shared" si="2"/>
        <v>55.857142857142847</v>
      </c>
      <c r="AF10" s="31">
        <f t="shared" si="2"/>
        <v>170.28571428571428</v>
      </c>
    </row>
    <row r="11" spans="2:32" s="6" customFormat="1" ht="23.1" customHeight="1" x14ac:dyDescent="0.25">
      <c r="B11" s="23" t="s">
        <v>38</v>
      </c>
      <c r="C11" s="49">
        <f>AVERAGE('31.07 Arua-Koboko'!C11,'01.08 Arua-Koboko'!C11,'04.08 Arua-Koboko'!C11,'05.08 Arua-Koboko'!C11,'02.08 Arua-Koboko-24h'!C11,'03.08 Arua-Koboko-24h'!C11,'06.08 Arua-Koboko'!C11)</f>
        <v>6.2857142857142856</v>
      </c>
      <c r="D11" s="49">
        <f>AVERAGE('31.07 Arua-Koboko'!D11,'01.08 Arua-Koboko'!D11,'04.08 Arua-Koboko'!D11,'05.08 Arua-Koboko'!D11,'02.08 Arua-Koboko-24h'!D11,'03.08 Arua-Koboko-24h'!D11,'06.08 Arua-Koboko'!D11)</f>
        <v>0.7142857142857143</v>
      </c>
      <c r="E11" s="49">
        <f>AVERAGE('31.07 Arua-Koboko'!E11,'01.08 Arua-Koboko'!E11,'04.08 Arua-Koboko'!E11,'05.08 Arua-Koboko'!E11,'02.08 Arua-Koboko-24h'!E11,'03.08 Arua-Koboko-24h'!E11,'06.08 Arua-Koboko'!E11)</f>
        <v>1.8571428571428572</v>
      </c>
      <c r="F11" s="49">
        <f>AVERAGE('31.07 Arua-Koboko'!F11,'01.08 Arua-Koboko'!F11,'04.08 Arua-Koboko'!F11,'05.08 Arua-Koboko'!F11,'02.08 Arua-Koboko-24h'!F11,'03.08 Arua-Koboko-24h'!F11,'06.08 Arua-Koboko'!F11)</f>
        <v>1.2857142857142858</v>
      </c>
      <c r="G11" s="49">
        <f>AVERAGE('31.07 Arua-Koboko'!G11,'01.08 Arua-Koboko'!G11,'04.08 Arua-Koboko'!G11,'05.08 Arua-Koboko'!G11,'02.08 Arua-Koboko-24h'!G11,'03.08 Arua-Koboko-24h'!G11,'06.08 Arua-Koboko'!G11)</f>
        <v>0.5714285714285714</v>
      </c>
      <c r="H11" s="49">
        <f>AVERAGE('31.07 Arua-Koboko'!H11,'01.08 Arua-Koboko'!H11,'04.08 Arua-Koboko'!H11,'05.08 Arua-Koboko'!H11,'02.08 Arua-Koboko-24h'!H11,'03.08 Arua-Koboko-24h'!H11,'06.08 Arua-Koboko'!H11)</f>
        <v>0</v>
      </c>
      <c r="I11" s="49">
        <f>AVERAGE('31.07 Arua-Koboko'!I11,'01.08 Arua-Koboko'!I11,'04.08 Arua-Koboko'!I11,'05.08 Arua-Koboko'!I11,'02.08 Arua-Koboko-24h'!I11,'03.08 Arua-Koboko-24h'!I11,'06.08 Arua-Koboko'!I11)</f>
        <v>0.7142857142857143</v>
      </c>
      <c r="J11" s="49">
        <f>AVERAGE('31.07 Arua-Koboko'!J11,'01.08 Arua-Koboko'!J11,'04.08 Arua-Koboko'!J11,'05.08 Arua-Koboko'!J11,'02.08 Arua-Koboko-24h'!J11,'03.08 Arua-Koboko-24h'!J11,'06.08 Arua-Koboko'!J11)</f>
        <v>0.2857142857142857</v>
      </c>
      <c r="K11" s="49">
        <f>AVERAGE('31.07 Arua-Koboko'!K11,'01.08 Arua-Koboko'!K11,'04.08 Arua-Koboko'!K11,'05.08 Arua-Koboko'!K11,'02.08 Arua-Koboko-24h'!K11,'03.08 Arua-Koboko-24h'!K11,'06.08 Arua-Koboko'!K11)</f>
        <v>0</v>
      </c>
      <c r="L11" s="49">
        <f>AVERAGE('31.07 Arua-Koboko'!L11,'01.08 Arua-Koboko'!L11,'04.08 Arua-Koboko'!L11,'05.08 Arua-Koboko'!L11,'02.08 Arua-Koboko-24h'!L11,'03.08 Arua-Koboko-24h'!L11,'06.08 Arua-Koboko'!L11)</f>
        <v>0.7142857142857143</v>
      </c>
      <c r="M11" s="49">
        <f>AVERAGE('31.07 Arua-Koboko'!M11,'01.08 Arua-Koboko'!M11,'04.08 Arua-Koboko'!M11,'05.08 Arua-Koboko'!M11,'02.08 Arua-Koboko-24h'!M11,'03.08 Arua-Koboko-24h'!M11,'06.08 Arua-Koboko'!M11)</f>
        <v>25.285714285714285</v>
      </c>
      <c r="N11" s="49">
        <f>AVERAGE('31.07 Arua-Koboko'!N11,'01.08 Arua-Koboko'!N11,'04.08 Arua-Koboko'!N11,'05.08 Arua-Koboko'!N11,'02.08 Arua-Koboko-24h'!N11,'03.08 Arua-Koboko-24h'!N11,'06.08 Arua-Koboko'!N11)</f>
        <v>0</v>
      </c>
      <c r="O11" s="15">
        <f t="shared" si="0"/>
        <v>12.428571428571429</v>
      </c>
      <c r="P11" s="15">
        <f t="shared" si="1"/>
        <v>37.714285714285715</v>
      </c>
      <c r="R11" s="1" t="s">
        <v>7</v>
      </c>
      <c r="S11" s="17">
        <f t="shared" ref="S11:AF11" si="3">SUM(C14:C17)</f>
        <v>25.714285714285712</v>
      </c>
      <c r="T11" s="17">
        <f t="shared" si="3"/>
        <v>4.8571428571428577</v>
      </c>
      <c r="U11" s="17">
        <f t="shared" si="3"/>
        <v>9.7142857142857135</v>
      </c>
      <c r="V11" s="17">
        <f t="shared" si="3"/>
        <v>7.1428571428571423</v>
      </c>
      <c r="W11" s="17">
        <f t="shared" si="3"/>
        <v>1.1428571428571428</v>
      </c>
      <c r="X11" s="17">
        <f t="shared" si="3"/>
        <v>0.5714285714285714</v>
      </c>
      <c r="Y11" s="17">
        <f t="shared" si="3"/>
        <v>5.7142857142857135</v>
      </c>
      <c r="Z11" s="17">
        <f t="shared" si="3"/>
        <v>4.1428571428571423</v>
      </c>
      <c r="AA11" s="17">
        <f t="shared" si="3"/>
        <v>0.14285714285714285</v>
      </c>
      <c r="AB11" s="17">
        <f t="shared" si="3"/>
        <v>3.4285714285714284</v>
      </c>
      <c r="AC11" s="17">
        <f t="shared" si="3"/>
        <v>105</v>
      </c>
      <c r="AD11" s="17">
        <f t="shared" si="3"/>
        <v>0</v>
      </c>
      <c r="AE11" s="31">
        <f t="shared" si="3"/>
        <v>62.571428571428577</v>
      </c>
      <c r="AF11" s="31">
        <f t="shared" si="3"/>
        <v>167.57142857142858</v>
      </c>
    </row>
    <row r="12" spans="2:32" ht="23.1" customHeight="1" x14ac:dyDescent="0.25">
      <c r="B12" s="23" t="s">
        <v>39</v>
      </c>
      <c r="C12" s="49">
        <f>AVERAGE('31.07 Arua-Koboko'!C12,'01.08 Arua-Koboko'!C12,'04.08 Arua-Koboko'!C12,'05.08 Arua-Koboko'!C12,'02.08 Arua-Koboko-24h'!C12,'03.08 Arua-Koboko-24h'!C12,'06.08 Arua-Koboko'!C12)</f>
        <v>6.1428571428571432</v>
      </c>
      <c r="D12" s="49">
        <f>AVERAGE('31.07 Arua-Koboko'!D12,'01.08 Arua-Koboko'!D12,'04.08 Arua-Koboko'!D12,'05.08 Arua-Koboko'!D12,'02.08 Arua-Koboko-24h'!D12,'03.08 Arua-Koboko-24h'!D12,'06.08 Arua-Koboko'!D12)</f>
        <v>1.7142857142857142</v>
      </c>
      <c r="E12" s="49">
        <f>AVERAGE('31.07 Arua-Koboko'!E12,'01.08 Arua-Koboko'!E12,'04.08 Arua-Koboko'!E12,'05.08 Arua-Koboko'!E12,'02.08 Arua-Koboko-24h'!E12,'03.08 Arua-Koboko-24h'!E12,'06.08 Arua-Koboko'!E12)</f>
        <v>3.5714285714285716</v>
      </c>
      <c r="F12" s="49">
        <f>AVERAGE('31.07 Arua-Koboko'!F12,'01.08 Arua-Koboko'!F12,'04.08 Arua-Koboko'!F12,'05.08 Arua-Koboko'!F12,'02.08 Arua-Koboko-24h'!F12,'03.08 Arua-Koboko-24h'!F12,'06.08 Arua-Koboko'!F12)</f>
        <v>1.1428571428571428</v>
      </c>
      <c r="G12" s="49">
        <f>AVERAGE('31.07 Arua-Koboko'!G12,'01.08 Arua-Koboko'!G12,'04.08 Arua-Koboko'!G12,'05.08 Arua-Koboko'!G12,'02.08 Arua-Koboko-24h'!G12,'03.08 Arua-Koboko-24h'!G12,'06.08 Arua-Koboko'!G12)</f>
        <v>1</v>
      </c>
      <c r="H12" s="49">
        <f>AVERAGE('31.07 Arua-Koboko'!H12,'01.08 Arua-Koboko'!H12,'04.08 Arua-Koboko'!H12,'05.08 Arua-Koboko'!H12,'02.08 Arua-Koboko-24h'!H12,'03.08 Arua-Koboko-24h'!H12,'06.08 Arua-Koboko'!H12)</f>
        <v>0.14285714285714285</v>
      </c>
      <c r="I12" s="49">
        <f>AVERAGE('31.07 Arua-Koboko'!I12,'01.08 Arua-Koboko'!I12,'04.08 Arua-Koboko'!I12,'05.08 Arua-Koboko'!I12,'02.08 Arua-Koboko-24h'!I12,'03.08 Arua-Koboko-24h'!I12,'06.08 Arua-Koboko'!I12)</f>
        <v>1.5714285714285714</v>
      </c>
      <c r="J12" s="49">
        <f>AVERAGE('31.07 Arua-Koboko'!J12,'01.08 Arua-Koboko'!J12,'04.08 Arua-Koboko'!J12,'05.08 Arua-Koboko'!J12,'02.08 Arua-Koboko-24h'!J12,'03.08 Arua-Koboko-24h'!J12,'06.08 Arua-Koboko'!J12)</f>
        <v>1</v>
      </c>
      <c r="K12" s="49">
        <f>AVERAGE('31.07 Arua-Koboko'!K12,'01.08 Arua-Koboko'!K12,'04.08 Arua-Koboko'!K12,'05.08 Arua-Koboko'!K12,'02.08 Arua-Koboko-24h'!K12,'03.08 Arua-Koboko-24h'!K12,'06.08 Arua-Koboko'!K12)</f>
        <v>0</v>
      </c>
      <c r="L12" s="49">
        <f>AVERAGE('31.07 Arua-Koboko'!L12,'01.08 Arua-Koboko'!L12,'04.08 Arua-Koboko'!L12,'05.08 Arua-Koboko'!L12,'02.08 Arua-Koboko-24h'!L12,'03.08 Arua-Koboko-24h'!L12,'06.08 Arua-Koboko'!L12)</f>
        <v>0.8571428571428571</v>
      </c>
      <c r="M12" s="49">
        <f>AVERAGE('31.07 Arua-Koboko'!M12,'01.08 Arua-Koboko'!M12,'04.08 Arua-Koboko'!M12,'05.08 Arua-Koboko'!M12,'02.08 Arua-Koboko-24h'!M12,'03.08 Arua-Koboko-24h'!M12,'06.08 Arua-Koboko'!M12)</f>
        <v>31.714285714285715</v>
      </c>
      <c r="N12" s="49">
        <f>AVERAGE('31.07 Arua-Koboko'!N12,'01.08 Arua-Koboko'!N12,'04.08 Arua-Koboko'!N12,'05.08 Arua-Koboko'!N12,'02.08 Arua-Koboko-24h'!N12,'03.08 Arua-Koboko-24h'!N12,'06.08 Arua-Koboko'!N12)</f>
        <v>0</v>
      </c>
      <c r="O12" s="15">
        <f t="shared" si="0"/>
        <v>17.142857142857142</v>
      </c>
      <c r="P12" s="15">
        <f t="shared" si="1"/>
        <v>48.857142857142861</v>
      </c>
      <c r="R12" s="1" t="s">
        <v>8</v>
      </c>
      <c r="S12" s="17">
        <f t="shared" ref="S12:AF12" si="4">SUM(C18:C21)</f>
        <v>28.428571428571427</v>
      </c>
      <c r="T12" s="17">
        <f t="shared" si="4"/>
        <v>7</v>
      </c>
      <c r="U12" s="17">
        <f t="shared" si="4"/>
        <v>14</v>
      </c>
      <c r="V12" s="17">
        <f t="shared" si="4"/>
        <v>7</v>
      </c>
      <c r="W12" s="17">
        <f t="shared" si="4"/>
        <v>0.5714285714285714</v>
      </c>
      <c r="X12" s="17">
        <f t="shared" si="4"/>
        <v>0.2857142857142857</v>
      </c>
      <c r="Y12" s="17">
        <f t="shared" si="4"/>
        <v>4.0952380952380958</v>
      </c>
      <c r="Z12" s="17">
        <f t="shared" si="4"/>
        <v>3.6666666666666665</v>
      </c>
      <c r="AA12" s="17">
        <f t="shared" si="4"/>
        <v>0</v>
      </c>
      <c r="AB12" s="17">
        <f t="shared" si="4"/>
        <v>0.42857142857142855</v>
      </c>
      <c r="AC12" s="17">
        <f t="shared" si="4"/>
        <v>125.85714285714286</v>
      </c>
      <c r="AD12" s="17">
        <f t="shared" si="4"/>
        <v>0</v>
      </c>
      <c r="AE12" s="31">
        <f t="shared" si="4"/>
        <v>65.476190476190482</v>
      </c>
      <c r="AF12" s="31">
        <f t="shared" si="4"/>
        <v>191.33333333333331</v>
      </c>
    </row>
    <row r="13" spans="2:32" ht="23.1" customHeight="1" x14ac:dyDescent="0.25">
      <c r="B13" s="23" t="s">
        <v>40</v>
      </c>
      <c r="C13" s="49">
        <f>AVERAGE('31.07 Arua-Koboko'!C13,'01.08 Arua-Koboko'!C13,'04.08 Arua-Koboko'!C13,'05.08 Arua-Koboko'!C13,'02.08 Arua-Koboko-24h'!C13,'03.08 Arua-Koboko-24h'!C13,'06.08 Arua-Koboko'!C13)</f>
        <v>6.4285714285714288</v>
      </c>
      <c r="D13" s="49">
        <f>AVERAGE('31.07 Arua-Koboko'!D13,'01.08 Arua-Koboko'!D13,'04.08 Arua-Koboko'!D13,'05.08 Arua-Koboko'!D13,'02.08 Arua-Koboko-24h'!D13,'03.08 Arua-Koboko-24h'!D13,'06.08 Arua-Koboko'!D13)</f>
        <v>0.8571428571428571</v>
      </c>
      <c r="E13" s="49">
        <f>AVERAGE('31.07 Arua-Koboko'!E13,'01.08 Arua-Koboko'!E13,'04.08 Arua-Koboko'!E13,'05.08 Arua-Koboko'!E13,'02.08 Arua-Koboko-24h'!E13,'03.08 Arua-Koboko-24h'!E13,'06.08 Arua-Koboko'!E13)</f>
        <v>2</v>
      </c>
      <c r="F13" s="49">
        <f>AVERAGE('31.07 Arua-Koboko'!F13,'01.08 Arua-Koboko'!F13,'04.08 Arua-Koboko'!F13,'05.08 Arua-Koboko'!F13,'02.08 Arua-Koboko-24h'!F13,'03.08 Arua-Koboko-24h'!F13,'06.08 Arua-Koboko'!F13)</f>
        <v>1</v>
      </c>
      <c r="G13" s="49">
        <f>AVERAGE('31.07 Arua-Koboko'!G13,'01.08 Arua-Koboko'!G13,'04.08 Arua-Koboko'!G13,'05.08 Arua-Koboko'!G13,'02.08 Arua-Koboko-24h'!G13,'03.08 Arua-Koboko-24h'!G13,'06.08 Arua-Koboko'!G13)</f>
        <v>0.14285714285714285</v>
      </c>
      <c r="H13" s="49">
        <f>AVERAGE('31.07 Arua-Koboko'!H13,'01.08 Arua-Koboko'!H13,'04.08 Arua-Koboko'!H13,'05.08 Arua-Koboko'!H13,'02.08 Arua-Koboko-24h'!H13,'03.08 Arua-Koboko-24h'!H13,'06.08 Arua-Koboko'!H13)</f>
        <v>4.7142857142857144</v>
      </c>
      <c r="I13" s="49">
        <f>AVERAGE('31.07 Arua-Koboko'!I13,'01.08 Arua-Koboko'!I13,'04.08 Arua-Koboko'!I13,'05.08 Arua-Koboko'!I13,'02.08 Arua-Koboko-24h'!I13,'03.08 Arua-Koboko-24h'!I13,'06.08 Arua-Koboko'!I13)</f>
        <v>0.7142857142857143</v>
      </c>
      <c r="J13" s="49">
        <f>AVERAGE('31.07 Arua-Koboko'!J13,'01.08 Arua-Koboko'!J13,'04.08 Arua-Koboko'!J13,'05.08 Arua-Koboko'!J13,'02.08 Arua-Koboko-24h'!J13,'03.08 Arua-Koboko-24h'!J13,'06.08 Arua-Koboko'!J13)</f>
        <v>0.14285714285714285</v>
      </c>
      <c r="K13" s="49">
        <f>AVERAGE('31.07 Arua-Koboko'!K13,'01.08 Arua-Koboko'!K13,'04.08 Arua-Koboko'!K13,'05.08 Arua-Koboko'!K13,'02.08 Arua-Koboko-24h'!K13,'03.08 Arua-Koboko-24h'!K13,'06.08 Arua-Koboko'!K13)</f>
        <v>0</v>
      </c>
      <c r="L13" s="49">
        <f>AVERAGE('31.07 Arua-Koboko'!L13,'01.08 Arua-Koboko'!L13,'04.08 Arua-Koboko'!L13,'05.08 Arua-Koboko'!L13,'02.08 Arua-Koboko-24h'!L13,'03.08 Arua-Koboko-24h'!L13,'06.08 Arua-Koboko'!L13)</f>
        <v>0.42857142857142855</v>
      </c>
      <c r="M13" s="49">
        <f>AVERAGE('31.07 Arua-Koboko'!M13,'01.08 Arua-Koboko'!M13,'04.08 Arua-Koboko'!M13,'05.08 Arua-Koboko'!M13,'02.08 Arua-Koboko-24h'!M13,'03.08 Arua-Koboko-24h'!M13,'06.08 Arua-Koboko'!M13)</f>
        <v>21.571428571428573</v>
      </c>
      <c r="N13" s="49">
        <f>AVERAGE('31.07 Arua-Koboko'!N13,'01.08 Arua-Koboko'!N13,'04.08 Arua-Koboko'!N13,'05.08 Arua-Koboko'!N13,'02.08 Arua-Koboko-24h'!N13,'03.08 Arua-Koboko-24h'!N13,'06.08 Arua-Koboko'!N13)</f>
        <v>0.2857142857142857</v>
      </c>
      <c r="O13" s="15">
        <f t="shared" si="0"/>
        <v>16.714285714285712</v>
      </c>
      <c r="P13" s="15">
        <f t="shared" si="1"/>
        <v>38.285714285714285</v>
      </c>
      <c r="R13" s="1" t="s">
        <v>9</v>
      </c>
      <c r="S13" s="17">
        <f t="shared" ref="S13:AF13" si="5">SUM(C22:C25)</f>
        <v>32.714285714285715</v>
      </c>
      <c r="T13" s="17">
        <f t="shared" si="5"/>
        <v>7.5714285714285712</v>
      </c>
      <c r="U13" s="17">
        <f t="shared" si="5"/>
        <v>14.857142857142858</v>
      </c>
      <c r="V13" s="17">
        <f t="shared" si="5"/>
        <v>5.7142857142857144</v>
      </c>
      <c r="W13" s="17">
        <f t="shared" si="5"/>
        <v>0.5714285714285714</v>
      </c>
      <c r="X13" s="17">
        <f t="shared" si="5"/>
        <v>0.5714285714285714</v>
      </c>
      <c r="Y13" s="17">
        <f t="shared" si="5"/>
        <v>6</v>
      </c>
      <c r="Z13" s="17">
        <f t="shared" si="5"/>
        <v>3.8571428571428572</v>
      </c>
      <c r="AA13" s="17">
        <f t="shared" si="5"/>
        <v>0</v>
      </c>
      <c r="AB13" s="17">
        <f t="shared" si="5"/>
        <v>2.1428571428571428</v>
      </c>
      <c r="AC13" s="17">
        <f t="shared" si="5"/>
        <v>156.71428571428572</v>
      </c>
      <c r="AD13" s="17">
        <f t="shared" si="5"/>
        <v>0</v>
      </c>
      <c r="AE13" s="31">
        <f t="shared" si="5"/>
        <v>74</v>
      </c>
      <c r="AF13" s="31">
        <f t="shared" si="5"/>
        <v>230.71428571428572</v>
      </c>
    </row>
    <row r="14" spans="2:32" ht="23.1" customHeight="1" x14ac:dyDescent="0.25">
      <c r="B14" s="23" t="s">
        <v>41</v>
      </c>
      <c r="C14" s="49">
        <f>AVERAGE('31.07 Arua-Koboko'!C14,'01.08 Arua-Koboko'!C14,'04.08 Arua-Koboko'!C14,'05.08 Arua-Koboko'!C14,'02.08 Arua-Koboko-24h'!C14,'03.08 Arua-Koboko-24h'!C14,'06.08 Arua-Koboko'!C14)</f>
        <v>5.2857142857142856</v>
      </c>
      <c r="D14" s="49">
        <f>AVERAGE('31.07 Arua-Koboko'!D14,'01.08 Arua-Koboko'!D14,'04.08 Arua-Koboko'!D14,'05.08 Arua-Koboko'!D14,'02.08 Arua-Koboko-24h'!D14,'03.08 Arua-Koboko-24h'!D14,'06.08 Arua-Koboko'!D14)</f>
        <v>0.7142857142857143</v>
      </c>
      <c r="E14" s="49">
        <f>AVERAGE('31.07 Arua-Koboko'!E14,'01.08 Arua-Koboko'!E14,'04.08 Arua-Koboko'!E14,'05.08 Arua-Koboko'!E14,'02.08 Arua-Koboko-24h'!E14,'03.08 Arua-Koboko-24h'!E14,'06.08 Arua-Koboko'!E14)</f>
        <v>1.2857142857142858</v>
      </c>
      <c r="F14" s="49">
        <f>AVERAGE('31.07 Arua-Koboko'!F14,'01.08 Arua-Koboko'!F14,'04.08 Arua-Koboko'!F14,'05.08 Arua-Koboko'!F14,'02.08 Arua-Koboko-24h'!F14,'03.08 Arua-Koboko-24h'!F14,'06.08 Arua-Koboko'!F14)</f>
        <v>2.1428571428571428</v>
      </c>
      <c r="G14" s="49">
        <f>AVERAGE('31.07 Arua-Koboko'!G14,'01.08 Arua-Koboko'!G14,'04.08 Arua-Koboko'!G14,'05.08 Arua-Koboko'!G14,'02.08 Arua-Koboko-24h'!G14,'03.08 Arua-Koboko-24h'!G14,'06.08 Arua-Koboko'!G14)</f>
        <v>0</v>
      </c>
      <c r="H14" s="49">
        <f>AVERAGE('31.07 Arua-Koboko'!H14,'01.08 Arua-Koboko'!H14,'04.08 Arua-Koboko'!H14,'05.08 Arua-Koboko'!H14,'02.08 Arua-Koboko-24h'!H14,'03.08 Arua-Koboko-24h'!H14,'06.08 Arua-Koboko'!H14)</f>
        <v>0.5714285714285714</v>
      </c>
      <c r="I14" s="49">
        <f>AVERAGE('31.07 Arua-Koboko'!I14,'01.08 Arua-Koboko'!I14,'04.08 Arua-Koboko'!I14,'05.08 Arua-Koboko'!I14,'02.08 Arua-Koboko-24h'!I14,'03.08 Arua-Koboko-24h'!I14,'06.08 Arua-Koboko'!I14)</f>
        <v>1.2857142857142858</v>
      </c>
      <c r="J14" s="49">
        <f>AVERAGE('31.07 Arua-Koboko'!J14,'01.08 Arua-Koboko'!J14,'04.08 Arua-Koboko'!J14,'05.08 Arua-Koboko'!J14,'02.08 Arua-Koboko-24h'!J14,'03.08 Arua-Koboko-24h'!J14,'06.08 Arua-Koboko'!J14)</f>
        <v>0.8571428571428571</v>
      </c>
      <c r="K14" s="49">
        <f>AVERAGE('31.07 Arua-Koboko'!K14,'01.08 Arua-Koboko'!K14,'04.08 Arua-Koboko'!K14,'05.08 Arua-Koboko'!K14,'02.08 Arua-Koboko-24h'!K14,'03.08 Arua-Koboko-24h'!K14,'06.08 Arua-Koboko'!K14)</f>
        <v>0</v>
      </c>
      <c r="L14" s="49">
        <f>AVERAGE('31.07 Arua-Koboko'!L14,'01.08 Arua-Koboko'!L14,'04.08 Arua-Koboko'!L14,'05.08 Arua-Koboko'!L14,'02.08 Arua-Koboko-24h'!L14,'03.08 Arua-Koboko-24h'!L14,'06.08 Arua-Koboko'!L14)</f>
        <v>0.5714285714285714</v>
      </c>
      <c r="M14" s="49">
        <f>AVERAGE('31.07 Arua-Koboko'!M14,'01.08 Arua-Koboko'!M14,'04.08 Arua-Koboko'!M14,'05.08 Arua-Koboko'!M14,'02.08 Arua-Koboko-24h'!M14,'03.08 Arua-Koboko-24h'!M14,'06.08 Arua-Koboko'!M14)</f>
        <v>30.142857142857142</v>
      </c>
      <c r="N14" s="49">
        <f>AVERAGE('31.07 Arua-Koboko'!N14,'01.08 Arua-Koboko'!N14,'04.08 Arua-Koboko'!N14,'05.08 Arua-Koboko'!N14,'02.08 Arua-Koboko-24h'!N14,'03.08 Arua-Koboko-24h'!N14,'06.08 Arua-Koboko'!N14)</f>
        <v>0</v>
      </c>
      <c r="O14" s="15">
        <f t="shared" si="0"/>
        <v>12.714285714285715</v>
      </c>
      <c r="P14" s="15">
        <f t="shared" si="1"/>
        <v>42.857142857142861</v>
      </c>
      <c r="R14" s="1" t="s">
        <v>10</v>
      </c>
      <c r="S14" s="17">
        <f t="shared" ref="S14:AF14" si="6">SUM(C26:C29)</f>
        <v>37.571428571428569</v>
      </c>
      <c r="T14" s="17">
        <f t="shared" si="6"/>
        <v>4.8571428571428577</v>
      </c>
      <c r="U14" s="17">
        <f t="shared" si="6"/>
        <v>11.428571428571429</v>
      </c>
      <c r="V14" s="17">
        <f t="shared" si="6"/>
        <v>4.4285714285714288</v>
      </c>
      <c r="W14" s="17">
        <f t="shared" si="6"/>
        <v>0.2857142857142857</v>
      </c>
      <c r="X14" s="17">
        <f t="shared" si="6"/>
        <v>0.14285714285714285</v>
      </c>
      <c r="Y14" s="17">
        <f t="shared" si="6"/>
        <v>4.2857142857142856</v>
      </c>
      <c r="Z14" s="17">
        <f t="shared" si="6"/>
        <v>3.4523809523809526</v>
      </c>
      <c r="AA14" s="17">
        <f t="shared" si="6"/>
        <v>0</v>
      </c>
      <c r="AB14" s="17">
        <f t="shared" si="6"/>
        <v>2.1428571428571428</v>
      </c>
      <c r="AC14" s="17">
        <f t="shared" si="6"/>
        <v>133.14285714285714</v>
      </c>
      <c r="AD14" s="17">
        <f t="shared" si="6"/>
        <v>0.14285714285714285</v>
      </c>
      <c r="AE14" s="31">
        <f t="shared" si="6"/>
        <v>68.738095238095241</v>
      </c>
      <c r="AF14" s="31">
        <f t="shared" si="6"/>
        <v>201.88095238095241</v>
      </c>
    </row>
    <row r="15" spans="2:32" ht="23.1" customHeight="1" x14ac:dyDescent="0.25">
      <c r="B15" s="23" t="s">
        <v>42</v>
      </c>
      <c r="C15" s="49">
        <f>AVERAGE('31.07 Arua-Koboko'!C15,'01.08 Arua-Koboko'!C15,'04.08 Arua-Koboko'!C15,'05.08 Arua-Koboko'!C15,'02.08 Arua-Koboko-24h'!C15,'03.08 Arua-Koboko-24h'!C15,'06.08 Arua-Koboko'!C15)</f>
        <v>9.8571428571428577</v>
      </c>
      <c r="D15" s="49">
        <f>AVERAGE('31.07 Arua-Koboko'!D15,'01.08 Arua-Koboko'!D15,'04.08 Arua-Koboko'!D15,'05.08 Arua-Koboko'!D15,'02.08 Arua-Koboko-24h'!D15,'03.08 Arua-Koboko-24h'!D15,'06.08 Arua-Koboko'!D15)</f>
        <v>1</v>
      </c>
      <c r="E15" s="49">
        <f>AVERAGE('31.07 Arua-Koboko'!E15,'01.08 Arua-Koboko'!E15,'04.08 Arua-Koboko'!E15,'05.08 Arua-Koboko'!E15,'02.08 Arua-Koboko-24h'!E15,'03.08 Arua-Koboko-24h'!E15,'06.08 Arua-Koboko'!E15)</f>
        <v>2.7142857142857144</v>
      </c>
      <c r="F15" s="49">
        <f>AVERAGE('31.07 Arua-Koboko'!F15,'01.08 Arua-Koboko'!F15,'04.08 Arua-Koboko'!F15,'05.08 Arua-Koboko'!F15,'02.08 Arua-Koboko-24h'!F15,'03.08 Arua-Koboko-24h'!F15,'06.08 Arua-Koboko'!F15)</f>
        <v>1.4285714285714286</v>
      </c>
      <c r="G15" s="49">
        <f>AVERAGE('31.07 Arua-Koboko'!G15,'01.08 Arua-Koboko'!G15,'04.08 Arua-Koboko'!G15,'05.08 Arua-Koboko'!G15,'02.08 Arua-Koboko-24h'!G15,'03.08 Arua-Koboko-24h'!G15,'06.08 Arua-Koboko'!G15)</f>
        <v>0.42857142857142855</v>
      </c>
      <c r="H15" s="49">
        <f>AVERAGE('31.07 Arua-Koboko'!H15,'01.08 Arua-Koboko'!H15,'04.08 Arua-Koboko'!H15,'05.08 Arua-Koboko'!H15,'02.08 Arua-Koboko-24h'!H15,'03.08 Arua-Koboko-24h'!H15,'06.08 Arua-Koboko'!H15)</f>
        <v>0</v>
      </c>
      <c r="I15" s="49">
        <f>AVERAGE('31.07 Arua-Koboko'!I15,'01.08 Arua-Koboko'!I15,'04.08 Arua-Koboko'!I15,'05.08 Arua-Koboko'!I15,'02.08 Arua-Koboko-24h'!I15,'03.08 Arua-Koboko-24h'!I15,'06.08 Arua-Koboko'!I15)</f>
        <v>0.5714285714285714</v>
      </c>
      <c r="J15" s="49">
        <f>AVERAGE('31.07 Arua-Koboko'!J15,'01.08 Arua-Koboko'!J15,'04.08 Arua-Koboko'!J15,'05.08 Arua-Koboko'!J15,'02.08 Arua-Koboko-24h'!J15,'03.08 Arua-Koboko-24h'!J15,'06.08 Arua-Koboko'!J15)</f>
        <v>1.2857142857142858</v>
      </c>
      <c r="K15" s="49">
        <f>AVERAGE('31.07 Arua-Koboko'!K15,'01.08 Arua-Koboko'!K15,'04.08 Arua-Koboko'!K15,'05.08 Arua-Koboko'!K15,'02.08 Arua-Koboko-24h'!K15,'03.08 Arua-Koboko-24h'!K15,'06.08 Arua-Koboko'!K15)</f>
        <v>0</v>
      </c>
      <c r="L15" s="49">
        <f>AVERAGE('31.07 Arua-Koboko'!L15,'01.08 Arua-Koboko'!L15,'04.08 Arua-Koboko'!L15,'05.08 Arua-Koboko'!L15,'02.08 Arua-Koboko-24h'!L15,'03.08 Arua-Koboko-24h'!L15,'06.08 Arua-Koboko'!L15)</f>
        <v>0.8571428571428571</v>
      </c>
      <c r="M15" s="49">
        <f>AVERAGE('31.07 Arua-Koboko'!M15,'01.08 Arua-Koboko'!M15,'04.08 Arua-Koboko'!M15,'05.08 Arua-Koboko'!M15,'02.08 Arua-Koboko-24h'!M15,'03.08 Arua-Koboko-24h'!M15,'06.08 Arua-Koboko'!M15)</f>
        <v>25.571428571428573</v>
      </c>
      <c r="N15" s="49">
        <f>AVERAGE('31.07 Arua-Koboko'!N15,'01.08 Arua-Koboko'!N15,'04.08 Arua-Koboko'!N15,'05.08 Arua-Koboko'!N15,'02.08 Arua-Koboko-24h'!N15,'03.08 Arua-Koboko-24h'!N15,'06.08 Arua-Koboko'!N15)</f>
        <v>0</v>
      </c>
      <c r="O15" s="15">
        <f t="shared" si="0"/>
        <v>18.142857142857146</v>
      </c>
      <c r="P15" s="15">
        <f t="shared" si="1"/>
        <v>43.714285714285722</v>
      </c>
      <c r="R15" s="1" t="s">
        <v>11</v>
      </c>
      <c r="S15" s="17">
        <f t="shared" ref="S15:AF15" si="7">SUM(C30:C33)</f>
        <v>33.428571428571431</v>
      </c>
      <c r="T15" s="17">
        <f t="shared" si="7"/>
        <v>4.8571428571428568</v>
      </c>
      <c r="U15" s="17">
        <f t="shared" si="7"/>
        <v>10.714285714285714</v>
      </c>
      <c r="V15" s="17">
        <f t="shared" si="7"/>
        <v>5.1428571428571432</v>
      </c>
      <c r="W15" s="17">
        <f t="shared" si="7"/>
        <v>0.42857142857142855</v>
      </c>
      <c r="X15" s="17">
        <f t="shared" si="7"/>
        <v>0.42857142857142855</v>
      </c>
      <c r="Y15" s="17">
        <f t="shared" si="7"/>
        <v>4.8571428571428568</v>
      </c>
      <c r="Z15" s="17">
        <f t="shared" si="7"/>
        <v>3.714285714285714</v>
      </c>
      <c r="AA15" s="17">
        <f t="shared" si="7"/>
        <v>0.2857142857142857</v>
      </c>
      <c r="AB15" s="17">
        <f t="shared" si="7"/>
        <v>0.85714285714285698</v>
      </c>
      <c r="AC15" s="17">
        <f t="shared" si="7"/>
        <v>134.14285714285714</v>
      </c>
      <c r="AD15" s="17">
        <f t="shared" si="7"/>
        <v>0.14285714285714285</v>
      </c>
      <c r="AE15" s="31">
        <f t="shared" si="7"/>
        <v>64.857142857142861</v>
      </c>
      <c r="AF15" s="31">
        <f t="shared" si="7"/>
        <v>199</v>
      </c>
    </row>
    <row r="16" spans="2:32" ht="23.1" customHeight="1" x14ac:dyDescent="0.25">
      <c r="B16" s="23" t="s">
        <v>43</v>
      </c>
      <c r="C16" s="49">
        <f>AVERAGE('31.07 Arua-Koboko'!C16,'01.08 Arua-Koboko'!C16,'04.08 Arua-Koboko'!C16,'05.08 Arua-Koboko'!C16,'02.08 Arua-Koboko-24h'!C16,'03.08 Arua-Koboko-24h'!C16,'06.08 Arua-Koboko'!C16)</f>
        <v>5.2857142857142856</v>
      </c>
      <c r="D16" s="49">
        <f>AVERAGE('31.07 Arua-Koboko'!D16,'01.08 Arua-Koboko'!D16,'04.08 Arua-Koboko'!D16,'05.08 Arua-Koboko'!D16,'02.08 Arua-Koboko-24h'!D16,'03.08 Arua-Koboko-24h'!D16,'06.08 Arua-Koboko'!D16)</f>
        <v>1.2857142857142858</v>
      </c>
      <c r="E16" s="49">
        <f>AVERAGE('31.07 Arua-Koboko'!E16,'01.08 Arua-Koboko'!E16,'04.08 Arua-Koboko'!E16,'05.08 Arua-Koboko'!E16,'02.08 Arua-Koboko-24h'!E16,'03.08 Arua-Koboko-24h'!E16,'06.08 Arua-Koboko'!E16)</f>
        <v>2.2857142857142856</v>
      </c>
      <c r="F16" s="49">
        <f>AVERAGE('31.07 Arua-Koboko'!F16,'01.08 Arua-Koboko'!F16,'04.08 Arua-Koboko'!F16,'05.08 Arua-Koboko'!F16,'02.08 Arua-Koboko-24h'!F16,'03.08 Arua-Koboko-24h'!F16,'06.08 Arua-Koboko'!F16)</f>
        <v>1.5714285714285714</v>
      </c>
      <c r="G16" s="49">
        <f>AVERAGE('31.07 Arua-Koboko'!G16,'01.08 Arua-Koboko'!G16,'04.08 Arua-Koboko'!G16,'05.08 Arua-Koboko'!G16,'02.08 Arua-Koboko-24h'!G16,'03.08 Arua-Koboko-24h'!G16,'06.08 Arua-Koboko'!G16)</f>
        <v>0.5714285714285714</v>
      </c>
      <c r="H16" s="49">
        <f>AVERAGE('31.07 Arua-Koboko'!H16,'01.08 Arua-Koboko'!H16,'04.08 Arua-Koboko'!H16,'05.08 Arua-Koboko'!H16,'02.08 Arua-Koboko-24h'!H16,'03.08 Arua-Koboko-24h'!H16,'06.08 Arua-Koboko'!H16)</f>
        <v>0</v>
      </c>
      <c r="I16" s="49">
        <f>AVERAGE('31.07 Arua-Koboko'!I16,'01.08 Arua-Koboko'!I16,'04.08 Arua-Koboko'!I16,'05.08 Arua-Koboko'!I16,'02.08 Arua-Koboko-24h'!I16,'03.08 Arua-Koboko-24h'!I16,'06.08 Arua-Koboko'!I16)</f>
        <v>1.7142857142857142</v>
      </c>
      <c r="J16" s="49">
        <f>AVERAGE('31.07 Arua-Koboko'!J16,'01.08 Arua-Koboko'!J16,'04.08 Arua-Koboko'!J16,'05.08 Arua-Koboko'!J16,'02.08 Arua-Koboko-24h'!J16,'03.08 Arua-Koboko-24h'!J16,'06.08 Arua-Koboko'!J16)</f>
        <v>1</v>
      </c>
      <c r="K16" s="49">
        <f>AVERAGE('31.07 Arua-Koboko'!K16,'01.08 Arua-Koboko'!K16,'04.08 Arua-Koboko'!K16,'05.08 Arua-Koboko'!K16,'02.08 Arua-Koboko-24h'!K16,'03.08 Arua-Koboko-24h'!K16,'06.08 Arua-Koboko'!K16)</f>
        <v>0.14285714285714285</v>
      </c>
      <c r="L16" s="49">
        <f>AVERAGE('31.07 Arua-Koboko'!L16,'01.08 Arua-Koboko'!L16,'04.08 Arua-Koboko'!L16,'05.08 Arua-Koboko'!L16,'02.08 Arua-Koboko-24h'!L16,'03.08 Arua-Koboko-24h'!L16,'06.08 Arua-Koboko'!L16)</f>
        <v>1.8571428571428572</v>
      </c>
      <c r="M16" s="49">
        <f>AVERAGE('31.07 Arua-Koboko'!M16,'01.08 Arua-Koboko'!M16,'04.08 Arua-Koboko'!M16,'05.08 Arua-Koboko'!M16,'02.08 Arua-Koboko-24h'!M16,'03.08 Arua-Koboko-24h'!M16,'06.08 Arua-Koboko'!M16)</f>
        <v>26</v>
      </c>
      <c r="N16" s="49">
        <f>AVERAGE('31.07 Arua-Koboko'!N16,'01.08 Arua-Koboko'!N16,'04.08 Arua-Koboko'!N16,'05.08 Arua-Koboko'!N16,'02.08 Arua-Koboko-24h'!N16,'03.08 Arua-Koboko-24h'!N16,'06.08 Arua-Koboko'!N16)</f>
        <v>0</v>
      </c>
      <c r="O16" s="15">
        <f t="shared" si="0"/>
        <v>15.714285714285714</v>
      </c>
      <c r="P16" s="15">
        <f t="shared" si="1"/>
        <v>41.714285714285715</v>
      </c>
      <c r="R16" s="1" t="s">
        <v>12</v>
      </c>
      <c r="S16" s="17">
        <f t="shared" ref="S16:AF16" si="8">SUM(C34:C37)</f>
        <v>23.857142857142861</v>
      </c>
      <c r="T16" s="17">
        <f t="shared" si="8"/>
        <v>3.7142857142857144</v>
      </c>
      <c r="U16" s="17">
        <f t="shared" si="8"/>
        <v>7.7142857142857153</v>
      </c>
      <c r="V16" s="17">
        <f t="shared" si="8"/>
        <v>3.1428571428571423</v>
      </c>
      <c r="W16" s="17">
        <f t="shared" si="8"/>
        <v>0</v>
      </c>
      <c r="X16" s="17">
        <f t="shared" si="8"/>
        <v>0.5714285714285714</v>
      </c>
      <c r="Y16" s="17">
        <f t="shared" si="8"/>
        <v>4.5714285714285712</v>
      </c>
      <c r="Z16" s="17">
        <f t="shared" si="8"/>
        <v>4.371428571428571</v>
      </c>
      <c r="AA16" s="17">
        <f t="shared" si="8"/>
        <v>0.42857142857142855</v>
      </c>
      <c r="AB16" s="17">
        <f t="shared" si="8"/>
        <v>1.5714285714285712</v>
      </c>
      <c r="AC16" s="17">
        <f t="shared" si="8"/>
        <v>132.14285714285714</v>
      </c>
      <c r="AD16" s="17">
        <f t="shared" si="8"/>
        <v>1.4761904761904761</v>
      </c>
      <c r="AE16" s="31">
        <f t="shared" si="8"/>
        <v>51.419047619047625</v>
      </c>
      <c r="AF16" s="31">
        <f t="shared" si="8"/>
        <v>183.56190476190477</v>
      </c>
    </row>
    <row r="17" spans="2:32" ht="23.1" customHeight="1" x14ac:dyDescent="0.25">
      <c r="B17" s="23" t="s">
        <v>44</v>
      </c>
      <c r="C17" s="49">
        <f>AVERAGE('31.07 Arua-Koboko'!C17,'01.08 Arua-Koboko'!C17,'04.08 Arua-Koboko'!C17,'05.08 Arua-Koboko'!C17,'02.08 Arua-Koboko-24h'!C17,'03.08 Arua-Koboko-24h'!C17,'06.08 Arua-Koboko'!C17)</f>
        <v>5.2857142857142856</v>
      </c>
      <c r="D17" s="49">
        <f>AVERAGE('31.07 Arua-Koboko'!D17,'01.08 Arua-Koboko'!D17,'04.08 Arua-Koboko'!D17,'05.08 Arua-Koboko'!D17,'02.08 Arua-Koboko-24h'!D17,'03.08 Arua-Koboko-24h'!D17,'06.08 Arua-Koboko'!D17)</f>
        <v>1.8571428571428572</v>
      </c>
      <c r="E17" s="49">
        <f>AVERAGE('31.07 Arua-Koboko'!E17,'01.08 Arua-Koboko'!E17,'04.08 Arua-Koboko'!E17,'05.08 Arua-Koboko'!E17,'02.08 Arua-Koboko-24h'!E17,'03.08 Arua-Koboko-24h'!E17,'06.08 Arua-Koboko'!E17)</f>
        <v>3.4285714285714284</v>
      </c>
      <c r="F17" s="49">
        <f>AVERAGE('31.07 Arua-Koboko'!F17,'01.08 Arua-Koboko'!F17,'04.08 Arua-Koboko'!F17,'05.08 Arua-Koboko'!F17,'02.08 Arua-Koboko-24h'!F17,'03.08 Arua-Koboko-24h'!F17,'06.08 Arua-Koboko'!F17)</f>
        <v>2</v>
      </c>
      <c r="G17" s="49">
        <f>AVERAGE('31.07 Arua-Koboko'!G17,'01.08 Arua-Koboko'!G17,'04.08 Arua-Koboko'!G17,'05.08 Arua-Koboko'!G17,'02.08 Arua-Koboko-24h'!G17,'03.08 Arua-Koboko-24h'!G17,'06.08 Arua-Koboko'!G17)</f>
        <v>0.14285714285714285</v>
      </c>
      <c r="H17" s="49">
        <f>AVERAGE('31.07 Arua-Koboko'!H17,'01.08 Arua-Koboko'!H17,'04.08 Arua-Koboko'!H17,'05.08 Arua-Koboko'!H17,'02.08 Arua-Koboko-24h'!H17,'03.08 Arua-Koboko-24h'!H17,'06.08 Arua-Koboko'!H17)</f>
        <v>0</v>
      </c>
      <c r="I17" s="49">
        <f>AVERAGE('31.07 Arua-Koboko'!I17,'01.08 Arua-Koboko'!I17,'04.08 Arua-Koboko'!I17,'05.08 Arua-Koboko'!I17,'02.08 Arua-Koboko-24h'!I17,'03.08 Arua-Koboko-24h'!I17,'06.08 Arua-Koboko'!I17)</f>
        <v>2.1428571428571428</v>
      </c>
      <c r="J17" s="49">
        <f>AVERAGE('31.07 Arua-Koboko'!J17,'01.08 Arua-Koboko'!J17,'04.08 Arua-Koboko'!J17,'05.08 Arua-Koboko'!J17,'02.08 Arua-Koboko-24h'!J17,'03.08 Arua-Koboko-24h'!J17,'06.08 Arua-Koboko'!J17)</f>
        <v>1</v>
      </c>
      <c r="K17" s="49">
        <f>AVERAGE('31.07 Arua-Koboko'!K17,'01.08 Arua-Koboko'!K17,'04.08 Arua-Koboko'!K17,'05.08 Arua-Koboko'!K17,'02.08 Arua-Koboko-24h'!K17,'03.08 Arua-Koboko-24h'!K17,'06.08 Arua-Koboko'!K17)</f>
        <v>0</v>
      </c>
      <c r="L17" s="49">
        <f>AVERAGE('31.07 Arua-Koboko'!L17,'01.08 Arua-Koboko'!L17,'04.08 Arua-Koboko'!L17,'05.08 Arua-Koboko'!L17,'02.08 Arua-Koboko-24h'!L17,'03.08 Arua-Koboko-24h'!L17,'06.08 Arua-Koboko'!L17)</f>
        <v>0.14285714285714285</v>
      </c>
      <c r="M17" s="49">
        <f>AVERAGE('31.07 Arua-Koboko'!M17,'01.08 Arua-Koboko'!M17,'04.08 Arua-Koboko'!M17,'05.08 Arua-Koboko'!M17,'02.08 Arua-Koboko-24h'!M17,'03.08 Arua-Koboko-24h'!M17,'06.08 Arua-Koboko'!M17)</f>
        <v>23.285714285714285</v>
      </c>
      <c r="N17" s="49">
        <f>AVERAGE('31.07 Arua-Koboko'!N17,'01.08 Arua-Koboko'!N17,'04.08 Arua-Koboko'!N17,'05.08 Arua-Koboko'!N17,'02.08 Arua-Koboko-24h'!N17,'03.08 Arua-Koboko-24h'!N17,'06.08 Arua-Koboko'!N17)</f>
        <v>0</v>
      </c>
      <c r="O17" s="15">
        <f t="shared" si="0"/>
        <v>15.999999999999998</v>
      </c>
      <c r="P17" s="15">
        <f t="shared" si="1"/>
        <v>39.285714285714285</v>
      </c>
      <c r="R17" s="1" t="s">
        <v>13</v>
      </c>
      <c r="S17" s="17">
        <f t="shared" ref="S17:AF17" si="9">SUM(C38:C41)</f>
        <v>30.857142857142861</v>
      </c>
      <c r="T17" s="17">
        <f t="shared" si="9"/>
        <v>2.5714285714285712</v>
      </c>
      <c r="U17" s="17">
        <f t="shared" si="9"/>
        <v>5.2857142857142856</v>
      </c>
      <c r="V17" s="17">
        <f t="shared" si="9"/>
        <v>4.1428571428571432</v>
      </c>
      <c r="W17" s="17">
        <f t="shared" si="9"/>
        <v>0.2857142857142857</v>
      </c>
      <c r="X17" s="17">
        <f t="shared" si="9"/>
        <v>0.2857142857142857</v>
      </c>
      <c r="Y17" s="17">
        <f t="shared" si="9"/>
        <v>4.4285714285714288</v>
      </c>
      <c r="Z17" s="17">
        <f t="shared" si="9"/>
        <v>4.5714285714285712</v>
      </c>
      <c r="AA17" s="17">
        <f t="shared" si="9"/>
        <v>0</v>
      </c>
      <c r="AB17" s="17">
        <f t="shared" si="9"/>
        <v>0.42857142857142855</v>
      </c>
      <c r="AC17" s="17">
        <f t="shared" si="9"/>
        <v>133.28571428571428</v>
      </c>
      <c r="AD17" s="17">
        <f t="shared" si="9"/>
        <v>0</v>
      </c>
      <c r="AE17" s="31">
        <f t="shared" si="9"/>
        <v>52.857142857142854</v>
      </c>
      <c r="AF17" s="31">
        <f t="shared" si="9"/>
        <v>186.14285714285714</v>
      </c>
    </row>
    <row r="18" spans="2:32" ht="23.1" customHeight="1" x14ac:dyDescent="0.25">
      <c r="B18" s="23" t="s">
        <v>45</v>
      </c>
      <c r="C18" s="49">
        <f>AVERAGE('31.07 Arua-Koboko'!C18,'01.08 Arua-Koboko'!C18,'04.08 Arua-Koboko'!C18,'05.08 Arua-Koboko'!C18,'02.08 Arua-Koboko-24h'!C18,'03.08 Arua-Koboko-24h'!C18,'06.08 Arua-Koboko'!C18)</f>
        <v>7.2857142857142856</v>
      </c>
      <c r="D18" s="49">
        <f>AVERAGE('31.07 Arua-Koboko'!D18,'01.08 Arua-Koboko'!D18,'04.08 Arua-Koboko'!D18,'05.08 Arua-Koboko'!D18,'02.08 Arua-Koboko-24h'!D18,'03.08 Arua-Koboko-24h'!D18,'06.08 Arua-Koboko'!D18)</f>
        <v>1.5714285714285714</v>
      </c>
      <c r="E18" s="49">
        <f>AVERAGE('31.07 Arua-Koboko'!E18,'01.08 Arua-Koboko'!E18,'04.08 Arua-Koboko'!E18,'05.08 Arua-Koboko'!E18,'02.08 Arua-Koboko-24h'!E18,'03.08 Arua-Koboko-24h'!E18,'06.08 Arua-Koboko'!E18)</f>
        <v>2.7142857142857144</v>
      </c>
      <c r="F18" s="49">
        <f>AVERAGE('31.07 Arua-Koboko'!F18,'01.08 Arua-Koboko'!F18,'04.08 Arua-Koboko'!F18,'05.08 Arua-Koboko'!F18,'02.08 Arua-Koboko-24h'!F18,'03.08 Arua-Koboko-24h'!F18,'06.08 Arua-Koboko'!F18)</f>
        <v>1.5714285714285714</v>
      </c>
      <c r="G18" s="49">
        <f>AVERAGE('31.07 Arua-Koboko'!G18,'01.08 Arua-Koboko'!G18,'04.08 Arua-Koboko'!G18,'05.08 Arua-Koboko'!G18,'02.08 Arua-Koboko-24h'!G18,'03.08 Arua-Koboko-24h'!G18,'06.08 Arua-Koboko'!G18)</f>
        <v>0.2857142857142857</v>
      </c>
      <c r="H18" s="49">
        <f>AVERAGE('31.07 Arua-Koboko'!H18,'01.08 Arua-Koboko'!H18,'04.08 Arua-Koboko'!H18,'05.08 Arua-Koboko'!H18,'02.08 Arua-Koboko-24h'!H18,'03.08 Arua-Koboko-24h'!H18,'06.08 Arua-Koboko'!H18)</f>
        <v>0</v>
      </c>
      <c r="I18" s="49">
        <f>AVERAGE('31.07 Arua-Koboko'!I18,'01.08 Arua-Koboko'!I18,'04.08 Arua-Koboko'!I18,'05.08 Arua-Koboko'!I18,'02.08 Arua-Koboko-24h'!I18,'03.08 Arua-Koboko-24h'!I18,'06.08 Arua-Koboko'!I18)</f>
        <v>0.8571428571428571</v>
      </c>
      <c r="J18" s="49">
        <f>AVERAGE('31.07 Arua-Koboko'!J18,'01.08 Arua-Koboko'!J18,'04.08 Arua-Koboko'!J18,'05.08 Arua-Koboko'!J18,'02.08 Arua-Koboko-24h'!J18,'03.08 Arua-Koboko-24h'!J18,'06.08 Arua-Koboko'!J18)</f>
        <v>1</v>
      </c>
      <c r="K18" s="49">
        <f>AVERAGE('31.07 Arua-Koboko'!K18,'01.08 Arua-Koboko'!K18,'04.08 Arua-Koboko'!K18,'05.08 Arua-Koboko'!K18,'02.08 Arua-Koboko-24h'!K18,'03.08 Arua-Koboko-24h'!K18,'06.08 Arua-Koboko'!K18)</f>
        <v>0</v>
      </c>
      <c r="L18" s="49">
        <f>AVERAGE('31.07 Arua-Koboko'!L18,'01.08 Arua-Koboko'!L18,'04.08 Arua-Koboko'!L18,'05.08 Arua-Koboko'!L18,'02.08 Arua-Koboko-24h'!L18,'03.08 Arua-Koboko-24h'!L18,'06.08 Arua-Koboko'!L18)</f>
        <v>0.2857142857142857</v>
      </c>
      <c r="M18" s="49">
        <f>AVERAGE('31.07 Arua-Koboko'!M18,'01.08 Arua-Koboko'!M18,'04.08 Arua-Koboko'!M18,'05.08 Arua-Koboko'!M18,'02.08 Arua-Koboko-24h'!M18,'03.08 Arua-Koboko-24h'!M18,'06.08 Arua-Koboko'!M18)</f>
        <v>30.285714285714285</v>
      </c>
      <c r="N18" s="49">
        <f>AVERAGE('31.07 Arua-Koboko'!N18,'01.08 Arua-Koboko'!N18,'04.08 Arua-Koboko'!N18,'05.08 Arua-Koboko'!N18,'02.08 Arua-Koboko-24h'!N18,'03.08 Arua-Koboko-24h'!N18,'06.08 Arua-Koboko'!N18)</f>
        <v>0</v>
      </c>
      <c r="O18" s="15">
        <f t="shared" si="0"/>
        <v>15.571428571428575</v>
      </c>
      <c r="P18" s="15">
        <f t="shared" si="1"/>
        <v>45.857142857142861</v>
      </c>
      <c r="R18" s="1" t="s">
        <v>14</v>
      </c>
      <c r="S18" s="17">
        <f t="shared" ref="S18:AF18" si="10">SUM(C42:C45)</f>
        <v>28.285714285714285</v>
      </c>
      <c r="T18" s="17">
        <f t="shared" si="10"/>
        <v>3.2857142857142851</v>
      </c>
      <c r="U18" s="17">
        <f t="shared" si="10"/>
        <v>7.1428571428571432</v>
      </c>
      <c r="V18" s="17">
        <f t="shared" si="10"/>
        <v>1.9999999999999998</v>
      </c>
      <c r="W18" s="17">
        <f t="shared" si="10"/>
        <v>0</v>
      </c>
      <c r="X18" s="17">
        <f t="shared" si="10"/>
        <v>0.5714285714285714</v>
      </c>
      <c r="Y18" s="17">
        <f t="shared" si="10"/>
        <v>5.5714285714285712</v>
      </c>
      <c r="Z18" s="17">
        <f t="shared" si="10"/>
        <v>4.4523809523809526</v>
      </c>
      <c r="AA18" s="17">
        <f t="shared" si="10"/>
        <v>0</v>
      </c>
      <c r="AB18" s="17">
        <f t="shared" si="10"/>
        <v>1.1428571428571428</v>
      </c>
      <c r="AC18" s="17">
        <f t="shared" si="10"/>
        <v>106.85714285714286</v>
      </c>
      <c r="AD18" s="17">
        <f t="shared" si="10"/>
        <v>0</v>
      </c>
      <c r="AE18" s="31">
        <f t="shared" si="10"/>
        <v>52.452380952380956</v>
      </c>
      <c r="AF18" s="31">
        <f t="shared" si="10"/>
        <v>159.3095238095238</v>
      </c>
    </row>
    <row r="19" spans="2:32" ht="23.1" customHeight="1" x14ac:dyDescent="0.25">
      <c r="B19" s="23" t="s">
        <v>46</v>
      </c>
      <c r="C19" s="49">
        <f>AVERAGE('31.07 Arua-Koboko'!C19,'01.08 Arua-Koboko'!C19,'04.08 Arua-Koboko'!C19,'05.08 Arua-Koboko'!C19,'02.08 Arua-Koboko-24h'!C19,'03.08 Arua-Koboko-24h'!C19,'06.08 Arua-Koboko'!C19)</f>
        <v>5.8571428571428568</v>
      </c>
      <c r="D19" s="49">
        <f>AVERAGE('31.07 Arua-Koboko'!D19,'01.08 Arua-Koboko'!D19,'04.08 Arua-Koboko'!D19,'05.08 Arua-Koboko'!D19,'02.08 Arua-Koboko-24h'!D19,'03.08 Arua-Koboko-24h'!D19,'06.08 Arua-Koboko'!D19)</f>
        <v>1.2857142857142858</v>
      </c>
      <c r="E19" s="49">
        <f>AVERAGE('31.07 Arua-Koboko'!E19,'01.08 Arua-Koboko'!E19,'04.08 Arua-Koboko'!E19,'05.08 Arua-Koboko'!E19,'02.08 Arua-Koboko-24h'!E19,'03.08 Arua-Koboko-24h'!E19,'06.08 Arua-Koboko'!E19)</f>
        <v>2.4285714285714284</v>
      </c>
      <c r="F19" s="49">
        <f>AVERAGE('31.07 Arua-Koboko'!F19,'01.08 Arua-Koboko'!F19,'04.08 Arua-Koboko'!F19,'05.08 Arua-Koboko'!F19,'02.08 Arua-Koboko-24h'!F19,'03.08 Arua-Koboko-24h'!F19,'06.08 Arua-Koboko'!F19)</f>
        <v>2.1428571428571428</v>
      </c>
      <c r="G19" s="49">
        <f>AVERAGE('31.07 Arua-Koboko'!G19,'01.08 Arua-Koboko'!G19,'04.08 Arua-Koboko'!G19,'05.08 Arua-Koboko'!G19,'02.08 Arua-Koboko-24h'!G19,'03.08 Arua-Koboko-24h'!G19,'06.08 Arua-Koboko'!G19)</f>
        <v>0</v>
      </c>
      <c r="H19" s="49">
        <f>AVERAGE('31.07 Arua-Koboko'!H19,'01.08 Arua-Koboko'!H19,'04.08 Arua-Koboko'!H19,'05.08 Arua-Koboko'!H19,'02.08 Arua-Koboko-24h'!H19,'03.08 Arua-Koboko-24h'!H19,'06.08 Arua-Koboko'!H19)</f>
        <v>0.14285714285714285</v>
      </c>
      <c r="I19" s="49">
        <f>AVERAGE('31.07 Arua-Koboko'!I19,'01.08 Arua-Koboko'!I19,'04.08 Arua-Koboko'!I19,'05.08 Arua-Koboko'!I19,'02.08 Arua-Koboko-24h'!I19,'03.08 Arua-Koboko-24h'!I19,'06.08 Arua-Koboko'!I19)</f>
        <v>1.1428571428571428</v>
      </c>
      <c r="J19" s="49">
        <f>AVERAGE('31.07 Arua-Koboko'!J19,'01.08 Arua-Koboko'!J19,'04.08 Arua-Koboko'!J19,'05.08 Arua-Koboko'!J19,'02.08 Arua-Koboko-24h'!J19,'03.08 Arua-Koboko-24h'!J19,'06.08 Arua-Koboko'!J19)</f>
        <v>1.2857142857142858</v>
      </c>
      <c r="K19" s="49">
        <f>AVERAGE('31.07 Arua-Koboko'!K19,'01.08 Arua-Koboko'!K19,'04.08 Arua-Koboko'!K19,'05.08 Arua-Koboko'!K19,'02.08 Arua-Koboko-24h'!K19,'03.08 Arua-Koboko-24h'!K19,'06.08 Arua-Koboko'!K19)</f>
        <v>0</v>
      </c>
      <c r="L19" s="49">
        <f>AVERAGE('31.07 Arua-Koboko'!L19,'01.08 Arua-Koboko'!L19,'04.08 Arua-Koboko'!L19,'05.08 Arua-Koboko'!L19,'02.08 Arua-Koboko-24h'!L19,'03.08 Arua-Koboko-24h'!L19,'06.08 Arua-Koboko'!L19)</f>
        <v>0</v>
      </c>
      <c r="M19" s="49">
        <f>AVERAGE('31.07 Arua-Koboko'!M19,'01.08 Arua-Koboko'!M19,'04.08 Arua-Koboko'!M19,'05.08 Arua-Koboko'!M19,'02.08 Arua-Koboko-24h'!M19,'03.08 Arua-Koboko-24h'!M19,'06.08 Arua-Koboko'!M19)</f>
        <v>26.714285714285715</v>
      </c>
      <c r="N19" s="49">
        <f>AVERAGE('31.07 Arua-Koboko'!N19,'01.08 Arua-Koboko'!N19,'04.08 Arua-Koboko'!N19,'05.08 Arua-Koboko'!N19,'02.08 Arua-Koboko-24h'!N19,'03.08 Arua-Koboko-24h'!N19,'06.08 Arua-Koboko'!N19)</f>
        <v>0</v>
      </c>
      <c r="O19" s="15">
        <f t="shared" si="0"/>
        <v>14.285714285714285</v>
      </c>
      <c r="P19" s="15">
        <f t="shared" si="1"/>
        <v>41</v>
      </c>
      <c r="R19" s="1" t="s">
        <v>15</v>
      </c>
      <c r="S19" s="17">
        <f t="shared" ref="S19:AF19" si="11">SUM(C46:C49)</f>
        <v>28.142857142857146</v>
      </c>
      <c r="T19" s="17">
        <f t="shared" si="11"/>
        <v>4.2857142857142856</v>
      </c>
      <c r="U19" s="17">
        <f t="shared" si="11"/>
        <v>8.2857142857142847</v>
      </c>
      <c r="V19" s="17">
        <f t="shared" si="11"/>
        <v>4.2857142857142856</v>
      </c>
      <c r="W19" s="17">
        <f t="shared" si="11"/>
        <v>0.2857142857142857</v>
      </c>
      <c r="X19" s="17">
        <f t="shared" si="11"/>
        <v>0.2857142857142857</v>
      </c>
      <c r="Y19" s="17">
        <f t="shared" si="11"/>
        <v>4.2380952380952381</v>
      </c>
      <c r="Z19" s="17">
        <f t="shared" si="11"/>
        <v>4.5714285714285712</v>
      </c>
      <c r="AA19" s="17">
        <f t="shared" si="11"/>
        <v>0.14285714285714285</v>
      </c>
      <c r="AB19" s="17">
        <f t="shared" si="11"/>
        <v>1.4285714285714284</v>
      </c>
      <c r="AC19" s="17">
        <f t="shared" si="11"/>
        <v>106.85714285714286</v>
      </c>
      <c r="AD19" s="17">
        <f t="shared" si="11"/>
        <v>0</v>
      </c>
      <c r="AE19" s="31">
        <f t="shared" si="11"/>
        <v>55.952380952380949</v>
      </c>
      <c r="AF19" s="31">
        <f t="shared" si="11"/>
        <v>162.8095238095238</v>
      </c>
    </row>
    <row r="20" spans="2:32" ht="23.1" customHeight="1" x14ac:dyDescent="0.25">
      <c r="B20" s="23" t="s">
        <v>47</v>
      </c>
      <c r="C20" s="49">
        <f>AVERAGE('31.07 Arua-Koboko'!C20,'01.08 Arua-Koboko'!C20,'04.08 Arua-Koboko'!C20,'05.08 Arua-Koboko'!C20,'02.08 Arua-Koboko-24h'!C20,'03.08 Arua-Koboko-24h'!C20,'06.08 Arua-Koboko'!C20)</f>
        <v>7.2857142857142856</v>
      </c>
      <c r="D20" s="49">
        <f>AVERAGE('31.07 Arua-Koboko'!D20,'01.08 Arua-Koboko'!D20,'04.08 Arua-Koboko'!D20,'05.08 Arua-Koboko'!D20,'02.08 Arua-Koboko-24h'!D20,'03.08 Arua-Koboko-24h'!D20,'06.08 Arua-Koboko'!D20)</f>
        <v>2</v>
      </c>
      <c r="E20" s="49">
        <f>AVERAGE('31.07 Arua-Koboko'!E20,'01.08 Arua-Koboko'!E20,'04.08 Arua-Koboko'!E20,'05.08 Arua-Koboko'!E20,'02.08 Arua-Koboko-24h'!E20,'03.08 Arua-Koboko-24h'!E20,'06.08 Arua-Koboko'!E20)</f>
        <v>4.8571428571428568</v>
      </c>
      <c r="F20" s="49">
        <f>AVERAGE('31.07 Arua-Koboko'!F20,'01.08 Arua-Koboko'!F20,'04.08 Arua-Koboko'!F20,'05.08 Arua-Koboko'!F20,'02.08 Arua-Koboko-24h'!F20,'03.08 Arua-Koboko-24h'!F20,'06.08 Arua-Koboko'!F20)</f>
        <v>1.4285714285714286</v>
      </c>
      <c r="G20" s="49">
        <f>AVERAGE('31.07 Arua-Koboko'!G20,'01.08 Arua-Koboko'!G20,'04.08 Arua-Koboko'!G20,'05.08 Arua-Koboko'!G20,'02.08 Arua-Koboko-24h'!G20,'03.08 Arua-Koboko-24h'!G20,'06.08 Arua-Koboko'!G20)</f>
        <v>0.14285714285714285</v>
      </c>
      <c r="H20" s="49">
        <f>AVERAGE('31.07 Arua-Koboko'!H20,'01.08 Arua-Koboko'!H20,'04.08 Arua-Koboko'!H20,'05.08 Arua-Koboko'!H20,'02.08 Arua-Koboko-24h'!H20,'03.08 Arua-Koboko-24h'!H20,'06.08 Arua-Koboko'!H20)</f>
        <v>0.14285714285714285</v>
      </c>
      <c r="I20" s="49">
        <f>AVERAGE('31.07 Arua-Koboko'!I20,'01.08 Arua-Koboko'!I20,'04.08 Arua-Koboko'!I20,'05.08 Arua-Koboko'!I20,'02.08 Arua-Koboko-24h'!I20,'03.08 Arua-Koboko-24h'!I20,'06.08 Arua-Koboko'!I20)</f>
        <v>1.4285714285714286</v>
      </c>
      <c r="J20" s="49">
        <f>AVERAGE('31.07 Arua-Koboko'!J20,'01.08 Arua-Koboko'!J20,'04.08 Arua-Koboko'!J20,'05.08 Arua-Koboko'!J20,'02.08 Arua-Koboko-24h'!J20,'03.08 Arua-Koboko-24h'!J20,'06.08 Arua-Koboko'!J20)</f>
        <v>0.66666666666666663</v>
      </c>
      <c r="K20" s="49">
        <f>AVERAGE('31.07 Arua-Koboko'!K20,'01.08 Arua-Koboko'!K20,'04.08 Arua-Koboko'!K20,'05.08 Arua-Koboko'!K20,'02.08 Arua-Koboko-24h'!K20,'03.08 Arua-Koboko-24h'!K20,'06.08 Arua-Koboko'!K20)</f>
        <v>0</v>
      </c>
      <c r="L20" s="49">
        <f>AVERAGE('31.07 Arua-Koboko'!L20,'01.08 Arua-Koboko'!L20,'04.08 Arua-Koboko'!L20,'05.08 Arua-Koboko'!L20,'02.08 Arua-Koboko-24h'!L20,'03.08 Arua-Koboko-24h'!L20,'06.08 Arua-Koboko'!L20)</f>
        <v>0.14285714285714285</v>
      </c>
      <c r="M20" s="49">
        <f>AVERAGE('31.07 Arua-Koboko'!M20,'01.08 Arua-Koboko'!M20,'04.08 Arua-Koboko'!M20,'05.08 Arua-Koboko'!M20,'02.08 Arua-Koboko-24h'!M20,'03.08 Arua-Koboko-24h'!M20,'06.08 Arua-Koboko'!M20)</f>
        <v>34.857142857142854</v>
      </c>
      <c r="N20" s="49">
        <f>AVERAGE('31.07 Arua-Koboko'!N20,'01.08 Arua-Koboko'!N20,'04.08 Arua-Koboko'!N20,'05.08 Arua-Koboko'!N20,'02.08 Arua-Koboko-24h'!N20,'03.08 Arua-Koboko-24h'!N20,'06.08 Arua-Koboko'!N20)</f>
        <v>0</v>
      </c>
      <c r="O20" s="15">
        <f t="shared" si="0"/>
        <v>18.095238095238095</v>
      </c>
      <c r="P20" s="15">
        <f t="shared" si="1"/>
        <v>52.952380952380949</v>
      </c>
      <c r="R20" s="1" t="s">
        <v>16</v>
      </c>
      <c r="S20" s="17">
        <f t="shared" ref="S20:AF20" si="12">SUM(C50:C53)</f>
        <v>33.714285714285715</v>
      </c>
      <c r="T20" s="17">
        <f t="shared" si="12"/>
        <v>3.8571428571428572</v>
      </c>
      <c r="U20" s="17">
        <f t="shared" si="12"/>
        <v>9.2857142857142865</v>
      </c>
      <c r="V20" s="17">
        <f t="shared" si="12"/>
        <v>4.4285714285714288</v>
      </c>
      <c r="W20" s="17">
        <f t="shared" si="12"/>
        <v>1.2857142857142856</v>
      </c>
      <c r="X20" s="17">
        <f t="shared" si="12"/>
        <v>0.2857142857142857</v>
      </c>
      <c r="Y20" s="17">
        <f t="shared" si="12"/>
        <v>5.7142857142857144</v>
      </c>
      <c r="Z20" s="17">
        <f t="shared" si="12"/>
        <v>12.142857142857142</v>
      </c>
      <c r="AA20" s="17">
        <f t="shared" si="12"/>
        <v>0.14285714285714285</v>
      </c>
      <c r="AB20" s="17">
        <f t="shared" si="12"/>
        <v>0.8571428571428571</v>
      </c>
      <c r="AC20" s="17">
        <f t="shared" si="12"/>
        <v>122.57142857142857</v>
      </c>
      <c r="AD20" s="17">
        <f t="shared" si="12"/>
        <v>0</v>
      </c>
      <c r="AE20" s="31">
        <f t="shared" si="12"/>
        <v>71.714285714285722</v>
      </c>
      <c r="AF20" s="31">
        <f t="shared" si="12"/>
        <v>194.28571428571428</v>
      </c>
    </row>
    <row r="21" spans="2:32" ht="23.1" customHeight="1" x14ac:dyDescent="0.25">
      <c r="B21" s="23" t="s">
        <v>48</v>
      </c>
      <c r="C21" s="49">
        <f>AVERAGE('31.07 Arua-Koboko'!C21,'01.08 Arua-Koboko'!C21,'04.08 Arua-Koboko'!C21,'05.08 Arua-Koboko'!C21,'02.08 Arua-Koboko-24h'!C21,'03.08 Arua-Koboko-24h'!C21,'06.08 Arua-Koboko'!C21)</f>
        <v>8</v>
      </c>
      <c r="D21" s="49">
        <f>AVERAGE('31.07 Arua-Koboko'!D21,'01.08 Arua-Koboko'!D21,'04.08 Arua-Koboko'!D21,'05.08 Arua-Koboko'!D21,'02.08 Arua-Koboko-24h'!D21,'03.08 Arua-Koboko-24h'!D21,'06.08 Arua-Koboko'!D21)</f>
        <v>2.1428571428571428</v>
      </c>
      <c r="E21" s="49">
        <f>AVERAGE('31.07 Arua-Koboko'!E21,'01.08 Arua-Koboko'!E21,'04.08 Arua-Koboko'!E21,'05.08 Arua-Koboko'!E21,'02.08 Arua-Koboko-24h'!E21,'03.08 Arua-Koboko-24h'!E21,'06.08 Arua-Koboko'!E21)</f>
        <v>4</v>
      </c>
      <c r="F21" s="49">
        <f>AVERAGE('31.07 Arua-Koboko'!F21,'01.08 Arua-Koboko'!F21,'04.08 Arua-Koboko'!F21,'05.08 Arua-Koboko'!F21,'02.08 Arua-Koboko-24h'!F21,'03.08 Arua-Koboko-24h'!F21,'06.08 Arua-Koboko'!F21)</f>
        <v>1.8571428571428572</v>
      </c>
      <c r="G21" s="49">
        <f>AVERAGE('31.07 Arua-Koboko'!G21,'01.08 Arua-Koboko'!G21,'04.08 Arua-Koboko'!G21,'05.08 Arua-Koboko'!G21,'02.08 Arua-Koboko-24h'!G21,'03.08 Arua-Koboko-24h'!G21,'06.08 Arua-Koboko'!G21)</f>
        <v>0.14285714285714285</v>
      </c>
      <c r="H21" s="49">
        <f>AVERAGE('31.07 Arua-Koboko'!H21,'01.08 Arua-Koboko'!H21,'04.08 Arua-Koboko'!H21,'05.08 Arua-Koboko'!H21,'02.08 Arua-Koboko-24h'!H21,'03.08 Arua-Koboko-24h'!H21,'06.08 Arua-Koboko'!H21)</f>
        <v>0</v>
      </c>
      <c r="I21" s="49">
        <f>AVERAGE('31.07 Arua-Koboko'!I21,'01.08 Arua-Koboko'!I21,'04.08 Arua-Koboko'!I21,'05.08 Arua-Koboko'!I21,'02.08 Arua-Koboko-24h'!I21,'03.08 Arua-Koboko-24h'!I21,'06.08 Arua-Koboko'!I21)</f>
        <v>0.66666666666666663</v>
      </c>
      <c r="J21" s="49">
        <f>AVERAGE('31.07 Arua-Koboko'!J21,'01.08 Arua-Koboko'!J21,'04.08 Arua-Koboko'!J21,'05.08 Arua-Koboko'!J21,'02.08 Arua-Koboko-24h'!J21,'03.08 Arua-Koboko-24h'!J21,'06.08 Arua-Koboko'!J21)</f>
        <v>0.7142857142857143</v>
      </c>
      <c r="K21" s="49">
        <f>AVERAGE('31.07 Arua-Koboko'!K21,'01.08 Arua-Koboko'!K21,'04.08 Arua-Koboko'!K21,'05.08 Arua-Koboko'!K21,'02.08 Arua-Koboko-24h'!K21,'03.08 Arua-Koboko-24h'!K21,'06.08 Arua-Koboko'!K21)</f>
        <v>0</v>
      </c>
      <c r="L21" s="49">
        <f>AVERAGE('31.07 Arua-Koboko'!L21,'01.08 Arua-Koboko'!L21,'04.08 Arua-Koboko'!L21,'05.08 Arua-Koboko'!L21,'02.08 Arua-Koboko-24h'!L21,'03.08 Arua-Koboko-24h'!L21,'06.08 Arua-Koboko'!L21)</f>
        <v>0</v>
      </c>
      <c r="M21" s="49">
        <f>AVERAGE('31.07 Arua-Koboko'!M21,'01.08 Arua-Koboko'!M21,'04.08 Arua-Koboko'!M21,'05.08 Arua-Koboko'!M21,'02.08 Arua-Koboko-24h'!M21,'03.08 Arua-Koboko-24h'!M21,'06.08 Arua-Koboko'!M21)</f>
        <v>34</v>
      </c>
      <c r="N21" s="49">
        <f>AVERAGE('31.07 Arua-Koboko'!N21,'01.08 Arua-Koboko'!N21,'04.08 Arua-Koboko'!N21,'05.08 Arua-Koboko'!N21,'02.08 Arua-Koboko-24h'!N21,'03.08 Arua-Koboko-24h'!N21,'06.08 Arua-Koboko'!N21)</f>
        <v>0</v>
      </c>
      <c r="O21" s="15">
        <f t="shared" si="0"/>
        <v>17.523809523809526</v>
      </c>
      <c r="P21" s="15">
        <f t="shared" si="1"/>
        <v>51.523809523809526</v>
      </c>
      <c r="R21" s="36" t="s">
        <v>20</v>
      </c>
      <c r="S21" s="34">
        <f t="shared" ref="S21:AF21" si="13">SUM(C54:C57)</f>
        <v>22.142857142857146</v>
      </c>
      <c r="T21" s="17">
        <f t="shared" si="13"/>
        <v>2.1428571428571423</v>
      </c>
      <c r="U21" s="17">
        <f t="shared" si="13"/>
        <v>4.4285714285714288</v>
      </c>
      <c r="V21" s="17">
        <f t="shared" si="13"/>
        <v>2.2857142857142856</v>
      </c>
      <c r="W21" s="17">
        <f t="shared" si="13"/>
        <v>1.2857142857142856</v>
      </c>
      <c r="X21" s="17">
        <f t="shared" si="13"/>
        <v>1.1428571428571428</v>
      </c>
      <c r="Y21" s="17">
        <f t="shared" si="13"/>
        <v>4.4285714285714288</v>
      </c>
      <c r="Z21" s="17">
        <f t="shared" si="13"/>
        <v>5.8571428571428577</v>
      </c>
      <c r="AA21" s="17">
        <f t="shared" si="13"/>
        <v>1.857142857142857</v>
      </c>
      <c r="AB21" s="17">
        <f t="shared" si="13"/>
        <v>1.4285714285714286</v>
      </c>
      <c r="AC21" s="17">
        <f t="shared" si="13"/>
        <v>121.57142857142857</v>
      </c>
      <c r="AD21" s="17">
        <f t="shared" si="13"/>
        <v>0</v>
      </c>
      <c r="AE21" s="31">
        <f t="shared" si="13"/>
        <v>47</v>
      </c>
      <c r="AF21" s="31">
        <f t="shared" si="13"/>
        <v>168.57142857142856</v>
      </c>
    </row>
    <row r="22" spans="2:32" ht="23.1" customHeight="1" x14ac:dyDescent="0.25">
      <c r="B22" s="23" t="s">
        <v>49</v>
      </c>
      <c r="C22" s="49">
        <f>AVERAGE('31.07 Arua-Koboko'!C22,'01.08 Arua-Koboko'!C22,'04.08 Arua-Koboko'!C22,'05.08 Arua-Koboko'!C22,'02.08 Arua-Koboko-24h'!C22,'03.08 Arua-Koboko-24h'!C22,'06.08 Arua-Koboko'!C22)</f>
        <v>7.2857142857142856</v>
      </c>
      <c r="D22" s="49">
        <f>AVERAGE('31.07 Arua-Koboko'!D22,'01.08 Arua-Koboko'!D22,'04.08 Arua-Koboko'!D22,'05.08 Arua-Koboko'!D22,'02.08 Arua-Koboko-24h'!D22,'03.08 Arua-Koboko-24h'!D22,'06.08 Arua-Koboko'!D22)</f>
        <v>2</v>
      </c>
      <c r="E22" s="49">
        <f>AVERAGE('31.07 Arua-Koboko'!E22,'01.08 Arua-Koboko'!E22,'04.08 Arua-Koboko'!E22,'05.08 Arua-Koboko'!E22,'02.08 Arua-Koboko-24h'!E22,'03.08 Arua-Koboko-24h'!E22,'06.08 Arua-Koboko'!E22)</f>
        <v>4.2857142857142856</v>
      </c>
      <c r="F22" s="49">
        <f>AVERAGE('31.07 Arua-Koboko'!F22,'01.08 Arua-Koboko'!F22,'04.08 Arua-Koboko'!F22,'05.08 Arua-Koboko'!F22,'02.08 Arua-Koboko-24h'!F22,'03.08 Arua-Koboko-24h'!F22,'06.08 Arua-Koboko'!F22)</f>
        <v>1.8571428571428572</v>
      </c>
      <c r="G22" s="49">
        <f>AVERAGE('31.07 Arua-Koboko'!G22,'01.08 Arua-Koboko'!G22,'04.08 Arua-Koboko'!G22,'05.08 Arua-Koboko'!G22,'02.08 Arua-Koboko-24h'!G22,'03.08 Arua-Koboko-24h'!G22,'06.08 Arua-Koboko'!G22)</f>
        <v>0.14285714285714285</v>
      </c>
      <c r="H22" s="49">
        <f>AVERAGE('31.07 Arua-Koboko'!H22,'01.08 Arua-Koboko'!H22,'04.08 Arua-Koboko'!H22,'05.08 Arua-Koboko'!H22,'02.08 Arua-Koboko-24h'!H22,'03.08 Arua-Koboko-24h'!H22,'06.08 Arua-Koboko'!H22)</f>
        <v>0</v>
      </c>
      <c r="I22" s="49">
        <f>AVERAGE('31.07 Arua-Koboko'!I22,'01.08 Arua-Koboko'!I22,'04.08 Arua-Koboko'!I22,'05.08 Arua-Koboko'!I22,'02.08 Arua-Koboko-24h'!I22,'03.08 Arua-Koboko-24h'!I22,'06.08 Arua-Koboko'!I22)</f>
        <v>1.2857142857142858</v>
      </c>
      <c r="J22" s="49">
        <f>AVERAGE('31.07 Arua-Koboko'!J22,'01.08 Arua-Koboko'!J22,'04.08 Arua-Koboko'!J22,'05.08 Arua-Koboko'!J22,'02.08 Arua-Koboko-24h'!J22,'03.08 Arua-Koboko-24h'!J22,'06.08 Arua-Koboko'!J22)</f>
        <v>1</v>
      </c>
      <c r="K22" s="49">
        <f>AVERAGE('31.07 Arua-Koboko'!K22,'01.08 Arua-Koboko'!K22,'04.08 Arua-Koboko'!K22,'05.08 Arua-Koboko'!K22,'02.08 Arua-Koboko-24h'!K22,'03.08 Arua-Koboko-24h'!K22,'06.08 Arua-Koboko'!K22)</f>
        <v>0</v>
      </c>
      <c r="L22" s="49">
        <f>AVERAGE('31.07 Arua-Koboko'!L22,'01.08 Arua-Koboko'!L22,'04.08 Arua-Koboko'!L22,'05.08 Arua-Koboko'!L22,'02.08 Arua-Koboko-24h'!L22,'03.08 Arua-Koboko-24h'!L22,'06.08 Arua-Koboko'!L22)</f>
        <v>0.8571428571428571</v>
      </c>
      <c r="M22" s="49">
        <f>AVERAGE('31.07 Arua-Koboko'!M22,'01.08 Arua-Koboko'!M22,'04.08 Arua-Koboko'!M22,'05.08 Arua-Koboko'!M22,'02.08 Arua-Koboko-24h'!M22,'03.08 Arua-Koboko-24h'!M22,'06.08 Arua-Koboko'!M22)</f>
        <v>36</v>
      </c>
      <c r="N22" s="49">
        <f>AVERAGE('31.07 Arua-Koboko'!N22,'01.08 Arua-Koboko'!N22,'04.08 Arua-Koboko'!N22,'05.08 Arua-Koboko'!N22,'02.08 Arua-Koboko-24h'!N22,'03.08 Arua-Koboko-24h'!N22,'06.08 Arua-Koboko'!N22)</f>
        <v>0</v>
      </c>
      <c r="O22" s="15">
        <f t="shared" si="0"/>
        <v>18.714285714285712</v>
      </c>
      <c r="P22" s="15">
        <f t="shared" si="1"/>
        <v>54.714285714285708</v>
      </c>
      <c r="R22" s="1" t="s">
        <v>146</v>
      </c>
      <c r="S22" s="34">
        <f>SUM(C58:C61)</f>
        <v>40</v>
      </c>
      <c r="T22" s="34">
        <f t="shared" ref="T22:AF22" si="14">SUM(D58:D61)</f>
        <v>1</v>
      </c>
      <c r="U22" s="34">
        <f t="shared" si="14"/>
        <v>1.5</v>
      </c>
      <c r="V22" s="34">
        <f t="shared" si="14"/>
        <v>2.5</v>
      </c>
      <c r="W22" s="34">
        <f t="shared" si="14"/>
        <v>0.5</v>
      </c>
      <c r="X22" s="34">
        <f t="shared" si="14"/>
        <v>0</v>
      </c>
      <c r="Y22" s="34">
        <f t="shared" si="14"/>
        <v>1.5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184.5</v>
      </c>
      <c r="AD22" s="34">
        <f t="shared" si="14"/>
        <v>0</v>
      </c>
      <c r="AE22" s="31">
        <f t="shared" si="14"/>
        <v>49</v>
      </c>
      <c r="AF22" s="31">
        <f t="shared" si="14"/>
        <v>233.5</v>
      </c>
    </row>
    <row r="23" spans="2:32" ht="23.1" customHeight="1" x14ac:dyDescent="0.25">
      <c r="B23" s="23" t="s">
        <v>50</v>
      </c>
      <c r="C23" s="49">
        <f>AVERAGE('31.07 Arua-Koboko'!C23,'01.08 Arua-Koboko'!C23,'04.08 Arua-Koboko'!C23,'05.08 Arua-Koboko'!C23,'02.08 Arua-Koboko-24h'!C23,'03.08 Arua-Koboko-24h'!C23,'06.08 Arua-Koboko'!C23)</f>
        <v>8.1428571428571423</v>
      </c>
      <c r="D23" s="49">
        <f>AVERAGE('31.07 Arua-Koboko'!D23,'01.08 Arua-Koboko'!D23,'04.08 Arua-Koboko'!D23,'05.08 Arua-Koboko'!D23,'02.08 Arua-Koboko-24h'!D23,'03.08 Arua-Koboko-24h'!D23,'06.08 Arua-Koboko'!D23)</f>
        <v>2.2857142857142856</v>
      </c>
      <c r="E23" s="49">
        <f>AVERAGE('31.07 Arua-Koboko'!E23,'01.08 Arua-Koboko'!E23,'04.08 Arua-Koboko'!E23,'05.08 Arua-Koboko'!E23,'02.08 Arua-Koboko-24h'!E23,'03.08 Arua-Koboko-24h'!E23,'06.08 Arua-Koboko'!E23)</f>
        <v>4.1428571428571432</v>
      </c>
      <c r="F23" s="49">
        <f>AVERAGE('31.07 Arua-Koboko'!F23,'01.08 Arua-Koboko'!F23,'04.08 Arua-Koboko'!F23,'05.08 Arua-Koboko'!F23,'02.08 Arua-Koboko-24h'!F23,'03.08 Arua-Koboko-24h'!F23,'06.08 Arua-Koboko'!F23)</f>
        <v>1.4285714285714286</v>
      </c>
      <c r="G23" s="49">
        <f>AVERAGE('31.07 Arua-Koboko'!G23,'01.08 Arua-Koboko'!G23,'04.08 Arua-Koboko'!G23,'05.08 Arua-Koboko'!G23,'02.08 Arua-Koboko-24h'!G23,'03.08 Arua-Koboko-24h'!G23,'06.08 Arua-Koboko'!G23)</f>
        <v>0.14285714285714285</v>
      </c>
      <c r="H23" s="49">
        <f>AVERAGE('31.07 Arua-Koboko'!H23,'01.08 Arua-Koboko'!H23,'04.08 Arua-Koboko'!H23,'05.08 Arua-Koboko'!H23,'02.08 Arua-Koboko-24h'!H23,'03.08 Arua-Koboko-24h'!H23,'06.08 Arua-Koboko'!H23)</f>
        <v>0</v>
      </c>
      <c r="I23" s="49">
        <f>AVERAGE('31.07 Arua-Koboko'!I23,'01.08 Arua-Koboko'!I23,'04.08 Arua-Koboko'!I23,'05.08 Arua-Koboko'!I23,'02.08 Arua-Koboko-24h'!I23,'03.08 Arua-Koboko-24h'!I23,'06.08 Arua-Koboko'!I23)</f>
        <v>1.5714285714285714</v>
      </c>
      <c r="J23" s="49">
        <f>AVERAGE('31.07 Arua-Koboko'!J23,'01.08 Arua-Koboko'!J23,'04.08 Arua-Koboko'!J23,'05.08 Arua-Koboko'!J23,'02.08 Arua-Koboko-24h'!J23,'03.08 Arua-Koboko-24h'!J23,'06.08 Arua-Koboko'!J23)</f>
        <v>1.1428571428571428</v>
      </c>
      <c r="K23" s="49">
        <f>AVERAGE('31.07 Arua-Koboko'!K23,'01.08 Arua-Koboko'!K23,'04.08 Arua-Koboko'!K23,'05.08 Arua-Koboko'!K23,'02.08 Arua-Koboko-24h'!K23,'03.08 Arua-Koboko-24h'!K23,'06.08 Arua-Koboko'!K23)</f>
        <v>0</v>
      </c>
      <c r="L23" s="49">
        <f>AVERAGE('31.07 Arua-Koboko'!L23,'01.08 Arua-Koboko'!L23,'04.08 Arua-Koboko'!L23,'05.08 Arua-Koboko'!L23,'02.08 Arua-Koboko-24h'!L23,'03.08 Arua-Koboko-24h'!L23,'06.08 Arua-Koboko'!L23)</f>
        <v>0.42857142857142855</v>
      </c>
      <c r="M23" s="49">
        <f>AVERAGE('31.07 Arua-Koboko'!M23,'01.08 Arua-Koboko'!M23,'04.08 Arua-Koboko'!M23,'05.08 Arua-Koboko'!M23,'02.08 Arua-Koboko-24h'!M23,'03.08 Arua-Koboko-24h'!M23,'06.08 Arua-Koboko'!M23)</f>
        <v>42.285714285714285</v>
      </c>
      <c r="N23" s="49">
        <f>AVERAGE('31.07 Arua-Koboko'!N23,'01.08 Arua-Koboko'!N23,'04.08 Arua-Koboko'!N23,'05.08 Arua-Koboko'!N23,'02.08 Arua-Koboko-24h'!N23,'03.08 Arua-Koboko-24h'!N23,'06.08 Arua-Koboko'!N23)</f>
        <v>0</v>
      </c>
      <c r="O23" s="15">
        <f t="shared" si="0"/>
        <v>19.285714285714285</v>
      </c>
      <c r="P23" s="15">
        <f t="shared" si="1"/>
        <v>61.571428571428569</v>
      </c>
      <c r="R23" s="1" t="s">
        <v>147</v>
      </c>
      <c r="S23" s="34">
        <f>SUM(C62:C65)</f>
        <v>20</v>
      </c>
      <c r="T23" s="34">
        <f t="shared" ref="T23:AF23" si="15">SUM(D62:D65)</f>
        <v>2.5</v>
      </c>
      <c r="U23" s="34">
        <f t="shared" si="15"/>
        <v>3.5</v>
      </c>
      <c r="V23" s="34">
        <f t="shared" si="15"/>
        <v>3</v>
      </c>
      <c r="W23" s="34">
        <f t="shared" si="15"/>
        <v>0</v>
      </c>
      <c r="X23" s="34">
        <f t="shared" si="15"/>
        <v>0.5</v>
      </c>
      <c r="Y23" s="34">
        <f t="shared" si="15"/>
        <v>2.5</v>
      </c>
      <c r="Z23" s="34">
        <f t="shared" si="15"/>
        <v>0</v>
      </c>
      <c r="AA23" s="34">
        <f t="shared" si="15"/>
        <v>1.5</v>
      </c>
      <c r="AB23" s="34">
        <f t="shared" si="15"/>
        <v>0.5</v>
      </c>
      <c r="AC23" s="34">
        <f t="shared" si="15"/>
        <v>167</v>
      </c>
      <c r="AD23" s="34">
        <f t="shared" si="15"/>
        <v>0</v>
      </c>
      <c r="AE23" s="31">
        <f t="shared" si="15"/>
        <v>34</v>
      </c>
      <c r="AF23" s="31">
        <f t="shared" si="15"/>
        <v>201</v>
      </c>
    </row>
    <row r="24" spans="2:32" ht="23.1" customHeight="1" x14ac:dyDescent="0.25">
      <c r="B24" s="23" t="s">
        <v>51</v>
      </c>
      <c r="C24" s="49">
        <f>AVERAGE('31.07 Arua-Koboko'!C24,'01.08 Arua-Koboko'!C24,'04.08 Arua-Koboko'!C24,'05.08 Arua-Koboko'!C24,'02.08 Arua-Koboko-24h'!C24,'03.08 Arua-Koboko-24h'!C24,'06.08 Arua-Koboko'!C24)</f>
        <v>9.2857142857142865</v>
      </c>
      <c r="D24" s="49">
        <f>AVERAGE('31.07 Arua-Koboko'!D24,'01.08 Arua-Koboko'!D24,'04.08 Arua-Koboko'!D24,'05.08 Arua-Koboko'!D24,'02.08 Arua-Koboko-24h'!D24,'03.08 Arua-Koboko-24h'!D24,'06.08 Arua-Koboko'!D24)</f>
        <v>1.7142857142857142</v>
      </c>
      <c r="E24" s="49">
        <f>AVERAGE('31.07 Arua-Koboko'!E24,'01.08 Arua-Koboko'!E24,'04.08 Arua-Koboko'!E24,'05.08 Arua-Koboko'!E24,'02.08 Arua-Koboko-24h'!E24,'03.08 Arua-Koboko-24h'!E24,'06.08 Arua-Koboko'!E24)</f>
        <v>3.8571428571428572</v>
      </c>
      <c r="F24" s="49">
        <f>AVERAGE('31.07 Arua-Koboko'!F24,'01.08 Arua-Koboko'!F24,'04.08 Arua-Koboko'!F24,'05.08 Arua-Koboko'!F24,'02.08 Arua-Koboko-24h'!F24,'03.08 Arua-Koboko-24h'!F24,'06.08 Arua-Koboko'!F24)</f>
        <v>1.1428571428571428</v>
      </c>
      <c r="G24" s="49">
        <f>AVERAGE('31.07 Arua-Koboko'!G24,'01.08 Arua-Koboko'!G24,'04.08 Arua-Koboko'!G24,'05.08 Arua-Koboko'!G24,'02.08 Arua-Koboko-24h'!G24,'03.08 Arua-Koboko-24h'!G24,'06.08 Arua-Koboko'!G24)</f>
        <v>0.14285714285714285</v>
      </c>
      <c r="H24" s="49">
        <f>AVERAGE('31.07 Arua-Koboko'!H24,'01.08 Arua-Koboko'!H24,'04.08 Arua-Koboko'!H24,'05.08 Arua-Koboko'!H24,'02.08 Arua-Koboko-24h'!H24,'03.08 Arua-Koboko-24h'!H24,'06.08 Arua-Koboko'!H24)</f>
        <v>0.2857142857142857</v>
      </c>
      <c r="I24" s="49">
        <f>AVERAGE('31.07 Arua-Koboko'!I24,'01.08 Arua-Koboko'!I24,'04.08 Arua-Koboko'!I24,'05.08 Arua-Koboko'!I24,'02.08 Arua-Koboko-24h'!I24,'03.08 Arua-Koboko-24h'!I24,'06.08 Arua-Koboko'!I24)</f>
        <v>1.5714285714285714</v>
      </c>
      <c r="J24" s="49">
        <f>AVERAGE('31.07 Arua-Koboko'!J24,'01.08 Arua-Koboko'!J24,'04.08 Arua-Koboko'!J24,'05.08 Arua-Koboko'!J24,'02.08 Arua-Koboko-24h'!J24,'03.08 Arua-Koboko-24h'!J24,'06.08 Arua-Koboko'!J24)</f>
        <v>1</v>
      </c>
      <c r="K24" s="49">
        <f>AVERAGE('31.07 Arua-Koboko'!K24,'01.08 Arua-Koboko'!K24,'04.08 Arua-Koboko'!K24,'05.08 Arua-Koboko'!K24,'02.08 Arua-Koboko-24h'!K24,'03.08 Arua-Koboko-24h'!K24,'06.08 Arua-Koboko'!K24)</f>
        <v>0</v>
      </c>
      <c r="L24" s="49">
        <f>AVERAGE('31.07 Arua-Koboko'!L24,'01.08 Arua-Koboko'!L24,'04.08 Arua-Koboko'!L24,'05.08 Arua-Koboko'!L24,'02.08 Arua-Koboko-24h'!L24,'03.08 Arua-Koboko-24h'!L24,'06.08 Arua-Koboko'!L24)</f>
        <v>0.5714285714285714</v>
      </c>
      <c r="M24" s="49">
        <f>AVERAGE('31.07 Arua-Koboko'!M24,'01.08 Arua-Koboko'!M24,'04.08 Arua-Koboko'!M24,'05.08 Arua-Koboko'!M24,'02.08 Arua-Koboko-24h'!M24,'03.08 Arua-Koboko-24h'!M24,'06.08 Arua-Koboko'!M24)</f>
        <v>40.428571428571431</v>
      </c>
      <c r="N24" s="49">
        <f>AVERAGE('31.07 Arua-Koboko'!N24,'01.08 Arua-Koboko'!N24,'04.08 Arua-Koboko'!N24,'05.08 Arua-Koboko'!N24,'02.08 Arua-Koboko-24h'!N24,'03.08 Arua-Koboko-24h'!N24,'06.08 Arua-Koboko'!N24)</f>
        <v>0</v>
      </c>
      <c r="O24" s="15">
        <f t="shared" si="0"/>
        <v>19.571428571428573</v>
      </c>
      <c r="P24" s="15">
        <f t="shared" si="1"/>
        <v>60</v>
      </c>
      <c r="R24" s="1" t="s">
        <v>148</v>
      </c>
      <c r="S24" s="34">
        <f>SUM(C66:C69)</f>
        <v>5.5</v>
      </c>
      <c r="T24" s="34">
        <f t="shared" ref="T24:AF24" si="16">SUM(D66:D69)</f>
        <v>2</v>
      </c>
      <c r="U24" s="34">
        <f t="shared" si="16"/>
        <v>2.5</v>
      </c>
      <c r="V24" s="34">
        <f t="shared" si="16"/>
        <v>0.5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0.5</v>
      </c>
      <c r="AC24" s="34">
        <f t="shared" si="16"/>
        <v>95.5</v>
      </c>
      <c r="AD24" s="34">
        <f t="shared" si="16"/>
        <v>0</v>
      </c>
      <c r="AE24" s="31">
        <f t="shared" si="16"/>
        <v>12</v>
      </c>
      <c r="AF24" s="31">
        <f t="shared" si="16"/>
        <v>107.5</v>
      </c>
    </row>
    <row r="25" spans="2:32" ht="23.1" customHeight="1" x14ac:dyDescent="0.25">
      <c r="B25" s="23" t="s">
        <v>52</v>
      </c>
      <c r="C25" s="49">
        <f>AVERAGE('31.07 Arua-Koboko'!C25,'01.08 Arua-Koboko'!C25,'04.08 Arua-Koboko'!C25,'05.08 Arua-Koboko'!C25,'02.08 Arua-Koboko-24h'!C25,'03.08 Arua-Koboko-24h'!C25,'06.08 Arua-Koboko'!C25)</f>
        <v>8</v>
      </c>
      <c r="D25" s="49">
        <f>AVERAGE('31.07 Arua-Koboko'!D25,'01.08 Arua-Koboko'!D25,'04.08 Arua-Koboko'!D25,'05.08 Arua-Koboko'!D25,'02.08 Arua-Koboko-24h'!D25,'03.08 Arua-Koboko-24h'!D25,'06.08 Arua-Koboko'!D25)</f>
        <v>1.5714285714285714</v>
      </c>
      <c r="E25" s="49">
        <f>AVERAGE('31.07 Arua-Koboko'!E25,'01.08 Arua-Koboko'!E25,'04.08 Arua-Koboko'!E25,'05.08 Arua-Koboko'!E25,'02.08 Arua-Koboko-24h'!E25,'03.08 Arua-Koboko-24h'!E25,'06.08 Arua-Koboko'!E25)</f>
        <v>2.5714285714285716</v>
      </c>
      <c r="F25" s="49">
        <f>AVERAGE('31.07 Arua-Koboko'!F25,'01.08 Arua-Koboko'!F25,'04.08 Arua-Koboko'!F25,'05.08 Arua-Koboko'!F25,'02.08 Arua-Koboko-24h'!F25,'03.08 Arua-Koboko-24h'!F25,'06.08 Arua-Koboko'!F25)</f>
        <v>1.2857142857142858</v>
      </c>
      <c r="G25" s="49">
        <f>AVERAGE('31.07 Arua-Koboko'!G25,'01.08 Arua-Koboko'!G25,'04.08 Arua-Koboko'!G25,'05.08 Arua-Koboko'!G25,'02.08 Arua-Koboko-24h'!G25,'03.08 Arua-Koboko-24h'!G25,'06.08 Arua-Koboko'!G25)</f>
        <v>0.14285714285714285</v>
      </c>
      <c r="H25" s="49">
        <f>AVERAGE('31.07 Arua-Koboko'!H25,'01.08 Arua-Koboko'!H25,'04.08 Arua-Koboko'!H25,'05.08 Arua-Koboko'!H25,'02.08 Arua-Koboko-24h'!H25,'03.08 Arua-Koboko-24h'!H25,'06.08 Arua-Koboko'!H25)</f>
        <v>0.2857142857142857</v>
      </c>
      <c r="I25" s="49">
        <f>AVERAGE('31.07 Arua-Koboko'!I25,'01.08 Arua-Koboko'!I25,'04.08 Arua-Koboko'!I25,'05.08 Arua-Koboko'!I25,'02.08 Arua-Koboko-24h'!I25,'03.08 Arua-Koboko-24h'!I25,'06.08 Arua-Koboko'!I25)</f>
        <v>1.5714285714285714</v>
      </c>
      <c r="J25" s="49">
        <f>AVERAGE('31.07 Arua-Koboko'!J25,'01.08 Arua-Koboko'!J25,'04.08 Arua-Koboko'!J25,'05.08 Arua-Koboko'!J25,'02.08 Arua-Koboko-24h'!J25,'03.08 Arua-Koboko-24h'!J25,'06.08 Arua-Koboko'!J25)</f>
        <v>0.7142857142857143</v>
      </c>
      <c r="K25" s="49">
        <f>AVERAGE('31.07 Arua-Koboko'!K25,'01.08 Arua-Koboko'!K25,'04.08 Arua-Koboko'!K25,'05.08 Arua-Koboko'!K25,'02.08 Arua-Koboko-24h'!K25,'03.08 Arua-Koboko-24h'!K25,'06.08 Arua-Koboko'!K25)</f>
        <v>0</v>
      </c>
      <c r="L25" s="49">
        <f>AVERAGE('31.07 Arua-Koboko'!L25,'01.08 Arua-Koboko'!L25,'04.08 Arua-Koboko'!L25,'05.08 Arua-Koboko'!L25,'02.08 Arua-Koboko-24h'!L25,'03.08 Arua-Koboko-24h'!L25,'06.08 Arua-Koboko'!L25)</f>
        <v>0.2857142857142857</v>
      </c>
      <c r="M25" s="49">
        <f>AVERAGE('31.07 Arua-Koboko'!M25,'01.08 Arua-Koboko'!M25,'04.08 Arua-Koboko'!M25,'05.08 Arua-Koboko'!M25,'02.08 Arua-Koboko-24h'!M25,'03.08 Arua-Koboko-24h'!M25,'06.08 Arua-Koboko'!M25)</f>
        <v>38</v>
      </c>
      <c r="N25" s="49">
        <f>AVERAGE('31.07 Arua-Koboko'!N25,'01.08 Arua-Koboko'!N25,'04.08 Arua-Koboko'!N25,'05.08 Arua-Koboko'!N25,'02.08 Arua-Koboko-24h'!N25,'03.08 Arua-Koboko-24h'!N25,'06.08 Arua-Koboko'!N25)</f>
        <v>0</v>
      </c>
      <c r="O25" s="15">
        <f t="shared" si="0"/>
        <v>16.428571428571427</v>
      </c>
      <c r="P25" s="15">
        <f t="shared" si="1"/>
        <v>54.428571428571431</v>
      </c>
      <c r="R25" s="1" t="s">
        <v>149</v>
      </c>
      <c r="S25" s="34">
        <f>SUM(C70:C73)</f>
        <v>6.5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1.5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46.5</v>
      </c>
      <c r="AD25" s="34">
        <f t="shared" si="17"/>
        <v>0</v>
      </c>
      <c r="AE25" s="31">
        <f t="shared" si="17"/>
        <v>9</v>
      </c>
      <c r="AF25" s="31">
        <f t="shared" si="17"/>
        <v>55.5</v>
      </c>
    </row>
    <row r="26" spans="2:32" ht="23.1" customHeight="1" x14ac:dyDescent="0.25">
      <c r="B26" s="23" t="s">
        <v>53</v>
      </c>
      <c r="C26" s="49">
        <f>AVERAGE('31.07 Arua-Koboko'!C26,'01.08 Arua-Koboko'!C26,'04.08 Arua-Koboko'!C26,'05.08 Arua-Koboko'!C26,'02.08 Arua-Koboko-24h'!C26,'03.08 Arua-Koboko-24h'!C26,'06.08 Arua-Koboko'!C26)</f>
        <v>12.142857142857142</v>
      </c>
      <c r="D26" s="49">
        <f>AVERAGE('31.07 Arua-Koboko'!D26,'01.08 Arua-Koboko'!D26,'04.08 Arua-Koboko'!D26,'05.08 Arua-Koboko'!D26,'02.08 Arua-Koboko-24h'!D26,'03.08 Arua-Koboko-24h'!D26,'06.08 Arua-Koboko'!D26)</f>
        <v>1.4285714285714286</v>
      </c>
      <c r="E26" s="49">
        <f>AVERAGE('31.07 Arua-Koboko'!E26,'01.08 Arua-Koboko'!E26,'04.08 Arua-Koboko'!E26,'05.08 Arua-Koboko'!E26,'02.08 Arua-Koboko-24h'!E26,'03.08 Arua-Koboko-24h'!E26,'06.08 Arua-Koboko'!E26)</f>
        <v>3.4285714285714284</v>
      </c>
      <c r="F26" s="49">
        <f>AVERAGE('31.07 Arua-Koboko'!F26,'01.08 Arua-Koboko'!F26,'04.08 Arua-Koboko'!F26,'05.08 Arua-Koboko'!F26,'02.08 Arua-Koboko-24h'!F26,'03.08 Arua-Koboko-24h'!F26,'06.08 Arua-Koboko'!F26)</f>
        <v>1.7142857142857142</v>
      </c>
      <c r="G26" s="49">
        <f>AVERAGE('31.07 Arua-Koboko'!G26,'01.08 Arua-Koboko'!G26,'04.08 Arua-Koboko'!G26,'05.08 Arua-Koboko'!G26,'02.08 Arua-Koboko-24h'!G26,'03.08 Arua-Koboko-24h'!G26,'06.08 Arua-Koboko'!G26)</f>
        <v>0</v>
      </c>
      <c r="H26" s="49">
        <f>AVERAGE('31.07 Arua-Koboko'!H26,'01.08 Arua-Koboko'!H26,'04.08 Arua-Koboko'!H26,'05.08 Arua-Koboko'!H26,'02.08 Arua-Koboko-24h'!H26,'03.08 Arua-Koboko-24h'!H26,'06.08 Arua-Koboko'!H26)</f>
        <v>0</v>
      </c>
      <c r="I26" s="49">
        <f>AVERAGE('31.07 Arua-Koboko'!I26,'01.08 Arua-Koboko'!I26,'04.08 Arua-Koboko'!I26,'05.08 Arua-Koboko'!I26,'02.08 Arua-Koboko-24h'!I26,'03.08 Arua-Koboko-24h'!I26,'06.08 Arua-Koboko'!I26)</f>
        <v>1.1428571428571428</v>
      </c>
      <c r="J26" s="49">
        <f>AVERAGE('31.07 Arua-Koboko'!J26,'01.08 Arua-Koboko'!J26,'04.08 Arua-Koboko'!J26,'05.08 Arua-Koboko'!J26,'02.08 Arua-Koboko-24h'!J26,'03.08 Arua-Koboko-24h'!J26,'06.08 Arua-Koboko'!J26)</f>
        <v>0.5</v>
      </c>
      <c r="K26" s="49">
        <f>AVERAGE('31.07 Arua-Koboko'!K26,'01.08 Arua-Koboko'!K26,'04.08 Arua-Koboko'!K26,'05.08 Arua-Koboko'!K26,'02.08 Arua-Koboko-24h'!K26,'03.08 Arua-Koboko-24h'!K26,'06.08 Arua-Koboko'!K26)</f>
        <v>0</v>
      </c>
      <c r="L26" s="49">
        <f>AVERAGE('31.07 Arua-Koboko'!L26,'01.08 Arua-Koboko'!L26,'04.08 Arua-Koboko'!L26,'05.08 Arua-Koboko'!L26,'02.08 Arua-Koboko-24h'!L26,'03.08 Arua-Koboko-24h'!L26,'06.08 Arua-Koboko'!L26)</f>
        <v>0.5714285714285714</v>
      </c>
      <c r="M26" s="49">
        <f>AVERAGE('31.07 Arua-Koboko'!M26,'01.08 Arua-Koboko'!M26,'04.08 Arua-Koboko'!M26,'05.08 Arua-Koboko'!M26,'02.08 Arua-Koboko-24h'!M26,'03.08 Arua-Koboko-24h'!M26,'06.08 Arua-Koboko'!M26)</f>
        <v>40.714285714285715</v>
      </c>
      <c r="N26" s="49">
        <f>AVERAGE('31.07 Arua-Koboko'!N26,'01.08 Arua-Koboko'!N26,'04.08 Arua-Koboko'!N26,'05.08 Arua-Koboko'!N26,'02.08 Arua-Koboko-24h'!N26,'03.08 Arua-Koboko-24h'!N26,'06.08 Arua-Koboko'!N26)</f>
        <v>0</v>
      </c>
      <c r="O26" s="15">
        <f t="shared" si="0"/>
        <v>20.928571428571431</v>
      </c>
      <c r="P26" s="15">
        <f t="shared" si="1"/>
        <v>61.642857142857146</v>
      </c>
      <c r="R26" s="1" t="s">
        <v>150</v>
      </c>
      <c r="S26" s="34">
        <f>SUM(C74:C77)</f>
        <v>1.5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26</v>
      </c>
      <c r="AD26" s="34">
        <f t="shared" si="18"/>
        <v>0</v>
      </c>
      <c r="AE26" s="31">
        <f t="shared" si="18"/>
        <v>3</v>
      </c>
      <c r="AF26" s="31">
        <f t="shared" si="18"/>
        <v>29</v>
      </c>
    </row>
    <row r="27" spans="2:32" ht="23.1" customHeight="1" x14ac:dyDescent="0.25">
      <c r="B27" s="23" t="s">
        <v>54</v>
      </c>
      <c r="C27" s="49">
        <f>AVERAGE('31.07 Arua-Koboko'!C27,'01.08 Arua-Koboko'!C27,'04.08 Arua-Koboko'!C27,'05.08 Arua-Koboko'!C27,'02.08 Arua-Koboko-24h'!C27,'03.08 Arua-Koboko-24h'!C27,'06.08 Arua-Koboko'!C27)</f>
        <v>11.714285714285714</v>
      </c>
      <c r="D27" s="49">
        <f>AVERAGE('31.07 Arua-Koboko'!D27,'01.08 Arua-Koboko'!D27,'04.08 Arua-Koboko'!D27,'05.08 Arua-Koboko'!D27,'02.08 Arua-Koboko-24h'!D27,'03.08 Arua-Koboko-24h'!D27,'06.08 Arua-Koboko'!D27)</f>
        <v>1.4285714285714286</v>
      </c>
      <c r="E27" s="49">
        <f>AVERAGE('31.07 Arua-Koboko'!E27,'01.08 Arua-Koboko'!E27,'04.08 Arua-Koboko'!E27,'05.08 Arua-Koboko'!E27,'02.08 Arua-Koboko-24h'!E27,'03.08 Arua-Koboko-24h'!E27,'06.08 Arua-Koboko'!E27)</f>
        <v>3.7142857142857144</v>
      </c>
      <c r="F27" s="49">
        <f>AVERAGE('31.07 Arua-Koboko'!F27,'01.08 Arua-Koboko'!F27,'04.08 Arua-Koboko'!F27,'05.08 Arua-Koboko'!F27,'02.08 Arua-Koboko-24h'!F27,'03.08 Arua-Koboko-24h'!F27,'06.08 Arua-Koboko'!F27)</f>
        <v>0.7142857142857143</v>
      </c>
      <c r="G27" s="49">
        <f>AVERAGE('31.07 Arua-Koboko'!G27,'01.08 Arua-Koboko'!G27,'04.08 Arua-Koboko'!G27,'05.08 Arua-Koboko'!G27,'02.08 Arua-Koboko-24h'!G27,'03.08 Arua-Koboko-24h'!G27,'06.08 Arua-Koboko'!G27)</f>
        <v>0.2857142857142857</v>
      </c>
      <c r="H27" s="49">
        <f>AVERAGE('31.07 Arua-Koboko'!H27,'01.08 Arua-Koboko'!H27,'04.08 Arua-Koboko'!H27,'05.08 Arua-Koboko'!H27,'02.08 Arua-Koboko-24h'!H27,'03.08 Arua-Koboko-24h'!H27,'06.08 Arua-Koboko'!H27)</f>
        <v>0.14285714285714285</v>
      </c>
      <c r="I27" s="49">
        <f>AVERAGE('31.07 Arua-Koboko'!I27,'01.08 Arua-Koboko'!I27,'04.08 Arua-Koboko'!I27,'05.08 Arua-Koboko'!I27,'02.08 Arua-Koboko-24h'!I27,'03.08 Arua-Koboko-24h'!I27,'06.08 Arua-Koboko'!I27)</f>
        <v>0.7142857142857143</v>
      </c>
      <c r="J27" s="49">
        <f>AVERAGE('31.07 Arua-Koboko'!J27,'01.08 Arua-Koboko'!J27,'04.08 Arua-Koboko'!J27,'05.08 Arua-Koboko'!J27,'02.08 Arua-Koboko-24h'!J27,'03.08 Arua-Koboko-24h'!J27,'06.08 Arua-Koboko'!J27)</f>
        <v>0.5</v>
      </c>
      <c r="K27" s="49">
        <f>AVERAGE('31.07 Arua-Koboko'!K27,'01.08 Arua-Koboko'!K27,'04.08 Arua-Koboko'!K27,'05.08 Arua-Koboko'!K27,'02.08 Arua-Koboko-24h'!K27,'03.08 Arua-Koboko-24h'!K27,'06.08 Arua-Koboko'!K27)</f>
        <v>0</v>
      </c>
      <c r="L27" s="49">
        <f>AVERAGE('31.07 Arua-Koboko'!L27,'01.08 Arua-Koboko'!L27,'04.08 Arua-Koboko'!L27,'05.08 Arua-Koboko'!L27,'02.08 Arua-Koboko-24h'!L27,'03.08 Arua-Koboko-24h'!L27,'06.08 Arua-Koboko'!L27)</f>
        <v>0.7142857142857143</v>
      </c>
      <c r="M27" s="49">
        <f>AVERAGE('31.07 Arua-Koboko'!M27,'01.08 Arua-Koboko'!M27,'04.08 Arua-Koboko'!M27,'05.08 Arua-Koboko'!M27,'02.08 Arua-Koboko-24h'!M27,'03.08 Arua-Koboko-24h'!M27,'06.08 Arua-Koboko'!M27)</f>
        <v>33.285714285714285</v>
      </c>
      <c r="N27" s="49">
        <f>AVERAGE('31.07 Arua-Koboko'!N27,'01.08 Arua-Koboko'!N27,'04.08 Arua-Koboko'!N27,'05.08 Arua-Koboko'!N27,'02.08 Arua-Koboko-24h'!N27,'03.08 Arua-Koboko-24h'!N27,'06.08 Arua-Koboko'!N27)</f>
        <v>0</v>
      </c>
      <c r="O27" s="15">
        <f t="shared" si="0"/>
        <v>19.928571428571431</v>
      </c>
      <c r="P27" s="15">
        <f t="shared" si="1"/>
        <v>53.214285714285715</v>
      </c>
      <c r="R27" s="1" t="s">
        <v>151</v>
      </c>
      <c r="S27" s="34">
        <f>SUM(C78:C81)</f>
        <v>0.5</v>
      </c>
      <c r="T27" s="34">
        <f t="shared" ref="T27:AF27" si="19">SUM(D78:D81)</f>
        <v>0.5</v>
      </c>
      <c r="U27" s="34">
        <f t="shared" si="19"/>
        <v>0.5</v>
      </c>
      <c r="V27" s="34">
        <f t="shared" si="19"/>
        <v>0.5</v>
      </c>
      <c r="W27" s="34">
        <f t="shared" si="19"/>
        <v>0</v>
      </c>
      <c r="X27" s="34">
        <f t="shared" si="19"/>
        <v>0.5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0.5</v>
      </c>
      <c r="AC27" s="34">
        <f t="shared" si="19"/>
        <v>17</v>
      </c>
      <c r="AD27" s="34">
        <f t="shared" si="19"/>
        <v>0</v>
      </c>
      <c r="AE27" s="31">
        <f t="shared" si="19"/>
        <v>3</v>
      </c>
      <c r="AF27" s="31">
        <f t="shared" si="19"/>
        <v>20</v>
      </c>
    </row>
    <row r="28" spans="2:32" ht="23.1" customHeight="1" x14ac:dyDescent="0.25">
      <c r="B28" s="23" t="s">
        <v>55</v>
      </c>
      <c r="C28" s="49">
        <f>AVERAGE('31.07 Arua-Koboko'!C28,'01.08 Arua-Koboko'!C28,'04.08 Arua-Koboko'!C28,'05.08 Arua-Koboko'!C28,'02.08 Arua-Koboko-24h'!C28,'03.08 Arua-Koboko-24h'!C28,'06.08 Arua-Koboko'!C28)</f>
        <v>6.2857142857142856</v>
      </c>
      <c r="D28" s="49">
        <f>AVERAGE('31.07 Arua-Koboko'!D28,'01.08 Arua-Koboko'!D28,'04.08 Arua-Koboko'!D28,'05.08 Arua-Koboko'!D28,'02.08 Arua-Koboko-24h'!D28,'03.08 Arua-Koboko-24h'!D28,'06.08 Arua-Koboko'!D28)</f>
        <v>0.8571428571428571</v>
      </c>
      <c r="E28" s="49">
        <f>AVERAGE('31.07 Arua-Koboko'!E28,'01.08 Arua-Koboko'!E28,'04.08 Arua-Koboko'!E28,'05.08 Arua-Koboko'!E28,'02.08 Arua-Koboko-24h'!E28,'03.08 Arua-Koboko-24h'!E28,'06.08 Arua-Koboko'!E28)</f>
        <v>2.4285714285714284</v>
      </c>
      <c r="F28" s="49">
        <f>AVERAGE('31.07 Arua-Koboko'!F28,'01.08 Arua-Koboko'!F28,'04.08 Arua-Koboko'!F28,'05.08 Arua-Koboko'!F28,'02.08 Arua-Koboko-24h'!F28,'03.08 Arua-Koboko-24h'!F28,'06.08 Arua-Koboko'!F28)</f>
        <v>0.8571428571428571</v>
      </c>
      <c r="G28" s="49">
        <f>AVERAGE('31.07 Arua-Koboko'!G28,'01.08 Arua-Koboko'!G28,'04.08 Arua-Koboko'!G28,'05.08 Arua-Koboko'!G28,'02.08 Arua-Koboko-24h'!G28,'03.08 Arua-Koboko-24h'!G28,'06.08 Arua-Koboko'!G28)</f>
        <v>0</v>
      </c>
      <c r="H28" s="49">
        <f>AVERAGE('31.07 Arua-Koboko'!H28,'01.08 Arua-Koboko'!H28,'04.08 Arua-Koboko'!H28,'05.08 Arua-Koboko'!H28,'02.08 Arua-Koboko-24h'!H28,'03.08 Arua-Koboko-24h'!H28,'06.08 Arua-Koboko'!H28)</f>
        <v>0</v>
      </c>
      <c r="I28" s="49">
        <f>AVERAGE('31.07 Arua-Koboko'!I28,'01.08 Arua-Koboko'!I28,'04.08 Arua-Koboko'!I28,'05.08 Arua-Koboko'!I28,'02.08 Arua-Koboko-24h'!I28,'03.08 Arua-Koboko-24h'!I28,'06.08 Arua-Koboko'!I28)</f>
        <v>1.1428571428571428</v>
      </c>
      <c r="J28" s="49">
        <f>AVERAGE('31.07 Arua-Koboko'!J28,'01.08 Arua-Koboko'!J28,'04.08 Arua-Koboko'!J28,'05.08 Arua-Koboko'!J28,'02.08 Arua-Koboko-24h'!J28,'03.08 Arua-Koboko-24h'!J28,'06.08 Arua-Koboko'!J28)</f>
        <v>1.2857142857142858</v>
      </c>
      <c r="K28" s="49">
        <f>AVERAGE('31.07 Arua-Koboko'!K28,'01.08 Arua-Koboko'!K28,'04.08 Arua-Koboko'!K28,'05.08 Arua-Koboko'!K28,'02.08 Arua-Koboko-24h'!K28,'03.08 Arua-Koboko-24h'!K28,'06.08 Arua-Koboko'!K28)</f>
        <v>0</v>
      </c>
      <c r="L28" s="49">
        <f>AVERAGE('31.07 Arua-Koboko'!L28,'01.08 Arua-Koboko'!L28,'04.08 Arua-Koboko'!L28,'05.08 Arua-Koboko'!L28,'02.08 Arua-Koboko-24h'!L28,'03.08 Arua-Koboko-24h'!L28,'06.08 Arua-Koboko'!L28)</f>
        <v>0.5714285714285714</v>
      </c>
      <c r="M28" s="49">
        <f>AVERAGE('31.07 Arua-Koboko'!M28,'01.08 Arua-Koboko'!M28,'04.08 Arua-Koboko'!M28,'05.08 Arua-Koboko'!M28,'02.08 Arua-Koboko-24h'!M28,'03.08 Arua-Koboko-24h'!M28,'06.08 Arua-Koboko'!M28)</f>
        <v>28</v>
      </c>
      <c r="N28" s="49">
        <f>AVERAGE('31.07 Arua-Koboko'!N28,'01.08 Arua-Koboko'!N28,'04.08 Arua-Koboko'!N28,'05.08 Arua-Koboko'!N28,'02.08 Arua-Koboko-24h'!N28,'03.08 Arua-Koboko-24h'!N28,'06.08 Arua-Koboko'!N28)</f>
        <v>0.14285714285714285</v>
      </c>
      <c r="O28" s="15">
        <f t="shared" si="0"/>
        <v>13.571428571428571</v>
      </c>
      <c r="P28" s="15">
        <f t="shared" si="1"/>
        <v>41.571428571428577</v>
      </c>
      <c r="R28" s="1" t="s">
        <v>152</v>
      </c>
      <c r="S28" s="34">
        <f>SUM(C82:C85)</f>
        <v>1.5</v>
      </c>
      <c r="T28" s="34">
        <f t="shared" ref="T28:AF28" si="20">SUM(D82:D85)</f>
        <v>0.5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0.5</v>
      </c>
      <c r="AC28" s="34">
        <f t="shared" si="20"/>
        <v>9</v>
      </c>
      <c r="AD28" s="34">
        <f t="shared" si="20"/>
        <v>0</v>
      </c>
      <c r="AE28" s="31">
        <f t="shared" si="20"/>
        <v>3.5</v>
      </c>
      <c r="AF28" s="31">
        <f t="shared" si="20"/>
        <v>12.5</v>
      </c>
    </row>
    <row r="29" spans="2:32" ht="23.1" customHeight="1" x14ac:dyDescent="0.25">
      <c r="B29" s="23" t="s">
        <v>56</v>
      </c>
      <c r="C29" s="49">
        <f>AVERAGE('31.07 Arua-Koboko'!C29,'01.08 Arua-Koboko'!C29,'04.08 Arua-Koboko'!C29,'05.08 Arua-Koboko'!C29,'02.08 Arua-Koboko-24h'!C29,'03.08 Arua-Koboko-24h'!C29,'06.08 Arua-Koboko'!C29)</f>
        <v>7.4285714285714288</v>
      </c>
      <c r="D29" s="49">
        <f>AVERAGE('31.07 Arua-Koboko'!D29,'01.08 Arua-Koboko'!D29,'04.08 Arua-Koboko'!D29,'05.08 Arua-Koboko'!D29,'02.08 Arua-Koboko-24h'!D29,'03.08 Arua-Koboko-24h'!D29,'06.08 Arua-Koboko'!D29)</f>
        <v>1.1428571428571428</v>
      </c>
      <c r="E29" s="49">
        <f>AVERAGE('31.07 Arua-Koboko'!E29,'01.08 Arua-Koboko'!E29,'04.08 Arua-Koboko'!E29,'05.08 Arua-Koboko'!E29,'02.08 Arua-Koboko-24h'!E29,'03.08 Arua-Koboko-24h'!E29,'06.08 Arua-Koboko'!E29)</f>
        <v>1.8571428571428572</v>
      </c>
      <c r="F29" s="49">
        <f>AVERAGE('31.07 Arua-Koboko'!F29,'01.08 Arua-Koboko'!F29,'04.08 Arua-Koboko'!F29,'05.08 Arua-Koboko'!F29,'02.08 Arua-Koboko-24h'!F29,'03.08 Arua-Koboko-24h'!F29,'06.08 Arua-Koboko'!F29)</f>
        <v>1.1428571428571428</v>
      </c>
      <c r="G29" s="49">
        <f>AVERAGE('31.07 Arua-Koboko'!G29,'01.08 Arua-Koboko'!G29,'04.08 Arua-Koboko'!G29,'05.08 Arua-Koboko'!G29,'02.08 Arua-Koboko-24h'!G29,'03.08 Arua-Koboko-24h'!G29,'06.08 Arua-Koboko'!G29)</f>
        <v>0</v>
      </c>
      <c r="H29" s="49">
        <f>AVERAGE('31.07 Arua-Koboko'!H29,'01.08 Arua-Koboko'!H29,'04.08 Arua-Koboko'!H29,'05.08 Arua-Koboko'!H29,'02.08 Arua-Koboko-24h'!H29,'03.08 Arua-Koboko-24h'!H29,'06.08 Arua-Koboko'!H29)</f>
        <v>0</v>
      </c>
      <c r="I29" s="49">
        <f>AVERAGE('31.07 Arua-Koboko'!I29,'01.08 Arua-Koboko'!I29,'04.08 Arua-Koboko'!I29,'05.08 Arua-Koboko'!I29,'02.08 Arua-Koboko-24h'!I29,'03.08 Arua-Koboko-24h'!I29,'06.08 Arua-Koboko'!I29)</f>
        <v>1.2857142857142858</v>
      </c>
      <c r="J29" s="49">
        <f>AVERAGE('31.07 Arua-Koboko'!J29,'01.08 Arua-Koboko'!J29,'04.08 Arua-Koboko'!J29,'05.08 Arua-Koboko'!J29,'02.08 Arua-Koboko-24h'!J29,'03.08 Arua-Koboko-24h'!J29,'06.08 Arua-Koboko'!J29)</f>
        <v>1.1666666666666667</v>
      </c>
      <c r="K29" s="49">
        <f>AVERAGE('31.07 Arua-Koboko'!K29,'01.08 Arua-Koboko'!K29,'04.08 Arua-Koboko'!K29,'05.08 Arua-Koboko'!K29,'02.08 Arua-Koboko-24h'!K29,'03.08 Arua-Koboko-24h'!K29,'06.08 Arua-Koboko'!K29)</f>
        <v>0</v>
      </c>
      <c r="L29" s="49">
        <f>AVERAGE('31.07 Arua-Koboko'!L29,'01.08 Arua-Koboko'!L29,'04.08 Arua-Koboko'!L29,'05.08 Arua-Koboko'!L29,'02.08 Arua-Koboko-24h'!L29,'03.08 Arua-Koboko-24h'!L29,'06.08 Arua-Koboko'!L29)</f>
        <v>0.2857142857142857</v>
      </c>
      <c r="M29" s="49">
        <f>AVERAGE('31.07 Arua-Koboko'!M29,'01.08 Arua-Koboko'!M29,'04.08 Arua-Koboko'!M29,'05.08 Arua-Koboko'!M29,'02.08 Arua-Koboko-24h'!M29,'03.08 Arua-Koboko-24h'!M29,'06.08 Arua-Koboko'!M29)</f>
        <v>31.142857142857142</v>
      </c>
      <c r="N29" s="49">
        <f>AVERAGE('31.07 Arua-Koboko'!N29,'01.08 Arua-Koboko'!N29,'04.08 Arua-Koboko'!N29,'05.08 Arua-Koboko'!N29,'02.08 Arua-Koboko-24h'!N29,'03.08 Arua-Koboko-24h'!N29,'06.08 Arua-Koboko'!N29)</f>
        <v>0</v>
      </c>
      <c r="O29" s="15">
        <f t="shared" si="0"/>
        <v>14.30952380952381</v>
      </c>
      <c r="P29" s="15">
        <f t="shared" si="1"/>
        <v>45.452380952380949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2.5</v>
      </c>
      <c r="AF29" s="31">
        <f t="shared" si="21"/>
        <v>4.5</v>
      </c>
    </row>
    <row r="30" spans="2:32" ht="23.1" customHeight="1" x14ac:dyDescent="0.25">
      <c r="B30" s="23" t="s">
        <v>57</v>
      </c>
      <c r="C30" s="49">
        <f>AVERAGE('31.07 Arua-Koboko'!C30,'01.08 Arua-Koboko'!C30,'04.08 Arua-Koboko'!C30,'05.08 Arua-Koboko'!C30,'02.08 Arua-Koboko-24h'!C30,'03.08 Arua-Koboko-24h'!C30,'06.08 Arua-Koboko'!C30)</f>
        <v>10</v>
      </c>
      <c r="D30" s="49">
        <f>AVERAGE('31.07 Arua-Koboko'!D30,'01.08 Arua-Koboko'!D30,'04.08 Arua-Koboko'!D30,'05.08 Arua-Koboko'!D30,'02.08 Arua-Koboko-24h'!D30,'03.08 Arua-Koboko-24h'!D30,'06.08 Arua-Koboko'!D30)</f>
        <v>1.5714285714285714</v>
      </c>
      <c r="E30" s="49">
        <f>AVERAGE('31.07 Arua-Koboko'!E30,'01.08 Arua-Koboko'!E30,'04.08 Arua-Koboko'!E30,'05.08 Arua-Koboko'!E30,'02.08 Arua-Koboko-24h'!E30,'03.08 Arua-Koboko-24h'!E30,'06.08 Arua-Koboko'!E30)</f>
        <v>3.8571428571428572</v>
      </c>
      <c r="F30" s="49">
        <f>AVERAGE('31.07 Arua-Koboko'!F30,'01.08 Arua-Koboko'!F30,'04.08 Arua-Koboko'!F30,'05.08 Arua-Koboko'!F30,'02.08 Arua-Koboko-24h'!F30,'03.08 Arua-Koboko-24h'!F30,'06.08 Arua-Koboko'!F30)</f>
        <v>2.5714285714285716</v>
      </c>
      <c r="G30" s="49">
        <f>AVERAGE('31.07 Arua-Koboko'!G30,'01.08 Arua-Koboko'!G30,'04.08 Arua-Koboko'!G30,'05.08 Arua-Koboko'!G30,'02.08 Arua-Koboko-24h'!G30,'03.08 Arua-Koboko-24h'!G30,'06.08 Arua-Koboko'!G30)</f>
        <v>0</v>
      </c>
      <c r="H30" s="49">
        <f>AVERAGE('31.07 Arua-Koboko'!H30,'01.08 Arua-Koboko'!H30,'04.08 Arua-Koboko'!H30,'05.08 Arua-Koboko'!H30,'02.08 Arua-Koboko-24h'!H30,'03.08 Arua-Koboko-24h'!H30,'06.08 Arua-Koboko'!H30)</f>
        <v>0</v>
      </c>
      <c r="I30" s="49">
        <f>AVERAGE('31.07 Arua-Koboko'!I30,'01.08 Arua-Koboko'!I30,'04.08 Arua-Koboko'!I30,'05.08 Arua-Koboko'!I30,'02.08 Arua-Koboko-24h'!I30,'03.08 Arua-Koboko-24h'!I30,'06.08 Arua-Koboko'!I30)</f>
        <v>0.8571428571428571</v>
      </c>
      <c r="J30" s="49">
        <f>AVERAGE('31.07 Arua-Koboko'!J30,'01.08 Arua-Koboko'!J30,'04.08 Arua-Koboko'!J30,'05.08 Arua-Koboko'!J30,'02.08 Arua-Koboko-24h'!J30,'03.08 Arua-Koboko-24h'!J30,'06.08 Arua-Koboko'!J30)</f>
        <v>1.4285714285714286</v>
      </c>
      <c r="K30" s="49">
        <f>AVERAGE('31.07 Arua-Koboko'!K30,'01.08 Arua-Koboko'!K30,'04.08 Arua-Koboko'!K30,'05.08 Arua-Koboko'!K30,'02.08 Arua-Koboko-24h'!K30,'03.08 Arua-Koboko-24h'!K30,'06.08 Arua-Koboko'!K30)</f>
        <v>0.14285714285714285</v>
      </c>
      <c r="L30" s="49">
        <f>AVERAGE('31.07 Arua-Koboko'!L30,'01.08 Arua-Koboko'!L30,'04.08 Arua-Koboko'!L30,'05.08 Arua-Koboko'!L30,'02.08 Arua-Koboko-24h'!L30,'03.08 Arua-Koboko-24h'!L30,'06.08 Arua-Koboko'!L30)</f>
        <v>0.14285714285714285</v>
      </c>
      <c r="M30" s="49">
        <f>AVERAGE('31.07 Arua-Koboko'!M30,'01.08 Arua-Koboko'!M30,'04.08 Arua-Koboko'!M30,'05.08 Arua-Koboko'!M30,'02.08 Arua-Koboko-24h'!M30,'03.08 Arua-Koboko-24h'!M30,'06.08 Arua-Koboko'!M30)</f>
        <v>36.714285714285715</v>
      </c>
      <c r="N30" s="49">
        <f>AVERAGE('31.07 Arua-Koboko'!N30,'01.08 Arua-Koboko'!N30,'04.08 Arua-Koboko'!N30,'05.08 Arua-Koboko'!N30,'02.08 Arua-Koboko-24h'!N30,'03.08 Arua-Koboko-24h'!N30,'06.08 Arua-Koboko'!N30)</f>
        <v>0</v>
      </c>
      <c r="O30" s="15">
        <f t="shared" si="0"/>
        <v>20.571428571428569</v>
      </c>
      <c r="P30" s="15">
        <f t="shared" si="1"/>
        <v>57.285714285714285</v>
      </c>
      <c r="R30" s="1" t="s">
        <v>154</v>
      </c>
      <c r="S30" s="34">
        <f>SUM(C90:C93)</f>
        <v>1</v>
      </c>
      <c r="T30" s="34">
        <f t="shared" ref="T30:AF30" si="22">SUM(D90:D93)</f>
        <v>0.5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6</v>
      </c>
      <c r="AD30" s="34">
        <f t="shared" si="22"/>
        <v>0</v>
      </c>
      <c r="AE30" s="31">
        <f t="shared" si="22"/>
        <v>1.5</v>
      </c>
      <c r="AF30" s="31">
        <f t="shared" si="22"/>
        <v>7.5</v>
      </c>
    </row>
    <row r="31" spans="2:32" ht="23.1" customHeight="1" x14ac:dyDescent="0.25">
      <c r="B31" s="24" t="s">
        <v>58</v>
      </c>
      <c r="C31" s="49">
        <f>AVERAGE('31.07 Arua-Koboko'!C31,'01.08 Arua-Koboko'!C31,'04.08 Arua-Koboko'!C31,'05.08 Arua-Koboko'!C31,'02.08 Arua-Koboko-24h'!C31,'03.08 Arua-Koboko-24h'!C31,'06.08 Arua-Koboko'!C31)</f>
        <v>6.1428571428571432</v>
      </c>
      <c r="D31" s="49">
        <f>AVERAGE('31.07 Arua-Koboko'!D31,'01.08 Arua-Koboko'!D31,'04.08 Arua-Koboko'!D31,'05.08 Arua-Koboko'!D31,'02.08 Arua-Koboko-24h'!D31,'03.08 Arua-Koboko-24h'!D31,'06.08 Arua-Koboko'!D31)</f>
        <v>1.5714285714285714</v>
      </c>
      <c r="E31" s="49">
        <f>AVERAGE('31.07 Arua-Koboko'!E31,'01.08 Arua-Koboko'!E31,'04.08 Arua-Koboko'!E31,'05.08 Arua-Koboko'!E31,'02.08 Arua-Koboko-24h'!E31,'03.08 Arua-Koboko-24h'!E31,'06.08 Arua-Koboko'!E31)</f>
        <v>3.2857142857142856</v>
      </c>
      <c r="F31" s="49">
        <f>AVERAGE('31.07 Arua-Koboko'!F31,'01.08 Arua-Koboko'!F31,'04.08 Arua-Koboko'!F31,'05.08 Arua-Koboko'!F31,'02.08 Arua-Koboko-24h'!F31,'03.08 Arua-Koboko-24h'!F31,'06.08 Arua-Koboko'!F31)</f>
        <v>0.7142857142857143</v>
      </c>
      <c r="G31" s="49">
        <f>AVERAGE('31.07 Arua-Koboko'!G31,'01.08 Arua-Koboko'!G31,'04.08 Arua-Koboko'!G31,'05.08 Arua-Koboko'!G31,'02.08 Arua-Koboko-24h'!G31,'03.08 Arua-Koboko-24h'!G31,'06.08 Arua-Koboko'!G31)</f>
        <v>0.14285714285714285</v>
      </c>
      <c r="H31" s="49">
        <f>AVERAGE('31.07 Arua-Koboko'!H31,'01.08 Arua-Koboko'!H31,'04.08 Arua-Koboko'!H31,'05.08 Arua-Koboko'!H31,'02.08 Arua-Koboko-24h'!H31,'03.08 Arua-Koboko-24h'!H31,'06.08 Arua-Koboko'!H31)</f>
        <v>0.42857142857142855</v>
      </c>
      <c r="I31" s="49">
        <f>AVERAGE('31.07 Arua-Koboko'!I31,'01.08 Arua-Koboko'!I31,'04.08 Arua-Koboko'!I31,'05.08 Arua-Koboko'!I31,'02.08 Arua-Koboko-24h'!I31,'03.08 Arua-Koboko-24h'!I31,'06.08 Arua-Koboko'!I31)</f>
        <v>2.1428571428571428</v>
      </c>
      <c r="J31" s="49">
        <f>AVERAGE('31.07 Arua-Koboko'!J31,'01.08 Arua-Koboko'!J31,'04.08 Arua-Koboko'!J31,'05.08 Arua-Koboko'!J31,'02.08 Arua-Koboko-24h'!J31,'03.08 Arua-Koboko-24h'!J31,'06.08 Arua-Koboko'!J31)</f>
        <v>0.8571428571428571</v>
      </c>
      <c r="K31" s="49">
        <f>AVERAGE('31.07 Arua-Koboko'!K31,'01.08 Arua-Koboko'!K31,'04.08 Arua-Koboko'!K31,'05.08 Arua-Koboko'!K31,'02.08 Arua-Koboko-24h'!K31,'03.08 Arua-Koboko-24h'!K31,'06.08 Arua-Koboko'!K31)</f>
        <v>0</v>
      </c>
      <c r="L31" s="49">
        <f>AVERAGE('31.07 Arua-Koboko'!L31,'01.08 Arua-Koboko'!L31,'04.08 Arua-Koboko'!L31,'05.08 Arua-Koboko'!L31,'02.08 Arua-Koboko-24h'!L31,'03.08 Arua-Koboko-24h'!L31,'06.08 Arua-Koboko'!L31)</f>
        <v>0.5714285714285714</v>
      </c>
      <c r="M31" s="49">
        <f>AVERAGE('31.07 Arua-Koboko'!M31,'01.08 Arua-Koboko'!M31,'04.08 Arua-Koboko'!M31,'05.08 Arua-Koboko'!M31,'02.08 Arua-Koboko-24h'!M31,'03.08 Arua-Koboko-24h'!M31,'06.08 Arua-Koboko'!M31)</f>
        <v>32.571428571428569</v>
      </c>
      <c r="N31" s="49">
        <f>AVERAGE('31.07 Arua-Koboko'!N31,'01.08 Arua-Koboko'!N31,'04.08 Arua-Koboko'!N31,'05.08 Arua-Koboko'!N31,'02.08 Arua-Koboko-24h'!N31,'03.08 Arua-Koboko-24h'!N31,'06.08 Arua-Koboko'!N31)</f>
        <v>0.14285714285714285</v>
      </c>
      <c r="O31" s="15">
        <f t="shared" si="0"/>
        <v>15.999999999999998</v>
      </c>
      <c r="P31" s="15">
        <f t="shared" si="1"/>
        <v>48.571428571428569</v>
      </c>
      <c r="R31" s="1" t="s">
        <v>155</v>
      </c>
      <c r="S31" s="34">
        <f>SUM(C94:C97)</f>
        <v>1.5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1.5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3</v>
      </c>
      <c r="AF31" s="31">
        <f t="shared" si="23"/>
        <v>7</v>
      </c>
    </row>
    <row r="32" spans="2:32" ht="23.1" customHeight="1" x14ac:dyDescent="0.25">
      <c r="B32" s="24" t="s">
        <v>59</v>
      </c>
      <c r="C32" s="49">
        <f>AVERAGE('31.07 Arua-Koboko'!C32,'01.08 Arua-Koboko'!C32,'04.08 Arua-Koboko'!C32,'05.08 Arua-Koboko'!C32,'02.08 Arua-Koboko-24h'!C32,'03.08 Arua-Koboko-24h'!C32,'06.08 Arua-Koboko'!C32)</f>
        <v>8.5714285714285712</v>
      </c>
      <c r="D32" s="49">
        <f>AVERAGE('31.07 Arua-Koboko'!D32,'01.08 Arua-Koboko'!D32,'04.08 Arua-Koboko'!D32,'05.08 Arua-Koboko'!D32,'02.08 Arua-Koboko-24h'!D32,'03.08 Arua-Koboko-24h'!D32,'06.08 Arua-Koboko'!D32)</f>
        <v>0.8571428571428571</v>
      </c>
      <c r="E32" s="49">
        <f>AVERAGE('31.07 Arua-Koboko'!E32,'01.08 Arua-Koboko'!E32,'04.08 Arua-Koboko'!E32,'05.08 Arua-Koboko'!E32,'02.08 Arua-Koboko-24h'!E32,'03.08 Arua-Koboko-24h'!E32,'06.08 Arua-Koboko'!E32)</f>
        <v>2</v>
      </c>
      <c r="F32" s="49">
        <f>AVERAGE('31.07 Arua-Koboko'!F32,'01.08 Arua-Koboko'!F32,'04.08 Arua-Koboko'!F32,'05.08 Arua-Koboko'!F32,'02.08 Arua-Koboko-24h'!F32,'03.08 Arua-Koboko-24h'!F32,'06.08 Arua-Koboko'!F32)</f>
        <v>1.1428571428571428</v>
      </c>
      <c r="G32" s="49">
        <f>AVERAGE('31.07 Arua-Koboko'!G32,'01.08 Arua-Koboko'!G32,'04.08 Arua-Koboko'!G32,'05.08 Arua-Koboko'!G32,'02.08 Arua-Koboko-24h'!G32,'03.08 Arua-Koboko-24h'!G32,'06.08 Arua-Koboko'!G32)</f>
        <v>0</v>
      </c>
      <c r="H32" s="49">
        <f>AVERAGE('31.07 Arua-Koboko'!H32,'01.08 Arua-Koboko'!H32,'04.08 Arua-Koboko'!H32,'05.08 Arua-Koboko'!H32,'02.08 Arua-Koboko-24h'!H32,'03.08 Arua-Koboko-24h'!H32,'06.08 Arua-Koboko'!H32)</f>
        <v>0</v>
      </c>
      <c r="I32" s="49">
        <f>AVERAGE('31.07 Arua-Koboko'!I32,'01.08 Arua-Koboko'!I32,'04.08 Arua-Koboko'!I32,'05.08 Arua-Koboko'!I32,'02.08 Arua-Koboko-24h'!I32,'03.08 Arua-Koboko-24h'!I32,'06.08 Arua-Koboko'!I32)</f>
        <v>0.5714285714285714</v>
      </c>
      <c r="J32" s="49">
        <f>AVERAGE('31.07 Arua-Koboko'!J32,'01.08 Arua-Koboko'!J32,'04.08 Arua-Koboko'!J32,'05.08 Arua-Koboko'!J32,'02.08 Arua-Koboko-24h'!J32,'03.08 Arua-Koboko-24h'!J32,'06.08 Arua-Koboko'!J32)</f>
        <v>1.1428571428571428</v>
      </c>
      <c r="K32" s="49">
        <f>AVERAGE('31.07 Arua-Koboko'!K32,'01.08 Arua-Koboko'!K32,'04.08 Arua-Koboko'!K32,'05.08 Arua-Koboko'!K32,'02.08 Arua-Koboko-24h'!K32,'03.08 Arua-Koboko-24h'!K32,'06.08 Arua-Koboko'!K32)</f>
        <v>0</v>
      </c>
      <c r="L32" s="49">
        <f>AVERAGE('31.07 Arua-Koboko'!L32,'01.08 Arua-Koboko'!L32,'04.08 Arua-Koboko'!L32,'05.08 Arua-Koboko'!L32,'02.08 Arua-Koboko-24h'!L32,'03.08 Arua-Koboko-24h'!L32,'06.08 Arua-Koboko'!L32)</f>
        <v>0</v>
      </c>
      <c r="M32" s="49">
        <f>AVERAGE('31.07 Arua-Koboko'!M32,'01.08 Arua-Koboko'!M32,'04.08 Arua-Koboko'!M32,'05.08 Arua-Koboko'!M32,'02.08 Arua-Koboko-24h'!M32,'03.08 Arua-Koboko-24h'!M32,'06.08 Arua-Koboko'!M32)</f>
        <v>33.571428571428569</v>
      </c>
      <c r="N32" s="49">
        <f>AVERAGE('31.07 Arua-Koboko'!N32,'01.08 Arua-Koboko'!N32,'04.08 Arua-Koboko'!N32,'05.08 Arua-Koboko'!N32,'02.08 Arua-Koboko-24h'!N32,'03.08 Arua-Koboko-24h'!N32,'06.08 Arua-Koboko'!N32)</f>
        <v>0</v>
      </c>
      <c r="O32" s="15">
        <f t="shared" si="0"/>
        <v>14.285714285714285</v>
      </c>
      <c r="P32" s="15">
        <f t="shared" si="1"/>
        <v>47.857142857142854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3.5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10</v>
      </c>
      <c r="AD32" s="34">
        <f t="shared" si="24"/>
        <v>0</v>
      </c>
      <c r="AE32" s="31">
        <f t="shared" si="24"/>
        <v>6</v>
      </c>
      <c r="AF32" s="31">
        <f t="shared" si="24"/>
        <v>16</v>
      </c>
    </row>
    <row r="33" spans="2:32" ht="23.1" customHeight="1" x14ac:dyDescent="0.25">
      <c r="B33" s="23" t="s">
        <v>60</v>
      </c>
      <c r="C33" s="49">
        <f>AVERAGE('31.07 Arua-Koboko'!C33,'01.08 Arua-Koboko'!C33,'04.08 Arua-Koboko'!C33,'05.08 Arua-Koboko'!C33,'02.08 Arua-Koboko-24h'!C33,'03.08 Arua-Koboko-24h'!C33,'06.08 Arua-Koboko'!C33)</f>
        <v>8.7142857142857135</v>
      </c>
      <c r="D33" s="49">
        <f>AVERAGE('31.07 Arua-Koboko'!D33,'01.08 Arua-Koboko'!D33,'04.08 Arua-Koboko'!D33,'05.08 Arua-Koboko'!D33,'02.08 Arua-Koboko-24h'!D33,'03.08 Arua-Koboko-24h'!D33,'06.08 Arua-Koboko'!D33)</f>
        <v>0.8571428571428571</v>
      </c>
      <c r="E33" s="49">
        <f>AVERAGE('31.07 Arua-Koboko'!E33,'01.08 Arua-Koboko'!E33,'04.08 Arua-Koboko'!E33,'05.08 Arua-Koboko'!E33,'02.08 Arua-Koboko-24h'!E33,'03.08 Arua-Koboko-24h'!E33,'06.08 Arua-Koboko'!E33)</f>
        <v>1.5714285714285714</v>
      </c>
      <c r="F33" s="49">
        <f>AVERAGE('31.07 Arua-Koboko'!F33,'01.08 Arua-Koboko'!F33,'04.08 Arua-Koboko'!F33,'05.08 Arua-Koboko'!F33,'02.08 Arua-Koboko-24h'!F33,'03.08 Arua-Koboko-24h'!F33,'06.08 Arua-Koboko'!F33)</f>
        <v>0.7142857142857143</v>
      </c>
      <c r="G33" s="49">
        <f>AVERAGE('31.07 Arua-Koboko'!G33,'01.08 Arua-Koboko'!G33,'04.08 Arua-Koboko'!G33,'05.08 Arua-Koboko'!G33,'02.08 Arua-Koboko-24h'!G33,'03.08 Arua-Koboko-24h'!G33,'06.08 Arua-Koboko'!G33)</f>
        <v>0.2857142857142857</v>
      </c>
      <c r="H33" s="49">
        <f>AVERAGE('31.07 Arua-Koboko'!H33,'01.08 Arua-Koboko'!H33,'04.08 Arua-Koboko'!H33,'05.08 Arua-Koboko'!H33,'02.08 Arua-Koboko-24h'!H33,'03.08 Arua-Koboko-24h'!H33,'06.08 Arua-Koboko'!H33)</f>
        <v>0</v>
      </c>
      <c r="I33" s="49">
        <f>AVERAGE('31.07 Arua-Koboko'!I33,'01.08 Arua-Koboko'!I33,'04.08 Arua-Koboko'!I33,'05.08 Arua-Koboko'!I33,'02.08 Arua-Koboko-24h'!I33,'03.08 Arua-Koboko-24h'!I33,'06.08 Arua-Koboko'!I33)</f>
        <v>1.2857142857142858</v>
      </c>
      <c r="J33" s="49">
        <f>AVERAGE('31.07 Arua-Koboko'!J33,'01.08 Arua-Koboko'!J33,'04.08 Arua-Koboko'!J33,'05.08 Arua-Koboko'!J33,'02.08 Arua-Koboko-24h'!J33,'03.08 Arua-Koboko-24h'!J33,'06.08 Arua-Koboko'!J33)</f>
        <v>0.2857142857142857</v>
      </c>
      <c r="K33" s="49">
        <f>AVERAGE('31.07 Arua-Koboko'!K33,'01.08 Arua-Koboko'!K33,'04.08 Arua-Koboko'!K33,'05.08 Arua-Koboko'!K33,'02.08 Arua-Koboko-24h'!K33,'03.08 Arua-Koboko-24h'!K33,'06.08 Arua-Koboko'!K33)</f>
        <v>0.14285714285714285</v>
      </c>
      <c r="L33" s="49">
        <f>AVERAGE('31.07 Arua-Koboko'!L33,'01.08 Arua-Koboko'!L33,'04.08 Arua-Koboko'!L33,'05.08 Arua-Koboko'!L33,'02.08 Arua-Koboko-24h'!L33,'03.08 Arua-Koboko-24h'!L33,'06.08 Arua-Koboko'!L33)</f>
        <v>0.14285714285714285</v>
      </c>
      <c r="M33" s="49">
        <f>AVERAGE('31.07 Arua-Koboko'!M33,'01.08 Arua-Koboko'!M33,'04.08 Arua-Koboko'!M33,'05.08 Arua-Koboko'!M33,'02.08 Arua-Koboko-24h'!M33,'03.08 Arua-Koboko-24h'!M33,'06.08 Arua-Koboko'!M33)</f>
        <v>31.285714285714285</v>
      </c>
      <c r="N33" s="49">
        <f>AVERAGE('31.07 Arua-Koboko'!N33,'01.08 Arua-Koboko'!N33,'04.08 Arua-Koboko'!N33,'05.08 Arua-Koboko'!N33,'02.08 Arua-Koboko-24h'!N33,'03.08 Arua-Koboko-24h'!N33,'06.08 Arua-Koboko'!N33)</f>
        <v>0</v>
      </c>
      <c r="O33" s="15">
        <f t="shared" si="0"/>
        <v>14</v>
      </c>
      <c r="P33" s="15">
        <f t="shared" si="1"/>
        <v>45.285714285714285</v>
      </c>
      <c r="R33" s="1" t="s">
        <v>157</v>
      </c>
      <c r="S33" s="34">
        <f>SUM(C102:C105)</f>
        <v>4.5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</v>
      </c>
      <c r="W33" s="34">
        <f t="shared" si="25"/>
        <v>0.5</v>
      </c>
      <c r="X33" s="34">
        <f t="shared" si="25"/>
        <v>13</v>
      </c>
      <c r="Y33" s="34">
        <f t="shared" si="25"/>
        <v>0.5</v>
      </c>
      <c r="Z33" s="34">
        <f t="shared" si="25"/>
        <v>0.5</v>
      </c>
      <c r="AA33" s="34">
        <f t="shared" si="25"/>
        <v>1</v>
      </c>
      <c r="AB33" s="34">
        <f t="shared" si="25"/>
        <v>1.5</v>
      </c>
      <c r="AC33" s="34">
        <f t="shared" si="25"/>
        <v>36</v>
      </c>
      <c r="AD33" s="34">
        <f t="shared" si="25"/>
        <v>0</v>
      </c>
      <c r="AE33" s="31">
        <f t="shared" si="25"/>
        <v>22.5</v>
      </c>
      <c r="AF33" s="31">
        <f t="shared" si="25"/>
        <v>58.5</v>
      </c>
    </row>
    <row r="34" spans="2:32" ht="23.1" customHeight="1" x14ac:dyDescent="0.25">
      <c r="B34" s="24" t="s">
        <v>61</v>
      </c>
      <c r="C34" s="49">
        <f>AVERAGE('31.07 Arua-Koboko'!C34,'01.08 Arua-Koboko'!C34,'04.08 Arua-Koboko'!C34,'05.08 Arua-Koboko'!C34,'02.08 Arua-Koboko-24h'!C34,'03.08 Arua-Koboko-24h'!C34,'06.08 Arua-Koboko'!C34)</f>
        <v>7</v>
      </c>
      <c r="D34" s="49">
        <f>AVERAGE('31.07 Arua-Koboko'!D34,'01.08 Arua-Koboko'!D34,'04.08 Arua-Koboko'!D34,'05.08 Arua-Koboko'!D34,'02.08 Arua-Koboko-24h'!D34,'03.08 Arua-Koboko-24h'!D34,'06.08 Arua-Koboko'!D34)</f>
        <v>1.2857142857142858</v>
      </c>
      <c r="E34" s="49">
        <f>AVERAGE('31.07 Arua-Koboko'!E34,'01.08 Arua-Koboko'!E34,'04.08 Arua-Koboko'!E34,'05.08 Arua-Koboko'!E34,'02.08 Arua-Koboko-24h'!E34,'03.08 Arua-Koboko-24h'!E34,'06.08 Arua-Koboko'!E34)</f>
        <v>2.5714285714285716</v>
      </c>
      <c r="F34" s="49">
        <f>AVERAGE('31.07 Arua-Koboko'!F34,'01.08 Arua-Koboko'!F34,'04.08 Arua-Koboko'!F34,'05.08 Arua-Koboko'!F34,'02.08 Arua-Koboko-24h'!F34,'03.08 Arua-Koboko-24h'!F34,'06.08 Arua-Koboko'!F34)</f>
        <v>0.8571428571428571</v>
      </c>
      <c r="G34" s="49">
        <f>AVERAGE('31.07 Arua-Koboko'!G34,'01.08 Arua-Koboko'!G34,'04.08 Arua-Koboko'!G34,'05.08 Arua-Koboko'!G34,'02.08 Arua-Koboko-24h'!G34,'03.08 Arua-Koboko-24h'!G34,'06.08 Arua-Koboko'!G34)</f>
        <v>0</v>
      </c>
      <c r="H34" s="49">
        <f>AVERAGE('31.07 Arua-Koboko'!H34,'01.08 Arua-Koboko'!H34,'04.08 Arua-Koboko'!H34,'05.08 Arua-Koboko'!H34,'02.08 Arua-Koboko-24h'!H34,'03.08 Arua-Koboko-24h'!H34,'06.08 Arua-Koboko'!H34)</f>
        <v>0</v>
      </c>
      <c r="I34" s="49">
        <f>AVERAGE('31.07 Arua-Koboko'!I34,'01.08 Arua-Koboko'!I34,'04.08 Arua-Koboko'!I34,'05.08 Arua-Koboko'!I34,'02.08 Arua-Koboko-24h'!I34,'03.08 Arua-Koboko-24h'!I34,'06.08 Arua-Koboko'!I34)</f>
        <v>1</v>
      </c>
      <c r="J34" s="49">
        <f>AVERAGE('31.07 Arua-Koboko'!J34,'01.08 Arua-Koboko'!J34,'04.08 Arua-Koboko'!J34,'05.08 Arua-Koboko'!J34,'02.08 Arua-Koboko-24h'!J34,'03.08 Arua-Koboko-24h'!J34,'06.08 Arua-Koboko'!J34)</f>
        <v>1.5714285714285714</v>
      </c>
      <c r="K34" s="49">
        <f>AVERAGE('31.07 Arua-Koboko'!K34,'01.08 Arua-Koboko'!K34,'04.08 Arua-Koboko'!K34,'05.08 Arua-Koboko'!K34,'02.08 Arua-Koboko-24h'!K34,'03.08 Arua-Koboko-24h'!K34,'06.08 Arua-Koboko'!K34)</f>
        <v>0.14285714285714285</v>
      </c>
      <c r="L34" s="49">
        <f>AVERAGE('31.07 Arua-Koboko'!L34,'01.08 Arua-Koboko'!L34,'04.08 Arua-Koboko'!L34,'05.08 Arua-Koboko'!L34,'02.08 Arua-Koboko-24h'!L34,'03.08 Arua-Koboko-24h'!L34,'06.08 Arua-Koboko'!L34)</f>
        <v>0.42857142857142855</v>
      </c>
      <c r="M34" s="49">
        <f>AVERAGE('31.07 Arua-Koboko'!M34,'01.08 Arua-Koboko'!M34,'04.08 Arua-Koboko'!M34,'05.08 Arua-Koboko'!M34,'02.08 Arua-Koboko-24h'!M34,'03.08 Arua-Koboko-24h'!M34,'06.08 Arua-Koboko'!M34)</f>
        <v>38.285714285714285</v>
      </c>
      <c r="N34" s="49">
        <f>AVERAGE('31.07 Arua-Koboko'!N34,'01.08 Arua-Koboko'!N34,'04.08 Arua-Koboko'!N34,'05.08 Arua-Koboko'!N34,'02.08 Arua-Koboko-24h'!N34,'03.08 Arua-Koboko-24h'!N34,'06.08 Arua-Koboko'!N34)</f>
        <v>0.14285714285714285</v>
      </c>
      <c r="O34" s="15">
        <f t="shared" si="0"/>
        <v>15</v>
      </c>
      <c r="P34" s="15">
        <f t="shared" si="1"/>
        <v>53.285714285714285</v>
      </c>
      <c r="R34" s="51" t="s">
        <v>90</v>
      </c>
      <c r="S34" s="52">
        <f t="shared" ref="S34:AF34" si="26">MAX(S10:S12)</f>
        <v>28.428571428571427</v>
      </c>
      <c r="T34" s="52">
        <f t="shared" si="26"/>
        <v>7</v>
      </c>
      <c r="U34" s="52">
        <f t="shared" si="26"/>
        <v>14</v>
      </c>
      <c r="V34" s="52">
        <f t="shared" si="26"/>
        <v>7.1428571428571423</v>
      </c>
      <c r="W34" s="52">
        <f t="shared" si="26"/>
        <v>2.2857142857142856</v>
      </c>
      <c r="X34" s="52">
        <f t="shared" si="26"/>
        <v>5</v>
      </c>
      <c r="Y34" s="52">
        <f t="shared" si="26"/>
        <v>5.7142857142857135</v>
      </c>
      <c r="Z34" s="52">
        <f t="shared" si="26"/>
        <v>4.1428571428571423</v>
      </c>
      <c r="AA34" s="52">
        <f t="shared" si="26"/>
        <v>0.14285714285714285</v>
      </c>
      <c r="AB34" s="52">
        <f t="shared" si="26"/>
        <v>3.4285714285714284</v>
      </c>
      <c r="AC34" s="52">
        <f t="shared" si="26"/>
        <v>125.85714285714286</v>
      </c>
      <c r="AD34" s="52">
        <f t="shared" si="26"/>
        <v>0.2857142857142857</v>
      </c>
      <c r="AE34" s="40">
        <f t="shared" si="26"/>
        <v>65.476190476190482</v>
      </c>
      <c r="AF34" s="40">
        <f t="shared" si="26"/>
        <v>191.33333333333331</v>
      </c>
    </row>
    <row r="35" spans="2:32" ht="23.1" customHeight="1" x14ac:dyDescent="0.25">
      <c r="B35" s="24" t="s">
        <v>62</v>
      </c>
      <c r="C35" s="49">
        <f>AVERAGE('31.07 Arua-Koboko'!C35,'01.08 Arua-Koboko'!C35,'04.08 Arua-Koboko'!C35,'05.08 Arua-Koboko'!C35,'02.08 Arua-Koboko-24h'!C35,'03.08 Arua-Koboko-24h'!C35,'06.08 Arua-Koboko'!C35)</f>
        <v>5.4285714285714288</v>
      </c>
      <c r="D35" s="49">
        <f>AVERAGE('31.07 Arua-Koboko'!D35,'01.08 Arua-Koboko'!D35,'04.08 Arua-Koboko'!D35,'05.08 Arua-Koboko'!D35,'02.08 Arua-Koboko-24h'!D35,'03.08 Arua-Koboko-24h'!D35,'06.08 Arua-Koboko'!D35)</f>
        <v>0.7142857142857143</v>
      </c>
      <c r="E35" s="49">
        <f>AVERAGE('31.07 Arua-Koboko'!E35,'01.08 Arua-Koboko'!E35,'04.08 Arua-Koboko'!E35,'05.08 Arua-Koboko'!E35,'02.08 Arua-Koboko-24h'!E35,'03.08 Arua-Koboko-24h'!E35,'06.08 Arua-Koboko'!E35)</f>
        <v>1.5714285714285714</v>
      </c>
      <c r="F35" s="49">
        <f>AVERAGE('31.07 Arua-Koboko'!F35,'01.08 Arua-Koboko'!F35,'04.08 Arua-Koboko'!F35,'05.08 Arua-Koboko'!F35,'02.08 Arua-Koboko-24h'!F35,'03.08 Arua-Koboko-24h'!F35,'06.08 Arua-Koboko'!F35)</f>
        <v>0.5714285714285714</v>
      </c>
      <c r="G35" s="49">
        <f>AVERAGE('31.07 Arua-Koboko'!G35,'01.08 Arua-Koboko'!G35,'04.08 Arua-Koboko'!G35,'05.08 Arua-Koboko'!G35,'02.08 Arua-Koboko-24h'!G35,'03.08 Arua-Koboko-24h'!G35,'06.08 Arua-Koboko'!G35)</f>
        <v>0</v>
      </c>
      <c r="H35" s="49">
        <f>AVERAGE('31.07 Arua-Koboko'!H35,'01.08 Arua-Koboko'!H35,'04.08 Arua-Koboko'!H35,'05.08 Arua-Koboko'!H35,'02.08 Arua-Koboko-24h'!H35,'03.08 Arua-Koboko-24h'!H35,'06.08 Arua-Koboko'!H35)</f>
        <v>0</v>
      </c>
      <c r="I35" s="49">
        <f>AVERAGE('31.07 Arua-Koboko'!I35,'01.08 Arua-Koboko'!I35,'04.08 Arua-Koboko'!I35,'05.08 Arua-Koboko'!I35,'02.08 Arua-Koboko-24h'!I35,'03.08 Arua-Koboko-24h'!I35,'06.08 Arua-Koboko'!I35)</f>
        <v>0.42857142857142855</v>
      </c>
      <c r="J35" s="49">
        <f>AVERAGE('31.07 Arua-Koboko'!J35,'01.08 Arua-Koboko'!J35,'04.08 Arua-Koboko'!J35,'05.08 Arua-Koboko'!J35,'02.08 Arua-Koboko-24h'!J35,'03.08 Arua-Koboko-24h'!J35,'06.08 Arua-Koboko'!J35)</f>
        <v>0.8</v>
      </c>
      <c r="K35" s="49">
        <f>AVERAGE('31.07 Arua-Koboko'!K35,'01.08 Arua-Koboko'!K35,'04.08 Arua-Koboko'!K35,'05.08 Arua-Koboko'!K35,'02.08 Arua-Koboko-24h'!K35,'03.08 Arua-Koboko-24h'!K35,'06.08 Arua-Koboko'!K35)</f>
        <v>0.14285714285714285</v>
      </c>
      <c r="L35" s="49">
        <f>AVERAGE('31.07 Arua-Koboko'!L35,'01.08 Arua-Koboko'!L35,'04.08 Arua-Koboko'!L35,'05.08 Arua-Koboko'!L35,'02.08 Arua-Koboko-24h'!L35,'03.08 Arua-Koboko-24h'!L35,'06.08 Arua-Koboko'!L35)</f>
        <v>0.42857142857142855</v>
      </c>
      <c r="M35" s="49">
        <f>AVERAGE('31.07 Arua-Koboko'!M35,'01.08 Arua-Koboko'!M35,'04.08 Arua-Koboko'!M35,'05.08 Arua-Koboko'!M35,'02.08 Arua-Koboko-24h'!M35,'03.08 Arua-Koboko-24h'!M35,'06.08 Arua-Koboko'!M35)</f>
        <v>30.857142857142858</v>
      </c>
      <c r="N35" s="49">
        <f>AVERAGE('31.07 Arua-Koboko'!N35,'01.08 Arua-Koboko'!N35,'04.08 Arua-Koboko'!N35,'05.08 Arua-Koboko'!N35,'02.08 Arua-Koboko-24h'!N35,'03.08 Arua-Koboko-24h'!N35,'06.08 Arua-Koboko'!N35)</f>
        <v>0</v>
      </c>
      <c r="O35" s="15">
        <f t="shared" si="0"/>
        <v>10.085714285714287</v>
      </c>
      <c r="P35" s="15">
        <f t="shared" si="1"/>
        <v>40.942857142857143</v>
      </c>
      <c r="R35" s="51" t="s">
        <v>91</v>
      </c>
      <c r="S35" s="52">
        <f t="shared" ref="S35:AF35" si="27">MAX(S13:S18)</f>
        <v>37.571428571428569</v>
      </c>
      <c r="T35" s="52">
        <f t="shared" si="27"/>
        <v>7.5714285714285712</v>
      </c>
      <c r="U35" s="52">
        <f t="shared" si="27"/>
        <v>14.857142857142858</v>
      </c>
      <c r="V35" s="52">
        <f t="shared" si="27"/>
        <v>5.7142857142857144</v>
      </c>
      <c r="W35" s="52">
        <f t="shared" si="27"/>
        <v>0.5714285714285714</v>
      </c>
      <c r="X35" s="52">
        <f t="shared" si="27"/>
        <v>0.5714285714285714</v>
      </c>
      <c r="Y35" s="52">
        <f t="shared" si="27"/>
        <v>6</v>
      </c>
      <c r="Z35" s="52">
        <f t="shared" si="27"/>
        <v>4.5714285714285712</v>
      </c>
      <c r="AA35" s="52">
        <f t="shared" si="27"/>
        <v>0.42857142857142855</v>
      </c>
      <c r="AB35" s="52">
        <f t="shared" si="27"/>
        <v>2.1428571428571428</v>
      </c>
      <c r="AC35" s="52">
        <f t="shared" si="27"/>
        <v>156.71428571428572</v>
      </c>
      <c r="AD35" s="52">
        <f t="shared" si="27"/>
        <v>1.4761904761904761</v>
      </c>
      <c r="AE35" s="40">
        <f t="shared" si="27"/>
        <v>74</v>
      </c>
      <c r="AF35" s="40">
        <f t="shared" si="27"/>
        <v>230.71428571428572</v>
      </c>
    </row>
    <row r="36" spans="2:32" ht="23.1" customHeight="1" x14ac:dyDescent="0.25">
      <c r="B36" s="24" t="s">
        <v>63</v>
      </c>
      <c r="C36" s="49">
        <f>AVERAGE('31.07 Arua-Koboko'!C36,'01.08 Arua-Koboko'!C36,'04.08 Arua-Koboko'!C36,'05.08 Arua-Koboko'!C36,'02.08 Arua-Koboko-24h'!C36,'03.08 Arua-Koboko-24h'!C36,'06.08 Arua-Koboko'!C36)</f>
        <v>6</v>
      </c>
      <c r="D36" s="49">
        <f>AVERAGE('31.07 Arua-Koboko'!D36,'01.08 Arua-Koboko'!D36,'04.08 Arua-Koboko'!D36,'05.08 Arua-Koboko'!D36,'02.08 Arua-Koboko-24h'!D36,'03.08 Arua-Koboko-24h'!D36,'06.08 Arua-Koboko'!D36)</f>
        <v>0.8571428571428571</v>
      </c>
      <c r="E36" s="49">
        <f>AVERAGE('31.07 Arua-Koboko'!E36,'01.08 Arua-Koboko'!E36,'04.08 Arua-Koboko'!E36,'05.08 Arua-Koboko'!E36,'02.08 Arua-Koboko-24h'!E36,'03.08 Arua-Koboko-24h'!E36,'06.08 Arua-Koboko'!E36)</f>
        <v>1.4285714285714286</v>
      </c>
      <c r="F36" s="49">
        <f>AVERAGE('31.07 Arua-Koboko'!F36,'01.08 Arua-Koboko'!F36,'04.08 Arua-Koboko'!F36,'05.08 Arua-Koboko'!F36,'02.08 Arua-Koboko-24h'!F36,'03.08 Arua-Koboko-24h'!F36,'06.08 Arua-Koboko'!F36)</f>
        <v>0.5714285714285714</v>
      </c>
      <c r="G36" s="49">
        <f>AVERAGE('31.07 Arua-Koboko'!G36,'01.08 Arua-Koboko'!G36,'04.08 Arua-Koboko'!G36,'05.08 Arua-Koboko'!G36,'02.08 Arua-Koboko-24h'!G36,'03.08 Arua-Koboko-24h'!G36,'06.08 Arua-Koboko'!G36)</f>
        <v>0</v>
      </c>
      <c r="H36" s="49">
        <f>AVERAGE('31.07 Arua-Koboko'!H36,'01.08 Arua-Koboko'!H36,'04.08 Arua-Koboko'!H36,'05.08 Arua-Koboko'!H36,'02.08 Arua-Koboko-24h'!H36,'03.08 Arua-Koboko-24h'!H36,'06.08 Arua-Koboko'!H36)</f>
        <v>0.5714285714285714</v>
      </c>
      <c r="I36" s="49">
        <f>AVERAGE('31.07 Arua-Koboko'!I36,'01.08 Arua-Koboko'!I36,'04.08 Arua-Koboko'!I36,'05.08 Arua-Koboko'!I36,'02.08 Arua-Koboko-24h'!I36,'03.08 Arua-Koboko-24h'!I36,'06.08 Arua-Koboko'!I36)</f>
        <v>1.5714285714285714</v>
      </c>
      <c r="J36" s="49">
        <f>AVERAGE('31.07 Arua-Koboko'!J36,'01.08 Arua-Koboko'!J36,'04.08 Arua-Koboko'!J36,'05.08 Arua-Koboko'!J36,'02.08 Arua-Koboko-24h'!J36,'03.08 Arua-Koboko-24h'!J36,'06.08 Arua-Koboko'!J36)</f>
        <v>1.4285714285714286</v>
      </c>
      <c r="K36" s="49">
        <f>AVERAGE('31.07 Arua-Koboko'!K36,'01.08 Arua-Koboko'!K36,'04.08 Arua-Koboko'!K36,'05.08 Arua-Koboko'!K36,'02.08 Arua-Koboko-24h'!K36,'03.08 Arua-Koboko-24h'!K36,'06.08 Arua-Koboko'!K36)</f>
        <v>0.14285714285714285</v>
      </c>
      <c r="L36" s="49">
        <f>AVERAGE('31.07 Arua-Koboko'!L36,'01.08 Arua-Koboko'!L36,'04.08 Arua-Koboko'!L36,'05.08 Arua-Koboko'!L36,'02.08 Arua-Koboko-24h'!L36,'03.08 Arua-Koboko-24h'!L36,'06.08 Arua-Koboko'!L36)</f>
        <v>0.42857142857142855</v>
      </c>
      <c r="M36" s="49">
        <f>AVERAGE('31.07 Arua-Koboko'!M36,'01.08 Arua-Koboko'!M36,'04.08 Arua-Koboko'!M36,'05.08 Arua-Koboko'!M36,'02.08 Arua-Koboko-24h'!M36,'03.08 Arua-Koboko-24h'!M36,'06.08 Arua-Koboko'!M36)</f>
        <v>32.142857142857146</v>
      </c>
      <c r="N36" s="49">
        <f>AVERAGE('31.07 Arua-Koboko'!N36,'01.08 Arua-Koboko'!N36,'04.08 Arua-Koboko'!N36,'05.08 Arua-Koboko'!N36,'02.08 Arua-Koboko-24h'!N36,'03.08 Arua-Koboko-24h'!N36,'06.08 Arua-Koboko'!N36)</f>
        <v>0</v>
      </c>
      <c r="O36" s="15">
        <f t="shared" si="0"/>
        <v>12.999999999999998</v>
      </c>
      <c r="P36" s="15">
        <f t="shared" si="1"/>
        <v>45.142857142857146</v>
      </c>
      <c r="R36" s="51" t="s">
        <v>92</v>
      </c>
      <c r="S36" s="52">
        <f t="shared" ref="S36:AF36" si="28">MAX(S19:S21)</f>
        <v>33.714285714285715</v>
      </c>
      <c r="T36" s="52">
        <f t="shared" si="28"/>
        <v>4.2857142857142856</v>
      </c>
      <c r="U36" s="52">
        <f t="shared" si="28"/>
        <v>9.2857142857142865</v>
      </c>
      <c r="V36" s="52">
        <f t="shared" si="28"/>
        <v>4.4285714285714288</v>
      </c>
      <c r="W36" s="52">
        <f t="shared" si="28"/>
        <v>1.2857142857142856</v>
      </c>
      <c r="X36" s="52">
        <f t="shared" si="28"/>
        <v>1.1428571428571428</v>
      </c>
      <c r="Y36" s="52">
        <f t="shared" si="28"/>
        <v>5.7142857142857144</v>
      </c>
      <c r="Z36" s="52">
        <f t="shared" si="28"/>
        <v>12.142857142857142</v>
      </c>
      <c r="AA36" s="52">
        <f t="shared" si="28"/>
        <v>1.857142857142857</v>
      </c>
      <c r="AB36" s="52">
        <f t="shared" si="28"/>
        <v>1.4285714285714286</v>
      </c>
      <c r="AC36" s="52">
        <f t="shared" si="28"/>
        <v>122.57142857142857</v>
      </c>
      <c r="AD36" s="52">
        <f t="shared" si="28"/>
        <v>0</v>
      </c>
      <c r="AE36" s="40">
        <f t="shared" si="28"/>
        <v>71.714285714285722</v>
      </c>
      <c r="AF36" s="40">
        <f t="shared" si="28"/>
        <v>194.28571428571428</v>
      </c>
    </row>
    <row r="37" spans="2:32" ht="23.1" customHeight="1" x14ac:dyDescent="0.25">
      <c r="B37" s="23" t="s">
        <v>64</v>
      </c>
      <c r="C37" s="49">
        <f>AVERAGE('31.07 Arua-Koboko'!C37,'01.08 Arua-Koboko'!C37,'04.08 Arua-Koboko'!C37,'05.08 Arua-Koboko'!C37,'02.08 Arua-Koboko-24h'!C37,'03.08 Arua-Koboko-24h'!C37,'06.08 Arua-Koboko'!C37)</f>
        <v>5.4285714285714288</v>
      </c>
      <c r="D37" s="49">
        <f>AVERAGE('31.07 Arua-Koboko'!D37,'01.08 Arua-Koboko'!D37,'04.08 Arua-Koboko'!D37,'05.08 Arua-Koboko'!D37,'02.08 Arua-Koboko-24h'!D37,'03.08 Arua-Koboko-24h'!D37,'06.08 Arua-Koboko'!D37)</f>
        <v>0.8571428571428571</v>
      </c>
      <c r="E37" s="49">
        <f>AVERAGE('31.07 Arua-Koboko'!E37,'01.08 Arua-Koboko'!E37,'04.08 Arua-Koboko'!E37,'05.08 Arua-Koboko'!E37,'02.08 Arua-Koboko-24h'!E37,'03.08 Arua-Koboko-24h'!E37,'06.08 Arua-Koboko'!E37)</f>
        <v>2.1428571428571428</v>
      </c>
      <c r="F37" s="49">
        <f>AVERAGE('31.07 Arua-Koboko'!F37,'01.08 Arua-Koboko'!F37,'04.08 Arua-Koboko'!F37,'05.08 Arua-Koboko'!F37,'02.08 Arua-Koboko-24h'!F37,'03.08 Arua-Koboko-24h'!F37,'06.08 Arua-Koboko'!F37)</f>
        <v>1.1428571428571428</v>
      </c>
      <c r="G37" s="49">
        <f>AVERAGE('31.07 Arua-Koboko'!G37,'01.08 Arua-Koboko'!G37,'04.08 Arua-Koboko'!G37,'05.08 Arua-Koboko'!G37,'02.08 Arua-Koboko-24h'!G37,'03.08 Arua-Koboko-24h'!G37,'06.08 Arua-Koboko'!G37)</f>
        <v>0</v>
      </c>
      <c r="H37" s="49">
        <f>AVERAGE('31.07 Arua-Koboko'!H37,'01.08 Arua-Koboko'!H37,'04.08 Arua-Koboko'!H37,'05.08 Arua-Koboko'!H37,'02.08 Arua-Koboko-24h'!H37,'03.08 Arua-Koboko-24h'!H37,'06.08 Arua-Koboko'!H37)</f>
        <v>0</v>
      </c>
      <c r="I37" s="49">
        <f>AVERAGE('31.07 Arua-Koboko'!I37,'01.08 Arua-Koboko'!I37,'04.08 Arua-Koboko'!I37,'05.08 Arua-Koboko'!I37,'02.08 Arua-Koboko-24h'!I37,'03.08 Arua-Koboko-24h'!I37,'06.08 Arua-Koboko'!I37)</f>
        <v>1.5714285714285714</v>
      </c>
      <c r="J37" s="49">
        <f>AVERAGE('31.07 Arua-Koboko'!J37,'01.08 Arua-Koboko'!J37,'04.08 Arua-Koboko'!J37,'05.08 Arua-Koboko'!J37,'02.08 Arua-Koboko-24h'!J37,'03.08 Arua-Koboko-24h'!J37,'06.08 Arua-Koboko'!J37)</f>
        <v>0.5714285714285714</v>
      </c>
      <c r="K37" s="49">
        <f>AVERAGE('31.07 Arua-Koboko'!K37,'01.08 Arua-Koboko'!K37,'04.08 Arua-Koboko'!K37,'05.08 Arua-Koboko'!K37,'02.08 Arua-Koboko-24h'!K37,'03.08 Arua-Koboko-24h'!K37,'06.08 Arua-Koboko'!K37)</f>
        <v>0</v>
      </c>
      <c r="L37" s="49">
        <f>AVERAGE('31.07 Arua-Koboko'!L37,'01.08 Arua-Koboko'!L37,'04.08 Arua-Koboko'!L37,'05.08 Arua-Koboko'!L37,'02.08 Arua-Koboko-24h'!L37,'03.08 Arua-Koboko-24h'!L37,'06.08 Arua-Koboko'!L37)</f>
        <v>0.2857142857142857</v>
      </c>
      <c r="M37" s="49">
        <f>AVERAGE('31.07 Arua-Koboko'!M37,'01.08 Arua-Koboko'!M37,'04.08 Arua-Koboko'!M37,'05.08 Arua-Koboko'!M37,'02.08 Arua-Koboko-24h'!M37,'03.08 Arua-Koboko-24h'!M37,'06.08 Arua-Koboko'!M37)</f>
        <v>30.857142857142858</v>
      </c>
      <c r="N37" s="49">
        <f>AVERAGE('31.07 Arua-Koboko'!N37,'01.08 Arua-Koboko'!N37,'04.08 Arua-Koboko'!N37,'05.08 Arua-Koboko'!N37,'02.08 Arua-Koboko-24h'!N37,'03.08 Arua-Koboko-24h'!N37,'06.08 Arua-Koboko'!N37)</f>
        <v>1.3333333333333333</v>
      </c>
      <c r="O37" s="15">
        <f t="shared" si="0"/>
        <v>13.333333333333334</v>
      </c>
      <c r="P37" s="15">
        <f t="shared" si="1"/>
        <v>44.190476190476197</v>
      </c>
      <c r="R37" s="37" t="s">
        <v>85</v>
      </c>
      <c r="S37" s="53">
        <f t="shared" ref="S37:AF37" si="29">SUM(S10:S12)</f>
        <v>79.428571428571431</v>
      </c>
      <c r="T37" s="54">
        <f t="shared" si="29"/>
        <v>15.428571428571429</v>
      </c>
      <c r="U37" s="54">
        <f t="shared" si="29"/>
        <v>32.142857142857139</v>
      </c>
      <c r="V37" s="54">
        <f t="shared" si="29"/>
        <v>17.857142857142858</v>
      </c>
      <c r="W37" s="54">
        <f t="shared" si="29"/>
        <v>4</v>
      </c>
      <c r="X37" s="54">
        <f t="shared" si="29"/>
        <v>5.8571428571428568</v>
      </c>
      <c r="Y37" s="54">
        <f t="shared" si="29"/>
        <v>13.095238095238095</v>
      </c>
      <c r="Z37" s="54">
        <f t="shared" si="29"/>
        <v>9.3809523809523796</v>
      </c>
      <c r="AA37" s="54">
        <f t="shared" si="29"/>
        <v>0.14285714285714285</v>
      </c>
      <c r="AB37" s="54">
        <f t="shared" si="29"/>
        <v>6.2857142857142856</v>
      </c>
      <c r="AC37" s="54">
        <f t="shared" si="29"/>
        <v>345.28571428571433</v>
      </c>
      <c r="AD37" s="54">
        <f t="shared" si="29"/>
        <v>0.2857142857142857</v>
      </c>
      <c r="AE37" s="55">
        <f t="shared" si="29"/>
        <v>183.9047619047619</v>
      </c>
      <c r="AF37" s="55">
        <f t="shared" si="29"/>
        <v>529.19047619047615</v>
      </c>
    </row>
    <row r="38" spans="2:32" ht="23.1" customHeight="1" x14ac:dyDescent="0.25">
      <c r="B38" s="24" t="s">
        <v>65</v>
      </c>
      <c r="C38" s="49">
        <f>AVERAGE('31.07 Arua-Koboko'!C38,'01.08 Arua-Koboko'!C38,'04.08 Arua-Koboko'!C38,'05.08 Arua-Koboko'!C38,'02.08 Arua-Koboko-24h'!C38,'03.08 Arua-Koboko-24h'!C38,'06.08 Arua-Koboko'!C38)</f>
        <v>7.2857142857142856</v>
      </c>
      <c r="D38" s="49">
        <f>AVERAGE('31.07 Arua-Koboko'!D38,'01.08 Arua-Koboko'!D38,'04.08 Arua-Koboko'!D38,'05.08 Arua-Koboko'!D38,'02.08 Arua-Koboko-24h'!D38,'03.08 Arua-Koboko-24h'!D38,'06.08 Arua-Koboko'!D38)</f>
        <v>1</v>
      </c>
      <c r="E38" s="49">
        <f>AVERAGE('31.07 Arua-Koboko'!E38,'01.08 Arua-Koboko'!E38,'04.08 Arua-Koboko'!E38,'05.08 Arua-Koboko'!E38,'02.08 Arua-Koboko-24h'!E38,'03.08 Arua-Koboko-24h'!E38,'06.08 Arua-Koboko'!E38)</f>
        <v>1.5714285714285714</v>
      </c>
      <c r="F38" s="49">
        <f>AVERAGE('31.07 Arua-Koboko'!F38,'01.08 Arua-Koboko'!F38,'04.08 Arua-Koboko'!F38,'05.08 Arua-Koboko'!F38,'02.08 Arua-Koboko-24h'!F38,'03.08 Arua-Koboko-24h'!F38,'06.08 Arua-Koboko'!F38)</f>
        <v>1.1428571428571428</v>
      </c>
      <c r="G38" s="49">
        <f>AVERAGE('31.07 Arua-Koboko'!G38,'01.08 Arua-Koboko'!G38,'04.08 Arua-Koboko'!G38,'05.08 Arua-Koboko'!G38,'02.08 Arua-Koboko-24h'!G38,'03.08 Arua-Koboko-24h'!G38,'06.08 Arua-Koboko'!G38)</f>
        <v>0</v>
      </c>
      <c r="H38" s="49">
        <f>AVERAGE('31.07 Arua-Koboko'!H38,'01.08 Arua-Koboko'!H38,'04.08 Arua-Koboko'!H38,'05.08 Arua-Koboko'!H38,'02.08 Arua-Koboko-24h'!H38,'03.08 Arua-Koboko-24h'!H38,'06.08 Arua-Koboko'!H38)</f>
        <v>0</v>
      </c>
      <c r="I38" s="49">
        <f>AVERAGE('31.07 Arua-Koboko'!I38,'01.08 Arua-Koboko'!I38,'04.08 Arua-Koboko'!I38,'05.08 Arua-Koboko'!I38,'02.08 Arua-Koboko-24h'!I38,'03.08 Arua-Koboko-24h'!I38,'06.08 Arua-Koboko'!I38)</f>
        <v>1</v>
      </c>
      <c r="J38" s="49">
        <f>AVERAGE('31.07 Arua-Koboko'!J38,'01.08 Arua-Koboko'!J38,'04.08 Arua-Koboko'!J38,'05.08 Arua-Koboko'!J38,'02.08 Arua-Koboko-24h'!J38,'03.08 Arua-Koboko-24h'!J38,'06.08 Arua-Koboko'!J38)</f>
        <v>0.8571428571428571</v>
      </c>
      <c r="K38" s="49">
        <f>AVERAGE('31.07 Arua-Koboko'!K38,'01.08 Arua-Koboko'!K38,'04.08 Arua-Koboko'!K38,'05.08 Arua-Koboko'!K38,'02.08 Arua-Koboko-24h'!K38,'03.08 Arua-Koboko-24h'!K38,'06.08 Arua-Koboko'!K38)</f>
        <v>0</v>
      </c>
      <c r="L38" s="49">
        <f>AVERAGE('31.07 Arua-Koboko'!L38,'01.08 Arua-Koboko'!L38,'04.08 Arua-Koboko'!L38,'05.08 Arua-Koboko'!L38,'02.08 Arua-Koboko-24h'!L38,'03.08 Arua-Koboko-24h'!L38,'06.08 Arua-Koboko'!L38)</f>
        <v>0.14285714285714285</v>
      </c>
      <c r="M38" s="49">
        <f>AVERAGE('31.07 Arua-Koboko'!M38,'01.08 Arua-Koboko'!M38,'04.08 Arua-Koboko'!M38,'05.08 Arua-Koboko'!M38,'02.08 Arua-Koboko-24h'!M38,'03.08 Arua-Koboko-24h'!M38,'06.08 Arua-Koboko'!M38)</f>
        <v>28.142857142857142</v>
      </c>
      <c r="N38" s="49">
        <f>AVERAGE('31.07 Arua-Koboko'!N38,'01.08 Arua-Koboko'!N38,'04.08 Arua-Koboko'!N38,'05.08 Arua-Koboko'!N38,'02.08 Arua-Koboko-24h'!N38,'03.08 Arua-Koboko-24h'!N38,'06.08 Arua-Koboko'!N38)</f>
        <v>0</v>
      </c>
      <c r="O38" s="15">
        <f t="shared" si="0"/>
        <v>12.999999999999998</v>
      </c>
      <c r="P38" s="15">
        <f t="shared" si="1"/>
        <v>41.142857142857139</v>
      </c>
      <c r="R38" s="28" t="s">
        <v>86</v>
      </c>
      <c r="S38" s="54">
        <f t="shared" ref="S38:AF38" si="30">SUM(S13:S18)</f>
        <v>186.71428571428572</v>
      </c>
      <c r="T38" s="54">
        <f t="shared" si="30"/>
        <v>26.857142857142854</v>
      </c>
      <c r="U38" s="54">
        <f t="shared" si="30"/>
        <v>57.142857142857146</v>
      </c>
      <c r="V38" s="54">
        <f t="shared" si="30"/>
        <v>24.571428571428569</v>
      </c>
      <c r="W38" s="54">
        <f t="shared" si="30"/>
        <v>1.5714285714285712</v>
      </c>
      <c r="X38" s="54">
        <f t="shared" si="30"/>
        <v>2.5714285714285712</v>
      </c>
      <c r="Y38" s="54">
        <f t="shared" si="30"/>
        <v>29.714285714285715</v>
      </c>
      <c r="Z38" s="54">
        <f t="shared" si="30"/>
        <v>24.419047619047621</v>
      </c>
      <c r="AA38" s="54">
        <f t="shared" si="30"/>
        <v>0.71428571428571419</v>
      </c>
      <c r="AB38" s="54">
        <f t="shared" si="30"/>
        <v>8.2857142857142847</v>
      </c>
      <c r="AC38" s="54">
        <f t="shared" si="30"/>
        <v>796.28571428571422</v>
      </c>
      <c r="AD38" s="54">
        <f t="shared" si="30"/>
        <v>1.7619047619047619</v>
      </c>
      <c r="AE38" s="55">
        <f t="shared" si="30"/>
        <v>364.32380952380953</v>
      </c>
      <c r="AF38" s="55">
        <f t="shared" si="30"/>
        <v>1160.6095238095238</v>
      </c>
    </row>
    <row r="39" spans="2:32" ht="23.1" customHeight="1" x14ac:dyDescent="0.25">
      <c r="B39" s="24" t="s">
        <v>66</v>
      </c>
      <c r="C39" s="49">
        <f>AVERAGE('31.07 Arua-Koboko'!C39,'01.08 Arua-Koboko'!C39,'04.08 Arua-Koboko'!C39,'05.08 Arua-Koboko'!C39,'02.08 Arua-Koboko-24h'!C39,'03.08 Arua-Koboko-24h'!C39,'06.08 Arua-Koboko'!C39)</f>
        <v>7.5714285714285712</v>
      </c>
      <c r="D39" s="49">
        <f>AVERAGE('31.07 Arua-Koboko'!D39,'01.08 Arua-Koboko'!D39,'04.08 Arua-Koboko'!D39,'05.08 Arua-Koboko'!D39,'02.08 Arua-Koboko-24h'!D39,'03.08 Arua-Koboko-24h'!D39,'06.08 Arua-Koboko'!D39)</f>
        <v>0.5714285714285714</v>
      </c>
      <c r="E39" s="49">
        <f>AVERAGE('31.07 Arua-Koboko'!E39,'01.08 Arua-Koboko'!E39,'04.08 Arua-Koboko'!E39,'05.08 Arua-Koboko'!E39,'02.08 Arua-Koboko-24h'!E39,'03.08 Arua-Koboko-24h'!E39,'06.08 Arua-Koboko'!E39)</f>
        <v>0.7142857142857143</v>
      </c>
      <c r="F39" s="49">
        <f>AVERAGE('31.07 Arua-Koboko'!F39,'01.08 Arua-Koboko'!F39,'04.08 Arua-Koboko'!F39,'05.08 Arua-Koboko'!F39,'02.08 Arua-Koboko-24h'!F39,'03.08 Arua-Koboko-24h'!F39,'06.08 Arua-Koboko'!F39)</f>
        <v>0.8571428571428571</v>
      </c>
      <c r="G39" s="49">
        <f>AVERAGE('31.07 Arua-Koboko'!G39,'01.08 Arua-Koboko'!G39,'04.08 Arua-Koboko'!G39,'05.08 Arua-Koboko'!G39,'02.08 Arua-Koboko-24h'!G39,'03.08 Arua-Koboko-24h'!G39,'06.08 Arua-Koboko'!G39)</f>
        <v>0.14285714285714285</v>
      </c>
      <c r="H39" s="49">
        <f>AVERAGE('31.07 Arua-Koboko'!H39,'01.08 Arua-Koboko'!H39,'04.08 Arua-Koboko'!H39,'05.08 Arua-Koboko'!H39,'02.08 Arua-Koboko-24h'!H39,'03.08 Arua-Koboko-24h'!H39,'06.08 Arua-Koboko'!H39)</f>
        <v>0</v>
      </c>
      <c r="I39" s="49">
        <f>AVERAGE('31.07 Arua-Koboko'!I39,'01.08 Arua-Koboko'!I39,'04.08 Arua-Koboko'!I39,'05.08 Arua-Koboko'!I39,'02.08 Arua-Koboko-24h'!I39,'03.08 Arua-Koboko-24h'!I39,'06.08 Arua-Koboko'!I39)</f>
        <v>0.8571428571428571</v>
      </c>
      <c r="J39" s="49">
        <f>AVERAGE('31.07 Arua-Koboko'!J39,'01.08 Arua-Koboko'!J39,'04.08 Arua-Koboko'!J39,'05.08 Arua-Koboko'!J39,'02.08 Arua-Koboko-24h'!J39,'03.08 Arua-Koboko-24h'!J39,'06.08 Arua-Koboko'!J39)</f>
        <v>0.8571428571428571</v>
      </c>
      <c r="K39" s="49">
        <f>AVERAGE('31.07 Arua-Koboko'!K39,'01.08 Arua-Koboko'!K39,'04.08 Arua-Koboko'!K39,'05.08 Arua-Koboko'!K39,'02.08 Arua-Koboko-24h'!K39,'03.08 Arua-Koboko-24h'!K39,'06.08 Arua-Koboko'!K39)</f>
        <v>0</v>
      </c>
      <c r="L39" s="49">
        <f>AVERAGE('31.07 Arua-Koboko'!L39,'01.08 Arua-Koboko'!L39,'04.08 Arua-Koboko'!L39,'05.08 Arua-Koboko'!L39,'02.08 Arua-Koboko-24h'!L39,'03.08 Arua-Koboko-24h'!L39,'06.08 Arua-Koboko'!L39)</f>
        <v>0.2857142857142857</v>
      </c>
      <c r="M39" s="49">
        <f>AVERAGE('31.07 Arua-Koboko'!M39,'01.08 Arua-Koboko'!M39,'04.08 Arua-Koboko'!M39,'05.08 Arua-Koboko'!M39,'02.08 Arua-Koboko-24h'!M39,'03.08 Arua-Koboko-24h'!M39,'06.08 Arua-Koboko'!M39)</f>
        <v>34.857142857142854</v>
      </c>
      <c r="N39" s="49">
        <f>AVERAGE('31.07 Arua-Koboko'!N39,'01.08 Arua-Koboko'!N39,'04.08 Arua-Koboko'!N39,'05.08 Arua-Koboko'!N39,'02.08 Arua-Koboko-24h'!N39,'03.08 Arua-Koboko-24h'!N39,'06.08 Arua-Koboko'!N39)</f>
        <v>0</v>
      </c>
      <c r="O39" s="15">
        <f t="shared" si="0"/>
        <v>11.857142857142858</v>
      </c>
      <c r="P39" s="15">
        <f t="shared" si="1"/>
        <v>46.714285714285708</v>
      </c>
      <c r="R39" s="29" t="s">
        <v>87</v>
      </c>
      <c r="S39" s="54">
        <f t="shared" ref="S39:AF39" si="31">SUM(S19:S21)</f>
        <v>84</v>
      </c>
      <c r="T39" s="54">
        <f t="shared" si="31"/>
        <v>10.285714285714285</v>
      </c>
      <c r="U39" s="54">
        <f t="shared" si="31"/>
        <v>22</v>
      </c>
      <c r="V39" s="54">
        <f t="shared" si="31"/>
        <v>11</v>
      </c>
      <c r="W39" s="54">
        <f t="shared" si="31"/>
        <v>2.8571428571428568</v>
      </c>
      <c r="X39" s="54">
        <f t="shared" si="31"/>
        <v>1.7142857142857142</v>
      </c>
      <c r="Y39" s="54">
        <f t="shared" si="31"/>
        <v>14.380952380952381</v>
      </c>
      <c r="Z39" s="54">
        <f t="shared" si="31"/>
        <v>22.571428571428573</v>
      </c>
      <c r="AA39" s="54">
        <f t="shared" si="31"/>
        <v>2.1428571428571428</v>
      </c>
      <c r="AB39" s="54">
        <f t="shared" si="31"/>
        <v>3.7142857142857144</v>
      </c>
      <c r="AC39" s="54">
        <f t="shared" si="31"/>
        <v>351</v>
      </c>
      <c r="AD39" s="54">
        <f t="shared" si="31"/>
        <v>0</v>
      </c>
      <c r="AE39" s="55">
        <f t="shared" si="31"/>
        <v>174.66666666666669</v>
      </c>
      <c r="AF39" s="55">
        <f t="shared" si="31"/>
        <v>525.66666666666663</v>
      </c>
    </row>
    <row r="40" spans="2:32" ht="23.1" customHeight="1" x14ac:dyDescent="0.25">
      <c r="B40" s="24" t="s">
        <v>67</v>
      </c>
      <c r="C40" s="49">
        <f>AVERAGE('31.07 Arua-Koboko'!C40,'01.08 Arua-Koboko'!C40,'04.08 Arua-Koboko'!C40,'05.08 Arua-Koboko'!C40,'02.08 Arua-Koboko-24h'!C40,'03.08 Arua-Koboko-24h'!C40,'06.08 Arua-Koboko'!C40)</f>
        <v>7.7142857142857144</v>
      </c>
      <c r="D40" s="49">
        <f>AVERAGE('31.07 Arua-Koboko'!D40,'01.08 Arua-Koboko'!D40,'04.08 Arua-Koboko'!D40,'05.08 Arua-Koboko'!D40,'02.08 Arua-Koboko-24h'!D40,'03.08 Arua-Koboko-24h'!D40,'06.08 Arua-Koboko'!D40)</f>
        <v>0.14285714285714285</v>
      </c>
      <c r="E40" s="49">
        <f>AVERAGE('31.07 Arua-Koboko'!E40,'01.08 Arua-Koboko'!E40,'04.08 Arua-Koboko'!E40,'05.08 Arua-Koboko'!E40,'02.08 Arua-Koboko-24h'!E40,'03.08 Arua-Koboko-24h'!E40,'06.08 Arua-Koboko'!E40)</f>
        <v>0.42857142857142855</v>
      </c>
      <c r="F40" s="49">
        <f>AVERAGE('31.07 Arua-Koboko'!F40,'01.08 Arua-Koboko'!F40,'04.08 Arua-Koboko'!F40,'05.08 Arua-Koboko'!F40,'02.08 Arua-Koboko-24h'!F40,'03.08 Arua-Koboko-24h'!F40,'06.08 Arua-Koboko'!F40)</f>
        <v>1.4285714285714286</v>
      </c>
      <c r="G40" s="49">
        <f>AVERAGE('31.07 Arua-Koboko'!G40,'01.08 Arua-Koboko'!G40,'04.08 Arua-Koboko'!G40,'05.08 Arua-Koboko'!G40,'02.08 Arua-Koboko-24h'!G40,'03.08 Arua-Koboko-24h'!G40,'06.08 Arua-Koboko'!G40)</f>
        <v>0.14285714285714285</v>
      </c>
      <c r="H40" s="49">
        <f>AVERAGE('31.07 Arua-Koboko'!H40,'01.08 Arua-Koboko'!H40,'04.08 Arua-Koboko'!H40,'05.08 Arua-Koboko'!H40,'02.08 Arua-Koboko-24h'!H40,'03.08 Arua-Koboko-24h'!H40,'06.08 Arua-Koboko'!H40)</f>
        <v>0</v>
      </c>
      <c r="I40" s="49">
        <f>AVERAGE('31.07 Arua-Koboko'!I40,'01.08 Arua-Koboko'!I40,'04.08 Arua-Koboko'!I40,'05.08 Arua-Koboko'!I40,'02.08 Arua-Koboko-24h'!I40,'03.08 Arua-Koboko-24h'!I40,'06.08 Arua-Koboko'!I40)</f>
        <v>1.4285714285714286</v>
      </c>
      <c r="J40" s="49">
        <f>AVERAGE('31.07 Arua-Koboko'!J40,'01.08 Arua-Koboko'!J40,'04.08 Arua-Koboko'!J40,'05.08 Arua-Koboko'!J40,'02.08 Arua-Koboko-24h'!J40,'03.08 Arua-Koboko-24h'!J40,'06.08 Arua-Koboko'!J40)</f>
        <v>2</v>
      </c>
      <c r="K40" s="49">
        <f>AVERAGE('31.07 Arua-Koboko'!K40,'01.08 Arua-Koboko'!K40,'04.08 Arua-Koboko'!K40,'05.08 Arua-Koboko'!K40,'02.08 Arua-Koboko-24h'!K40,'03.08 Arua-Koboko-24h'!K40,'06.08 Arua-Koboko'!K40)</f>
        <v>0</v>
      </c>
      <c r="L40" s="49">
        <f>AVERAGE('31.07 Arua-Koboko'!L40,'01.08 Arua-Koboko'!L40,'04.08 Arua-Koboko'!L40,'05.08 Arua-Koboko'!L40,'02.08 Arua-Koboko-24h'!L40,'03.08 Arua-Koboko-24h'!L40,'06.08 Arua-Koboko'!L40)</f>
        <v>0</v>
      </c>
      <c r="M40" s="49">
        <f>AVERAGE('31.07 Arua-Koboko'!M40,'01.08 Arua-Koboko'!M40,'04.08 Arua-Koboko'!M40,'05.08 Arua-Koboko'!M40,'02.08 Arua-Koboko-24h'!M40,'03.08 Arua-Koboko-24h'!M40,'06.08 Arua-Koboko'!M40)</f>
        <v>35</v>
      </c>
      <c r="N40" s="49">
        <f>AVERAGE('31.07 Arua-Koboko'!N40,'01.08 Arua-Koboko'!N40,'04.08 Arua-Koboko'!N40,'05.08 Arua-Koboko'!N40,'02.08 Arua-Koboko-24h'!N40,'03.08 Arua-Koboko-24h'!N40,'06.08 Arua-Koboko'!N40)</f>
        <v>0</v>
      </c>
      <c r="O40" s="15">
        <f t="shared" si="0"/>
        <v>13.285714285714286</v>
      </c>
      <c r="P40" s="15">
        <f t="shared" si="1"/>
        <v>48.285714285714285</v>
      </c>
      <c r="R40" s="5" t="s">
        <v>17</v>
      </c>
      <c r="S40" s="54">
        <f t="shared" ref="S40:AF40" si="32">SUM(S10:S21)</f>
        <v>350.14285714285722</v>
      </c>
      <c r="T40" s="54">
        <f t="shared" si="32"/>
        <v>52.571428571428569</v>
      </c>
      <c r="U40" s="54">
        <f t="shared" si="32"/>
        <v>111.28571428571431</v>
      </c>
      <c r="V40" s="54">
        <f t="shared" si="32"/>
        <v>53.428571428571438</v>
      </c>
      <c r="W40" s="54">
        <f t="shared" si="32"/>
        <v>8.428571428571427</v>
      </c>
      <c r="X40" s="54">
        <f t="shared" si="32"/>
        <v>10.142857142857144</v>
      </c>
      <c r="Y40" s="54">
        <f t="shared" si="32"/>
        <v>57.190476190476197</v>
      </c>
      <c r="Z40" s="54">
        <f t="shared" si="32"/>
        <v>56.371428571428567</v>
      </c>
      <c r="AA40" s="54">
        <f t="shared" si="32"/>
        <v>3</v>
      </c>
      <c r="AB40" s="54">
        <f t="shared" si="32"/>
        <v>18.285714285714285</v>
      </c>
      <c r="AC40" s="54">
        <f t="shared" si="32"/>
        <v>1492.5714285714289</v>
      </c>
      <c r="AD40" s="54">
        <f t="shared" si="32"/>
        <v>2.0476190476190474</v>
      </c>
      <c r="AE40" s="55">
        <f t="shared" si="32"/>
        <v>722.89523809523803</v>
      </c>
      <c r="AF40" s="55">
        <f t="shared" si="32"/>
        <v>2215.4666666666667</v>
      </c>
    </row>
    <row r="41" spans="2:32" ht="23.1" customHeight="1" x14ac:dyDescent="0.25">
      <c r="B41" s="23" t="s">
        <v>68</v>
      </c>
      <c r="C41" s="49">
        <f>AVERAGE('31.07 Arua-Koboko'!C41,'01.08 Arua-Koboko'!C41,'04.08 Arua-Koboko'!C41,'05.08 Arua-Koboko'!C41,'02.08 Arua-Koboko-24h'!C41,'03.08 Arua-Koboko-24h'!C41,'06.08 Arua-Koboko'!C41)</f>
        <v>8.2857142857142865</v>
      </c>
      <c r="D41" s="49">
        <f>AVERAGE('31.07 Arua-Koboko'!D41,'01.08 Arua-Koboko'!D41,'04.08 Arua-Koboko'!D41,'05.08 Arua-Koboko'!D41,'02.08 Arua-Koboko-24h'!D41,'03.08 Arua-Koboko-24h'!D41,'06.08 Arua-Koboko'!D41)</f>
        <v>0.8571428571428571</v>
      </c>
      <c r="E41" s="49">
        <f>AVERAGE('31.07 Arua-Koboko'!E41,'01.08 Arua-Koboko'!E41,'04.08 Arua-Koboko'!E41,'05.08 Arua-Koboko'!E41,'02.08 Arua-Koboko-24h'!E41,'03.08 Arua-Koboko-24h'!E41,'06.08 Arua-Koboko'!E41)</f>
        <v>2.5714285714285716</v>
      </c>
      <c r="F41" s="49">
        <f>AVERAGE('31.07 Arua-Koboko'!F41,'01.08 Arua-Koboko'!F41,'04.08 Arua-Koboko'!F41,'05.08 Arua-Koboko'!F41,'02.08 Arua-Koboko-24h'!F41,'03.08 Arua-Koboko-24h'!F41,'06.08 Arua-Koboko'!F41)</f>
        <v>0.7142857142857143</v>
      </c>
      <c r="G41" s="49">
        <f>AVERAGE('31.07 Arua-Koboko'!G41,'01.08 Arua-Koboko'!G41,'04.08 Arua-Koboko'!G41,'05.08 Arua-Koboko'!G41,'02.08 Arua-Koboko-24h'!G41,'03.08 Arua-Koboko-24h'!G41,'06.08 Arua-Koboko'!G41)</f>
        <v>0</v>
      </c>
      <c r="H41" s="49">
        <f>AVERAGE('31.07 Arua-Koboko'!H41,'01.08 Arua-Koboko'!H41,'04.08 Arua-Koboko'!H41,'05.08 Arua-Koboko'!H41,'02.08 Arua-Koboko-24h'!H41,'03.08 Arua-Koboko-24h'!H41,'06.08 Arua-Koboko'!H41)</f>
        <v>0.2857142857142857</v>
      </c>
      <c r="I41" s="49">
        <f>AVERAGE('31.07 Arua-Koboko'!I41,'01.08 Arua-Koboko'!I41,'04.08 Arua-Koboko'!I41,'05.08 Arua-Koboko'!I41,'02.08 Arua-Koboko-24h'!I41,'03.08 Arua-Koboko-24h'!I41,'06.08 Arua-Koboko'!I41)</f>
        <v>1.1428571428571428</v>
      </c>
      <c r="J41" s="49">
        <f>AVERAGE('31.07 Arua-Koboko'!J41,'01.08 Arua-Koboko'!J41,'04.08 Arua-Koboko'!J41,'05.08 Arua-Koboko'!J41,'02.08 Arua-Koboko-24h'!J41,'03.08 Arua-Koboko-24h'!J41,'06.08 Arua-Koboko'!J41)</f>
        <v>0.8571428571428571</v>
      </c>
      <c r="K41" s="49">
        <f>AVERAGE('31.07 Arua-Koboko'!K41,'01.08 Arua-Koboko'!K41,'04.08 Arua-Koboko'!K41,'05.08 Arua-Koboko'!K41,'02.08 Arua-Koboko-24h'!K41,'03.08 Arua-Koboko-24h'!K41,'06.08 Arua-Koboko'!K41)</f>
        <v>0</v>
      </c>
      <c r="L41" s="49">
        <f>AVERAGE('31.07 Arua-Koboko'!L41,'01.08 Arua-Koboko'!L41,'04.08 Arua-Koboko'!L41,'05.08 Arua-Koboko'!L41,'02.08 Arua-Koboko-24h'!L41,'03.08 Arua-Koboko-24h'!L41,'06.08 Arua-Koboko'!L41)</f>
        <v>0</v>
      </c>
      <c r="M41" s="49">
        <f>AVERAGE('31.07 Arua-Koboko'!M41,'01.08 Arua-Koboko'!M41,'04.08 Arua-Koboko'!M41,'05.08 Arua-Koboko'!M41,'02.08 Arua-Koboko-24h'!M41,'03.08 Arua-Koboko-24h'!M41,'06.08 Arua-Koboko'!M41)</f>
        <v>35.285714285714285</v>
      </c>
      <c r="N41" s="49">
        <f>AVERAGE('31.07 Arua-Koboko'!N41,'01.08 Arua-Koboko'!N41,'04.08 Arua-Koboko'!N41,'05.08 Arua-Koboko'!N41,'02.08 Arua-Koboko-24h'!N41,'03.08 Arua-Koboko-24h'!N41,'06.08 Arua-Koboko'!N41)</f>
        <v>0</v>
      </c>
      <c r="O41" s="15">
        <f t="shared" si="0"/>
        <v>14.714285714285715</v>
      </c>
      <c r="P41" s="15">
        <f t="shared" si="1"/>
        <v>50</v>
      </c>
      <c r="R41" s="5" t="s">
        <v>174</v>
      </c>
      <c r="S41" s="54">
        <f>SUM(S10:S33)</f>
        <v>435.64285714285722</v>
      </c>
      <c r="T41" s="54">
        <f t="shared" ref="T41:AD41" si="33">SUM(T10:T33)</f>
        <v>59.571428571428569</v>
      </c>
      <c r="U41" s="54">
        <f t="shared" si="33"/>
        <v>120.28571428571431</v>
      </c>
      <c r="V41" s="54">
        <f t="shared" si="33"/>
        <v>63.928571428571438</v>
      </c>
      <c r="W41" s="54">
        <f t="shared" si="33"/>
        <v>9.428571428571427</v>
      </c>
      <c r="X41" s="54">
        <f t="shared" si="33"/>
        <v>29.142857142857146</v>
      </c>
      <c r="Y41" s="54">
        <f t="shared" si="33"/>
        <v>64.690476190476204</v>
      </c>
      <c r="Z41" s="54">
        <f t="shared" si="33"/>
        <v>58.871428571428567</v>
      </c>
      <c r="AA41" s="54">
        <f t="shared" si="33"/>
        <v>5.5</v>
      </c>
      <c r="AB41" s="54">
        <f t="shared" si="33"/>
        <v>22.785714285714285</v>
      </c>
      <c r="AC41" s="54">
        <f t="shared" si="33"/>
        <v>2096.0714285714289</v>
      </c>
      <c r="AD41" s="54">
        <f t="shared" si="33"/>
        <v>2.0476190476190474</v>
      </c>
      <c r="AE41" s="55">
        <f>SUM(AE10:AE33)</f>
        <v>871.89523809523803</v>
      </c>
      <c r="AF41" s="55">
        <f>SUM(AF10:AF33)</f>
        <v>2967.9666666666667</v>
      </c>
    </row>
    <row r="42" spans="2:32" ht="23.1" customHeight="1" x14ac:dyDescent="0.25">
      <c r="B42" s="24" t="s">
        <v>69</v>
      </c>
      <c r="C42" s="49">
        <f>AVERAGE('31.07 Arua-Koboko'!C42,'01.08 Arua-Koboko'!C42,'04.08 Arua-Koboko'!C42,'05.08 Arua-Koboko'!C42,'02.08 Arua-Koboko-24h'!C42,'03.08 Arua-Koboko-24h'!C42,'06.08 Arua-Koboko'!C42)</f>
        <v>8.2857142857142865</v>
      </c>
      <c r="D42" s="49">
        <f>AVERAGE('31.07 Arua-Koboko'!D42,'01.08 Arua-Koboko'!D42,'04.08 Arua-Koboko'!D42,'05.08 Arua-Koboko'!D42,'02.08 Arua-Koboko-24h'!D42,'03.08 Arua-Koboko-24h'!D42,'06.08 Arua-Koboko'!D42)</f>
        <v>1.2857142857142858</v>
      </c>
      <c r="E42" s="49">
        <f>AVERAGE('31.07 Arua-Koboko'!E42,'01.08 Arua-Koboko'!E42,'04.08 Arua-Koboko'!E42,'05.08 Arua-Koboko'!E42,'02.08 Arua-Koboko-24h'!E42,'03.08 Arua-Koboko-24h'!E42,'06.08 Arua-Koboko'!E42)</f>
        <v>2.5714285714285716</v>
      </c>
      <c r="F42" s="49">
        <f>AVERAGE('31.07 Arua-Koboko'!F42,'01.08 Arua-Koboko'!F42,'04.08 Arua-Koboko'!F42,'05.08 Arua-Koboko'!F42,'02.08 Arua-Koboko-24h'!F42,'03.08 Arua-Koboko-24h'!F42,'06.08 Arua-Koboko'!F42)</f>
        <v>0.7142857142857143</v>
      </c>
      <c r="G42" s="49">
        <f>AVERAGE('31.07 Arua-Koboko'!G42,'01.08 Arua-Koboko'!G42,'04.08 Arua-Koboko'!G42,'05.08 Arua-Koboko'!G42,'02.08 Arua-Koboko-24h'!G42,'03.08 Arua-Koboko-24h'!G42,'06.08 Arua-Koboko'!G42)</f>
        <v>0</v>
      </c>
      <c r="H42" s="49">
        <f>AVERAGE('31.07 Arua-Koboko'!H42,'01.08 Arua-Koboko'!H42,'04.08 Arua-Koboko'!H42,'05.08 Arua-Koboko'!H42,'02.08 Arua-Koboko-24h'!H42,'03.08 Arua-Koboko-24h'!H42,'06.08 Arua-Koboko'!H42)</f>
        <v>0</v>
      </c>
      <c r="I42" s="49">
        <f>AVERAGE('31.07 Arua-Koboko'!I42,'01.08 Arua-Koboko'!I42,'04.08 Arua-Koboko'!I42,'05.08 Arua-Koboko'!I42,'02.08 Arua-Koboko-24h'!I42,'03.08 Arua-Koboko-24h'!I42,'06.08 Arua-Koboko'!I42)</f>
        <v>1.7142857142857142</v>
      </c>
      <c r="J42" s="49">
        <f>AVERAGE('31.07 Arua-Koboko'!J42,'01.08 Arua-Koboko'!J42,'04.08 Arua-Koboko'!J42,'05.08 Arua-Koboko'!J42,'02.08 Arua-Koboko-24h'!J42,'03.08 Arua-Koboko-24h'!J42,'06.08 Arua-Koboko'!J42)</f>
        <v>1.1428571428571428</v>
      </c>
      <c r="K42" s="49">
        <f>AVERAGE('31.07 Arua-Koboko'!K42,'01.08 Arua-Koboko'!K42,'04.08 Arua-Koboko'!K42,'05.08 Arua-Koboko'!K42,'02.08 Arua-Koboko-24h'!K42,'03.08 Arua-Koboko-24h'!K42,'06.08 Arua-Koboko'!K42)</f>
        <v>0</v>
      </c>
      <c r="L42" s="49">
        <f>AVERAGE('31.07 Arua-Koboko'!L42,'01.08 Arua-Koboko'!L42,'04.08 Arua-Koboko'!L42,'05.08 Arua-Koboko'!L42,'02.08 Arua-Koboko-24h'!L42,'03.08 Arua-Koboko-24h'!L42,'06.08 Arua-Koboko'!L42)</f>
        <v>0.42857142857142855</v>
      </c>
      <c r="M42" s="49">
        <f>AVERAGE('31.07 Arua-Koboko'!M42,'01.08 Arua-Koboko'!M42,'04.08 Arua-Koboko'!M42,'05.08 Arua-Koboko'!M42,'02.08 Arua-Koboko-24h'!M42,'03.08 Arua-Koboko-24h'!M42,'06.08 Arua-Koboko'!M42)</f>
        <v>26.285714285714285</v>
      </c>
      <c r="N42" s="49">
        <f>AVERAGE('31.07 Arua-Koboko'!N42,'01.08 Arua-Koboko'!N42,'04.08 Arua-Koboko'!N42,'05.08 Arua-Koboko'!N42,'02.08 Arua-Koboko-24h'!N42,'03.08 Arua-Koboko-24h'!N42,'06.08 Arua-Koboko'!N42)</f>
        <v>0</v>
      </c>
      <c r="O42" s="15">
        <f t="shared" si="0"/>
        <v>16.142857142857142</v>
      </c>
      <c r="P42" s="15">
        <f t="shared" si="1"/>
        <v>42.428571428571431</v>
      </c>
      <c r="R42" s="5" t="s">
        <v>160</v>
      </c>
      <c r="S42" s="48">
        <f>S41/S40</f>
        <v>1.2441860465116279</v>
      </c>
      <c r="T42" s="48">
        <f t="shared" ref="T42:AF42" si="34">T41/T40</f>
        <v>1.1331521739130435</v>
      </c>
      <c r="U42" s="48">
        <f t="shared" si="34"/>
        <v>1.0808729139922979</v>
      </c>
      <c r="V42" s="48">
        <f t="shared" si="34"/>
        <v>1.196524064171123</v>
      </c>
      <c r="W42" s="48">
        <f t="shared" si="34"/>
        <v>1.1186440677966103</v>
      </c>
      <c r="X42" s="48">
        <f t="shared" si="34"/>
        <v>2.873239436619718</v>
      </c>
      <c r="Y42" s="48">
        <f t="shared" si="34"/>
        <v>1.1311407160699418</v>
      </c>
      <c r="Z42" s="48">
        <f t="shared" si="34"/>
        <v>1.0443487075519513</v>
      </c>
      <c r="AA42" s="48">
        <f t="shared" si="34"/>
        <v>1.8333333333333333</v>
      </c>
      <c r="AB42" s="48">
        <f t="shared" si="34"/>
        <v>1.24609375</v>
      </c>
      <c r="AC42" s="48">
        <f t="shared" si="34"/>
        <v>1.4043357580398161</v>
      </c>
      <c r="AD42" s="48">
        <f t="shared" si="34"/>
        <v>1</v>
      </c>
      <c r="AE42" s="56">
        <f t="shared" si="34"/>
        <v>1.2061156197301854</v>
      </c>
      <c r="AF42" s="56">
        <f t="shared" si="34"/>
        <v>1.3396575589792972</v>
      </c>
    </row>
    <row r="43" spans="2:32" ht="23.1" customHeight="1" x14ac:dyDescent="0.25">
      <c r="B43" s="23" t="s">
        <v>70</v>
      </c>
      <c r="C43" s="49">
        <f>AVERAGE('31.07 Arua-Koboko'!C43,'01.08 Arua-Koboko'!C43,'04.08 Arua-Koboko'!C43,'05.08 Arua-Koboko'!C43,'02.08 Arua-Koboko-24h'!C43,'03.08 Arua-Koboko-24h'!C43,'06.08 Arua-Koboko'!C43)</f>
        <v>6.4285714285714288</v>
      </c>
      <c r="D43" s="49">
        <f>AVERAGE('31.07 Arua-Koboko'!D43,'01.08 Arua-Koboko'!D43,'04.08 Arua-Koboko'!D43,'05.08 Arua-Koboko'!D43,'02.08 Arua-Koboko-24h'!D43,'03.08 Arua-Koboko-24h'!D43,'06.08 Arua-Koboko'!D43)</f>
        <v>1</v>
      </c>
      <c r="E43" s="49">
        <f>AVERAGE('31.07 Arua-Koboko'!E43,'01.08 Arua-Koboko'!E43,'04.08 Arua-Koboko'!E43,'05.08 Arua-Koboko'!E43,'02.08 Arua-Koboko-24h'!E43,'03.08 Arua-Koboko-24h'!E43,'06.08 Arua-Koboko'!E43)</f>
        <v>2.5714285714285716</v>
      </c>
      <c r="F43" s="49">
        <f>AVERAGE('31.07 Arua-Koboko'!F43,'01.08 Arua-Koboko'!F43,'04.08 Arua-Koboko'!F43,'05.08 Arua-Koboko'!F43,'02.08 Arua-Koboko-24h'!F43,'03.08 Arua-Koboko-24h'!F43,'06.08 Arua-Koboko'!F43)</f>
        <v>0.5714285714285714</v>
      </c>
      <c r="G43" s="49">
        <f>AVERAGE('31.07 Arua-Koboko'!G43,'01.08 Arua-Koboko'!G43,'04.08 Arua-Koboko'!G43,'05.08 Arua-Koboko'!G43,'02.08 Arua-Koboko-24h'!G43,'03.08 Arua-Koboko-24h'!G43,'06.08 Arua-Koboko'!G43)</f>
        <v>0</v>
      </c>
      <c r="H43" s="49">
        <f>AVERAGE('31.07 Arua-Koboko'!H43,'01.08 Arua-Koboko'!H43,'04.08 Arua-Koboko'!H43,'05.08 Arua-Koboko'!H43,'02.08 Arua-Koboko-24h'!H43,'03.08 Arua-Koboko-24h'!H43,'06.08 Arua-Koboko'!H43)</f>
        <v>0.14285714285714285</v>
      </c>
      <c r="I43" s="49">
        <f>AVERAGE('31.07 Arua-Koboko'!I43,'01.08 Arua-Koboko'!I43,'04.08 Arua-Koboko'!I43,'05.08 Arua-Koboko'!I43,'02.08 Arua-Koboko-24h'!I43,'03.08 Arua-Koboko-24h'!I43,'06.08 Arua-Koboko'!I43)</f>
        <v>1.2857142857142858</v>
      </c>
      <c r="J43" s="49">
        <f>AVERAGE('31.07 Arua-Koboko'!J43,'01.08 Arua-Koboko'!J43,'04.08 Arua-Koboko'!J43,'05.08 Arua-Koboko'!J43,'02.08 Arua-Koboko-24h'!J43,'03.08 Arua-Koboko-24h'!J43,'06.08 Arua-Koboko'!J43)</f>
        <v>1.1666666666666667</v>
      </c>
      <c r="K43" s="49">
        <f>AVERAGE('31.07 Arua-Koboko'!K43,'01.08 Arua-Koboko'!K43,'04.08 Arua-Koboko'!K43,'05.08 Arua-Koboko'!K43,'02.08 Arua-Koboko-24h'!K43,'03.08 Arua-Koboko-24h'!K43,'06.08 Arua-Koboko'!K43)</f>
        <v>0</v>
      </c>
      <c r="L43" s="49">
        <f>AVERAGE('31.07 Arua-Koboko'!L43,'01.08 Arua-Koboko'!L43,'04.08 Arua-Koboko'!L43,'05.08 Arua-Koboko'!L43,'02.08 Arua-Koboko-24h'!L43,'03.08 Arua-Koboko-24h'!L43,'06.08 Arua-Koboko'!L43)</f>
        <v>0.42857142857142855</v>
      </c>
      <c r="M43" s="49">
        <f>AVERAGE('31.07 Arua-Koboko'!M43,'01.08 Arua-Koboko'!M43,'04.08 Arua-Koboko'!M43,'05.08 Arua-Koboko'!M43,'02.08 Arua-Koboko-24h'!M43,'03.08 Arua-Koboko-24h'!M43,'06.08 Arua-Koboko'!M43)</f>
        <v>26</v>
      </c>
      <c r="N43" s="49">
        <f>AVERAGE('31.07 Arua-Koboko'!N43,'01.08 Arua-Koboko'!N43,'04.08 Arua-Koboko'!N43,'05.08 Arua-Koboko'!N43,'02.08 Arua-Koboko-24h'!N43,'03.08 Arua-Koboko-24h'!N43,'06.08 Arua-Koboko'!N43)</f>
        <v>0</v>
      </c>
      <c r="O43" s="15">
        <f t="shared" si="0"/>
        <v>13.595238095238095</v>
      </c>
      <c r="P43" s="15">
        <f t="shared" si="1"/>
        <v>39.595238095238095</v>
      </c>
    </row>
    <row r="44" spans="2:32" ht="23.1" customHeight="1" x14ac:dyDescent="0.25">
      <c r="B44" s="25" t="s">
        <v>71</v>
      </c>
      <c r="C44" s="49">
        <f>AVERAGE('31.07 Arua-Koboko'!C44,'01.08 Arua-Koboko'!C44,'04.08 Arua-Koboko'!C44,'05.08 Arua-Koboko'!C44,'02.08 Arua-Koboko-24h'!C44,'03.08 Arua-Koboko-24h'!C44,'06.08 Arua-Koboko'!C44)</f>
        <v>7.5714285714285712</v>
      </c>
      <c r="D44" s="49">
        <f>AVERAGE('31.07 Arua-Koboko'!D44,'01.08 Arua-Koboko'!D44,'04.08 Arua-Koboko'!D44,'05.08 Arua-Koboko'!D44,'02.08 Arua-Koboko-24h'!D44,'03.08 Arua-Koboko-24h'!D44,'06.08 Arua-Koboko'!D44)</f>
        <v>0.5714285714285714</v>
      </c>
      <c r="E44" s="49">
        <f>AVERAGE('31.07 Arua-Koboko'!E44,'01.08 Arua-Koboko'!E44,'04.08 Arua-Koboko'!E44,'05.08 Arua-Koboko'!E44,'02.08 Arua-Koboko-24h'!E44,'03.08 Arua-Koboko-24h'!E44,'06.08 Arua-Koboko'!E44)</f>
        <v>1.1428571428571428</v>
      </c>
      <c r="F44" s="49">
        <f>AVERAGE('31.07 Arua-Koboko'!F44,'01.08 Arua-Koboko'!F44,'04.08 Arua-Koboko'!F44,'05.08 Arua-Koboko'!F44,'02.08 Arua-Koboko-24h'!F44,'03.08 Arua-Koboko-24h'!F44,'06.08 Arua-Koboko'!F44)</f>
        <v>0.2857142857142857</v>
      </c>
      <c r="G44" s="49">
        <f>AVERAGE('31.07 Arua-Koboko'!G44,'01.08 Arua-Koboko'!G44,'04.08 Arua-Koboko'!G44,'05.08 Arua-Koboko'!G44,'02.08 Arua-Koboko-24h'!G44,'03.08 Arua-Koboko-24h'!G44,'06.08 Arua-Koboko'!G44)</f>
        <v>0</v>
      </c>
      <c r="H44" s="49">
        <f>AVERAGE('31.07 Arua-Koboko'!H44,'01.08 Arua-Koboko'!H44,'04.08 Arua-Koboko'!H44,'05.08 Arua-Koboko'!H44,'02.08 Arua-Koboko-24h'!H44,'03.08 Arua-Koboko-24h'!H44,'06.08 Arua-Koboko'!H44)</f>
        <v>0.14285714285714285</v>
      </c>
      <c r="I44" s="49">
        <f>AVERAGE('31.07 Arua-Koboko'!I44,'01.08 Arua-Koboko'!I44,'04.08 Arua-Koboko'!I44,'05.08 Arua-Koboko'!I44,'02.08 Arua-Koboko-24h'!I44,'03.08 Arua-Koboko-24h'!I44,'06.08 Arua-Koboko'!I44)</f>
        <v>1.1428571428571428</v>
      </c>
      <c r="J44" s="49">
        <f>AVERAGE('31.07 Arua-Koboko'!J44,'01.08 Arua-Koboko'!J44,'04.08 Arua-Koboko'!J44,'05.08 Arua-Koboko'!J44,'02.08 Arua-Koboko-24h'!J44,'03.08 Arua-Koboko-24h'!J44,'06.08 Arua-Koboko'!J44)</f>
        <v>0.7142857142857143</v>
      </c>
      <c r="K44" s="49">
        <f>AVERAGE('31.07 Arua-Koboko'!K44,'01.08 Arua-Koboko'!K44,'04.08 Arua-Koboko'!K44,'05.08 Arua-Koboko'!K44,'02.08 Arua-Koboko-24h'!K44,'03.08 Arua-Koboko-24h'!K44,'06.08 Arua-Koboko'!K44)</f>
        <v>0</v>
      </c>
      <c r="L44" s="49">
        <f>AVERAGE('31.07 Arua-Koboko'!L44,'01.08 Arua-Koboko'!L44,'04.08 Arua-Koboko'!L44,'05.08 Arua-Koboko'!L44,'02.08 Arua-Koboko-24h'!L44,'03.08 Arua-Koboko-24h'!L44,'06.08 Arua-Koboko'!L44)</f>
        <v>0</v>
      </c>
      <c r="M44" s="49">
        <f>AVERAGE('31.07 Arua-Koboko'!M44,'01.08 Arua-Koboko'!M44,'04.08 Arua-Koboko'!M44,'05.08 Arua-Koboko'!M44,'02.08 Arua-Koboko-24h'!M44,'03.08 Arua-Koboko-24h'!M44,'06.08 Arua-Koboko'!M44)</f>
        <v>25.714285714285715</v>
      </c>
      <c r="N44" s="49">
        <f>AVERAGE('31.07 Arua-Koboko'!N44,'01.08 Arua-Koboko'!N44,'04.08 Arua-Koboko'!N44,'05.08 Arua-Koboko'!N44,'02.08 Arua-Koboko-24h'!N44,'03.08 Arua-Koboko-24h'!N44,'06.08 Arua-Koboko'!N44)</f>
        <v>0</v>
      </c>
      <c r="O44" s="15">
        <f t="shared" si="0"/>
        <v>11.571428571428569</v>
      </c>
      <c r="P44" s="15">
        <f t="shared" si="1"/>
        <v>37.285714285714285</v>
      </c>
    </row>
    <row r="45" spans="2:32" ht="23.1" customHeight="1" x14ac:dyDescent="0.25">
      <c r="B45" s="23" t="s">
        <v>72</v>
      </c>
      <c r="C45" s="49">
        <f>AVERAGE('31.07 Arua-Koboko'!C45,'01.08 Arua-Koboko'!C45,'04.08 Arua-Koboko'!C45,'05.08 Arua-Koboko'!C45,'02.08 Arua-Koboko-24h'!C45,'03.08 Arua-Koboko-24h'!C45,'06.08 Arua-Koboko'!C45)</f>
        <v>6</v>
      </c>
      <c r="D45" s="49">
        <f>AVERAGE('31.07 Arua-Koboko'!D45,'01.08 Arua-Koboko'!D45,'04.08 Arua-Koboko'!D45,'05.08 Arua-Koboko'!D45,'02.08 Arua-Koboko-24h'!D45,'03.08 Arua-Koboko-24h'!D45,'06.08 Arua-Koboko'!D45)</f>
        <v>0.42857142857142855</v>
      </c>
      <c r="E45" s="49">
        <f>AVERAGE('31.07 Arua-Koboko'!E45,'01.08 Arua-Koboko'!E45,'04.08 Arua-Koboko'!E45,'05.08 Arua-Koboko'!E45,'02.08 Arua-Koboko-24h'!E45,'03.08 Arua-Koboko-24h'!E45,'06.08 Arua-Koboko'!E45)</f>
        <v>0.8571428571428571</v>
      </c>
      <c r="F45" s="49">
        <f>AVERAGE('31.07 Arua-Koboko'!F45,'01.08 Arua-Koboko'!F45,'04.08 Arua-Koboko'!F45,'05.08 Arua-Koboko'!F45,'02.08 Arua-Koboko-24h'!F45,'03.08 Arua-Koboko-24h'!F45,'06.08 Arua-Koboko'!F45)</f>
        <v>0.42857142857142855</v>
      </c>
      <c r="G45" s="49">
        <f>AVERAGE('31.07 Arua-Koboko'!G45,'01.08 Arua-Koboko'!G45,'04.08 Arua-Koboko'!G45,'05.08 Arua-Koboko'!G45,'02.08 Arua-Koboko-24h'!G45,'03.08 Arua-Koboko-24h'!G45,'06.08 Arua-Koboko'!G45)</f>
        <v>0</v>
      </c>
      <c r="H45" s="49">
        <f>AVERAGE('31.07 Arua-Koboko'!H45,'01.08 Arua-Koboko'!H45,'04.08 Arua-Koboko'!H45,'05.08 Arua-Koboko'!H45,'02.08 Arua-Koboko-24h'!H45,'03.08 Arua-Koboko-24h'!H45,'06.08 Arua-Koboko'!H45)</f>
        <v>0.2857142857142857</v>
      </c>
      <c r="I45" s="49">
        <f>AVERAGE('31.07 Arua-Koboko'!I45,'01.08 Arua-Koboko'!I45,'04.08 Arua-Koboko'!I45,'05.08 Arua-Koboko'!I45,'02.08 Arua-Koboko-24h'!I45,'03.08 Arua-Koboko-24h'!I45,'06.08 Arua-Koboko'!I45)</f>
        <v>1.4285714285714286</v>
      </c>
      <c r="J45" s="49">
        <f>AVERAGE('31.07 Arua-Koboko'!J45,'01.08 Arua-Koboko'!J45,'04.08 Arua-Koboko'!J45,'05.08 Arua-Koboko'!J45,'02.08 Arua-Koboko-24h'!J45,'03.08 Arua-Koboko-24h'!J45,'06.08 Arua-Koboko'!J45)</f>
        <v>1.4285714285714286</v>
      </c>
      <c r="K45" s="49">
        <f>AVERAGE('31.07 Arua-Koboko'!K45,'01.08 Arua-Koboko'!K45,'04.08 Arua-Koboko'!K45,'05.08 Arua-Koboko'!K45,'02.08 Arua-Koboko-24h'!K45,'03.08 Arua-Koboko-24h'!K45,'06.08 Arua-Koboko'!K45)</f>
        <v>0</v>
      </c>
      <c r="L45" s="49">
        <f>AVERAGE('31.07 Arua-Koboko'!L45,'01.08 Arua-Koboko'!L45,'04.08 Arua-Koboko'!L45,'05.08 Arua-Koboko'!L45,'02.08 Arua-Koboko-24h'!L45,'03.08 Arua-Koboko-24h'!L45,'06.08 Arua-Koboko'!L45)</f>
        <v>0.2857142857142857</v>
      </c>
      <c r="M45" s="49">
        <f>AVERAGE('31.07 Arua-Koboko'!M45,'01.08 Arua-Koboko'!M45,'04.08 Arua-Koboko'!M45,'05.08 Arua-Koboko'!M45,'02.08 Arua-Koboko-24h'!M45,'03.08 Arua-Koboko-24h'!M45,'06.08 Arua-Koboko'!M45)</f>
        <v>28.857142857142858</v>
      </c>
      <c r="N45" s="49">
        <f>AVERAGE('31.07 Arua-Koboko'!N45,'01.08 Arua-Koboko'!N45,'04.08 Arua-Koboko'!N45,'05.08 Arua-Koboko'!N45,'02.08 Arua-Koboko-24h'!N45,'03.08 Arua-Koboko-24h'!N45,'06.08 Arua-Koboko'!N45)</f>
        <v>0</v>
      </c>
      <c r="O45" s="15">
        <f t="shared" si="0"/>
        <v>11.142857142857144</v>
      </c>
      <c r="P45" s="15">
        <f t="shared" si="1"/>
        <v>40</v>
      </c>
    </row>
    <row r="46" spans="2:32" ht="23.1" customHeight="1" x14ac:dyDescent="0.25">
      <c r="B46" s="24" t="s">
        <v>73</v>
      </c>
      <c r="C46" s="49">
        <f>AVERAGE('31.07 Arua-Koboko'!C46,'01.08 Arua-Koboko'!C46,'04.08 Arua-Koboko'!C46,'05.08 Arua-Koboko'!C46,'02.08 Arua-Koboko-24h'!C46,'03.08 Arua-Koboko-24h'!C46,'06.08 Arua-Koboko'!C46)</f>
        <v>6.7142857142857144</v>
      </c>
      <c r="D46" s="49">
        <f>AVERAGE('31.07 Arua-Koboko'!D46,'01.08 Arua-Koboko'!D46,'04.08 Arua-Koboko'!D46,'05.08 Arua-Koboko'!D46,'02.08 Arua-Koboko-24h'!D46,'03.08 Arua-Koboko-24h'!D46,'06.08 Arua-Koboko'!D46)</f>
        <v>1.7142857142857142</v>
      </c>
      <c r="E46" s="49">
        <f>AVERAGE('31.07 Arua-Koboko'!E46,'01.08 Arua-Koboko'!E46,'04.08 Arua-Koboko'!E46,'05.08 Arua-Koboko'!E46,'02.08 Arua-Koboko-24h'!E46,'03.08 Arua-Koboko-24h'!E46,'06.08 Arua-Koboko'!E46)</f>
        <v>3.1428571428571428</v>
      </c>
      <c r="F46" s="49">
        <f>AVERAGE('31.07 Arua-Koboko'!F46,'01.08 Arua-Koboko'!F46,'04.08 Arua-Koboko'!F46,'05.08 Arua-Koboko'!F46,'02.08 Arua-Koboko-24h'!F46,'03.08 Arua-Koboko-24h'!F46,'06.08 Arua-Koboko'!F46)</f>
        <v>1</v>
      </c>
      <c r="G46" s="49">
        <f>AVERAGE('31.07 Arua-Koboko'!G46,'01.08 Arua-Koboko'!G46,'04.08 Arua-Koboko'!G46,'05.08 Arua-Koboko'!G46,'02.08 Arua-Koboko-24h'!G46,'03.08 Arua-Koboko-24h'!G46,'06.08 Arua-Koboko'!G46)</f>
        <v>0.2857142857142857</v>
      </c>
      <c r="H46" s="49">
        <f>AVERAGE('31.07 Arua-Koboko'!H46,'01.08 Arua-Koboko'!H46,'04.08 Arua-Koboko'!H46,'05.08 Arua-Koboko'!H46,'02.08 Arua-Koboko-24h'!H46,'03.08 Arua-Koboko-24h'!H46,'06.08 Arua-Koboko'!H46)</f>
        <v>0.14285714285714285</v>
      </c>
      <c r="I46" s="49">
        <f>AVERAGE('31.07 Arua-Koboko'!I46,'01.08 Arua-Koboko'!I46,'04.08 Arua-Koboko'!I46,'05.08 Arua-Koboko'!I46,'02.08 Arua-Koboko-24h'!I46,'03.08 Arua-Koboko-24h'!I46,'06.08 Arua-Koboko'!I46)</f>
        <v>1.6666666666666667</v>
      </c>
      <c r="J46" s="49">
        <f>AVERAGE('31.07 Arua-Koboko'!J46,'01.08 Arua-Koboko'!J46,'04.08 Arua-Koboko'!J46,'05.08 Arua-Koboko'!J46,'02.08 Arua-Koboko-24h'!J46,'03.08 Arua-Koboko-24h'!J46,'06.08 Arua-Koboko'!J46)</f>
        <v>1.1428571428571428</v>
      </c>
      <c r="K46" s="49">
        <f>AVERAGE('31.07 Arua-Koboko'!K46,'01.08 Arua-Koboko'!K46,'04.08 Arua-Koboko'!K46,'05.08 Arua-Koboko'!K46,'02.08 Arua-Koboko-24h'!K46,'03.08 Arua-Koboko-24h'!K46,'06.08 Arua-Koboko'!K46)</f>
        <v>0</v>
      </c>
      <c r="L46" s="49">
        <f>AVERAGE('31.07 Arua-Koboko'!L46,'01.08 Arua-Koboko'!L46,'04.08 Arua-Koboko'!L46,'05.08 Arua-Koboko'!L46,'02.08 Arua-Koboko-24h'!L46,'03.08 Arua-Koboko-24h'!L46,'06.08 Arua-Koboko'!L46)</f>
        <v>0.14285714285714285</v>
      </c>
      <c r="M46" s="49">
        <f>AVERAGE('31.07 Arua-Koboko'!M46,'01.08 Arua-Koboko'!M46,'04.08 Arua-Koboko'!M46,'05.08 Arua-Koboko'!M46,'02.08 Arua-Koboko-24h'!M46,'03.08 Arua-Koboko-24h'!M46,'06.08 Arua-Koboko'!M46)</f>
        <v>28.428571428571427</v>
      </c>
      <c r="N46" s="49">
        <f>AVERAGE('31.07 Arua-Koboko'!N46,'01.08 Arua-Koboko'!N46,'04.08 Arua-Koboko'!N46,'05.08 Arua-Koboko'!N46,'02.08 Arua-Koboko-24h'!N46,'03.08 Arua-Koboko-24h'!N46,'06.08 Arua-Koboko'!N46)</f>
        <v>0</v>
      </c>
      <c r="O46" s="15">
        <f t="shared" si="0"/>
        <v>15.952380952380951</v>
      </c>
      <c r="P46" s="15">
        <f t="shared" si="1"/>
        <v>44.38095238095238</v>
      </c>
      <c r="R46" s="8"/>
      <c r="T46"/>
    </row>
    <row r="47" spans="2:32" ht="23.1" customHeight="1" x14ac:dyDescent="0.25">
      <c r="B47" s="24" t="s">
        <v>74</v>
      </c>
      <c r="C47" s="49">
        <f>AVERAGE('31.07 Arua-Koboko'!C47,'01.08 Arua-Koboko'!C47,'04.08 Arua-Koboko'!C47,'05.08 Arua-Koboko'!C47,'02.08 Arua-Koboko-24h'!C47,'03.08 Arua-Koboko-24h'!C47,'06.08 Arua-Koboko'!C47)</f>
        <v>7.1428571428571432</v>
      </c>
      <c r="D47" s="49">
        <f>AVERAGE('31.07 Arua-Koboko'!D47,'01.08 Arua-Koboko'!D47,'04.08 Arua-Koboko'!D47,'05.08 Arua-Koboko'!D47,'02.08 Arua-Koboko-24h'!D47,'03.08 Arua-Koboko-24h'!D47,'06.08 Arua-Koboko'!D47)</f>
        <v>1.1428571428571428</v>
      </c>
      <c r="E47" s="49">
        <f>AVERAGE('31.07 Arua-Koboko'!E47,'01.08 Arua-Koboko'!E47,'04.08 Arua-Koboko'!E47,'05.08 Arua-Koboko'!E47,'02.08 Arua-Koboko-24h'!E47,'03.08 Arua-Koboko-24h'!E47,'06.08 Arua-Koboko'!E47)</f>
        <v>2</v>
      </c>
      <c r="F47" s="49">
        <f>AVERAGE('31.07 Arua-Koboko'!F47,'01.08 Arua-Koboko'!F47,'04.08 Arua-Koboko'!F47,'05.08 Arua-Koboko'!F47,'02.08 Arua-Koboko-24h'!F47,'03.08 Arua-Koboko-24h'!F47,'06.08 Arua-Koboko'!F47)</f>
        <v>1.1428571428571428</v>
      </c>
      <c r="G47" s="49">
        <f>AVERAGE('31.07 Arua-Koboko'!G47,'01.08 Arua-Koboko'!G47,'04.08 Arua-Koboko'!G47,'05.08 Arua-Koboko'!G47,'02.08 Arua-Koboko-24h'!G47,'03.08 Arua-Koboko-24h'!G47,'06.08 Arua-Koboko'!G47)</f>
        <v>0</v>
      </c>
      <c r="H47" s="49">
        <f>AVERAGE('31.07 Arua-Koboko'!H47,'01.08 Arua-Koboko'!H47,'04.08 Arua-Koboko'!H47,'05.08 Arua-Koboko'!H47,'02.08 Arua-Koboko-24h'!H47,'03.08 Arua-Koboko-24h'!H47,'06.08 Arua-Koboko'!H47)</f>
        <v>0</v>
      </c>
      <c r="I47" s="49">
        <f>AVERAGE('31.07 Arua-Koboko'!I47,'01.08 Arua-Koboko'!I47,'04.08 Arua-Koboko'!I47,'05.08 Arua-Koboko'!I47,'02.08 Arua-Koboko-24h'!I47,'03.08 Arua-Koboko-24h'!I47,'06.08 Arua-Koboko'!I47)</f>
        <v>0.5714285714285714</v>
      </c>
      <c r="J47" s="49">
        <f>AVERAGE('31.07 Arua-Koboko'!J47,'01.08 Arua-Koboko'!J47,'04.08 Arua-Koboko'!J47,'05.08 Arua-Koboko'!J47,'02.08 Arua-Koboko-24h'!J47,'03.08 Arua-Koboko-24h'!J47,'06.08 Arua-Koboko'!J47)</f>
        <v>0.8571428571428571</v>
      </c>
      <c r="K47" s="49">
        <f>AVERAGE('31.07 Arua-Koboko'!K47,'01.08 Arua-Koboko'!K47,'04.08 Arua-Koboko'!K47,'05.08 Arua-Koboko'!K47,'02.08 Arua-Koboko-24h'!K47,'03.08 Arua-Koboko-24h'!K47,'06.08 Arua-Koboko'!K47)</f>
        <v>0</v>
      </c>
      <c r="L47" s="49">
        <f>AVERAGE('31.07 Arua-Koboko'!L47,'01.08 Arua-Koboko'!L47,'04.08 Arua-Koboko'!L47,'05.08 Arua-Koboko'!L47,'02.08 Arua-Koboko-24h'!L47,'03.08 Arua-Koboko-24h'!L47,'06.08 Arua-Koboko'!L47)</f>
        <v>0.2857142857142857</v>
      </c>
      <c r="M47" s="49">
        <f>AVERAGE('31.07 Arua-Koboko'!M47,'01.08 Arua-Koboko'!M47,'04.08 Arua-Koboko'!M47,'05.08 Arua-Koboko'!M47,'02.08 Arua-Koboko-24h'!M47,'03.08 Arua-Koboko-24h'!M47,'06.08 Arua-Koboko'!M47)</f>
        <v>25.142857142857142</v>
      </c>
      <c r="N47" s="49">
        <f>AVERAGE('31.07 Arua-Koboko'!N47,'01.08 Arua-Koboko'!N47,'04.08 Arua-Koboko'!N47,'05.08 Arua-Koboko'!N47,'02.08 Arua-Koboko-24h'!N47,'03.08 Arua-Koboko-24h'!N47,'06.08 Arua-Koboko'!N47)</f>
        <v>0</v>
      </c>
      <c r="O47" s="15">
        <f t="shared" si="0"/>
        <v>13.142857142857144</v>
      </c>
      <c r="P47" s="15">
        <f t="shared" si="1"/>
        <v>38.285714285714285</v>
      </c>
      <c r="R47" s="8"/>
      <c r="T47"/>
    </row>
    <row r="48" spans="2:32" ht="23.1" customHeight="1" x14ac:dyDescent="0.25">
      <c r="B48" s="24" t="s">
        <v>75</v>
      </c>
      <c r="C48" s="49">
        <f>AVERAGE('31.07 Arua-Koboko'!C48,'01.08 Arua-Koboko'!C48,'04.08 Arua-Koboko'!C48,'05.08 Arua-Koboko'!C48,'02.08 Arua-Koboko-24h'!C48,'03.08 Arua-Koboko-24h'!C48,'06.08 Arua-Koboko'!C48)</f>
        <v>7.8571428571428568</v>
      </c>
      <c r="D48" s="49">
        <f>AVERAGE('31.07 Arua-Koboko'!D48,'01.08 Arua-Koboko'!D48,'04.08 Arua-Koboko'!D48,'05.08 Arua-Koboko'!D48,'02.08 Arua-Koboko-24h'!D48,'03.08 Arua-Koboko-24h'!D48,'06.08 Arua-Koboko'!D48)</f>
        <v>0.8571428571428571</v>
      </c>
      <c r="E48" s="49">
        <f>AVERAGE('31.07 Arua-Koboko'!E48,'01.08 Arua-Koboko'!E48,'04.08 Arua-Koboko'!E48,'05.08 Arua-Koboko'!E48,'02.08 Arua-Koboko-24h'!E48,'03.08 Arua-Koboko-24h'!E48,'06.08 Arua-Koboko'!E48)</f>
        <v>1.4285714285714286</v>
      </c>
      <c r="F48" s="49">
        <f>AVERAGE('31.07 Arua-Koboko'!F48,'01.08 Arua-Koboko'!F48,'04.08 Arua-Koboko'!F48,'05.08 Arua-Koboko'!F48,'02.08 Arua-Koboko-24h'!F48,'03.08 Arua-Koboko-24h'!F48,'06.08 Arua-Koboko'!F48)</f>
        <v>0.2857142857142857</v>
      </c>
      <c r="G48" s="49">
        <f>AVERAGE('31.07 Arua-Koboko'!G48,'01.08 Arua-Koboko'!G48,'04.08 Arua-Koboko'!G48,'05.08 Arua-Koboko'!G48,'02.08 Arua-Koboko-24h'!G48,'03.08 Arua-Koboko-24h'!G48,'06.08 Arua-Koboko'!G48)</f>
        <v>0</v>
      </c>
      <c r="H48" s="49">
        <f>AVERAGE('31.07 Arua-Koboko'!H48,'01.08 Arua-Koboko'!H48,'04.08 Arua-Koboko'!H48,'05.08 Arua-Koboko'!H48,'02.08 Arua-Koboko-24h'!H48,'03.08 Arua-Koboko-24h'!H48,'06.08 Arua-Koboko'!H48)</f>
        <v>0</v>
      </c>
      <c r="I48" s="49">
        <f>AVERAGE('31.07 Arua-Koboko'!I48,'01.08 Arua-Koboko'!I48,'04.08 Arua-Koboko'!I48,'05.08 Arua-Koboko'!I48,'02.08 Arua-Koboko-24h'!I48,'03.08 Arua-Koboko-24h'!I48,'06.08 Arua-Koboko'!I48)</f>
        <v>1.4285714285714286</v>
      </c>
      <c r="J48" s="49">
        <f>AVERAGE('31.07 Arua-Koboko'!J48,'01.08 Arua-Koboko'!J48,'04.08 Arua-Koboko'!J48,'05.08 Arua-Koboko'!J48,'02.08 Arua-Koboko-24h'!J48,'03.08 Arua-Koboko-24h'!J48,'06.08 Arua-Koboko'!J48)</f>
        <v>0.8571428571428571</v>
      </c>
      <c r="K48" s="49">
        <f>AVERAGE('31.07 Arua-Koboko'!K48,'01.08 Arua-Koboko'!K48,'04.08 Arua-Koboko'!K48,'05.08 Arua-Koboko'!K48,'02.08 Arua-Koboko-24h'!K48,'03.08 Arua-Koboko-24h'!K48,'06.08 Arua-Koboko'!K48)</f>
        <v>0.14285714285714285</v>
      </c>
      <c r="L48" s="49">
        <f>AVERAGE('31.07 Arua-Koboko'!L48,'01.08 Arua-Koboko'!L48,'04.08 Arua-Koboko'!L48,'05.08 Arua-Koboko'!L48,'02.08 Arua-Koboko-24h'!L48,'03.08 Arua-Koboko-24h'!L48,'06.08 Arua-Koboko'!L48)</f>
        <v>0.7142857142857143</v>
      </c>
      <c r="M48" s="49">
        <f>AVERAGE('31.07 Arua-Koboko'!M48,'01.08 Arua-Koboko'!M48,'04.08 Arua-Koboko'!M48,'05.08 Arua-Koboko'!M48,'02.08 Arua-Koboko-24h'!M48,'03.08 Arua-Koboko-24h'!M48,'06.08 Arua-Koboko'!M48)</f>
        <v>27.857142857142858</v>
      </c>
      <c r="N48" s="49">
        <f>AVERAGE('31.07 Arua-Koboko'!N48,'01.08 Arua-Koboko'!N48,'04.08 Arua-Koboko'!N48,'05.08 Arua-Koboko'!N48,'02.08 Arua-Koboko-24h'!N48,'03.08 Arua-Koboko-24h'!N48,'06.08 Arua-Koboko'!N48)</f>
        <v>0</v>
      </c>
      <c r="O48" s="15">
        <f t="shared" si="0"/>
        <v>13.571428571428571</v>
      </c>
      <c r="P48" s="15">
        <f t="shared" si="1"/>
        <v>41.428571428571431</v>
      </c>
      <c r="R48" s="8"/>
      <c r="T48"/>
    </row>
    <row r="49" spans="2:20" ht="23.1" customHeight="1" x14ac:dyDescent="0.25">
      <c r="B49" s="23" t="s">
        <v>76</v>
      </c>
      <c r="C49" s="49">
        <f>AVERAGE('31.07 Arua-Koboko'!C49,'01.08 Arua-Koboko'!C49,'04.08 Arua-Koboko'!C49,'05.08 Arua-Koboko'!C49,'02.08 Arua-Koboko-24h'!C49,'03.08 Arua-Koboko-24h'!C49,'06.08 Arua-Koboko'!C49)</f>
        <v>6.4285714285714288</v>
      </c>
      <c r="D49" s="49">
        <f>AVERAGE('31.07 Arua-Koboko'!D49,'01.08 Arua-Koboko'!D49,'04.08 Arua-Koboko'!D49,'05.08 Arua-Koboko'!D49,'02.08 Arua-Koboko-24h'!D49,'03.08 Arua-Koboko-24h'!D49,'06.08 Arua-Koboko'!D49)</f>
        <v>0.5714285714285714</v>
      </c>
      <c r="E49" s="49">
        <f>AVERAGE('31.07 Arua-Koboko'!E49,'01.08 Arua-Koboko'!E49,'04.08 Arua-Koboko'!E49,'05.08 Arua-Koboko'!E49,'02.08 Arua-Koboko-24h'!E49,'03.08 Arua-Koboko-24h'!E49,'06.08 Arua-Koboko'!E49)</f>
        <v>1.7142857142857142</v>
      </c>
      <c r="F49" s="49">
        <f>AVERAGE('31.07 Arua-Koboko'!F49,'01.08 Arua-Koboko'!F49,'04.08 Arua-Koboko'!F49,'05.08 Arua-Koboko'!F49,'02.08 Arua-Koboko-24h'!F49,'03.08 Arua-Koboko-24h'!F49,'06.08 Arua-Koboko'!F49)</f>
        <v>1.8571428571428572</v>
      </c>
      <c r="G49" s="49">
        <f>AVERAGE('31.07 Arua-Koboko'!G49,'01.08 Arua-Koboko'!G49,'04.08 Arua-Koboko'!G49,'05.08 Arua-Koboko'!G49,'02.08 Arua-Koboko-24h'!G49,'03.08 Arua-Koboko-24h'!G49,'06.08 Arua-Koboko'!G49)</f>
        <v>0</v>
      </c>
      <c r="H49" s="49">
        <f>AVERAGE('31.07 Arua-Koboko'!H49,'01.08 Arua-Koboko'!H49,'04.08 Arua-Koboko'!H49,'05.08 Arua-Koboko'!H49,'02.08 Arua-Koboko-24h'!H49,'03.08 Arua-Koboko-24h'!H49,'06.08 Arua-Koboko'!H49)</f>
        <v>0.14285714285714285</v>
      </c>
      <c r="I49" s="49">
        <f>AVERAGE('31.07 Arua-Koboko'!I49,'01.08 Arua-Koboko'!I49,'04.08 Arua-Koboko'!I49,'05.08 Arua-Koboko'!I49,'02.08 Arua-Koboko-24h'!I49,'03.08 Arua-Koboko-24h'!I49,'06.08 Arua-Koboko'!I49)</f>
        <v>0.5714285714285714</v>
      </c>
      <c r="J49" s="49">
        <f>AVERAGE('31.07 Arua-Koboko'!J49,'01.08 Arua-Koboko'!J49,'04.08 Arua-Koboko'!J49,'05.08 Arua-Koboko'!J49,'02.08 Arua-Koboko-24h'!J49,'03.08 Arua-Koboko-24h'!J49,'06.08 Arua-Koboko'!J49)</f>
        <v>1.7142857142857142</v>
      </c>
      <c r="K49" s="49">
        <f>AVERAGE('31.07 Arua-Koboko'!K49,'01.08 Arua-Koboko'!K49,'04.08 Arua-Koboko'!K49,'05.08 Arua-Koboko'!K49,'02.08 Arua-Koboko-24h'!K49,'03.08 Arua-Koboko-24h'!K49,'06.08 Arua-Koboko'!K49)</f>
        <v>0</v>
      </c>
      <c r="L49" s="49">
        <f>AVERAGE('31.07 Arua-Koboko'!L49,'01.08 Arua-Koboko'!L49,'04.08 Arua-Koboko'!L49,'05.08 Arua-Koboko'!L49,'02.08 Arua-Koboko-24h'!L49,'03.08 Arua-Koboko-24h'!L49,'06.08 Arua-Koboko'!L49)</f>
        <v>0.2857142857142857</v>
      </c>
      <c r="M49" s="49">
        <f>AVERAGE('31.07 Arua-Koboko'!M49,'01.08 Arua-Koboko'!M49,'04.08 Arua-Koboko'!M49,'05.08 Arua-Koboko'!M49,'02.08 Arua-Koboko-24h'!M49,'03.08 Arua-Koboko-24h'!M49,'06.08 Arua-Koboko'!M49)</f>
        <v>25.428571428571427</v>
      </c>
      <c r="N49" s="49">
        <f>AVERAGE('31.07 Arua-Koboko'!N49,'01.08 Arua-Koboko'!N49,'04.08 Arua-Koboko'!N49,'05.08 Arua-Koboko'!N49,'02.08 Arua-Koboko-24h'!N49,'03.08 Arua-Koboko-24h'!N49,'06.08 Arua-Koboko'!N49)</f>
        <v>0</v>
      </c>
      <c r="O49" s="15">
        <f t="shared" si="0"/>
        <v>13.285714285714285</v>
      </c>
      <c r="P49" s="15">
        <f t="shared" si="1"/>
        <v>38.714285714285708</v>
      </c>
      <c r="R49" s="8"/>
      <c r="T49"/>
    </row>
    <row r="50" spans="2:20" ht="23.1" customHeight="1" x14ac:dyDescent="0.25">
      <c r="B50" s="24" t="s">
        <v>77</v>
      </c>
      <c r="C50" s="49">
        <f>AVERAGE('31.07 Arua-Koboko'!C50,'01.08 Arua-Koboko'!C50,'04.08 Arua-Koboko'!C50,'05.08 Arua-Koboko'!C50,'02.08 Arua-Koboko-24h'!C50,'03.08 Arua-Koboko-24h'!C50,'06.08 Arua-Koboko'!C50)</f>
        <v>10.857142857142858</v>
      </c>
      <c r="D50" s="49">
        <f>AVERAGE('31.07 Arua-Koboko'!D50,'01.08 Arua-Koboko'!D50,'04.08 Arua-Koboko'!D50,'05.08 Arua-Koboko'!D50,'02.08 Arua-Koboko-24h'!D50,'03.08 Arua-Koboko-24h'!D50,'06.08 Arua-Koboko'!D50)</f>
        <v>1.2857142857142858</v>
      </c>
      <c r="E50" s="49">
        <f>AVERAGE('31.07 Arua-Koboko'!E50,'01.08 Arua-Koboko'!E50,'04.08 Arua-Koboko'!E50,'05.08 Arua-Koboko'!E50,'02.08 Arua-Koboko-24h'!E50,'03.08 Arua-Koboko-24h'!E50,'06.08 Arua-Koboko'!E50)</f>
        <v>3</v>
      </c>
      <c r="F50" s="49">
        <f>AVERAGE('31.07 Arua-Koboko'!F50,'01.08 Arua-Koboko'!F50,'04.08 Arua-Koboko'!F50,'05.08 Arua-Koboko'!F50,'02.08 Arua-Koboko-24h'!F50,'03.08 Arua-Koboko-24h'!F50,'06.08 Arua-Koboko'!F50)</f>
        <v>0.5714285714285714</v>
      </c>
      <c r="G50" s="49">
        <f>AVERAGE('31.07 Arua-Koboko'!G50,'01.08 Arua-Koboko'!G50,'04.08 Arua-Koboko'!G50,'05.08 Arua-Koboko'!G50,'02.08 Arua-Koboko-24h'!G50,'03.08 Arua-Koboko-24h'!G50,'06.08 Arua-Koboko'!G50)</f>
        <v>0.5714285714285714</v>
      </c>
      <c r="H50" s="49">
        <f>AVERAGE('31.07 Arua-Koboko'!H50,'01.08 Arua-Koboko'!H50,'04.08 Arua-Koboko'!H50,'05.08 Arua-Koboko'!H50,'02.08 Arua-Koboko-24h'!H50,'03.08 Arua-Koboko-24h'!H50,'06.08 Arua-Koboko'!H50)</f>
        <v>0</v>
      </c>
      <c r="I50" s="49">
        <f>AVERAGE('31.07 Arua-Koboko'!I50,'01.08 Arua-Koboko'!I50,'04.08 Arua-Koboko'!I50,'05.08 Arua-Koboko'!I50,'02.08 Arua-Koboko-24h'!I50,'03.08 Arua-Koboko-24h'!I50,'06.08 Arua-Koboko'!I50)</f>
        <v>1</v>
      </c>
      <c r="J50" s="49">
        <f>AVERAGE('31.07 Arua-Koboko'!J50,'01.08 Arua-Koboko'!J50,'04.08 Arua-Koboko'!J50,'05.08 Arua-Koboko'!J50,'02.08 Arua-Koboko-24h'!J50,'03.08 Arua-Koboko-24h'!J50,'06.08 Arua-Koboko'!J50)</f>
        <v>4</v>
      </c>
      <c r="K50" s="49">
        <f>AVERAGE('31.07 Arua-Koboko'!K50,'01.08 Arua-Koboko'!K50,'04.08 Arua-Koboko'!K50,'05.08 Arua-Koboko'!K50,'02.08 Arua-Koboko-24h'!K50,'03.08 Arua-Koboko-24h'!K50,'06.08 Arua-Koboko'!K50)</f>
        <v>0</v>
      </c>
      <c r="L50" s="49">
        <f>AVERAGE('31.07 Arua-Koboko'!L50,'01.08 Arua-Koboko'!L50,'04.08 Arua-Koboko'!L50,'05.08 Arua-Koboko'!L50,'02.08 Arua-Koboko-24h'!L50,'03.08 Arua-Koboko-24h'!L50,'06.08 Arua-Koboko'!L50)</f>
        <v>0</v>
      </c>
      <c r="M50" s="49">
        <f>AVERAGE('31.07 Arua-Koboko'!M50,'01.08 Arua-Koboko'!M50,'04.08 Arua-Koboko'!M50,'05.08 Arua-Koboko'!M50,'02.08 Arua-Koboko-24h'!M50,'03.08 Arua-Koboko-24h'!M50,'06.08 Arua-Koboko'!M50)</f>
        <v>29.428571428571427</v>
      </c>
      <c r="N50" s="49">
        <f>AVERAGE('31.07 Arua-Koboko'!N50,'01.08 Arua-Koboko'!N50,'04.08 Arua-Koboko'!N50,'05.08 Arua-Koboko'!N50,'02.08 Arua-Koboko-24h'!N50,'03.08 Arua-Koboko-24h'!N50,'06.08 Arua-Koboko'!N50)</f>
        <v>0</v>
      </c>
      <c r="O50" s="15">
        <f t="shared" si="0"/>
        <v>21.285714285714288</v>
      </c>
      <c r="P50" s="15">
        <f t="shared" si="1"/>
        <v>50.714285714285715</v>
      </c>
      <c r="R50" s="8"/>
      <c r="T50"/>
    </row>
    <row r="51" spans="2:20" ht="23.1" customHeight="1" x14ac:dyDescent="0.25">
      <c r="B51" s="24" t="s">
        <v>78</v>
      </c>
      <c r="C51" s="49">
        <f>AVERAGE('31.07 Arua-Koboko'!C51,'01.08 Arua-Koboko'!C51,'04.08 Arua-Koboko'!C51,'05.08 Arua-Koboko'!C51,'02.08 Arua-Koboko-24h'!C51,'03.08 Arua-Koboko-24h'!C51,'06.08 Arua-Koboko'!C51)</f>
        <v>9.4285714285714288</v>
      </c>
      <c r="D51" s="49">
        <f>AVERAGE('31.07 Arua-Koboko'!D51,'01.08 Arua-Koboko'!D51,'04.08 Arua-Koboko'!D51,'05.08 Arua-Koboko'!D51,'02.08 Arua-Koboko-24h'!D51,'03.08 Arua-Koboko-24h'!D51,'06.08 Arua-Koboko'!D51)</f>
        <v>0.7142857142857143</v>
      </c>
      <c r="E51" s="49">
        <f>AVERAGE('31.07 Arua-Koboko'!E51,'01.08 Arua-Koboko'!E51,'04.08 Arua-Koboko'!E51,'05.08 Arua-Koboko'!E51,'02.08 Arua-Koboko-24h'!E51,'03.08 Arua-Koboko-24h'!E51,'06.08 Arua-Koboko'!E51)</f>
        <v>1.8571428571428572</v>
      </c>
      <c r="F51" s="49">
        <f>AVERAGE('31.07 Arua-Koboko'!F51,'01.08 Arua-Koboko'!F51,'04.08 Arua-Koboko'!F51,'05.08 Arua-Koboko'!F51,'02.08 Arua-Koboko-24h'!F51,'03.08 Arua-Koboko-24h'!F51,'06.08 Arua-Koboko'!F51)</f>
        <v>1.8571428571428572</v>
      </c>
      <c r="G51" s="49">
        <f>AVERAGE('31.07 Arua-Koboko'!G51,'01.08 Arua-Koboko'!G51,'04.08 Arua-Koboko'!G51,'05.08 Arua-Koboko'!G51,'02.08 Arua-Koboko-24h'!G51,'03.08 Arua-Koboko-24h'!G51,'06.08 Arua-Koboko'!G51)</f>
        <v>0</v>
      </c>
      <c r="H51" s="49">
        <f>AVERAGE('31.07 Arua-Koboko'!H51,'01.08 Arua-Koboko'!H51,'04.08 Arua-Koboko'!H51,'05.08 Arua-Koboko'!H51,'02.08 Arua-Koboko-24h'!H51,'03.08 Arua-Koboko-24h'!H51,'06.08 Arua-Koboko'!H51)</f>
        <v>0</v>
      </c>
      <c r="I51" s="49">
        <f>AVERAGE('31.07 Arua-Koboko'!I51,'01.08 Arua-Koboko'!I51,'04.08 Arua-Koboko'!I51,'05.08 Arua-Koboko'!I51,'02.08 Arua-Koboko-24h'!I51,'03.08 Arua-Koboko-24h'!I51,'06.08 Arua-Koboko'!I51)</f>
        <v>1</v>
      </c>
      <c r="J51" s="49">
        <f>AVERAGE('31.07 Arua-Koboko'!J51,'01.08 Arua-Koboko'!J51,'04.08 Arua-Koboko'!J51,'05.08 Arua-Koboko'!J51,'02.08 Arua-Koboko-24h'!J51,'03.08 Arua-Koboko-24h'!J51,'06.08 Arua-Koboko'!J51)</f>
        <v>5.2857142857142856</v>
      </c>
      <c r="K51" s="49">
        <f>AVERAGE('31.07 Arua-Koboko'!K51,'01.08 Arua-Koboko'!K51,'04.08 Arua-Koboko'!K51,'05.08 Arua-Koboko'!K51,'02.08 Arua-Koboko-24h'!K51,'03.08 Arua-Koboko-24h'!K51,'06.08 Arua-Koboko'!K51)</f>
        <v>0</v>
      </c>
      <c r="L51" s="49">
        <f>AVERAGE('31.07 Arua-Koboko'!L51,'01.08 Arua-Koboko'!L51,'04.08 Arua-Koboko'!L51,'05.08 Arua-Koboko'!L51,'02.08 Arua-Koboko-24h'!L51,'03.08 Arua-Koboko-24h'!L51,'06.08 Arua-Koboko'!L51)</f>
        <v>0</v>
      </c>
      <c r="M51" s="49">
        <f>AVERAGE('31.07 Arua-Koboko'!M51,'01.08 Arua-Koboko'!M51,'04.08 Arua-Koboko'!M51,'05.08 Arua-Koboko'!M51,'02.08 Arua-Koboko-24h'!M51,'03.08 Arua-Koboko-24h'!M51,'06.08 Arua-Koboko'!M51)</f>
        <v>26.857142857142858</v>
      </c>
      <c r="N51" s="49">
        <f>AVERAGE('31.07 Arua-Koboko'!N51,'01.08 Arua-Koboko'!N51,'04.08 Arua-Koboko'!N51,'05.08 Arua-Koboko'!N51,'02.08 Arua-Koboko-24h'!N51,'03.08 Arua-Koboko-24h'!N51,'06.08 Arua-Koboko'!N51)</f>
        <v>0</v>
      </c>
      <c r="O51" s="15">
        <f t="shared" si="0"/>
        <v>20.142857142857142</v>
      </c>
      <c r="P51" s="15">
        <f t="shared" si="1"/>
        <v>47</v>
      </c>
      <c r="R51" s="8"/>
      <c r="T51"/>
    </row>
    <row r="52" spans="2:20" ht="23.1" customHeight="1" x14ac:dyDescent="0.25">
      <c r="B52" s="24" t="s">
        <v>79</v>
      </c>
      <c r="C52" s="49">
        <f>AVERAGE('31.07 Arua-Koboko'!C52,'01.08 Arua-Koboko'!C52,'04.08 Arua-Koboko'!C52,'05.08 Arua-Koboko'!C52,'02.08 Arua-Koboko-24h'!C52,'03.08 Arua-Koboko-24h'!C52,'06.08 Arua-Koboko'!C52)</f>
        <v>6.2857142857142856</v>
      </c>
      <c r="D52" s="49">
        <f>AVERAGE('31.07 Arua-Koboko'!D52,'01.08 Arua-Koboko'!D52,'04.08 Arua-Koboko'!D52,'05.08 Arua-Koboko'!D52,'02.08 Arua-Koboko-24h'!D52,'03.08 Arua-Koboko-24h'!D52,'06.08 Arua-Koboko'!D52)</f>
        <v>0.7142857142857143</v>
      </c>
      <c r="E52" s="49">
        <f>AVERAGE('31.07 Arua-Koboko'!E52,'01.08 Arua-Koboko'!E52,'04.08 Arua-Koboko'!E52,'05.08 Arua-Koboko'!E52,'02.08 Arua-Koboko-24h'!E52,'03.08 Arua-Koboko-24h'!E52,'06.08 Arua-Koboko'!E52)</f>
        <v>1.5714285714285714</v>
      </c>
      <c r="F52" s="49">
        <f>AVERAGE('31.07 Arua-Koboko'!F52,'01.08 Arua-Koboko'!F52,'04.08 Arua-Koboko'!F52,'05.08 Arua-Koboko'!F52,'02.08 Arua-Koboko-24h'!F52,'03.08 Arua-Koboko-24h'!F52,'06.08 Arua-Koboko'!F52)</f>
        <v>1.2857142857142858</v>
      </c>
      <c r="G52" s="49">
        <f>AVERAGE('31.07 Arua-Koboko'!G52,'01.08 Arua-Koboko'!G52,'04.08 Arua-Koboko'!G52,'05.08 Arua-Koboko'!G52,'02.08 Arua-Koboko-24h'!G52,'03.08 Arua-Koboko-24h'!G52,'06.08 Arua-Koboko'!G52)</f>
        <v>0.14285714285714285</v>
      </c>
      <c r="H52" s="49">
        <f>AVERAGE('31.07 Arua-Koboko'!H52,'01.08 Arua-Koboko'!H52,'04.08 Arua-Koboko'!H52,'05.08 Arua-Koboko'!H52,'02.08 Arua-Koboko-24h'!H52,'03.08 Arua-Koboko-24h'!H52,'06.08 Arua-Koboko'!H52)</f>
        <v>0.14285714285714285</v>
      </c>
      <c r="I52" s="49">
        <f>AVERAGE('31.07 Arua-Koboko'!I52,'01.08 Arua-Koboko'!I52,'04.08 Arua-Koboko'!I52,'05.08 Arua-Koboko'!I52,'02.08 Arua-Koboko-24h'!I52,'03.08 Arua-Koboko-24h'!I52,'06.08 Arua-Koboko'!I52)</f>
        <v>1.4285714285714286</v>
      </c>
      <c r="J52" s="49">
        <f>AVERAGE('31.07 Arua-Koboko'!J52,'01.08 Arua-Koboko'!J52,'04.08 Arua-Koboko'!J52,'05.08 Arua-Koboko'!J52,'02.08 Arua-Koboko-24h'!J52,'03.08 Arua-Koboko-24h'!J52,'06.08 Arua-Koboko'!J52)</f>
        <v>1.4285714285714286</v>
      </c>
      <c r="K52" s="49">
        <f>AVERAGE('31.07 Arua-Koboko'!K52,'01.08 Arua-Koboko'!K52,'04.08 Arua-Koboko'!K52,'05.08 Arua-Koboko'!K52,'02.08 Arua-Koboko-24h'!K52,'03.08 Arua-Koboko-24h'!K52,'06.08 Arua-Koboko'!K52)</f>
        <v>0</v>
      </c>
      <c r="L52" s="49">
        <f>AVERAGE('31.07 Arua-Koboko'!L52,'01.08 Arua-Koboko'!L52,'04.08 Arua-Koboko'!L52,'05.08 Arua-Koboko'!L52,'02.08 Arua-Koboko-24h'!L52,'03.08 Arua-Koboko-24h'!L52,'06.08 Arua-Koboko'!L52)</f>
        <v>0.42857142857142855</v>
      </c>
      <c r="M52" s="49">
        <f>AVERAGE('31.07 Arua-Koboko'!M52,'01.08 Arua-Koboko'!M52,'04.08 Arua-Koboko'!M52,'05.08 Arua-Koboko'!M52,'02.08 Arua-Koboko-24h'!M52,'03.08 Arua-Koboko-24h'!M52,'06.08 Arua-Koboko'!M52)</f>
        <v>32.714285714285715</v>
      </c>
      <c r="N52" s="49">
        <f>AVERAGE('31.07 Arua-Koboko'!N52,'01.08 Arua-Koboko'!N52,'04.08 Arua-Koboko'!N52,'05.08 Arua-Koboko'!N52,'02.08 Arua-Koboko-24h'!N52,'03.08 Arua-Koboko-24h'!N52,'06.08 Arua-Koboko'!N52)</f>
        <v>0</v>
      </c>
      <c r="O52" s="15">
        <f t="shared" si="0"/>
        <v>13.428571428571429</v>
      </c>
      <c r="P52" s="15">
        <f t="shared" si="1"/>
        <v>46.142857142857146</v>
      </c>
      <c r="R52" s="8"/>
      <c r="T52"/>
    </row>
    <row r="53" spans="2:20" ht="23.1" customHeight="1" x14ac:dyDescent="0.25">
      <c r="B53" s="23" t="s">
        <v>80</v>
      </c>
      <c r="C53" s="49">
        <f>AVERAGE('31.07 Arua-Koboko'!C53,'01.08 Arua-Koboko'!C53,'04.08 Arua-Koboko'!C53,'05.08 Arua-Koboko'!C53,'02.08 Arua-Koboko-24h'!C53,'03.08 Arua-Koboko-24h'!C53,'06.08 Arua-Koboko'!C53)</f>
        <v>7.1428571428571432</v>
      </c>
      <c r="D53" s="49">
        <f>AVERAGE('31.07 Arua-Koboko'!D53,'01.08 Arua-Koboko'!D53,'04.08 Arua-Koboko'!D53,'05.08 Arua-Koboko'!D53,'02.08 Arua-Koboko-24h'!D53,'03.08 Arua-Koboko-24h'!D53,'06.08 Arua-Koboko'!D53)</f>
        <v>1.1428571428571428</v>
      </c>
      <c r="E53" s="49">
        <f>AVERAGE('31.07 Arua-Koboko'!E53,'01.08 Arua-Koboko'!E53,'04.08 Arua-Koboko'!E53,'05.08 Arua-Koboko'!E53,'02.08 Arua-Koboko-24h'!E53,'03.08 Arua-Koboko-24h'!E53,'06.08 Arua-Koboko'!E53)</f>
        <v>2.8571428571428572</v>
      </c>
      <c r="F53" s="49">
        <f>AVERAGE('31.07 Arua-Koboko'!F53,'01.08 Arua-Koboko'!F53,'04.08 Arua-Koboko'!F53,'05.08 Arua-Koboko'!F53,'02.08 Arua-Koboko-24h'!F53,'03.08 Arua-Koboko-24h'!F53,'06.08 Arua-Koboko'!F53)</f>
        <v>0.7142857142857143</v>
      </c>
      <c r="G53" s="49">
        <f>AVERAGE('31.07 Arua-Koboko'!G53,'01.08 Arua-Koboko'!G53,'04.08 Arua-Koboko'!G53,'05.08 Arua-Koboko'!G53,'02.08 Arua-Koboko-24h'!G53,'03.08 Arua-Koboko-24h'!G53,'06.08 Arua-Koboko'!G53)</f>
        <v>0.5714285714285714</v>
      </c>
      <c r="H53" s="49">
        <f>AVERAGE('31.07 Arua-Koboko'!H53,'01.08 Arua-Koboko'!H53,'04.08 Arua-Koboko'!H53,'05.08 Arua-Koboko'!H53,'02.08 Arua-Koboko-24h'!H53,'03.08 Arua-Koboko-24h'!H53,'06.08 Arua-Koboko'!H53)</f>
        <v>0.14285714285714285</v>
      </c>
      <c r="I53" s="49">
        <f>AVERAGE('31.07 Arua-Koboko'!I53,'01.08 Arua-Koboko'!I53,'04.08 Arua-Koboko'!I53,'05.08 Arua-Koboko'!I53,'02.08 Arua-Koboko-24h'!I53,'03.08 Arua-Koboko-24h'!I53,'06.08 Arua-Koboko'!I53)</f>
        <v>2.2857142857142856</v>
      </c>
      <c r="J53" s="49">
        <f>AVERAGE('31.07 Arua-Koboko'!J53,'01.08 Arua-Koboko'!J53,'04.08 Arua-Koboko'!J53,'05.08 Arua-Koboko'!J53,'02.08 Arua-Koboko-24h'!J53,'03.08 Arua-Koboko-24h'!J53,'06.08 Arua-Koboko'!J53)</f>
        <v>1.4285714285714286</v>
      </c>
      <c r="K53" s="49">
        <f>AVERAGE('31.07 Arua-Koboko'!K53,'01.08 Arua-Koboko'!K53,'04.08 Arua-Koboko'!K53,'05.08 Arua-Koboko'!K53,'02.08 Arua-Koboko-24h'!K53,'03.08 Arua-Koboko-24h'!K53,'06.08 Arua-Koboko'!K53)</f>
        <v>0.14285714285714285</v>
      </c>
      <c r="L53" s="49">
        <f>AVERAGE('31.07 Arua-Koboko'!L53,'01.08 Arua-Koboko'!L53,'04.08 Arua-Koboko'!L53,'05.08 Arua-Koboko'!L53,'02.08 Arua-Koboko-24h'!L53,'03.08 Arua-Koboko-24h'!L53,'06.08 Arua-Koboko'!L53)</f>
        <v>0.42857142857142855</v>
      </c>
      <c r="M53" s="49">
        <f>AVERAGE('31.07 Arua-Koboko'!M53,'01.08 Arua-Koboko'!M53,'04.08 Arua-Koboko'!M53,'05.08 Arua-Koboko'!M53,'02.08 Arua-Koboko-24h'!M53,'03.08 Arua-Koboko-24h'!M53,'06.08 Arua-Koboko'!M53)</f>
        <v>33.571428571428569</v>
      </c>
      <c r="N53" s="49">
        <f>AVERAGE('31.07 Arua-Koboko'!N53,'01.08 Arua-Koboko'!N53,'04.08 Arua-Koboko'!N53,'05.08 Arua-Koboko'!N53,'02.08 Arua-Koboko-24h'!N53,'03.08 Arua-Koboko-24h'!N53,'06.08 Arua-Koboko'!N53)</f>
        <v>0</v>
      </c>
      <c r="O53" s="15">
        <f t="shared" si="0"/>
        <v>16.857142857142854</v>
      </c>
      <c r="P53" s="15">
        <f t="shared" si="1"/>
        <v>50.428571428571423</v>
      </c>
      <c r="R53" s="8"/>
      <c r="T53"/>
    </row>
    <row r="54" spans="2:20" ht="23.1" customHeight="1" x14ac:dyDescent="0.25">
      <c r="B54" s="23" t="s">
        <v>81</v>
      </c>
      <c r="C54" s="49">
        <f>AVERAGE('31.07 Arua-Koboko'!C54,'01.08 Arua-Koboko'!C54,'04.08 Arua-Koboko'!C54,'05.08 Arua-Koboko'!C54,'02.08 Arua-Koboko-24h'!C54,'03.08 Arua-Koboko-24h'!C54,'06.08 Arua-Koboko'!C54)</f>
        <v>5.5714285714285712</v>
      </c>
      <c r="D54" s="49">
        <f>AVERAGE('31.07 Arua-Koboko'!D54,'01.08 Arua-Koboko'!D54,'04.08 Arua-Koboko'!D54,'05.08 Arua-Koboko'!D54,'02.08 Arua-Koboko-24h'!D54,'03.08 Arua-Koboko-24h'!D54,'06.08 Arua-Koboko'!D54)</f>
        <v>0.7142857142857143</v>
      </c>
      <c r="E54" s="49">
        <f>AVERAGE('31.07 Arua-Koboko'!E54,'01.08 Arua-Koboko'!E54,'04.08 Arua-Koboko'!E54,'05.08 Arua-Koboko'!E54,'02.08 Arua-Koboko-24h'!E54,'03.08 Arua-Koboko-24h'!E54,'06.08 Arua-Koboko'!E54)</f>
        <v>1.7142857142857142</v>
      </c>
      <c r="F54" s="49">
        <f>AVERAGE('31.07 Arua-Koboko'!F54,'01.08 Arua-Koboko'!F54,'04.08 Arua-Koboko'!F54,'05.08 Arua-Koboko'!F54,'02.08 Arua-Koboko-24h'!F54,'03.08 Arua-Koboko-24h'!F54,'06.08 Arua-Koboko'!F54)</f>
        <v>0.42857142857142855</v>
      </c>
      <c r="G54" s="49">
        <f>AVERAGE('31.07 Arua-Koboko'!G54,'01.08 Arua-Koboko'!G54,'04.08 Arua-Koboko'!G54,'05.08 Arua-Koboko'!G54,'02.08 Arua-Koboko-24h'!G54,'03.08 Arua-Koboko-24h'!G54,'06.08 Arua-Koboko'!G54)</f>
        <v>0.42857142857142855</v>
      </c>
      <c r="H54" s="49">
        <f>AVERAGE('31.07 Arua-Koboko'!H54,'01.08 Arua-Koboko'!H54,'04.08 Arua-Koboko'!H54,'05.08 Arua-Koboko'!H54,'02.08 Arua-Koboko-24h'!H54,'03.08 Arua-Koboko-24h'!H54,'06.08 Arua-Koboko'!H54)</f>
        <v>0.2857142857142857</v>
      </c>
      <c r="I54" s="49">
        <f>AVERAGE('31.07 Arua-Koboko'!I54,'01.08 Arua-Koboko'!I54,'04.08 Arua-Koboko'!I54,'05.08 Arua-Koboko'!I54,'02.08 Arua-Koboko-24h'!I54,'03.08 Arua-Koboko-24h'!I54,'06.08 Arua-Koboko'!I54)</f>
        <v>1.1428571428571428</v>
      </c>
      <c r="J54" s="49">
        <f>AVERAGE('31.07 Arua-Koboko'!J54,'01.08 Arua-Koboko'!J54,'04.08 Arua-Koboko'!J54,'05.08 Arua-Koboko'!J54,'02.08 Arua-Koboko-24h'!J54,'03.08 Arua-Koboko-24h'!J54,'06.08 Arua-Koboko'!J54)</f>
        <v>1.2857142857142858</v>
      </c>
      <c r="K54" s="49">
        <f>AVERAGE('31.07 Arua-Koboko'!K54,'01.08 Arua-Koboko'!K54,'04.08 Arua-Koboko'!K54,'05.08 Arua-Koboko'!K54,'02.08 Arua-Koboko-24h'!K54,'03.08 Arua-Koboko-24h'!K54,'06.08 Arua-Koboko'!K54)</f>
        <v>0.7142857142857143</v>
      </c>
      <c r="L54" s="49">
        <f>AVERAGE('31.07 Arua-Koboko'!L54,'01.08 Arua-Koboko'!L54,'04.08 Arua-Koboko'!L54,'05.08 Arua-Koboko'!L54,'02.08 Arua-Koboko-24h'!L54,'03.08 Arua-Koboko-24h'!L54,'06.08 Arua-Koboko'!L54)</f>
        <v>0.2857142857142857</v>
      </c>
      <c r="M54" s="49">
        <f>AVERAGE('31.07 Arua-Koboko'!M54,'01.08 Arua-Koboko'!M54,'04.08 Arua-Koboko'!M54,'05.08 Arua-Koboko'!M54,'02.08 Arua-Koboko-24h'!M54,'03.08 Arua-Koboko-24h'!M54,'06.08 Arua-Koboko'!M54)</f>
        <v>32.571428571428569</v>
      </c>
      <c r="N54" s="49">
        <f>AVERAGE('31.07 Arua-Koboko'!N54,'01.08 Arua-Koboko'!N54,'04.08 Arua-Koboko'!N54,'05.08 Arua-Koboko'!N54,'02.08 Arua-Koboko-24h'!N54,'03.08 Arua-Koboko-24h'!N54,'06.08 Arua-Koboko'!N54)</f>
        <v>0</v>
      </c>
      <c r="O54" s="15">
        <f t="shared" si="0"/>
        <v>12.571428571428573</v>
      </c>
      <c r="P54" s="15">
        <f t="shared" si="1"/>
        <v>45.142857142857139</v>
      </c>
      <c r="R54" s="8"/>
      <c r="T54"/>
    </row>
    <row r="55" spans="2:20" ht="23.1" customHeight="1" x14ac:dyDescent="0.25">
      <c r="B55" s="23" t="s">
        <v>82</v>
      </c>
      <c r="C55" s="49">
        <f>AVERAGE('31.07 Arua-Koboko'!C55,'01.08 Arua-Koboko'!C55,'04.08 Arua-Koboko'!C55,'05.08 Arua-Koboko'!C55,'02.08 Arua-Koboko-24h'!C55,'03.08 Arua-Koboko-24h'!C55,'06.08 Arua-Koboko'!C55)</f>
        <v>6</v>
      </c>
      <c r="D55" s="49">
        <f>AVERAGE('31.07 Arua-Koboko'!D55,'01.08 Arua-Koboko'!D55,'04.08 Arua-Koboko'!D55,'05.08 Arua-Koboko'!D55,'02.08 Arua-Koboko-24h'!D55,'03.08 Arua-Koboko-24h'!D55,'06.08 Arua-Koboko'!D55)</f>
        <v>0.5714285714285714</v>
      </c>
      <c r="E55" s="49">
        <f>AVERAGE('31.07 Arua-Koboko'!E55,'01.08 Arua-Koboko'!E55,'04.08 Arua-Koboko'!E55,'05.08 Arua-Koboko'!E55,'02.08 Arua-Koboko-24h'!E55,'03.08 Arua-Koboko-24h'!E55,'06.08 Arua-Koboko'!E55)</f>
        <v>1.2857142857142858</v>
      </c>
      <c r="F55" s="49">
        <f>AVERAGE('31.07 Arua-Koboko'!F55,'01.08 Arua-Koboko'!F55,'04.08 Arua-Koboko'!F55,'05.08 Arua-Koboko'!F55,'02.08 Arua-Koboko-24h'!F55,'03.08 Arua-Koboko-24h'!F55,'06.08 Arua-Koboko'!F55)</f>
        <v>0.8571428571428571</v>
      </c>
      <c r="G55" s="49">
        <f>AVERAGE('31.07 Arua-Koboko'!G55,'01.08 Arua-Koboko'!G55,'04.08 Arua-Koboko'!G55,'05.08 Arua-Koboko'!G55,'02.08 Arua-Koboko-24h'!G55,'03.08 Arua-Koboko-24h'!G55,'06.08 Arua-Koboko'!G55)</f>
        <v>0.2857142857142857</v>
      </c>
      <c r="H55" s="49">
        <f>AVERAGE('31.07 Arua-Koboko'!H55,'01.08 Arua-Koboko'!H55,'04.08 Arua-Koboko'!H55,'05.08 Arua-Koboko'!H55,'02.08 Arua-Koboko-24h'!H55,'03.08 Arua-Koboko-24h'!H55,'06.08 Arua-Koboko'!H55)</f>
        <v>0.2857142857142857</v>
      </c>
      <c r="I55" s="49">
        <f>AVERAGE('31.07 Arua-Koboko'!I55,'01.08 Arua-Koboko'!I55,'04.08 Arua-Koboko'!I55,'05.08 Arua-Koboko'!I55,'02.08 Arua-Koboko-24h'!I55,'03.08 Arua-Koboko-24h'!I55,'06.08 Arua-Koboko'!I55)</f>
        <v>1.2857142857142858</v>
      </c>
      <c r="J55" s="49">
        <f>AVERAGE('31.07 Arua-Koboko'!J55,'01.08 Arua-Koboko'!J55,'04.08 Arua-Koboko'!J55,'05.08 Arua-Koboko'!J55,'02.08 Arua-Koboko-24h'!J55,'03.08 Arua-Koboko-24h'!J55,'06.08 Arua-Koboko'!J55)</f>
        <v>1.7142857142857142</v>
      </c>
      <c r="K55" s="49">
        <f>AVERAGE('31.07 Arua-Koboko'!K55,'01.08 Arua-Koboko'!K55,'04.08 Arua-Koboko'!K55,'05.08 Arua-Koboko'!K55,'02.08 Arua-Koboko-24h'!K55,'03.08 Arua-Koboko-24h'!K55,'06.08 Arua-Koboko'!K55)</f>
        <v>0.42857142857142855</v>
      </c>
      <c r="L55" s="49">
        <f>AVERAGE('31.07 Arua-Koboko'!L55,'01.08 Arua-Koboko'!L55,'04.08 Arua-Koboko'!L55,'05.08 Arua-Koboko'!L55,'02.08 Arua-Koboko-24h'!L55,'03.08 Arua-Koboko-24h'!L55,'06.08 Arua-Koboko'!L55)</f>
        <v>0</v>
      </c>
      <c r="M55" s="49">
        <f>AVERAGE('31.07 Arua-Koboko'!M55,'01.08 Arua-Koboko'!M55,'04.08 Arua-Koboko'!M55,'05.08 Arua-Koboko'!M55,'02.08 Arua-Koboko-24h'!M55,'03.08 Arua-Koboko-24h'!M55,'06.08 Arua-Koboko'!M55)</f>
        <v>30.285714285714285</v>
      </c>
      <c r="N55" s="49">
        <f>AVERAGE('31.07 Arua-Koboko'!N55,'01.08 Arua-Koboko'!N55,'04.08 Arua-Koboko'!N55,'05.08 Arua-Koboko'!N55,'02.08 Arua-Koboko-24h'!N55,'03.08 Arua-Koboko-24h'!N55,'06.08 Arua-Koboko'!N55)</f>
        <v>0</v>
      </c>
      <c r="O55" s="15">
        <f t="shared" si="0"/>
        <v>12.714285714285715</v>
      </c>
      <c r="P55" s="15">
        <f t="shared" si="1"/>
        <v>43</v>
      </c>
      <c r="R55" s="8"/>
      <c r="T55"/>
    </row>
    <row r="56" spans="2:20" ht="23.1" customHeight="1" x14ac:dyDescent="0.25">
      <c r="B56" s="23" t="s">
        <v>83</v>
      </c>
      <c r="C56" s="49">
        <f>AVERAGE('31.07 Arua-Koboko'!C56,'01.08 Arua-Koboko'!C56,'04.08 Arua-Koboko'!C56,'05.08 Arua-Koboko'!C56,'02.08 Arua-Koboko-24h'!C56,'03.08 Arua-Koboko-24h'!C56,'06.08 Arua-Koboko'!C56)</f>
        <v>4.1428571428571432</v>
      </c>
      <c r="D56" s="49">
        <f>AVERAGE('31.07 Arua-Koboko'!D56,'01.08 Arua-Koboko'!D56,'04.08 Arua-Koboko'!D56,'05.08 Arua-Koboko'!D56,'02.08 Arua-Koboko-24h'!D56,'03.08 Arua-Koboko-24h'!D56,'06.08 Arua-Koboko'!D56)</f>
        <v>0.2857142857142857</v>
      </c>
      <c r="E56" s="49">
        <f>AVERAGE('31.07 Arua-Koboko'!E56,'01.08 Arua-Koboko'!E56,'04.08 Arua-Koboko'!E56,'05.08 Arua-Koboko'!E56,'02.08 Arua-Koboko-24h'!E56,'03.08 Arua-Koboko-24h'!E56,'06.08 Arua-Koboko'!E56)</f>
        <v>0.2857142857142857</v>
      </c>
      <c r="F56" s="49">
        <f>AVERAGE('31.07 Arua-Koboko'!F56,'01.08 Arua-Koboko'!F56,'04.08 Arua-Koboko'!F56,'05.08 Arua-Koboko'!F56,'02.08 Arua-Koboko-24h'!F56,'03.08 Arua-Koboko-24h'!F56,'06.08 Arua-Koboko'!F56)</f>
        <v>0.42857142857142855</v>
      </c>
      <c r="G56" s="49">
        <f>AVERAGE('31.07 Arua-Koboko'!G56,'01.08 Arua-Koboko'!G56,'04.08 Arua-Koboko'!G56,'05.08 Arua-Koboko'!G56,'02.08 Arua-Koboko-24h'!G56,'03.08 Arua-Koboko-24h'!G56,'06.08 Arua-Koboko'!G56)</f>
        <v>0.14285714285714285</v>
      </c>
      <c r="H56" s="49">
        <f>AVERAGE('31.07 Arua-Koboko'!H56,'01.08 Arua-Koboko'!H56,'04.08 Arua-Koboko'!H56,'05.08 Arua-Koboko'!H56,'02.08 Arua-Koboko-24h'!H56,'03.08 Arua-Koboko-24h'!H56,'06.08 Arua-Koboko'!H56)</f>
        <v>0</v>
      </c>
      <c r="I56" s="49">
        <f>AVERAGE('31.07 Arua-Koboko'!I56,'01.08 Arua-Koboko'!I56,'04.08 Arua-Koboko'!I56,'05.08 Arua-Koboko'!I56,'02.08 Arua-Koboko-24h'!I56,'03.08 Arua-Koboko-24h'!I56,'06.08 Arua-Koboko'!I56)</f>
        <v>0.8571428571428571</v>
      </c>
      <c r="J56" s="49">
        <f>AVERAGE('31.07 Arua-Koboko'!J56,'01.08 Arua-Koboko'!J56,'04.08 Arua-Koboko'!J56,'05.08 Arua-Koboko'!J56,'02.08 Arua-Koboko-24h'!J56,'03.08 Arua-Koboko-24h'!J56,'06.08 Arua-Koboko'!J56)</f>
        <v>1.4285714285714286</v>
      </c>
      <c r="K56" s="49">
        <f>AVERAGE('31.07 Arua-Koboko'!K56,'01.08 Arua-Koboko'!K56,'04.08 Arua-Koboko'!K56,'05.08 Arua-Koboko'!K56,'02.08 Arua-Koboko-24h'!K56,'03.08 Arua-Koboko-24h'!K56,'06.08 Arua-Koboko'!K56)</f>
        <v>0.14285714285714285</v>
      </c>
      <c r="L56" s="49">
        <f>AVERAGE('31.07 Arua-Koboko'!L56,'01.08 Arua-Koboko'!L56,'04.08 Arua-Koboko'!L56,'05.08 Arua-Koboko'!L56,'02.08 Arua-Koboko-24h'!L56,'03.08 Arua-Koboko-24h'!L56,'06.08 Arua-Koboko'!L56)</f>
        <v>0.7142857142857143</v>
      </c>
      <c r="M56" s="49">
        <f>AVERAGE('31.07 Arua-Koboko'!M56,'01.08 Arua-Koboko'!M56,'04.08 Arua-Koboko'!M56,'05.08 Arua-Koboko'!M56,'02.08 Arua-Koboko-24h'!M56,'03.08 Arua-Koboko-24h'!M56,'06.08 Arua-Koboko'!M56)</f>
        <v>27.142857142857142</v>
      </c>
      <c r="N56" s="49">
        <f>AVERAGE('31.07 Arua-Koboko'!N56,'01.08 Arua-Koboko'!N56,'04.08 Arua-Koboko'!N56,'05.08 Arua-Koboko'!N56,'02.08 Arua-Koboko-24h'!N56,'03.08 Arua-Koboko-24h'!N56,'06.08 Arua-Koboko'!N56)</f>
        <v>0</v>
      </c>
      <c r="O56" s="15">
        <f t="shared" si="0"/>
        <v>8.4285714285714288</v>
      </c>
      <c r="P56" s="15">
        <f t="shared" si="1"/>
        <v>35.571428571428569</v>
      </c>
      <c r="R56" s="8"/>
      <c r="T56"/>
    </row>
    <row r="57" spans="2:20" ht="23.1" customHeight="1" x14ac:dyDescent="0.25">
      <c r="B57" s="23" t="s">
        <v>84</v>
      </c>
      <c r="C57" s="49">
        <f>AVERAGE('31.07 Arua-Koboko'!C57,'01.08 Arua-Koboko'!C57,'04.08 Arua-Koboko'!C57,'05.08 Arua-Koboko'!C57,'02.08 Arua-Koboko-24h'!C57,'03.08 Arua-Koboko-24h'!C57,'06.08 Arua-Koboko'!C57)</f>
        <v>6.4285714285714288</v>
      </c>
      <c r="D57" s="49">
        <f>AVERAGE('31.07 Arua-Koboko'!D57,'01.08 Arua-Koboko'!D57,'04.08 Arua-Koboko'!D57,'05.08 Arua-Koboko'!D57,'02.08 Arua-Koboko-24h'!D57,'03.08 Arua-Koboko-24h'!D57,'06.08 Arua-Koboko'!D57)</f>
        <v>0.5714285714285714</v>
      </c>
      <c r="E57" s="49">
        <f>AVERAGE('31.07 Arua-Koboko'!E57,'01.08 Arua-Koboko'!E57,'04.08 Arua-Koboko'!E57,'05.08 Arua-Koboko'!E57,'02.08 Arua-Koboko-24h'!E57,'03.08 Arua-Koboko-24h'!E57,'06.08 Arua-Koboko'!E57)</f>
        <v>1.1428571428571428</v>
      </c>
      <c r="F57" s="49">
        <f>AVERAGE('31.07 Arua-Koboko'!F57,'01.08 Arua-Koboko'!F57,'04.08 Arua-Koboko'!F57,'05.08 Arua-Koboko'!F57,'02.08 Arua-Koboko-24h'!F57,'03.08 Arua-Koboko-24h'!F57,'06.08 Arua-Koboko'!F57)</f>
        <v>0.5714285714285714</v>
      </c>
      <c r="G57" s="49">
        <f>AVERAGE('31.07 Arua-Koboko'!G57,'01.08 Arua-Koboko'!G57,'04.08 Arua-Koboko'!G57,'05.08 Arua-Koboko'!G57,'02.08 Arua-Koboko-24h'!G57,'03.08 Arua-Koboko-24h'!G57,'06.08 Arua-Koboko'!G57)</f>
        <v>0.42857142857142855</v>
      </c>
      <c r="H57" s="49">
        <f>AVERAGE('31.07 Arua-Koboko'!H57,'01.08 Arua-Koboko'!H57,'04.08 Arua-Koboko'!H57,'05.08 Arua-Koboko'!H57,'02.08 Arua-Koboko-24h'!H57,'03.08 Arua-Koboko-24h'!H57,'06.08 Arua-Koboko'!H57)</f>
        <v>0.5714285714285714</v>
      </c>
      <c r="I57" s="49">
        <f>AVERAGE('31.07 Arua-Koboko'!I57,'01.08 Arua-Koboko'!I57,'04.08 Arua-Koboko'!I57,'05.08 Arua-Koboko'!I57,'02.08 Arua-Koboko-24h'!I57,'03.08 Arua-Koboko-24h'!I57,'06.08 Arua-Koboko'!I57)</f>
        <v>1.1428571428571428</v>
      </c>
      <c r="J57" s="49">
        <f>AVERAGE('31.07 Arua-Koboko'!J57,'01.08 Arua-Koboko'!J57,'04.08 Arua-Koboko'!J57,'05.08 Arua-Koboko'!J57,'02.08 Arua-Koboko-24h'!J57,'03.08 Arua-Koboko-24h'!J57,'06.08 Arua-Koboko'!J57)</f>
        <v>1.4285714285714286</v>
      </c>
      <c r="K57" s="49">
        <f>AVERAGE('31.07 Arua-Koboko'!K57,'01.08 Arua-Koboko'!K57,'04.08 Arua-Koboko'!K57,'05.08 Arua-Koboko'!K57,'02.08 Arua-Koboko-24h'!K57,'03.08 Arua-Koboko-24h'!K57,'06.08 Arua-Koboko'!K57)</f>
        <v>0.5714285714285714</v>
      </c>
      <c r="L57" s="49">
        <f>AVERAGE('31.07 Arua-Koboko'!L57,'01.08 Arua-Koboko'!L57,'04.08 Arua-Koboko'!L57,'05.08 Arua-Koboko'!L57,'02.08 Arua-Koboko-24h'!L57,'03.08 Arua-Koboko-24h'!L57,'06.08 Arua-Koboko'!L57)</f>
        <v>0.42857142857142855</v>
      </c>
      <c r="M57" s="49">
        <f>AVERAGE('31.07 Arua-Koboko'!M57,'01.08 Arua-Koboko'!M57,'04.08 Arua-Koboko'!M57,'05.08 Arua-Koboko'!M57,'02.08 Arua-Koboko-24h'!M57,'03.08 Arua-Koboko-24h'!M57,'06.08 Arua-Koboko'!M57)</f>
        <v>31.571428571428573</v>
      </c>
      <c r="N57" s="49">
        <f>AVERAGE('31.07 Arua-Koboko'!N57,'01.08 Arua-Koboko'!N57,'04.08 Arua-Koboko'!N57,'05.08 Arua-Koboko'!N57,'02.08 Arua-Koboko-24h'!N57,'03.08 Arua-Koboko-24h'!N57,'06.08 Arua-Koboko'!N57)</f>
        <v>0</v>
      </c>
      <c r="O57" s="15">
        <f t="shared" si="0"/>
        <v>13.285714285714285</v>
      </c>
      <c r="P57" s="15">
        <f t="shared" si="1"/>
        <v>44.857142857142861</v>
      </c>
      <c r="R57" s="8"/>
      <c r="T57"/>
    </row>
    <row r="58" spans="2:20" ht="23.1" customHeight="1" x14ac:dyDescent="0.25">
      <c r="B58" s="23" t="s">
        <v>99</v>
      </c>
      <c r="C58" s="49">
        <f>AVERAGE('02.08 Arua-Koboko-24h'!C58,'03.08 Arua-Koboko-24h'!C58)</f>
        <v>9.5</v>
      </c>
      <c r="D58" s="49">
        <f>AVERAGE('02.08 Arua-Koboko-24h'!D58,'03.08 Arua-Koboko-24h'!D58)</f>
        <v>0</v>
      </c>
      <c r="E58" s="49">
        <f>AVERAGE('02.08 Arua-Koboko-24h'!E58,'03.08 Arua-Koboko-24h'!E58)</f>
        <v>0</v>
      </c>
      <c r="F58" s="49">
        <f>AVERAGE('02.08 Arua-Koboko-24h'!F58,'03.08 Arua-Koboko-24h'!F58)</f>
        <v>1</v>
      </c>
      <c r="G58" s="49">
        <f>AVERAGE('02.08 Arua-Koboko-24h'!G58,'03.08 Arua-Koboko-24h'!G58)</f>
        <v>0.5</v>
      </c>
      <c r="H58" s="49">
        <f>AVERAGE('02.08 Arua-Koboko-24h'!H58,'03.08 Arua-Koboko-24h'!H58)</f>
        <v>0</v>
      </c>
      <c r="I58" s="49">
        <f>AVERAGE('02.08 Arua-Koboko-24h'!I58,'03.08 Arua-Koboko-24h'!I58)</f>
        <v>1</v>
      </c>
      <c r="J58" s="49">
        <f>AVERAGE('02.08 Arua-Koboko-24h'!J58,'03.08 Arua-Koboko-24h'!J58)</f>
        <v>0</v>
      </c>
      <c r="K58" s="49">
        <f>AVERAGE('02.08 Arua-Koboko-24h'!K58,'03.08 Arua-Koboko-24h'!K58)</f>
        <v>0</v>
      </c>
      <c r="L58" s="49">
        <f>AVERAGE('02.08 Arua-Koboko-24h'!L58,'03.08 Arua-Koboko-24h'!L58)</f>
        <v>0</v>
      </c>
      <c r="M58" s="49">
        <f>AVERAGE('02.08 Arua-Koboko-24h'!M58,'03.08 Arua-Koboko-24h'!M58)</f>
        <v>23.5</v>
      </c>
      <c r="N58" s="49">
        <f>AVERAGE('02.08 Arua-Koboko-24h'!N58,'03.08 Arua-Koboko-24h'!N58)</f>
        <v>0</v>
      </c>
      <c r="O58" s="15">
        <f t="shared" si="0"/>
        <v>12</v>
      </c>
      <c r="P58" s="15">
        <f t="shared" si="1"/>
        <v>35.5</v>
      </c>
      <c r="R58" s="8"/>
      <c r="T58"/>
    </row>
    <row r="59" spans="2:20" ht="23.1" customHeight="1" x14ac:dyDescent="0.25">
      <c r="B59" s="23" t="s">
        <v>100</v>
      </c>
      <c r="C59" s="49">
        <f>AVERAGE('02.08 Arua-Koboko-24h'!C59,'03.08 Arua-Koboko-24h'!C59)</f>
        <v>7.5</v>
      </c>
      <c r="D59" s="49">
        <f>AVERAGE('02.08 Arua-Koboko-24h'!D59,'03.08 Arua-Koboko-24h'!D59)</f>
        <v>0</v>
      </c>
      <c r="E59" s="49">
        <f>AVERAGE('02.08 Arua-Koboko-24h'!E59,'03.08 Arua-Koboko-24h'!E59)</f>
        <v>0</v>
      </c>
      <c r="F59" s="49">
        <f>AVERAGE('02.08 Arua-Koboko-24h'!F59,'03.08 Arua-Koboko-24h'!F59)</f>
        <v>0.5</v>
      </c>
      <c r="G59" s="49">
        <f>AVERAGE('02.08 Arua-Koboko-24h'!G59,'03.08 Arua-Koboko-24h'!G59)</f>
        <v>0</v>
      </c>
      <c r="H59" s="49">
        <f>AVERAGE('02.08 Arua-Koboko-24h'!H59,'03.08 Arua-Koboko-24h'!H59)</f>
        <v>0</v>
      </c>
      <c r="I59" s="49">
        <f>AVERAGE('02.08 Arua-Koboko-24h'!I59,'03.08 Arua-Koboko-24h'!I59)</f>
        <v>0.5</v>
      </c>
      <c r="J59" s="49">
        <f>AVERAGE('02.08 Arua-Koboko-24h'!J59,'03.08 Arua-Koboko-24h'!J59)</f>
        <v>0.5</v>
      </c>
      <c r="K59" s="49">
        <f>AVERAGE('02.08 Arua-Koboko-24h'!K59,'03.08 Arua-Koboko-24h'!K59)</f>
        <v>0</v>
      </c>
      <c r="L59" s="49">
        <f>AVERAGE('02.08 Arua-Koboko-24h'!L59,'03.08 Arua-Koboko-24h'!L59)</f>
        <v>0</v>
      </c>
      <c r="M59" s="49">
        <f>AVERAGE('02.08 Arua-Koboko-24h'!M59,'03.08 Arua-Koboko-24h'!M59)</f>
        <v>50</v>
      </c>
      <c r="N59" s="49">
        <f>AVERAGE('02.08 Arua-Koboko-24h'!N59,'03.08 Arua-Koboko-24h'!N59)</f>
        <v>0</v>
      </c>
      <c r="O59" s="15">
        <f t="shared" si="0"/>
        <v>9</v>
      </c>
      <c r="P59" s="15">
        <f t="shared" si="1"/>
        <v>59</v>
      </c>
      <c r="R59" s="8"/>
      <c r="T59"/>
    </row>
    <row r="60" spans="2:20" ht="23.1" customHeight="1" x14ac:dyDescent="0.25">
      <c r="B60" s="23" t="s">
        <v>101</v>
      </c>
      <c r="C60" s="49">
        <f>AVERAGE('02.08 Arua-Koboko-24h'!C60,'03.08 Arua-Koboko-24h'!C60)</f>
        <v>9.5</v>
      </c>
      <c r="D60" s="49">
        <f>AVERAGE('02.08 Arua-Koboko-24h'!D60,'03.08 Arua-Koboko-24h'!D60)</f>
        <v>0.5</v>
      </c>
      <c r="E60" s="49">
        <f>AVERAGE('02.08 Arua-Koboko-24h'!E60,'03.08 Arua-Koboko-24h'!E60)</f>
        <v>1</v>
      </c>
      <c r="F60" s="49">
        <f>AVERAGE('02.08 Arua-Koboko-24h'!F60,'03.08 Arua-Koboko-24h'!F60)</f>
        <v>1</v>
      </c>
      <c r="G60" s="49">
        <f>AVERAGE('02.08 Arua-Koboko-24h'!G60,'03.08 Arua-Koboko-24h'!G60)</f>
        <v>0</v>
      </c>
      <c r="H60" s="49">
        <f>AVERAGE('02.08 Arua-Koboko-24h'!H60,'03.08 Arua-Koboko-24h'!H60)</f>
        <v>0</v>
      </c>
      <c r="I60" s="49">
        <f>AVERAGE('02.08 Arua-Koboko-24h'!I60,'03.08 Arua-Koboko-24h'!I60)</f>
        <v>0</v>
      </c>
      <c r="J60" s="49">
        <f>AVERAGE('02.08 Arua-Koboko-24h'!J60,'03.08 Arua-Koboko-24h'!J60)</f>
        <v>1</v>
      </c>
      <c r="K60" s="49">
        <f>AVERAGE('02.08 Arua-Koboko-24h'!K60,'03.08 Arua-Koboko-24h'!K60)</f>
        <v>0</v>
      </c>
      <c r="L60" s="49">
        <f>AVERAGE('02.08 Arua-Koboko-24h'!L60,'03.08 Arua-Koboko-24h'!L60)</f>
        <v>0</v>
      </c>
      <c r="M60" s="49">
        <f>AVERAGE('02.08 Arua-Koboko-24h'!M60,'03.08 Arua-Koboko-24h'!M60)</f>
        <v>56.5</v>
      </c>
      <c r="N60" s="49">
        <f>AVERAGE('02.08 Arua-Koboko-24h'!N60,'03.08 Arua-Koboko-24h'!N60)</f>
        <v>0</v>
      </c>
      <c r="O60" s="15">
        <f t="shared" si="0"/>
        <v>13</v>
      </c>
      <c r="P60" s="15">
        <f t="shared" si="1"/>
        <v>69.5</v>
      </c>
      <c r="R60" s="8"/>
      <c r="T60"/>
    </row>
    <row r="61" spans="2:20" ht="23.1" customHeight="1" x14ac:dyDescent="0.25">
      <c r="B61" s="23" t="s">
        <v>102</v>
      </c>
      <c r="C61" s="49">
        <f>AVERAGE('02.08 Arua-Koboko-24h'!C61,'03.08 Arua-Koboko-24h'!C61)</f>
        <v>13.5</v>
      </c>
      <c r="D61" s="49">
        <f>AVERAGE('02.08 Arua-Koboko-24h'!D61,'03.08 Arua-Koboko-24h'!D61)</f>
        <v>0.5</v>
      </c>
      <c r="E61" s="49">
        <f>AVERAGE('02.08 Arua-Koboko-24h'!E61,'03.08 Arua-Koboko-24h'!E61)</f>
        <v>0.5</v>
      </c>
      <c r="F61" s="49">
        <f>AVERAGE('02.08 Arua-Koboko-24h'!F61,'03.08 Arua-Koboko-24h'!F61)</f>
        <v>0</v>
      </c>
      <c r="G61" s="49">
        <f>AVERAGE('02.08 Arua-Koboko-24h'!G61,'03.08 Arua-Koboko-24h'!G61)</f>
        <v>0</v>
      </c>
      <c r="H61" s="49">
        <f>AVERAGE('02.08 Arua-Koboko-24h'!H61,'03.08 Arua-Koboko-24h'!H61)</f>
        <v>0</v>
      </c>
      <c r="I61" s="49">
        <f>AVERAGE('02.08 Arua-Koboko-24h'!I61,'03.08 Arua-Koboko-24h'!I61)</f>
        <v>0</v>
      </c>
      <c r="J61" s="49">
        <f>AVERAGE('02.08 Arua-Koboko-24h'!J61,'03.08 Arua-Koboko-24h'!J61)</f>
        <v>0.5</v>
      </c>
      <c r="K61" s="49">
        <f>AVERAGE('02.08 Arua-Koboko-24h'!K61,'03.08 Arua-Koboko-24h'!K61)</f>
        <v>0</v>
      </c>
      <c r="L61" s="49">
        <f>AVERAGE('02.08 Arua-Koboko-24h'!L61,'03.08 Arua-Koboko-24h'!L61)</f>
        <v>0</v>
      </c>
      <c r="M61" s="49">
        <f>AVERAGE('02.08 Arua-Koboko-24h'!M61,'03.08 Arua-Koboko-24h'!M61)</f>
        <v>54.5</v>
      </c>
      <c r="N61" s="49">
        <f>AVERAGE('02.08 Arua-Koboko-24h'!N61,'03.08 Arua-Koboko-24h'!N61)</f>
        <v>0</v>
      </c>
      <c r="O61" s="15">
        <f t="shared" si="0"/>
        <v>15</v>
      </c>
      <c r="P61" s="15">
        <f t="shared" si="1"/>
        <v>69.5</v>
      </c>
      <c r="R61" s="8"/>
      <c r="T61"/>
    </row>
    <row r="62" spans="2:20" ht="23.1" customHeight="1" x14ac:dyDescent="0.25">
      <c r="B62" s="23" t="s">
        <v>107</v>
      </c>
      <c r="C62" s="49">
        <f>AVERAGE('02.08 Arua-Koboko-24h'!C62,'03.08 Arua-Koboko-24h'!C62)</f>
        <v>9</v>
      </c>
      <c r="D62" s="49">
        <f>AVERAGE('02.08 Arua-Koboko-24h'!D62,'03.08 Arua-Koboko-24h'!D62)</f>
        <v>1</v>
      </c>
      <c r="E62" s="49">
        <f>AVERAGE('02.08 Arua-Koboko-24h'!E62,'03.08 Arua-Koboko-24h'!E62)</f>
        <v>1</v>
      </c>
      <c r="F62" s="49">
        <f>AVERAGE('02.08 Arua-Koboko-24h'!F62,'03.08 Arua-Koboko-24h'!F62)</f>
        <v>2</v>
      </c>
      <c r="G62" s="49">
        <f>AVERAGE('02.08 Arua-Koboko-24h'!G62,'03.08 Arua-Koboko-24h'!G62)</f>
        <v>0</v>
      </c>
      <c r="H62" s="49">
        <f>AVERAGE('02.08 Arua-Koboko-24h'!H62,'03.08 Arua-Koboko-24h'!H62)</f>
        <v>0.5</v>
      </c>
      <c r="I62" s="49">
        <f>AVERAGE('02.08 Arua-Koboko-24h'!I62,'03.08 Arua-Koboko-24h'!I62)</f>
        <v>1</v>
      </c>
      <c r="J62" s="49">
        <f>AVERAGE('02.08 Arua-Koboko-24h'!J62,'03.08 Arua-Koboko-24h'!J62)</f>
        <v>0</v>
      </c>
      <c r="K62" s="49">
        <f>AVERAGE('02.08 Arua-Koboko-24h'!K62,'03.08 Arua-Koboko-24h'!K62)</f>
        <v>0</v>
      </c>
      <c r="L62" s="49">
        <f>AVERAGE('02.08 Arua-Koboko-24h'!L62,'03.08 Arua-Koboko-24h'!L62)</f>
        <v>0</v>
      </c>
      <c r="M62" s="49">
        <f>AVERAGE('02.08 Arua-Koboko-24h'!M62,'03.08 Arua-Koboko-24h'!M62)</f>
        <v>53</v>
      </c>
      <c r="N62" s="49">
        <f>AVERAGE('02.08 Arua-Koboko-24h'!N62,'03.08 Arua-Koboko-24h'!N62)</f>
        <v>0</v>
      </c>
      <c r="O62" s="15">
        <f t="shared" si="0"/>
        <v>14.5</v>
      </c>
      <c r="P62" s="15">
        <f t="shared" si="1"/>
        <v>67.5</v>
      </c>
      <c r="R62" s="8"/>
      <c r="T62"/>
    </row>
    <row r="63" spans="2:20" ht="23.1" customHeight="1" x14ac:dyDescent="0.25">
      <c r="B63" s="23" t="s">
        <v>108</v>
      </c>
      <c r="C63" s="49">
        <f>AVERAGE('02.08 Arua-Koboko-24h'!C63,'03.08 Arua-Koboko-24h'!C63)</f>
        <v>4.5</v>
      </c>
      <c r="D63" s="49">
        <f>AVERAGE('02.08 Arua-Koboko-24h'!D63,'03.08 Arua-Koboko-24h'!D63)</f>
        <v>0.5</v>
      </c>
      <c r="E63" s="49">
        <f>AVERAGE('02.08 Arua-Koboko-24h'!E63,'03.08 Arua-Koboko-24h'!E63)</f>
        <v>1</v>
      </c>
      <c r="F63" s="49">
        <f>AVERAGE('02.08 Arua-Koboko-24h'!F63,'03.08 Arua-Koboko-24h'!F63)</f>
        <v>1</v>
      </c>
      <c r="G63" s="49">
        <f>AVERAGE('02.08 Arua-Koboko-24h'!G63,'03.08 Arua-Koboko-24h'!G63)</f>
        <v>0</v>
      </c>
      <c r="H63" s="49">
        <f>AVERAGE('02.08 Arua-Koboko-24h'!H63,'03.08 Arua-Koboko-24h'!H63)</f>
        <v>0</v>
      </c>
      <c r="I63" s="49">
        <f>AVERAGE('02.08 Arua-Koboko-24h'!I63,'03.08 Arua-Koboko-24h'!I63)</f>
        <v>1</v>
      </c>
      <c r="J63" s="49">
        <f>AVERAGE('02.08 Arua-Koboko-24h'!J63,'03.08 Arua-Koboko-24h'!J63)</f>
        <v>0</v>
      </c>
      <c r="K63" s="49">
        <f>AVERAGE('02.08 Arua-Koboko-24h'!K63,'03.08 Arua-Koboko-24h'!K63)</f>
        <v>1</v>
      </c>
      <c r="L63" s="49">
        <f>AVERAGE('02.08 Arua-Koboko-24h'!L63,'03.08 Arua-Koboko-24h'!L63)</f>
        <v>0.5</v>
      </c>
      <c r="M63" s="49">
        <f>AVERAGE('02.08 Arua-Koboko-24h'!M63,'03.08 Arua-Koboko-24h'!M63)</f>
        <v>47</v>
      </c>
      <c r="N63" s="49">
        <f>AVERAGE('02.08 Arua-Koboko-24h'!N63,'03.08 Arua-Koboko-24h'!N63)</f>
        <v>0</v>
      </c>
      <c r="O63" s="15">
        <f t="shared" si="0"/>
        <v>9.5</v>
      </c>
      <c r="P63" s="15">
        <f t="shared" si="1"/>
        <v>56.5</v>
      </c>
      <c r="R63" s="8"/>
      <c r="T63"/>
    </row>
    <row r="64" spans="2:20" ht="23.1" customHeight="1" x14ac:dyDescent="0.25">
      <c r="B64" s="23" t="s">
        <v>109</v>
      </c>
      <c r="C64" s="49">
        <f>AVERAGE('02.08 Arua-Koboko-24h'!C64,'03.08 Arua-Koboko-24h'!C64)</f>
        <v>4</v>
      </c>
      <c r="D64" s="49">
        <f>AVERAGE('02.08 Arua-Koboko-24h'!D64,'03.08 Arua-Koboko-24h'!D64)</f>
        <v>0</v>
      </c>
      <c r="E64" s="49">
        <f>AVERAGE('02.08 Arua-Koboko-24h'!E64,'03.08 Arua-Koboko-24h'!E64)</f>
        <v>0</v>
      </c>
      <c r="F64" s="49">
        <f>AVERAGE('02.08 Arua-Koboko-24h'!F64,'03.08 Arua-Koboko-24h'!F64)</f>
        <v>0</v>
      </c>
      <c r="G64" s="49">
        <f>AVERAGE('02.08 Arua-Koboko-24h'!G64,'03.08 Arua-Koboko-24h'!G64)</f>
        <v>0</v>
      </c>
      <c r="H64" s="49">
        <f>AVERAGE('02.08 Arua-Koboko-24h'!H64,'03.08 Arua-Koboko-24h'!H64)</f>
        <v>0</v>
      </c>
      <c r="I64" s="49">
        <f>AVERAGE('02.08 Arua-Koboko-24h'!I64,'03.08 Arua-Koboko-24h'!I64)</f>
        <v>0</v>
      </c>
      <c r="J64" s="49">
        <f>AVERAGE('02.08 Arua-Koboko-24h'!J64,'03.08 Arua-Koboko-24h'!J64)</f>
        <v>0</v>
      </c>
      <c r="K64" s="49">
        <f>AVERAGE('02.08 Arua-Koboko-24h'!K64,'03.08 Arua-Koboko-24h'!K64)</f>
        <v>0.5</v>
      </c>
      <c r="L64" s="49">
        <f>AVERAGE('02.08 Arua-Koboko-24h'!L64,'03.08 Arua-Koboko-24h'!L64)</f>
        <v>0</v>
      </c>
      <c r="M64" s="49">
        <f>AVERAGE('02.08 Arua-Koboko-24h'!M64,'03.08 Arua-Koboko-24h'!M64)</f>
        <v>37</v>
      </c>
      <c r="N64" s="49">
        <f>AVERAGE('02.08 Arua-Koboko-24h'!N64,'03.08 Arua-Koboko-24h'!N64)</f>
        <v>0</v>
      </c>
      <c r="O64" s="15">
        <f t="shared" si="0"/>
        <v>4.5</v>
      </c>
      <c r="P64" s="15">
        <f t="shared" si="1"/>
        <v>41.5</v>
      </c>
      <c r="R64" s="8"/>
      <c r="T64"/>
    </row>
    <row r="65" spans="2:20" ht="23.1" customHeight="1" x14ac:dyDescent="0.25">
      <c r="B65" s="23" t="s">
        <v>158</v>
      </c>
      <c r="C65" s="49">
        <f>AVERAGE('02.08 Arua-Koboko-24h'!C65,'03.08 Arua-Koboko-24h'!C65)</f>
        <v>2.5</v>
      </c>
      <c r="D65" s="49">
        <f>AVERAGE('02.08 Arua-Koboko-24h'!D65,'03.08 Arua-Koboko-24h'!D65)</f>
        <v>1</v>
      </c>
      <c r="E65" s="49">
        <f>AVERAGE('02.08 Arua-Koboko-24h'!E65,'03.08 Arua-Koboko-24h'!E65)</f>
        <v>1.5</v>
      </c>
      <c r="F65" s="49">
        <f>AVERAGE('02.08 Arua-Koboko-24h'!F65,'03.08 Arua-Koboko-24h'!F65)</f>
        <v>0</v>
      </c>
      <c r="G65" s="49">
        <f>AVERAGE('02.08 Arua-Koboko-24h'!G65,'03.08 Arua-Koboko-24h'!G65)</f>
        <v>0</v>
      </c>
      <c r="H65" s="49">
        <f>AVERAGE('02.08 Arua-Koboko-24h'!H65,'03.08 Arua-Koboko-24h'!H65)</f>
        <v>0</v>
      </c>
      <c r="I65" s="49">
        <f>AVERAGE('02.08 Arua-Koboko-24h'!I65,'03.08 Arua-Koboko-24h'!I65)</f>
        <v>0.5</v>
      </c>
      <c r="J65" s="49">
        <f>AVERAGE('02.08 Arua-Koboko-24h'!J65,'03.08 Arua-Koboko-24h'!J65)</f>
        <v>0</v>
      </c>
      <c r="K65" s="49">
        <f>AVERAGE('02.08 Arua-Koboko-24h'!K65,'03.08 Arua-Koboko-24h'!K65)</f>
        <v>0</v>
      </c>
      <c r="L65" s="49">
        <f>AVERAGE('02.08 Arua-Koboko-24h'!L65,'03.08 Arua-Koboko-24h'!L65)</f>
        <v>0</v>
      </c>
      <c r="M65" s="49">
        <f>AVERAGE('02.08 Arua-Koboko-24h'!M65,'03.08 Arua-Koboko-24h'!M65)</f>
        <v>30</v>
      </c>
      <c r="N65" s="49">
        <f>AVERAGE('02.08 Arua-Koboko-24h'!N65,'03.08 Arua-Koboko-24h'!N65)</f>
        <v>0</v>
      </c>
      <c r="O65" s="15">
        <f t="shared" si="0"/>
        <v>5.5</v>
      </c>
      <c r="P65" s="15">
        <f t="shared" si="1"/>
        <v>35.5</v>
      </c>
      <c r="R65" s="8"/>
      <c r="T65"/>
    </row>
    <row r="66" spans="2:20" ht="23.1" customHeight="1" x14ac:dyDescent="0.25">
      <c r="B66" s="23" t="s">
        <v>103</v>
      </c>
      <c r="C66" s="49">
        <f>AVERAGE('02.08 Arua-Koboko-24h'!C66,'03.08 Arua-Koboko-24h'!C66)</f>
        <v>2</v>
      </c>
      <c r="D66" s="49">
        <f>AVERAGE('02.08 Arua-Koboko-24h'!D66,'03.08 Arua-Koboko-24h'!D66)</f>
        <v>0.5</v>
      </c>
      <c r="E66" s="49">
        <f>AVERAGE('02.08 Arua-Koboko-24h'!E66,'03.08 Arua-Koboko-24h'!E66)</f>
        <v>0.5</v>
      </c>
      <c r="F66" s="49">
        <f>AVERAGE('02.08 Arua-Koboko-24h'!F66,'03.08 Arua-Koboko-24h'!F66)</f>
        <v>0</v>
      </c>
      <c r="G66" s="49">
        <f>AVERAGE('02.08 Arua-Koboko-24h'!G66,'03.08 Arua-Koboko-24h'!G66)</f>
        <v>0</v>
      </c>
      <c r="H66" s="49">
        <f>AVERAGE('02.08 Arua-Koboko-24h'!H66,'03.08 Arua-Koboko-24h'!H66)</f>
        <v>0</v>
      </c>
      <c r="I66" s="49">
        <f>AVERAGE('02.08 Arua-Koboko-24h'!I66,'03.08 Arua-Koboko-24h'!I66)</f>
        <v>0.5</v>
      </c>
      <c r="J66" s="49">
        <f>AVERAGE('02.08 Arua-Koboko-24h'!J66,'03.08 Arua-Koboko-24h'!J66)</f>
        <v>0</v>
      </c>
      <c r="K66" s="49">
        <f>AVERAGE('02.08 Arua-Koboko-24h'!K66,'03.08 Arua-Koboko-24h'!K66)</f>
        <v>0</v>
      </c>
      <c r="L66" s="49">
        <f>AVERAGE('02.08 Arua-Koboko-24h'!L66,'03.08 Arua-Koboko-24h'!L66)</f>
        <v>0.5</v>
      </c>
      <c r="M66" s="49">
        <f>AVERAGE('02.08 Arua-Koboko-24h'!M66,'03.08 Arua-Koboko-24h'!M66)</f>
        <v>31.5</v>
      </c>
      <c r="N66" s="49">
        <f>AVERAGE('02.08 Arua-Koboko-24h'!N66,'03.08 Arua-Koboko-24h'!N66)</f>
        <v>0</v>
      </c>
      <c r="O66" s="15">
        <f t="shared" si="0"/>
        <v>4</v>
      </c>
      <c r="P66" s="15">
        <f t="shared" si="1"/>
        <v>35.5</v>
      </c>
      <c r="R66" s="8"/>
      <c r="T66"/>
    </row>
    <row r="67" spans="2:20" ht="23.1" customHeight="1" x14ac:dyDescent="0.25">
      <c r="B67" s="23" t="s">
        <v>104</v>
      </c>
      <c r="C67" s="49">
        <f>AVERAGE('02.08 Arua-Koboko-24h'!C67,'03.08 Arua-Koboko-24h'!C67)</f>
        <v>1.5</v>
      </c>
      <c r="D67" s="49">
        <f>AVERAGE('02.08 Arua-Koboko-24h'!D67,'03.08 Arua-Koboko-24h'!D67)</f>
        <v>1</v>
      </c>
      <c r="E67" s="49">
        <f>AVERAGE('02.08 Arua-Koboko-24h'!E67,'03.08 Arua-Koboko-24h'!E67)</f>
        <v>1.5</v>
      </c>
      <c r="F67" s="49">
        <f>AVERAGE('02.08 Arua-Koboko-24h'!F67,'03.08 Arua-Koboko-24h'!F67)</f>
        <v>0</v>
      </c>
      <c r="G67" s="49">
        <f>AVERAGE('02.08 Arua-Koboko-24h'!G67,'03.08 Arua-Koboko-24h'!G67)</f>
        <v>0</v>
      </c>
      <c r="H67" s="49">
        <f>AVERAGE('02.08 Arua-Koboko-24h'!H67,'03.08 Arua-Koboko-24h'!H67)</f>
        <v>0</v>
      </c>
      <c r="I67" s="49">
        <f>AVERAGE('02.08 Arua-Koboko-24h'!I67,'03.08 Arua-Koboko-24h'!I67)</f>
        <v>0</v>
      </c>
      <c r="J67" s="49">
        <f>AVERAGE('02.08 Arua-Koboko-24h'!J67,'03.08 Arua-Koboko-24h'!J67)</f>
        <v>0</v>
      </c>
      <c r="K67" s="49">
        <f>AVERAGE('02.08 Arua-Koboko-24h'!K67,'03.08 Arua-Koboko-24h'!K67)</f>
        <v>0</v>
      </c>
      <c r="L67" s="49">
        <f>AVERAGE('02.08 Arua-Koboko-24h'!L67,'03.08 Arua-Koboko-24h'!L67)</f>
        <v>0</v>
      </c>
      <c r="M67" s="49">
        <f>AVERAGE('02.08 Arua-Koboko-24h'!M67,'03.08 Arua-Koboko-24h'!M67)</f>
        <v>19.5</v>
      </c>
      <c r="N67" s="49">
        <f>AVERAGE('02.08 Arua-Koboko-24h'!N67,'03.08 Arua-Koboko-24h'!N67)</f>
        <v>0</v>
      </c>
      <c r="O67" s="15">
        <f t="shared" si="0"/>
        <v>4</v>
      </c>
      <c r="P67" s="15">
        <f t="shared" si="1"/>
        <v>23.5</v>
      </c>
      <c r="R67" s="8"/>
      <c r="T67"/>
    </row>
    <row r="68" spans="2:20" ht="23.1" customHeight="1" x14ac:dyDescent="0.25">
      <c r="B68" s="23" t="s">
        <v>105</v>
      </c>
      <c r="C68" s="49">
        <f>AVERAGE('02.08 Arua-Koboko-24h'!C68,'03.08 Arua-Koboko-24h'!C68)</f>
        <v>1.5</v>
      </c>
      <c r="D68" s="49">
        <f>AVERAGE('02.08 Arua-Koboko-24h'!D68,'03.08 Arua-Koboko-24h'!D68)</f>
        <v>0</v>
      </c>
      <c r="E68" s="49">
        <f>AVERAGE('02.08 Arua-Koboko-24h'!E68,'03.08 Arua-Koboko-24h'!E68)</f>
        <v>0</v>
      </c>
      <c r="F68" s="49">
        <f>AVERAGE('02.08 Arua-Koboko-24h'!F68,'03.08 Arua-Koboko-24h'!F68)</f>
        <v>0</v>
      </c>
      <c r="G68" s="49">
        <f>AVERAGE('02.08 Arua-Koboko-24h'!G68,'03.08 Arua-Koboko-24h'!G68)</f>
        <v>0</v>
      </c>
      <c r="H68" s="49">
        <f>AVERAGE('02.08 Arua-Koboko-24h'!H68,'03.08 Arua-Koboko-24h'!H68)</f>
        <v>0</v>
      </c>
      <c r="I68" s="49">
        <f>AVERAGE('02.08 Arua-Koboko-24h'!I68,'03.08 Arua-Koboko-24h'!I68)</f>
        <v>0.5</v>
      </c>
      <c r="J68" s="49">
        <f>AVERAGE('02.08 Arua-Koboko-24h'!J68,'03.08 Arua-Koboko-24h'!J68)</f>
        <v>0</v>
      </c>
      <c r="K68" s="49">
        <f>AVERAGE('02.08 Arua-Koboko-24h'!K68,'03.08 Arua-Koboko-24h'!K68)</f>
        <v>0</v>
      </c>
      <c r="L68" s="49">
        <f>AVERAGE('02.08 Arua-Koboko-24h'!L68,'03.08 Arua-Koboko-24h'!L68)</f>
        <v>0</v>
      </c>
      <c r="M68" s="49">
        <f>AVERAGE('02.08 Arua-Koboko-24h'!M68,'03.08 Arua-Koboko-24h'!M68)</f>
        <v>24.5</v>
      </c>
      <c r="N68" s="49">
        <f>AVERAGE('02.08 Arua-Koboko-24h'!N68,'03.08 Arua-Koboko-24h'!N68)</f>
        <v>0</v>
      </c>
      <c r="O68" s="15">
        <f t="shared" si="0"/>
        <v>2</v>
      </c>
      <c r="P68" s="15">
        <f t="shared" si="1"/>
        <v>26.5</v>
      </c>
      <c r="R68" s="8"/>
      <c r="T68"/>
    </row>
    <row r="69" spans="2:20" ht="23.1" customHeight="1" x14ac:dyDescent="0.25">
      <c r="B69" s="23" t="s">
        <v>106</v>
      </c>
      <c r="C69" s="49">
        <f>AVERAGE('02.08 Arua-Koboko-24h'!C69,'03.08 Arua-Koboko-24h'!C69)</f>
        <v>0.5</v>
      </c>
      <c r="D69" s="49">
        <f>AVERAGE('02.08 Arua-Koboko-24h'!D69,'03.08 Arua-Koboko-24h'!D69)</f>
        <v>0.5</v>
      </c>
      <c r="E69" s="49">
        <f>AVERAGE('02.08 Arua-Koboko-24h'!E69,'03.08 Arua-Koboko-24h'!E69)</f>
        <v>0.5</v>
      </c>
      <c r="F69" s="49">
        <f>AVERAGE('02.08 Arua-Koboko-24h'!F69,'03.08 Arua-Koboko-24h'!F69)</f>
        <v>0.5</v>
      </c>
      <c r="G69" s="49">
        <f>AVERAGE('02.08 Arua-Koboko-24h'!G69,'03.08 Arua-Koboko-24h'!G69)</f>
        <v>0</v>
      </c>
      <c r="H69" s="49">
        <f>AVERAGE('02.08 Arua-Koboko-24h'!H69,'03.08 Arua-Koboko-24h'!H69)</f>
        <v>0</v>
      </c>
      <c r="I69" s="49">
        <f>AVERAGE('02.08 Arua-Koboko-24h'!I69,'03.08 Arua-Koboko-24h'!I69)</f>
        <v>0</v>
      </c>
      <c r="J69" s="49">
        <f>AVERAGE('02.08 Arua-Koboko-24h'!J69,'03.08 Arua-Koboko-24h'!J69)</f>
        <v>0</v>
      </c>
      <c r="K69" s="49">
        <f>AVERAGE('02.08 Arua-Koboko-24h'!K69,'03.08 Arua-Koboko-24h'!K69)</f>
        <v>0</v>
      </c>
      <c r="L69" s="49">
        <f>AVERAGE('02.08 Arua-Koboko-24h'!L69,'03.08 Arua-Koboko-24h'!L69)</f>
        <v>0</v>
      </c>
      <c r="M69" s="49">
        <f>AVERAGE('02.08 Arua-Koboko-24h'!M69,'03.08 Arua-Koboko-24h'!M69)</f>
        <v>20</v>
      </c>
      <c r="N69" s="49">
        <f>AVERAGE('02.08 Arua-Koboko-24h'!N69,'03.08 Arua-Koboko-24h'!N69)</f>
        <v>0</v>
      </c>
      <c r="O69" s="15">
        <f t="shared" si="0"/>
        <v>2</v>
      </c>
      <c r="P69" s="15">
        <f t="shared" si="1"/>
        <v>22</v>
      </c>
      <c r="R69" s="8"/>
      <c r="T69"/>
    </row>
    <row r="70" spans="2:20" ht="23.1" customHeight="1" x14ac:dyDescent="0.25">
      <c r="B70" s="23" t="s">
        <v>110</v>
      </c>
      <c r="C70" s="49">
        <f>AVERAGE('02.08 Arua-Koboko-24h'!C70,'03.08 Arua-Koboko-24h'!C70)</f>
        <v>4.5</v>
      </c>
      <c r="D70" s="49">
        <f>AVERAGE('02.08 Arua-Koboko-24h'!D70,'03.08 Arua-Koboko-24h'!D70)</f>
        <v>0</v>
      </c>
      <c r="E70" s="49">
        <f>AVERAGE('02.08 Arua-Koboko-24h'!E70,'03.08 Arua-Koboko-24h'!E70)</f>
        <v>0</v>
      </c>
      <c r="F70" s="49">
        <f>AVERAGE('02.08 Arua-Koboko-24h'!F70,'03.08 Arua-Koboko-24h'!F70)</f>
        <v>0</v>
      </c>
      <c r="G70" s="49">
        <f>AVERAGE('02.08 Arua-Koboko-24h'!G70,'03.08 Arua-Koboko-24h'!G70)</f>
        <v>0</v>
      </c>
      <c r="H70" s="49">
        <f>AVERAGE('02.08 Arua-Koboko-24h'!H70,'03.08 Arua-Koboko-24h'!H70)</f>
        <v>0</v>
      </c>
      <c r="I70" s="49">
        <f>AVERAGE('02.08 Arua-Koboko-24h'!I70,'03.08 Arua-Koboko-24h'!I70)</f>
        <v>0.5</v>
      </c>
      <c r="J70" s="49">
        <f>AVERAGE('02.08 Arua-Koboko-24h'!J70,'03.08 Arua-Koboko-24h'!J70)</f>
        <v>0</v>
      </c>
      <c r="K70" s="49">
        <f>AVERAGE('02.08 Arua-Koboko-24h'!K70,'03.08 Arua-Koboko-24h'!K70)</f>
        <v>0</v>
      </c>
      <c r="L70" s="49">
        <f>AVERAGE('02.08 Arua-Koboko-24h'!L70,'03.08 Arua-Koboko-24h'!L70)</f>
        <v>0</v>
      </c>
      <c r="M70" s="49">
        <f>AVERAGE('02.08 Arua-Koboko-24h'!M70,'03.08 Arua-Koboko-24h'!M70)</f>
        <v>12.5</v>
      </c>
      <c r="N70" s="49">
        <f>AVERAGE('02.08 Arua-Koboko-24h'!N70,'03.08 Arua-Koboko-24h'!N70)</f>
        <v>0</v>
      </c>
      <c r="O70" s="15">
        <f t="shared" si="0"/>
        <v>5</v>
      </c>
      <c r="P70" s="15">
        <f t="shared" si="1"/>
        <v>17.5</v>
      </c>
      <c r="R70" s="8"/>
      <c r="T70"/>
    </row>
    <row r="71" spans="2:20" ht="23.1" customHeight="1" x14ac:dyDescent="0.25">
      <c r="B71" s="23" t="s">
        <v>111</v>
      </c>
      <c r="C71" s="49">
        <f>AVERAGE('02.08 Arua-Koboko-24h'!C71,'03.08 Arua-Koboko-24h'!C71)</f>
        <v>0.5</v>
      </c>
      <c r="D71" s="49">
        <f>AVERAGE('02.08 Arua-Koboko-24h'!D71,'03.08 Arua-Koboko-24h'!D71)</f>
        <v>0</v>
      </c>
      <c r="E71" s="49">
        <f>AVERAGE('02.08 Arua-Koboko-24h'!E71,'03.08 Arua-Koboko-24h'!E71)</f>
        <v>0</v>
      </c>
      <c r="F71" s="49">
        <f>AVERAGE('02.08 Arua-Koboko-24h'!F71,'03.08 Arua-Koboko-24h'!F71)</f>
        <v>1</v>
      </c>
      <c r="G71" s="49">
        <f>AVERAGE('02.08 Arua-Koboko-24h'!G71,'03.08 Arua-Koboko-24h'!G71)</f>
        <v>0</v>
      </c>
      <c r="H71" s="49">
        <f>AVERAGE('02.08 Arua-Koboko-24h'!H71,'03.08 Arua-Koboko-24h'!H71)</f>
        <v>0</v>
      </c>
      <c r="I71" s="49">
        <f>AVERAGE('02.08 Arua-Koboko-24h'!I71,'03.08 Arua-Koboko-24h'!I71)</f>
        <v>0</v>
      </c>
      <c r="J71" s="49">
        <f>AVERAGE('02.08 Arua-Koboko-24h'!J71,'03.08 Arua-Koboko-24h'!J71)</f>
        <v>0</v>
      </c>
      <c r="K71" s="49">
        <f>AVERAGE('02.08 Arua-Koboko-24h'!K71,'03.08 Arua-Koboko-24h'!K71)</f>
        <v>0</v>
      </c>
      <c r="L71" s="49">
        <f>AVERAGE('02.08 Arua-Koboko-24h'!L71,'03.08 Arua-Koboko-24h'!L71)</f>
        <v>0</v>
      </c>
      <c r="M71" s="49">
        <f>AVERAGE('02.08 Arua-Koboko-24h'!M71,'03.08 Arua-Koboko-24h'!M71)</f>
        <v>10.5</v>
      </c>
      <c r="N71" s="49">
        <f>AVERAGE('02.08 Arua-Koboko-24h'!N71,'03.08 Arua-Koboko-24h'!N71)</f>
        <v>0</v>
      </c>
      <c r="O71" s="15">
        <f t="shared" si="0"/>
        <v>1.5</v>
      </c>
      <c r="P71" s="15">
        <f t="shared" si="1"/>
        <v>12</v>
      </c>
      <c r="R71" s="8"/>
      <c r="T71"/>
    </row>
    <row r="72" spans="2:20" ht="23.1" customHeight="1" x14ac:dyDescent="0.25">
      <c r="B72" s="23" t="s">
        <v>112</v>
      </c>
      <c r="C72" s="49">
        <f>AVERAGE('02.08 Arua-Koboko-24h'!C72,'03.08 Arua-Koboko-24h'!C72)</f>
        <v>1</v>
      </c>
      <c r="D72" s="49">
        <f>AVERAGE('02.08 Arua-Koboko-24h'!D72,'03.08 Arua-Koboko-24h'!D72)</f>
        <v>0</v>
      </c>
      <c r="E72" s="49">
        <f>AVERAGE('02.08 Arua-Koboko-24h'!E72,'03.08 Arua-Koboko-24h'!E72)</f>
        <v>0</v>
      </c>
      <c r="F72" s="49">
        <f>AVERAGE('02.08 Arua-Koboko-24h'!F72,'03.08 Arua-Koboko-24h'!F72)</f>
        <v>0</v>
      </c>
      <c r="G72" s="49">
        <f>AVERAGE('02.08 Arua-Koboko-24h'!G72,'03.08 Arua-Koboko-24h'!G72)</f>
        <v>0</v>
      </c>
      <c r="H72" s="49">
        <f>AVERAGE('02.08 Arua-Koboko-24h'!H72,'03.08 Arua-Koboko-24h'!H72)</f>
        <v>0</v>
      </c>
      <c r="I72" s="49">
        <f>AVERAGE('02.08 Arua-Koboko-24h'!I72,'03.08 Arua-Koboko-24h'!I72)</f>
        <v>0.5</v>
      </c>
      <c r="J72" s="49">
        <f>AVERAGE('02.08 Arua-Koboko-24h'!J72,'03.08 Arua-Koboko-24h'!J72)</f>
        <v>0</v>
      </c>
      <c r="K72" s="49">
        <f>AVERAGE('02.08 Arua-Koboko-24h'!K72,'03.08 Arua-Koboko-24h'!K72)</f>
        <v>0</v>
      </c>
      <c r="L72" s="49">
        <f>AVERAGE('02.08 Arua-Koboko-24h'!L72,'03.08 Arua-Koboko-24h'!L72)</f>
        <v>0</v>
      </c>
      <c r="M72" s="49">
        <f>AVERAGE('02.08 Arua-Koboko-24h'!M72,'03.08 Arua-Koboko-24h'!M72)</f>
        <v>14</v>
      </c>
      <c r="N72" s="49">
        <f>AVERAGE('02.08 Arua-Koboko-24h'!N72,'03.08 Arua-Koboko-24h'!N72)</f>
        <v>0</v>
      </c>
      <c r="O72" s="15">
        <f t="shared" si="0"/>
        <v>1.5</v>
      </c>
      <c r="P72" s="15">
        <f t="shared" si="1"/>
        <v>15.5</v>
      </c>
      <c r="R72" s="8"/>
      <c r="T72"/>
    </row>
    <row r="73" spans="2:20" ht="23.1" customHeight="1" x14ac:dyDescent="0.25">
      <c r="B73" s="23" t="s">
        <v>113</v>
      </c>
      <c r="C73" s="49">
        <f>AVERAGE('02.08 Arua-Koboko-24h'!C73,'03.08 Arua-Koboko-24h'!C73)</f>
        <v>0.5</v>
      </c>
      <c r="D73" s="49">
        <f>AVERAGE('02.08 Arua-Koboko-24h'!D73,'03.08 Arua-Koboko-24h'!D73)</f>
        <v>0</v>
      </c>
      <c r="E73" s="49">
        <f>AVERAGE('02.08 Arua-Koboko-24h'!E73,'03.08 Arua-Koboko-24h'!E73)</f>
        <v>0</v>
      </c>
      <c r="F73" s="49">
        <f>AVERAGE('02.08 Arua-Koboko-24h'!F73,'03.08 Arua-Koboko-24h'!F73)</f>
        <v>0.5</v>
      </c>
      <c r="G73" s="49">
        <f>AVERAGE('02.08 Arua-Koboko-24h'!G73,'03.08 Arua-Koboko-24h'!G73)</f>
        <v>0</v>
      </c>
      <c r="H73" s="49">
        <f>AVERAGE('02.08 Arua-Koboko-24h'!H73,'03.08 Arua-Koboko-24h'!H73)</f>
        <v>0</v>
      </c>
      <c r="I73" s="49">
        <f>AVERAGE('02.08 Arua-Koboko-24h'!I73,'03.08 Arua-Koboko-24h'!I73)</f>
        <v>0</v>
      </c>
      <c r="J73" s="49">
        <f>AVERAGE('02.08 Arua-Koboko-24h'!J73,'03.08 Arua-Koboko-24h'!J73)</f>
        <v>0</v>
      </c>
      <c r="K73" s="49">
        <f>AVERAGE('02.08 Arua-Koboko-24h'!K73,'03.08 Arua-Koboko-24h'!K73)</f>
        <v>0</v>
      </c>
      <c r="L73" s="49">
        <f>AVERAGE('02.08 Arua-Koboko-24h'!L73,'03.08 Arua-Koboko-24h'!L73)</f>
        <v>0</v>
      </c>
      <c r="M73" s="49">
        <f>AVERAGE('02.08 Arua-Koboko-24h'!M73,'03.08 Arua-Koboko-24h'!M73)</f>
        <v>9.5</v>
      </c>
      <c r="N73" s="49">
        <f>AVERAGE('02.08 Arua-Koboko-24h'!N73,'03.08 Arua-Koboko-24h'!N73)</f>
        <v>0</v>
      </c>
      <c r="O73" s="15">
        <f t="shared" si="0"/>
        <v>1</v>
      </c>
      <c r="P73" s="15">
        <f t="shared" si="1"/>
        <v>10.5</v>
      </c>
      <c r="R73" s="8"/>
      <c r="T73"/>
    </row>
    <row r="74" spans="2:20" ht="23.1" customHeight="1" x14ac:dyDescent="0.25">
      <c r="B74" s="23" t="s">
        <v>114</v>
      </c>
      <c r="C74" s="49">
        <f>AVERAGE('02.08 Arua-Koboko-24h'!C74,'03.08 Arua-Koboko-24h'!C74)</f>
        <v>0</v>
      </c>
      <c r="D74" s="49">
        <f>AVERAGE('02.08 Arua-Koboko-24h'!D74,'03.08 Arua-Koboko-24h'!D74)</f>
        <v>0</v>
      </c>
      <c r="E74" s="49">
        <f>AVERAGE('02.08 Arua-Koboko-24h'!E74,'03.08 Arua-Koboko-24h'!E74)</f>
        <v>0</v>
      </c>
      <c r="F74" s="49">
        <f>AVERAGE('02.08 Arua-Koboko-24h'!F74,'03.08 Arua-Koboko-24h'!F74)</f>
        <v>0</v>
      </c>
      <c r="G74" s="49">
        <f>AVERAGE('02.08 Arua-Koboko-24h'!G74,'03.08 Arua-Koboko-24h'!G74)</f>
        <v>0</v>
      </c>
      <c r="H74" s="49">
        <f>AVERAGE('02.08 Arua-Koboko-24h'!H74,'03.08 Arua-Koboko-24h'!H74)</f>
        <v>0</v>
      </c>
      <c r="I74" s="49">
        <f>AVERAGE('02.08 Arua-Koboko-24h'!I74,'03.08 Arua-Koboko-24h'!I74)</f>
        <v>0</v>
      </c>
      <c r="J74" s="49">
        <f>AVERAGE('02.08 Arua-Koboko-24h'!J74,'03.08 Arua-Koboko-24h'!J74)</f>
        <v>0</v>
      </c>
      <c r="K74" s="49">
        <f>AVERAGE('02.08 Arua-Koboko-24h'!K74,'03.08 Arua-Koboko-24h'!K74)</f>
        <v>0</v>
      </c>
      <c r="L74" s="49">
        <f>AVERAGE('02.08 Arua-Koboko-24h'!L74,'03.08 Arua-Koboko-24h'!L74)</f>
        <v>0</v>
      </c>
      <c r="M74" s="49">
        <f>AVERAGE('02.08 Arua-Koboko-24h'!M74,'03.08 Arua-Koboko-24h'!M74)</f>
        <v>6</v>
      </c>
      <c r="N74" s="49">
        <f>AVERAGE('02.08 Arua-Koboko-24h'!N74,'03.08 Arua-Koboko-24h'!N74)</f>
        <v>0</v>
      </c>
      <c r="O74" s="15">
        <f t="shared" ref="O74:O105" si="35">SUM(C74:L74,N74)</f>
        <v>0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23" t="s">
        <v>115</v>
      </c>
      <c r="C75" s="49">
        <f>AVERAGE('02.08 Arua-Koboko-24h'!C75,'03.08 Arua-Koboko-24h'!C75)</f>
        <v>0.5</v>
      </c>
      <c r="D75" s="49">
        <f>AVERAGE('02.08 Arua-Koboko-24h'!D75,'03.08 Arua-Koboko-24h'!D75)</f>
        <v>0</v>
      </c>
      <c r="E75" s="49">
        <f>AVERAGE('02.08 Arua-Koboko-24h'!E75,'03.08 Arua-Koboko-24h'!E75)</f>
        <v>0</v>
      </c>
      <c r="F75" s="49">
        <f>AVERAGE('02.08 Arua-Koboko-24h'!F75,'03.08 Arua-Koboko-24h'!F75)</f>
        <v>0.5</v>
      </c>
      <c r="G75" s="49">
        <f>AVERAGE('02.08 Arua-Koboko-24h'!G75,'03.08 Arua-Koboko-24h'!G75)</f>
        <v>0</v>
      </c>
      <c r="H75" s="49">
        <f>AVERAGE('02.08 Arua-Koboko-24h'!H75,'03.08 Arua-Koboko-24h'!H75)</f>
        <v>0</v>
      </c>
      <c r="I75" s="49">
        <f>AVERAGE('02.08 Arua-Koboko-24h'!I75,'03.08 Arua-Koboko-24h'!I75)</f>
        <v>0</v>
      </c>
      <c r="J75" s="49">
        <f>AVERAGE('02.08 Arua-Koboko-24h'!J75,'03.08 Arua-Koboko-24h'!J75)</f>
        <v>0</v>
      </c>
      <c r="K75" s="49">
        <f>AVERAGE('02.08 Arua-Koboko-24h'!K75,'03.08 Arua-Koboko-24h'!K75)</f>
        <v>0</v>
      </c>
      <c r="L75" s="49">
        <f>AVERAGE('02.08 Arua-Koboko-24h'!L75,'03.08 Arua-Koboko-24h'!L75)</f>
        <v>0</v>
      </c>
      <c r="M75" s="49">
        <f>AVERAGE('02.08 Arua-Koboko-24h'!M75,'03.08 Arua-Koboko-24h'!M75)</f>
        <v>7</v>
      </c>
      <c r="N75" s="49">
        <f>AVERAGE('02.08 Arua-Koboko-24h'!N75,'03.08 Arua-Koboko-24h'!N75)</f>
        <v>0</v>
      </c>
      <c r="O75" s="15">
        <f t="shared" si="35"/>
        <v>1</v>
      </c>
      <c r="P75" s="15">
        <f t="shared" si="36"/>
        <v>8</v>
      </c>
      <c r="R75" s="8"/>
      <c r="T75"/>
    </row>
    <row r="76" spans="2:20" ht="23.1" customHeight="1" x14ac:dyDescent="0.25">
      <c r="B76" s="23" t="s">
        <v>116</v>
      </c>
      <c r="C76" s="49">
        <f>AVERAGE('02.08 Arua-Koboko-24h'!C76,'03.08 Arua-Koboko-24h'!C76)</f>
        <v>0</v>
      </c>
      <c r="D76" s="49">
        <f>AVERAGE('02.08 Arua-Koboko-24h'!D76,'03.08 Arua-Koboko-24h'!D76)</f>
        <v>0</v>
      </c>
      <c r="E76" s="49">
        <f>AVERAGE('02.08 Arua-Koboko-24h'!E76,'03.08 Arua-Koboko-24h'!E76)</f>
        <v>0</v>
      </c>
      <c r="F76" s="49">
        <f>AVERAGE('02.08 Arua-Koboko-24h'!F76,'03.08 Arua-Koboko-24h'!F76)</f>
        <v>0.5</v>
      </c>
      <c r="G76" s="49">
        <f>AVERAGE('02.08 Arua-Koboko-24h'!G76,'03.08 Arua-Koboko-24h'!G76)</f>
        <v>0</v>
      </c>
      <c r="H76" s="49">
        <f>AVERAGE('02.08 Arua-Koboko-24h'!H76,'03.08 Arua-Koboko-24h'!H76)</f>
        <v>0</v>
      </c>
      <c r="I76" s="49">
        <f>AVERAGE('02.08 Arua-Koboko-24h'!I76,'03.08 Arua-Koboko-24h'!I76)</f>
        <v>0</v>
      </c>
      <c r="J76" s="49">
        <f>AVERAGE('02.08 Arua-Koboko-24h'!J76,'03.08 Arua-Koboko-24h'!J76)</f>
        <v>0</v>
      </c>
      <c r="K76" s="49">
        <f>AVERAGE('02.08 Arua-Koboko-24h'!K76,'03.08 Arua-Koboko-24h'!K76)</f>
        <v>0</v>
      </c>
      <c r="L76" s="49">
        <f>AVERAGE('02.08 Arua-Koboko-24h'!L76,'03.08 Arua-Koboko-24h'!L76)</f>
        <v>0</v>
      </c>
      <c r="M76" s="49">
        <f>AVERAGE('02.08 Arua-Koboko-24h'!M76,'03.08 Arua-Koboko-24h'!M76)</f>
        <v>9</v>
      </c>
      <c r="N76" s="49">
        <f>AVERAGE('02.08 Arua-Koboko-24h'!N76,'03.08 Arua-Koboko-24h'!N76)</f>
        <v>0</v>
      </c>
      <c r="O76" s="15">
        <f t="shared" si="35"/>
        <v>0.5</v>
      </c>
      <c r="P76" s="15">
        <f t="shared" si="36"/>
        <v>9.5</v>
      </c>
      <c r="R76" s="8"/>
      <c r="T76"/>
    </row>
    <row r="77" spans="2:20" ht="23.1" customHeight="1" x14ac:dyDescent="0.25">
      <c r="B77" s="23" t="s">
        <v>117</v>
      </c>
      <c r="C77" s="49">
        <f>AVERAGE('02.08 Arua-Koboko-24h'!C77,'03.08 Arua-Koboko-24h'!C77)</f>
        <v>1</v>
      </c>
      <c r="D77" s="49">
        <f>AVERAGE('02.08 Arua-Koboko-24h'!D77,'03.08 Arua-Koboko-24h'!D77)</f>
        <v>0</v>
      </c>
      <c r="E77" s="49">
        <f>AVERAGE('02.08 Arua-Koboko-24h'!E77,'03.08 Arua-Koboko-24h'!E77)</f>
        <v>0</v>
      </c>
      <c r="F77" s="49">
        <f>AVERAGE('02.08 Arua-Koboko-24h'!F77,'03.08 Arua-Koboko-24h'!F77)</f>
        <v>0</v>
      </c>
      <c r="G77" s="49">
        <f>AVERAGE('02.08 Arua-Koboko-24h'!G77,'03.08 Arua-Koboko-24h'!G77)</f>
        <v>0</v>
      </c>
      <c r="H77" s="49">
        <f>AVERAGE('02.08 Arua-Koboko-24h'!H77,'03.08 Arua-Koboko-24h'!H77)</f>
        <v>0</v>
      </c>
      <c r="I77" s="49">
        <f>AVERAGE('02.08 Arua-Koboko-24h'!I77,'03.08 Arua-Koboko-24h'!I77)</f>
        <v>0.5</v>
      </c>
      <c r="J77" s="49">
        <f>AVERAGE('02.08 Arua-Koboko-24h'!J77,'03.08 Arua-Koboko-24h'!J77)</f>
        <v>0</v>
      </c>
      <c r="K77" s="49">
        <f>AVERAGE('02.08 Arua-Koboko-24h'!K77,'03.08 Arua-Koboko-24h'!K77)</f>
        <v>0</v>
      </c>
      <c r="L77" s="49">
        <f>AVERAGE('02.08 Arua-Koboko-24h'!L77,'03.08 Arua-Koboko-24h'!L77)</f>
        <v>0</v>
      </c>
      <c r="M77" s="49">
        <f>AVERAGE('02.08 Arua-Koboko-24h'!M77,'03.08 Arua-Koboko-24h'!M77)</f>
        <v>4</v>
      </c>
      <c r="N77" s="49">
        <f>AVERAGE('02.08 Arua-Koboko-24h'!N77,'03.08 Arua-Koboko-24h'!N77)</f>
        <v>0</v>
      </c>
      <c r="O77" s="15">
        <f t="shared" si="35"/>
        <v>1.5</v>
      </c>
      <c r="P77" s="15">
        <f t="shared" si="36"/>
        <v>5.5</v>
      </c>
      <c r="R77" s="8"/>
      <c r="T77"/>
    </row>
    <row r="78" spans="2:20" ht="23.1" customHeight="1" x14ac:dyDescent="0.25">
      <c r="B78" s="24" t="s">
        <v>118</v>
      </c>
      <c r="C78" s="49">
        <f>AVERAGE('02.08 Arua-Koboko-24h'!C78,'03.08 Arua-Koboko-24h'!C78)</f>
        <v>0</v>
      </c>
      <c r="D78" s="49">
        <f>AVERAGE('02.08 Arua-Koboko-24h'!D78,'03.08 Arua-Koboko-24h'!D78)</f>
        <v>0</v>
      </c>
      <c r="E78" s="49">
        <f>AVERAGE('02.08 Arua-Koboko-24h'!E78,'03.08 Arua-Koboko-24h'!E78)</f>
        <v>0</v>
      </c>
      <c r="F78" s="49">
        <f>AVERAGE('02.08 Arua-Koboko-24h'!F78,'03.08 Arua-Koboko-24h'!F78)</f>
        <v>0</v>
      </c>
      <c r="G78" s="49">
        <f>AVERAGE('02.08 Arua-Koboko-24h'!G78,'03.08 Arua-Koboko-24h'!G78)</f>
        <v>0</v>
      </c>
      <c r="H78" s="49">
        <f>AVERAGE('02.08 Arua-Koboko-24h'!H78,'03.08 Arua-Koboko-24h'!H78)</f>
        <v>0</v>
      </c>
      <c r="I78" s="49">
        <f>AVERAGE('02.08 Arua-Koboko-24h'!I78,'03.08 Arua-Koboko-24h'!I78)</f>
        <v>0</v>
      </c>
      <c r="J78" s="49">
        <f>AVERAGE('02.08 Arua-Koboko-24h'!J78,'03.08 Arua-Koboko-24h'!J78)</f>
        <v>0</v>
      </c>
      <c r="K78" s="49">
        <f>AVERAGE('02.08 Arua-Koboko-24h'!K78,'03.08 Arua-Koboko-24h'!K78)</f>
        <v>0</v>
      </c>
      <c r="L78" s="49">
        <f>AVERAGE('02.08 Arua-Koboko-24h'!L78,'03.08 Arua-Koboko-24h'!L78)</f>
        <v>0</v>
      </c>
      <c r="M78" s="49">
        <f>AVERAGE('02.08 Arua-Koboko-24h'!M78,'03.08 Arua-Koboko-24h'!M78)</f>
        <v>3</v>
      </c>
      <c r="N78" s="49">
        <f>AVERAGE('02.08 Arua-Koboko-24h'!N78,'03.08 Arua-Koboko-24h'!N78)</f>
        <v>0</v>
      </c>
      <c r="O78" s="15">
        <f t="shared" si="35"/>
        <v>0</v>
      </c>
      <c r="P78" s="15">
        <f t="shared" si="36"/>
        <v>3</v>
      </c>
      <c r="R78" s="8"/>
      <c r="T78"/>
    </row>
    <row r="79" spans="2:20" ht="23.1" customHeight="1" x14ac:dyDescent="0.25">
      <c r="B79" s="23" t="s">
        <v>119</v>
      </c>
      <c r="C79" s="49">
        <f>AVERAGE('02.08 Arua-Koboko-24h'!C79,'03.08 Arua-Koboko-24h'!C79)</f>
        <v>0</v>
      </c>
      <c r="D79" s="49">
        <f>AVERAGE('02.08 Arua-Koboko-24h'!D79,'03.08 Arua-Koboko-24h'!D79)</f>
        <v>0</v>
      </c>
      <c r="E79" s="49">
        <f>AVERAGE('02.08 Arua-Koboko-24h'!E79,'03.08 Arua-Koboko-24h'!E79)</f>
        <v>0</v>
      </c>
      <c r="F79" s="49">
        <f>AVERAGE('02.08 Arua-Koboko-24h'!F79,'03.08 Arua-Koboko-24h'!F79)</f>
        <v>0</v>
      </c>
      <c r="G79" s="49">
        <f>AVERAGE('02.08 Arua-Koboko-24h'!G79,'03.08 Arua-Koboko-24h'!G79)</f>
        <v>0</v>
      </c>
      <c r="H79" s="49">
        <f>AVERAGE('02.08 Arua-Koboko-24h'!H79,'03.08 Arua-Koboko-24h'!H79)</f>
        <v>0.5</v>
      </c>
      <c r="I79" s="49">
        <f>AVERAGE('02.08 Arua-Koboko-24h'!I79,'03.08 Arua-Koboko-24h'!I79)</f>
        <v>0</v>
      </c>
      <c r="J79" s="49">
        <f>AVERAGE('02.08 Arua-Koboko-24h'!J79,'03.08 Arua-Koboko-24h'!J79)</f>
        <v>0</v>
      </c>
      <c r="K79" s="49">
        <f>AVERAGE('02.08 Arua-Koboko-24h'!K79,'03.08 Arua-Koboko-24h'!K79)</f>
        <v>0</v>
      </c>
      <c r="L79" s="49">
        <f>AVERAGE('02.08 Arua-Koboko-24h'!L79,'03.08 Arua-Koboko-24h'!L79)</f>
        <v>0</v>
      </c>
      <c r="M79" s="49">
        <f>AVERAGE('02.08 Arua-Koboko-24h'!M79,'03.08 Arua-Koboko-24h'!M79)</f>
        <v>8.5</v>
      </c>
      <c r="N79" s="49">
        <f>AVERAGE('02.08 Arua-Koboko-24h'!N79,'03.08 Arua-Koboko-24h'!N79)</f>
        <v>0</v>
      </c>
      <c r="O79" s="15">
        <f t="shared" si="35"/>
        <v>0.5</v>
      </c>
      <c r="P79" s="15">
        <f t="shared" si="36"/>
        <v>9</v>
      </c>
      <c r="R79" s="8"/>
      <c r="T79"/>
    </row>
    <row r="80" spans="2:20" ht="23.1" customHeight="1" x14ac:dyDescent="0.25">
      <c r="B80" s="25" t="s">
        <v>120</v>
      </c>
      <c r="C80" s="49">
        <f>AVERAGE('02.08 Arua-Koboko-24h'!C80,'03.08 Arua-Koboko-24h'!C80)</f>
        <v>0</v>
      </c>
      <c r="D80" s="49">
        <f>AVERAGE('02.08 Arua-Koboko-24h'!D80,'03.08 Arua-Koboko-24h'!D80)</f>
        <v>0</v>
      </c>
      <c r="E80" s="49">
        <f>AVERAGE('02.08 Arua-Koboko-24h'!E80,'03.08 Arua-Koboko-24h'!E80)</f>
        <v>0</v>
      </c>
      <c r="F80" s="49">
        <f>AVERAGE('02.08 Arua-Koboko-24h'!F80,'03.08 Arua-Koboko-24h'!F80)</f>
        <v>0.5</v>
      </c>
      <c r="G80" s="49">
        <f>AVERAGE('02.08 Arua-Koboko-24h'!G80,'03.08 Arua-Koboko-24h'!G80)</f>
        <v>0</v>
      </c>
      <c r="H80" s="49">
        <f>AVERAGE('02.08 Arua-Koboko-24h'!H80,'03.08 Arua-Koboko-24h'!H80)</f>
        <v>0</v>
      </c>
      <c r="I80" s="49">
        <f>AVERAGE('02.08 Arua-Koboko-24h'!I80,'03.08 Arua-Koboko-24h'!I80)</f>
        <v>0</v>
      </c>
      <c r="J80" s="49">
        <f>AVERAGE('02.08 Arua-Koboko-24h'!J80,'03.08 Arua-Koboko-24h'!J80)</f>
        <v>0</v>
      </c>
      <c r="K80" s="49">
        <f>AVERAGE('02.08 Arua-Koboko-24h'!K80,'03.08 Arua-Koboko-24h'!K80)</f>
        <v>0</v>
      </c>
      <c r="L80" s="49">
        <f>AVERAGE('02.08 Arua-Koboko-24h'!L80,'03.08 Arua-Koboko-24h'!L80)</f>
        <v>0</v>
      </c>
      <c r="M80" s="49">
        <f>AVERAGE('02.08 Arua-Koboko-24h'!M80,'03.08 Arua-Koboko-24h'!M80)</f>
        <v>3.5</v>
      </c>
      <c r="N80" s="49">
        <f>AVERAGE('02.08 Arua-Koboko-24h'!N80,'03.08 Arua-Koboko-24h'!N80)</f>
        <v>0</v>
      </c>
      <c r="O80" s="15">
        <f t="shared" si="35"/>
        <v>0.5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AVERAGE('02.08 Arua-Koboko-24h'!C81,'03.08 Arua-Koboko-24h'!C81)</f>
        <v>0.5</v>
      </c>
      <c r="D81" s="49">
        <f>AVERAGE('02.08 Arua-Koboko-24h'!D81,'03.08 Arua-Koboko-24h'!D81)</f>
        <v>0.5</v>
      </c>
      <c r="E81" s="49">
        <f>AVERAGE('02.08 Arua-Koboko-24h'!E81,'03.08 Arua-Koboko-24h'!E81)</f>
        <v>0.5</v>
      </c>
      <c r="F81" s="49">
        <f>AVERAGE('02.08 Arua-Koboko-24h'!F81,'03.08 Arua-Koboko-24h'!F81)</f>
        <v>0</v>
      </c>
      <c r="G81" s="49">
        <f>AVERAGE('02.08 Arua-Koboko-24h'!G81,'03.08 Arua-Koboko-24h'!G81)</f>
        <v>0</v>
      </c>
      <c r="H81" s="49">
        <f>AVERAGE('02.08 Arua-Koboko-24h'!H81,'03.08 Arua-Koboko-24h'!H81)</f>
        <v>0</v>
      </c>
      <c r="I81" s="49">
        <f>AVERAGE('02.08 Arua-Koboko-24h'!I81,'03.08 Arua-Koboko-24h'!I81)</f>
        <v>0</v>
      </c>
      <c r="J81" s="49">
        <f>AVERAGE('02.08 Arua-Koboko-24h'!J81,'03.08 Arua-Koboko-24h'!J81)</f>
        <v>0</v>
      </c>
      <c r="K81" s="49">
        <f>AVERAGE('02.08 Arua-Koboko-24h'!K81,'03.08 Arua-Koboko-24h'!K81)</f>
        <v>0</v>
      </c>
      <c r="L81" s="49">
        <f>AVERAGE('02.08 Arua-Koboko-24h'!L81,'03.08 Arua-Koboko-24h'!L81)</f>
        <v>0.5</v>
      </c>
      <c r="M81" s="49">
        <f>AVERAGE('02.08 Arua-Koboko-24h'!M81,'03.08 Arua-Koboko-24h'!M81)</f>
        <v>2</v>
      </c>
      <c r="N81" s="49">
        <f>AVERAGE('02.08 Arua-Koboko-24h'!N81,'03.08 Arua-Koboko-24h'!N81)</f>
        <v>0</v>
      </c>
      <c r="O81" s="15">
        <f t="shared" si="35"/>
        <v>2</v>
      </c>
      <c r="P81" s="15">
        <f t="shared" si="36"/>
        <v>4</v>
      </c>
      <c r="R81" s="8"/>
      <c r="T81"/>
    </row>
    <row r="82" spans="2:20" ht="23.1" customHeight="1" x14ac:dyDescent="0.25">
      <c r="B82" s="24" t="s">
        <v>122</v>
      </c>
      <c r="C82" s="49">
        <f>AVERAGE('02.08 Arua-Koboko-24h'!C82,'03.08 Arua-Koboko-24h'!C82)</f>
        <v>0.5</v>
      </c>
      <c r="D82" s="49">
        <f>AVERAGE('02.08 Arua-Koboko-24h'!D82,'03.08 Arua-Koboko-24h'!D82)</f>
        <v>0</v>
      </c>
      <c r="E82" s="49">
        <f>AVERAGE('02.08 Arua-Koboko-24h'!E82,'03.08 Arua-Koboko-24h'!E82)</f>
        <v>0.5</v>
      </c>
      <c r="F82" s="49">
        <f>AVERAGE('02.08 Arua-Koboko-24h'!F82,'03.08 Arua-Koboko-24h'!F82)</f>
        <v>0</v>
      </c>
      <c r="G82" s="49">
        <f>AVERAGE('02.08 Arua-Koboko-24h'!G82,'03.08 Arua-Koboko-24h'!G82)</f>
        <v>0</v>
      </c>
      <c r="H82" s="49">
        <f>AVERAGE('02.08 Arua-Koboko-24h'!H82,'03.08 Arua-Koboko-24h'!H82)</f>
        <v>0</v>
      </c>
      <c r="I82" s="49">
        <f>AVERAGE('02.08 Arua-Koboko-24h'!I82,'03.08 Arua-Koboko-24h'!I82)</f>
        <v>0</v>
      </c>
      <c r="J82" s="49">
        <f>AVERAGE('02.08 Arua-Koboko-24h'!J82,'03.08 Arua-Koboko-24h'!J82)</f>
        <v>0</v>
      </c>
      <c r="K82" s="49">
        <f>AVERAGE('02.08 Arua-Koboko-24h'!K82,'03.08 Arua-Koboko-24h'!K82)</f>
        <v>0</v>
      </c>
      <c r="L82" s="49">
        <f>AVERAGE('02.08 Arua-Koboko-24h'!L82,'03.08 Arua-Koboko-24h'!L82)</f>
        <v>0</v>
      </c>
      <c r="M82" s="49">
        <f>AVERAGE('02.08 Arua-Koboko-24h'!M82,'03.08 Arua-Koboko-24h'!M82)</f>
        <v>2</v>
      </c>
      <c r="N82" s="49">
        <f>AVERAGE('02.08 Arua-Koboko-24h'!N82,'03.08 Arua-Koboko-24h'!N82)</f>
        <v>0</v>
      </c>
      <c r="O82" s="15">
        <f t="shared" si="35"/>
        <v>1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AVERAGE('02.08 Arua-Koboko-24h'!C83,'03.08 Arua-Koboko-24h'!C83)</f>
        <v>0</v>
      </c>
      <c r="D83" s="49">
        <f>AVERAGE('02.08 Arua-Koboko-24h'!D83,'03.08 Arua-Koboko-24h'!D83)</f>
        <v>0</v>
      </c>
      <c r="E83" s="49">
        <f>AVERAGE('02.08 Arua-Koboko-24h'!E83,'03.08 Arua-Koboko-24h'!E83)</f>
        <v>0</v>
      </c>
      <c r="F83" s="49">
        <f>AVERAGE('02.08 Arua-Koboko-24h'!F83,'03.08 Arua-Koboko-24h'!F83)</f>
        <v>0</v>
      </c>
      <c r="G83" s="49">
        <f>AVERAGE('02.08 Arua-Koboko-24h'!G83,'03.08 Arua-Koboko-24h'!G83)</f>
        <v>0</v>
      </c>
      <c r="H83" s="49">
        <f>AVERAGE('02.08 Arua-Koboko-24h'!H83,'03.08 Arua-Koboko-24h'!H83)</f>
        <v>0</v>
      </c>
      <c r="I83" s="49">
        <f>AVERAGE('02.08 Arua-Koboko-24h'!I83,'03.08 Arua-Koboko-24h'!I83)</f>
        <v>0</v>
      </c>
      <c r="J83" s="49">
        <f>AVERAGE('02.08 Arua-Koboko-24h'!J83,'03.08 Arua-Koboko-24h'!J83)</f>
        <v>0</v>
      </c>
      <c r="K83" s="49">
        <f>AVERAGE('02.08 Arua-Koboko-24h'!K83,'03.08 Arua-Koboko-24h'!K83)</f>
        <v>0</v>
      </c>
      <c r="L83" s="49">
        <f>AVERAGE('02.08 Arua-Koboko-24h'!L83,'03.08 Arua-Koboko-24h'!L83)</f>
        <v>0</v>
      </c>
      <c r="M83" s="49">
        <f>AVERAGE('02.08 Arua-Koboko-24h'!M83,'03.08 Arua-Koboko-24h'!M83)</f>
        <v>1.5</v>
      </c>
      <c r="N83" s="49">
        <f>AVERAGE('02.08 Arua-Koboko-24h'!N83,'03.08 Arua-Koboko-24h'!N83)</f>
        <v>0</v>
      </c>
      <c r="O83" s="15">
        <f t="shared" si="35"/>
        <v>0</v>
      </c>
      <c r="P83" s="15">
        <f t="shared" si="36"/>
        <v>1.5</v>
      </c>
      <c r="R83" s="8"/>
      <c r="T83"/>
    </row>
    <row r="84" spans="2:20" ht="23.1" customHeight="1" x14ac:dyDescent="0.25">
      <c r="B84" s="25" t="s">
        <v>124</v>
      </c>
      <c r="C84" s="49">
        <f>AVERAGE('02.08 Arua-Koboko-24h'!C84,'03.08 Arua-Koboko-24h'!C84)</f>
        <v>0.5</v>
      </c>
      <c r="D84" s="49">
        <f>AVERAGE('02.08 Arua-Koboko-24h'!D84,'03.08 Arua-Koboko-24h'!D84)</f>
        <v>0.5</v>
      </c>
      <c r="E84" s="49">
        <f>AVERAGE('02.08 Arua-Koboko-24h'!E84,'03.08 Arua-Koboko-24h'!E84)</f>
        <v>0.5</v>
      </c>
      <c r="F84" s="49">
        <f>AVERAGE('02.08 Arua-Koboko-24h'!F84,'03.08 Arua-Koboko-24h'!F84)</f>
        <v>0</v>
      </c>
      <c r="G84" s="49">
        <f>AVERAGE('02.08 Arua-Koboko-24h'!G84,'03.08 Arua-Koboko-24h'!G84)</f>
        <v>0</v>
      </c>
      <c r="H84" s="49">
        <f>AVERAGE('02.08 Arua-Koboko-24h'!H84,'03.08 Arua-Koboko-24h'!H84)</f>
        <v>0</v>
      </c>
      <c r="I84" s="49">
        <f>AVERAGE('02.08 Arua-Koboko-24h'!I84,'03.08 Arua-Koboko-24h'!I84)</f>
        <v>0</v>
      </c>
      <c r="J84" s="49">
        <f>AVERAGE('02.08 Arua-Koboko-24h'!J84,'03.08 Arua-Koboko-24h'!J84)</f>
        <v>0</v>
      </c>
      <c r="K84" s="49">
        <f>AVERAGE('02.08 Arua-Koboko-24h'!K84,'03.08 Arua-Koboko-24h'!K84)</f>
        <v>0</v>
      </c>
      <c r="L84" s="49">
        <f>AVERAGE('02.08 Arua-Koboko-24h'!L84,'03.08 Arua-Koboko-24h'!L84)</f>
        <v>0.5</v>
      </c>
      <c r="M84" s="49">
        <f>AVERAGE('02.08 Arua-Koboko-24h'!M84,'03.08 Arua-Koboko-24h'!M84)</f>
        <v>2.5</v>
      </c>
      <c r="N84" s="49">
        <f>AVERAGE('02.08 Arua-Koboko-24h'!N84,'03.08 Arua-Koboko-24h'!N84)</f>
        <v>0</v>
      </c>
      <c r="O84" s="15">
        <f t="shared" si="35"/>
        <v>2</v>
      </c>
      <c r="P84" s="15">
        <f t="shared" si="36"/>
        <v>4.5</v>
      </c>
      <c r="R84" s="8"/>
      <c r="T84"/>
    </row>
    <row r="85" spans="2:20" ht="23.1" customHeight="1" x14ac:dyDescent="0.25">
      <c r="B85" s="23" t="s">
        <v>125</v>
      </c>
      <c r="C85" s="49">
        <f>AVERAGE('02.08 Arua-Koboko-24h'!C85,'03.08 Arua-Koboko-24h'!C85)</f>
        <v>0.5</v>
      </c>
      <c r="D85" s="49">
        <f>AVERAGE('02.08 Arua-Koboko-24h'!D85,'03.08 Arua-Koboko-24h'!D85)</f>
        <v>0</v>
      </c>
      <c r="E85" s="49">
        <f>AVERAGE('02.08 Arua-Koboko-24h'!E85,'03.08 Arua-Koboko-24h'!E85)</f>
        <v>0</v>
      </c>
      <c r="F85" s="49">
        <f>AVERAGE('02.08 Arua-Koboko-24h'!F85,'03.08 Arua-Koboko-24h'!F85)</f>
        <v>0</v>
      </c>
      <c r="G85" s="49">
        <f>AVERAGE('02.08 Arua-Koboko-24h'!G85,'03.08 Arua-Koboko-24h'!G85)</f>
        <v>0</v>
      </c>
      <c r="H85" s="49">
        <f>AVERAGE('02.08 Arua-Koboko-24h'!H85,'03.08 Arua-Koboko-24h'!H85)</f>
        <v>0</v>
      </c>
      <c r="I85" s="49">
        <f>AVERAGE('02.08 Arua-Koboko-24h'!I85,'03.08 Arua-Koboko-24h'!I85)</f>
        <v>0</v>
      </c>
      <c r="J85" s="49">
        <f>AVERAGE('02.08 Arua-Koboko-24h'!J85,'03.08 Arua-Koboko-24h'!J85)</f>
        <v>0</v>
      </c>
      <c r="K85" s="49">
        <f>AVERAGE('02.08 Arua-Koboko-24h'!K85,'03.08 Arua-Koboko-24h'!K85)</f>
        <v>0</v>
      </c>
      <c r="L85" s="49">
        <f>AVERAGE('02.08 Arua-Koboko-24h'!L85,'03.08 Arua-Koboko-24h'!L85)</f>
        <v>0</v>
      </c>
      <c r="M85" s="49">
        <f>AVERAGE('02.08 Arua-Koboko-24h'!M85,'03.08 Arua-Koboko-24h'!M85)</f>
        <v>3</v>
      </c>
      <c r="N85" s="49">
        <f>AVERAGE('02.08 Arua-Koboko-24h'!N85,'03.08 Arua-Koboko-24h'!N85)</f>
        <v>0</v>
      </c>
      <c r="O85" s="15">
        <f t="shared" si="35"/>
        <v>0.5</v>
      </c>
      <c r="P85" s="15">
        <f t="shared" si="36"/>
        <v>3.5</v>
      </c>
      <c r="R85" s="8"/>
      <c r="T85"/>
    </row>
    <row r="86" spans="2:20" ht="23.1" customHeight="1" x14ac:dyDescent="0.25">
      <c r="B86" s="24" t="s">
        <v>126</v>
      </c>
      <c r="C86" s="49">
        <f>AVERAGE('02.08 Arua-Koboko-24h'!C86,'03.08 Arua-Koboko-24h'!C86)</f>
        <v>0.5</v>
      </c>
      <c r="D86" s="49">
        <f>AVERAGE('02.08 Arua-Koboko-24h'!D86,'03.08 Arua-Koboko-24h'!D86)</f>
        <v>0</v>
      </c>
      <c r="E86" s="49">
        <f>AVERAGE('02.08 Arua-Koboko-24h'!E86,'03.08 Arua-Koboko-24h'!E86)</f>
        <v>0</v>
      </c>
      <c r="F86" s="49">
        <f>AVERAGE('02.08 Arua-Koboko-24h'!F86,'03.08 Arua-Koboko-24h'!F86)</f>
        <v>0</v>
      </c>
      <c r="G86" s="49">
        <f>AVERAGE('02.08 Arua-Koboko-24h'!G86,'03.08 Arua-Koboko-24h'!G86)</f>
        <v>0</v>
      </c>
      <c r="H86" s="49">
        <f>AVERAGE('02.08 Arua-Koboko-24h'!H86,'03.08 Arua-Koboko-24h'!H86)</f>
        <v>0</v>
      </c>
      <c r="I86" s="49">
        <f>AVERAGE('02.08 Arua-Koboko-24h'!I86,'03.08 Arua-Koboko-24h'!I86)</f>
        <v>0</v>
      </c>
      <c r="J86" s="49">
        <f>AVERAGE('02.08 Arua-Koboko-24h'!J86,'03.08 Arua-Koboko-24h'!J86)</f>
        <v>0</v>
      </c>
      <c r="K86" s="49">
        <f>AVERAGE('02.08 Arua-Koboko-24h'!K86,'03.08 Arua-Koboko-24h'!K86)</f>
        <v>0</v>
      </c>
      <c r="L86" s="49">
        <f>AVERAGE('02.08 Arua-Koboko-24h'!L86,'03.08 Arua-Koboko-24h'!L86)</f>
        <v>0</v>
      </c>
      <c r="M86" s="49">
        <f>AVERAGE('02.08 Arua-Koboko-24h'!M86,'03.08 Arua-Koboko-24h'!M86)</f>
        <v>0</v>
      </c>
      <c r="N86" s="49">
        <f>AVERAGE('02.08 Arua-Koboko-24h'!N86,'03.08 Arua-Koboko-24h'!N86)</f>
        <v>0</v>
      </c>
      <c r="O86" s="15">
        <f t="shared" si="35"/>
        <v>0.5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AVERAGE('02.08 Arua-Koboko-24h'!C87,'03.08 Arua-Koboko-24h'!C87)</f>
        <v>0.5</v>
      </c>
      <c r="D87" s="49">
        <f>AVERAGE('02.08 Arua-Koboko-24h'!D87,'03.08 Arua-Koboko-24h'!D87)</f>
        <v>0</v>
      </c>
      <c r="E87" s="49">
        <f>AVERAGE('02.08 Arua-Koboko-24h'!E87,'03.08 Arua-Koboko-24h'!E87)</f>
        <v>0</v>
      </c>
      <c r="F87" s="49">
        <f>AVERAGE('02.08 Arua-Koboko-24h'!F87,'03.08 Arua-Koboko-24h'!F87)</f>
        <v>0</v>
      </c>
      <c r="G87" s="49">
        <f>AVERAGE('02.08 Arua-Koboko-24h'!G87,'03.08 Arua-Koboko-24h'!G87)</f>
        <v>0</v>
      </c>
      <c r="H87" s="49">
        <f>AVERAGE('02.08 Arua-Koboko-24h'!H87,'03.08 Arua-Koboko-24h'!H87)</f>
        <v>0</v>
      </c>
      <c r="I87" s="49">
        <f>AVERAGE('02.08 Arua-Koboko-24h'!I87,'03.08 Arua-Koboko-24h'!I87)</f>
        <v>0</v>
      </c>
      <c r="J87" s="49">
        <f>AVERAGE('02.08 Arua-Koboko-24h'!J87,'03.08 Arua-Koboko-24h'!J87)</f>
        <v>0</v>
      </c>
      <c r="K87" s="49">
        <f>AVERAGE('02.08 Arua-Koboko-24h'!K87,'03.08 Arua-Koboko-24h'!K87)</f>
        <v>0</v>
      </c>
      <c r="L87" s="49">
        <f>AVERAGE('02.08 Arua-Koboko-24h'!L87,'03.08 Arua-Koboko-24h'!L87)</f>
        <v>0</v>
      </c>
      <c r="M87" s="49">
        <f>AVERAGE('02.08 Arua-Koboko-24h'!M87,'03.08 Arua-Koboko-24h'!M87)</f>
        <v>1</v>
      </c>
      <c r="N87" s="49">
        <f>AVERAGE('02.08 Arua-Koboko-24h'!N87,'03.08 Arua-Koboko-24h'!N87)</f>
        <v>0</v>
      </c>
      <c r="O87" s="15">
        <f t="shared" si="35"/>
        <v>0.5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AVERAGE('02.08 Arua-Koboko-24h'!C88,'03.08 Arua-Koboko-24h'!C88)</f>
        <v>0.5</v>
      </c>
      <c r="D88" s="49">
        <f>AVERAGE('02.08 Arua-Koboko-24h'!D88,'03.08 Arua-Koboko-24h'!D88)</f>
        <v>0</v>
      </c>
      <c r="E88" s="49">
        <f>AVERAGE('02.08 Arua-Koboko-24h'!E88,'03.08 Arua-Koboko-24h'!E88)</f>
        <v>0</v>
      </c>
      <c r="F88" s="49">
        <f>AVERAGE('02.08 Arua-Koboko-24h'!F88,'03.08 Arua-Koboko-24h'!F88)</f>
        <v>0.5</v>
      </c>
      <c r="G88" s="49">
        <f>AVERAGE('02.08 Arua-Koboko-24h'!G88,'03.08 Arua-Koboko-24h'!G88)</f>
        <v>0</v>
      </c>
      <c r="H88" s="49">
        <f>AVERAGE('02.08 Arua-Koboko-24h'!H88,'03.08 Arua-Koboko-24h'!H88)</f>
        <v>0</v>
      </c>
      <c r="I88" s="49">
        <f>AVERAGE('02.08 Arua-Koboko-24h'!I88,'03.08 Arua-Koboko-24h'!I88)</f>
        <v>0</v>
      </c>
      <c r="J88" s="49">
        <f>AVERAGE('02.08 Arua-Koboko-24h'!J88,'03.08 Arua-Koboko-24h'!J88)</f>
        <v>0</v>
      </c>
      <c r="K88" s="49">
        <f>AVERAGE('02.08 Arua-Koboko-24h'!K88,'03.08 Arua-Koboko-24h'!K88)</f>
        <v>0</v>
      </c>
      <c r="L88" s="49">
        <f>AVERAGE('02.08 Arua-Koboko-24h'!L88,'03.08 Arua-Koboko-24h'!L88)</f>
        <v>0</v>
      </c>
      <c r="M88" s="49">
        <f>AVERAGE('02.08 Arua-Koboko-24h'!M88,'03.08 Arua-Koboko-24h'!M88)</f>
        <v>1</v>
      </c>
      <c r="N88" s="49">
        <f>AVERAGE('02.08 Arua-Koboko-24h'!N88,'03.08 Arua-Koboko-24h'!N88)</f>
        <v>0</v>
      </c>
      <c r="O88" s="15">
        <f t="shared" si="35"/>
        <v>1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AVERAGE('02.08 Arua-Koboko-24h'!C89,'03.08 Arua-Koboko-24h'!C89)</f>
        <v>0</v>
      </c>
      <c r="D89" s="49">
        <f>AVERAGE('02.08 Arua-Koboko-24h'!D89,'03.08 Arua-Koboko-24h'!D89)</f>
        <v>0</v>
      </c>
      <c r="E89" s="49">
        <f>AVERAGE('02.08 Arua-Koboko-24h'!E89,'03.08 Arua-Koboko-24h'!E89)</f>
        <v>0</v>
      </c>
      <c r="F89" s="49">
        <f>AVERAGE('02.08 Arua-Koboko-24h'!F89,'03.08 Arua-Koboko-24h'!F89)</f>
        <v>0</v>
      </c>
      <c r="G89" s="49">
        <f>AVERAGE('02.08 Arua-Koboko-24h'!G89,'03.08 Arua-Koboko-24h'!G89)</f>
        <v>0</v>
      </c>
      <c r="H89" s="49">
        <f>AVERAGE('02.08 Arua-Koboko-24h'!H89,'03.08 Arua-Koboko-24h'!H89)</f>
        <v>0</v>
      </c>
      <c r="I89" s="49">
        <f>AVERAGE('02.08 Arua-Koboko-24h'!I89,'03.08 Arua-Koboko-24h'!I89)</f>
        <v>0.5</v>
      </c>
      <c r="J89" s="49">
        <f>AVERAGE('02.08 Arua-Koboko-24h'!J89,'03.08 Arua-Koboko-24h'!J89)</f>
        <v>0</v>
      </c>
      <c r="K89" s="49">
        <f>AVERAGE('02.08 Arua-Koboko-24h'!K89,'03.08 Arua-Koboko-24h'!K89)</f>
        <v>0</v>
      </c>
      <c r="L89" s="49">
        <f>AVERAGE('02.08 Arua-Koboko-24h'!L89,'03.08 Arua-Koboko-24h'!L89)</f>
        <v>0</v>
      </c>
      <c r="M89" s="49">
        <f>AVERAGE('02.08 Arua-Koboko-24h'!M89,'03.08 Arua-Koboko-24h'!M89)</f>
        <v>0</v>
      </c>
      <c r="N89" s="49">
        <f>AVERAGE('02.08 Arua-Koboko-24h'!N89,'03.08 Arua-Koboko-24h'!N89)</f>
        <v>0</v>
      </c>
      <c r="O89" s="15">
        <f t="shared" si="35"/>
        <v>0.5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AVERAGE('02.08 Arua-Koboko-24h'!C90,'03.08 Arua-Koboko-24h'!C90)</f>
        <v>0</v>
      </c>
      <c r="D90" s="49">
        <f>AVERAGE('02.08 Arua-Koboko-24h'!D90,'03.08 Arua-Koboko-24h'!D90)</f>
        <v>0.5</v>
      </c>
      <c r="E90" s="49">
        <f>AVERAGE('02.08 Arua-Koboko-24h'!E90,'03.08 Arua-Koboko-24h'!E90)</f>
        <v>0</v>
      </c>
      <c r="F90" s="49">
        <f>AVERAGE('02.08 Arua-Koboko-24h'!F90,'03.08 Arua-Koboko-24h'!F90)</f>
        <v>0</v>
      </c>
      <c r="G90" s="49">
        <f>AVERAGE('02.08 Arua-Koboko-24h'!G90,'03.08 Arua-Koboko-24h'!G90)</f>
        <v>0</v>
      </c>
      <c r="H90" s="49">
        <f>AVERAGE('02.08 Arua-Koboko-24h'!H90,'03.08 Arua-Koboko-24h'!H90)</f>
        <v>0</v>
      </c>
      <c r="I90" s="49">
        <f>AVERAGE('02.08 Arua-Koboko-24h'!I90,'03.08 Arua-Koboko-24h'!I90)</f>
        <v>0</v>
      </c>
      <c r="J90" s="49">
        <f>AVERAGE('02.08 Arua-Koboko-24h'!J90,'03.08 Arua-Koboko-24h'!J90)</f>
        <v>0</v>
      </c>
      <c r="K90" s="49">
        <f>AVERAGE('02.08 Arua-Koboko-24h'!K90,'03.08 Arua-Koboko-24h'!K90)</f>
        <v>0</v>
      </c>
      <c r="L90" s="49">
        <f>AVERAGE('02.08 Arua-Koboko-24h'!L90,'03.08 Arua-Koboko-24h'!L90)</f>
        <v>0</v>
      </c>
      <c r="M90" s="49">
        <f>AVERAGE('02.08 Arua-Koboko-24h'!M90,'03.08 Arua-Koboko-24h'!M90)</f>
        <v>1.5</v>
      </c>
      <c r="N90" s="49">
        <f>AVERAGE('02.08 Arua-Koboko-24h'!N90,'03.08 Arua-Koboko-24h'!N90)</f>
        <v>0</v>
      </c>
      <c r="O90" s="15">
        <f t="shared" si="35"/>
        <v>0.5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AVERAGE('02.08 Arua-Koboko-24h'!C91,'03.08 Arua-Koboko-24h'!C91)</f>
        <v>1</v>
      </c>
      <c r="D91" s="49">
        <f>AVERAGE('02.08 Arua-Koboko-24h'!D91,'03.08 Arua-Koboko-24h'!D91)</f>
        <v>0</v>
      </c>
      <c r="E91" s="49">
        <f>AVERAGE('02.08 Arua-Koboko-24h'!E91,'03.08 Arua-Koboko-24h'!E91)</f>
        <v>0</v>
      </c>
      <c r="F91" s="49">
        <f>AVERAGE('02.08 Arua-Koboko-24h'!F91,'03.08 Arua-Koboko-24h'!F91)</f>
        <v>0</v>
      </c>
      <c r="G91" s="49">
        <f>AVERAGE('02.08 Arua-Koboko-24h'!G91,'03.08 Arua-Koboko-24h'!G91)</f>
        <v>0</v>
      </c>
      <c r="H91" s="49">
        <f>AVERAGE('02.08 Arua-Koboko-24h'!H91,'03.08 Arua-Koboko-24h'!H91)</f>
        <v>0</v>
      </c>
      <c r="I91" s="49">
        <f>AVERAGE('02.08 Arua-Koboko-24h'!I91,'03.08 Arua-Koboko-24h'!I91)</f>
        <v>0</v>
      </c>
      <c r="J91" s="49">
        <f>AVERAGE('02.08 Arua-Koboko-24h'!J91,'03.08 Arua-Koboko-24h'!J91)</f>
        <v>0</v>
      </c>
      <c r="K91" s="49">
        <f>AVERAGE('02.08 Arua-Koboko-24h'!K91,'03.08 Arua-Koboko-24h'!K91)</f>
        <v>0</v>
      </c>
      <c r="L91" s="49">
        <f>AVERAGE('02.08 Arua-Koboko-24h'!L91,'03.08 Arua-Koboko-24h'!L91)</f>
        <v>0</v>
      </c>
      <c r="M91" s="49">
        <f>AVERAGE('02.08 Arua-Koboko-24h'!M91,'03.08 Arua-Koboko-24h'!M91)</f>
        <v>1.5</v>
      </c>
      <c r="N91" s="49">
        <f>AVERAGE('02.08 Arua-Koboko-24h'!N91,'03.08 Arua-Koboko-24h'!N91)</f>
        <v>0</v>
      </c>
      <c r="O91" s="15">
        <f t="shared" si="35"/>
        <v>1</v>
      </c>
      <c r="P91" s="15">
        <f t="shared" si="36"/>
        <v>2.5</v>
      </c>
      <c r="R91" s="8"/>
      <c r="T91"/>
    </row>
    <row r="92" spans="2:20" ht="23.1" customHeight="1" x14ac:dyDescent="0.25">
      <c r="B92" s="25" t="s">
        <v>132</v>
      </c>
      <c r="C92" s="49">
        <f>AVERAGE('02.08 Arua-Koboko-24h'!C92,'03.08 Arua-Koboko-24h'!C92)</f>
        <v>0</v>
      </c>
      <c r="D92" s="49">
        <f>AVERAGE('02.08 Arua-Koboko-24h'!D92,'03.08 Arua-Koboko-24h'!D92)</f>
        <v>0</v>
      </c>
      <c r="E92" s="49">
        <f>AVERAGE('02.08 Arua-Koboko-24h'!E92,'03.08 Arua-Koboko-24h'!E92)</f>
        <v>0</v>
      </c>
      <c r="F92" s="49">
        <f>AVERAGE('02.08 Arua-Koboko-24h'!F92,'03.08 Arua-Koboko-24h'!F92)</f>
        <v>0</v>
      </c>
      <c r="G92" s="49">
        <f>AVERAGE('02.08 Arua-Koboko-24h'!G92,'03.08 Arua-Koboko-24h'!G92)</f>
        <v>0</v>
      </c>
      <c r="H92" s="49">
        <f>AVERAGE('02.08 Arua-Koboko-24h'!H92,'03.08 Arua-Koboko-24h'!H92)</f>
        <v>0</v>
      </c>
      <c r="I92" s="49">
        <f>AVERAGE('02.08 Arua-Koboko-24h'!I92,'03.08 Arua-Koboko-24h'!I92)</f>
        <v>0</v>
      </c>
      <c r="J92" s="49">
        <f>AVERAGE('02.08 Arua-Koboko-24h'!J92,'03.08 Arua-Koboko-24h'!J92)</f>
        <v>0</v>
      </c>
      <c r="K92" s="49">
        <f>AVERAGE('02.08 Arua-Koboko-24h'!K92,'03.08 Arua-Koboko-24h'!K92)</f>
        <v>0</v>
      </c>
      <c r="L92" s="49">
        <f>AVERAGE('02.08 Arua-Koboko-24h'!L92,'03.08 Arua-Koboko-24h'!L92)</f>
        <v>0</v>
      </c>
      <c r="M92" s="49">
        <f>AVERAGE('02.08 Arua-Koboko-24h'!M92,'03.08 Arua-Koboko-24h'!M92)</f>
        <v>1</v>
      </c>
      <c r="N92" s="49">
        <f>AVERAGE('02.08 Arua-Koboko-24h'!N92,'03.08 Arua-Koboko-24h'!N92)</f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AVERAGE('02.08 Arua-Koboko-24h'!C93,'03.08 Arua-Koboko-24h'!C93)</f>
        <v>0</v>
      </c>
      <c r="D93" s="49">
        <f>AVERAGE('02.08 Arua-Koboko-24h'!D93,'03.08 Arua-Koboko-24h'!D93)</f>
        <v>0</v>
      </c>
      <c r="E93" s="49">
        <f>AVERAGE('02.08 Arua-Koboko-24h'!E93,'03.08 Arua-Koboko-24h'!E93)</f>
        <v>0</v>
      </c>
      <c r="F93" s="49">
        <f>AVERAGE('02.08 Arua-Koboko-24h'!F93,'03.08 Arua-Koboko-24h'!F93)</f>
        <v>0</v>
      </c>
      <c r="G93" s="49">
        <f>AVERAGE('02.08 Arua-Koboko-24h'!G93,'03.08 Arua-Koboko-24h'!G93)</f>
        <v>0</v>
      </c>
      <c r="H93" s="49">
        <f>AVERAGE('02.08 Arua-Koboko-24h'!H93,'03.08 Arua-Koboko-24h'!H93)</f>
        <v>0</v>
      </c>
      <c r="I93" s="49">
        <f>AVERAGE('02.08 Arua-Koboko-24h'!I93,'03.08 Arua-Koboko-24h'!I93)</f>
        <v>0</v>
      </c>
      <c r="J93" s="49">
        <f>AVERAGE('02.08 Arua-Koboko-24h'!J93,'03.08 Arua-Koboko-24h'!J93)</f>
        <v>0</v>
      </c>
      <c r="K93" s="49">
        <f>AVERAGE('02.08 Arua-Koboko-24h'!K93,'03.08 Arua-Koboko-24h'!K93)</f>
        <v>0</v>
      </c>
      <c r="L93" s="49">
        <f>AVERAGE('02.08 Arua-Koboko-24h'!L93,'03.08 Arua-Koboko-24h'!L93)</f>
        <v>0</v>
      </c>
      <c r="M93" s="49">
        <f>AVERAGE('02.08 Arua-Koboko-24h'!M93,'03.08 Arua-Koboko-24h'!M93)</f>
        <v>2</v>
      </c>
      <c r="N93" s="49">
        <f>AVERAGE('02.08 Arua-Koboko-24h'!N93,'03.08 Arua-Koboko-24h'!N93)</f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AVERAGE('02.08 Arua-Koboko-24h'!C94,'03.08 Arua-Koboko-24h'!C94)</f>
        <v>0</v>
      </c>
      <c r="D94" s="49">
        <f>AVERAGE('02.08 Arua-Koboko-24h'!D94,'03.08 Arua-Koboko-24h'!D94)</f>
        <v>0</v>
      </c>
      <c r="E94" s="49">
        <f>AVERAGE('02.08 Arua-Koboko-24h'!E94,'03.08 Arua-Koboko-24h'!E94)</f>
        <v>0</v>
      </c>
      <c r="F94" s="49">
        <f>AVERAGE('02.08 Arua-Koboko-24h'!F94,'03.08 Arua-Koboko-24h'!F94)</f>
        <v>0</v>
      </c>
      <c r="G94" s="49">
        <f>AVERAGE('02.08 Arua-Koboko-24h'!G94,'03.08 Arua-Koboko-24h'!G94)</f>
        <v>0</v>
      </c>
      <c r="H94" s="49">
        <f>AVERAGE('02.08 Arua-Koboko-24h'!H94,'03.08 Arua-Koboko-24h'!H94)</f>
        <v>0</v>
      </c>
      <c r="I94" s="49">
        <f>AVERAGE('02.08 Arua-Koboko-24h'!I94,'03.08 Arua-Koboko-24h'!I94)</f>
        <v>0</v>
      </c>
      <c r="J94" s="49">
        <f>AVERAGE('02.08 Arua-Koboko-24h'!J94,'03.08 Arua-Koboko-24h'!J94)</f>
        <v>0</v>
      </c>
      <c r="K94" s="49">
        <f>AVERAGE('02.08 Arua-Koboko-24h'!K94,'03.08 Arua-Koboko-24h'!K94)</f>
        <v>0</v>
      </c>
      <c r="L94" s="49">
        <f>AVERAGE('02.08 Arua-Koboko-24h'!L94,'03.08 Arua-Koboko-24h'!L94)</f>
        <v>0</v>
      </c>
      <c r="M94" s="49">
        <f>AVERAGE('02.08 Arua-Koboko-24h'!M94,'03.08 Arua-Koboko-24h'!M94)</f>
        <v>1</v>
      </c>
      <c r="N94" s="49">
        <f>AVERAGE('02.08 Arua-Koboko-24h'!N94,'03.08 Arua-Koboko-24h'!N94)</f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AVERAGE('02.08 Arua-Koboko-24h'!C95,'03.08 Arua-Koboko-24h'!C95)</f>
        <v>0.5</v>
      </c>
      <c r="D95" s="49">
        <f>AVERAGE('02.08 Arua-Koboko-24h'!D95,'03.08 Arua-Koboko-24h'!D95)</f>
        <v>0</v>
      </c>
      <c r="E95" s="49">
        <f>AVERAGE('02.08 Arua-Koboko-24h'!E95,'03.08 Arua-Koboko-24h'!E95)</f>
        <v>0</v>
      </c>
      <c r="F95" s="49">
        <f>AVERAGE('02.08 Arua-Koboko-24h'!F95,'03.08 Arua-Koboko-24h'!F95)</f>
        <v>0</v>
      </c>
      <c r="G95" s="49">
        <f>AVERAGE('02.08 Arua-Koboko-24h'!G95,'03.08 Arua-Koboko-24h'!G95)</f>
        <v>0</v>
      </c>
      <c r="H95" s="49">
        <f>AVERAGE('02.08 Arua-Koboko-24h'!H95,'03.08 Arua-Koboko-24h'!H95)</f>
        <v>0</v>
      </c>
      <c r="I95" s="49">
        <f>AVERAGE('02.08 Arua-Koboko-24h'!I95,'03.08 Arua-Koboko-24h'!I95)</f>
        <v>0</v>
      </c>
      <c r="J95" s="49">
        <f>AVERAGE('02.08 Arua-Koboko-24h'!J95,'03.08 Arua-Koboko-24h'!J95)</f>
        <v>0</v>
      </c>
      <c r="K95" s="49">
        <f>AVERAGE('02.08 Arua-Koboko-24h'!K95,'03.08 Arua-Koboko-24h'!K95)</f>
        <v>0</v>
      </c>
      <c r="L95" s="49">
        <f>AVERAGE('02.08 Arua-Koboko-24h'!L95,'03.08 Arua-Koboko-24h'!L95)</f>
        <v>0</v>
      </c>
      <c r="M95" s="49">
        <f>AVERAGE('02.08 Arua-Koboko-24h'!M95,'03.08 Arua-Koboko-24h'!M95)</f>
        <v>0.5</v>
      </c>
      <c r="N95" s="49">
        <f>AVERAGE('02.08 Arua-Koboko-24h'!N95,'03.08 Arua-Koboko-24h'!N95)</f>
        <v>0</v>
      </c>
      <c r="O95" s="15">
        <f t="shared" si="35"/>
        <v>0.5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AVERAGE('02.08 Arua-Koboko-24h'!C96,'03.08 Arua-Koboko-24h'!C96)</f>
        <v>0.5</v>
      </c>
      <c r="D96" s="49">
        <f>AVERAGE('02.08 Arua-Koboko-24h'!D96,'03.08 Arua-Koboko-24h'!D96)</f>
        <v>0</v>
      </c>
      <c r="E96" s="49">
        <f>AVERAGE('02.08 Arua-Koboko-24h'!E96,'03.08 Arua-Koboko-24h'!E96)</f>
        <v>0</v>
      </c>
      <c r="F96" s="49">
        <f>AVERAGE('02.08 Arua-Koboko-24h'!F96,'03.08 Arua-Koboko-24h'!F96)</f>
        <v>0</v>
      </c>
      <c r="G96" s="49">
        <f>AVERAGE('02.08 Arua-Koboko-24h'!G96,'03.08 Arua-Koboko-24h'!G96)</f>
        <v>0</v>
      </c>
      <c r="H96" s="49">
        <f>AVERAGE('02.08 Arua-Koboko-24h'!H96,'03.08 Arua-Koboko-24h'!H96)</f>
        <v>0.5</v>
      </c>
      <c r="I96" s="49">
        <f>AVERAGE('02.08 Arua-Koboko-24h'!I96,'03.08 Arua-Koboko-24h'!I96)</f>
        <v>0</v>
      </c>
      <c r="J96" s="49">
        <f>AVERAGE('02.08 Arua-Koboko-24h'!J96,'03.08 Arua-Koboko-24h'!J96)</f>
        <v>0</v>
      </c>
      <c r="K96" s="49">
        <f>AVERAGE('02.08 Arua-Koboko-24h'!K96,'03.08 Arua-Koboko-24h'!K96)</f>
        <v>0</v>
      </c>
      <c r="L96" s="49">
        <f>AVERAGE('02.08 Arua-Koboko-24h'!L96,'03.08 Arua-Koboko-24h'!L96)</f>
        <v>0</v>
      </c>
      <c r="M96" s="49">
        <f>AVERAGE('02.08 Arua-Koboko-24h'!M96,'03.08 Arua-Koboko-24h'!M96)</f>
        <v>1.5</v>
      </c>
      <c r="N96" s="49">
        <f>AVERAGE('02.08 Arua-Koboko-24h'!N96,'03.08 Arua-Koboko-24h'!N96)</f>
        <v>0</v>
      </c>
      <c r="O96" s="15">
        <f t="shared" si="35"/>
        <v>1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AVERAGE('02.08 Arua-Koboko-24h'!C97,'03.08 Arua-Koboko-24h'!C97)</f>
        <v>0.5</v>
      </c>
      <c r="D97" s="49">
        <f>AVERAGE('02.08 Arua-Koboko-24h'!D97,'03.08 Arua-Koboko-24h'!D97)</f>
        <v>0</v>
      </c>
      <c r="E97" s="49">
        <f>AVERAGE('02.08 Arua-Koboko-24h'!E97,'03.08 Arua-Koboko-24h'!E97)</f>
        <v>0</v>
      </c>
      <c r="F97" s="49">
        <f>AVERAGE('02.08 Arua-Koboko-24h'!F97,'03.08 Arua-Koboko-24h'!F97)</f>
        <v>0</v>
      </c>
      <c r="G97" s="49">
        <f>AVERAGE('02.08 Arua-Koboko-24h'!G97,'03.08 Arua-Koboko-24h'!G97)</f>
        <v>0</v>
      </c>
      <c r="H97" s="49">
        <f>AVERAGE('02.08 Arua-Koboko-24h'!H97,'03.08 Arua-Koboko-24h'!H97)</f>
        <v>1</v>
      </c>
      <c r="I97" s="49">
        <f>AVERAGE('02.08 Arua-Koboko-24h'!I97,'03.08 Arua-Koboko-24h'!I97)</f>
        <v>0</v>
      </c>
      <c r="J97" s="49">
        <f>AVERAGE('02.08 Arua-Koboko-24h'!J97,'03.08 Arua-Koboko-24h'!J97)</f>
        <v>0</v>
      </c>
      <c r="K97" s="49">
        <f>AVERAGE('02.08 Arua-Koboko-24h'!K97,'03.08 Arua-Koboko-24h'!K97)</f>
        <v>0</v>
      </c>
      <c r="L97" s="49">
        <f>AVERAGE('02.08 Arua-Koboko-24h'!L97,'03.08 Arua-Koboko-24h'!L97)</f>
        <v>0</v>
      </c>
      <c r="M97" s="49">
        <f>AVERAGE('02.08 Arua-Koboko-24h'!M97,'03.08 Arua-Koboko-24h'!M97)</f>
        <v>1</v>
      </c>
      <c r="N97" s="49">
        <f>AVERAGE('02.08 Arua-Koboko-24h'!N97,'03.08 Arua-Koboko-24h'!N97)</f>
        <v>0</v>
      </c>
      <c r="O97" s="15">
        <f t="shared" si="35"/>
        <v>1.5</v>
      </c>
      <c r="P97" s="15">
        <f t="shared" si="36"/>
        <v>2.5</v>
      </c>
      <c r="R97" s="8"/>
      <c r="T97"/>
    </row>
    <row r="98" spans="2:20" ht="23.1" customHeight="1" x14ac:dyDescent="0.25">
      <c r="B98" s="24" t="s">
        <v>138</v>
      </c>
      <c r="C98" s="49">
        <f>AVERAGE('02.08 Arua-Koboko-24h'!C98,'03.08 Arua-Koboko-24h'!C98)</f>
        <v>0</v>
      </c>
      <c r="D98" s="49">
        <f>AVERAGE('02.08 Arua-Koboko-24h'!D98,'03.08 Arua-Koboko-24h'!D98)</f>
        <v>0</v>
      </c>
      <c r="E98" s="49">
        <f>AVERAGE('02.08 Arua-Koboko-24h'!E98,'03.08 Arua-Koboko-24h'!E98)</f>
        <v>0</v>
      </c>
      <c r="F98" s="49">
        <f>AVERAGE('02.08 Arua-Koboko-24h'!F98,'03.08 Arua-Koboko-24h'!F98)</f>
        <v>0</v>
      </c>
      <c r="G98" s="49">
        <f>AVERAGE('02.08 Arua-Koboko-24h'!G98,'03.08 Arua-Koboko-24h'!G98)</f>
        <v>0</v>
      </c>
      <c r="H98" s="49">
        <f>AVERAGE('02.08 Arua-Koboko-24h'!H98,'03.08 Arua-Koboko-24h'!H98)</f>
        <v>1</v>
      </c>
      <c r="I98" s="49">
        <f>AVERAGE('02.08 Arua-Koboko-24h'!I98,'03.08 Arua-Koboko-24h'!I98)</f>
        <v>0</v>
      </c>
      <c r="J98" s="49">
        <f>AVERAGE('02.08 Arua-Koboko-24h'!J98,'03.08 Arua-Koboko-24h'!J98)</f>
        <v>0</v>
      </c>
      <c r="K98" s="49">
        <f>AVERAGE('02.08 Arua-Koboko-24h'!K98,'03.08 Arua-Koboko-24h'!K98)</f>
        <v>0</v>
      </c>
      <c r="L98" s="49">
        <f>AVERAGE('02.08 Arua-Koboko-24h'!L98,'03.08 Arua-Koboko-24h'!L98)</f>
        <v>0</v>
      </c>
      <c r="M98" s="49">
        <f>AVERAGE('02.08 Arua-Koboko-24h'!M98,'03.08 Arua-Koboko-24h'!M98)</f>
        <v>1</v>
      </c>
      <c r="N98" s="49">
        <f>AVERAGE('02.08 Arua-Koboko-24h'!N98,'03.08 Arua-Koboko-24h'!N98)</f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AVERAGE('02.08 Arua-Koboko-24h'!C99,'03.08 Arua-Koboko-24h'!C99)</f>
        <v>0</v>
      </c>
      <c r="D99" s="49">
        <f>AVERAGE('02.08 Arua-Koboko-24h'!D99,'03.08 Arua-Koboko-24h'!D99)</f>
        <v>0</v>
      </c>
      <c r="E99" s="49">
        <f>AVERAGE('02.08 Arua-Koboko-24h'!E99,'03.08 Arua-Koboko-24h'!E99)</f>
        <v>0</v>
      </c>
      <c r="F99" s="49">
        <f>AVERAGE('02.08 Arua-Koboko-24h'!F99,'03.08 Arua-Koboko-24h'!F99)</f>
        <v>0</v>
      </c>
      <c r="G99" s="49">
        <f>AVERAGE('02.08 Arua-Koboko-24h'!G99,'03.08 Arua-Koboko-24h'!G99)</f>
        <v>0</v>
      </c>
      <c r="H99" s="49">
        <f>AVERAGE('02.08 Arua-Koboko-24h'!H99,'03.08 Arua-Koboko-24h'!H99)</f>
        <v>0.5</v>
      </c>
      <c r="I99" s="49">
        <f>AVERAGE('02.08 Arua-Koboko-24h'!I99,'03.08 Arua-Koboko-24h'!I99)</f>
        <v>0</v>
      </c>
      <c r="J99" s="49">
        <f>AVERAGE('02.08 Arua-Koboko-24h'!J99,'03.08 Arua-Koboko-24h'!J99)</f>
        <v>0</v>
      </c>
      <c r="K99" s="49">
        <f>AVERAGE('02.08 Arua-Koboko-24h'!K99,'03.08 Arua-Koboko-24h'!K99)</f>
        <v>0</v>
      </c>
      <c r="L99" s="49">
        <f>AVERAGE('02.08 Arua-Koboko-24h'!L99,'03.08 Arua-Koboko-24h'!L99)</f>
        <v>0</v>
      </c>
      <c r="M99" s="49">
        <f>AVERAGE('02.08 Arua-Koboko-24h'!M99,'03.08 Arua-Koboko-24h'!M99)</f>
        <v>4</v>
      </c>
      <c r="N99" s="49">
        <f>AVERAGE('02.08 Arua-Koboko-24h'!N99,'03.08 Arua-Koboko-24h'!N99)</f>
        <v>0</v>
      </c>
      <c r="O99" s="15">
        <f t="shared" si="35"/>
        <v>0.5</v>
      </c>
      <c r="P99" s="15">
        <f t="shared" si="36"/>
        <v>4.5</v>
      </c>
      <c r="R99" s="8"/>
      <c r="T99"/>
    </row>
    <row r="100" spans="2:20" ht="23.1" customHeight="1" x14ac:dyDescent="0.25">
      <c r="B100" s="25" t="s">
        <v>140</v>
      </c>
      <c r="C100" s="49">
        <f>AVERAGE('02.08 Arua-Koboko-24h'!C100,'03.08 Arua-Koboko-24h'!C100)</f>
        <v>0.5</v>
      </c>
      <c r="D100" s="49">
        <f>AVERAGE('02.08 Arua-Koboko-24h'!D100,'03.08 Arua-Koboko-24h'!D100)</f>
        <v>0</v>
      </c>
      <c r="E100" s="49">
        <f>AVERAGE('02.08 Arua-Koboko-24h'!E100,'03.08 Arua-Koboko-24h'!E100)</f>
        <v>0</v>
      </c>
      <c r="F100" s="49">
        <f>AVERAGE('02.08 Arua-Koboko-24h'!F100,'03.08 Arua-Koboko-24h'!F100)</f>
        <v>0</v>
      </c>
      <c r="G100" s="49">
        <f>AVERAGE('02.08 Arua-Koboko-24h'!G100,'03.08 Arua-Koboko-24h'!G100)</f>
        <v>0</v>
      </c>
      <c r="H100" s="49">
        <f>AVERAGE('02.08 Arua-Koboko-24h'!H100,'03.08 Arua-Koboko-24h'!H100)</f>
        <v>1.5</v>
      </c>
      <c r="I100" s="49">
        <f>AVERAGE('02.08 Arua-Koboko-24h'!I100,'03.08 Arua-Koboko-24h'!I100)</f>
        <v>0</v>
      </c>
      <c r="J100" s="49">
        <f>AVERAGE('02.08 Arua-Koboko-24h'!J100,'03.08 Arua-Koboko-24h'!J100)</f>
        <v>0</v>
      </c>
      <c r="K100" s="49">
        <f>AVERAGE('02.08 Arua-Koboko-24h'!K100,'03.08 Arua-Koboko-24h'!K100)</f>
        <v>0</v>
      </c>
      <c r="L100" s="49">
        <f>AVERAGE('02.08 Arua-Koboko-24h'!L100,'03.08 Arua-Koboko-24h'!L100)</f>
        <v>0.5</v>
      </c>
      <c r="M100" s="49">
        <f>AVERAGE('02.08 Arua-Koboko-24h'!M100,'03.08 Arua-Koboko-24h'!M100)</f>
        <v>3.5</v>
      </c>
      <c r="N100" s="49">
        <f>AVERAGE('02.08 Arua-Koboko-24h'!N100,'03.08 Arua-Koboko-24h'!N100)</f>
        <v>0</v>
      </c>
      <c r="O100" s="15">
        <f t="shared" si="35"/>
        <v>2.5</v>
      </c>
      <c r="P100" s="15">
        <f t="shared" si="36"/>
        <v>6</v>
      </c>
      <c r="R100" s="8"/>
      <c r="T100"/>
    </row>
    <row r="101" spans="2:20" ht="23.1" customHeight="1" x14ac:dyDescent="0.25">
      <c r="B101" s="23" t="s">
        <v>141</v>
      </c>
      <c r="C101" s="49">
        <f>AVERAGE('02.08 Arua-Koboko-24h'!C101,'03.08 Arua-Koboko-24h'!C101)</f>
        <v>1</v>
      </c>
      <c r="D101" s="49">
        <f>AVERAGE('02.08 Arua-Koboko-24h'!D101,'03.08 Arua-Koboko-24h'!D101)</f>
        <v>0</v>
      </c>
      <c r="E101" s="49">
        <f>AVERAGE('02.08 Arua-Koboko-24h'!E101,'03.08 Arua-Koboko-24h'!E101)</f>
        <v>0</v>
      </c>
      <c r="F101" s="49">
        <f>AVERAGE('02.08 Arua-Koboko-24h'!F101,'03.08 Arua-Koboko-24h'!F101)</f>
        <v>0</v>
      </c>
      <c r="G101" s="49">
        <f>AVERAGE('02.08 Arua-Koboko-24h'!G101,'03.08 Arua-Koboko-24h'!G101)</f>
        <v>0</v>
      </c>
      <c r="H101" s="49">
        <f>AVERAGE('02.08 Arua-Koboko-24h'!H101,'03.08 Arua-Koboko-24h'!H101)</f>
        <v>0.5</v>
      </c>
      <c r="I101" s="49">
        <f>AVERAGE('02.08 Arua-Koboko-24h'!I101,'03.08 Arua-Koboko-24h'!I101)</f>
        <v>0</v>
      </c>
      <c r="J101" s="49">
        <f>AVERAGE('02.08 Arua-Koboko-24h'!J101,'03.08 Arua-Koboko-24h'!J101)</f>
        <v>0</v>
      </c>
      <c r="K101" s="49">
        <f>AVERAGE('02.08 Arua-Koboko-24h'!K101,'03.08 Arua-Koboko-24h'!K101)</f>
        <v>0</v>
      </c>
      <c r="L101" s="49">
        <f>AVERAGE('02.08 Arua-Koboko-24h'!L101,'03.08 Arua-Koboko-24h'!L101)</f>
        <v>0.5</v>
      </c>
      <c r="M101" s="49">
        <f>AVERAGE('02.08 Arua-Koboko-24h'!M101,'03.08 Arua-Koboko-24h'!M101)</f>
        <v>1.5</v>
      </c>
      <c r="N101" s="49">
        <f>AVERAGE('02.08 Arua-Koboko-24h'!N101,'03.08 Arua-Koboko-24h'!N101)</f>
        <v>0</v>
      </c>
      <c r="O101" s="15">
        <f t="shared" si="35"/>
        <v>2</v>
      </c>
      <c r="P101" s="15">
        <f t="shared" si="36"/>
        <v>3.5</v>
      </c>
      <c r="R101" s="8"/>
      <c r="T101"/>
    </row>
    <row r="102" spans="2:20" ht="23.1" customHeight="1" x14ac:dyDescent="0.25">
      <c r="B102" s="24" t="s">
        <v>142</v>
      </c>
      <c r="C102" s="49">
        <f>AVERAGE('02.08 Arua-Koboko-24h'!C102,'03.08 Arua-Koboko-24h'!C102)</f>
        <v>0</v>
      </c>
      <c r="D102" s="49">
        <f>AVERAGE('02.08 Arua-Koboko-24h'!D102,'03.08 Arua-Koboko-24h'!D102)</f>
        <v>0</v>
      </c>
      <c r="E102" s="49">
        <f>AVERAGE('02.08 Arua-Koboko-24h'!E102,'03.08 Arua-Koboko-24h'!E102)</f>
        <v>0</v>
      </c>
      <c r="F102" s="49">
        <f>AVERAGE('02.08 Arua-Koboko-24h'!F102,'03.08 Arua-Koboko-24h'!F102)</f>
        <v>0</v>
      </c>
      <c r="G102" s="49">
        <f>AVERAGE('02.08 Arua-Koboko-24h'!G102,'03.08 Arua-Koboko-24h'!G102)</f>
        <v>0</v>
      </c>
      <c r="H102" s="49">
        <f>AVERAGE('02.08 Arua-Koboko-24h'!H102,'03.08 Arua-Koboko-24h'!H102)</f>
        <v>0</v>
      </c>
      <c r="I102" s="49">
        <f>AVERAGE('02.08 Arua-Koboko-24h'!I102,'03.08 Arua-Koboko-24h'!I102)</f>
        <v>0</v>
      </c>
      <c r="J102" s="49">
        <f>AVERAGE('02.08 Arua-Koboko-24h'!J102,'03.08 Arua-Koboko-24h'!J102)</f>
        <v>0</v>
      </c>
      <c r="K102" s="49">
        <f>AVERAGE('02.08 Arua-Koboko-24h'!K102,'03.08 Arua-Koboko-24h'!K102)</f>
        <v>0</v>
      </c>
      <c r="L102" s="49">
        <f>AVERAGE('02.08 Arua-Koboko-24h'!L102,'03.08 Arua-Koboko-24h'!L102)</f>
        <v>0</v>
      </c>
      <c r="M102" s="49">
        <f>AVERAGE('02.08 Arua-Koboko-24h'!M102,'03.08 Arua-Koboko-24h'!M102)</f>
        <v>6</v>
      </c>
      <c r="N102" s="49">
        <f>AVERAGE('02.08 Arua-Koboko-24h'!N102,'03.08 Arua-Koboko-24h'!N102)</f>
        <v>0</v>
      </c>
      <c r="O102" s="15">
        <f t="shared" si="35"/>
        <v>0</v>
      </c>
      <c r="P102" s="15">
        <f t="shared" si="36"/>
        <v>6</v>
      </c>
      <c r="R102" s="8"/>
      <c r="T102"/>
    </row>
    <row r="103" spans="2:20" ht="23.1" customHeight="1" x14ac:dyDescent="0.25">
      <c r="B103" s="23" t="s">
        <v>143</v>
      </c>
      <c r="C103" s="49">
        <f>AVERAGE('02.08 Arua-Koboko-24h'!C103,'03.08 Arua-Koboko-24h'!C103)</f>
        <v>0.5</v>
      </c>
      <c r="D103" s="49">
        <f>AVERAGE('02.08 Arua-Koboko-24h'!D103,'03.08 Arua-Koboko-24h'!D103)</f>
        <v>0</v>
      </c>
      <c r="E103" s="49">
        <f>AVERAGE('02.08 Arua-Koboko-24h'!E103,'03.08 Arua-Koboko-24h'!E103)</f>
        <v>0</v>
      </c>
      <c r="F103" s="49">
        <f>AVERAGE('02.08 Arua-Koboko-24h'!F103,'03.08 Arua-Koboko-24h'!F103)</f>
        <v>0</v>
      </c>
      <c r="G103" s="49">
        <f>AVERAGE('02.08 Arua-Koboko-24h'!G103,'03.08 Arua-Koboko-24h'!G103)</f>
        <v>0.5</v>
      </c>
      <c r="H103" s="49">
        <f>AVERAGE('02.08 Arua-Koboko-24h'!H103,'03.08 Arua-Koboko-24h'!H103)</f>
        <v>5.5</v>
      </c>
      <c r="I103" s="49">
        <f>AVERAGE('02.08 Arua-Koboko-24h'!I103,'03.08 Arua-Koboko-24h'!I103)</f>
        <v>0</v>
      </c>
      <c r="J103" s="49">
        <f>AVERAGE('02.08 Arua-Koboko-24h'!J103,'03.08 Arua-Koboko-24h'!J103)</f>
        <v>0</v>
      </c>
      <c r="K103" s="49">
        <f>AVERAGE('02.08 Arua-Koboko-24h'!K103,'03.08 Arua-Koboko-24h'!K103)</f>
        <v>0</v>
      </c>
      <c r="L103" s="49">
        <f>AVERAGE('02.08 Arua-Koboko-24h'!L103,'03.08 Arua-Koboko-24h'!L103)</f>
        <v>0</v>
      </c>
      <c r="M103" s="49">
        <f>AVERAGE('02.08 Arua-Koboko-24h'!M103,'03.08 Arua-Koboko-24h'!M103)</f>
        <v>10.5</v>
      </c>
      <c r="N103" s="49">
        <f>AVERAGE('02.08 Arua-Koboko-24h'!N103,'03.08 Arua-Koboko-24h'!N103)</f>
        <v>0</v>
      </c>
      <c r="O103" s="15">
        <f t="shared" si="35"/>
        <v>6.5</v>
      </c>
      <c r="P103" s="15">
        <f t="shared" si="36"/>
        <v>17</v>
      </c>
      <c r="R103" s="8"/>
      <c r="T103"/>
    </row>
    <row r="104" spans="2:20" ht="23.1" customHeight="1" x14ac:dyDescent="0.25">
      <c r="B104" s="25" t="s">
        <v>144</v>
      </c>
      <c r="C104" s="49">
        <f>AVERAGE('02.08 Arua-Koboko-24h'!C104,'03.08 Arua-Koboko-24h'!C104)</f>
        <v>0.5</v>
      </c>
      <c r="D104" s="49">
        <f>AVERAGE('02.08 Arua-Koboko-24h'!D104,'03.08 Arua-Koboko-24h'!D104)</f>
        <v>0</v>
      </c>
      <c r="E104" s="49">
        <f>AVERAGE('02.08 Arua-Koboko-24h'!E104,'03.08 Arua-Koboko-24h'!E104)</f>
        <v>0</v>
      </c>
      <c r="F104" s="49">
        <f>AVERAGE('02.08 Arua-Koboko-24h'!F104,'03.08 Arua-Koboko-24h'!F104)</f>
        <v>0.5</v>
      </c>
      <c r="G104" s="49">
        <f>AVERAGE('02.08 Arua-Koboko-24h'!G104,'03.08 Arua-Koboko-24h'!G104)</f>
        <v>0</v>
      </c>
      <c r="H104" s="49">
        <f>AVERAGE('02.08 Arua-Koboko-24h'!H104,'03.08 Arua-Koboko-24h'!H104)</f>
        <v>0</v>
      </c>
      <c r="I104" s="49">
        <f>AVERAGE('02.08 Arua-Koboko-24h'!I104,'03.08 Arua-Koboko-24h'!I104)</f>
        <v>0</v>
      </c>
      <c r="J104" s="49">
        <f>AVERAGE('02.08 Arua-Koboko-24h'!J104,'03.08 Arua-Koboko-24h'!J104)</f>
        <v>0.5</v>
      </c>
      <c r="K104" s="49">
        <f>AVERAGE('02.08 Arua-Koboko-24h'!K104,'03.08 Arua-Koboko-24h'!K104)</f>
        <v>1</v>
      </c>
      <c r="L104" s="49">
        <f>AVERAGE('02.08 Arua-Koboko-24h'!L104,'03.08 Arua-Koboko-24h'!L104)</f>
        <v>0.5</v>
      </c>
      <c r="M104" s="49">
        <f>AVERAGE('02.08 Arua-Koboko-24h'!M104,'03.08 Arua-Koboko-24h'!M104)</f>
        <v>10.5</v>
      </c>
      <c r="N104" s="49">
        <f>AVERAGE('02.08 Arua-Koboko-24h'!N104,'03.08 Arua-Koboko-24h'!N104)</f>
        <v>0</v>
      </c>
      <c r="O104" s="15">
        <f t="shared" si="35"/>
        <v>3</v>
      </c>
      <c r="P104" s="15">
        <f t="shared" si="36"/>
        <v>13.5</v>
      </c>
      <c r="R104" s="8"/>
      <c r="T104"/>
    </row>
    <row r="105" spans="2:20" ht="23.1" customHeight="1" x14ac:dyDescent="0.25">
      <c r="B105" s="23" t="s">
        <v>145</v>
      </c>
      <c r="C105" s="49">
        <f>AVERAGE('02.08 Arua-Koboko-24h'!C105,'03.08 Arua-Koboko-24h'!C105)</f>
        <v>3.5</v>
      </c>
      <c r="D105" s="49">
        <f>AVERAGE('02.08 Arua-Koboko-24h'!D105,'03.08 Arua-Koboko-24h'!D105)</f>
        <v>0</v>
      </c>
      <c r="E105" s="49">
        <f>AVERAGE('02.08 Arua-Koboko-24h'!E105,'03.08 Arua-Koboko-24h'!E105)</f>
        <v>0</v>
      </c>
      <c r="F105" s="49">
        <f>AVERAGE('02.08 Arua-Koboko-24h'!F105,'03.08 Arua-Koboko-24h'!F105)</f>
        <v>0.5</v>
      </c>
      <c r="G105" s="49">
        <f>AVERAGE('02.08 Arua-Koboko-24h'!G105,'03.08 Arua-Koboko-24h'!G105)</f>
        <v>0</v>
      </c>
      <c r="H105" s="49">
        <f>AVERAGE('02.08 Arua-Koboko-24h'!H105,'03.08 Arua-Koboko-24h'!H105)</f>
        <v>7.5</v>
      </c>
      <c r="I105" s="49">
        <f>AVERAGE('02.08 Arua-Koboko-24h'!I105,'03.08 Arua-Koboko-24h'!I105)</f>
        <v>0.5</v>
      </c>
      <c r="J105" s="49">
        <f>AVERAGE('02.08 Arua-Koboko-24h'!J105,'03.08 Arua-Koboko-24h'!J105)</f>
        <v>0</v>
      </c>
      <c r="K105" s="49">
        <f>AVERAGE('02.08 Arua-Koboko-24h'!K105,'03.08 Arua-Koboko-24h'!K105)</f>
        <v>0</v>
      </c>
      <c r="L105" s="49">
        <f>AVERAGE('02.08 Arua-Koboko-24h'!L105,'03.08 Arua-Koboko-24h'!L105)</f>
        <v>1</v>
      </c>
      <c r="M105" s="49">
        <f>AVERAGE('02.08 Arua-Koboko-24h'!M105,'03.08 Arua-Koboko-24h'!M105)</f>
        <v>9</v>
      </c>
      <c r="N105" s="49">
        <f>AVERAGE('02.08 Arua-Koboko-24h'!N105,'03.08 Arua-Koboko-24h'!N105)</f>
        <v>0</v>
      </c>
      <c r="O105" s="15">
        <f t="shared" si="35"/>
        <v>13</v>
      </c>
      <c r="P105" s="15">
        <f t="shared" si="36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435.64285714285717</v>
      </c>
      <c r="D106" s="16">
        <f t="shared" ref="D106:P106" si="37">SUM(D10:D105)</f>
        <v>59.571428571428562</v>
      </c>
      <c r="E106" s="16">
        <f t="shared" si="37"/>
        <v>120.28571428571426</v>
      </c>
      <c r="F106" s="16">
        <f t="shared" si="37"/>
        <v>63.928571428571423</v>
      </c>
      <c r="G106" s="16">
        <f t="shared" si="37"/>
        <v>9.4285714285714306</v>
      </c>
      <c r="H106" s="16">
        <f t="shared" si="37"/>
        <v>29.142857142857142</v>
      </c>
      <c r="I106" s="16">
        <f t="shared" si="37"/>
        <v>64.690476190476204</v>
      </c>
      <c r="J106" s="16">
        <f t="shared" si="37"/>
        <v>58.871428571428581</v>
      </c>
      <c r="K106" s="16">
        <f t="shared" si="37"/>
        <v>5.4999999999999991</v>
      </c>
      <c r="L106" s="16">
        <f t="shared" si="37"/>
        <v>22.785714285714285</v>
      </c>
      <c r="M106" s="16">
        <f t="shared" si="37"/>
        <v>2096.0714285714284</v>
      </c>
      <c r="N106" s="16">
        <f t="shared" si="37"/>
        <v>2.0476190476190474</v>
      </c>
      <c r="O106" s="16">
        <f t="shared" si="37"/>
        <v>871.89523809523803</v>
      </c>
      <c r="P106" s="16">
        <f t="shared" si="37"/>
        <v>2967.9666666666658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0.14678158688086926</v>
      </c>
      <c r="D107" s="43">
        <f t="shared" si="38"/>
        <v>2.0071461462312666E-2</v>
      </c>
      <c r="E107" s="43">
        <f t="shared" si="38"/>
        <v>4.0527986933494638E-2</v>
      </c>
      <c r="F107" s="43">
        <f t="shared" si="38"/>
        <v>2.1539517996126901E-2</v>
      </c>
      <c r="G107" s="43">
        <f t="shared" si="38"/>
        <v>3.1767780731717897E-3</v>
      </c>
      <c r="H107" s="43">
        <f t="shared" si="38"/>
        <v>9.8191322261673483E-3</v>
      </c>
      <c r="I107" s="43">
        <f t="shared" si="38"/>
        <v>2.1796227335373113E-2</v>
      </c>
      <c r="J107" s="43">
        <f t="shared" si="38"/>
        <v>1.9835609756880219E-2</v>
      </c>
      <c r="K107" s="43">
        <f t="shared" si="38"/>
        <v>1.8531205426835435E-3</v>
      </c>
      <c r="L107" s="43">
        <f t="shared" si="38"/>
        <v>7.6772136768318237E-3</v>
      </c>
      <c r="M107" s="43">
        <f t="shared" si="38"/>
        <v>0.70623145876686477</v>
      </c>
      <c r="N107" s="43">
        <f t="shared" si="38"/>
        <v>6.8990634922417638E-4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0.49965046040917988</v>
      </c>
      <c r="D108" s="44">
        <f t="shared" ref="D108:N108" si="39">D106/$O$106</f>
        <v>6.832406689313919E-2</v>
      </c>
      <c r="E108" s="44">
        <f t="shared" si="39"/>
        <v>0.1379589072518542</v>
      </c>
      <c r="F108" s="44">
        <f t="shared" si="39"/>
        <v>7.3321390730646974E-2</v>
      </c>
      <c r="G108" s="44">
        <f t="shared" si="39"/>
        <v>1.0813881091000451E-2</v>
      </c>
      <c r="H108" s="44">
        <f t="shared" si="39"/>
        <v>3.3424723372183204E-2</v>
      </c>
      <c r="I108" s="44">
        <f t="shared" si="39"/>
        <v>7.4195239707697536E-2</v>
      </c>
      <c r="J108" s="44">
        <f t="shared" si="39"/>
        <v>6.752121814547403E-2</v>
      </c>
      <c r="K108" s="44">
        <f t="shared" si="39"/>
        <v>6.3080973030835942E-3</v>
      </c>
      <c r="L108" s="44">
        <f t="shared" si="39"/>
        <v>2.6133545969917751E-2</v>
      </c>
      <c r="M108" s="44"/>
      <c r="N108" s="44">
        <f t="shared" si="39"/>
        <v>2.3484691258233298E-3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K43" zoomScale="60" workbookViewId="0">
      <selection activeCell="AF66" sqref="AF6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'06.08 Arua-Koboko'!C3:G3</f>
        <v>MCC - C5 - STN127 - KOBOKO-ARUA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164</v>
      </c>
      <c r="E5" s="69"/>
      <c r="F5" s="41" t="s">
        <v>1</v>
      </c>
      <c r="G5" s="66" t="str">
        <f>'Avg Week Arua-Koboko'!G5:H5</f>
        <v>xxx</v>
      </c>
      <c r="H5" s="67"/>
      <c r="I5" s="14"/>
      <c r="J5" s="2" t="s">
        <v>5</v>
      </c>
      <c r="K5" s="66" t="str">
        <f>'Avg Week Arua-Koboko'!K5:L5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Arua-Koboko'!K6:L6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Koboko-Arua'!C10+'Avg Week Arua-Koboko'!C10</f>
        <v>11.714285714285715</v>
      </c>
      <c r="D10" s="49">
        <f>'Avg Week Koboko-Arua'!D10+'Avg Week Arua-Koboko'!D10</f>
        <v>3.2857142857142856</v>
      </c>
      <c r="E10" s="49">
        <f>'Avg Week Koboko-Arua'!E10+'Avg Week Arua-Koboko'!E10</f>
        <v>4.4285714285714288</v>
      </c>
      <c r="F10" s="49">
        <f>'Avg Week Koboko-Arua'!F10+'Avg Week Arua-Koboko'!F10</f>
        <v>2.4285714285714284</v>
      </c>
      <c r="G10" s="49">
        <f>'Avg Week Koboko-Arua'!G10+'Avg Week Arua-Koboko'!G10</f>
        <v>1.7142857142857142</v>
      </c>
      <c r="H10" s="49">
        <f>'Avg Week Koboko-Arua'!H10+'Avg Week Arua-Koboko'!H10</f>
        <v>0.14285714285714285</v>
      </c>
      <c r="I10" s="49">
        <f>'Avg Week Koboko-Arua'!I10+'Avg Week Arua-Koboko'!I10</f>
        <v>0.5714285714285714</v>
      </c>
      <c r="J10" s="49">
        <f>'Avg Week Koboko-Arua'!J10+'Avg Week Arua-Koboko'!J10</f>
        <v>0.85714285714285721</v>
      </c>
      <c r="K10" s="49">
        <f>'Avg Week Koboko-Arua'!K10+'Avg Week Arua-Koboko'!K10</f>
        <v>0.14285714285714285</v>
      </c>
      <c r="L10" s="49">
        <f>'Avg Week Koboko-Arua'!L10+'Avg Week Arua-Koboko'!L10</f>
        <v>1</v>
      </c>
      <c r="M10" s="49">
        <f>'Avg Week Koboko-Arua'!M10+'Avg Week Arua-Koboko'!M10</f>
        <v>62</v>
      </c>
      <c r="N10" s="49">
        <f>'Avg Week Koboko-Arua'!N10+'Avg Week Arua-Koboko'!N10</f>
        <v>0.14285714285714285</v>
      </c>
      <c r="O10" s="15">
        <f t="shared" ref="O10:O73" si="0">SUM(C10:L10,N10)</f>
        <v>26.428571428571431</v>
      </c>
      <c r="P10" s="15">
        <f t="shared" ref="P10:P73" si="1">SUM(C10:N10)</f>
        <v>88.428571428571431</v>
      </c>
      <c r="R10" s="1" t="s">
        <v>6</v>
      </c>
      <c r="S10" s="17">
        <f t="shared" ref="S10:AF10" si="2">SUM(C10:C13)</f>
        <v>42.857142857142861</v>
      </c>
      <c r="T10" s="17">
        <f t="shared" si="2"/>
        <v>12.428571428571427</v>
      </c>
      <c r="U10" s="17">
        <f t="shared" si="2"/>
        <v>20.285714285714285</v>
      </c>
      <c r="V10" s="17">
        <f t="shared" si="2"/>
        <v>13.285714285714285</v>
      </c>
      <c r="W10" s="17">
        <f t="shared" si="2"/>
        <v>7.8571428571428577</v>
      </c>
      <c r="X10" s="17">
        <f t="shared" si="2"/>
        <v>6.4285714285714288</v>
      </c>
      <c r="Y10" s="17">
        <f t="shared" si="2"/>
        <v>5.1428571428571423</v>
      </c>
      <c r="Z10" s="17">
        <f t="shared" si="2"/>
        <v>3.1428571428571428</v>
      </c>
      <c r="AA10" s="17">
        <f t="shared" si="2"/>
        <v>0.14285714285714285</v>
      </c>
      <c r="AB10" s="17">
        <f t="shared" si="2"/>
        <v>3.2857142857142856</v>
      </c>
      <c r="AC10" s="17">
        <f t="shared" si="2"/>
        <v>240.57142857142856</v>
      </c>
      <c r="AD10" s="17">
        <f t="shared" si="2"/>
        <v>0.42857142857142855</v>
      </c>
      <c r="AE10" s="31">
        <f t="shared" si="2"/>
        <v>115.28571428571429</v>
      </c>
      <c r="AF10" s="31">
        <f t="shared" si="2"/>
        <v>355.85714285714289</v>
      </c>
    </row>
    <row r="11" spans="2:32" s="6" customFormat="1" ht="23.1" customHeight="1" x14ac:dyDescent="0.25">
      <c r="B11" s="23" t="s">
        <v>38</v>
      </c>
      <c r="C11" s="49">
        <f>'Avg Week Koboko-Arua'!C11+'Avg Week Arua-Koboko'!C11</f>
        <v>8</v>
      </c>
      <c r="D11" s="49">
        <f>'Avg Week Koboko-Arua'!D11+'Avg Week Arua-Koboko'!D11</f>
        <v>5</v>
      </c>
      <c r="E11" s="49">
        <f>'Avg Week Koboko-Arua'!E11+'Avg Week Arua-Koboko'!E11</f>
        <v>7.8571428571428577</v>
      </c>
      <c r="F11" s="49">
        <f>'Avg Week Koboko-Arua'!F11+'Avg Week Arua-Koboko'!F11</f>
        <v>2.1428571428571428</v>
      </c>
      <c r="G11" s="49">
        <f>'Avg Week Koboko-Arua'!G11+'Avg Week Arua-Koboko'!G11</f>
        <v>2.7142857142857144</v>
      </c>
      <c r="H11" s="49">
        <f>'Avg Week Koboko-Arua'!H11+'Avg Week Arua-Koboko'!H11</f>
        <v>0.2857142857142857</v>
      </c>
      <c r="I11" s="49">
        <f>'Avg Week Koboko-Arua'!I11+'Avg Week Arua-Koboko'!I11</f>
        <v>0.7142857142857143</v>
      </c>
      <c r="J11" s="49">
        <f>'Avg Week Koboko-Arua'!J11+'Avg Week Arua-Koboko'!J11</f>
        <v>0.2857142857142857</v>
      </c>
      <c r="K11" s="49">
        <f>'Avg Week Koboko-Arua'!K11+'Avg Week Arua-Koboko'!K11</f>
        <v>0</v>
      </c>
      <c r="L11" s="49">
        <f>'Avg Week Koboko-Arua'!L11+'Avg Week Arua-Koboko'!L11</f>
        <v>0.7142857142857143</v>
      </c>
      <c r="M11" s="49">
        <f>'Avg Week Koboko-Arua'!M11+'Avg Week Arua-Koboko'!M11</f>
        <v>53</v>
      </c>
      <c r="N11" s="49">
        <f>'Avg Week Koboko-Arua'!N11+'Avg Week Arua-Koboko'!N11</f>
        <v>0</v>
      </c>
      <c r="O11" s="15">
        <f t="shared" si="0"/>
        <v>27.714285714285715</v>
      </c>
      <c r="P11" s="15">
        <f t="shared" si="1"/>
        <v>80.714285714285722</v>
      </c>
      <c r="R11" s="1" t="s">
        <v>7</v>
      </c>
      <c r="S11" s="17">
        <f t="shared" ref="S11:AF11" si="3">SUM(C14:C17)</f>
        <v>49.571428571428569</v>
      </c>
      <c r="T11" s="17">
        <f t="shared" si="3"/>
        <v>8.7142857142857153</v>
      </c>
      <c r="U11" s="17">
        <f t="shared" si="3"/>
        <v>16.285714285714285</v>
      </c>
      <c r="V11" s="17">
        <f t="shared" si="3"/>
        <v>19</v>
      </c>
      <c r="W11" s="17">
        <f t="shared" si="3"/>
        <v>1.857142857142857</v>
      </c>
      <c r="X11" s="17">
        <f t="shared" si="3"/>
        <v>1.4285714285714284</v>
      </c>
      <c r="Y11" s="17">
        <f t="shared" si="3"/>
        <v>9.7142857142857153</v>
      </c>
      <c r="Z11" s="17">
        <f t="shared" si="3"/>
        <v>6</v>
      </c>
      <c r="AA11" s="17">
        <f t="shared" si="3"/>
        <v>0.14285714285714285</v>
      </c>
      <c r="AB11" s="17">
        <f t="shared" si="3"/>
        <v>3.714285714285714</v>
      </c>
      <c r="AC11" s="17">
        <f t="shared" si="3"/>
        <v>241</v>
      </c>
      <c r="AD11" s="17">
        <f t="shared" si="3"/>
        <v>0</v>
      </c>
      <c r="AE11" s="31">
        <f t="shared" si="3"/>
        <v>116.42857142857143</v>
      </c>
      <c r="AF11" s="31">
        <f t="shared" si="3"/>
        <v>357.42857142857144</v>
      </c>
    </row>
    <row r="12" spans="2:32" ht="23.1" customHeight="1" x14ac:dyDescent="0.25">
      <c r="B12" s="23" t="s">
        <v>39</v>
      </c>
      <c r="C12" s="49">
        <f>'Avg Week Koboko-Arua'!C12+'Avg Week Arua-Koboko'!C12</f>
        <v>13.142857142857142</v>
      </c>
      <c r="D12" s="49">
        <f>'Avg Week Koboko-Arua'!D12+'Avg Week Arua-Koboko'!D12</f>
        <v>2.5714285714285712</v>
      </c>
      <c r="E12" s="49">
        <f>'Avg Week Koboko-Arua'!E12+'Avg Week Arua-Koboko'!E12</f>
        <v>4.5714285714285712</v>
      </c>
      <c r="F12" s="49">
        <f>'Avg Week Koboko-Arua'!F12+'Avg Week Arua-Koboko'!F12</f>
        <v>3.1428571428571428</v>
      </c>
      <c r="G12" s="49">
        <f>'Avg Week Koboko-Arua'!G12+'Avg Week Arua-Koboko'!G12</f>
        <v>2.7142857142857144</v>
      </c>
      <c r="H12" s="49">
        <f>'Avg Week Koboko-Arua'!H12+'Avg Week Arua-Koboko'!H12</f>
        <v>0.2857142857142857</v>
      </c>
      <c r="I12" s="49">
        <f>'Avg Week Koboko-Arua'!I12+'Avg Week Arua-Koboko'!I12</f>
        <v>2.4285714285714284</v>
      </c>
      <c r="J12" s="49">
        <f>'Avg Week Koboko-Arua'!J12+'Avg Week Arua-Koboko'!J12</f>
        <v>1.5714285714285714</v>
      </c>
      <c r="K12" s="49">
        <f>'Avg Week Koboko-Arua'!K12+'Avg Week Arua-Koboko'!K12</f>
        <v>0</v>
      </c>
      <c r="L12" s="49">
        <f>'Avg Week Koboko-Arua'!L12+'Avg Week Arua-Koboko'!L12</f>
        <v>1.1428571428571428</v>
      </c>
      <c r="M12" s="49">
        <f>'Avg Week Koboko-Arua'!M12+'Avg Week Arua-Koboko'!M12</f>
        <v>68.142857142857139</v>
      </c>
      <c r="N12" s="49">
        <f>'Avg Week Koboko-Arua'!N12+'Avg Week Arua-Koboko'!N12</f>
        <v>0</v>
      </c>
      <c r="O12" s="15">
        <f t="shared" si="0"/>
        <v>31.571428571428569</v>
      </c>
      <c r="P12" s="15">
        <f t="shared" si="1"/>
        <v>99.714285714285708</v>
      </c>
      <c r="R12" s="1" t="s">
        <v>8</v>
      </c>
      <c r="S12" s="17">
        <f t="shared" ref="S12:AF12" si="4">SUM(C18:C21)</f>
        <v>71.428571428571431</v>
      </c>
      <c r="T12" s="17">
        <f t="shared" si="4"/>
        <v>11.571428571428573</v>
      </c>
      <c r="U12" s="17">
        <f t="shared" si="4"/>
        <v>23.714285714285715</v>
      </c>
      <c r="V12" s="17">
        <f t="shared" si="4"/>
        <v>15.571428571428573</v>
      </c>
      <c r="W12" s="17">
        <f t="shared" si="4"/>
        <v>0.71428571428571419</v>
      </c>
      <c r="X12" s="17">
        <f t="shared" si="4"/>
        <v>0.2857142857142857</v>
      </c>
      <c r="Y12" s="17">
        <f t="shared" si="4"/>
        <v>10.095238095238095</v>
      </c>
      <c r="Z12" s="17">
        <f t="shared" si="4"/>
        <v>5.5238095238095237</v>
      </c>
      <c r="AA12" s="17">
        <f t="shared" si="4"/>
        <v>0.42857142857142855</v>
      </c>
      <c r="AB12" s="17">
        <f t="shared" si="4"/>
        <v>1.5714285714285712</v>
      </c>
      <c r="AC12" s="17">
        <f t="shared" si="4"/>
        <v>251.85714285714283</v>
      </c>
      <c r="AD12" s="17">
        <f t="shared" si="4"/>
        <v>0</v>
      </c>
      <c r="AE12" s="31">
        <f t="shared" si="4"/>
        <v>140.90476190476193</v>
      </c>
      <c r="AF12" s="31">
        <f t="shared" si="4"/>
        <v>392.76190476190482</v>
      </c>
    </row>
    <row r="13" spans="2:32" ht="23.1" customHeight="1" x14ac:dyDescent="0.25">
      <c r="B13" s="23" t="s">
        <v>40</v>
      </c>
      <c r="C13" s="49">
        <f>'Avg Week Koboko-Arua'!C13+'Avg Week Arua-Koboko'!C13</f>
        <v>10</v>
      </c>
      <c r="D13" s="49">
        <f>'Avg Week Koboko-Arua'!D13+'Avg Week Arua-Koboko'!D13</f>
        <v>1.5714285714285714</v>
      </c>
      <c r="E13" s="49">
        <f>'Avg Week Koboko-Arua'!E13+'Avg Week Arua-Koboko'!E13</f>
        <v>3.4285714285714288</v>
      </c>
      <c r="F13" s="49">
        <f>'Avg Week Koboko-Arua'!F13+'Avg Week Arua-Koboko'!F13</f>
        <v>5.5714285714285712</v>
      </c>
      <c r="G13" s="49">
        <f>'Avg Week Koboko-Arua'!G13+'Avg Week Arua-Koboko'!G13</f>
        <v>0.71428571428571419</v>
      </c>
      <c r="H13" s="49">
        <f>'Avg Week Koboko-Arua'!H13+'Avg Week Arua-Koboko'!H13</f>
        <v>5.7142857142857144</v>
      </c>
      <c r="I13" s="49">
        <f>'Avg Week Koboko-Arua'!I13+'Avg Week Arua-Koboko'!I13</f>
        <v>1.4285714285714286</v>
      </c>
      <c r="J13" s="49">
        <f>'Avg Week Koboko-Arua'!J13+'Avg Week Arua-Koboko'!J13</f>
        <v>0.42857142857142855</v>
      </c>
      <c r="K13" s="49">
        <f>'Avg Week Koboko-Arua'!K13+'Avg Week Arua-Koboko'!K13</f>
        <v>0</v>
      </c>
      <c r="L13" s="49">
        <f>'Avg Week Koboko-Arua'!L13+'Avg Week Arua-Koboko'!L13</f>
        <v>0.42857142857142855</v>
      </c>
      <c r="M13" s="49">
        <f>'Avg Week Koboko-Arua'!M13+'Avg Week Arua-Koboko'!M13</f>
        <v>57.428571428571431</v>
      </c>
      <c r="N13" s="49">
        <f>'Avg Week Koboko-Arua'!N13+'Avg Week Arua-Koboko'!N13</f>
        <v>0.2857142857142857</v>
      </c>
      <c r="O13" s="15">
        <f t="shared" si="0"/>
        <v>29.571428571428566</v>
      </c>
      <c r="P13" s="15">
        <f t="shared" si="1"/>
        <v>87</v>
      </c>
      <c r="R13" s="1" t="s">
        <v>9</v>
      </c>
      <c r="S13" s="17">
        <f t="shared" ref="S13:AF13" si="5">SUM(C22:C25)</f>
        <v>61.142857142857146</v>
      </c>
      <c r="T13" s="17">
        <f t="shared" si="5"/>
        <v>13.714285714285714</v>
      </c>
      <c r="U13" s="17">
        <f t="shared" si="5"/>
        <v>25.571428571428573</v>
      </c>
      <c r="V13" s="17">
        <f t="shared" si="5"/>
        <v>10.142857142857142</v>
      </c>
      <c r="W13" s="17">
        <f t="shared" si="5"/>
        <v>1.5714285714285714</v>
      </c>
      <c r="X13" s="17">
        <f t="shared" si="5"/>
        <v>0.71428571428571419</v>
      </c>
      <c r="Y13" s="17">
        <f t="shared" si="5"/>
        <v>13.714285714285715</v>
      </c>
      <c r="Z13" s="17">
        <f t="shared" si="5"/>
        <v>5.1190476190476195</v>
      </c>
      <c r="AA13" s="17">
        <f t="shared" si="5"/>
        <v>0</v>
      </c>
      <c r="AB13" s="17">
        <f t="shared" si="5"/>
        <v>2.714285714285714</v>
      </c>
      <c r="AC13" s="17">
        <f t="shared" si="5"/>
        <v>300.57142857142856</v>
      </c>
      <c r="AD13" s="17">
        <f t="shared" si="5"/>
        <v>0</v>
      </c>
      <c r="AE13" s="31">
        <f t="shared" si="5"/>
        <v>134.40476190476193</v>
      </c>
      <c r="AF13" s="31">
        <f t="shared" si="5"/>
        <v>434.97619047619048</v>
      </c>
    </row>
    <row r="14" spans="2:32" ht="23.1" customHeight="1" x14ac:dyDescent="0.25">
      <c r="B14" s="23" t="s">
        <v>41</v>
      </c>
      <c r="C14" s="49">
        <f>'Avg Week Koboko-Arua'!C14+'Avg Week Arua-Koboko'!C14</f>
        <v>10</v>
      </c>
      <c r="D14" s="49">
        <f>'Avg Week Koboko-Arua'!D14+'Avg Week Arua-Koboko'!D14</f>
        <v>2.4285714285714284</v>
      </c>
      <c r="E14" s="49">
        <f>'Avg Week Koboko-Arua'!E14+'Avg Week Arua-Koboko'!E14</f>
        <v>3.8571428571428577</v>
      </c>
      <c r="F14" s="49">
        <f>'Avg Week Koboko-Arua'!F14+'Avg Week Arua-Koboko'!F14</f>
        <v>4.5714285714285712</v>
      </c>
      <c r="G14" s="49">
        <f>'Avg Week Koboko-Arua'!G14+'Avg Week Arua-Koboko'!G14</f>
        <v>0.14285714285714285</v>
      </c>
      <c r="H14" s="49">
        <f>'Avg Week Koboko-Arua'!H14+'Avg Week Arua-Koboko'!H14</f>
        <v>0.71428571428571419</v>
      </c>
      <c r="I14" s="49">
        <f>'Avg Week Koboko-Arua'!I14+'Avg Week Arua-Koboko'!I14</f>
        <v>2</v>
      </c>
      <c r="J14" s="49">
        <f>'Avg Week Koboko-Arua'!J14+'Avg Week Arua-Koboko'!J14</f>
        <v>1.2857142857142856</v>
      </c>
      <c r="K14" s="49">
        <f>'Avg Week Koboko-Arua'!K14+'Avg Week Arua-Koboko'!K14</f>
        <v>0</v>
      </c>
      <c r="L14" s="49">
        <f>'Avg Week Koboko-Arua'!L14+'Avg Week Arua-Koboko'!L14</f>
        <v>0.5714285714285714</v>
      </c>
      <c r="M14" s="49">
        <f>'Avg Week Koboko-Arua'!M14+'Avg Week Arua-Koboko'!M14</f>
        <v>64.714285714285708</v>
      </c>
      <c r="N14" s="49">
        <f>'Avg Week Koboko-Arua'!N14+'Avg Week Arua-Koboko'!N14</f>
        <v>0</v>
      </c>
      <c r="O14" s="15">
        <f t="shared" si="0"/>
        <v>25.571428571428569</v>
      </c>
      <c r="P14" s="15">
        <f t="shared" si="1"/>
        <v>90.285714285714278</v>
      </c>
      <c r="R14" s="1" t="s">
        <v>10</v>
      </c>
      <c r="S14" s="17">
        <f t="shared" ref="S14:AF14" si="6">SUM(C26:C29)</f>
        <v>71.714285714285722</v>
      </c>
      <c r="T14" s="17">
        <f t="shared" si="6"/>
        <v>9.5714285714285712</v>
      </c>
      <c r="U14" s="17">
        <f t="shared" si="6"/>
        <v>19.428571428571427</v>
      </c>
      <c r="V14" s="17">
        <f t="shared" si="6"/>
        <v>9.7142857142857135</v>
      </c>
      <c r="W14" s="17">
        <f t="shared" si="6"/>
        <v>0.71428571428571419</v>
      </c>
      <c r="X14" s="17">
        <f t="shared" si="6"/>
        <v>1.1428571428571428</v>
      </c>
      <c r="Y14" s="17">
        <f t="shared" si="6"/>
        <v>12.714285714285715</v>
      </c>
      <c r="Z14" s="17">
        <f t="shared" si="6"/>
        <v>5.166666666666667</v>
      </c>
      <c r="AA14" s="17">
        <f t="shared" si="6"/>
        <v>0.2857142857142857</v>
      </c>
      <c r="AB14" s="17">
        <f t="shared" si="6"/>
        <v>2.1428571428571428</v>
      </c>
      <c r="AC14" s="17">
        <f t="shared" si="6"/>
        <v>269.71428571428578</v>
      </c>
      <c r="AD14" s="17">
        <f t="shared" si="6"/>
        <v>0.2857142857142857</v>
      </c>
      <c r="AE14" s="31">
        <f t="shared" si="6"/>
        <v>132.88095238095238</v>
      </c>
      <c r="AF14" s="31">
        <f t="shared" si="6"/>
        <v>402.59523809523807</v>
      </c>
    </row>
    <row r="15" spans="2:32" ht="23.1" customHeight="1" x14ac:dyDescent="0.25">
      <c r="B15" s="23" t="s">
        <v>42</v>
      </c>
      <c r="C15" s="49">
        <f>'Avg Week Koboko-Arua'!C15+'Avg Week Arua-Koboko'!C15</f>
        <v>14.285714285714286</v>
      </c>
      <c r="D15" s="49">
        <f>'Avg Week Koboko-Arua'!D15+'Avg Week Arua-Koboko'!D15</f>
        <v>1.2857142857142856</v>
      </c>
      <c r="E15" s="49">
        <f>'Avg Week Koboko-Arua'!E15+'Avg Week Arua-Koboko'!E15</f>
        <v>3.2857142857142856</v>
      </c>
      <c r="F15" s="49">
        <f>'Avg Week Koboko-Arua'!F15+'Avg Week Arua-Koboko'!F15</f>
        <v>5</v>
      </c>
      <c r="G15" s="49">
        <f>'Avg Week Koboko-Arua'!G15+'Avg Week Arua-Koboko'!G15</f>
        <v>0.71428571428571419</v>
      </c>
      <c r="H15" s="49">
        <f>'Avg Week Koboko-Arua'!H15+'Avg Week Arua-Koboko'!H15</f>
        <v>0.42857142857142855</v>
      </c>
      <c r="I15" s="49">
        <f>'Avg Week Koboko-Arua'!I15+'Avg Week Arua-Koboko'!I15</f>
        <v>1.4285714285714284</v>
      </c>
      <c r="J15" s="49">
        <f>'Avg Week Koboko-Arua'!J15+'Avg Week Arua-Koboko'!J15</f>
        <v>2.2857142857142856</v>
      </c>
      <c r="K15" s="49">
        <f>'Avg Week Koboko-Arua'!K15+'Avg Week Arua-Koboko'!K15</f>
        <v>0</v>
      </c>
      <c r="L15" s="49">
        <f>'Avg Week Koboko-Arua'!L15+'Avg Week Arua-Koboko'!L15</f>
        <v>0.8571428571428571</v>
      </c>
      <c r="M15" s="49">
        <f>'Avg Week Koboko-Arua'!M15+'Avg Week Arua-Koboko'!M15</f>
        <v>56.571428571428569</v>
      </c>
      <c r="N15" s="49">
        <f>'Avg Week Koboko-Arua'!N15+'Avg Week Arua-Koboko'!N15</f>
        <v>0</v>
      </c>
      <c r="O15" s="15">
        <f t="shared" si="0"/>
        <v>29.571428571428569</v>
      </c>
      <c r="P15" s="15">
        <f t="shared" si="1"/>
        <v>86.142857142857139</v>
      </c>
      <c r="R15" s="1" t="s">
        <v>11</v>
      </c>
      <c r="S15" s="17">
        <f t="shared" ref="S15:AF15" si="7">SUM(C30:C33)</f>
        <v>66.571428571428569</v>
      </c>
      <c r="T15" s="17">
        <f t="shared" si="7"/>
        <v>11.714285714285712</v>
      </c>
      <c r="U15" s="17">
        <f t="shared" si="7"/>
        <v>23</v>
      </c>
      <c r="V15" s="17">
        <f t="shared" si="7"/>
        <v>11.142857142857142</v>
      </c>
      <c r="W15" s="17">
        <f t="shared" si="7"/>
        <v>0.5714285714285714</v>
      </c>
      <c r="X15" s="17">
        <f t="shared" si="7"/>
        <v>0.71428571428571419</v>
      </c>
      <c r="Y15" s="17">
        <f t="shared" si="7"/>
        <v>14.428571428571429</v>
      </c>
      <c r="Z15" s="17">
        <f t="shared" si="7"/>
        <v>5</v>
      </c>
      <c r="AA15" s="17">
        <f t="shared" si="7"/>
        <v>0.5714285714285714</v>
      </c>
      <c r="AB15" s="17">
        <f t="shared" si="7"/>
        <v>0.85714285714285698</v>
      </c>
      <c r="AC15" s="17">
        <f t="shared" si="7"/>
        <v>300</v>
      </c>
      <c r="AD15" s="17">
        <f t="shared" si="7"/>
        <v>0.14285714285714285</v>
      </c>
      <c r="AE15" s="31">
        <f t="shared" si="7"/>
        <v>134.71428571428572</v>
      </c>
      <c r="AF15" s="31">
        <f t="shared" si="7"/>
        <v>434.71428571428572</v>
      </c>
    </row>
    <row r="16" spans="2:32" ht="23.1" customHeight="1" x14ac:dyDescent="0.25">
      <c r="B16" s="23" t="s">
        <v>43</v>
      </c>
      <c r="C16" s="49">
        <f>'Avg Week Koboko-Arua'!C16+'Avg Week Arua-Koboko'!C16</f>
        <v>13.428571428571427</v>
      </c>
      <c r="D16" s="49">
        <f>'Avg Week Koboko-Arua'!D16+'Avg Week Arua-Koboko'!D16</f>
        <v>1.8571428571428572</v>
      </c>
      <c r="E16" s="49">
        <f>'Avg Week Koboko-Arua'!E16+'Avg Week Arua-Koboko'!E16</f>
        <v>3.1428571428571428</v>
      </c>
      <c r="F16" s="49">
        <f>'Avg Week Koboko-Arua'!F16+'Avg Week Arua-Koboko'!F16</f>
        <v>2.7142857142857144</v>
      </c>
      <c r="G16" s="49">
        <f>'Avg Week Koboko-Arua'!G16+'Avg Week Arua-Koboko'!G16</f>
        <v>0.5714285714285714</v>
      </c>
      <c r="H16" s="49">
        <f>'Avg Week Koboko-Arua'!H16+'Avg Week Arua-Koboko'!H16</f>
        <v>0</v>
      </c>
      <c r="I16" s="49">
        <f>'Avg Week Koboko-Arua'!I16+'Avg Week Arua-Koboko'!I16</f>
        <v>3</v>
      </c>
      <c r="J16" s="49">
        <f>'Avg Week Koboko-Arua'!J16+'Avg Week Arua-Koboko'!J16</f>
        <v>1</v>
      </c>
      <c r="K16" s="49">
        <f>'Avg Week Koboko-Arua'!K16+'Avg Week Arua-Koboko'!K16</f>
        <v>0.14285714285714285</v>
      </c>
      <c r="L16" s="49">
        <f>'Avg Week Koboko-Arua'!L16+'Avg Week Arua-Koboko'!L16</f>
        <v>1.8571428571428572</v>
      </c>
      <c r="M16" s="49">
        <f>'Avg Week Koboko-Arua'!M16+'Avg Week Arua-Koboko'!M16</f>
        <v>66.714285714285722</v>
      </c>
      <c r="N16" s="49">
        <f>'Avg Week Koboko-Arua'!N16+'Avg Week Arua-Koboko'!N16</f>
        <v>0</v>
      </c>
      <c r="O16" s="15">
        <f t="shared" si="0"/>
        <v>27.714285714285715</v>
      </c>
      <c r="P16" s="15">
        <f t="shared" si="1"/>
        <v>94.428571428571445</v>
      </c>
      <c r="R16" s="1" t="s">
        <v>12</v>
      </c>
      <c r="S16" s="17">
        <f t="shared" ref="S16:AF16" si="8">SUM(C34:C37)</f>
        <v>55.714285714285715</v>
      </c>
      <c r="T16" s="17">
        <f t="shared" si="8"/>
        <v>11.428571428571427</v>
      </c>
      <c r="U16" s="17">
        <f t="shared" si="8"/>
        <v>21.428571428571427</v>
      </c>
      <c r="V16" s="17">
        <f t="shared" si="8"/>
        <v>11.714285714285715</v>
      </c>
      <c r="W16" s="17">
        <f t="shared" si="8"/>
        <v>0.42857142857142855</v>
      </c>
      <c r="X16" s="17">
        <f t="shared" si="8"/>
        <v>29.571428571428569</v>
      </c>
      <c r="Y16" s="17">
        <f t="shared" si="8"/>
        <v>14</v>
      </c>
      <c r="Z16" s="17">
        <f t="shared" si="8"/>
        <v>6.371428571428571</v>
      </c>
      <c r="AA16" s="17">
        <f t="shared" si="8"/>
        <v>0.71428571428571419</v>
      </c>
      <c r="AB16" s="17">
        <f t="shared" si="8"/>
        <v>2.1428571428571428</v>
      </c>
      <c r="AC16" s="17">
        <f t="shared" si="8"/>
        <v>246.85714285714286</v>
      </c>
      <c r="AD16" s="17">
        <f t="shared" si="8"/>
        <v>1.4761904761904761</v>
      </c>
      <c r="AE16" s="31">
        <f t="shared" si="8"/>
        <v>154.99047619047622</v>
      </c>
      <c r="AF16" s="31">
        <f t="shared" si="8"/>
        <v>401.84761904761911</v>
      </c>
    </row>
    <row r="17" spans="2:32" ht="23.1" customHeight="1" x14ac:dyDescent="0.25">
      <c r="B17" s="23" t="s">
        <v>44</v>
      </c>
      <c r="C17" s="49">
        <f>'Avg Week Koboko-Arua'!C17+'Avg Week Arua-Koboko'!C17</f>
        <v>11.857142857142858</v>
      </c>
      <c r="D17" s="49">
        <f>'Avg Week Koboko-Arua'!D17+'Avg Week Arua-Koboko'!D17</f>
        <v>3.1428571428571432</v>
      </c>
      <c r="E17" s="49">
        <f>'Avg Week Koboko-Arua'!E17+'Avg Week Arua-Koboko'!E17</f>
        <v>6</v>
      </c>
      <c r="F17" s="49">
        <f>'Avg Week Koboko-Arua'!F17+'Avg Week Arua-Koboko'!F17</f>
        <v>6.7142857142857144</v>
      </c>
      <c r="G17" s="49">
        <f>'Avg Week Koboko-Arua'!G17+'Avg Week Arua-Koboko'!G17</f>
        <v>0.42857142857142855</v>
      </c>
      <c r="H17" s="49">
        <f>'Avg Week Koboko-Arua'!H17+'Avg Week Arua-Koboko'!H17</f>
        <v>0.2857142857142857</v>
      </c>
      <c r="I17" s="49">
        <f>'Avg Week Koboko-Arua'!I17+'Avg Week Arua-Koboko'!I17</f>
        <v>3.2857142857142856</v>
      </c>
      <c r="J17" s="49">
        <f>'Avg Week Koboko-Arua'!J17+'Avg Week Arua-Koboko'!J17</f>
        <v>1.4285714285714286</v>
      </c>
      <c r="K17" s="49">
        <f>'Avg Week Koboko-Arua'!K17+'Avg Week Arua-Koboko'!K17</f>
        <v>0</v>
      </c>
      <c r="L17" s="49">
        <f>'Avg Week Koboko-Arua'!L17+'Avg Week Arua-Koboko'!L17</f>
        <v>0.42857142857142855</v>
      </c>
      <c r="M17" s="49">
        <f>'Avg Week Koboko-Arua'!M17+'Avg Week Arua-Koboko'!M17</f>
        <v>53</v>
      </c>
      <c r="N17" s="49">
        <f>'Avg Week Koboko-Arua'!N17+'Avg Week Arua-Koboko'!N17</f>
        <v>0</v>
      </c>
      <c r="O17" s="15">
        <f t="shared" si="0"/>
        <v>33.571428571428569</v>
      </c>
      <c r="P17" s="15">
        <f t="shared" si="1"/>
        <v>86.571428571428569</v>
      </c>
      <c r="R17" s="1" t="s">
        <v>13</v>
      </c>
      <c r="S17" s="17">
        <f t="shared" ref="S17:AF17" si="9">SUM(C38:C41)</f>
        <v>55.714285714285708</v>
      </c>
      <c r="T17" s="17">
        <f t="shared" si="9"/>
        <v>8.8571428571428577</v>
      </c>
      <c r="U17" s="17">
        <f t="shared" si="9"/>
        <v>16.428571428571431</v>
      </c>
      <c r="V17" s="17">
        <f t="shared" si="9"/>
        <v>9.8571428571428577</v>
      </c>
      <c r="W17" s="17">
        <f t="shared" si="9"/>
        <v>1.2857142857142856</v>
      </c>
      <c r="X17" s="17">
        <f t="shared" si="9"/>
        <v>28.142857142857142</v>
      </c>
      <c r="Y17" s="17">
        <f t="shared" si="9"/>
        <v>10.857142857142858</v>
      </c>
      <c r="Z17" s="17">
        <f t="shared" si="9"/>
        <v>6</v>
      </c>
      <c r="AA17" s="17">
        <f t="shared" si="9"/>
        <v>0.42857142857142855</v>
      </c>
      <c r="AB17" s="17">
        <f t="shared" si="9"/>
        <v>0.8571428571428571</v>
      </c>
      <c r="AC17" s="17">
        <f t="shared" si="9"/>
        <v>256.28571428571428</v>
      </c>
      <c r="AD17" s="17">
        <f t="shared" si="9"/>
        <v>0</v>
      </c>
      <c r="AE17" s="31">
        <f t="shared" si="9"/>
        <v>138.42857142857144</v>
      </c>
      <c r="AF17" s="31">
        <f t="shared" si="9"/>
        <v>394.71428571428567</v>
      </c>
    </row>
    <row r="18" spans="2:32" ht="23.1" customHeight="1" x14ac:dyDescent="0.25">
      <c r="B18" s="23" t="s">
        <v>45</v>
      </c>
      <c r="C18" s="49">
        <f>'Avg Week Koboko-Arua'!C18+'Avg Week Arua-Koboko'!C18</f>
        <v>19.428571428571427</v>
      </c>
      <c r="D18" s="49">
        <f>'Avg Week Koboko-Arua'!D18+'Avg Week Arua-Koboko'!D18</f>
        <v>2.4285714285714284</v>
      </c>
      <c r="E18" s="49">
        <f>'Avg Week Koboko-Arua'!E18+'Avg Week Arua-Koboko'!E18</f>
        <v>4.7142857142857144</v>
      </c>
      <c r="F18" s="49">
        <f>'Avg Week Koboko-Arua'!F18+'Avg Week Arua-Koboko'!F18</f>
        <v>3.5714285714285712</v>
      </c>
      <c r="G18" s="49">
        <f>'Avg Week Koboko-Arua'!G18+'Avg Week Arua-Koboko'!G18</f>
        <v>0.42857142857142855</v>
      </c>
      <c r="H18" s="49">
        <f>'Avg Week Koboko-Arua'!H18+'Avg Week Arua-Koboko'!H18</f>
        <v>0</v>
      </c>
      <c r="I18" s="49">
        <f>'Avg Week Koboko-Arua'!I18+'Avg Week Arua-Koboko'!I18</f>
        <v>2</v>
      </c>
      <c r="J18" s="49">
        <f>'Avg Week Koboko-Arua'!J18+'Avg Week Arua-Koboko'!J18</f>
        <v>1.2857142857142856</v>
      </c>
      <c r="K18" s="49">
        <f>'Avg Week Koboko-Arua'!K18+'Avg Week Arua-Koboko'!K18</f>
        <v>0.14285714285714285</v>
      </c>
      <c r="L18" s="49">
        <f>'Avg Week Koboko-Arua'!L18+'Avg Week Arua-Koboko'!L18</f>
        <v>0.2857142857142857</v>
      </c>
      <c r="M18" s="49">
        <f>'Avg Week Koboko-Arua'!M18+'Avg Week Arua-Koboko'!M18</f>
        <v>59.571428571428569</v>
      </c>
      <c r="N18" s="49">
        <f>'Avg Week Koboko-Arua'!N18+'Avg Week Arua-Koboko'!N18</f>
        <v>0</v>
      </c>
      <c r="O18" s="15">
        <f t="shared" si="0"/>
        <v>34.285714285714285</v>
      </c>
      <c r="P18" s="15">
        <f t="shared" si="1"/>
        <v>93.857142857142861</v>
      </c>
      <c r="R18" s="1" t="s">
        <v>14</v>
      </c>
      <c r="S18" s="17">
        <f t="shared" ref="S18:AF18" si="10">SUM(C42:C45)</f>
        <v>56.571428571428577</v>
      </c>
      <c r="T18" s="17">
        <f t="shared" si="10"/>
        <v>13.428571428571429</v>
      </c>
      <c r="U18" s="17">
        <f t="shared" si="10"/>
        <v>27.428571428571431</v>
      </c>
      <c r="V18" s="17">
        <f t="shared" si="10"/>
        <v>6.7142857142857135</v>
      </c>
      <c r="W18" s="17">
        <f t="shared" si="10"/>
        <v>0.14285714285714285</v>
      </c>
      <c r="X18" s="17">
        <f t="shared" si="10"/>
        <v>21.571428571428569</v>
      </c>
      <c r="Y18" s="17">
        <f t="shared" si="10"/>
        <v>11.428571428571431</v>
      </c>
      <c r="Z18" s="17">
        <f t="shared" si="10"/>
        <v>6.3095238095238093</v>
      </c>
      <c r="AA18" s="17">
        <f t="shared" si="10"/>
        <v>0.14285714285714285</v>
      </c>
      <c r="AB18" s="17">
        <f t="shared" si="10"/>
        <v>1.9999999999999998</v>
      </c>
      <c r="AC18" s="17">
        <f t="shared" si="10"/>
        <v>231.14285714285717</v>
      </c>
      <c r="AD18" s="17">
        <f t="shared" si="10"/>
        <v>0.14285714285714285</v>
      </c>
      <c r="AE18" s="31">
        <f t="shared" si="10"/>
        <v>145.88095238095238</v>
      </c>
      <c r="AF18" s="31">
        <f t="shared" si="10"/>
        <v>377.02380952380952</v>
      </c>
    </row>
    <row r="19" spans="2:32" ht="23.1" customHeight="1" x14ac:dyDescent="0.25">
      <c r="B19" s="23" t="s">
        <v>46</v>
      </c>
      <c r="C19" s="49">
        <f>'Avg Week Koboko-Arua'!C19+'Avg Week Arua-Koboko'!C19</f>
        <v>19</v>
      </c>
      <c r="D19" s="49">
        <f>'Avg Week Koboko-Arua'!D19+'Avg Week Arua-Koboko'!D19</f>
        <v>2.4285714285714288</v>
      </c>
      <c r="E19" s="49">
        <f>'Avg Week Koboko-Arua'!E19+'Avg Week Arua-Koboko'!E19</f>
        <v>4.5714285714285712</v>
      </c>
      <c r="F19" s="49">
        <f>'Avg Week Koboko-Arua'!F19+'Avg Week Arua-Koboko'!F19</f>
        <v>5</v>
      </c>
      <c r="G19" s="49">
        <f>'Avg Week Koboko-Arua'!G19+'Avg Week Arua-Koboko'!G19</f>
        <v>0</v>
      </c>
      <c r="H19" s="49">
        <f>'Avg Week Koboko-Arua'!H19+'Avg Week Arua-Koboko'!H19</f>
        <v>0.14285714285714285</v>
      </c>
      <c r="I19" s="49">
        <f>'Avg Week Koboko-Arua'!I19+'Avg Week Arua-Koboko'!I19</f>
        <v>2</v>
      </c>
      <c r="J19" s="49">
        <f>'Avg Week Koboko-Arua'!J19+'Avg Week Arua-Koboko'!J19</f>
        <v>2.2857142857142856</v>
      </c>
      <c r="K19" s="49">
        <f>'Avg Week Koboko-Arua'!K19+'Avg Week Arua-Koboko'!K19</f>
        <v>0</v>
      </c>
      <c r="L19" s="49">
        <f>'Avg Week Koboko-Arua'!L19+'Avg Week Arua-Koboko'!L19</f>
        <v>1</v>
      </c>
      <c r="M19" s="49">
        <f>'Avg Week Koboko-Arua'!M19+'Avg Week Arua-Koboko'!M19</f>
        <v>54.142857142857139</v>
      </c>
      <c r="N19" s="49">
        <f>'Avg Week Koboko-Arua'!N19+'Avg Week Arua-Koboko'!N19</f>
        <v>0</v>
      </c>
      <c r="O19" s="15">
        <f t="shared" si="0"/>
        <v>36.428571428571423</v>
      </c>
      <c r="P19" s="15">
        <f t="shared" si="1"/>
        <v>90.571428571428555</v>
      </c>
      <c r="R19" s="1" t="s">
        <v>15</v>
      </c>
      <c r="S19" s="17">
        <f t="shared" ref="S19:AF19" si="11">SUM(C46:C49)</f>
        <v>65.428571428571431</v>
      </c>
      <c r="T19" s="17">
        <f t="shared" si="11"/>
        <v>13.285714285714285</v>
      </c>
      <c r="U19" s="17">
        <f t="shared" si="11"/>
        <v>23.428571428571431</v>
      </c>
      <c r="V19" s="17">
        <f t="shared" si="11"/>
        <v>11.428571428571429</v>
      </c>
      <c r="W19" s="17">
        <f t="shared" si="11"/>
        <v>1.2857142857142856</v>
      </c>
      <c r="X19" s="17">
        <f t="shared" si="11"/>
        <v>22.714285714285715</v>
      </c>
      <c r="Y19" s="17">
        <f t="shared" si="11"/>
        <v>8.0952380952380949</v>
      </c>
      <c r="Z19" s="17">
        <f t="shared" si="11"/>
        <v>7.7142857142857144</v>
      </c>
      <c r="AA19" s="17">
        <f t="shared" si="11"/>
        <v>0.2857142857142857</v>
      </c>
      <c r="AB19" s="17">
        <f t="shared" si="11"/>
        <v>2.4285714285714284</v>
      </c>
      <c r="AC19" s="17">
        <f t="shared" si="11"/>
        <v>220.85714285714289</v>
      </c>
      <c r="AD19" s="17">
        <f t="shared" si="11"/>
        <v>0</v>
      </c>
      <c r="AE19" s="31">
        <f t="shared" si="11"/>
        <v>156.0952380952381</v>
      </c>
      <c r="AF19" s="31">
        <f t="shared" si="11"/>
        <v>376.95238095238096</v>
      </c>
    </row>
    <row r="20" spans="2:32" ht="23.1" customHeight="1" x14ac:dyDescent="0.25">
      <c r="B20" s="23" t="s">
        <v>47</v>
      </c>
      <c r="C20" s="49">
        <f>'Avg Week Koboko-Arua'!C20+'Avg Week Arua-Koboko'!C20</f>
        <v>14.714285714285715</v>
      </c>
      <c r="D20" s="49">
        <f>'Avg Week Koboko-Arua'!D20+'Avg Week Arua-Koboko'!D20</f>
        <v>3.4285714285714288</v>
      </c>
      <c r="E20" s="49">
        <f>'Avg Week Koboko-Arua'!E20+'Avg Week Arua-Koboko'!E20</f>
        <v>7.8571428571428568</v>
      </c>
      <c r="F20" s="49">
        <f>'Avg Week Koboko-Arua'!F20+'Avg Week Arua-Koboko'!F20</f>
        <v>4.1428571428571432</v>
      </c>
      <c r="G20" s="49">
        <f>'Avg Week Koboko-Arua'!G20+'Avg Week Arua-Koboko'!G20</f>
        <v>0.14285714285714285</v>
      </c>
      <c r="H20" s="49">
        <f>'Avg Week Koboko-Arua'!H20+'Avg Week Arua-Koboko'!H20</f>
        <v>0.14285714285714285</v>
      </c>
      <c r="I20" s="49">
        <f>'Avg Week Koboko-Arua'!I20+'Avg Week Arua-Koboko'!I20</f>
        <v>4.1428571428571432</v>
      </c>
      <c r="J20" s="49">
        <f>'Avg Week Koboko-Arua'!J20+'Avg Week Arua-Koboko'!J20</f>
        <v>1.2380952380952381</v>
      </c>
      <c r="K20" s="49">
        <f>'Avg Week Koboko-Arua'!K20+'Avg Week Arua-Koboko'!K20</f>
        <v>0.2857142857142857</v>
      </c>
      <c r="L20" s="49">
        <f>'Avg Week Koboko-Arua'!L20+'Avg Week Arua-Koboko'!L20</f>
        <v>0.14285714285714285</v>
      </c>
      <c r="M20" s="49">
        <f>'Avg Week Koboko-Arua'!M20+'Avg Week Arua-Koboko'!M20</f>
        <v>73.714285714285708</v>
      </c>
      <c r="N20" s="49">
        <f>'Avg Week Koboko-Arua'!N20+'Avg Week Arua-Koboko'!N20</f>
        <v>0</v>
      </c>
      <c r="O20" s="15">
        <f t="shared" si="0"/>
        <v>36.238095238095248</v>
      </c>
      <c r="P20" s="15">
        <f t="shared" si="1"/>
        <v>109.95238095238096</v>
      </c>
      <c r="R20" s="1" t="s">
        <v>16</v>
      </c>
      <c r="S20" s="17">
        <f t="shared" ref="S20:AF20" si="12">SUM(C50:C53)</f>
        <v>68.142857142857139</v>
      </c>
      <c r="T20" s="17">
        <f t="shared" si="12"/>
        <v>12.142857142857142</v>
      </c>
      <c r="U20" s="17">
        <f t="shared" si="12"/>
        <v>23.285714285714285</v>
      </c>
      <c r="V20" s="17">
        <f t="shared" si="12"/>
        <v>13.142857142857142</v>
      </c>
      <c r="W20" s="17">
        <f t="shared" si="12"/>
        <v>4.2857142857142847</v>
      </c>
      <c r="X20" s="17">
        <f t="shared" si="12"/>
        <v>2.1428571428571428</v>
      </c>
      <c r="Y20" s="17">
        <f t="shared" si="12"/>
        <v>11.142857142857142</v>
      </c>
      <c r="Z20" s="17">
        <f t="shared" si="12"/>
        <v>14.714285714285714</v>
      </c>
      <c r="AA20" s="17">
        <f t="shared" si="12"/>
        <v>1.1428571428571428</v>
      </c>
      <c r="AB20" s="17">
        <f t="shared" si="12"/>
        <v>2.714285714285714</v>
      </c>
      <c r="AC20" s="17">
        <f t="shared" si="12"/>
        <v>275.42857142857144</v>
      </c>
      <c r="AD20" s="17">
        <f t="shared" si="12"/>
        <v>0.2857142857142857</v>
      </c>
      <c r="AE20" s="31">
        <f t="shared" si="12"/>
        <v>153.14285714285717</v>
      </c>
      <c r="AF20" s="31">
        <f t="shared" si="12"/>
        <v>428.57142857142861</v>
      </c>
    </row>
    <row r="21" spans="2:32" ht="23.1" customHeight="1" x14ac:dyDescent="0.25">
      <c r="B21" s="23" t="s">
        <v>48</v>
      </c>
      <c r="C21" s="49">
        <f>'Avg Week Koboko-Arua'!C21+'Avg Week Arua-Koboko'!C21</f>
        <v>18.285714285714285</v>
      </c>
      <c r="D21" s="49">
        <f>'Avg Week Koboko-Arua'!D21+'Avg Week Arua-Koboko'!D21</f>
        <v>3.2857142857142856</v>
      </c>
      <c r="E21" s="49">
        <f>'Avg Week Koboko-Arua'!E21+'Avg Week Arua-Koboko'!E21</f>
        <v>6.5714285714285712</v>
      </c>
      <c r="F21" s="49">
        <f>'Avg Week Koboko-Arua'!F21+'Avg Week Arua-Koboko'!F21</f>
        <v>2.8571428571428572</v>
      </c>
      <c r="G21" s="49">
        <f>'Avg Week Koboko-Arua'!G21+'Avg Week Arua-Koboko'!G21</f>
        <v>0.14285714285714285</v>
      </c>
      <c r="H21" s="49">
        <f>'Avg Week Koboko-Arua'!H21+'Avg Week Arua-Koboko'!H21</f>
        <v>0</v>
      </c>
      <c r="I21" s="49">
        <f>'Avg Week Koboko-Arua'!I21+'Avg Week Arua-Koboko'!I21</f>
        <v>1.9523809523809526</v>
      </c>
      <c r="J21" s="49">
        <f>'Avg Week Koboko-Arua'!J21+'Avg Week Arua-Koboko'!J21</f>
        <v>0.7142857142857143</v>
      </c>
      <c r="K21" s="49">
        <f>'Avg Week Koboko-Arua'!K21+'Avg Week Arua-Koboko'!K21</f>
        <v>0</v>
      </c>
      <c r="L21" s="49">
        <f>'Avg Week Koboko-Arua'!L21+'Avg Week Arua-Koboko'!L21</f>
        <v>0.14285714285714285</v>
      </c>
      <c r="M21" s="49">
        <f>'Avg Week Koboko-Arua'!M21+'Avg Week Arua-Koboko'!M21</f>
        <v>64.428571428571431</v>
      </c>
      <c r="N21" s="49">
        <f>'Avg Week Koboko-Arua'!N21+'Avg Week Arua-Koboko'!N21</f>
        <v>0</v>
      </c>
      <c r="O21" s="15">
        <f t="shared" si="0"/>
        <v>33.952380952380949</v>
      </c>
      <c r="P21" s="15">
        <f t="shared" si="1"/>
        <v>98.38095238095238</v>
      </c>
      <c r="R21" s="36" t="s">
        <v>20</v>
      </c>
      <c r="S21" s="34">
        <f t="shared" ref="S21:AF21" si="13">SUM(C54:C57)</f>
        <v>48.142857142857139</v>
      </c>
      <c r="T21" s="17">
        <f t="shared" si="13"/>
        <v>8.7142857142857153</v>
      </c>
      <c r="U21" s="17">
        <f t="shared" si="13"/>
        <v>15.142857142857144</v>
      </c>
      <c r="V21" s="17">
        <f t="shared" si="13"/>
        <v>10.714285714285712</v>
      </c>
      <c r="W21" s="17">
        <f t="shared" si="13"/>
        <v>6.4285714285714279</v>
      </c>
      <c r="X21" s="17">
        <f t="shared" si="13"/>
        <v>2.1428571428571428</v>
      </c>
      <c r="Y21" s="17">
        <f t="shared" si="13"/>
        <v>9.7142857142857153</v>
      </c>
      <c r="Z21" s="17">
        <f t="shared" si="13"/>
        <v>8.5714285714285712</v>
      </c>
      <c r="AA21" s="17">
        <f t="shared" si="13"/>
        <v>3.4285714285714288</v>
      </c>
      <c r="AB21" s="17">
        <f t="shared" si="13"/>
        <v>4.5714285714285712</v>
      </c>
      <c r="AC21" s="17">
        <f t="shared" si="13"/>
        <v>230.42857142857144</v>
      </c>
      <c r="AD21" s="17">
        <f t="shared" si="13"/>
        <v>0</v>
      </c>
      <c r="AE21" s="31">
        <f t="shared" si="13"/>
        <v>117.57142857142857</v>
      </c>
      <c r="AF21" s="31">
        <f t="shared" si="13"/>
        <v>348</v>
      </c>
    </row>
    <row r="22" spans="2:32" ht="23.1" customHeight="1" x14ac:dyDescent="0.25">
      <c r="B22" s="23" t="s">
        <v>49</v>
      </c>
      <c r="C22" s="49">
        <f>'Avg Week Koboko-Arua'!C22+'Avg Week Arua-Koboko'!C22</f>
        <v>12.857142857142858</v>
      </c>
      <c r="D22" s="49">
        <f>'Avg Week Koboko-Arua'!D22+'Avg Week Arua-Koboko'!D22</f>
        <v>3.4285714285714288</v>
      </c>
      <c r="E22" s="49">
        <f>'Avg Week Koboko-Arua'!E22+'Avg Week Arua-Koboko'!E22</f>
        <v>7.4285714285714288</v>
      </c>
      <c r="F22" s="49">
        <f>'Avg Week Koboko-Arua'!F22+'Avg Week Arua-Koboko'!F22</f>
        <v>3.2857142857142856</v>
      </c>
      <c r="G22" s="49">
        <f>'Avg Week Koboko-Arua'!G22+'Avg Week Arua-Koboko'!G22</f>
        <v>0.42857142857142855</v>
      </c>
      <c r="H22" s="49">
        <f>'Avg Week Koboko-Arua'!H22+'Avg Week Arua-Koboko'!H22</f>
        <v>0</v>
      </c>
      <c r="I22" s="49">
        <f>'Avg Week Koboko-Arua'!I22+'Avg Week Arua-Koboko'!I22</f>
        <v>3.2857142857142856</v>
      </c>
      <c r="J22" s="49">
        <f>'Avg Week Koboko-Arua'!J22+'Avg Week Arua-Koboko'!J22</f>
        <v>1.8333333333333335</v>
      </c>
      <c r="K22" s="49">
        <f>'Avg Week Koboko-Arua'!K22+'Avg Week Arua-Koboko'!K22</f>
        <v>0</v>
      </c>
      <c r="L22" s="49">
        <f>'Avg Week Koboko-Arua'!L22+'Avg Week Arua-Koboko'!L22</f>
        <v>1.1428571428571428</v>
      </c>
      <c r="M22" s="49">
        <f>'Avg Week Koboko-Arua'!M22+'Avg Week Arua-Koboko'!M22</f>
        <v>72.714285714285722</v>
      </c>
      <c r="N22" s="49">
        <f>'Avg Week Koboko-Arua'!N22+'Avg Week Arua-Koboko'!N22</f>
        <v>0</v>
      </c>
      <c r="O22" s="15">
        <f t="shared" si="0"/>
        <v>33.69047619047619</v>
      </c>
      <c r="P22" s="15">
        <f t="shared" si="1"/>
        <v>106.40476190476191</v>
      </c>
      <c r="R22" s="1" t="s">
        <v>146</v>
      </c>
      <c r="S22" s="34">
        <f>SUM(C58:C61)</f>
        <v>77.5</v>
      </c>
      <c r="T22" s="34">
        <f t="shared" ref="T22:AF22" si="14">SUM(D58:D61)</f>
        <v>13</v>
      </c>
      <c r="U22" s="34">
        <f t="shared" si="14"/>
        <v>26.5</v>
      </c>
      <c r="V22" s="34">
        <f t="shared" si="14"/>
        <v>23.5</v>
      </c>
      <c r="W22" s="34">
        <f t="shared" si="14"/>
        <v>12</v>
      </c>
      <c r="X22" s="34">
        <f t="shared" si="14"/>
        <v>2</v>
      </c>
      <c r="Y22" s="34">
        <f t="shared" si="14"/>
        <v>10</v>
      </c>
      <c r="Z22" s="34">
        <f t="shared" si="14"/>
        <v>7.5</v>
      </c>
      <c r="AA22" s="34">
        <f t="shared" si="14"/>
        <v>2</v>
      </c>
      <c r="AB22" s="34">
        <f t="shared" si="14"/>
        <v>1.5</v>
      </c>
      <c r="AC22" s="34">
        <f t="shared" si="14"/>
        <v>378</v>
      </c>
      <c r="AD22" s="34">
        <f t="shared" si="14"/>
        <v>0.5</v>
      </c>
      <c r="AE22" s="31">
        <f t="shared" si="14"/>
        <v>176</v>
      </c>
      <c r="AF22" s="31">
        <f t="shared" si="14"/>
        <v>554</v>
      </c>
    </row>
    <row r="23" spans="2:32" ht="23.1" customHeight="1" x14ac:dyDescent="0.25">
      <c r="B23" s="23" t="s">
        <v>50</v>
      </c>
      <c r="C23" s="49">
        <f>'Avg Week Koboko-Arua'!C23+'Avg Week Arua-Koboko'!C23</f>
        <v>15.428571428571427</v>
      </c>
      <c r="D23" s="49">
        <f>'Avg Week Koboko-Arua'!D23+'Avg Week Arua-Koboko'!D23</f>
        <v>4</v>
      </c>
      <c r="E23" s="49">
        <f>'Avg Week Koboko-Arua'!E23+'Avg Week Arua-Koboko'!E23</f>
        <v>6.7142857142857153</v>
      </c>
      <c r="F23" s="49">
        <f>'Avg Week Koboko-Arua'!F23+'Avg Week Arua-Koboko'!F23</f>
        <v>2.5714285714285712</v>
      </c>
      <c r="G23" s="49">
        <f>'Avg Week Koboko-Arua'!G23+'Avg Week Arua-Koboko'!G23</f>
        <v>0.85714285714285721</v>
      </c>
      <c r="H23" s="49">
        <f>'Avg Week Koboko-Arua'!H23+'Avg Week Arua-Koboko'!H23</f>
        <v>0</v>
      </c>
      <c r="I23" s="49">
        <f>'Avg Week Koboko-Arua'!I23+'Avg Week Arua-Koboko'!I23</f>
        <v>3.1428571428571428</v>
      </c>
      <c r="J23" s="49">
        <f>'Avg Week Koboko-Arua'!J23+'Avg Week Arua-Koboko'!J23</f>
        <v>1.2857142857142856</v>
      </c>
      <c r="K23" s="49">
        <f>'Avg Week Koboko-Arua'!K23+'Avg Week Arua-Koboko'!K23</f>
        <v>0</v>
      </c>
      <c r="L23" s="49">
        <f>'Avg Week Koboko-Arua'!L23+'Avg Week Arua-Koboko'!L23</f>
        <v>0.42857142857142855</v>
      </c>
      <c r="M23" s="49">
        <f>'Avg Week Koboko-Arua'!M23+'Avg Week Arua-Koboko'!M23</f>
        <v>75</v>
      </c>
      <c r="N23" s="49">
        <f>'Avg Week Koboko-Arua'!N23+'Avg Week Arua-Koboko'!N23</f>
        <v>0</v>
      </c>
      <c r="O23" s="15">
        <f t="shared" si="0"/>
        <v>34.428571428571431</v>
      </c>
      <c r="P23" s="15">
        <f t="shared" si="1"/>
        <v>109.42857142857143</v>
      </c>
      <c r="R23" s="1" t="s">
        <v>147</v>
      </c>
      <c r="S23" s="34">
        <f>SUM(C62:C65)</f>
        <v>45.5</v>
      </c>
      <c r="T23" s="34">
        <f t="shared" ref="T23:AF23" si="15">SUM(D62:D65)</f>
        <v>9.5</v>
      </c>
      <c r="U23" s="34">
        <f t="shared" si="15"/>
        <v>23.5</v>
      </c>
      <c r="V23" s="34">
        <f t="shared" si="15"/>
        <v>14.5</v>
      </c>
      <c r="W23" s="34">
        <f t="shared" si="15"/>
        <v>5.5</v>
      </c>
      <c r="X23" s="34">
        <f t="shared" si="15"/>
        <v>3.5</v>
      </c>
      <c r="Y23" s="34">
        <f t="shared" si="15"/>
        <v>11</v>
      </c>
      <c r="Z23" s="34">
        <f t="shared" si="15"/>
        <v>2.5</v>
      </c>
      <c r="AA23" s="34">
        <f t="shared" si="15"/>
        <v>3.5</v>
      </c>
      <c r="AB23" s="34">
        <f t="shared" si="15"/>
        <v>1.5</v>
      </c>
      <c r="AC23" s="34">
        <f t="shared" si="15"/>
        <v>346.5</v>
      </c>
      <c r="AD23" s="34">
        <f t="shared" si="15"/>
        <v>0</v>
      </c>
      <c r="AE23" s="31">
        <f t="shared" si="15"/>
        <v>120.5</v>
      </c>
      <c r="AF23" s="31">
        <f t="shared" si="15"/>
        <v>467</v>
      </c>
    </row>
    <row r="24" spans="2:32" ht="23.1" customHeight="1" x14ac:dyDescent="0.25">
      <c r="B24" s="23" t="s">
        <v>51</v>
      </c>
      <c r="C24" s="49">
        <f>'Avg Week Koboko-Arua'!C24+'Avg Week Arua-Koboko'!C24</f>
        <v>16.571428571428573</v>
      </c>
      <c r="D24" s="49">
        <f>'Avg Week Koboko-Arua'!D24+'Avg Week Arua-Koboko'!D24</f>
        <v>2.7142857142857144</v>
      </c>
      <c r="E24" s="49">
        <f>'Avg Week Koboko-Arua'!E24+'Avg Week Arua-Koboko'!E24</f>
        <v>5.7142857142857144</v>
      </c>
      <c r="F24" s="49">
        <f>'Avg Week Koboko-Arua'!F24+'Avg Week Arua-Koboko'!F24</f>
        <v>2.1428571428571428</v>
      </c>
      <c r="G24" s="49">
        <f>'Avg Week Koboko-Arua'!G24+'Avg Week Arua-Koboko'!G24</f>
        <v>0.14285714285714285</v>
      </c>
      <c r="H24" s="49">
        <f>'Avg Week Koboko-Arua'!H24+'Avg Week Arua-Koboko'!H24</f>
        <v>0.2857142857142857</v>
      </c>
      <c r="I24" s="49">
        <f>'Avg Week Koboko-Arua'!I24+'Avg Week Arua-Koboko'!I24</f>
        <v>3.1428571428571428</v>
      </c>
      <c r="J24" s="49">
        <f>'Avg Week Koboko-Arua'!J24+'Avg Week Arua-Koboko'!J24</f>
        <v>1.2857142857142856</v>
      </c>
      <c r="K24" s="49">
        <f>'Avg Week Koboko-Arua'!K24+'Avg Week Arua-Koboko'!K24</f>
        <v>0</v>
      </c>
      <c r="L24" s="49">
        <f>'Avg Week Koboko-Arua'!L24+'Avg Week Arua-Koboko'!L24</f>
        <v>0.71428571428571419</v>
      </c>
      <c r="M24" s="49">
        <f>'Avg Week Koboko-Arua'!M24+'Avg Week Arua-Koboko'!M24</f>
        <v>76</v>
      </c>
      <c r="N24" s="49">
        <f>'Avg Week Koboko-Arua'!N24+'Avg Week Arua-Koboko'!N24</f>
        <v>0</v>
      </c>
      <c r="O24" s="15">
        <f t="shared" si="0"/>
        <v>32.714285714285715</v>
      </c>
      <c r="P24" s="15">
        <f t="shared" si="1"/>
        <v>108.71428571428572</v>
      </c>
      <c r="R24" s="1" t="s">
        <v>148</v>
      </c>
      <c r="S24" s="34">
        <f>SUM(C66:C69)</f>
        <v>28</v>
      </c>
      <c r="T24" s="34">
        <f t="shared" ref="T24:AF24" si="16">SUM(D66:D69)</f>
        <v>5.5</v>
      </c>
      <c r="U24" s="34">
        <f t="shared" si="16"/>
        <v>18</v>
      </c>
      <c r="V24" s="34">
        <f t="shared" si="16"/>
        <v>19</v>
      </c>
      <c r="W24" s="34">
        <f t="shared" si="16"/>
        <v>0.5</v>
      </c>
      <c r="X24" s="34">
        <f t="shared" si="16"/>
        <v>1</v>
      </c>
      <c r="Y24" s="34">
        <f t="shared" si="16"/>
        <v>4.5</v>
      </c>
      <c r="Z24" s="34">
        <f t="shared" si="16"/>
        <v>3</v>
      </c>
      <c r="AA24" s="34">
        <f t="shared" si="16"/>
        <v>0</v>
      </c>
      <c r="AB24" s="34">
        <f t="shared" si="16"/>
        <v>1</v>
      </c>
      <c r="AC24" s="34">
        <f t="shared" si="16"/>
        <v>186.5</v>
      </c>
      <c r="AD24" s="34">
        <f t="shared" si="16"/>
        <v>0</v>
      </c>
      <c r="AE24" s="31">
        <f t="shared" si="16"/>
        <v>80.5</v>
      </c>
      <c r="AF24" s="31">
        <f t="shared" si="16"/>
        <v>267</v>
      </c>
    </row>
    <row r="25" spans="2:32" ht="23.1" customHeight="1" x14ac:dyDescent="0.25">
      <c r="B25" s="23" t="s">
        <v>52</v>
      </c>
      <c r="C25" s="49">
        <f>'Avg Week Koboko-Arua'!C25+'Avg Week Arua-Koboko'!C25</f>
        <v>16.285714285714285</v>
      </c>
      <c r="D25" s="49">
        <f>'Avg Week Koboko-Arua'!D25+'Avg Week Arua-Koboko'!D25</f>
        <v>3.5714285714285712</v>
      </c>
      <c r="E25" s="49">
        <f>'Avg Week Koboko-Arua'!E25+'Avg Week Arua-Koboko'!E25</f>
        <v>5.7142857142857144</v>
      </c>
      <c r="F25" s="49">
        <f>'Avg Week Koboko-Arua'!F25+'Avg Week Arua-Koboko'!F25</f>
        <v>2.1428571428571428</v>
      </c>
      <c r="G25" s="49">
        <f>'Avg Week Koboko-Arua'!G25+'Avg Week Arua-Koboko'!G25</f>
        <v>0.14285714285714285</v>
      </c>
      <c r="H25" s="49">
        <f>'Avg Week Koboko-Arua'!H25+'Avg Week Arua-Koboko'!H25</f>
        <v>0.42857142857142855</v>
      </c>
      <c r="I25" s="49">
        <f>'Avg Week Koboko-Arua'!I25+'Avg Week Arua-Koboko'!I25</f>
        <v>4.1428571428571432</v>
      </c>
      <c r="J25" s="49">
        <f>'Avg Week Koboko-Arua'!J25+'Avg Week Arua-Koboko'!J25</f>
        <v>0.7142857142857143</v>
      </c>
      <c r="K25" s="49">
        <f>'Avg Week Koboko-Arua'!K25+'Avg Week Arua-Koboko'!K25</f>
        <v>0</v>
      </c>
      <c r="L25" s="49">
        <f>'Avg Week Koboko-Arua'!L25+'Avg Week Arua-Koboko'!L25</f>
        <v>0.42857142857142855</v>
      </c>
      <c r="M25" s="49">
        <f>'Avg Week Koboko-Arua'!M25+'Avg Week Arua-Koboko'!M25</f>
        <v>76.857142857142861</v>
      </c>
      <c r="N25" s="49">
        <f>'Avg Week Koboko-Arua'!N25+'Avg Week Arua-Koboko'!N25</f>
        <v>0</v>
      </c>
      <c r="O25" s="15">
        <f t="shared" si="0"/>
        <v>33.571428571428569</v>
      </c>
      <c r="P25" s="15">
        <f t="shared" si="1"/>
        <v>110.42857142857143</v>
      </c>
      <c r="R25" s="1" t="s">
        <v>149</v>
      </c>
      <c r="S25" s="34">
        <f>SUM(C70:C73)</f>
        <v>12</v>
      </c>
      <c r="T25" s="34">
        <f t="shared" ref="T25:AF25" si="17">SUM(D70:D73)</f>
        <v>0.5</v>
      </c>
      <c r="U25" s="34">
        <f t="shared" si="17"/>
        <v>2.5</v>
      </c>
      <c r="V25" s="34">
        <f t="shared" si="17"/>
        <v>7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1</v>
      </c>
      <c r="AA25" s="34">
        <f t="shared" si="17"/>
        <v>1</v>
      </c>
      <c r="AB25" s="34">
        <f t="shared" si="17"/>
        <v>1</v>
      </c>
      <c r="AC25" s="34">
        <f t="shared" si="17"/>
        <v>105</v>
      </c>
      <c r="AD25" s="34">
        <f t="shared" si="17"/>
        <v>0</v>
      </c>
      <c r="AE25" s="31">
        <f t="shared" si="17"/>
        <v>27</v>
      </c>
      <c r="AF25" s="31">
        <f t="shared" si="17"/>
        <v>132</v>
      </c>
    </row>
    <row r="26" spans="2:32" ht="23.1" customHeight="1" x14ac:dyDescent="0.25">
      <c r="B26" s="23" t="s">
        <v>53</v>
      </c>
      <c r="C26" s="49">
        <f>'Avg Week Koboko-Arua'!C26+'Avg Week Arua-Koboko'!C26</f>
        <v>23.142857142857142</v>
      </c>
      <c r="D26" s="49">
        <f>'Avg Week Koboko-Arua'!D26+'Avg Week Arua-Koboko'!D26</f>
        <v>3.2857142857142856</v>
      </c>
      <c r="E26" s="49">
        <f>'Avg Week Koboko-Arua'!E26+'Avg Week Arua-Koboko'!E26</f>
        <v>6.8571428571428568</v>
      </c>
      <c r="F26" s="49">
        <f>'Avg Week Koboko-Arua'!F26+'Avg Week Arua-Koboko'!F26</f>
        <v>2.8571428571428568</v>
      </c>
      <c r="G26" s="49">
        <f>'Avg Week Koboko-Arua'!G26+'Avg Week Arua-Koboko'!G26</f>
        <v>0</v>
      </c>
      <c r="H26" s="49">
        <f>'Avg Week Koboko-Arua'!H26+'Avg Week Arua-Koboko'!H26</f>
        <v>0.42857142857142855</v>
      </c>
      <c r="I26" s="49">
        <f>'Avg Week Koboko-Arua'!I26+'Avg Week Arua-Koboko'!I26</f>
        <v>4.4285714285714288</v>
      </c>
      <c r="J26" s="49">
        <f>'Avg Week Koboko-Arua'!J26+'Avg Week Arua-Koboko'!J26</f>
        <v>1.3571428571428572</v>
      </c>
      <c r="K26" s="49">
        <f>'Avg Week Koboko-Arua'!K26+'Avg Week Arua-Koboko'!K26</f>
        <v>0.14285714285714285</v>
      </c>
      <c r="L26" s="49">
        <f>'Avg Week Koboko-Arua'!L26+'Avg Week Arua-Koboko'!L26</f>
        <v>0.5714285714285714</v>
      </c>
      <c r="M26" s="49">
        <f>'Avg Week Koboko-Arua'!M26+'Avg Week Arua-Koboko'!M26</f>
        <v>79.428571428571431</v>
      </c>
      <c r="N26" s="49">
        <f>'Avg Week Koboko-Arua'!N26+'Avg Week Arua-Koboko'!N26</f>
        <v>0.14285714285714285</v>
      </c>
      <c r="O26" s="15">
        <f t="shared" si="0"/>
        <v>43.214285714285715</v>
      </c>
      <c r="P26" s="15">
        <f t="shared" si="1"/>
        <v>122.64285714285714</v>
      </c>
      <c r="R26" s="1" t="s">
        <v>150</v>
      </c>
      <c r="S26" s="34">
        <f>SUM(C74:C77)</f>
        <v>5.5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</v>
      </c>
      <c r="AA26" s="34">
        <f t="shared" si="18"/>
        <v>1.5</v>
      </c>
      <c r="AB26" s="34">
        <f t="shared" si="18"/>
        <v>0.5</v>
      </c>
      <c r="AC26" s="34">
        <f t="shared" si="18"/>
        <v>48</v>
      </c>
      <c r="AD26" s="34">
        <f t="shared" si="18"/>
        <v>0</v>
      </c>
      <c r="AE26" s="31">
        <f t="shared" si="18"/>
        <v>13</v>
      </c>
      <c r="AF26" s="31">
        <f t="shared" si="18"/>
        <v>61</v>
      </c>
    </row>
    <row r="27" spans="2:32" ht="23.1" customHeight="1" x14ac:dyDescent="0.25">
      <c r="B27" s="23" t="s">
        <v>54</v>
      </c>
      <c r="C27" s="49">
        <f>'Avg Week Koboko-Arua'!C27+'Avg Week Arua-Koboko'!C27</f>
        <v>17.285714285714285</v>
      </c>
      <c r="D27" s="49">
        <f>'Avg Week Koboko-Arua'!D27+'Avg Week Arua-Koboko'!D27</f>
        <v>2.5714285714285712</v>
      </c>
      <c r="E27" s="49">
        <f>'Avg Week Koboko-Arua'!E27+'Avg Week Arua-Koboko'!E27</f>
        <v>5.1428571428571432</v>
      </c>
      <c r="F27" s="49">
        <f>'Avg Week Koboko-Arua'!F27+'Avg Week Arua-Koboko'!F27</f>
        <v>1.2857142857142856</v>
      </c>
      <c r="G27" s="49">
        <f>'Avg Week Koboko-Arua'!G27+'Avg Week Arua-Koboko'!G27</f>
        <v>0.42857142857142855</v>
      </c>
      <c r="H27" s="49">
        <f>'Avg Week Koboko-Arua'!H27+'Avg Week Arua-Koboko'!H27</f>
        <v>0.14285714285714285</v>
      </c>
      <c r="I27" s="49">
        <f>'Avg Week Koboko-Arua'!I27+'Avg Week Arua-Koboko'!I27</f>
        <v>2</v>
      </c>
      <c r="J27" s="49">
        <f>'Avg Week Koboko-Arua'!J27+'Avg Week Arua-Koboko'!J27</f>
        <v>0.7857142857142857</v>
      </c>
      <c r="K27" s="49">
        <f>'Avg Week Koboko-Arua'!K27+'Avg Week Arua-Koboko'!K27</f>
        <v>0</v>
      </c>
      <c r="L27" s="49">
        <f>'Avg Week Koboko-Arua'!L27+'Avg Week Arua-Koboko'!L27</f>
        <v>0.7142857142857143</v>
      </c>
      <c r="M27" s="49">
        <f>'Avg Week Koboko-Arua'!M27+'Avg Week Arua-Koboko'!M27</f>
        <v>56</v>
      </c>
      <c r="N27" s="49">
        <f>'Avg Week Koboko-Arua'!N27+'Avg Week Arua-Koboko'!N27</f>
        <v>0</v>
      </c>
      <c r="O27" s="15">
        <f t="shared" si="0"/>
        <v>30.357142857142851</v>
      </c>
      <c r="P27" s="15">
        <f t="shared" si="1"/>
        <v>86.357142857142847</v>
      </c>
      <c r="R27" s="1" t="s">
        <v>151</v>
      </c>
      <c r="S27" s="34">
        <f>SUM(C78:C81)</f>
        <v>0.5</v>
      </c>
      <c r="T27" s="34">
        <f t="shared" ref="T27:AF27" si="19">SUM(D78:D81)</f>
        <v>0.5</v>
      </c>
      <c r="U27" s="34">
        <f t="shared" si="19"/>
        <v>2.5</v>
      </c>
      <c r="V27" s="34">
        <f t="shared" si="19"/>
        <v>1.5</v>
      </c>
      <c r="W27" s="34">
        <f t="shared" si="19"/>
        <v>0</v>
      </c>
      <c r="X27" s="34">
        <f t="shared" si="19"/>
        <v>0.5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0.5</v>
      </c>
      <c r="AC27" s="34">
        <f t="shared" si="19"/>
        <v>25</v>
      </c>
      <c r="AD27" s="34">
        <f t="shared" si="19"/>
        <v>0</v>
      </c>
      <c r="AE27" s="31">
        <f t="shared" si="19"/>
        <v>6</v>
      </c>
      <c r="AF27" s="31">
        <f t="shared" si="19"/>
        <v>31</v>
      </c>
    </row>
    <row r="28" spans="2:32" ht="23.1" customHeight="1" x14ac:dyDescent="0.25">
      <c r="B28" s="23" t="s">
        <v>55</v>
      </c>
      <c r="C28" s="49">
        <f>'Avg Week Koboko-Arua'!C28+'Avg Week Arua-Koboko'!C28</f>
        <v>15</v>
      </c>
      <c r="D28" s="49">
        <f>'Avg Week Koboko-Arua'!D28+'Avg Week Arua-Koboko'!D28</f>
        <v>1.7142857142857142</v>
      </c>
      <c r="E28" s="49">
        <f>'Avg Week Koboko-Arua'!E28+'Avg Week Arua-Koboko'!E28</f>
        <v>3.5714285714285712</v>
      </c>
      <c r="F28" s="49">
        <f>'Avg Week Koboko-Arua'!F28+'Avg Week Arua-Koboko'!F28</f>
        <v>2.5714285714285712</v>
      </c>
      <c r="G28" s="49">
        <f>'Avg Week Koboko-Arua'!G28+'Avg Week Arua-Koboko'!G28</f>
        <v>0.2857142857142857</v>
      </c>
      <c r="H28" s="49">
        <f>'Avg Week Koboko-Arua'!H28+'Avg Week Arua-Koboko'!H28</f>
        <v>0</v>
      </c>
      <c r="I28" s="49">
        <f>'Avg Week Koboko-Arua'!I28+'Avg Week Arua-Koboko'!I28</f>
        <v>3.5714285714285712</v>
      </c>
      <c r="J28" s="49">
        <f>'Avg Week Koboko-Arua'!J28+'Avg Week Arua-Koboko'!J28</f>
        <v>1.5714285714285716</v>
      </c>
      <c r="K28" s="49">
        <f>'Avg Week Koboko-Arua'!K28+'Avg Week Arua-Koboko'!K28</f>
        <v>0.14285714285714285</v>
      </c>
      <c r="L28" s="49">
        <f>'Avg Week Koboko-Arua'!L28+'Avg Week Arua-Koboko'!L28</f>
        <v>0.5714285714285714</v>
      </c>
      <c r="M28" s="49">
        <f>'Avg Week Koboko-Arua'!M28+'Avg Week Arua-Koboko'!M28</f>
        <v>64.428571428571431</v>
      </c>
      <c r="N28" s="49">
        <f>'Avg Week Koboko-Arua'!N28+'Avg Week Arua-Koboko'!N28</f>
        <v>0.14285714285714285</v>
      </c>
      <c r="O28" s="15">
        <f t="shared" si="0"/>
        <v>29.142857142857139</v>
      </c>
      <c r="P28" s="15">
        <f t="shared" si="1"/>
        <v>93.571428571428569</v>
      </c>
      <c r="R28" s="1" t="s">
        <v>152</v>
      </c>
      <c r="S28" s="34">
        <f>SUM(C82:C85)</f>
        <v>2.5</v>
      </c>
      <c r="T28" s="34">
        <f t="shared" ref="T28:AF28" si="20">SUM(D82:D85)</f>
        <v>0.5</v>
      </c>
      <c r="U28" s="34">
        <f t="shared" si="20"/>
        <v>1.5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17</v>
      </c>
      <c r="AD28" s="34">
        <f t="shared" si="20"/>
        <v>0</v>
      </c>
      <c r="AE28" s="31">
        <f t="shared" si="20"/>
        <v>6</v>
      </c>
      <c r="AF28" s="31">
        <f t="shared" si="20"/>
        <v>23</v>
      </c>
    </row>
    <row r="29" spans="2:32" ht="23.1" customHeight="1" x14ac:dyDescent="0.25">
      <c r="B29" s="23" t="s">
        <v>56</v>
      </c>
      <c r="C29" s="49">
        <f>'Avg Week Koboko-Arua'!C29+'Avg Week Arua-Koboko'!C29</f>
        <v>16.285714285714285</v>
      </c>
      <c r="D29" s="49">
        <f>'Avg Week Koboko-Arua'!D29+'Avg Week Arua-Koboko'!D29</f>
        <v>2</v>
      </c>
      <c r="E29" s="49">
        <f>'Avg Week Koboko-Arua'!E29+'Avg Week Arua-Koboko'!E29</f>
        <v>3.8571428571428572</v>
      </c>
      <c r="F29" s="49">
        <f>'Avg Week Koboko-Arua'!F29+'Avg Week Arua-Koboko'!F29</f>
        <v>3</v>
      </c>
      <c r="G29" s="49">
        <f>'Avg Week Koboko-Arua'!G29+'Avg Week Arua-Koboko'!G29</f>
        <v>0</v>
      </c>
      <c r="H29" s="49">
        <f>'Avg Week Koboko-Arua'!H29+'Avg Week Arua-Koboko'!H29</f>
        <v>0.5714285714285714</v>
      </c>
      <c r="I29" s="49">
        <f>'Avg Week Koboko-Arua'!I29+'Avg Week Arua-Koboko'!I29</f>
        <v>2.7142857142857144</v>
      </c>
      <c r="J29" s="49">
        <f>'Avg Week Koboko-Arua'!J29+'Avg Week Arua-Koboko'!J29</f>
        <v>1.4523809523809526</v>
      </c>
      <c r="K29" s="49">
        <f>'Avg Week Koboko-Arua'!K29+'Avg Week Arua-Koboko'!K29</f>
        <v>0</v>
      </c>
      <c r="L29" s="49">
        <f>'Avg Week Koboko-Arua'!L29+'Avg Week Arua-Koboko'!L29</f>
        <v>0.2857142857142857</v>
      </c>
      <c r="M29" s="49">
        <f>'Avg Week Koboko-Arua'!M29+'Avg Week Arua-Koboko'!M29</f>
        <v>69.857142857142861</v>
      </c>
      <c r="N29" s="49">
        <f>'Avg Week Koboko-Arua'!N29+'Avg Week Arua-Koboko'!N29</f>
        <v>0</v>
      </c>
      <c r="O29" s="15">
        <f t="shared" si="0"/>
        <v>30.166666666666668</v>
      </c>
      <c r="P29" s="15">
        <f t="shared" si="1"/>
        <v>100.02380952380953</v>
      </c>
      <c r="R29" s="1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</v>
      </c>
      <c r="AD29" s="34">
        <f t="shared" si="21"/>
        <v>0</v>
      </c>
      <c r="AE29" s="31">
        <f t="shared" si="21"/>
        <v>4.5</v>
      </c>
      <c r="AF29" s="31">
        <f t="shared" si="21"/>
        <v>7.5</v>
      </c>
    </row>
    <row r="30" spans="2:32" ht="23.1" customHeight="1" x14ac:dyDescent="0.25">
      <c r="B30" s="23" t="s">
        <v>57</v>
      </c>
      <c r="C30" s="49">
        <f>'Avg Week Koboko-Arua'!C30+'Avg Week Arua-Koboko'!C30</f>
        <v>16.285714285714285</v>
      </c>
      <c r="D30" s="49">
        <f>'Avg Week Koboko-Arua'!D30+'Avg Week Arua-Koboko'!D30</f>
        <v>2.8571428571428572</v>
      </c>
      <c r="E30" s="49">
        <f>'Avg Week Koboko-Arua'!E30+'Avg Week Arua-Koboko'!E30</f>
        <v>6.2857142857142856</v>
      </c>
      <c r="F30" s="49">
        <f>'Avg Week Koboko-Arua'!F30+'Avg Week Arua-Koboko'!F30</f>
        <v>5.1428571428571432</v>
      </c>
      <c r="G30" s="49">
        <f>'Avg Week Koboko-Arua'!G30+'Avg Week Arua-Koboko'!G30</f>
        <v>0</v>
      </c>
      <c r="H30" s="49">
        <f>'Avg Week Koboko-Arua'!H30+'Avg Week Arua-Koboko'!H30</f>
        <v>0</v>
      </c>
      <c r="I30" s="49">
        <f>'Avg Week Koboko-Arua'!I30+'Avg Week Arua-Koboko'!I30</f>
        <v>3.2857142857142856</v>
      </c>
      <c r="J30" s="49">
        <f>'Avg Week Koboko-Arua'!J30+'Avg Week Arua-Koboko'!J30</f>
        <v>1.5714285714285714</v>
      </c>
      <c r="K30" s="49">
        <f>'Avg Week Koboko-Arua'!K30+'Avg Week Arua-Koboko'!K30</f>
        <v>0.14285714285714285</v>
      </c>
      <c r="L30" s="49">
        <f>'Avg Week Koboko-Arua'!L30+'Avg Week Arua-Koboko'!L30</f>
        <v>0.14285714285714285</v>
      </c>
      <c r="M30" s="49">
        <f>'Avg Week Koboko-Arua'!M30+'Avg Week Arua-Koboko'!M30</f>
        <v>84.857142857142861</v>
      </c>
      <c r="N30" s="49">
        <f>'Avg Week Koboko-Arua'!N30+'Avg Week Arua-Koboko'!N30</f>
        <v>0</v>
      </c>
      <c r="O30" s="15">
        <f t="shared" si="0"/>
        <v>35.714285714285715</v>
      </c>
      <c r="P30" s="15">
        <f t="shared" si="1"/>
        <v>120.57142857142858</v>
      </c>
      <c r="R30" s="1" t="s">
        <v>154</v>
      </c>
      <c r="S30" s="34">
        <f>SUM(C90:C93)</f>
        <v>1</v>
      </c>
      <c r="T30" s="34">
        <f t="shared" ref="T30:AF30" si="22">SUM(D90:D93)</f>
        <v>0.5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9.5</v>
      </c>
      <c r="AD30" s="34">
        <f t="shared" si="22"/>
        <v>0</v>
      </c>
      <c r="AE30" s="31">
        <f t="shared" si="22"/>
        <v>1.5</v>
      </c>
      <c r="AF30" s="31">
        <f t="shared" si="22"/>
        <v>11</v>
      </c>
    </row>
    <row r="31" spans="2:32" ht="23.1" customHeight="1" x14ac:dyDescent="0.25">
      <c r="B31" s="24" t="s">
        <v>58</v>
      </c>
      <c r="C31" s="49">
        <f>'Avg Week Koboko-Arua'!C31+'Avg Week Arua-Koboko'!C31</f>
        <v>16.285714285714285</v>
      </c>
      <c r="D31" s="49">
        <f>'Avg Week Koboko-Arua'!D31+'Avg Week Arua-Koboko'!D31</f>
        <v>3.8571428571428568</v>
      </c>
      <c r="E31" s="49">
        <f>'Avg Week Koboko-Arua'!E31+'Avg Week Arua-Koboko'!E31</f>
        <v>7.4285714285714288</v>
      </c>
      <c r="F31" s="49">
        <f>'Avg Week Koboko-Arua'!F31+'Avg Week Arua-Koboko'!F31</f>
        <v>2</v>
      </c>
      <c r="G31" s="49">
        <f>'Avg Week Koboko-Arua'!G31+'Avg Week Arua-Koboko'!G31</f>
        <v>0.14285714285714285</v>
      </c>
      <c r="H31" s="49">
        <f>'Avg Week Koboko-Arua'!H31+'Avg Week Arua-Koboko'!H31</f>
        <v>0.5714285714285714</v>
      </c>
      <c r="I31" s="49">
        <f>'Avg Week Koboko-Arua'!I31+'Avg Week Arua-Koboko'!I31</f>
        <v>5.7142857142857144</v>
      </c>
      <c r="J31" s="49">
        <f>'Avg Week Koboko-Arua'!J31+'Avg Week Arua-Koboko'!J31</f>
        <v>1.1428571428571428</v>
      </c>
      <c r="K31" s="49">
        <f>'Avg Week Koboko-Arua'!K31+'Avg Week Arua-Koboko'!K31</f>
        <v>0.14285714285714285</v>
      </c>
      <c r="L31" s="49">
        <f>'Avg Week Koboko-Arua'!L31+'Avg Week Arua-Koboko'!L31</f>
        <v>0.5714285714285714</v>
      </c>
      <c r="M31" s="49">
        <f>'Avg Week Koboko-Arua'!M31+'Avg Week Arua-Koboko'!M31</f>
        <v>82.142857142857139</v>
      </c>
      <c r="N31" s="49">
        <f>'Avg Week Koboko-Arua'!N31+'Avg Week Arua-Koboko'!N31</f>
        <v>0.14285714285714285</v>
      </c>
      <c r="O31" s="15">
        <f t="shared" si="0"/>
        <v>38.000000000000007</v>
      </c>
      <c r="P31" s="15">
        <f t="shared" si="1"/>
        <v>120.14285714285714</v>
      </c>
      <c r="R31" s="1" t="s">
        <v>155</v>
      </c>
      <c r="S31" s="34">
        <f>SUM(C94:C97)</f>
        <v>1.5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0.5</v>
      </c>
      <c r="W31" s="34">
        <f t="shared" si="23"/>
        <v>0</v>
      </c>
      <c r="X31" s="34">
        <f t="shared" si="23"/>
        <v>1.5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4</v>
      </c>
      <c r="AF31" s="31">
        <f t="shared" si="23"/>
        <v>12</v>
      </c>
    </row>
    <row r="32" spans="2:32" ht="23.1" customHeight="1" x14ac:dyDescent="0.25">
      <c r="B32" s="24" t="s">
        <v>59</v>
      </c>
      <c r="C32" s="49">
        <f>'Avg Week Koboko-Arua'!C32+'Avg Week Arua-Koboko'!C32</f>
        <v>16.285714285714285</v>
      </c>
      <c r="D32" s="49">
        <f>'Avg Week Koboko-Arua'!D32+'Avg Week Arua-Koboko'!D32</f>
        <v>2.7142857142857144</v>
      </c>
      <c r="E32" s="49">
        <f>'Avg Week Koboko-Arua'!E32+'Avg Week Arua-Koboko'!E32</f>
        <v>5.7142857142857144</v>
      </c>
      <c r="F32" s="49">
        <f>'Avg Week Koboko-Arua'!F32+'Avg Week Arua-Koboko'!F32</f>
        <v>2.2857142857142856</v>
      </c>
      <c r="G32" s="49">
        <f>'Avg Week Koboko-Arua'!G32+'Avg Week Arua-Koboko'!G32</f>
        <v>0</v>
      </c>
      <c r="H32" s="49">
        <f>'Avg Week Koboko-Arua'!H32+'Avg Week Arua-Koboko'!H32</f>
        <v>0</v>
      </c>
      <c r="I32" s="49">
        <f>'Avg Week Koboko-Arua'!I32+'Avg Week Arua-Koboko'!I32</f>
        <v>2.5714285714285712</v>
      </c>
      <c r="J32" s="49">
        <f>'Avg Week Koboko-Arua'!J32+'Avg Week Arua-Koboko'!J32</f>
        <v>1.5714285714285714</v>
      </c>
      <c r="K32" s="49">
        <f>'Avg Week Koboko-Arua'!K32+'Avg Week Arua-Koboko'!K32</f>
        <v>0.14285714285714285</v>
      </c>
      <c r="L32" s="49">
        <f>'Avg Week Koboko-Arua'!L32+'Avg Week Arua-Koboko'!L32</f>
        <v>0</v>
      </c>
      <c r="M32" s="49">
        <f>'Avg Week Koboko-Arua'!M32+'Avg Week Arua-Koboko'!M32</f>
        <v>66.714285714285722</v>
      </c>
      <c r="N32" s="49">
        <f>'Avg Week Koboko-Arua'!N32+'Avg Week Arua-Koboko'!N32</f>
        <v>0</v>
      </c>
      <c r="O32" s="15">
        <f t="shared" si="0"/>
        <v>31.285714285714285</v>
      </c>
      <c r="P32" s="15">
        <f t="shared" si="1"/>
        <v>98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3.5</v>
      </c>
      <c r="Y32" s="34">
        <f t="shared" si="24"/>
        <v>0.5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21</v>
      </c>
      <c r="AD32" s="34">
        <f t="shared" si="24"/>
        <v>0</v>
      </c>
      <c r="AE32" s="31">
        <f t="shared" si="24"/>
        <v>6.5</v>
      </c>
      <c r="AF32" s="31">
        <f t="shared" si="24"/>
        <v>27.5</v>
      </c>
    </row>
    <row r="33" spans="2:32" ht="23.1" customHeight="1" x14ac:dyDescent="0.25">
      <c r="B33" s="23" t="s">
        <v>60</v>
      </c>
      <c r="C33" s="49">
        <f>'Avg Week Koboko-Arua'!C33+'Avg Week Arua-Koboko'!C33</f>
        <v>17.714285714285715</v>
      </c>
      <c r="D33" s="49">
        <f>'Avg Week Koboko-Arua'!D33+'Avg Week Arua-Koboko'!D33</f>
        <v>2.2857142857142856</v>
      </c>
      <c r="E33" s="49">
        <f>'Avg Week Koboko-Arua'!E33+'Avg Week Arua-Koboko'!E33</f>
        <v>3.5714285714285712</v>
      </c>
      <c r="F33" s="49">
        <f>'Avg Week Koboko-Arua'!F33+'Avg Week Arua-Koboko'!F33</f>
        <v>1.7142857142857144</v>
      </c>
      <c r="G33" s="49">
        <f>'Avg Week Koboko-Arua'!G33+'Avg Week Arua-Koboko'!G33</f>
        <v>0.42857142857142855</v>
      </c>
      <c r="H33" s="49">
        <f>'Avg Week Koboko-Arua'!H33+'Avg Week Arua-Koboko'!H33</f>
        <v>0.14285714285714285</v>
      </c>
      <c r="I33" s="49">
        <f>'Avg Week Koboko-Arua'!I33+'Avg Week Arua-Koboko'!I33</f>
        <v>2.8571428571428572</v>
      </c>
      <c r="J33" s="49">
        <f>'Avg Week Koboko-Arua'!J33+'Avg Week Arua-Koboko'!J33</f>
        <v>0.71428571428571419</v>
      </c>
      <c r="K33" s="49">
        <f>'Avg Week Koboko-Arua'!K33+'Avg Week Arua-Koboko'!K33</f>
        <v>0.14285714285714285</v>
      </c>
      <c r="L33" s="49">
        <f>'Avg Week Koboko-Arua'!L33+'Avg Week Arua-Koboko'!L33</f>
        <v>0.14285714285714285</v>
      </c>
      <c r="M33" s="49">
        <f>'Avg Week Koboko-Arua'!M33+'Avg Week Arua-Koboko'!M33</f>
        <v>66.285714285714278</v>
      </c>
      <c r="N33" s="49">
        <f>'Avg Week Koboko-Arua'!N33+'Avg Week Arua-Koboko'!N33</f>
        <v>0</v>
      </c>
      <c r="O33" s="15">
        <f t="shared" si="0"/>
        <v>29.714285714285712</v>
      </c>
      <c r="P33" s="15">
        <f t="shared" si="1"/>
        <v>95.999999999999986</v>
      </c>
      <c r="R33" s="1" t="s">
        <v>157</v>
      </c>
      <c r="S33" s="34">
        <f>SUM(C102:C105)</f>
        <v>5.5</v>
      </c>
      <c r="T33" s="34">
        <f t="shared" ref="T33:AF33" si="25">SUM(D102:D105)</f>
        <v>0</v>
      </c>
      <c r="U33" s="34">
        <f t="shared" si="25"/>
        <v>2</v>
      </c>
      <c r="V33" s="34">
        <f t="shared" si="25"/>
        <v>1.5</v>
      </c>
      <c r="W33" s="34">
        <f t="shared" si="25"/>
        <v>1</v>
      </c>
      <c r="X33" s="34">
        <f t="shared" si="25"/>
        <v>13</v>
      </c>
      <c r="Y33" s="34">
        <f t="shared" si="25"/>
        <v>2</v>
      </c>
      <c r="Z33" s="34">
        <f t="shared" si="25"/>
        <v>1</v>
      </c>
      <c r="AA33" s="34">
        <f t="shared" si="25"/>
        <v>1</v>
      </c>
      <c r="AB33" s="34">
        <f t="shared" si="25"/>
        <v>1.5</v>
      </c>
      <c r="AC33" s="34">
        <f t="shared" si="25"/>
        <v>99</v>
      </c>
      <c r="AD33" s="34">
        <f t="shared" si="25"/>
        <v>0</v>
      </c>
      <c r="AE33" s="31">
        <f t="shared" si="25"/>
        <v>28.5</v>
      </c>
      <c r="AF33" s="31">
        <f t="shared" si="25"/>
        <v>127.5</v>
      </c>
    </row>
    <row r="34" spans="2:32" ht="23.1" customHeight="1" x14ac:dyDescent="0.25">
      <c r="B34" s="24" t="s">
        <v>61</v>
      </c>
      <c r="C34" s="49">
        <f>'Avg Week Koboko-Arua'!C34+'Avg Week Arua-Koboko'!C34</f>
        <v>14.714285714285715</v>
      </c>
      <c r="D34" s="49">
        <f>'Avg Week Koboko-Arua'!D34+'Avg Week Arua-Koboko'!D34</f>
        <v>4</v>
      </c>
      <c r="E34" s="49">
        <f>'Avg Week Koboko-Arua'!E34+'Avg Week Arua-Koboko'!E34</f>
        <v>8</v>
      </c>
      <c r="F34" s="49">
        <f>'Avg Week Koboko-Arua'!F34+'Avg Week Arua-Koboko'!F34</f>
        <v>2.8571428571428572</v>
      </c>
      <c r="G34" s="49">
        <f>'Avg Week Koboko-Arua'!G34+'Avg Week Arua-Koboko'!G34</f>
        <v>0.14285714285714285</v>
      </c>
      <c r="H34" s="49">
        <f>'Avg Week Koboko-Arua'!H34+'Avg Week Arua-Koboko'!H34</f>
        <v>5.4285714285714288</v>
      </c>
      <c r="I34" s="49">
        <f>'Avg Week Koboko-Arua'!I34+'Avg Week Arua-Koboko'!I34</f>
        <v>3.7142857142857144</v>
      </c>
      <c r="J34" s="49">
        <f>'Avg Week Koboko-Arua'!J34+'Avg Week Arua-Koboko'!J34</f>
        <v>2.2857142857142856</v>
      </c>
      <c r="K34" s="49">
        <f>'Avg Week Koboko-Arua'!K34+'Avg Week Arua-Koboko'!K34</f>
        <v>0.2857142857142857</v>
      </c>
      <c r="L34" s="49">
        <f>'Avg Week Koboko-Arua'!L34+'Avg Week Arua-Koboko'!L34</f>
        <v>0.71428571428571419</v>
      </c>
      <c r="M34" s="49">
        <f>'Avg Week Koboko-Arua'!M34+'Avg Week Arua-Koboko'!M34</f>
        <v>70.571428571428569</v>
      </c>
      <c r="N34" s="49">
        <f>'Avg Week Koboko-Arua'!N34+'Avg Week Arua-Koboko'!N34</f>
        <v>0.14285714285714285</v>
      </c>
      <c r="O34" s="15">
        <f t="shared" si="0"/>
        <v>42.285714285714292</v>
      </c>
      <c r="P34" s="15">
        <f t="shared" si="1"/>
        <v>112.85714285714286</v>
      </c>
      <c r="R34" s="51" t="s">
        <v>90</v>
      </c>
      <c r="S34" s="52">
        <f t="shared" ref="S34:AF34" si="26">MAX(S10:S12)</f>
        <v>71.428571428571431</v>
      </c>
      <c r="T34" s="52">
        <f t="shared" si="26"/>
        <v>12.428571428571427</v>
      </c>
      <c r="U34" s="52">
        <f t="shared" si="26"/>
        <v>23.714285714285715</v>
      </c>
      <c r="V34" s="52">
        <f t="shared" si="26"/>
        <v>19</v>
      </c>
      <c r="W34" s="52">
        <f t="shared" si="26"/>
        <v>7.8571428571428577</v>
      </c>
      <c r="X34" s="52">
        <f t="shared" si="26"/>
        <v>6.4285714285714288</v>
      </c>
      <c r="Y34" s="52">
        <f t="shared" si="26"/>
        <v>10.095238095238095</v>
      </c>
      <c r="Z34" s="52">
        <f t="shared" si="26"/>
        <v>6</v>
      </c>
      <c r="AA34" s="52">
        <f t="shared" si="26"/>
        <v>0.42857142857142855</v>
      </c>
      <c r="AB34" s="52">
        <f t="shared" si="26"/>
        <v>3.714285714285714</v>
      </c>
      <c r="AC34" s="52">
        <f t="shared" si="26"/>
        <v>251.85714285714283</v>
      </c>
      <c r="AD34" s="52">
        <f t="shared" si="26"/>
        <v>0.42857142857142855</v>
      </c>
      <c r="AE34" s="40">
        <f t="shared" si="26"/>
        <v>140.90476190476193</v>
      </c>
      <c r="AF34" s="40">
        <f t="shared" si="26"/>
        <v>392.76190476190482</v>
      </c>
    </row>
    <row r="35" spans="2:32" ht="23.1" customHeight="1" x14ac:dyDescent="0.25">
      <c r="B35" s="24" t="s">
        <v>62</v>
      </c>
      <c r="C35" s="49">
        <f>'Avg Week Koboko-Arua'!C35+'Avg Week Arua-Koboko'!C35</f>
        <v>14.571428571428571</v>
      </c>
      <c r="D35" s="49">
        <f>'Avg Week Koboko-Arua'!D35+'Avg Week Arua-Koboko'!D35</f>
        <v>3</v>
      </c>
      <c r="E35" s="49">
        <f>'Avg Week Koboko-Arua'!E35+'Avg Week Arua-Koboko'!E35</f>
        <v>5.1428571428571432</v>
      </c>
      <c r="F35" s="49">
        <f>'Avg Week Koboko-Arua'!F35+'Avg Week Arua-Koboko'!F35</f>
        <v>3.1428571428571432</v>
      </c>
      <c r="G35" s="49">
        <f>'Avg Week Koboko-Arua'!G35+'Avg Week Arua-Koboko'!G35</f>
        <v>0</v>
      </c>
      <c r="H35" s="49">
        <f>'Avg Week Koboko-Arua'!H35+'Avg Week Arua-Koboko'!H35</f>
        <v>7</v>
      </c>
      <c r="I35" s="49">
        <f>'Avg Week Koboko-Arua'!I35+'Avg Week Arua-Koboko'!I35</f>
        <v>1.2857142857142856</v>
      </c>
      <c r="J35" s="49">
        <f>'Avg Week Koboko-Arua'!J35+'Avg Week Arua-Koboko'!J35</f>
        <v>1.5142857142857142</v>
      </c>
      <c r="K35" s="49">
        <f>'Avg Week Koboko-Arua'!K35+'Avg Week Arua-Koboko'!K35</f>
        <v>0.2857142857142857</v>
      </c>
      <c r="L35" s="49">
        <f>'Avg Week Koboko-Arua'!L35+'Avg Week Arua-Koboko'!L35</f>
        <v>0.5714285714285714</v>
      </c>
      <c r="M35" s="49">
        <f>'Avg Week Koboko-Arua'!M35+'Avg Week Arua-Koboko'!M35</f>
        <v>54.428571428571431</v>
      </c>
      <c r="N35" s="49">
        <f>'Avg Week Koboko-Arua'!N35+'Avg Week Arua-Koboko'!N35</f>
        <v>0</v>
      </c>
      <c r="O35" s="15">
        <f t="shared" si="0"/>
        <v>36.514285714285705</v>
      </c>
      <c r="P35" s="15">
        <f t="shared" si="1"/>
        <v>90.942857142857136</v>
      </c>
      <c r="R35" s="51" t="s">
        <v>91</v>
      </c>
      <c r="S35" s="52">
        <f t="shared" ref="S35:AF35" si="27">MAX(S13:S18)</f>
        <v>71.714285714285722</v>
      </c>
      <c r="T35" s="52">
        <f t="shared" si="27"/>
        <v>13.714285714285714</v>
      </c>
      <c r="U35" s="52">
        <f t="shared" si="27"/>
        <v>27.428571428571431</v>
      </c>
      <c r="V35" s="52">
        <f t="shared" si="27"/>
        <v>11.714285714285715</v>
      </c>
      <c r="W35" s="52">
        <f t="shared" si="27"/>
        <v>1.5714285714285714</v>
      </c>
      <c r="X35" s="52">
        <f t="shared" si="27"/>
        <v>29.571428571428569</v>
      </c>
      <c r="Y35" s="52">
        <f t="shared" si="27"/>
        <v>14.428571428571429</v>
      </c>
      <c r="Z35" s="52">
        <f t="shared" si="27"/>
        <v>6.371428571428571</v>
      </c>
      <c r="AA35" s="52">
        <f t="shared" si="27"/>
        <v>0.71428571428571419</v>
      </c>
      <c r="AB35" s="52">
        <f t="shared" si="27"/>
        <v>2.714285714285714</v>
      </c>
      <c r="AC35" s="52">
        <f t="shared" si="27"/>
        <v>300.57142857142856</v>
      </c>
      <c r="AD35" s="52">
        <f t="shared" si="27"/>
        <v>1.4761904761904761</v>
      </c>
      <c r="AE35" s="40">
        <f t="shared" si="27"/>
        <v>154.99047619047622</v>
      </c>
      <c r="AF35" s="40">
        <f t="shared" si="27"/>
        <v>434.97619047619048</v>
      </c>
    </row>
    <row r="36" spans="2:32" ht="23.1" customHeight="1" x14ac:dyDescent="0.25">
      <c r="B36" s="24" t="s">
        <v>63</v>
      </c>
      <c r="C36" s="49">
        <f>'Avg Week Koboko-Arua'!C36+'Avg Week Arua-Koboko'!C36</f>
        <v>12.714285714285715</v>
      </c>
      <c r="D36" s="49">
        <f>'Avg Week Koboko-Arua'!D36+'Avg Week Arua-Koboko'!D36</f>
        <v>2.2857142857142856</v>
      </c>
      <c r="E36" s="49">
        <f>'Avg Week Koboko-Arua'!E36+'Avg Week Arua-Koboko'!E36</f>
        <v>4.1428571428571432</v>
      </c>
      <c r="F36" s="49">
        <f>'Avg Week Koboko-Arua'!F36+'Avg Week Arua-Koboko'!F36</f>
        <v>1.8571428571428572</v>
      </c>
      <c r="G36" s="49">
        <f>'Avg Week Koboko-Arua'!G36+'Avg Week Arua-Koboko'!G36</f>
        <v>0</v>
      </c>
      <c r="H36" s="49">
        <f>'Avg Week Koboko-Arua'!H36+'Avg Week Arua-Koboko'!H36</f>
        <v>8.1428571428571423</v>
      </c>
      <c r="I36" s="49">
        <f>'Avg Week Koboko-Arua'!I36+'Avg Week Arua-Koboko'!I36</f>
        <v>3.8571428571428568</v>
      </c>
      <c r="J36" s="49">
        <f>'Avg Week Koboko-Arua'!J36+'Avg Week Arua-Koboko'!J36</f>
        <v>1.5714285714285714</v>
      </c>
      <c r="K36" s="49">
        <f>'Avg Week Koboko-Arua'!K36+'Avg Week Arua-Koboko'!K36</f>
        <v>0.14285714285714285</v>
      </c>
      <c r="L36" s="49">
        <f>'Avg Week Koboko-Arua'!L36+'Avg Week Arua-Koboko'!L36</f>
        <v>0.42857142857142855</v>
      </c>
      <c r="M36" s="49">
        <f>'Avg Week Koboko-Arua'!M36+'Avg Week Arua-Koboko'!M36</f>
        <v>62</v>
      </c>
      <c r="N36" s="49">
        <f>'Avg Week Koboko-Arua'!N36+'Avg Week Arua-Koboko'!N36</f>
        <v>0</v>
      </c>
      <c r="O36" s="15">
        <f t="shared" si="0"/>
        <v>35.142857142857146</v>
      </c>
      <c r="P36" s="15">
        <f t="shared" si="1"/>
        <v>97.142857142857139</v>
      </c>
      <c r="R36" s="51" t="s">
        <v>92</v>
      </c>
      <c r="S36" s="52">
        <f t="shared" ref="S36:AF36" si="28">MAX(S19:S21)</f>
        <v>68.142857142857139</v>
      </c>
      <c r="T36" s="52">
        <f t="shared" si="28"/>
        <v>13.285714285714285</v>
      </c>
      <c r="U36" s="52">
        <f t="shared" si="28"/>
        <v>23.428571428571431</v>
      </c>
      <c r="V36" s="52">
        <f t="shared" si="28"/>
        <v>13.142857142857142</v>
      </c>
      <c r="W36" s="52">
        <f t="shared" si="28"/>
        <v>6.4285714285714279</v>
      </c>
      <c r="X36" s="52">
        <f t="shared" si="28"/>
        <v>22.714285714285715</v>
      </c>
      <c r="Y36" s="52">
        <f t="shared" si="28"/>
        <v>11.142857142857142</v>
      </c>
      <c r="Z36" s="52">
        <f t="shared" si="28"/>
        <v>14.714285714285714</v>
      </c>
      <c r="AA36" s="52">
        <f t="shared" si="28"/>
        <v>3.4285714285714288</v>
      </c>
      <c r="AB36" s="52">
        <f t="shared" si="28"/>
        <v>4.5714285714285712</v>
      </c>
      <c r="AC36" s="52">
        <f t="shared" si="28"/>
        <v>275.42857142857144</v>
      </c>
      <c r="AD36" s="52">
        <f t="shared" si="28"/>
        <v>0.2857142857142857</v>
      </c>
      <c r="AE36" s="40">
        <f t="shared" si="28"/>
        <v>156.0952380952381</v>
      </c>
      <c r="AF36" s="40">
        <f t="shared" si="28"/>
        <v>428.57142857142861</v>
      </c>
    </row>
    <row r="37" spans="2:32" ht="23.1" customHeight="1" x14ac:dyDescent="0.25">
      <c r="B37" s="23" t="s">
        <v>64</v>
      </c>
      <c r="C37" s="49">
        <f>'Avg Week Koboko-Arua'!C37+'Avg Week Arua-Koboko'!C37</f>
        <v>13.714285714285715</v>
      </c>
      <c r="D37" s="49">
        <f>'Avg Week Koboko-Arua'!D37+'Avg Week Arua-Koboko'!D37</f>
        <v>2.1428571428571428</v>
      </c>
      <c r="E37" s="49">
        <f>'Avg Week Koboko-Arua'!E37+'Avg Week Arua-Koboko'!E37</f>
        <v>4.1428571428571423</v>
      </c>
      <c r="F37" s="49">
        <f>'Avg Week Koboko-Arua'!F37+'Avg Week Arua-Koboko'!F37</f>
        <v>3.8571428571428572</v>
      </c>
      <c r="G37" s="49">
        <f>'Avg Week Koboko-Arua'!G37+'Avg Week Arua-Koboko'!G37</f>
        <v>0.2857142857142857</v>
      </c>
      <c r="H37" s="49">
        <f>'Avg Week Koboko-Arua'!H37+'Avg Week Arua-Koboko'!H37</f>
        <v>9</v>
      </c>
      <c r="I37" s="49">
        <f>'Avg Week Koboko-Arua'!I37+'Avg Week Arua-Koboko'!I37</f>
        <v>5.1428571428571432</v>
      </c>
      <c r="J37" s="49">
        <f>'Avg Week Koboko-Arua'!J37+'Avg Week Arua-Koboko'!J37</f>
        <v>1</v>
      </c>
      <c r="K37" s="49">
        <f>'Avg Week Koboko-Arua'!K37+'Avg Week Arua-Koboko'!K37</f>
        <v>0</v>
      </c>
      <c r="L37" s="49">
        <f>'Avg Week Koboko-Arua'!L37+'Avg Week Arua-Koboko'!L37</f>
        <v>0.42857142857142855</v>
      </c>
      <c r="M37" s="49">
        <f>'Avg Week Koboko-Arua'!M37+'Avg Week Arua-Koboko'!M37</f>
        <v>59.857142857142861</v>
      </c>
      <c r="N37" s="49">
        <f>'Avg Week Koboko-Arua'!N37+'Avg Week Arua-Koboko'!N37</f>
        <v>1.3333333333333333</v>
      </c>
      <c r="O37" s="15">
        <f t="shared" si="0"/>
        <v>41.047619047619051</v>
      </c>
      <c r="P37" s="15">
        <f t="shared" si="1"/>
        <v>100.90476190476191</v>
      </c>
      <c r="R37" s="37" t="s">
        <v>85</v>
      </c>
      <c r="S37" s="53">
        <f t="shared" ref="S37:AF37" si="29">SUM(S10:S12)</f>
        <v>163.85714285714286</v>
      </c>
      <c r="T37" s="54">
        <f t="shared" si="29"/>
        <v>32.714285714285715</v>
      </c>
      <c r="U37" s="54">
        <f t="shared" si="29"/>
        <v>60.285714285714285</v>
      </c>
      <c r="V37" s="54">
        <f t="shared" si="29"/>
        <v>47.857142857142861</v>
      </c>
      <c r="W37" s="54">
        <f t="shared" si="29"/>
        <v>10.428571428571429</v>
      </c>
      <c r="X37" s="54">
        <f t="shared" si="29"/>
        <v>8.1428571428571441</v>
      </c>
      <c r="Y37" s="54">
        <f t="shared" si="29"/>
        <v>24.952380952380953</v>
      </c>
      <c r="Z37" s="54">
        <f t="shared" si="29"/>
        <v>14.666666666666666</v>
      </c>
      <c r="AA37" s="54">
        <f t="shared" si="29"/>
        <v>0.71428571428571419</v>
      </c>
      <c r="AB37" s="54">
        <f t="shared" si="29"/>
        <v>8.5714285714285712</v>
      </c>
      <c r="AC37" s="54">
        <f t="shared" si="29"/>
        <v>733.42857142857133</v>
      </c>
      <c r="AD37" s="54">
        <f t="shared" si="29"/>
        <v>0.42857142857142855</v>
      </c>
      <c r="AE37" s="55">
        <f t="shared" si="29"/>
        <v>372.61904761904765</v>
      </c>
      <c r="AF37" s="55">
        <f t="shared" si="29"/>
        <v>1106.0476190476193</v>
      </c>
    </row>
    <row r="38" spans="2:32" ht="23.1" customHeight="1" x14ac:dyDescent="0.25">
      <c r="B38" s="24" t="s">
        <v>65</v>
      </c>
      <c r="C38" s="49">
        <f>'Avg Week Koboko-Arua'!C38+'Avg Week Arua-Koboko'!C38</f>
        <v>12.714285714285715</v>
      </c>
      <c r="D38" s="49">
        <f>'Avg Week Koboko-Arua'!D38+'Avg Week Arua-Koboko'!D38</f>
        <v>2</v>
      </c>
      <c r="E38" s="49">
        <f>'Avg Week Koboko-Arua'!E38+'Avg Week Arua-Koboko'!E38</f>
        <v>3.1428571428571428</v>
      </c>
      <c r="F38" s="49">
        <f>'Avg Week Koboko-Arua'!F38+'Avg Week Arua-Koboko'!F38</f>
        <v>3.5714285714285712</v>
      </c>
      <c r="G38" s="49">
        <f>'Avg Week Koboko-Arua'!G38+'Avg Week Arua-Koboko'!G38</f>
        <v>0</v>
      </c>
      <c r="H38" s="49">
        <f>'Avg Week Koboko-Arua'!H38+'Avg Week Arua-Koboko'!H38</f>
        <v>6.7142857142857144</v>
      </c>
      <c r="I38" s="49">
        <f>'Avg Week Koboko-Arua'!I38+'Avg Week Arua-Koboko'!I38</f>
        <v>1.7142857142857144</v>
      </c>
      <c r="J38" s="49">
        <f>'Avg Week Koboko-Arua'!J38+'Avg Week Arua-Koboko'!J38</f>
        <v>0.8571428571428571</v>
      </c>
      <c r="K38" s="49">
        <f>'Avg Week Koboko-Arua'!K38+'Avg Week Arua-Koboko'!K38</f>
        <v>0.14285714285714285</v>
      </c>
      <c r="L38" s="49">
        <f>'Avg Week Koboko-Arua'!L38+'Avg Week Arua-Koboko'!L38</f>
        <v>0.14285714285714285</v>
      </c>
      <c r="M38" s="49">
        <f>'Avg Week Koboko-Arua'!M38+'Avg Week Arua-Koboko'!M38</f>
        <v>57.428571428571431</v>
      </c>
      <c r="N38" s="49">
        <f>'Avg Week Koboko-Arua'!N38+'Avg Week Arua-Koboko'!N38</f>
        <v>0</v>
      </c>
      <c r="O38" s="15">
        <f t="shared" si="0"/>
        <v>31.000000000000004</v>
      </c>
      <c r="P38" s="15">
        <f t="shared" si="1"/>
        <v>88.428571428571431</v>
      </c>
      <c r="R38" s="28" t="s">
        <v>86</v>
      </c>
      <c r="S38" s="54">
        <f t="shared" ref="S38:AF38" si="30">SUM(S13:S18)</f>
        <v>367.42857142857144</v>
      </c>
      <c r="T38" s="54">
        <f t="shared" si="30"/>
        <v>68.714285714285722</v>
      </c>
      <c r="U38" s="54">
        <f t="shared" si="30"/>
        <v>133.28571428571428</v>
      </c>
      <c r="V38" s="54">
        <f t="shared" si="30"/>
        <v>59.285714285714285</v>
      </c>
      <c r="W38" s="54">
        <f t="shared" si="30"/>
        <v>4.7142857142857144</v>
      </c>
      <c r="X38" s="54">
        <f t="shared" si="30"/>
        <v>81.857142857142847</v>
      </c>
      <c r="Y38" s="54">
        <f t="shared" si="30"/>
        <v>77.142857142857153</v>
      </c>
      <c r="Z38" s="54">
        <f t="shared" si="30"/>
        <v>33.966666666666669</v>
      </c>
      <c r="AA38" s="54">
        <f t="shared" si="30"/>
        <v>2.1428571428571428</v>
      </c>
      <c r="AB38" s="54">
        <f t="shared" si="30"/>
        <v>10.714285714285714</v>
      </c>
      <c r="AC38" s="54">
        <f t="shared" si="30"/>
        <v>1604.5714285714284</v>
      </c>
      <c r="AD38" s="54">
        <f t="shared" si="30"/>
        <v>2.0476190476190474</v>
      </c>
      <c r="AE38" s="55">
        <f t="shared" si="30"/>
        <v>841.30000000000018</v>
      </c>
      <c r="AF38" s="55">
        <f t="shared" si="30"/>
        <v>2445.8714285714286</v>
      </c>
    </row>
    <row r="39" spans="2:32" ht="23.1" customHeight="1" x14ac:dyDescent="0.25">
      <c r="B39" s="24" t="s">
        <v>66</v>
      </c>
      <c r="C39" s="49">
        <f>'Avg Week Koboko-Arua'!C39+'Avg Week Arua-Koboko'!C39</f>
        <v>13.285714285714285</v>
      </c>
      <c r="D39" s="49">
        <f>'Avg Week Koboko-Arua'!D39+'Avg Week Arua-Koboko'!D39</f>
        <v>2.2857142857142856</v>
      </c>
      <c r="E39" s="49">
        <f>'Avg Week Koboko-Arua'!E39+'Avg Week Arua-Koboko'!E39</f>
        <v>4.1428571428571423</v>
      </c>
      <c r="F39" s="49">
        <f>'Avg Week Koboko-Arua'!F39+'Avg Week Arua-Koboko'!F39</f>
        <v>2.1428571428571428</v>
      </c>
      <c r="G39" s="49">
        <f>'Avg Week Koboko-Arua'!G39+'Avg Week Arua-Koboko'!G39</f>
        <v>0.2857142857142857</v>
      </c>
      <c r="H39" s="49">
        <f>'Avg Week Koboko-Arua'!H39+'Avg Week Arua-Koboko'!H39</f>
        <v>6.5714285714285712</v>
      </c>
      <c r="I39" s="49">
        <f>'Avg Week Koboko-Arua'!I39+'Avg Week Arua-Koboko'!I39</f>
        <v>1.8571428571428572</v>
      </c>
      <c r="J39" s="49">
        <f>'Avg Week Koboko-Arua'!J39+'Avg Week Arua-Koboko'!J39</f>
        <v>1.1428571428571428</v>
      </c>
      <c r="K39" s="49">
        <f>'Avg Week Koboko-Arua'!K39+'Avg Week Arua-Koboko'!K39</f>
        <v>0</v>
      </c>
      <c r="L39" s="49">
        <f>'Avg Week Koboko-Arua'!L39+'Avg Week Arua-Koboko'!L39</f>
        <v>0.2857142857142857</v>
      </c>
      <c r="M39" s="49">
        <f>'Avg Week Koboko-Arua'!M39+'Avg Week Arua-Koboko'!M39</f>
        <v>63.142857142857139</v>
      </c>
      <c r="N39" s="49">
        <f>'Avg Week Koboko-Arua'!N39+'Avg Week Arua-Koboko'!N39</f>
        <v>0</v>
      </c>
      <c r="O39" s="15">
        <f t="shared" si="0"/>
        <v>31.999999999999993</v>
      </c>
      <c r="P39" s="15">
        <f t="shared" si="1"/>
        <v>95.142857142857139</v>
      </c>
      <c r="R39" s="29" t="s">
        <v>87</v>
      </c>
      <c r="S39" s="54">
        <f t="shared" ref="S39:AF39" si="31">SUM(S19:S21)</f>
        <v>181.71428571428569</v>
      </c>
      <c r="T39" s="54">
        <f t="shared" si="31"/>
        <v>34.142857142857139</v>
      </c>
      <c r="U39" s="54">
        <f t="shared" si="31"/>
        <v>61.857142857142861</v>
      </c>
      <c r="V39" s="54">
        <f t="shared" si="31"/>
        <v>35.285714285714278</v>
      </c>
      <c r="W39" s="54">
        <f t="shared" si="31"/>
        <v>11.999999999999998</v>
      </c>
      <c r="X39" s="54">
        <f t="shared" si="31"/>
        <v>27</v>
      </c>
      <c r="Y39" s="54">
        <f t="shared" si="31"/>
        <v>28.952380952380953</v>
      </c>
      <c r="Z39" s="54">
        <f t="shared" si="31"/>
        <v>31</v>
      </c>
      <c r="AA39" s="54">
        <f t="shared" si="31"/>
        <v>4.8571428571428577</v>
      </c>
      <c r="AB39" s="54">
        <f t="shared" si="31"/>
        <v>9.7142857142857135</v>
      </c>
      <c r="AC39" s="54">
        <f t="shared" si="31"/>
        <v>726.71428571428578</v>
      </c>
      <c r="AD39" s="54">
        <f t="shared" si="31"/>
        <v>0.2857142857142857</v>
      </c>
      <c r="AE39" s="55">
        <f t="shared" si="31"/>
        <v>426.80952380952385</v>
      </c>
      <c r="AF39" s="55">
        <f t="shared" si="31"/>
        <v>1153.5238095238096</v>
      </c>
    </row>
    <row r="40" spans="2:32" ht="23.1" customHeight="1" x14ac:dyDescent="0.25">
      <c r="B40" s="24" t="s">
        <v>67</v>
      </c>
      <c r="C40" s="49">
        <f>'Avg Week Koboko-Arua'!C40+'Avg Week Arua-Koboko'!C40</f>
        <v>14.571428571428571</v>
      </c>
      <c r="D40" s="49">
        <f>'Avg Week Koboko-Arua'!D40+'Avg Week Arua-Koboko'!D40</f>
        <v>1.7142857142857142</v>
      </c>
      <c r="E40" s="49">
        <f>'Avg Week Koboko-Arua'!E40+'Avg Week Arua-Koboko'!E40</f>
        <v>2.8571428571428568</v>
      </c>
      <c r="F40" s="49">
        <f>'Avg Week Koboko-Arua'!F40+'Avg Week Arua-Koboko'!F40</f>
        <v>1.8571428571428572</v>
      </c>
      <c r="G40" s="49">
        <f>'Avg Week Koboko-Arua'!G40+'Avg Week Arua-Koboko'!G40</f>
        <v>0.42857142857142855</v>
      </c>
      <c r="H40" s="49">
        <f>'Avg Week Koboko-Arua'!H40+'Avg Week Arua-Koboko'!H40</f>
        <v>6</v>
      </c>
      <c r="I40" s="49">
        <f>'Avg Week Koboko-Arua'!I40+'Avg Week Arua-Koboko'!I40</f>
        <v>4.1428571428571432</v>
      </c>
      <c r="J40" s="49">
        <f>'Avg Week Koboko-Arua'!J40+'Avg Week Arua-Koboko'!J40</f>
        <v>2.8571428571428572</v>
      </c>
      <c r="K40" s="49">
        <f>'Avg Week Koboko-Arua'!K40+'Avg Week Arua-Koboko'!K40</f>
        <v>0.2857142857142857</v>
      </c>
      <c r="L40" s="49">
        <f>'Avg Week Koboko-Arua'!L40+'Avg Week Arua-Koboko'!L40</f>
        <v>0.14285714285714285</v>
      </c>
      <c r="M40" s="49">
        <f>'Avg Week Koboko-Arua'!M40+'Avg Week Arua-Koboko'!M40</f>
        <v>68.428571428571431</v>
      </c>
      <c r="N40" s="49">
        <f>'Avg Week Koboko-Arua'!N40+'Avg Week Arua-Koboko'!N40</f>
        <v>0</v>
      </c>
      <c r="O40" s="15">
        <f t="shared" si="0"/>
        <v>34.857142857142854</v>
      </c>
      <c r="P40" s="15">
        <f t="shared" si="1"/>
        <v>103.28571428571428</v>
      </c>
      <c r="R40" s="5" t="s">
        <v>17</v>
      </c>
      <c r="S40" s="54">
        <f t="shared" ref="S40:AF40" si="32">SUM(S10:S21)</f>
        <v>713</v>
      </c>
      <c r="T40" s="54">
        <f t="shared" si="32"/>
        <v>135.57142857142858</v>
      </c>
      <c r="U40" s="54">
        <f t="shared" si="32"/>
        <v>255.42857142857142</v>
      </c>
      <c r="V40" s="54">
        <f t="shared" si="32"/>
        <v>142.42857142857142</v>
      </c>
      <c r="W40" s="54">
        <f t="shared" si="32"/>
        <v>27.142857142857139</v>
      </c>
      <c r="X40" s="54">
        <f t="shared" si="32"/>
        <v>117</v>
      </c>
      <c r="Y40" s="54">
        <f t="shared" si="32"/>
        <v>131.04761904761907</v>
      </c>
      <c r="Z40" s="54">
        <f t="shared" si="32"/>
        <v>79.633333333333326</v>
      </c>
      <c r="AA40" s="54">
        <f t="shared" si="32"/>
        <v>7.7142857142857135</v>
      </c>
      <c r="AB40" s="54">
        <f t="shared" si="32"/>
        <v>29</v>
      </c>
      <c r="AC40" s="54">
        <f t="shared" si="32"/>
        <v>3064.7142857142862</v>
      </c>
      <c r="AD40" s="54">
        <f t="shared" si="32"/>
        <v>2.7619047619047614</v>
      </c>
      <c r="AE40" s="55">
        <f t="shared" si="32"/>
        <v>1640.7285714285715</v>
      </c>
      <c r="AF40" s="55">
        <f t="shared" si="32"/>
        <v>4705.4428571428571</v>
      </c>
    </row>
    <row r="41" spans="2:32" ht="23.1" customHeight="1" x14ac:dyDescent="0.25">
      <c r="B41" s="23" t="s">
        <v>68</v>
      </c>
      <c r="C41" s="49">
        <f>'Avg Week Koboko-Arua'!C41+'Avg Week Arua-Koboko'!C41</f>
        <v>15.142857142857142</v>
      </c>
      <c r="D41" s="49">
        <f>'Avg Week Koboko-Arua'!D41+'Avg Week Arua-Koboko'!D41</f>
        <v>2.8571428571428572</v>
      </c>
      <c r="E41" s="49">
        <f>'Avg Week Koboko-Arua'!E41+'Avg Week Arua-Koboko'!E41</f>
        <v>6.2857142857142865</v>
      </c>
      <c r="F41" s="49">
        <f>'Avg Week Koboko-Arua'!F41+'Avg Week Arua-Koboko'!F41</f>
        <v>2.2857142857142856</v>
      </c>
      <c r="G41" s="49">
        <f>'Avg Week Koboko-Arua'!G41+'Avg Week Arua-Koboko'!G41</f>
        <v>0.5714285714285714</v>
      </c>
      <c r="H41" s="49">
        <f>'Avg Week Koboko-Arua'!H41+'Avg Week Arua-Koboko'!H41</f>
        <v>8.8571428571428577</v>
      </c>
      <c r="I41" s="49">
        <f>'Avg Week Koboko-Arua'!I41+'Avg Week Arua-Koboko'!I41</f>
        <v>3.1428571428571428</v>
      </c>
      <c r="J41" s="49">
        <f>'Avg Week Koboko-Arua'!J41+'Avg Week Arua-Koboko'!J41</f>
        <v>1.1428571428571428</v>
      </c>
      <c r="K41" s="49">
        <f>'Avg Week Koboko-Arua'!K41+'Avg Week Arua-Koboko'!K41</f>
        <v>0</v>
      </c>
      <c r="L41" s="49">
        <f>'Avg Week Koboko-Arua'!L41+'Avg Week Arua-Koboko'!L41</f>
        <v>0.2857142857142857</v>
      </c>
      <c r="M41" s="49">
        <f>'Avg Week Koboko-Arua'!M41+'Avg Week Arua-Koboko'!M41</f>
        <v>67.285714285714278</v>
      </c>
      <c r="N41" s="49">
        <f>'Avg Week Koboko-Arua'!N41+'Avg Week Arua-Koboko'!N41</f>
        <v>0</v>
      </c>
      <c r="O41" s="15">
        <f t="shared" si="0"/>
        <v>40.571428571428577</v>
      </c>
      <c r="P41" s="15">
        <f t="shared" si="1"/>
        <v>107.85714285714286</v>
      </c>
      <c r="R41" s="5" t="s">
        <v>174</v>
      </c>
      <c r="S41" s="54">
        <f>SUM(S10:S33)</f>
        <v>896</v>
      </c>
      <c r="T41" s="54">
        <f t="shared" ref="T41:AD41" si="33">SUM(T10:T33)</f>
        <v>165.57142857142858</v>
      </c>
      <c r="U41" s="54">
        <f t="shared" si="33"/>
        <v>333.92857142857144</v>
      </c>
      <c r="V41" s="54">
        <f t="shared" si="33"/>
        <v>214.42857142857142</v>
      </c>
      <c r="W41" s="54">
        <f t="shared" si="33"/>
        <v>46.142857142857139</v>
      </c>
      <c r="X41" s="54">
        <f t="shared" si="33"/>
        <v>142</v>
      </c>
      <c r="Y41" s="54">
        <f t="shared" si="33"/>
        <v>163.54761904761907</v>
      </c>
      <c r="Z41" s="54">
        <f t="shared" si="33"/>
        <v>94.633333333333326</v>
      </c>
      <c r="AA41" s="54">
        <f t="shared" si="33"/>
        <v>16.714285714285715</v>
      </c>
      <c r="AB41" s="54">
        <f t="shared" si="33"/>
        <v>38.5</v>
      </c>
      <c r="AC41" s="54">
        <f t="shared" si="33"/>
        <v>4311.2142857142862</v>
      </c>
      <c r="AD41" s="54">
        <f t="shared" si="33"/>
        <v>3.2619047619047614</v>
      </c>
      <c r="AE41" s="55">
        <f>SUM(AE10:AE33)</f>
        <v>2114.7285714285717</v>
      </c>
      <c r="AF41" s="55">
        <f>SUM(AF10:AF33)</f>
        <v>6425.9428571428571</v>
      </c>
    </row>
    <row r="42" spans="2:32" ht="23.1" customHeight="1" x14ac:dyDescent="0.25">
      <c r="B42" s="24" t="s">
        <v>69</v>
      </c>
      <c r="C42" s="49">
        <f>'Avg Week Koboko-Arua'!C42+'Avg Week Arua-Koboko'!C42</f>
        <v>15.857142857142858</v>
      </c>
      <c r="D42" s="49">
        <f>'Avg Week Koboko-Arua'!D42+'Avg Week Arua-Koboko'!D42</f>
        <v>3.5714285714285712</v>
      </c>
      <c r="E42" s="49">
        <f>'Avg Week Koboko-Arua'!E42+'Avg Week Arua-Koboko'!E42</f>
        <v>6.8571428571428577</v>
      </c>
      <c r="F42" s="49">
        <f>'Avg Week Koboko-Arua'!F42+'Avg Week Arua-Koboko'!F42</f>
        <v>1.5714285714285714</v>
      </c>
      <c r="G42" s="49">
        <f>'Avg Week Koboko-Arua'!G42+'Avg Week Arua-Koboko'!G42</f>
        <v>0</v>
      </c>
      <c r="H42" s="49">
        <f>'Avg Week Koboko-Arua'!H42+'Avg Week Arua-Koboko'!H42</f>
        <v>5.2857142857142856</v>
      </c>
      <c r="I42" s="49">
        <f>'Avg Week Koboko-Arua'!I42+'Avg Week Arua-Koboko'!I42</f>
        <v>3.2857142857142856</v>
      </c>
      <c r="J42" s="49">
        <f>'Avg Week Koboko-Arua'!J42+'Avg Week Arua-Koboko'!J42</f>
        <v>1.4285714285714284</v>
      </c>
      <c r="K42" s="49">
        <f>'Avg Week Koboko-Arua'!K42+'Avg Week Arua-Koboko'!K42</f>
        <v>0.14285714285714285</v>
      </c>
      <c r="L42" s="49">
        <f>'Avg Week Koboko-Arua'!L42+'Avg Week Arua-Koboko'!L42</f>
        <v>0.71428571428571419</v>
      </c>
      <c r="M42" s="49">
        <f>'Avg Week Koboko-Arua'!M42+'Avg Week Arua-Koboko'!M42</f>
        <v>57.428571428571431</v>
      </c>
      <c r="N42" s="49">
        <f>'Avg Week Koboko-Arua'!N42+'Avg Week Arua-Koboko'!N42</f>
        <v>0</v>
      </c>
      <c r="O42" s="15">
        <f t="shared" si="0"/>
        <v>38.714285714285722</v>
      </c>
      <c r="P42" s="15">
        <f t="shared" si="1"/>
        <v>96.142857142857153</v>
      </c>
      <c r="R42" s="5" t="s">
        <v>160</v>
      </c>
      <c r="S42" s="48">
        <f>S41/S40</f>
        <v>1.2566619915848527</v>
      </c>
      <c r="T42" s="48">
        <f t="shared" ref="T42:AF42" si="34">T41/T40</f>
        <v>1.2212855637513171</v>
      </c>
      <c r="U42" s="48">
        <f t="shared" si="34"/>
        <v>1.3073266219239374</v>
      </c>
      <c r="V42" s="48">
        <f t="shared" si="34"/>
        <v>1.5055165496489469</v>
      </c>
      <c r="W42" s="48">
        <f t="shared" si="34"/>
        <v>1.7000000000000002</v>
      </c>
      <c r="X42" s="48">
        <f t="shared" si="34"/>
        <v>1.2136752136752136</v>
      </c>
      <c r="Y42" s="48">
        <f t="shared" si="34"/>
        <v>1.2480014534883721</v>
      </c>
      <c r="Z42" s="48">
        <f t="shared" si="34"/>
        <v>1.1883633319380493</v>
      </c>
      <c r="AA42" s="48">
        <f t="shared" si="34"/>
        <v>2.166666666666667</v>
      </c>
      <c r="AB42" s="48">
        <f t="shared" si="34"/>
        <v>1.3275862068965518</v>
      </c>
      <c r="AC42" s="48">
        <f t="shared" si="34"/>
        <v>1.4067263319815411</v>
      </c>
      <c r="AD42" s="48">
        <f t="shared" si="34"/>
        <v>1.1810344827586208</v>
      </c>
      <c r="AE42" s="56">
        <f t="shared" si="34"/>
        <v>1.2888960479229612</v>
      </c>
      <c r="AF42" s="56">
        <f t="shared" si="34"/>
        <v>1.3656403982014749</v>
      </c>
    </row>
    <row r="43" spans="2:32" ht="23.1" customHeight="1" x14ac:dyDescent="0.25">
      <c r="B43" s="23" t="s">
        <v>70</v>
      </c>
      <c r="C43" s="49">
        <f>'Avg Week Koboko-Arua'!C43+'Avg Week Arua-Koboko'!C43</f>
        <v>14.571428571428571</v>
      </c>
      <c r="D43" s="49">
        <f>'Avg Week Koboko-Arua'!D43+'Avg Week Arua-Koboko'!D43</f>
        <v>2.8571428571428572</v>
      </c>
      <c r="E43" s="49">
        <f>'Avg Week Koboko-Arua'!E43+'Avg Week Arua-Koboko'!E43</f>
        <v>6.2857142857142865</v>
      </c>
      <c r="F43" s="49">
        <f>'Avg Week Koboko-Arua'!F43+'Avg Week Arua-Koboko'!F43</f>
        <v>2.1428571428571428</v>
      </c>
      <c r="G43" s="49">
        <f>'Avg Week Koboko-Arua'!G43+'Avg Week Arua-Koboko'!G43</f>
        <v>0.14285714285714285</v>
      </c>
      <c r="H43" s="49">
        <f>'Avg Week Koboko-Arua'!H43+'Avg Week Arua-Koboko'!H43</f>
        <v>8.2857142857142847</v>
      </c>
      <c r="I43" s="49">
        <f>'Avg Week Koboko-Arua'!I43+'Avg Week Arua-Koboko'!I43</f>
        <v>3.4285714285714288</v>
      </c>
      <c r="J43" s="49">
        <f>'Avg Week Koboko-Arua'!J43+'Avg Week Arua-Koboko'!J43</f>
        <v>1.4523809523809526</v>
      </c>
      <c r="K43" s="49">
        <f>'Avg Week Koboko-Arua'!K43+'Avg Week Arua-Koboko'!K43</f>
        <v>0</v>
      </c>
      <c r="L43" s="49">
        <f>'Avg Week Koboko-Arua'!L43+'Avg Week Arua-Koboko'!L43</f>
        <v>0.8571428571428571</v>
      </c>
      <c r="M43" s="49">
        <f>'Avg Week Koboko-Arua'!M43+'Avg Week Arua-Koboko'!M43</f>
        <v>54.857142857142861</v>
      </c>
      <c r="N43" s="49">
        <f>'Avg Week Koboko-Arua'!N43+'Avg Week Arua-Koboko'!N43</f>
        <v>0</v>
      </c>
      <c r="O43" s="15">
        <f t="shared" si="0"/>
        <v>40.023809523809526</v>
      </c>
      <c r="P43" s="15">
        <f t="shared" si="1"/>
        <v>94.88095238095238</v>
      </c>
    </row>
    <row r="44" spans="2:32" ht="23.1" customHeight="1" x14ac:dyDescent="0.25">
      <c r="B44" s="25" t="s">
        <v>71</v>
      </c>
      <c r="C44" s="49">
        <f>'Avg Week Koboko-Arua'!C44+'Avg Week Arua-Koboko'!C44</f>
        <v>11.714285714285715</v>
      </c>
      <c r="D44" s="49">
        <f>'Avg Week Koboko-Arua'!D44+'Avg Week Arua-Koboko'!D44</f>
        <v>1.2857142857142856</v>
      </c>
      <c r="E44" s="49">
        <f>'Avg Week Koboko-Arua'!E44+'Avg Week Arua-Koboko'!E44</f>
        <v>2.5714285714285712</v>
      </c>
      <c r="F44" s="49">
        <f>'Avg Week Koboko-Arua'!F44+'Avg Week Arua-Koboko'!F44</f>
        <v>1.4285714285714284</v>
      </c>
      <c r="G44" s="49">
        <f>'Avg Week Koboko-Arua'!G44+'Avg Week Arua-Koboko'!G44</f>
        <v>0</v>
      </c>
      <c r="H44" s="49">
        <f>'Avg Week Koboko-Arua'!H44+'Avg Week Arua-Koboko'!H44</f>
        <v>7.7142857142857144</v>
      </c>
      <c r="I44" s="49">
        <f>'Avg Week Koboko-Arua'!I44+'Avg Week Arua-Koboko'!I44</f>
        <v>2</v>
      </c>
      <c r="J44" s="49">
        <f>'Avg Week Koboko-Arua'!J44+'Avg Week Arua-Koboko'!J44</f>
        <v>1.4285714285714286</v>
      </c>
      <c r="K44" s="49">
        <f>'Avg Week Koboko-Arua'!K44+'Avg Week Arua-Koboko'!K44</f>
        <v>0</v>
      </c>
      <c r="L44" s="49">
        <f>'Avg Week Koboko-Arua'!L44+'Avg Week Arua-Koboko'!L44</f>
        <v>0</v>
      </c>
      <c r="M44" s="49">
        <f>'Avg Week Koboko-Arua'!M44+'Avg Week Arua-Koboko'!M44</f>
        <v>50.142857142857139</v>
      </c>
      <c r="N44" s="49">
        <f>'Avg Week Koboko-Arua'!N44+'Avg Week Arua-Koboko'!N44</f>
        <v>0.14285714285714285</v>
      </c>
      <c r="O44" s="15">
        <f t="shared" si="0"/>
        <v>28.285714285714285</v>
      </c>
      <c r="P44" s="15">
        <f t="shared" si="1"/>
        <v>78.428571428571416</v>
      </c>
    </row>
    <row r="45" spans="2:32" ht="23.1" customHeight="1" x14ac:dyDescent="0.25">
      <c r="B45" s="23" t="s">
        <v>72</v>
      </c>
      <c r="C45" s="49">
        <f>'Avg Week Koboko-Arua'!C45+'Avg Week Arua-Koboko'!C45</f>
        <v>14.428571428571429</v>
      </c>
      <c r="D45" s="49">
        <f>'Avg Week Koboko-Arua'!D45+'Avg Week Arua-Koboko'!D45</f>
        <v>5.7142857142857144</v>
      </c>
      <c r="E45" s="49">
        <f>'Avg Week Koboko-Arua'!E45+'Avg Week Arua-Koboko'!E45</f>
        <v>11.714285714285715</v>
      </c>
      <c r="F45" s="49">
        <f>'Avg Week Koboko-Arua'!F45+'Avg Week Arua-Koboko'!F45</f>
        <v>1.5714285714285714</v>
      </c>
      <c r="G45" s="49">
        <f>'Avg Week Koboko-Arua'!G45+'Avg Week Arua-Koboko'!G45</f>
        <v>0</v>
      </c>
      <c r="H45" s="49">
        <f>'Avg Week Koboko-Arua'!H45+'Avg Week Arua-Koboko'!H45</f>
        <v>0.2857142857142857</v>
      </c>
      <c r="I45" s="49">
        <f>'Avg Week Koboko-Arua'!I45+'Avg Week Arua-Koboko'!I45</f>
        <v>2.7142857142857144</v>
      </c>
      <c r="J45" s="49">
        <f>'Avg Week Koboko-Arua'!J45+'Avg Week Arua-Koboko'!J45</f>
        <v>2</v>
      </c>
      <c r="K45" s="49">
        <f>'Avg Week Koboko-Arua'!K45+'Avg Week Arua-Koboko'!K45</f>
        <v>0</v>
      </c>
      <c r="L45" s="49">
        <f>'Avg Week Koboko-Arua'!L45+'Avg Week Arua-Koboko'!L45</f>
        <v>0.42857142857142855</v>
      </c>
      <c r="M45" s="49">
        <f>'Avg Week Koboko-Arua'!M45+'Avg Week Arua-Koboko'!M45</f>
        <v>68.714285714285708</v>
      </c>
      <c r="N45" s="49">
        <f>'Avg Week Koboko-Arua'!N45+'Avg Week Arua-Koboko'!N45</f>
        <v>0</v>
      </c>
      <c r="O45" s="15">
        <f t="shared" si="0"/>
        <v>38.857142857142861</v>
      </c>
      <c r="P45" s="15">
        <f t="shared" si="1"/>
        <v>107.57142857142857</v>
      </c>
    </row>
    <row r="46" spans="2:32" ht="23.1" customHeight="1" x14ac:dyDescent="0.25">
      <c r="B46" s="24" t="s">
        <v>73</v>
      </c>
      <c r="C46" s="49">
        <f>'Avg Week Koboko-Arua'!C46+'Avg Week Arua-Koboko'!C46</f>
        <v>13.857142857142858</v>
      </c>
      <c r="D46" s="49">
        <f>'Avg Week Koboko-Arua'!D46+'Avg Week Arua-Koboko'!D46</f>
        <v>3.4285714285714284</v>
      </c>
      <c r="E46" s="49">
        <f>'Avg Week Koboko-Arua'!E46+'Avg Week Arua-Koboko'!E46</f>
        <v>6.1428571428571423</v>
      </c>
      <c r="F46" s="49">
        <f>'Avg Week Koboko-Arua'!F46+'Avg Week Arua-Koboko'!F46</f>
        <v>2.2857142857142856</v>
      </c>
      <c r="G46" s="49">
        <f>'Avg Week Koboko-Arua'!G46+'Avg Week Arua-Koboko'!G46</f>
        <v>0.2857142857142857</v>
      </c>
      <c r="H46" s="49">
        <f>'Avg Week Koboko-Arua'!H46+'Avg Week Arua-Koboko'!H46</f>
        <v>3.8571428571428572</v>
      </c>
      <c r="I46" s="49">
        <f>'Avg Week Koboko-Arua'!I46+'Avg Week Arua-Koboko'!I46</f>
        <v>3.3809523809523809</v>
      </c>
      <c r="J46" s="49">
        <f>'Avg Week Koboko-Arua'!J46+'Avg Week Arua-Koboko'!J46</f>
        <v>1.7142857142857142</v>
      </c>
      <c r="K46" s="49">
        <f>'Avg Week Koboko-Arua'!K46+'Avg Week Arua-Koboko'!K46</f>
        <v>0</v>
      </c>
      <c r="L46" s="49">
        <f>'Avg Week Koboko-Arua'!L46+'Avg Week Arua-Koboko'!L46</f>
        <v>0.14285714285714285</v>
      </c>
      <c r="M46" s="49">
        <f>'Avg Week Koboko-Arua'!M46+'Avg Week Arua-Koboko'!M46</f>
        <v>55.285714285714285</v>
      </c>
      <c r="N46" s="49">
        <f>'Avg Week Koboko-Arua'!N46+'Avg Week Arua-Koboko'!N46</f>
        <v>0</v>
      </c>
      <c r="O46" s="15">
        <f t="shared" si="0"/>
        <v>35.095238095238095</v>
      </c>
      <c r="P46" s="15">
        <f t="shared" si="1"/>
        <v>90.38095238095238</v>
      </c>
      <c r="R46" s="8"/>
      <c r="T46"/>
    </row>
    <row r="47" spans="2:32" ht="23.1" customHeight="1" x14ac:dyDescent="0.25">
      <c r="B47" s="24" t="s">
        <v>74</v>
      </c>
      <c r="C47" s="49">
        <f>'Avg Week Koboko-Arua'!C47+'Avg Week Arua-Koboko'!C47</f>
        <v>18.142857142857142</v>
      </c>
      <c r="D47" s="49">
        <f>'Avg Week Koboko-Arua'!D47+'Avg Week Arua-Koboko'!D47</f>
        <v>3.2857142857142856</v>
      </c>
      <c r="E47" s="49">
        <f>'Avg Week Koboko-Arua'!E47+'Avg Week Arua-Koboko'!E47</f>
        <v>5.4285714285714288</v>
      </c>
      <c r="F47" s="49">
        <f>'Avg Week Koboko-Arua'!F47+'Avg Week Arua-Koboko'!F47</f>
        <v>1.5714285714285714</v>
      </c>
      <c r="G47" s="49">
        <f>'Avg Week Koboko-Arua'!G47+'Avg Week Arua-Koboko'!G47</f>
        <v>0.2857142857142857</v>
      </c>
      <c r="H47" s="49">
        <f>'Avg Week Koboko-Arua'!H47+'Avg Week Arua-Koboko'!H47</f>
        <v>9.2857142857142865</v>
      </c>
      <c r="I47" s="49">
        <f>'Avg Week Koboko-Arua'!I47+'Avg Week Arua-Koboko'!I47</f>
        <v>1.2857142857142856</v>
      </c>
      <c r="J47" s="49">
        <f>'Avg Week Koboko-Arua'!J47+'Avg Week Arua-Koboko'!J47</f>
        <v>1.4285714285714284</v>
      </c>
      <c r="K47" s="49">
        <f>'Avg Week Koboko-Arua'!K47+'Avg Week Arua-Koboko'!K47</f>
        <v>0</v>
      </c>
      <c r="L47" s="49">
        <f>'Avg Week Koboko-Arua'!L47+'Avg Week Arua-Koboko'!L47</f>
        <v>0.42857142857142855</v>
      </c>
      <c r="M47" s="49">
        <f>'Avg Week Koboko-Arua'!M47+'Avg Week Arua-Koboko'!M47</f>
        <v>49.571428571428569</v>
      </c>
      <c r="N47" s="49">
        <f>'Avg Week Koboko-Arua'!N47+'Avg Week Arua-Koboko'!N47</f>
        <v>0</v>
      </c>
      <c r="O47" s="15">
        <f t="shared" si="0"/>
        <v>41.142857142857146</v>
      </c>
      <c r="P47" s="15">
        <f t="shared" si="1"/>
        <v>90.714285714285722</v>
      </c>
      <c r="R47" s="8"/>
      <c r="T47"/>
    </row>
    <row r="48" spans="2:32" ht="23.1" customHeight="1" x14ac:dyDescent="0.25">
      <c r="B48" s="24" t="s">
        <v>75</v>
      </c>
      <c r="C48" s="49">
        <f>'Avg Week Koboko-Arua'!C48+'Avg Week Arua-Koboko'!C48</f>
        <v>19</v>
      </c>
      <c r="D48" s="49">
        <f>'Avg Week Koboko-Arua'!D48+'Avg Week Arua-Koboko'!D48</f>
        <v>2.5714285714285712</v>
      </c>
      <c r="E48" s="49">
        <f>'Avg Week Koboko-Arua'!E48+'Avg Week Arua-Koboko'!E48</f>
        <v>4.1428571428571432</v>
      </c>
      <c r="F48" s="49">
        <f>'Avg Week Koboko-Arua'!F48+'Avg Week Arua-Koboko'!F48</f>
        <v>4.1428571428571432</v>
      </c>
      <c r="G48" s="49">
        <f>'Avg Week Koboko-Arua'!G48+'Avg Week Arua-Koboko'!G48</f>
        <v>0.42857142857142855</v>
      </c>
      <c r="H48" s="49">
        <f>'Avg Week Koboko-Arua'!H48+'Avg Week Arua-Koboko'!H48</f>
        <v>6.5714285714285712</v>
      </c>
      <c r="I48" s="49">
        <f>'Avg Week Koboko-Arua'!I48+'Avg Week Arua-Koboko'!I48</f>
        <v>1.8571428571428572</v>
      </c>
      <c r="J48" s="49">
        <f>'Avg Week Koboko-Arua'!J48+'Avg Week Arua-Koboko'!J48</f>
        <v>1.8571428571428572</v>
      </c>
      <c r="K48" s="49">
        <f>'Avg Week Koboko-Arua'!K48+'Avg Week Arua-Koboko'!K48</f>
        <v>0.14285714285714285</v>
      </c>
      <c r="L48" s="49">
        <f>'Avg Week Koboko-Arua'!L48+'Avg Week Arua-Koboko'!L48</f>
        <v>1.4285714285714286</v>
      </c>
      <c r="M48" s="49">
        <f>'Avg Week Koboko-Arua'!M48+'Avg Week Arua-Koboko'!M48</f>
        <v>61.285714285714292</v>
      </c>
      <c r="N48" s="49">
        <f>'Avg Week Koboko-Arua'!N48+'Avg Week Arua-Koboko'!N48</f>
        <v>0</v>
      </c>
      <c r="O48" s="15">
        <f t="shared" si="0"/>
        <v>42.142857142857139</v>
      </c>
      <c r="P48" s="15">
        <f t="shared" si="1"/>
        <v>103.42857142857143</v>
      </c>
      <c r="R48" s="8"/>
      <c r="T48"/>
    </row>
    <row r="49" spans="2:20" ht="23.1" customHeight="1" x14ac:dyDescent="0.25">
      <c r="B49" s="23" t="s">
        <v>76</v>
      </c>
      <c r="C49" s="49">
        <f>'Avg Week Koboko-Arua'!C49+'Avg Week Arua-Koboko'!C49</f>
        <v>14.428571428571429</v>
      </c>
      <c r="D49" s="49">
        <f>'Avg Week Koboko-Arua'!D49+'Avg Week Arua-Koboko'!D49</f>
        <v>4</v>
      </c>
      <c r="E49" s="49">
        <f>'Avg Week Koboko-Arua'!E49+'Avg Week Arua-Koboko'!E49</f>
        <v>7.7142857142857144</v>
      </c>
      <c r="F49" s="49">
        <f>'Avg Week Koboko-Arua'!F49+'Avg Week Arua-Koboko'!F49</f>
        <v>3.4285714285714288</v>
      </c>
      <c r="G49" s="49">
        <f>'Avg Week Koboko-Arua'!G49+'Avg Week Arua-Koboko'!G49</f>
        <v>0.2857142857142857</v>
      </c>
      <c r="H49" s="49">
        <f>'Avg Week Koboko-Arua'!H49+'Avg Week Arua-Koboko'!H49</f>
        <v>3</v>
      </c>
      <c r="I49" s="49">
        <f>'Avg Week Koboko-Arua'!I49+'Avg Week Arua-Koboko'!I49</f>
        <v>1.5714285714285714</v>
      </c>
      <c r="J49" s="49">
        <f>'Avg Week Koboko-Arua'!J49+'Avg Week Arua-Koboko'!J49</f>
        <v>2.7142857142857144</v>
      </c>
      <c r="K49" s="49">
        <f>'Avg Week Koboko-Arua'!K49+'Avg Week Arua-Koboko'!K49</f>
        <v>0.14285714285714285</v>
      </c>
      <c r="L49" s="49">
        <f>'Avg Week Koboko-Arua'!L49+'Avg Week Arua-Koboko'!L49</f>
        <v>0.42857142857142855</v>
      </c>
      <c r="M49" s="49">
        <f>'Avg Week Koboko-Arua'!M49+'Avg Week Arua-Koboko'!M49</f>
        <v>54.714285714285708</v>
      </c>
      <c r="N49" s="49">
        <f>'Avg Week Koboko-Arua'!N49+'Avg Week Arua-Koboko'!N49</f>
        <v>0</v>
      </c>
      <c r="O49" s="15">
        <f t="shared" si="0"/>
        <v>37.714285714285722</v>
      </c>
      <c r="P49" s="15">
        <f t="shared" si="1"/>
        <v>92.428571428571431</v>
      </c>
      <c r="R49" s="8"/>
      <c r="T49"/>
    </row>
    <row r="50" spans="2:20" ht="23.1" customHeight="1" x14ac:dyDescent="0.25">
      <c r="B50" s="24" t="s">
        <v>77</v>
      </c>
      <c r="C50" s="49">
        <f>'Avg Week Koboko-Arua'!C50+'Avg Week Arua-Koboko'!C50</f>
        <v>18.571428571428573</v>
      </c>
      <c r="D50" s="49">
        <f>'Avg Week Koboko-Arua'!D50+'Avg Week Arua-Koboko'!D50</f>
        <v>4</v>
      </c>
      <c r="E50" s="49">
        <f>'Avg Week Koboko-Arua'!E50+'Avg Week Arua-Koboko'!E50</f>
        <v>7.5714285714285712</v>
      </c>
      <c r="F50" s="49">
        <f>'Avg Week Koboko-Arua'!F50+'Avg Week Arua-Koboko'!F50</f>
        <v>2</v>
      </c>
      <c r="G50" s="49">
        <f>'Avg Week Koboko-Arua'!G50+'Avg Week Arua-Koboko'!G50</f>
        <v>2</v>
      </c>
      <c r="H50" s="49">
        <f>'Avg Week Koboko-Arua'!H50+'Avg Week Arua-Koboko'!H50</f>
        <v>1.7142857142857142</v>
      </c>
      <c r="I50" s="49">
        <f>'Avg Week Koboko-Arua'!I50+'Avg Week Arua-Koboko'!I50</f>
        <v>3.1428571428571428</v>
      </c>
      <c r="J50" s="49">
        <f>'Avg Week Koboko-Arua'!J50+'Avg Week Arua-Koboko'!J50</f>
        <v>4.8571428571428568</v>
      </c>
      <c r="K50" s="49">
        <f>'Avg Week Koboko-Arua'!K50+'Avg Week Arua-Koboko'!K50</f>
        <v>0.14285714285714285</v>
      </c>
      <c r="L50" s="49">
        <f>'Avg Week Koboko-Arua'!L50+'Avg Week Arua-Koboko'!L50</f>
        <v>0.14285714285714285</v>
      </c>
      <c r="M50" s="49">
        <f>'Avg Week Koboko-Arua'!M50+'Avg Week Arua-Koboko'!M50</f>
        <v>65.571428571428569</v>
      </c>
      <c r="N50" s="49">
        <f>'Avg Week Koboko-Arua'!N50+'Avg Week Arua-Koboko'!N50</f>
        <v>0</v>
      </c>
      <c r="O50" s="15">
        <f t="shared" si="0"/>
        <v>44.142857142857153</v>
      </c>
      <c r="P50" s="15">
        <f t="shared" si="1"/>
        <v>109.71428571428572</v>
      </c>
      <c r="R50" s="8"/>
      <c r="T50"/>
    </row>
    <row r="51" spans="2:20" ht="23.1" customHeight="1" x14ac:dyDescent="0.25">
      <c r="B51" s="24" t="s">
        <v>78</v>
      </c>
      <c r="C51" s="49">
        <f>'Avg Week Koboko-Arua'!C51+'Avg Week Arua-Koboko'!C51</f>
        <v>18.571428571428569</v>
      </c>
      <c r="D51" s="49">
        <f>'Avg Week Koboko-Arua'!D51+'Avg Week Arua-Koboko'!D51</f>
        <v>3.1428571428571428</v>
      </c>
      <c r="E51" s="49">
        <f>'Avg Week Koboko-Arua'!E51+'Avg Week Arua-Koboko'!E51</f>
        <v>5.7142857142857144</v>
      </c>
      <c r="F51" s="49">
        <f>'Avg Week Koboko-Arua'!F51+'Avg Week Arua-Koboko'!F51</f>
        <v>2.7142857142857144</v>
      </c>
      <c r="G51" s="49">
        <f>'Avg Week Koboko-Arua'!G51+'Avg Week Arua-Koboko'!G51</f>
        <v>0.5714285714285714</v>
      </c>
      <c r="H51" s="49">
        <f>'Avg Week Koboko-Arua'!H51+'Avg Week Arua-Koboko'!H51</f>
        <v>0.14285714285714285</v>
      </c>
      <c r="I51" s="49">
        <f>'Avg Week Koboko-Arua'!I51+'Avg Week Arua-Koboko'!I51</f>
        <v>2.2857142857142856</v>
      </c>
      <c r="J51" s="49">
        <f>'Avg Week Koboko-Arua'!J51+'Avg Week Arua-Koboko'!J51</f>
        <v>5.7142857142857144</v>
      </c>
      <c r="K51" s="49">
        <f>'Avg Week Koboko-Arua'!K51+'Avg Week Arua-Koboko'!K51</f>
        <v>0.2857142857142857</v>
      </c>
      <c r="L51" s="49">
        <f>'Avg Week Koboko-Arua'!L51+'Avg Week Arua-Koboko'!L51</f>
        <v>1</v>
      </c>
      <c r="M51" s="49">
        <f>'Avg Week Koboko-Arua'!M51+'Avg Week Arua-Koboko'!M51</f>
        <v>65.428571428571431</v>
      </c>
      <c r="N51" s="49">
        <f>'Avg Week Koboko-Arua'!N51+'Avg Week Arua-Koboko'!N51</f>
        <v>0</v>
      </c>
      <c r="O51" s="15">
        <f t="shared" si="0"/>
        <v>40.142857142857146</v>
      </c>
      <c r="P51" s="15">
        <f t="shared" si="1"/>
        <v>105.57142857142858</v>
      </c>
      <c r="R51" s="8"/>
      <c r="T51"/>
    </row>
    <row r="52" spans="2:20" ht="23.1" customHeight="1" x14ac:dyDescent="0.25">
      <c r="B52" s="24" t="s">
        <v>79</v>
      </c>
      <c r="C52" s="49">
        <f>'Avg Week Koboko-Arua'!C52+'Avg Week Arua-Koboko'!C52</f>
        <v>16.428571428571427</v>
      </c>
      <c r="D52" s="49">
        <f>'Avg Week Koboko-Arua'!D52+'Avg Week Arua-Koboko'!D52</f>
        <v>2.7142857142857144</v>
      </c>
      <c r="E52" s="49">
        <f>'Avg Week Koboko-Arua'!E52+'Avg Week Arua-Koboko'!E52</f>
        <v>5.1428571428571432</v>
      </c>
      <c r="F52" s="49">
        <f>'Avg Week Koboko-Arua'!F52+'Avg Week Arua-Koboko'!F52</f>
        <v>5.5714285714285712</v>
      </c>
      <c r="G52" s="49">
        <f>'Avg Week Koboko-Arua'!G52+'Avg Week Arua-Koboko'!G52</f>
        <v>0.5714285714285714</v>
      </c>
      <c r="H52" s="49">
        <f>'Avg Week Koboko-Arua'!H52+'Avg Week Arua-Koboko'!H52</f>
        <v>0.14285714285714285</v>
      </c>
      <c r="I52" s="49">
        <f>'Avg Week Koboko-Arua'!I52+'Avg Week Arua-Koboko'!I52</f>
        <v>2.1428571428571428</v>
      </c>
      <c r="J52" s="49">
        <f>'Avg Week Koboko-Arua'!J52+'Avg Week Arua-Koboko'!J52</f>
        <v>2</v>
      </c>
      <c r="K52" s="49">
        <f>'Avg Week Koboko-Arua'!K52+'Avg Week Arua-Koboko'!K52</f>
        <v>0</v>
      </c>
      <c r="L52" s="49">
        <f>'Avg Week Koboko-Arua'!L52+'Avg Week Arua-Koboko'!L52</f>
        <v>0.71428571428571419</v>
      </c>
      <c r="M52" s="49">
        <f>'Avg Week Koboko-Arua'!M52+'Avg Week Arua-Koboko'!M52</f>
        <v>75.857142857142861</v>
      </c>
      <c r="N52" s="49">
        <f>'Avg Week Koboko-Arua'!N52+'Avg Week Arua-Koboko'!N52</f>
        <v>0.2857142857142857</v>
      </c>
      <c r="O52" s="15">
        <f t="shared" si="0"/>
        <v>35.714285714285715</v>
      </c>
      <c r="P52" s="15">
        <f t="shared" si="1"/>
        <v>111.57142857142858</v>
      </c>
      <c r="R52" s="8"/>
      <c r="T52"/>
    </row>
    <row r="53" spans="2:20" ht="23.1" customHeight="1" x14ac:dyDescent="0.25">
      <c r="B53" s="23" t="s">
        <v>80</v>
      </c>
      <c r="C53" s="49">
        <f>'Avg Week Koboko-Arua'!C53+'Avg Week Arua-Koboko'!C53</f>
        <v>14.571428571428573</v>
      </c>
      <c r="D53" s="49">
        <f>'Avg Week Koboko-Arua'!D53+'Avg Week Arua-Koboko'!D53</f>
        <v>2.2857142857142856</v>
      </c>
      <c r="E53" s="49">
        <f>'Avg Week Koboko-Arua'!E53+'Avg Week Arua-Koboko'!E53</f>
        <v>4.8571428571428577</v>
      </c>
      <c r="F53" s="49">
        <f>'Avg Week Koboko-Arua'!F53+'Avg Week Arua-Koboko'!F53</f>
        <v>2.8571428571428572</v>
      </c>
      <c r="G53" s="49">
        <f>'Avg Week Koboko-Arua'!G53+'Avg Week Arua-Koboko'!G53</f>
        <v>1.1428571428571428</v>
      </c>
      <c r="H53" s="49">
        <f>'Avg Week Koboko-Arua'!H53+'Avg Week Arua-Koboko'!H53</f>
        <v>0.14285714285714285</v>
      </c>
      <c r="I53" s="49">
        <f>'Avg Week Koboko-Arua'!I53+'Avg Week Arua-Koboko'!I53</f>
        <v>3.5714285714285712</v>
      </c>
      <c r="J53" s="49">
        <f>'Avg Week Koboko-Arua'!J53+'Avg Week Arua-Koboko'!J53</f>
        <v>2.1428571428571428</v>
      </c>
      <c r="K53" s="49">
        <f>'Avg Week Koboko-Arua'!K53+'Avg Week Arua-Koboko'!K53</f>
        <v>0.71428571428571419</v>
      </c>
      <c r="L53" s="49">
        <f>'Avg Week Koboko-Arua'!L53+'Avg Week Arua-Koboko'!L53</f>
        <v>0.8571428571428571</v>
      </c>
      <c r="M53" s="49">
        <f>'Avg Week Koboko-Arua'!M53+'Avg Week Arua-Koboko'!M53</f>
        <v>68.571428571428569</v>
      </c>
      <c r="N53" s="49">
        <f>'Avg Week Koboko-Arua'!N53+'Avg Week Arua-Koboko'!N53</f>
        <v>0</v>
      </c>
      <c r="O53" s="15">
        <f t="shared" si="0"/>
        <v>33.142857142857139</v>
      </c>
      <c r="P53" s="15">
        <f t="shared" si="1"/>
        <v>101.71428571428571</v>
      </c>
      <c r="R53" s="8"/>
      <c r="T53"/>
    </row>
    <row r="54" spans="2:20" ht="23.1" customHeight="1" x14ac:dyDescent="0.25">
      <c r="B54" s="23" t="s">
        <v>81</v>
      </c>
      <c r="C54" s="49">
        <f>'Avg Week Koboko-Arua'!C54+'Avg Week Arua-Koboko'!C54</f>
        <v>12.857142857142858</v>
      </c>
      <c r="D54" s="49">
        <f>'Avg Week Koboko-Arua'!D54+'Avg Week Arua-Koboko'!D54</f>
        <v>3.4285714285714288</v>
      </c>
      <c r="E54" s="49">
        <f>'Avg Week Koboko-Arua'!E54+'Avg Week Arua-Koboko'!E54</f>
        <v>5.8571428571428577</v>
      </c>
      <c r="F54" s="49">
        <f>'Avg Week Koboko-Arua'!F54+'Avg Week Arua-Koboko'!F54</f>
        <v>2.714285714285714</v>
      </c>
      <c r="G54" s="49">
        <f>'Avg Week Koboko-Arua'!G54+'Avg Week Arua-Koboko'!G54</f>
        <v>2.8571428571428568</v>
      </c>
      <c r="H54" s="49">
        <f>'Avg Week Koboko-Arua'!H54+'Avg Week Arua-Koboko'!H54</f>
        <v>0.2857142857142857</v>
      </c>
      <c r="I54" s="49">
        <f>'Avg Week Koboko-Arua'!I54+'Avg Week Arua-Koboko'!I54</f>
        <v>3</v>
      </c>
      <c r="J54" s="49">
        <f>'Avg Week Koboko-Arua'!J54+'Avg Week Arua-Koboko'!J54</f>
        <v>1.2857142857142858</v>
      </c>
      <c r="K54" s="49">
        <f>'Avg Week Koboko-Arua'!K54+'Avg Week Arua-Koboko'!K54</f>
        <v>1.1428571428571428</v>
      </c>
      <c r="L54" s="49">
        <f>'Avg Week Koboko-Arua'!L54+'Avg Week Arua-Koboko'!L54</f>
        <v>1</v>
      </c>
      <c r="M54" s="49">
        <f>'Avg Week Koboko-Arua'!M54+'Avg Week Arua-Koboko'!M54</f>
        <v>68.714285714285722</v>
      </c>
      <c r="N54" s="49">
        <f>'Avg Week Koboko-Arua'!N54+'Avg Week Arua-Koboko'!N54</f>
        <v>0</v>
      </c>
      <c r="O54" s="15">
        <f t="shared" si="0"/>
        <v>34.428571428571431</v>
      </c>
      <c r="P54" s="15">
        <f t="shared" si="1"/>
        <v>103.14285714285715</v>
      </c>
      <c r="R54" s="8"/>
      <c r="T54"/>
    </row>
    <row r="55" spans="2:20" ht="23.1" customHeight="1" x14ac:dyDescent="0.25">
      <c r="B55" s="23" t="s">
        <v>82</v>
      </c>
      <c r="C55" s="49">
        <f>'Avg Week Koboko-Arua'!C55+'Avg Week Arua-Koboko'!C55</f>
        <v>13.142857142857142</v>
      </c>
      <c r="D55" s="49">
        <f>'Avg Week Koboko-Arua'!D55+'Avg Week Arua-Koboko'!D55</f>
        <v>1.4285714285714284</v>
      </c>
      <c r="E55" s="49">
        <f>'Avg Week Koboko-Arua'!E55+'Avg Week Arua-Koboko'!E55</f>
        <v>2.7142857142857144</v>
      </c>
      <c r="F55" s="49">
        <f>'Avg Week Koboko-Arua'!F55+'Avg Week Arua-Koboko'!F55</f>
        <v>2.4285714285714284</v>
      </c>
      <c r="G55" s="49">
        <f>'Avg Week Koboko-Arua'!G55+'Avg Week Arua-Koboko'!G55</f>
        <v>1.8571428571428572</v>
      </c>
      <c r="H55" s="49">
        <f>'Avg Week Koboko-Arua'!H55+'Avg Week Arua-Koboko'!H55</f>
        <v>0.42857142857142855</v>
      </c>
      <c r="I55" s="49">
        <f>'Avg Week Koboko-Arua'!I55+'Avg Week Arua-Koboko'!I55</f>
        <v>2.4285714285714288</v>
      </c>
      <c r="J55" s="49">
        <f>'Avg Week Koboko-Arua'!J55+'Avg Week Arua-Koboko'!J55</f>
        <v>2.5714285714285712</v>
      </c>
      <c r="K55" s="49">
        <f>'Avg Week Koboko-Arua'!K55+'Avg Week Arua-Koboko'!K55</f>
        <v>1</v>
      </c>
      <c r="L55" s="49">
        <f>'Avg Week Koboko-Arua'!L55+'Avg Week Arua-Koboko'!L55</f>
        <v>0.7142857142857143</v>
      </c>
      <c r="M55" s="49">
        <f>'Avg Week Koboko-Arua'!M55+'Avg Week Arua-Koboko'!M55</f>
        <v>57.142857142857139</v>
      </c>
      <c r="N55" s="49">
        <f>'Avg Week Koboko-Arua'!N55+'Avg Week Arua-Koboko'!N55</f>
        <v>0</v>
      </c>
      <c r="O55" s="15">
        <f t="shared" si="0"/>
        <v>28.714285714285708</v>
      </c>
      <c r="P55" s="15">
        <f t="shared" si="1"/>
        <v>85.857142857142847</v>
      </c>
      <c r="R55" s="8"/>
      <c r="T55"/>
    </row>
    <row r="56" spans="2:20" ht="23.1" customHeight="1" x14ac:dyDescent="0.25">
      <c r="B56" s="23" t="s">
        <v>83</v>
      </c>
      <c r="C56" s="49">
        <f>'Avg Week Koboko-Arua'!C56+'Avg Week Arua-Koboko'!C56</f>
        <v>11</v>
      </c>
      <c r="D56" s="49">
        <f>'Avg Week Koboko-Arua'!D56+'Avg Week Arua-Koboko'!D56</f>
        <v>1.7142857142857144</v>
      </c>
      <c r="E56" s="49">
        <f>'Avg Week Koboko-Arua'!E56+'Avg Week Arua-Koboko'!E56</f>
        <v>2.714285714285714</v>
      </c>
      <c r="F56" s="49">
        <f>'Avg Week Koboko-Arua'!F56+'Avg Week Arua-Koboko'!F56</f>
        <v>2.714285714285714</v>
      </c>
      <c r="G56" s="49">
        <f>'Avg Week Koboko-Arua'!G56+'Avg Week Arua-Koboko'!G56</f>
        <v>0.71428571428571419</v>
      </c>
      <c r="H56" s="49">
        <f>'Avg Week Koboko-Arua'!H56+'Avg Week Arua-Koboko'!H56</f>
        <v>0.2857142857142857</v>
      </c>
      <c r="I56" s="49">
        <f>'Avg Week Koboko-Arua'!I56+'Avg Week Arua-Koboko'!I56</f>
        <v>2.8571428571428572</v>
      </c>
      <c r="J56" s="49">
        <f>'Avg Week Koboko-Arua'!J56+'Avg Week Arua-Koboko'!J56</f>
        <v>1.8571428571428572</v>
      </c>
      <c r="K56" s="49">
        <f>'Avg Week Koboko-Arua'!K56+'Avg Week Arua-Koboko'!K56</f>
        <v>0.5714285714285714</v>
      </c>
      <c r="L56" s="49">
        <f>'Avg Week Koboko-Arua'!L56+'Avg Week Arua-Koboko'!L56</f>
        <v>1.1428571428571428</v>
      </c>
      <c r="M56" s="49">
        <f>'Avg Week Koboko-Arua'!M56+'Avg Week Arua-Koboko'!M56</f>
        <v>46.571428571428569</v>
      </c>
      <c r="N56" s="49">
        <f>'Avg Week Koboko-Arua'!N56+'Avg Week Arua-Koboko'!N56</f>
        <v>0</v>
      </c>
      <c r="O56" s="15">
        <f t="shared" si="0"/>
        <v>25.571428571428573</v>
      </c>
      <c r="P56" s="15">
        <f t="shared" si="1"/>
        <v>72.142857142857139</v>
      </c>
      <c r="R56" s="8"/>
      <c r="T56"/>
    </row>
    <row r="57" spans="2:20" ht="23.1" customHeight="1" x14ac:dyDescent="0.25">
      <c r="B57" s="23" t="s">
        <v>84</v>
      </c>
      <c r="C57" s="49">
        <f>'Avg Week Koboko-Arua'!C57+'Avg Week Arua-Koboko'!C57</f>
        <v>11.142857142857142</v>
      </c>
      <c r="D57" s="49">
        <f>'Avg Week Koboko-Arua'!D57+'Avg Week Arua-Koboko'!D57</f>
        <v>2.1428571428571428</v>
      </c>
      <c r="E57" s="49">
        <f>'Avg Week Koboko-Arua'!E57+'Avg Week Arua-Koboko'!E57</f>
        <v>3.8571428571428572</v>
      </c>
      <c r="F57" s="49">
        <f>'Avg Week Koboko-Arua'!F57+'Avg Week Arua-Koboko'!F57</f>
        <v>2.8571428571428568</v>
      </c>
      <c r="G57" s="49">
        <f>'Avg Week Koboko-Arua'!G57+'Avg Week Arua-Koboko'!G57</f>
        <v>1</v>
      </c>
      <c r="H57" s="49">
        <f>'Avg Week Koboko-Arua'!H57+'Avg Week Arua-Koboko'!H57</f>
        <v>1.1428571428571428</v>
      </c>
      <c r="I57" s="49">
        <f>'Avg Week Koboko-Arua'!I57+'Avg Week Arua-Koboko'!I57</f>
        <v>1.4285714285714284</v>
      </c>
      <c r="J57" s="49">
        <f>'Avg Week Koboko-Arua'!J57+'Avg Week Arua-Koboko'!J57</f>
        <v>2.8571428571428572</v>
      </c>
      <c r="K57" s="49">
        <f>'Avg Week Koboko-Arua'!K57+'Avg Week Arua-Koboko'!K57</f>
        <v>0.71428571428571419</v>
      </c>
      <c r="L57" s="49">
        <f>'Avg Week Koboko-Arua'!L57+'Avg Week Arua-Koboko'!L57</f>
        <v>1.7142857142857144</v>
      </c>
      <c r="M57" s="49">
        <f>'Avg Week Koboko-Arua'!M57+'Avg Week Arua-Koboko'!M57</f>
        <v>58</v>
      </c>
      <c r="N57" s="49">
        <f>'Avg Week Koboko-Arua'!N57+'Avg Week Arua-Koboko'!N57</f>
        <v>0</v>
      </c>
      <c r="O57" s="15">
        <f t="shared" si="0"/>
        <v>28.857142857142858</v>
      </c>
      <c r="P57" s="15">
        <f t="shared" si="1"/>
        <v>86.857142857142861</v>
      </c>
      <c r="R57" s="8"/>
      <c r="T57"/>
    </row>
    <row r="58" spans="2:20" ht="23.1" customHeight="1" x14ac:dyDescent="0.25">
      <c r="B58" s="23" t="s">
        <v>99</v>
      </c>
      <c r="C58" s="49">
        <f>'Avg Week Koboko-Arua'!C58+'Avg Week Arua-Koboko'!C58</f>
        <v>20</v>
      </c>
      <c r="D58" s="49">
        <f>'Avg Week Koboko-Arua'!D58+'Avg Week Arua-Koboko'!D58</f>
        <v>3.5</v>
      </c>
      <c r="E58" s="49">
        <f>'Avg Week Koboko-Arua'!E58+'Avg Week Arua-Koboko'!E58</f>
        <v>8</v>
      </c>
      <c r="F58" s="49">
        <f>'Avg Week Koboko-Arua'!F58+'Avg Week Arua-Koboko'!F58</f>
        <v>8</v>
      </c>
      <c r="G58" s="49">
        <f>'Avg Week Koboko-Arua'!G58+'Avg Week Arua-Koboko'!G58</f>
        <v>0.5</v>
      </c>
      <c r="H58" s="49">
        <f>'Avg Week Koboko-Arua'!H58+'Avg Week Arua-Koboko'!H58</f>
        <v>0</v>
      </c>
      <c r="I58" s="49">
        <f>'Avg Week Koboko-Arua'!I58+'Avg Week Arua-Koboko'!I58</f>
        <v>1.5</v>
      </c>
      <c r="J58" s="49">
        <f>'Avg Week Koboko-Arua'!J58+'Avg Week Arua-Koboko'!J58</f>
        <v>1.5</v>
      </c>
      <c r="K58" s="49">
        <f>'Avg Week Koboko-Arua'!K58+'Avg Week Arua-Koboko'!K58</f>
        <v>0</v>
      </c>
      <c r="L58" s="49">
        <f>'Avg Week Koboko-Arua'!L58+'Avg Week Arua-Koboko'!L58</f>
        <v>0</v>
      </c>
      <c r="M58" s="49">
        <f>'Avg Week Koboko-Arua'!M58+'Avg Week Arua-Koboko'!M58</f>
        <v>61</v>
      </c>
      <c r="N58" s="49">
        <f>'Avg Week Koboko-Arua'!N58+'Avg Week Arua-Koboko'!N58</f>
        <v>0</v>
      </c>
      <c r="O58" s="15">
        <f t="shared" si="0"/>
        <v>43</v>
      </c>
      <c r="P58" s="15">
        <f t="shared" si="1"/>
        <v>104</v>
      </c>
      <c r="R58" s="8"/>
      <c r="T58"/>
    </row>
    <row r="59" spans="2:20" ht="23.1" customHeight="1" x14ac:dyDescent="0.25">
      <c r="B59" s="23" t="s">
        <v>100</v>
      </c>
      <c r="C59" s="49">
        <f>'Avg Week Koboko-Arua'!C59+'Avg Week Arua-Koboko'!C59</f>
        <v>19.5</v>
      </c>
      <c r="D59" s="49">
        <f>'Avg Week Koboko-Arua'!D59+'Avg Week Arua-Koboko'!D59</f>
        <v>2</v>
      </c>
      <c r="E59" s="49">
        <f>'Avg Week Koboko-Arua'!E59+'Avg Week Arua-Koboko'!E59</f>
        <v>3.5</v>
      </c>
      <c r="F59" s="49">
        <f>'Avg Week Koboko-Arua'!F59+'Avg Week Arua-Koboko'!F59</f>
        <v>8</v>
      </c>
      <c r="G59" s="49">
        <f>'Avg Week Koboko-Arua'!G59+'Avg Week Arua-Koboko'!G59</f>
        <v>7</v>
      </c>
      <c r="H59" s="49">
        <f>'Avg Week Koboko-Arua'!H59+'Avg Week Arua-Koboko'!H59</f>
        <v>0.5</v>
      </c>
      <c r="I59" s="49">
        <f>'Avg Week Koboko-Arua'!I59+'Avg Week Arua-Koboko'!I59</f>
        <v>4.5</v>
      </c>
      <c r="J59" s="49">
        <f>'Avg Week Koboko-Arua'!J59+'Avg Week Arua-Koboko'!J59</f>
        <v>1</v>
      </c>
      <c r="K59" s="49">
        <f>'Avg Week Koboko-Arua'!K59+'Avg Week Arua-Koboko'!K59</f>
        <v>0.5</v>
      </c>
      <c r="L59" s="49">
        <f>'Avg Week Koboko-Arua'!L59+'Avg Week Arua-Koboko'!L59</f>
        <v>0.5</v>
      </c>
      <c r="M59" s="49">
        <f>'Avg Week Koboko-Arua'!M59+'Avg Week Arua-Koboko'!M59</f>
        <v>105.5</v>
      </c>
      <c r="N59" s="49">
        <f>'Avg Week Koboko-Arua'!N59+'Avg Week Arua-Koboko'!N59</f>
        <v>0</v>
      </c>
      <c r="O59" s="15">
        <f t="shared" si="0"/>
        <v>47</v>
      </c>
      <c r="P59" s="15">
        <f t="shared" si="1"/>
        <v>152.5</v>
      </c>
      <c r="R59" s="8"/>
      <c r="T59"/>
    </row>
    <row r="60" spans="2:20" ht="23.1" customHeight="1" x14ac:dyDescent="0.25">
      <c r="B60" s="23" t="s">
        <v>101</v>
      </c>
      <c r="C60" s="49">
        <f>'Avg Week Koboko-Arua'!C60+'Avg Week Arua-Koboko'!C60</f>
        <v>16.5</v>
      </c>
      <c r="D60" s="49">
        <f>'Avg Week Koboko-Arua'!D60+'Avg Week Arua-Koboko'!D60</f>
        <v>3.5</v>
      </c>
      <c r="E60" s="49">
        <f>'Avg Week Koboko-Arua'!E60+'Avg Week Arua-Koboko'!E60</f>
        <v>7</v>
      </c>
      <c r="F60" s="49">
        <f>'Avg Week Koboko-Arua'!F60+'Avg Week Arua-Koboko'!F60</f>
        <v>4.5</v>
      </c>
      <c r="G60" s="49">
        <f>'Avg Week Koboko-Arua'!G60+'Avg Week Arua-Koboko'!G60</f>
        <v>3.5</v>
      </c>
      <c r="H60" s="49">
        <f>'Avg Week Koboko-Arua'!H60+'Avg Week Arua-Koboko'!H60</f>
        <v>0.5</v>
      </c>
      <c r="I60" s="49">
        <f>'Avg Week Koboko-Arua'!I60+'Avg Week Arua-Koboko'!I60</f>
        <v>1.5</v>
      </c>
      <c r="J60" s="49">
        <f>'Avg Week Koboko-Arua'!J60+'Avg Week Arua-Koboko'!J60</f>
        <v>2.5</v>
      </c>
      <c r="K60" s="49">
        <f>'Avg Week Koboko-Arua'!K60+'Avg Week Arua-Koboko'!K60</f>
        <v>0.5</v>
      </c>
      <c r="L60" s="49">
        <f>'Avg Week Koboko-Arua'!L60+'Avg Week Arua-Koboko'!L60</f>
        <v>0.5</v>
      </c>
      <c r="M60" s="49">
        <f>'Avg Week Koboko-Arua'!M60+'Avg Week Arua-Koboko'!M60</f>
        <v>103</v>
      </c>
      <c r="N60" s="49">
        <f>'Avg Week Koboko-Arua'!N60+'Avg Week Arua-Koboko'!N60</f>
        <v>0</v>
      </c>
      <c r="O60" s="15">
        <f t="shared" si="0"/>
        <v>40.5</v>
      </c>
      <c r="P60" s="15">
        <f t="shared" si="1"/>
        <v>143.5</v>
      </c>
      <c r="R60" s="8"/>
      <c r="T60"/>
    </row>
    <row r="61" spans="2:20" ht="23.1" customHeight="1" x14ac:dyDescent="0.25">
      <c r="B61" s="23" t="s">
        <v>102</v>
      </c>
      <c r="C61" s="49">
        <f>'Avg Week Koboko-Arua'!C61+'Avg Week Arua-Koboko'!C61</f>
        <v>21.5</v>
      </c>
      <c r="D61" s="49">
        <f>'Avg Week Koboko-Arua'!D61+'Avg Week Arua-Koboko'!D61</f>
        <v>4</v>
      </c>
      <c r="E61" s="49">
        <f>'Avg Week Koboko-Arua'!E61+'Avg Week Arua-Koboko'!E61</f>
        <v>8</v>
      </c>
      <c r="F61" s="49">
        <f>'Avg Week Koboko-Arua'!F61+'Avg Week Arua-Koboko'!F61</f>
        <v>3</v>
      </c>
      <c r="G61" s="49">
        <f>'Avg Week Koboko-Arua'!G61+'Avg Week Arua-Koboko'!G61</f>
        <v>1</v>
      </c>
      <c r="H61" s="49">
        <f>'Avg Week Koboko-Arua'!H61+'Avg Week Arua-Koboko'!H61</f>
        <v>1</v>
      </c>
      <c r="I61" s="49">
        <f>'Avg Week Koboko-Arua'!I61+'Avg Week Arua-Koboko'!I61</f>
        <v>2.5</v>
      </c>
      <c r="J61" s="49">
        <f>'Avg Week Koboko-Arua'!J61+'Avg Week Arua-Koboko'!J61</f>
        <v>2.5</v>
      </c>
      <c r="K61" s="49">
        <f>'Avg Week Koboko-Arua'!K61+'Avg Week Arua-Koboko'!K61</f>
        <v>1</v>
      </c>
      <c r="L61" s="49">
        <f>'Avg Week Koboko-Arua'!L61+'Avg Week Arua-Koboko'!L61</f>
        <v>0.5</v>
      </c>
      <c r="M61" s="49">
        <f>'Avg Week Koboko-Arua'!M61+'Avg Week Arua-Koboko'!M61</f>
        <v>108.5</v>
      </c>
      <c r="N61" s="49">
        <f>'Avg Week Koboko-Arua'!N61+'Avg Week Arua-Koboko'!N61</f>
        <v>0.5</v>
      </c>
      <c r="O61" s="15">
        <f t="shared" si="0"/>
        <v>45.5</v>
      </c>
      <c r="P61" s="15">
        <f t="shared" si="1"/>
        <v>154</v>
      </c>
      <c r="R61" s="8"/>
      <c r="T61"/>
    </row>
    <row r="62" spans="2:20" ht="23.1" customHeight="1" x14ac:dyDescent="0.25">
      <c r="B62" s="23" t="s">
        <v>107</v>
      </c>
      <c r="C62" s="49">
        <f>'Avg Week Koboko-Arua'!C62+'Avg Week Arua-Koboko'!C62</f>
        <v>16</v>
      </c>
      <c r="D62" s="49">
        <f>'Avg Week Koboko-Arua'!D62+'Avg Week Arua-Koboko'!D62</f>
        <v>3</v>
      </c>
      <c r="E62" s="49">
        <f>'Avg Week Koboko-Arua'!E62+'Avg Week Arua-Koboko'!E62</f>
        <v>6</v>
      </c>
      <c r="F62" s="49">
        <f>'Avg Week Koboko-Arua'!F62+'Avg Week Arua-Koboko'!F62</f>
        <v>4.5</v>
      </c>
      <c r="G62" s="49">
        <f>'Avg Week Koboko-Arua'!G62+'Avg Week Arua-Koboko'!G62</f>
        <v>1.5</v>
      </c>
      <c r="H62" s="49">
        <f>'Avg Week Koboko-Arua'!H62+'Avg Week Arua-Koboko'!H62</f>
        <v>1</v>
      </c>
      <c r="I62" s="49">
        <f>'Avg Week Koboko-Arua'!I62+'Avg Week Arua-Koboko'!I62</f>
        <v>3.5</v>
      </c>
      <c r="J62" s="49">
        <f>'Avg Week Koboko-Arua'!J62+'Avg Week Arua-Koboko'!J62</f>
        <v>1.5</v>
      </c>
      <c r="K62" s="49">
        <f>'Avg Week Koboko-Arua'!K62+'Avg Week Arua-Koboko'!K62</f>
        <v>1</v>
      </c>
      <c r="L62" s="49">
        <f>'Avg Week Koboko-Arua'!L62+'Avg Week Arua-Koboko'!L62</f>
        <v>0.5</v>
      </c>
      <c r="M62" s="49">
        <f>'Avg Week Koboko-Arua'!M62+'Avg Week Arua-Koboko'!M62</f>
        <v>112</v>
      </c>
      <c r="N62" s="49">
        <f>'Avg Week Koboko-Arua'!N62+'Avg Week Arua-Koboko'!N62</f>
        <v>0</v>
      </c>
      <c r="O62" s="15">
        <f t="shared" si="0"/>
        <v>38.5</v>
      </c>
      <c r="P62" s="15">
        <f t="shared" si="1"/>
        <v>150.5</v>
      </c>
      <c r="R62" s="8"/>
      <c r="T62"/>
    </row>
    <row r="63" spans="2:20" ht="23.1" customHeight="1" x14ac:dyDescent="0.25">
      <c r="B63" s="23" t="s">
        <v>108</v>
      </c>
      <c r="C63" s="49">
        <f>'Avg Week Koboko-Arua'!C63+'Avg Week Arua-Koboko'!C63</f>
        <v>11.5</v>
      </c>
      <c r="D63" s="49">
        <f>'Avg Week Koboko-Arua'!D63+'Avg Week Arua-Koboko'!D63</f>
        <v>2.5</v>
      </c>
      <c r="E63" s="49">
        <f>'Avg Week Koboko-Arua'!E63+'Avg Week Arua-Koboko'!E63</f>
        <v>7.5</v>
      </c>
      <c r="F63" s="49">
        <f>'Avg Week Koboko-Arua'!F63+'Avg Week Arua-Koboko'!F63</f>
        <v>4</v>
      </c>
      <c r="G63" s="49">
        <f>'Avg Week Koboko-Arua'!G63+'Avg Week Arua-Koboko'!G63</f>
        <v>4</v>
      </c>
      <c r="H63" s="49">
        <f>'Avg Week Koboko-Arua'!H63+'Avg Week Arua-Koboko'!H63</f>
        <v>0.5</v>
      </c>
      <c r="I63" s="49">
        <f>'Avg Week Koboko-Arua'!I63+'Avg Week Arua-Koboko'!I63</f>
        <v>1</v>
      </c>
      <c r="J63" s="49">
        <f>'Avg Week Koboko-Arua'!J63+'Avg Week Arua-Koboko'!J63</f>
        <v>0.5</v>
      </c>
      <c r="K63" s="49">
        <f>'Avg Week Koboko-Arua'!K63+'Avg Week Arua-Koboko'!K63</f>
        <v>2</v>
      </c>
      <c r="L63" s="49">
        <f>'Avg Week Koboko-Arua'!L63+'Avg Week Arua-Koboko'!L63</f>
        <v>1</v>
      </c>
      <c r="M63" s="49">
        <f>'Avg Week Koboko-Arua'!M63+'Avg Week Arua-Koboko'!M63</f>
        <v>98</v>
      </c>
      <c r="N63" s="49">
        <f>'Avg Week Koboko-Arua'!N63+'Avg Week Arua-Koboko'!N63</f>
        <v>0</v>
      </c>
      <c r="O63" s="15">
        <f t="shared" si="0"/>
        <v>34.5</v>
      </c>
      <c r="P63" s="15">
        <f t="shared" si="1"/>
        <v>132.5</v>
      </c>
      <c r="R63" s="8"/>
      <c r="T63"/>
    </row>
    <row r="64" spans="2:20" ht="23.1" customHeight="1" x14ac:dyDescent="0.25">
      <c r="B64" s="23" t="s">
        <v>109</v>
      </c>
      <c r="C64" s="49">
        <f>'Avg Week Koboko-Arua'!C64+'Avg Week Arua-Koboko'!C64</f>
        <v>10</v>
      </c>
      <c r="D64" s="49">
        <f>'Avg Week Koboko-Arua'!D64+'Avg Week Arua-Koboko'!D64</f>
        <v>1.5</v>
      </c>
      <c r="E64" s="49">
        <f>'Avg Week Koboko-Arua'!E64+'Avg Week Arua-Koboko'!E64</f>
        <v>4</v>
      </c>
      <c r="F64" s="49">
        <f>'Avg Week Koboko-Arua'!F64+'Avg Week Arua-Koboko'!F64</f>
        <v>4</v>
      </c>
      <c r="G64" s="49">
        <f>'Avg Week Koboko-Arua'!G64+'Avg Week Arua-Koboko'!G64</f>
        <v>0</v>
      </c>
      <c r="H64" s="49">
        <f>'Avg Week Koboko-Arua'!H64+'Avg Week Arua-Koboko'!H64</f>
        <v>0.5</v>
      </c>
      <c r="I64" s="49">
        <f>'Avg Week Koboko-Arua'!I64+'Avg Week Arua-Koboko'!I64</f>
        <v>4</v>
      </c>
      <c r="J64" s="49">
        <f>'Avg Week Koboko-Arua'!J64+'Avg Week Arua-Koboko'!J64</f>
        <v>0</v>
      </c>
      <c r="K64" s="49">
        <f>'Avg Week Koboko-Arua'!K64+'Avg Week Arua-Koboko'!K64</f>
        <v>0.5</v>
      </c>
      <c r="L64" s="49">
        <f>'Avg Week Koboko-Arua'!L64+'Avg Week Arua-Koboko'!L64</f>
        <v>0</v>
      </c>
      <c r="M64" s="49">
        <f>'Avg Week Koboko-Arua'!M64+'Avg Week Arua-Koboko'!M64</f>
        <v>74</v>
      </c>
      <c r="N64" s="49">
        <f>'Avg Week Koboko-Arua'!N64+'Avg Week Arua-Koboko'!N64</f>
        <v>0</v>
      </c>
      <c r="O64" s="15">
        <f t="shared" si="0"/>
        <v>24.5</v>
      </c>
      <c r="P64" s="15">
        <f t="shared" si="1"/>
        <v>98.5</v>
      </c>
      <c r="R64" s="8"/>
      <c r="T64"/>
    </row>
    <row r="65" spans="2:20" ht="23.1" customHeight="1" x14ac:dyDescent="0.25">
      <c r="B65" s="23" t="s">
        <v>158</v>
      </c>
      <c r="C65" s="49">
        <f>'Avg Week Koboko-Arua'!C65+'Avg Week Arua-Koboko'!C65</f>
        <v>8</v>
      </c>
      <c r="D65" s="49">
        <f>'Avg Week Koboko-Arua'!D65+'Avg Week Arua-Koboko'!D65</f>
        <v>2.5</v>
      </c>
      <c r="E65" s="49">
        <f>'Avg Week Koboko-Arua'!E65+'Avg Week Arua-Koboko'!E65</f>
        <v>6</v>
      </c>
      <c r="F65" s="49">
        <f>'Avg Week Koboko-Arua'!F65+'Avg Week Arua-Koboko'!F65</f>
        <v>2</v>
      </c>
      <c r="G65" s="49">
        <f>'Avg Week Koboko-Arua'!G65+'Avg Week Arua-Koboko'!G65</f>
        <v>0</v>
      </c>
      <c r="H65" s="49">
        <f>'Avg Week Koboko-Arua'!H65+'Avg Week Arua-Koboko'!H65</f>
        <v>1.5</v>
      </c>
      <c r="I65" s="49">
        <f>'Avg Week Koboko-Arua'!I65+'Avg Week Arua-Koboko'!I65</f>
        <v>2.5</v>
      </c>
      <c r="J65" s="49">
        <f>'Avg Week Koboko-Arua'!J65+'Avg Week Arua-Koboko'!J65</f>
        <v>0.5</v>
      </c>
      <c r="K65" s="49">
        <f>'Avg Week Koboko-Arua'!K65+'Avg Week Arua-Koboko'!K65</f>
        <v>0</v>
      </c>
      <c r="L65" s="49">
        <f>'Avg Week Koboko-Arua'!L65+'Avg Week Arua-Koboko'!L65</f>
        <v>0</v>
      </c>
      <c r="M65" s="49">
        <f>'Avg Week Koboko-Arua'!M65+'Avg Week Arua-Koboko'!M65</f>
        <v>62.5</v>
      </c>
      <c r="N65" s="49">
        <f>'Avg Week Koboko-Arua'!N65+'Avg Week Arua-Koboko'!N65</f>
        <v>0</v>
      </c>
      <c r="O65" s="15">
        <f t="shared" si="0"/>
        <v>23</v>
      </c>
      <c r="P65" s="15">
        <f t="shared" si="1"/>
        <v>85.5</v>
      </c>
      <c r="R65" s="8"/>
      <c r="T65"/>
    </row>
    <row r="66" spans="2:20" ht="23.1" customHeight="1" x14ac:dyDescent="0.25">
      <c r="B66" s="23" t="s">
        <v>103</v>
      </c>
      <c r="C66" s="49">
        <f>'Avg Week Koboko-Arua'!C66+'Avg Week Arua-Koboko'!C66</f>
        <v>9.5</v>
      </c>
      <c r="D66" s="49">
        <f>'Avg Week Koboko-Arua'!D66+'Avg Week Arua-Koboko'!D66</f>
        <v>1</v>
      </c>
      <c r="E66" s="49">
        <f>'Avg Week Koboko-Arua'!E66+'Avg Week Arua-Koboko'!E66</f>
        <v>4</v>
      </c>
      <c r="F66" s="49">
        <f>'Avg Week Koboko-Arua'!F66+'Avg Week Arua-Koboko'!F66</f>
        <v>4.5</v>
      </c>
      <c r="G66" s="49">
        <f>'Avg Week Koboko-Arua'!G66+'Avg Week Arua-Koboko'!G66</f>
        <v>0.5</v>
      </c>
      <c r="H66" s="49">
        <f>'Avg Week Koboko-Arua'!H66+'Avg Week Arua-Koboko'!H66</f>
        <v>1</v>
      </c>
      <c r="I66" s="49">
        <f>'Avg Week Koboko-Arua'!I66+'Avg Week Arua-Koboko'!I66</f>
        <v>3</v>
      </c>
      <c r="J66" s="49">
        <f>'Avg Week Koboko-Arua'!J66+'Avg Week Arua-Koboko'!J66</f>
        <v>2</v>
      </c>
      <c r="K66" s="49">
        <f>'Avg Week Koboko-Arua'!K66+'Avg Week Arua-Koboko'!K66</f>
        <v>0</v>
      </c>
      <c r="L66" s="49">
        <f>'Avg Week Koboko-Arua'!L66+'Avg Week Arua-Koboko'!L66</f>
        <v>0.5</v>
      </c>
      <c r="M66" s="49">
        <f>'Avg Week Koboko-Arua'!M66+'Avg Week Arua-Koboko'!M66</f>
        <v>63</v>
      </c>
      <c r="N66" s="49">
        <f>'Avg Week Koboko-Arua'!N66+'Avg Week Arua-Koboko'!N66</f>
        <v>0</v>
      </c>
      <c r="O66" s="15">
        <f t="shared" si="0"/>
        <v>26</v>
      </c>
      <c r="P66" s="15">
        <f t="shared" si="1"/>
        <v>89</v>
      </c>
      <c r="R66" s="8"/>
      <c r="T66"/>
    </row>
    <row r="67" spans="2:20" ht="23.1" customHeight="1" x14ac:dyDescent="0.25">
      <c r="B67" s="23" t="s">
        <v>104</v>
      </c>
      <c r="C67" s="49">
        <f>'Avg Week Koboko-Arua'!C67+'Avg Week Arua-Koboko'!C67</f>
        <v>6.5</v>
      </c>
      <c r="D67" s="49">
        <f>'Avg Week Koboko-Arua'!D67+'Avg Week Arua-Koboko'!D67</f>
        <v>2.5</v>
      </c>
      <c r="E67" s="49">
        <f>'Avg Week Koboko-Arua'!E67+'Avg Week Arua-Koboko'!E67</f>
        <v>7</v>
      </c>
      <c r="F67" s="49">
        <f>'Avg Week Koboko-Arua'!F67+'Avg Week Arua-Koboko'!F67</f>
        <v>5.5</v>
      </c>
      <c r="G67" s="49">
        <f>'Avg Week Koboko-Arua'!G67+'Avg Week Arua-Koboko'!G67</f>
        <v>0</v>
      </c>
      <c r="H67" s="49">
        <f>'Avg Week Koboko-Arua'!H67+'Avg Week Arua-Koboko'!H67</f>
        <v>0</v>
      </c>
      <c r="I67" s="49">
        <f>'Avg Week Koboko-Arua'!I67+'Avg Week Arua-Koboko'!I67</f>
        <v>0</v>
      </c>
      <c r="J67" s="49">
        <f>'Avg Week Koboko-Arua'!J67+'Avg Week Arua-Koboko'!J67</f>
        <v>0.5</v>
      </c>
      <c r="K67" s="49">
        <f>'Avg Week Koboko-Arua'!K67+'Avg Week Arua-Koboko'!K67</f>
        <v>0</v>
      </c>
      <c r="L67" s="49">
        <f>'Avg Week Koboko-Arua'!L67+'Avg Week Arua-Koboko'!L67</f>
        <v>0</v>
      </c>
      <c r="M67" s="49">
        <f>'Avg Week Koboko-Arua'!M67+'Avg Week Arua-Koboko'!M67</f>
        <v>45</v>
      </c>
      <c r="N67" s="49">
        <f>'Avg Week Koboko-Arua'!N67+'Avg Week Arua-Koboko'!N67</f>
        <v>0</v>
      </c>
      <c r="O67" s="15">
        <f t="shared" si="0"/>
        <v>22</v>
      </c>
      <c r="P67" s="15">
        <f t="shared" si="1"/>
        <v>67</v>
      </c>
      <c r="R67" s="8"/>
      <c r="T67"/>
    </row>
    <row r="68" spans="2:20" ht="23.1" customHeight="1" x14ac:dyDescent="0.25">
      <c r="B68" s="23" t="s">
        <v>105</v>
      </c>
      <c r="C68" s="49">
        <f>'Avg Week Koboko-Arua'!C68+'Avg Week Arua-Koboko'!C68</f>
        <v>7.5</v>
      </c>
      <c r="D68" s="49">
        <f>'Avg Week Koboko-Arua'!D68+'Avg Week Arua-Koboko'!D68</f>
        <v>1</v>
      </c>
      <c r="E68" s="49">
        <f>'Avg Week Koboko-Arua'!E68+'Avg Week Arua-Koboko'!E68</f>
        <v>3</v>
      </c>
      <c r="F68" s="49">
        <f>'Avg Week Koboko-Arua'!F68+'Avg Week Arua-Koboko'!F68</f>
        <v>2.5</v>
      </c>
      <c r="G68" s="49">
        <f>'Avg Week Koboko-Arua'!G68+'Avg Week Arua-Koboko'!G68</f>
        <v>0</v>
      </c>
      <c r="H68" s="49">
        <f>'Avg Week Koboko-Arua'!H68+'Avg Week Arua-Koboko'!H68</f>
        <v>0</v>
      </c>
      <c r="I68" s="49">
        <f>'Avg Week Koboko-Arua'!I68+'Avg Week Arua-Koboko'!I68</f>
        <v>0.5</v>
      </c>
      <c r="J68" s="49">
        <f>'Avg Week Koboko-Arua'!J68+'Avg Week Arua-Koboko'!J68</f>
        <v>0</v>
      </c>
      <c r="K68" s="49">
        <f>'Avg Week Koboko-Arua'!K68+'Avg Week Arua-Koboko'!K68</f>
        <v>0</v>
      </c>
      <c r="L68" s="49">
        <f>'Avg Week Koboko-Arua'!L68+'Avg Week Arua-Koboko'!L68</f>
        <v>0.5</v>
      </c>
      <c r="M68" s="49">
        <f>'Avg Week Koboko-Arua'!M68+'Avg Week Arua-Koboko'!M68</f>
        <v>43</v>
      </c>
      <c r="N68" s="49">
        <f>'Avg Week Koboko-Arua'!N68+'Avg Week Arua-Koboko'!N68</f>
        <v>0</v>
      </c>
      <c r="O68" s="15">
        <f t="shared" si="0"/>
        <v>15</v>
      </c>
      <c r="P68" s="15">
        <f t="shared" si="1"/>
        <v>58</v>
      </c>
      <c r="R68" s="8"/>
      <c r="T68"/>
    </row>
    <row r="69" spans="2:20" ht="23.1" customHeight="1" x14ac:dyDescent="0.25">
      <c r="B69" s="23" t="s">
        <v>106</v>
      </c>
      <c r="C69" s="49">
        <f>'Avg Week Koboko-Arua'!C69+'Avg Week Arua-Koboko'!C69</f>
        <v>4.5</v>
      </c>
      <c r="D69" s="49">
        <f>'Avg Week Koboko-Arua'!D69+'Avg Week Arua-Koboko'!D69</f>
        <v>1</v>
      </c>
      <c r="E69" s="49">
        <f>'Avg Week Koboko-Arua'!E69+'Avg Week Arua-Koboko'!E69</f>
        <v>4</v>
      </c>
      <c r="F69" s="49">
        <f>'Avg Week Koboko-Arua'!F69+'Avg Week Arua-Koboko'!F69</f>
        <v>6.5</v>
      </c>
      <c r="G69" s="49">
        <f>'Avg Week Koboko-Arua'!G69+'Avg Week Arua-Koboko'!G69</f>
        <v>0</v>
      </c>
      <c r="H69" s="49">
        <f>'Avg Week Koboko-Arua'!H69+'Avg Week Arua-Koboko'!H69</f>
        <v>0</v>
      </c>
      <c r="I69" s="49">
        <f>'Avg Week Koboko-Arua'!I69+'Avg Week Arua-Koboko'!I69</f>
        <v>1</v>
      </c>
      <c r="J69" s="49">
        <f>'Avg Week Koboko-Arua'!J69+'Avg Week Arua-Koboko'!J69</f>
        <v>0.5</v>
      </c>
      <c r="K69" s="49">
        <f>'Avg Week Koboko-Arua'!K69+'Avg Week Arua-Koboko'!K69</f>
        <v>0</v>
      </c>
      <c r="L69" s="49">
        <f>'Avg Week Koboko-Arua'!L69+'Avg Week Arua-Koboko'!L69</f>
        <v>0</v>
      </c>
      <c r="M69" s="49">
        <f>'Avg Week Koboko-Arua'!M69+'Avg Week Arua-Koboko'!M69</f>
        <v>35.5</v>
      </c>
      <c r="N69" s="49">
        <f>'Avg Week Koboko-Arua'!N69+'Avg Week Arua-Koboko'!N69</f>
        <v>0</v>
      </c>
      <c r="O69" s="15">
        <f t="shared" si="0"/>
        <v>17.5</v>
      </c>
      <c r="P69" s="15">
        <f t="shared" si="1"/>
        <v>53</v>
      </c>
      <c r="R69" s="8"/>
      <c r="T69"/>
    </row>
    <row r="70" spans="2:20" ht="23.1" customHeight="1" x14ac:dyDescent="0.25">
      <c r="B70" s="23" t="s">
        <v>110</v>
      </c>
      <c r="C70" s="49">
        <f>'Avg Week Koboko-Arua'!C70+'Avg Week Arua-Koboko'!C70</f>
        <v>5</v>
      </c>
      <c r="D70" s="49">
        <f>'Avg Week Koboko-Arua'!D70+'Avg Week Arua-Koboko'!D70</f>
        <v>0</v>
      </c>
      <c r="E70" s="49">
        <f>'Avg Week Koboko-Arua'!E70+'Avg Week Arua-Koboko'!E70</f>
        <v>0</v>
      </c>
      <c r="F70" s="49">
        <f>'Avg Week Koboko-Arua'!F70+'Avg Week Arua-Koboko'!F70</f>
        <v>2</v>
      </c>
      <c r="G70" s="49">
        <f>'Avg Week Koboko-Arua'!G70+'Avg Week Arua-Koboko'!G70</f>
        <v>0</v>
      </c>
      <c r="H70" s="49">
        <f>'Avg Week Koboko-Arua'!H70+'Avg Week Arua-Koboko'!H70</f>
        <v>0</v>
      </c>
      <c r="I70" s="49">
        <f>'Avg Week Koboko-Arua'!I70+'Avg Week Arua-Koboko'!I70</f>
        <v>0.5</v>
      </c>
      <c r="J70" s="49">
        <f>'Avg Week Koboko-Arua'!J70+'Avg Week Arua-Koboko'!J70</f>
        <v>0</v>
      </c>
      <c r="K70" s="49">
        <f>'Avg Week Koboko-Arua'!K70+'Avg Week Arua-Koboko'!K70</f>
        <v>0.5</v>
      </c>
      <c r="L70" s="49">
        <f>'Avg Week Koboko-Arua'!L70+'Avg Week Arua-Koboko'!L70</f>
        <v>0.5</v>
      </c>
      <c r="M70" s="49">
        <f>'Avg Week Koboko-Arua'!M70+'Avg Week Arua-Koboko'!M70</f>
        <v>31.5</v>
      </c>
      <c r="N70" s="49">
        <f>'Avg Week Koboko-Arua'!N70+'Avg Week Arua-Koboko'!N70</f>
        <v>0</v>
      </c>
      <c r="O70" s="15">
        <f t="shared" si="0"/>
        <v>8.5</v>
      </c>
      <c r="P70" s="15">
        <f t="shared" si="1"/>
        <v>40</v>
      </c>
      <c r="R70" s="8"/>
      <c r="T70"/>
    </row>
    <row r="71" spans="2:20" ht="23.1" customHeight="1" x14ac:dyDescent="0.25">
      <c r="B71" s="23" t="s">
        <v>111</v>
      </c>
      <c r="C71" s="49">
        <f>'Avg Week Koboko-Arua'!C71+'Avg Week Arua-Koboko'!C71</f>
        <v>2</v>
      </c>
      <c r="D71" s="49">
        <f>'Avg Week Koboko-Arua'!D71+'Avg Week Arua-Koboko'!D71</f>
        <v>0</v>
      </c>
      <c r="E71" s="49">
        <f>'Avg Week Koboko-Arua'!E71+'Avg Week Arua-Koboko'!E71</f>
        <v>1</v>
      </c>
      <c r="F71" s="49">
        <f>'Avg Week Koboko-Arua'!F71+'Avg Week Arua-Koboko'!F71</f>
        <v>2</v>
      </c>
      <c r="G71" s="49">
        <f>'Avg Week Koboko-Arua'!G71+'Avg Week Arua-Koboko'!G71</f>
        <v>0</v>
      </c>
      <c r="H71" s="49">
        <f>'Avg Week Koboko-Arua'!H71+'Avg Week Arua-Koboko'!H71</f>
        <v>0</v>
      </c>
      <c r="I71" s="49">
        <f>'Avg Week Koboko-Arua'!I71+'Avg Week Arua-Koboko'!I71</f>
        <v>0.5</v>
      </c>
      <c r="J71" s="49">
        <f>'Avg Week Koboko-Arua'!J71+'Avg Week Arua-Koboko'!J71</f>
        <v>0.5</v>
      </c>
      <c r="K71" s="49">
        <f>'Avg Week Koboko-Arua'!K71+'Avg Week Arua-Koboko'!K71</f>
        <v>0.5</v>
      </c>
      <c r="L71" s="49">
        <f>'Avg Week Koboko-Arua'!L71+'Avg Week Arua-Koboko'!L71</f>
        <v>0.5</v>
      </c>
      <c r="M71" s="49">
        <f>'Avg Week Koboko-Arua'!M71+'Avg Week Arua-Koboko'!M71</f>
        <v>23</v>
      </c>
      <c r="N71" s="49">
        <f>'Avg Week Koboko-Arua'!N71+'Avg Week Arua-Koboko'!N71</f>
        <v>0</v>
      </c>
      <c r="O71" s="15">
        <f t="shared" si="0"/>
        <v>7</v>
      </c>
      <c r="P71" s="15">
        <f t="shared" si="1"/>
        <v>30</v>
      </c>
      <c r="R71" s="8"/>
      <c r="T71"/>
    </row>
    <row r="72" spans="2:20" ht="23.1" customHeight="1" x14ac:dyDescent="0.25">
      <c r="B72" s="23" t="s">
        <v>112</v>
      </c>
      <c r="C72" s="49">
        <f>'Avg Week Koboko-Arua'!C72+'Avg Week Arua-Koboko'!C72</f>
        <v>3</v>
      </c>
      <c r="D72" s="49">
        <f>'Avg Week Koboko-Arua'!D72+'Avg Week Arua-Koboko'!D72</f>
        <v>0.5</v>
      </c>
      <c r="E72" s="49">
        <f>'Avg Week Koboko-Arua'!E72+'Avg Week Arua-Koboko'!E72</f>
        <v>1.5</v>
      </c>
      <c r="F72" s="49">
        <f>'Avg Week Koboko-Arua'!F72+'Avg Week Arua-Koboko'!F72</f>
        <v>1.5</v>
      </c>
      <c r="G72" s="49">
        <f>'Avg Week Koboko-Arua'!G72+'Avg Week Arua-Koboko'!G72</f>
        <v>0</v>
      </c>
      <c r="H72" s="49">
        <f>'Avg Week Koboko-Arua'!H72+'Avg Week Arua-Koboko'!H72</f>
        <v>0</v>
      </c>
      <c r="I72" s="49">
        <f>'Avg Week Koboko-Arua'!I72+'Avg Week Arua-Koboko'!I72</f>
        <v>0.5</v>
      </c>
      <c r="J72" s="49">
        <f>'Avg Week Koboko-Arua'!J72+'Avg Week Arua-Koboko'!J72</f>
        <v>0.5</v>
      </c>
      <c r="K72" s="49">
        <f>'Avg Week Koboko-Arua'!K72+'Avg Week Arua-Koboko'!K72</f>
        <v>0</v>
      </c>
      <c r="L72" s="49">
        <f>'Avg Week Koboko-Arua'!L72+'Avg Week Arua-Koboko'!L72</f>
        <v>0</v>
      </c>
      <c r="M72" s="49">
        <f>'Avg Week Koboko-Arua'!M72+'Avg Week Arua-Koboko'!M72</f>
        <v>30</v>
      </c>
      <c r="N72" s="49">
        <f>'Avg Week Koboko-Arua'!N72+'Avg Week Arua-Koboko'!N72</f>
        <v>0</v>
      </c>
      <c r="O72" s="15">
        <f t="shared" si="0"/>
        <v>7.5</v>
      </c>
      <c r="P72" s="15">
        <f t="shared" si="1"/>
        <v>37.5</v>
      </c>
      <c r="R72" s="8"/>
      <c r="T72"/>
    </row>
    <row r="73" spans="2:20" ht="23.1" customHeight="1" x14ac:dyDescent="0.25">
      <c r="B73" s="23" t="s">
        <v>113</v>
      </c>
      <c r="C73" s="49">
        <f>'Avg Week Koboko-Arua'!C73+'Avg Week Arua-Koboko'!C73</f>
        <v>2</v>
      </c>
      <c r="D73" s="49">
        <f>'Avg Week Koboko-Arua'!D73+'Avg Week Arua-Koboko'!D73</f>
        <v>0</v>
      </c>
      <c r="E73" s="49">
        <f>'Avg Week Koboko-Arua'!E73+'Avg Week Arua-Koboko'!E73</f>
        <v>0</v>
      </c>
      <c r="F73" s="49">
        <f>'Avg Week Koboko-Arua'!F73+'Avg Week Arua-Koboko'!F73</f>
        <v>1.5</v>
      </c>
      <c r="G73" s="49">
        <f>'Avg Week Koboko-Arua'!G73+'Avg Week Arua-Koboko'!G73</f>
        <v>0</v>
      </c>
      <c r="H73" s="49">
        <f>'Avg Week Koboko-Arua'!H73+'Avg Week Arua-Koboko'!H73</f>
        <v>0</v>
      </c>
      <c r="I73" s="49">
        <f>'Avg Week Koboko-Arua'!I73+'Avg Week Arua-Koboko'!I73</f>
        <v>0.5</v>
      </c>
      <c r="J73" s="49">
        <f>'Avg Week Koboko-Arua'!J73+'Avg Week Arua-Koboko'!J73</f>
        <v>0</v>
      </c>
      <c r="K73" s="49">
        <f>'Avg Week Koboko-Arua'!K73+'Avg Week Arua-Koboko'!K73</f>
        <v>0</v>
      </c>
      <c r="L73" s="49">
        <f>'Avg Week Koboko-Arua'!L73+'Avg Week Arua-Koboko'!L73</f>
        <v>0</v>
      </c>
      <c r="M73" s="49">
        <f>'Avg Week Koboko-Arua'!M73+'Avg Week Arua-Koboko'!M73</f>
        <v>20.5</v>
      </c>
      <c r="N73" s="49">
        <f>'Avg Week Koboko-Arua'!N73+'Avg Week Arua-Koboko'!N73</f>
        <v>0</v>
      </c>
      <c r="O73" s="15">
        <f t="shared" si="0"/>
        <v>4</v>
      </c>
      <c r="P73" s="15">
        <f t="shared" si="1"/>
        <v>24.5</v>
      </c>
      <c r="R73" s="8"/>
      <c r="T73"/>
    </row>
    <row r="74" spans="2:20" ht="23.1" customHeight="1" x14ac:dyDescent="0.25">
      <c r="B74" s="23" t="s">
        <v>114</v>
      </c>
      <c r="C74" s="49">
        <f>'Avg Week Koboko-Arua'!C74+'Avg Week Arua-Koboko'!C74</f>
        <v>1</v>
      </c>
      <c r="D74" s="49">
        <f>'Avg Week Koboko-Arua'!D74+'Avg Week Arua-Koboko'!D74</f>
        <v>0</v>
      </c>
      <c r="E74" s="49">
        <f>'Avg Week Koboko-Arua'!E74+'Avg Week Arua-Koboko'!E74</f>
        <v>0</v>
      </c>
      <c r="F74" s="49">
        <f>'Avg Week Koboko-Arua'!F74+'Avg Week Arua-Koboko'!F74</f>
        <v>1</v>
      </c>
      <c r="G74" s="49">
        <f>'Avg Week Koboko-Arua'!G74+'Avg Week Arua-Koboko'!G74</f>
        <v>0</v>
      </c>
      <c r="H74" s="49">
        <f>'Avg Week Koboko-Arua'!H74+'Avg Week Arua-Koboko'!H74</f>
        <v>0</v>
      </c>
      <c r="I74" s="49">
        <f>'Avg Week Koboko-Arua'!I74+'Avg Week Arua-Koboko'!I74</f>
        <v>0</v>
      </c>
      <c r="J74" s="49">
        <f>'Avg Week Koboko-Arua'!J74+'Avg Week Arua-Koboko'!J74</f>
        <v>0</v>
      </c>
      <c r="K74" s="49">
        <f>'Avg Week Koboko-Arua'!K74+'Avg Week Arua-Koboko'!K74</f>
        <v>0</v>
      </c>
      <c r="L74" s="49">
        <f>'Avg Week Koboko-Arua'!L74+'Avg Week Arua-Koboko'!L74</f>
        <v>0.5</v>
      </c>
      <c r="M74" s="49">
        <f>'Avg Week Koboko-Arua'!M74+'Avg Week Arua-Koboko'!M74</f>
        <v>13</v>
      </c>
      <c r="N74" s="49">
        <f>'Avg Week Koboko-Arua'!N74+'Avg Week Arua-Koboko'!N74</f>
        <v>0</v>
      </c>
      <c r="O74" s="15">
        <f t="shared" ref="O74:O105" si="35">SUM(C74:L74,N74)</f>
        <v>2.5</v>
      </c>
      <c r="P74" s="15">
        <f t="shared" ref="P74:P105" si="36">SUM(C74:N74)</f>
        <v>15.5</v>
      </c>
      <c r="R74" s="8"/>
      <c r="T74"/>
    </row>
    <row r="75" spans="2:20" ht="23.1" customHeight="1" x14ac:dyDescent="0.25">
      <c r="B75" s="23" t="s">
        <v>115</v>
      </c>
      <c r="C75" s="49">
        <f>'Avg Week Koboko-Arua'!C75+'Avg Week Arua-Koboko'!C75</f>
        <v>1.5</v>
      </c>
      <c r="D75" s="49">
        <f>'Avg Week Koboko-Arua'!D75+'Avg Week Arua-Koboko'!D75</f>
        <v>0</v>
      </c>
      <c r="E75" s="49">
        <f>'Avg Week Koboko-Arua'!E75+'Avg Week Arua-Koboko'!E75</f>
        <v>0</v>
      </c>
      <c r="F75" s="49">
        <f>'Avg Week Koboko-Arua'!F75+'Avg Week Arua-Koboko'!F75</f>
        <v>0.5</v>
      </c>
      <c r="G75" s="49">
        <f>'Avg Week Koboko-Arua'!G75+'Avg Week Arua-Koboko'!G75</f>
        <v>0</v>
      </c>
      <c r="H75" s="49">
        <f>'Avg Week Koboko-Arua'!H75+'Avg Week Arua-Koboko'!H75</f>
        <v>0</v>
      </c>
      <c r="I75" s="49">
        <f>'Avg Week Koboko-Arua'!I75+'Avg Week Arua-Koboko'!I75</f>
        <v>0.5</v>
      </c>
      <c r="J75" s="49">
        <f>'Avg Week Koboko-Arua'!J75+'Avg Week Arua-Koboko'!J75</f>
        <v>0</v>
      </c>
      <c r="K75" s="49">
        <f>'Avg Week Koboko-Arua'!K75+'Avg Week Arua-Koboko'!K75</f>
        <v>0</v>
      </c>
      <c r="L75" s="49">
        <f>'Avg Week Koboko-Arua'!L75+'Avg Week Arua-Koboko'!L75</f>
        <v>0</v>
      </c>
      <c r="M75" s="49">
        <f>'Avg Week Koboko-Arua'!M75+'Avg Week Arua-Koboko'!M75</f>
        <v>13</v>
      </c>
      <c r="N75" s="49">
        <f>'Avg Week Koboko-Arua'!N75+'Avg Week Arua-Koboko'!N75</f>
        <v>0</v>
      </c>
      <c r="O75" s="15">
        <f t="shared" si="35"/>
        <v>2.5</v>
      </c>
      <c r="P75" s="15">
        <f t="shared" si="36"/>
        <v>15.5</v>
      </c>
      <c r="R75" s="8"/>
      <c r="T75"/>
    </row>
    <row r="76" spans="2:20" ht="23.1" customHeight="1" x14ac:dyDescent="0.25">
      <c r="B76" s="23" t="s">
        <v>116</v>
      </c>
      <c r="C76" s="49">
        <f>'Avg Week Koboko-Arua'!C76+'Avg Week Arua-Koboko'!C76</f>
        <v>1.5</v>
      </c>
      <c r="D76" s="49">
        <f>'Avg Week Koboko-Arua'!D76+'Avg Week Arua-Koboko'!D76</f>
        <v>0</v>
      </c>
      <c r="E76" s="49">
        <f>'Avg Week Koboko-Arua'!E76+'Avg Week Arua-Koboko'!E76</f>
        <v>0.5</v>
      </c>
      <c r="F76" s="49">
        <f>'Avg Week Koboko-Arua'!F76+'Avg Week Arua-Koboko'!F76</f>
        <v>1</v>
      </c>
      <c r="G76" s="49">
        <f>'Avg Week Koboko-Arua'!G76+'Avg Week Arua-Koboko'!G76</f>
        <v>0</v>
      </c>
      <c r="H76" s="49">
        <f>'Avg Week Koboko-Arua'!H76+'Avg Week Arua-Koboko'!H76</f>
        <v>0</v>
      </c>
      <c r="I76" s="49">
        <f>'Avg Week Koboko-Arua'!I76+'Avg Week Arua-Koboko'!I76</f>
        <v>0</v>
      </c>
      <c r="J76" s="49">
        <f>'Avg Week Koboko-Arua'!J76+'Avg Week Arua-Koboko'!J76</f>
        <v>0</v>
      </c>
      <c r="K76" s="49">
        <f>'Avg Week Koboko-Arua'!K76+'Avg Week Arua-Koboko'!K76</f>
        <v>0.5</v>
      </c>
      <c r="L76" s="49">
        <f>'Avg Week Koboko-Arua'!L76+'Avg Week Arua-Koboko'!L76</f>
        <v>0</v>
      </c>
      <c r="M76" s="49">
        <f>'Avg Week Koboko-Arua'!M76+'Avg Week Arua-Koboko'!M76</f>
        <v>12.5</v>
      </c>
      <c r="N76" s="49">
        <f>'Avg Week Koboko-Arua'!N76+'Avg Week Arua-Koboko'!N76</f>
        <v>0</v>
      </c>
      <c r="O76" s="15">
        <f t="shared" si="35"/>
        <v>3.5</v>
      </c>
      <c r="P76" s="15">
        <f t="shared" si="36"/>
        <v>16</v>
      </c>
      <c r="R76" s="8"/>
      <c r="T76"/>
    </row>
    <row r="77" spans="2:20" ht="23.1" customHeight="1" x14ac:dyDescent="0.25">
      <c r="B77" s="23" t="s">
        <v>117</v>
      </c>
      <c r="C77" s="49">
        <f>'Avg Week Koboko-Arua'!C77+'Avg Week Arua-Koboko'!C77</f>
        <v>1.5</v>
      </c>
      <c r="D77" s="49">
        <f>'Avg Week Koboko-Arua'!D77+'Avg Week Arua-Koboko'!D77</f>
        <v>0</v>
      </c>
      <c r="E77" s="49">
        <f>'Avg Week Koboko-Arua'!E77+'Avg Week Arua-Koboko'!E77</f>
        <v>0.5</v>
      </c>
      <c r="F77" s="49">
        <f>'Avg Week Koboko-Arua'!F77+'Avg Week Arua-Koboko'!F77</f>
        <v>0.5</v>
      </c>
      <c r="G77" s="49">
        <f>'Avg Week Koboko-Arua'!G77+'Avg Week Arua-Koboko'!G77</f>
        <v>0</v>
      </c>
      <c r="H77" s="49">
        <f>'Avg Week Koboko-Arua'!H77+'Avg Week Arua-Koboko'!H77</f>
        <v>0</v>
      </c>
      <c r="I77" s="49">
        <f>'Avg Week Koboko-Arua'!I77+'Avg Week Arua-Koboko'!I77</f>
        <v>1</v>
      </c>
      <c r="J77" s="49">
        <f>'Avg Week Koboko-Arua'!J77+'Avg Week Arua-Koboko'!J77</f>
        <v>0</v>
      </c>
      <c r="K77" s="49">
        <f>'Avg Week Koboko-Arua'!K77+'Avg Week Arua-Koboko'!K77</f>
        <v>1</v>
      </c>
      <c r="L77" s="49">
        <f>'Avg Week Koboko-Arua'!L77+'Avg Week Arua-Koboko'!L77</f>
        <v>0</v>
      </c>
      <c r="M77" s="49">
        <f>'Avg Week Koboko-Arua'!M77+'Avg Week Arua-Koboko'!M77</f>
        <v>9.5</v>
      </c>
      <c r="N77" s="49">
        <f>'Avg Week Koboko-Arua'!N77+'Avg Week Arua-Koboko'!N77</f>
        <v>0</v>
      </c>
      <c r="O77" s="15">
        <f t="shared" si="35"/>
        <v>4.5</v>
      </c>
      <c r="P77" s="15">
        <f t="shared" si="36"/>
        <v>14</v>
      </c>
      <c r="R77" s="8"/>
      <c r="T77"/>
    </row>
    <row r="78" spans="2:20" ht="23.1" customHeight="1" x14ac:dyDescent="0.25">
      <c r="B78" s="24" t="s">
        <v>118</v>
      </c>
      <c r="C78" s="49">
        <f>'Avg Week Koboko-Arua'!C78+'Avg Week Arua-Koboko'!C78</f>
        <v>0</v>
      </c>
      <c r="D78" s="49">
        <f>'Avg Week Koboko-Arua'!D78+'Avg Week Arua-Koboko'!D78</f>
        <v>0</v>
      </c>
      <c r="E78" s="49">
        <f>'Avg Week Koboko-Arua'!E78+'Avg Week Arua-Koboko'!E78</f>
        <v>0.5</v>
      </c>
      <c r="F78" s="49">
        <f>'Avg Week Koboko-Arua'!F78+'Avg Week Arua-Koboko'!F78</f>
        <v>0.5</v>
      </c>
      <c r="G78" s="49">
        <f>'Avg Week Koboko-Arua'!G78+'Avg Week Arua-Koboko'!G78</f>
        <v>0</v>
      </c>
      <c r="H78" s="49">
        <f>'Avg Week Koboko-Arua'!H78+'Avg Week Arua-Koboko'!H78</f>
        <v>0</v>
      </c>
      <c r="I78" s="49">
        <f>'Avg Week Koboko-Arua'!I78+'Avg Week Arua-Koboko'!I78</f>
        <v>0</v>
      </c>
      <c r="J78" s="49">
        <f>'Avg Week Koboko-Arua'!J78+'Avg Week Arua-Koboko'!J78</f>
        <v>0</v>
      </c>
      <c r="K78" s="49">
        <f>'Avg Week Koboko-Arua'!K78+'Avg Week Arua-Koboko'!K78</f>
        <v>0</v>
      </c>
      <c r="L78" s="49">
        <f>'Avg Week Koboko-Arua'!L78+'Avg Week Arua-Koboko'!L78</f>
        <v>0</v>
      </c>
      <c r="M78" s="49">
        <f>'Avg Week Koboko-Arua'!M78+'Avg Week Arua-Koboko'!M78</f>
        <v>7</v>
      </c>
      <c r="N78" s="49">
        <f>'Avg Week Koboko-Arua'!N78+'Avg Week Arua-Koboko'!N78</f>
        <v>0</v>
      </c>
      <c r="O78" s="15">
        <f t="shared" si="35"/>
        <v>1</v>
      </c>
      <c r="P78" s="15">
        <f t="shared" si="36"/>
        <v>8</v>
      </c>
      <c r="R78" s="8"/>
      <c r="T78"/>
    </row>
    <row r="79" spans="2:20" ht="23.1" customHeight="1" x14ac:dyDescent="0.25">
      <c r="B79" s="23" t="s">
        <v>119</v>
      </c>
      <c r="C79" s="49">
        <f>'Avg Week Koboko-Arua'!C79+'Avg Week Arua-Koboko'!C79</f>
        <v>0</v>
      </c>
      <c r="D79" s="49">
        <f>'Avg Week Koboko-Arua'!D79+'Avg Week Arua-Koboko'!D79</f>
        <v>0</v>
      </c>
      <c r="E79" s="49">
        <f>'Avg Week Koboko-Arua'!E79+'Avg Week Arua-Koboko'!E79</f>
        <v>0</v>
      </c>
      <c r="F79" s="49">
        <f>'Avg Week Koboko-Arua'!F79+'Avg Week Arua-Koboko'!F79</f>
        <v>0</v>
      </c>
      <c r="G79" s="49">
        <f>'Avg Week Koboko-Arua'!G79+'Avg Week Arua-Koboko'!G79</f>
        <v>0</v>
      </c>
      <c r="H79" s="49">
        <f>'Avg Week Koboko-Arua'!H79+'Avg Week Arua-Koboko'!H79</f>
        <v>0.5</v>
      </c>
      <c r="I79" s="49">
        <f>'Avg Week Koboko-Arua'!I79+'Avg Week Arua-Koboko'!I79</f>
        <v>0</v>
      </c>
      <c r="J79" s="49">
        <f>'Avg Week Koboko-Arua'!J79+'Avg Week Arua-Koboko'!J79</f>
        <v>0</v>
      </c>
      <c r="K79" s="49">
        <f>'Avg Week Koboko-Arua'!K79+'Avg Week Arua-Koboko'!K79</f>
        <v>0</v>
      </c>
      <c r="L79" s="49">
        <f>'Avg Week Koboko-Arua'!L79+'Avg Week Arua-Koboko'!L79</f>
        <v>0</v>
      </c>
      <c r="M79" s="49">
        <f>'Avg Week Koboko-Arua'!M79+'Avg Week Arua-Koboko'!M79</f>
        <v>8.5</v>
      </c>
      <c r="N79" s="49">
        <f>'Avg Week Koboko-Arua'!N79+'Avg Week Arua-Koboko'!N79</f>
        <v>0</v>
      </c>
      <c r="O79" s="15">
        <f t="shared" si="35"/>
        <v>0.5</v>
      </c>
      <c r="P79" s="15">
        <f t="shared" si="36"/>
        <v>9</v>
      </c>
      <c r="R79" s="8"/>
      <c r="T79"/>
    </row>
    <row r="80" spans="2:20" ht="23.1" customHeight="1" x14ac:dyDescent="0.25">
      <c r="B80" s="25" t="s">
        <v>120</v>
      </c>
      <c r="C80" s="49">
        <f>'Avg Week Koboko-Arua'!C80+'Avg Week Arua-Koboko'!C80</f>
        <v>0</v>
      </c>
      <c r="D80" s="49">
        <f>'Avg Week Koboko-Arua'!D80+'Avg Week Arua-Koboko'!D80</f>
        <v>0</v>
      </c>
      <c r="E80" s="49">
        <f>'Avg Week Koboko-Arua'!E80+'Avg Week Arua-Koboko'!E80</f>
        <v>1</v>
      </c>
      <c r="F80" s="49">
        <f>'Avg Week Koboko-Arua'!F80+'Avg Week Arua-Koboko'!F80</f>
        <v>0.5</v>
      </c>
      <c r="G80" s="49">
        <f>'Avg Week Koboko-Arua'!G80+'Avg Week Arua-Koboko'!G80</f>
        <v>0</v>
      </c>
      <c r="H80" s="49">
        <f>'Avg Week Koboko-Arua'!H80+'Avg Week Arua-Koboko'!H80</f>
        <v>0</v>
      </c>
      <c r="I80" s="49">
        <f>'Avg Week Koboko-Arua'!I80+'Avg Week Arua-Koboko'!I80</f>
        <v>0</v>
      </c>
      <c r="J80" s="49">
        <f>'Avg Week Koboko-Arua'!J80+'Avg Week Arua-Koboko'!J80</f>
        <v>0</v>
      </c>
      <c r="K80" s="49">
        <f>'Avg Week Koboko-Arua'!K80+'Avg Week Arua-Koboko'!K80</f>
        <v>0</v>
      </c>
      <c r="L80" s="49">
        <f>'Avg Week Koboko-Arua'!L80+'Avg Week Arua-Koboko'!L80</f>
        <v>0</v>
      </c>
      <c r="M80" s="49">
        <f>'Avg Week Koboko-Arua'!M80+'Avg Week Arua-Koboko'!M80</f>
        <v>5</v>
      </c>
      <c r="N80" s="49">
        <f>'Avg Week Koboko-Arua'!N80+'Avg Week Arua-Koboko'!N80</f>
        <v>0</v>
      </c>
      <c r="O80" s="15">
        <f t="shared" si="35"/>
        <v>1.5</v>
      </c>
      <c r="P80" s="15">
        <f t="shared" si="36"/>
        <v>6.5</v>
      </c>
      <c r="R80" s="8"/>
      <c r="T80"/>
    </row>
    <row r="81" spans="2:20" ht="23.1" customHeight="1" x14ac:dyDescent="0.25">
      <c r="B81" s="23" t="s">
        <v>121</v>
      </c>
      <c r="C81" s="49">
        <f>'Avg Week Koboko-Arua'!C81+'Avg Week Arua-Koboko'!C81</f>
        <v>0.5</v>
      </c>
      <c r="D81" s="49">
        <f>'Avg Week Koboko-Arua'!D81+'Avg Week Arua-Koboko'!D81</f>
        <v>0.5</v>
      </c>
      <c r="E81" s="49">
        <f>'Avg Week Koboko-Arua'!E81+'Avg Week Arua-Koboko'!E81</f>
        <v>1</v>
      </c>
      <c r="F81" s="49">
        <f>'Avg Week Koboko-Arua'!F81+'Avg Week Arua-Koboko'!F81</f>
        <v>0.5</v>
      </c>
      <c r="G81" s="49">
        <f>'Avg Week Koboko-Arua'!G81+'Avg Week Arua-Koboko'!G81</f>
        <v>0</v>
      </c>
      <c r="H81" s="49">
        <f>'Avg Week Koboko-Arua'!H81+'Avg Week Arua-Koboko'!H81</f>
        <v>0</v>
      </c>
      <c r="I81" s="49">
        <f>'Avg Week Koboko-Arua'!I81+'Avg Week Arua-Koboko'!I81</f>
        <v>0</v>
      </c>
      <c r="J81" s="49">
        <f>'Avg Week Koboko-Arua'!J81+'Avg Week Arua-Koboko'!J81</f>
        <v>0</v>
      </c>
      <c r="K81" s="49">
        <f>'Avg Week Koboko-Arua'!K81+'Avg Week Arua-Koboko'!K81</f>
        <v>0</v>
      </c>
      <c r="L81" s="49">
        <f>'Avg Week Koboko-Arua'!L81+'Avg Week Arua-Koboko'!L81</f>
        <v>0.5</v>
      </c>
      <c r="M81" s="49">
        <f>'Avg Week Koboko-Arua'!M81+'Avg Week Arua-Koboko'!M81</f>
        <v>4.5</v>
      </c>
      <c r="N81" s="49">
        <f>'Avg Week Koboko-Arua'!N81+'Avg Week Arua-Koboko'!N81</f>
        <v>0</v>
      </c>
      <c r="O81" s="15">
        <f t="shared" si="35"/>
        <v>3</v>
      </c>
      <c r="P81" s="15">
        <f t="shared" si="36"/>
        <v>7.5</v>
      </c>
      <c r="R81" s="8"/>
      <c r="T81"/>
    </row>
    <row r="82" spans="2:20" ht="23.1" customHeight="1" x14ac:dyDescent="0.25">
      <c r="B82" s="24" t="s">
        <v>122</v>
      </c>
      <c r="C82" s="49">
        <f>'Avg Week Koboko-Arua'!C82+'Avg Week Arua-Koboko'!C82</f>
        <v>0.5</v>
      </c>
      <c r="D82" s="49">
        <f>'Avg Week Koboko-Arua'!D82+'Avg Week Arua-Koboko'!D82</f>
        <v>0</v>
      </c>
      <c r="E82" s="49">
        <f>'Avg Week Koboko-Arua'!E82+'Avg Week Arua-Koboko'!E82</f>
        <v>0.5</v>
      </c>
      <c r="F82" s="49">
        <f>'Avg Week Koboko-Arua'!F82+'Avg Week Arua-Koboko'!F82</f>
        <v>0</v>
      </c>
      <c r="G82" s="49">
        <f>'Avg Week Koboko-Arua'!G82+'Avg Week Arua-Koboko'!G82</f>
        <v>0</v>
      </c>
      <c r="H82" s="49">
        <f>'Avg Week Koboko-Arua'!H82+'Avg Week Arua-Koboko'!H82</f>
        <v>0</v>
      </c>
      <c r="I82" s="49">
        <f>'Avg Week Koboko-Arua'!I82+'Avg Week Arua-Koboko'!I82</f>
        <v>0.5</v>
      </c>
      <c r="J82" s="49">
        <f>'Avg Week Koboko-Arua'!J82+'Avg Week Arua-Koboko'!J82</f>
        <v>0</v>
      </c>
      <c r="K82" s="49">
        <f>'Avg Week Koboko-Arua'!K82+'Avg Week Arua-Koboko'!K82</f>
        <v>0</v>
      </c>
      <c r="L82" s="49">
        <f>'Avg Week Koboko-Arua'!L82+'Avg Week Arua-Koboko'!L82</f>
        <v>0</v>
      </c>
      <c r="M82" s="49">
        <f>'Avg Week Koboko-Arua'!M82+'Avg Week Arua-Koboko'!M82</f>
        <v>6.5</v>
      </c>
      <c r="N82" s="49">
        <f>'Avg Week Koboko-Arua'!N82+'Avg Week Arua-Koboko'!N82</f>
        <v>0</v>
      </c>
      <c r="O82" s="15">
        <f t="shared" si="35"/>
        <v>1.5</v>
      </c>
      <c r="P82" s="15">
        <f t="shared" si="36"/>
        <v>8</v>
      </c>
      <c r="R82" s="8"/>
      <c r="T82"/>
    </row>
    <row r="83" spans="2:20" ht="23.1" customHeight="1" x14ac:dyDescent="0.25">
      <c r="B83" s="23" t="s">
        <v>123</v>
      </c>
      <c r="C83" s="49">
        <f>'Avg Week Koboko-Arua'!C83+'Avg Week Arua-Koboko'!C83</f>
        <v>0</v>
      </c>
      <c r="D83" s="49">
        <f>'Avg Week Koboko-Arua'!D83+'Avg Week Arua-Koboko'!D83</f>
        <v>0</v>
      </c>
      <c r="E83" s="49">
        <f>'Avg Week Koboko-Arua'!E83+'Avg Week Arua-Koboko'!E83</f>
        <v>0</v>
      </c>
      <c r="F83" s="49">
        <f>'Avg Week Koboko-Arua'!F83+'Avg Week Arua-Koboko'!F83</f>
        <v>0</v>
      </c>
      <c r="G83" s="49">
        <f>'Avg Week Koboko-Arua'!G83+'Avg Week Arua-Koboko'!G83</f>
        <v>0</v>
      </c>
      <c r="H83" s="49">
        <f>'Avg Week Koboko-Arua'!H83+'Avg Week Arua-Koboko'!H83</f>
        <v>0</v>
      </c>
      <c r="I83" s="49">
        <f>'Avg Week Koboko-Arua'!I83+'Avg Week Arua-Koboko'!I83</f>
        <v>0</v>
      </c>
      <c r="J83" s="49">
        <f>'Avg Week Koboko-Arua'!J83+'Avg Week Arua-Koboko'!J83</f>
        <v>0</v>
      </c>
      <c r="K83" s="49">
        <f>'Avg Week Koboko-Arua'!K83+'Avg Week Arua-Koboko'!K83</f>
        <v>0</v>
      </c>
      <c r="L83" s="49">
        <f>'Avg Week Koboko-Arua'!L83+'Avg Week Arua-Koboko'!L83</f>
        <v>0</v>
      </c>
      <c r="M83" s="49">
        <f>'Avg Week Koboko-Arua'!M83+'Avg Week Arua-Koboko'!M83</f>
        <v>3.5</v>
      </c>
      <c r="N83" s="49">
        <f>'Avg Week Koboko-Arua'!N83+'Avg Week Arua-Koboko'!N83</f>
        <v>0</v>
      </c>
      <c r="O83" s="15">
        <f t="shared" si="35"/>
        <v>0</v>
      </c>
      <c r="P83" s="15">
        <f t="shared" si="36"/>
        <v>3.5</v>
      </c>
      <c r="R83" s="8"/>
      <c r="T83"/>
    </row>
    <row r="84" spans="2:20" ht="23.1" customHeight="1" x14ac:dyDescent="0.25">
      <c r="B84" s="25" t="s">
        <v>124</v>
      </c>
      <c r="C84" s="49">
        <f>'Avg Week Koboko-Arua'!C84+'Avg Week Arua-Koboko'!C84</f>
        <v>1</v>
      </c>
      <c r="D84" s="49">
        <f>'Avg Week Koboko-Arua'!D84+'Avg Week Arua-Koboko'!D84</f>
        <v>0.5</v>
      </c>
      <c r="E84" s="49">
        <f>'Avg Week Koboko-Arua'!E84+'Avg Week Arua-Koboko'!E84</f>
        <v>1</v>
      </c>
      <c r="F84" s="49">
        <f>'Avg Week Koboko-Arua'!F84+'Avg Week Arua-Koboko'!F84</f>
        <v>0</v>
      </c>
      <c r="G84" s="49">
        <f>'Avg Week Koboko-Arua'!G84+'Avg Week Arua-Koboko'!G84</f>
        <v>0</v>
      </c>
      <c r="H84" s="49">
        <f>'Avg Week Koboko-Arua'!H84+'Avg Week Arua-Koboko'!H84</f>
        <v>0</v>
      </c>
      <c r="I84" s="49">
        <f>'Avg Week Koboko-Arua'!I84+'Avg Week Arua-Koboko'!I84</f>
        <v>0</v>
      </c>
      <c r="J84" s="49">
        <f>'Avg Week Koboko-Arua'!J84+'Avg Week Arua-Koboko'!J84</f>
        <v>0</v>
      </c>
      <c r="K84" s="49">
        <f>'Avg Week Koboko-Arua'!K84+'Avg Week Arua-Koboko'!K84</f>
        <v>0</v>
      </c>
      <c r="L84" s="49">
        <f>'Avg Week Koboko-Arua'!L84+'Avg Week Arua-Koboko'!L84</f>
        <v>1</v>
      </c>
      <c r="M84" s="49">
        <f>'Avg Week Koboko-Arua'!M84+'Avg Week Arua-Koboko'!M84</f>
        <v>3</v>
      </c>
      <c r="N84" s="49">
        <f>'Avg Week Koboko-Arua'!N84+'Avg Week Arua-Koboko'!N84</f>
        <v>0</v>
      </c>
      <c r="O84" s="15">
        <f t="shared" si="35"/>
        <v>3.5</v>
      </c>
      <c r="P84" s="15">
        <f t="shared" si="36"/>
        <v>6.5</v>
      </c>
      <c r="R84" s="8"/>
      <c r="T84"/>
    </row>
    <row r="85" spans="2:20" ht="23.1" customHeight="1" x14ac:dyDescent="0.25">
      <c r="B85" s="23" t="s">
        <v>125</v>
      </c>
      <c r="C85" s="49">
        <f>'Avg Week Koboko-Arua'!C85+'Avg Week Arua-Koboko'!C85</f>
        <v>1</v>
      </c>
      <c r="D85" s="49">
        <f>'Avg Week Koboko-Arua'!D85+'Avg Week Arua-Koboko'!D85</f>
        <v>0</v>
      </c>
      <c r="E85" s="49">
        <f>'Avg Week Koboko-Arua'!E85+'Avg Week Arua-Koboko'!E85</f>
        <v>0</v>
      </c>
      <c r="F85" s="49">
        <f>'Avg Week Koboko-Arua'!F85+'Avg Week Arua-Koboko'!F85</f>
        <v>0</v>
      </c>
      <c r="G85" s="49">
        <f>'Avg Week Koboko-Arua'!G85+'Avg Week Arua-Koboko'!G85</f>
        <v>0</v>
      </c>
      <c r="H85" s="49">
        <f>'Avg Week Koboko-Arua'!H85+'Avg Week Arua-Koboko'!H85</f>
        <v>0</v>
      </c>
      <c r="I85" s="49">
        <f>'Avg Week Koboko-Arua'!I85+'Avg Week Arua-Koboko'!I85</f>
        <v>0</v>
      </c>
      <c r="J85" s="49">
        <f>'Avg Week Koboko-Arua'!J85+'Avg Week Arua-Koboko'!J85</f>
        <v>0</v>
      </c>
      <c r="K85" s="49">
        <f>'Avg Week Koboko-Arua'!K85+'Avg Week Arua-Koboko'!K85</f>
        <v>0</v>
      </c>
      <c r="L85" s="49">
        <f>'Avg Week Koboko-Arua'!L85+'Avg Week Arua-Koboko'!L85</f>
        <v>0</v>
      </c>
      <c r="M85" s="49">
        <f>'Avg Week Koboko-Arua'!M85+'Avg Week Arua-Koboko'!M85</f>
        <v>4</v>
      </c>
      <c r="N85" s="49">
        <f>'Avg Week Koboko-Arua'!N85+'Avg Week Arua-Koboko'!N85</f>
        <v>0</v>
      </c>
      <c r="O85" s="15">
        <f t="shared" si="35"/>
        <v>1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'Avg Week Koboko-Arua'!C86+'Avg Week Arua-Koboko'!C86</f>
        <v>0.5</v>
      </c>
      <c r="D86" s="49">
        <f>'Avg Week Koboko-Arua'!D86+'Avg Week Arua-Koboko'!D86</f>
        <v>0</v>
      </c>
      <c r="E86" s="49">
        <f>'Avg Week Koboko-Arua'!E86+'Avg Week Arua-Koboko'!E86</f>
        <v>0</v>
      </c>
      <c r="F86" s="49">
        <f>'Avg Week Koboko-Arua'!F86+'Avg Week Arua-Koboko'!F86</f>
        <v>1</v>
      </c>
      <c r="G86" s="49">
        <f>'Avg Week Koboko-Arua'!G86+'Avg Week Arua-Koboko'!G86</f>
        <v>0</v>
      </c>
      <c r="H86" s="49">
        <f>'Avg Week Koboko-Arua'!H86+'Avg Week Arua-Koboko'!H86</f>
        <v>0</v>
      </c>
      <c r="I86" s="49">
        <f>'Avg Week Koboko-Arua'!I86+'Avg Week Arua-Koboko'!I86</f>
        <v>0</v>
      </c>
      <c r="J86" s="49">
        <f>'Avg Week Koboko-Arua'!J86+'Avg Week Arua-Koboko'!J86</f>
        <v>0</v>
      </c>
      <c r="K86" s="49">
        <f>'Avg Week Koboko-Arua'!K86+'Avg Week Arua-Koboko'!K86</f>
        <v>0</v>
      </c>
      <c r="L86" s="49">
        <f>'Avg Week Koboko-Arua'!L86+'Avg Week Arua-Koboko'!L86</f>
        <v>0</v>
      </c>
      <c r="M86" s="49">
        <f>'Avg Week Koboko-Arua'!M86+'Avg Week Arua-Koboko'!M86</f>
        <v>0.5</v>
      </c>
      <c r="N86" s="49">
        <f>'Avg Week Koboko-Arua'!N86+'Avg Week Arua-Koboko'!N86</f>
        <v>0</v>
      </c>
      <c r="O86" s="15">
        <f t="shared" si="35"/>
        <v>1.5</v>
      </c>
      <c r="P86" s="15">
        <f t="shared" si="36"/>
        <v>2</v>
      </c>
      <c r="R86" s="8"/>
      <c r="T86"/>
    </row>
    <row r="87" spans="2:20" ht="23.1" customHeight="1" x14ac:dyDescent="0.25">
      <c r="B87" s="23" t="s">
        <v>127</v>
      </c>
      <c r="C87" s="49">
        <f>'Avg Week Koboko-Arua'!C87+'Avg Week Arua-Koboko'!C87</f>
        <v>0.5</v>
      </c>
      <c r="D87" s="49">
        <f>'Avg Week Koboko-Arua'!D87+'Avg Week Arua-Koboko'!D87</f>
        <v>0</v>
      </c>
      <c r="E87" s="49">
        <f>'Avg Week Koboko-Arua'!E87+'Avg Week Arua-Koboko'!E87</f>
        <v>0</v>
      </c>
      <c r="F87" s="49">
        <f>'Avg Week Koboko-Arua'!F87+'Avg Week Arua-Koboko'!F87</f>
        <v>0</v>
      </c>
      <c r="G87" s="49">
        <f>'Avg Week Koboko-Arua'!G87+'Avg Week Arua-Koboko'!G87</f>
        <v>0</v>
      </c>
      <c r="H87" s="49">
        <f>'Avg Week Koboko-Arua'!H87+'Avg Week Arua-Koboko'!H87</f>
        <v>0</v>
      </c>
      <c r="I87" s="49">
        <f>'Avg Week Koboko-Arua'!I87+'Avg Week Arua-Koboko'!I87</f>
        <v>0</v>
      </c>
      <c r="J87" s="49">
        <f>'Avg Week Koboko-Arua'!J87+'Avg Week Arua-Koboko'!J87</f>
        <v>0</v>
      </c>
      <c r="K87" s="49">
        <f>'Avg Week Koboko-Arua'!K87+'Avg Week Arua-Koboko'!K87</f>
        <v>0</v>
      </c>
      <c r="L87" s="49">
        <f>'Avg Week Koboko-Arua'!L87+'Avg Week Arua-Koboko'!L87</f>
        <v>0</v>
      </c>
      <c r="M87" s="49">
        <f>'Avg Week Koboko-Arua'!M87+'Avg Week Arua-Koboko'!M87</f>
        <v>1</v>
      </c>
      <c r="N87" s="49">
        <f>'Avg Week Koboko-Arua'!N87+'Avg Week Arua-Koboko'!N87</f>
        <v>0</v>
      </c>
      <c r="O87" s="15">
        <f t="shared" si="35"/>
        <v>0.5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'Avg Week Koboko-Arua'!C88+'Avg Week Arua-Koboko'!C88</f>
        <v>0.5</v>
      </c>
      <c r="D88" s="49">
        <f>'Avg Week Koboko-Arua'!D88+'Avg Week Arua-Koboko'!D88</f>
        <v>0</v>
      </c>
      <c r="E88" s="49">
        <f>'Avg Week Koboko-Arua'!E88+'Avg Week Arua-Koboko'!E88</f>
        <v>0.5</v>
      </c>
      <c r="F88" s="49">
        <f>'Avg Week Koboko-Arua'!F88+'Avg Week Arua-Koboko'!F88</f>
        <v>0.5</v>
      </c>
      <c r="G88" s="49">
        <f>'Avg Week Koboko-Arua'!G88+'Avg Week Arua-Koboko'!G88</f>
        <v>0</v>
      </c>
      <c r="H88" s="49">
        <f>'Avg Week Koboko-Arua'!H88+'Avg Week Arua-Koboko'!H88</f>
        <v>0</v>
      </c>
      <c r="I88" s="49">
        <f>'Avg Week Koboko-Arua'!I88+'Avg Week Arua-Koboko'!I88</f>
        <v>0</v>
      </c>
      <c r="J88" s="49">
        <f>'Avg Week Koboko-Arua'!J88+'Avg Week Arua-Koboko'!J88</f>
        <v>0</v>
      </c>
      <c r="K88" s="49">
        <f>'Avg Week Koboko-Arua'!K88+'Avg Week Arua-Koboko'!K88</f>
        <v>0</v>
      </c>
      <c r="L88" s="49">
        <f>'Avg Week Koboko-Arua'!L88+'Avg Week Arua-Koboko'!L88</f>
        <v>0</v>
      </c>
      <c r="M88" s="49">
        <f>'Avg Week Koboko-Arua'!M88+'Avg Week Arua-Koboko'!M88</f>
        <v>1.5</v>
      </c>
      <c r="N88" s="49">
        <f>'Avg Week Koboko-Arua'!N88+'Avg Week Arua-Koboko'!N88</f>
        <v>0</v>
      </c>
      <c r="O88" s="15">
        <f t="shared" si="35"/>
        <v>1.5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'Avg Week Koboko-Arua'!C89+'Avg Week Arua-Koboko'!C89</f>
        <v>0.5</v>
      </c>
      <c r="D89" s="49">
        <f>'Avg Week Koboko-Arua'!D89+'Avg Week Arua-Koboko'!D89</f>
        <v>0</v>
      </c>
      <c r="E89" s="49">
        <f>'Avg Week Koboko-Arua'!E89+'Avg Week Arua-Koboko'!E89</f>
        <v>0</v>
      </c>
      <c r="F89" s="49">
        <f>'Avg Week Koboko-Arua'!F89+'Avg Week Arua-Koboko'!F89</f>
        <v>0</v>
      </c>
      <c r="G89" s="49">
        <f>'Avg Week Koboko-Arua'!G89+'Avg Week Arua-Koboko'!G89</f>
        <v>0</v>
      </c>
      <c r="H89" s="49">
        <f>'Avg Week Koboko-Arua'!H89+'Avg Week Arua-Koboko'!H89</f>
        <v>0</v>
      </c>
      <c r="I89" s="49">
        <f>'Avg Week Koboko-Arua'!I89+'Avg Week Arua-Koboko'!I89</f>
        <v>0.5</v>
      </c>
      <c r="J89" s="49">
        <f>'Avg Week Koboko-Arua'!J89+'Avg Week Arua-Koboko'!J89</f>
        <v>0</v>
      </c>
      <c r="K89" s="49">
        <f>'Avg Week Koboko-Arua'!K89+'Avg Week Arua-Koboko'!K89</f>
        <v>0</v>
      </c>
      <c r="L89" s="49">
        <f>'Avg Week Koboko-Arua'!L89+'Avg Week Arua-Koboko'!L89</f>
        <v>0</v>
      </c>
      <c r="M89" s="49">
        <f>'Avg Week Koboko-Arua'!M89+'Avg Week Arua-Koboko'!M89</f>
        <v>0</v>
      </c>
      <c r="N89" s="49">
        <f>'Avg Week Koboko-Arua'!N89+'Avg Week Arua-Koboko'!N89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'Avg Week Koboko-Arua'!C90+'Avg Week Arua-Koboko'!C90</f>
        <v>0</v>
      </c>
      <c r="D90" s="49">
        <f>'Avg Week Koboko-Arua'!D90+'Avg Week Arua-Koboko'!D90</f>
        <v>0.5</v>
      </c>
      <c r="E90" s="49">
        <f>'Avg Week Koboko-Arua'!E90+'Avg Week Arua-Koboko'!E90</f>
        <v>0</v>
      </c>
      <c r="F90" s="49">
        <f>'Avg Week Koboko-Arua'!F90+'Avg Week Arua-Koboko'!F90</f>
        <v>0</v>
      </c>
      <c r="G90" s="49">
        <f>'Avg Week Koboko-Arua'!G90+'Avg Week Arua-Koboko'!G90</f>
        <v>0</v>
      </c>
      <c r="H90" s="49">
        <f>'Avg Week Koboko-Arua'!H90+'Avg Week Arua-Koboko'!H90</f>
        <v>0</v>
      </c>
      <c r="I90" s="49">
        <f>'Avg Week Koboko-Arua'!I90+'Avg Week Arua-Koboko'!I90</f>
        <v>0</v>
      </c>
      <c r="J90" s="49">
        <f>'Avg Week Koboko-Arua'!J90+'Avg Week Arua-Koboko'!J90</f>
        <v>0</v>
      </c>
      <c r="K90" s="49">
        <f>'Avg Week Koboko-Arua'!K90+'Avg Week Arua-Koboko'!K90</f>
        <v>0</v>
      </c>
      <c r="L90" s="49">
        <f>'Avg Week Koboko-Arua'!L90+'Avg Week Arua-Koboko'!L90</f>
        <v>0</v>
      </c>
      <c r="M90" s="49">
        <f>'Avg Week Koboko-Arua'!M90+'Avg Week Arua-Koboko'!M90</f>
        <v>2.5</v>
      </c>
      <c r="N90" s="49">
        <f>'Avg Week Koboko-Arua'!N90+'Avg Week Arua-Koboko'!N90</f>
        <v>0</v>
      </c>
      <c r="O90" s="15">
        <f t="shared" si="35"/>
        <v>0.5</v>
      </c>
      <c r="P90" s="15">
        <f t="shared" si="36"/>
        <v>3</v>
      </c>
      <c r="R90" s="8"/>
      <c r="T90"/>
    </row>
    <row r="91" spans="2:20" ht="23.1" customHeight="1" x14ac:dyDescent="0.25">
      <c r="B91" s="23" t="s">
        <v>131</v>
      </c>
      <c r="C91" s="49">
        <f>'Avg Week Koboko-Arua'!C91+'Avg Week Arua-Koboko'!C91</f>
        <v>1</v>
      </c>
      <c r="D91" s="49">
        <f>'Avg Week Koboko-Arua'!D91+'Avg Week Arua-Koboko'!D91</f>
        <v>0</v>
      </c>
      <c r="E91" s="49">
        <f>'Avg Week Koboko-Arua'!E91+'Avg Week Arua-Koboko'!E91</f>
        <v>0</v>
      </c>
      <c r="F91" s="49">
        <f>'Avg Week Koboko-Arua'!F91+'Avg Week Arua-Koboko'!F91</f>
        <v>0</v>
      </c>
      <c r="G91" s="49">
        <f>'Avg Week Koboko-Arua'!G91+'Avg Week Arua-Koboko'!G91</f>
        <v>0</v>
      </c>
      <c r="H91" s="49">
        <f>'Avg Week Koboko-Arua'!H91+'Avg Week Arua-Koboko'!H91</f>
        <v>0</v>
      </c>
      <c r="I91" s="49">
        <f>'Avg Week Koboko-Arua'!I91+'Avg Week Arua-Koboko'!I91</f>
        <v>0</v>
      </c>
      <c r="J91" s="49">
        <f>'Avg Week Koboko-Arua'!J91+'Avg Week Arua-Koboko'!J91</f>
        <v>0</v>
      </c>
      <c r="K91" s="49">
        <f>'Avg Week Koboko-Arua'!K91+'Avg Week Arua-Koboko'!K91</f>
        <v>0</v>
      </c>
      <c r="L91" s="49">
        <f>'Avg Week Koboko-Arua'!L91+'Avg Week Arua-Koboko'!L91</f>
        <v>0</v>
      </c>
      <c r="M91" s="49">
        <f>'Avg Week Koboko-Arua'!M91+'Avg Week Arua-Koboko'!M91</f>
        <v>2.5</v>
      </c>
      <c r="N91" s="49">
        <f>'Avg Week Koboko-Arua'!N91+'Avg Week Arua-Koboko'!N91</f>
        <v>0</v>
      </c>
      <c r="O91" s="15">
        <f t="shared" si="35"/>
        <v>1</v>
      </c>
      <c r="P91" s="15">
        <f t="shared" si="36"/>
        <v>3.5</v>
      </c>
      <c r="R91" s="8"/>
      <c r="T91"/>
    </row>
    <row r="92" spans="2:20" ht="23.1" customHeight="1" x14ac:dyDescent="0.25">
      <c r="B92" s="25" t="s">
        <v>132</v>
      </c>
      <c r="C92" s="49">
        <f>'Avg Week Koboko-Arua'!C92+'Avg Week Arua-Koboko'!C92</f>
        <v>0</v>
      </c>
      <c r="D92" s="49">
        <f>'Avg Week Koboko-Arua'!D92+'Avg Week Arua-Koboko'!D92</f>
        <v>0</v>
      </c>
      <c r="E92" s="49">
        <f>'Avg Week Koboko-Arua'!E92+'Avg Week Arua-Koboko'!E92</f>
        <v>0</v>
      </c>
      <c r="F92" s="49">
        <f>'Avg Week Koboko-Arua'!F92+'Avg Week Arua-Koboko'!F92</f>
        <v>0</v>
      </c>
      <c r="G92" s="49">
        <f>'Avg Week Koboko-Arua'!G92+'Avg Week Arua-Koboko'!G92</f>
        <v>0</v>
      </c>
      <c r="H92" s="49">
        <f>'Avg Week Koboko-Arua'!H92+'Avg Week Arua-Koboko'!H92</f>
        <v>0</v>
      </c>
      <c r="I92" s="49">
        <f>'Avg Week Koboko-Arua'!I92+'Avg Week Arua-Koboko'!I92</f>
        <v>0</v>
      </c>
      <c r="J92" s="49">
        <f>'Avg Week Koboko-Arua'!J92+'Avg Week Arua-Koboko'!J92</f>
        <v>0</v>
      </c>
      <c r="K92" s="49">
        <f>'Avg Week Koboko-Arua'!K92+'Avg Week Arua-Koboko'!K92</f>
        <v>0</v>
      </c>
      <c r="L92" s="49">
        <f>'Avg Week Koboko-Arua'!L92+'Avg Week Arua-Koboko'!L92</f>
        <v>0</v>
      </c>
      <c r="M92" s="49">
        <f>'Avg Week Koboko-Arua'!M92+'Avg Week Arua-Koboko'!M92</f>
        <v>1.5</v>
      </c>
      <c r="N92" s="49">
        <f>'Avg Week Koboko-Arua'!N92+'Avg Week Arua-Koboko'!N92</f>
        <v>0</v>
      </c>
      <c r="O92" s="15">
        <f t="shared" si="35"/>
        <v>0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'Avg Week Koboko-Arua'!C93+'Avg Week Arua-Koboko'!C93</f>
        <v>0</v>
      </c>
      <c r="D93" s="49">
        <f>'Avg Week Koboko-Arua'!D93+'Avg Week Arua-Koboko'!D93</f>
        <v>0</v>
      </c>
      <c r="E93" s="49">
        <f>'Avg Week Koboko-Arua'!E93+'Avg Week Arua-Koboko'!E93</f>
        <v>0</v>
      </c>
      <c r="F93" s="49">
        <f>'Avg Week Koboko-Arua'!F93+'Avg Week Arua-Koboko'!F93</f>
        <v>0</v>
      </c>
      <c r="G93" s="49">
        <f>'Avg Week Koboko-Arua'!G93+'Avg Week Arua-Koboko'!G93</f>
        <v>0</v>
      </c>
      <c r="H93" s="49">
        <f>'Avg Week Koboko-Arua'!H93+'Avg Week Arua-Koboko'!H93</f>
        <v>0</v>
      </c>
      <c r="I93" s="49">
        <f>'Avg Week Koboko-Arua'!I93+'Avg Week Arua-Koboko'!I93</f>
        <v>0</v>
      </c>
      <c r="J93" s="49">
        <f>'Avg Week Koboko-Arua'!J93+'Avg Week Arua-Koboko'!J93</f>
        <v>0</v>
      </c>
      <c r="K93" s="49">
        <f>'Avg Week Koboko-Arua'!K93+'Avg Week Arua-Koboko'!K93</f>
        <v>0</v>
      </c>
      <c r="L93" s="49">
        <f>'Avg Week Koboko-Arua'!L93+'Avg Week Arua-Koboko'!L93</f>
        <v>0</v>
      </c>
      <c r="M93" s="49">
        <f>'Avg Week Koboko-Arua'!M93+'Avg Week Arua-Koboko'!M93</f>
        <v>3</v>
      </c>
      <c r="N93" s="49">
        <f>'Avg Week Koboko-Arua'!N93+'Avg Week Arua-Koboko'!N93</f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'Avg Week Koboko-Arua'!C94+'Avg Week Arua-Koboko'!C94</f>
        <v>0</v>
      </c>
      <c r="D94" s="49">
        <f>'Avg Week Koboko-Arua'!D94+'Avg Week Arua-Koboko'!D94</f>
        <v>0</v>
      </c>
      <c r="E94" s="49">
        <f>'Avg Week Koboko-Arua'!E94+'Avg Week Arua-Koboko'!E94</f>
        <v>0</v>
      </c>
      <c r="F94" s="49">
        <f>'Avg Week Koboko-Arua'!F94+'Avg Week Arua-Koboko'!F94</f>
        <v>0</v>
      </c>
      <c r="G94" s="49">
        <f>'Avg Week Koboko-Arua'!G94+'Avg Week Arua-Koboko'!G94</f>
        <v>0</v>
      </c>
      <c r="H94" s="49">
        <f>'Avg Week Koboko-Arua'!H94+'Avg Week Arua-Koboko'!H94</f>
        <v>0</v>
      </c>
      <c r="I94" s="49">
        <f>'Avg Week Koboko-Arua'!I94+'Avg Week Arua-Koboko'!I94</f>
        <v>0</v>
      </c>
      <c r="J94" s="49">
        <f>'Avg Week Koboko-Arua'!J94+'Avg Week Arua-Koboko'!J94</f>
        <v>0</v>
      </c>
      <c r="K94" s="49">
        <f>'Avg Week Koboko-Arua'!K94+'Avg Week Arua-Koboko'!K94</f>
        <v>0</v>
      </c>
      <c r="L94" s="49">
        <f>'Avg Week Koboko-Arua'!L94+'Avg Week Arua-Koboko'!L94</f>
        <v>0</v>
      </c>
      <c r="M94" s="49">
        <f>'Avg Week Koboko-Arua'!M94+'Avg Week Arua-Koboko'!M94</f>
        <v>2.5</v>
      </c>
      <c r="N94" s="49">
        <f>'Avg Week Koboko-Arua'!N94+'Avg Week Arua-Koboko'!N94</f>
        <v>0</v>
      </c>
      <c r="O94" s="15">
        <f t="shared" si="35"/>
        <v>0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'Avg Week Koboko-Arua'!C95+'Avg Week Arua-Koboko'!C95</f>
        <v>0.5</v>
      </c>
      <c r="D95" s="49">
        <f>'Avg Week Koboko-Arua'!D95+'Avg Week Arua-Koboko'!D95</f>
        <v>0</v>
      </c>
      <c r="E95" s="49">
        <f>'Avg Week Koboko-Arua'!E95+'Avg Week Arua-Koboko'!E95</f>
        <v>0.5</v>
      </c>
      <c r="F95" s="49">
        <f>'Avg Week Koboko-Arua'!F95+'Avg Week Arua-Koboko'!F95</f>
        <v>0</v>
      </c>
      <c r="G95" s="49">
        <f>'Avg Week Koboko-Arua'!G95+'Avg Week Arua-Koboko'!G95</f>
        <v>0</v>
      </c>
      <c r="H95" s="49">
        <f>'Avg Week Koboko-Arua'!H95+'Avg Week Arua-Koboko'!H95</f>
        <v>0</v>
      </c>
      <c r="I95" s="49">
        <f>'Avg Week Koboko-Arua'!I95+'Avg Week Arua-Koboko'!I95</f>
        <v>0</v>
      </c>
      <c r="J95" s="49">
        <f>'Avg Week Koboko-Arua'!J95+'Avg Week Arua-Koboko'!J95</f>
        <v>0</v>
      </c>
      <c r="K95" s="49">
        <f>'Avg Week Koboko-Arua'!K95+'Avg Week Arua-Koboko'!K95</f>
        <v>0</v>
      </c>
      <c r="L95" s="49">
        <f>'Avg Week Koboko-Arua'!L95+'Avg Week Arua-Koboko'!L95</f>
        <v>0</v>
      </c>
      <c r="M95" s="49">
        <f>'Avg Week Koboko-Arua'!M95+'Avg Week Arua-Koboko'!M95</f>
        <v>1.5</v>
      </c>
      <c r="N95" s="49">
        <f>'Avg Week Koboko-Arua'!N95+'Avg Week Arua-Koboko'!N95</f>
        <v>0</v>
      </c>
      <c r="O95" s="15">
        <f t="shared" si="35"/>
        <v>1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'Avg Week Koboko-Arua'!C96+'Avg Week Arua-Koboko'!C96</f>
        <v>0.5</v>
      </c>
      <c r="D96" s="49">
        <f>'Avg Week Koboko-Arua'!D96+'Avg Week Arua-Koboko'!D96</f>
        <v>0</v>
      </c>
      <c r="E96" s="49">
        <f>'Avg Week Koboko-Arua'!E96+'Avg Week Arua-Koboko'!E96</f>
        <v>0</v>
      </c>
      <c r="F96" s="49">
        <f>'Avg Week Koboko-Arua'!F96+'Avg Week Arua-Koboko'!F96</f>
        <v>0</v>
      </c>
      <c r="G96" s="49">
        <f>'Avg Week Koboko-Arua'!G96+'Avg Week Arua-Koboko'!G96</f>
        <v>0</v>
      </c>
      <c r="H96" s="49">
        <f>'Avg Week Koboko-Arua'!H96+'Avg Week Arua-Koboko'!H96</f>
        <v>0.5</v>
      </c>
      <c r="I96" s="49">
        <f>'Avg Week Koboko-Arua'!I96+'Avg Week Arua-Koboko'!I96</f>
        <v>0</v>
      </c>
      <c r="J96" s="49">
        <f>'Avg Week Koboko-Arua'!J96+'Avg Week Arua-Koboko'!J96</f>
        <v>0</v>
      </c>
      <c r="K96" s="49">
        <f>'Avg Week Koboko-Arua'!K96+'Avg Week Arua-Koboko'!K96</f>
        <v>0</v>
      </c>
      <c r="L96" s="49">
        <f>'Avg Week Koboko-Arua'!L96+'Avg Week Arua-Koboko'!L96</f>
        <v>0</v>
      </c>
      <c r="M96" s="49">
        <f>'Avg Week Koboko-Arua'!M96+'Avg Week Arua-Koboko'!M96</f>
        <v>2.5</v>
      </c>
      <c r="N96" s="49">
        <f>'Avg Week Koboko-Arua'!N96+'Avg Week Arua-Koboko'!N96</f>
        <v>0</v>
      </c>
      <c r="O96" s="15">
        <f t="shared" si="35"/>
        <v>1</v>
      </c>
      <c r="P96" s="15">
        <f t="shared" si="36"/>
        <v>3.5</v>
      </c>
      <c r="R96" s="8"/>
      <c r="T96"/>
    </row>
    <row r="97" spans="2:20" ht="23.1" customHeight="1" x14ac:dyDescent="0.25">
      <c r="B97" s="23" t="s">
        <v>137</v>
      </c>
      <c r="C97" s="49">
        <f>'Avg Week Koboko-Arua'!C97+'Avg Week Arua-Koboko'!C97</f>
        <v>0.5</v>
      </c>
      <c r="D97" s="49">
        <f>'Avg Week Koboko-Arua'!D97+'Avg Week Arua-Koboko'!D97</f>
        <v>0</v>
      </c>
      <c r="E97" s="49">
        <f>'Avg Week Koboko-Arua'!E97+'Avg Week Arua-Koboko'!E97</f>
        <v>0</v>
      </c>
      <c r="F97" s="49">
        <f>'Avg Week Koboko-Arua'!F97+'Avg Week Arua-Koboko'!F97</f>
        <v>0.5</v>
      </c>
      <c r="G97" s="49">
        <f>'Avg Week Koboko-Arua'!G97+'Avg Week Arua-Koboko'!G97</f>
        <v>0</v>
      </c>
      <c r="H97" s="49">
        <f>'Avg Week Koboko-Arua'!H97+'Avg Week Arua-Koboko'!H97</f>
        <v>1</v>
      </c>
      <c r="I97" s="49">
        <f>'Avg Week Koboko-Arua'!I97+'Avg Week Arua-Koboko'!I97</f>
        <v>0</v>
      </c>
      <c r="J97" s="49">
        <f>'Avg Week Koboko-Arua'!J97+'Avg Week Arua-Koboko'!J97</f>
        <v>0</v>
      </c>
      <c r="K97" s="49">
        <f>'Avg Week Koboko-Arua'!K97+'Avg Week Arua-Koboko'!K97</f>
        <v>0</v>
      </c>
      <c r="L97" s="49">
        <f>'Avg Week Koboko-Arua'!L97+'Avg Week Arua-Koboko'!L97</f>
        <v>0</v>
      </c>
      <c r="M97" s="49">
        <f>'Avg Week Koboko-Arua'!M97+'Avg Week Arua-Koboko'!M97</f>
        <v>1.5</v>
      </c>
      <c r="N97" s="49">
        <f>'Avg Week Koboko-Arua'!N97+'Avg Week Arua-Koboko'!N97</f>
        <v>0</v>
      </c>
      <c r="O97" s="15">
        <f t="shared" si="35"/>
        <v>2</v>
      </c>
      <c r="P97" s="15">
        <f t="shared" si="36"/>
        <v>3.5</v>
      </c>
      <c r="R97" s="8"/>
      <c r="T97"/>
    </row>
    <row r="98" spans="2:20" ht="23.1" customHeight="1" x14ac:dyDescent="0.25">
      <c r="B98" s="24" t="s">
        <v>138</v>
      </c>
      <c r="C98" s="49">
        <f>'Avg Week Koboko-Arua'!C98+'Avg Week Arua-Koboko'!C98</f>
        <v>0</v>
      </c>
      <c r="D98" s="49">
        <f>'Avg Week Koboko-Arua'!D98+'Avg Week Arua-Koboko'!D98</f>
        <v>0</v>
      </c>
      <c r="E98" s="49">
        <f>'Avg Week Koboko-Arua'!E98+'Avg Week Arua-Koboko'!E98</f>
        <v>0</v>
      </c>
      <c r="F98" s="49">
        <f>'Avg Week Koboko-Arua'!F98+'Avg Week Arua-Koboko'!F98</f>
        <v>0</v>
      </c>
      <c r="G98" s="49">
        <f>'Avg Week Koboko-Arua'!G98+'Avg Week Arua-Koboko'!G98</f>
        <v>0</v>
      </c>
      <c r="H98" s="49">
        <f>'Avg Week Koboko-Arua'!H98+'Avg Week Arua-Koboko'!H98</f>
        <v>1</v>
      </c>
      <c r="I98" s="49">
        <f>'Avg Week Koboko-Arua'!I98+'Avg Week Arua-Koboko'!I98</f>
        <v>0</v>
      </c>
      <c r="J98" s="49">
        <f>'Avg Week Koboko-Arua'!J98+'Avg Week Arua-Koboko'!J98</f>
        <v>0</v>
      </c>
      <c r="K98" s="49">
        <f>'Avg Week Koboko-Arua'!K98+'Avg Week Arua-Koboko'!K98</f>
        <v>0</v>
      </c>
      <c r="L98" s="49">
        <f>'Avg Week Koboko-Arua'!L98+'Avg Week Arua-Koboko'!L98</f>
        <v>0</v>
      </c>
      <c r="M98" s="49">
        <f>'Avg Week Koboko-Arua'!M98+'Avg Week Arua-Koboko'!M98</f>
        <v>1.5</v>
      </c>
      <c r="N98" s="49">
        <f>'Avg Week Koboko-Arua'!N98+'Avg Week Arua-Koboko'!N98</f>
        <v>0</v>
      </c>
      <c r="O98" s="15">
        <f t="shared" si="35"/>
        <v>1</v>
      </c>
      <c r="P98" s="15">
        <f t="shared" si="36"/>
        <v>2.5</v>
      </c>
      <c r="R98" s="8"/>
      <c r="T98"/>
    </row>
    <row r="99" spans="2:20" ht="23.1" customHeight="1" x14ac:dyDescent="0.25">
      <c r="B99" s="23" t="s">
        <v>139</v>
      </c>
      <c r="C99" s="49">
        <f>'Avg Week Koboko-Arua'!C99+'Avg Week Arua-Koboko'!C99</f>
        <v>0</v>
      </c>
      <c r="D99" s="49">
        <f>'Avg Week Koboko-Arua'!D99+'Avg Week Arua-Koboko'!D99</f>
        <v>0</v>
      </c>
      <c r="E99" s="49">
        <f>'Avg Week Koboko-Arua'!E99+'Avg Week Arua-Koboko'!E99</f>
        <v>0</v>
      </c>
      <c r="F99" s="49">
        <f>'Avg Week Koboko-Arua'!F99+'Avg Week Arua-Koboko'!F99</f>
        <v>0</v>
      </c>
      <c r="G99" s="49">
        <f>'Avg Week Koboko-Arua'!G99+'Avg Week Arua-Koboko'!G99</f>
        <v>0</v>
      </c>
      <c r="H99" s="49">
        <f>'Avg Week Koboko-Arua'!H99+'Avg Week Arua-Koboko'!H99</f>
        <v>0.5</v>
      </c>
      <c r="I99" s="49">
        <f>'Avg Week Koboko-Arua'!I99+'Avg Week Arua-Koboko'!I99</f>
        <v>0</v>
      </c>
      <c r="J99" s="49">
        <f>'Avg Week Koboko-Arua'!J99+'Avg Week Arua-Koboko'!J99</f>
        <v>0</v>
      </c>
      <c r="K99" s="49">
        <f>'Avg Week Koboko-Arua'!K99+'Avg Week Arua-Koboko'!K99</f>
        <v>0</v>
      </c>
      <c r="L99" s="49">
        <f>'Avg Week Koboko-Arua'!L99+'Avg Week Arua-Koboko'!L99</f>
        <v>0</v>
      </c>
      <c r="M99" s="49">
        <f>'Avg Week Koboko-Arua'!M99+'Avg Week Arua-Koboko'!M99</f>
        <v>8.5</v>
      </c>
      <c r="N99" s="49">
        <f>'Avg Week Koboko-Arua'!N99+'Avg Week Arua-Koboko'!N99</f>
        <v>0</v>
      </c>
      <c r="O99" s="15">
        <f t="shared" si="35"/>
        <v>0.5</v>
      </c>
      <c r="P99" s="15">
        <f t="shared" si="36"/>
        <v>9</v>
      </c>
      <c r="R99" s="8"/>
      <c r="T99"/>
    </row>
    <row r="100" spans="2:20" ht="23.1" customHeight="1" x14ac:dyDescent="0.25">
      <c r="B100" s="25" t="s">
        <v>140</v>
      </c>
      <c r="C100" s="49">
        <f>'Avg Week Koboko-Arua'!C100+'Avg Week Arua-Koboko'!C100</f>
        <v>0.5</v>
      </c>
      <c r="D100" s="49">
        <f>'Avg Week Koboko-Arua'!D100+'Avg Week Arua-Koboko'!D100</f>
        <v>0</v>
      </c>
      <c r="E100" s="49">
        <f>'Avg Week Koboko-Arua'!E100+'Avg Week Arua-Koboko'!E100</f>
        <v>0</v>
      </c>
      <c r="F100" s="49">
        <f>'Avg Week Koboko-Arua'!F100+'Avg Week Arua-Koboko'!F100</f>
        <v>0</v>
      </c>
      <c r="G100" s="49">
        <f>'Avg Week Koboko-Arua'!G100+'Avg Week Arua-Koboko'!G100</f>
        <v>0</v>
      </c>
      <c r="H100" s="49">
        <f>'Avg Week Koboko-Arua'!H100+'Avg Week Arua-Koboko'!H100</f>
        <v>1.5</v>
      </c>
      <c r="I100" s="49">
        <f>'Avg Week Koboko-Arua'!I100+'Avg Week Arua-Koboko'!I100</f>
        <v>0.5</v>
      </c>
      <c r="J100" s="49">
        <f>'Avg Week Koboko-Arua'!J100+'Avg Week Arua-Koboko'!J100</f>
        <v>0</v>
      </c>
      <c r="K100" s="49">
        <f>'Avg Week Koboko-Arua'!K100+'Avg Week Arua-Koboko'!K100</f>
        <v>0</v>
      </c>
      <c r="L100" s="49">
        <f>'Avg Week Koboko-Arua'!L100+'Avg Week Arua-Koboko'!L100</f>
        <v>0.5</v>
      </c>
      <c r="M100" s="49">
        <f>'Avg Week Koboko-Arua'!M100+'Avg Week Arua-Koboko'!M100</f>
        <v>5</v>
      </c>
      <c r="N100" s="49">
        <f>'Avg Week Koboko-Arua'!N100+'Avg Week Arua-Koboko'!N100</f>
        <v>0</v>
      </c>
      <c r="O100" s="15">
        <f t="shared" si="35"/>
        <v>3</v>
      </c>
      <c r="P100" s="15">
        <f t="shared" si="36"/>
        <v>8</v>
      </c>
      <c r="R100" s="8"/>
      <c r="T100"/>
    </row>
    <row r="101" spans="2:20" ht="23.1" customHeight="1" x14ac:dyDescent="0.25">
      <c r="B101" s="23" t="s">
        <v>141</v>
      </c>
      <c r="C101" s="49">
        <f>'Avg Week Koboko-Arua'!C101+'Avg Week Arua-Koboko'!C101</f>
        <v>1</v>
      </c>
      <c r="D101" s="49">
        <f>'Avg Week Koboko-Arua'!D101+'Avg Week Arua-Koboko'!D101</f>
        <v>0</v>
      </c>
      <c r="E101" s="49">
        <f>'Avg Week Koboko-Arua'!E101+'Avg Week Arua-Koboko'!E101</f>
        <v>0</v>
      </c>
      <c r="F101" s="49">
        <f>'Avg Week Koboko-Arua'!F101+'Avg Week Arua-Koboko'!F101</f>
        <v>0</v>
      </c>
      <c r="G101" s="49">
        <f>'Avg Week Koboko-Arua'!G101+'Avg Week Arua-Koboko'!G101</f>
        <v>0</v>
      </c>
      <c r="H101" s="49">
        <f>'Avg Week Koboko-Arua'!H101+'Avg Week Arua-Koboko'!H101</f>
        <v>0.5</v>
      </c>
      <c r="I101" s="49">
        <f>'Avg Week Koboko-Arua'!I101+'Avg Week Arua-Koboko'!I101</f>
        <v>0</v>
      </c>
      <c r="J101" s="49">
        <f>'Avg Week Koboko-Arua'!J101+'Avg Week Arua-Koboko'!J101</f>
        <v>0</v>
      </c>
      <c r="K101" s="49">
        <f>'Avg Week Koboko-Arua'!K101+'Avg Week Arua-Koboko'!K101</f>
        <v>0</v>
      </c>
      <c r="L101" s="49">
        <f>'Avg Week Koboko-Arua'!L101+'Avg Week Arua-Koboko'!L101</f>
        <v>0.5</v>
      </c>
      <c r="M101" s="49">
        <f>'Avg Week Koboko-Arua'!M101+'Avg Week Arua-Koboko'!M101</f>
        <v>6</v>
      </c>
      <c r="N101" s="49">
        <f>'Avg Week Koboko-Arua'!N101+'Avg Week Arua-Koboko'!N101</f>
        <v>0</v>
      </c>
      <c r="O101" s="15">
        <f t="shared" si="35"/>
        <v>2</v>
      </c>
      <c r="P101" s="15">
        <f t="shared" si="36"/>
        <v>8</v>
      </c>
      <c r="R101" s="8"/>
      <c r="T101"/>
    </row>
    <row r="102" spans="2:20" ht="23.1" customHeight="1" x14ac:dyDescent="0.25">
      <c r="B102" s="24" t="s">
        <v>142</v>
      </c>
      <c r="C102" s="49">
        <f>'Avg Week Koboko-Arua'!C102+'Avg Week Arua-Koboko'!C102</f>
        <v>0</v>
      </c>
      <c r="D102" s="49">
        <f>'Avg Week Koboko-Arua'!D102+'Avg Week Arua-Koboko'!D102</f>
        <v>0</v>
      </c>
      <c r="E102" s="49">
        <f>'Avg Week Koboko-Arua'!E102+'Avg Week Arua-Koboko'!E102</f>
        <v>0</v>
      </c>
      <c r="F102" s="49">
        <f>'Avg Week Koboko-Arua'!F102+'Avg Week Arua-Koboko'!F102</f>
        <v>0.5</v>
      </c>
      <c r="G102" s="49">
        <f>'Avg Week Koboko-Arua'!G102+'Avg Week Arua-Koboko'!G102</f>
        <v>0</v>
      </c>
      <c r="H102" s="49">
        <f>'Avg Week Koboko-Arua'!H102+'Avg Week Arua-Koboko'!H102</f>
        <v>0</v>
      </c>
      <c r="I102" s="49">
        <f>'Avg Week Koboko-Arua'!I102+'Avg Week Arua-Koboko'!I102</f>
        <v>0</v>
      </c>
      <c r="J102" s="49">
        <f>'Avg Week Koboko-Arua'!J102+'Avg Week Arua-Koboko'!J102</f>
        <v>0</v>
      </c>
      <c r="K102" s="49">
        <f>'Avg Week Koboko-Arua'!K102+'Avg Week Arua-Koboko'!K102</f>
        <v>0</v>
      </c>
      <c r="L102" s="49">
        <f>'Avg Week Koboko-Arua'!L102+'Avg Week Arua-Koboko'!L102</f>
        <v>0</v>
      </c>
      <c r="M102" s="49">
        <f>'Avg Week Koboko-Arua'!M102+'Avg Week Arua-Koboko'!M102</f>
        <v>9</v>
      </c>
      <c r="N102" s="49">
        <f>'Avg Week Koboko-Arua'!N102+'Avg Week Arua-Koboko'!N102</f>
        <v>0</v>
      </c>
      <c r="O102" s="15">
        <f t="shared" si="35"/>
        <v>0.5</v>
      </c>
      <c r="P102" s="15">
        <f t="shared" si="36"/>
        <v>9.5</v>
      </c>
      <c r="R102" s="8"/>
      <c r="T102"/>
    </row>
    <row r="103" spans="2:20" ht="23.1" customHeight="1" x14ac:dyDescent="0.25">
      <c r="B103" s="23" t="s">
        <v>143</v>
      </c>
      <c r="C103" s="49">
        <f>'Avg Week Koboko-Arua'!C103+'Avg Week Arua-Koboko'!C103</f>
        <v>0.5</v>
      </c>
      <c r="D103" s="49">
        <f>'Avg Week Koboko-Arua'!D103+'Avg Week Arua-Koboko'!D103</f>
        <v>0</v>
      </c>
      <c r="E103" s="49">
        <f>'Avg Week Koboko-Arua'!E103+'Avg Week Arua-Koboko'!E103</f>
        <v>0.5</v>
      </c>
      <c r="F103" s="49">
        <f>'Avg Week Koboko-Arua'!F103+'Avg Week Arua-Koboko'!F103</f>
        <v>0</v>
      </c>
      <c r="G103" s="49">
        <f>'Avg Week Koboko-Arua'!G103+'Avg Week Arua-Koboko'!G103</f>
        <v>0.5</v>
      </c>
      <c r="H103" s="49">
        <f>'Avg Week Koboko-Arua'!H103+'Avg Week Arua-Koboko'!H103</f>
        <v>5.5</v>
      </c>
      <c r="I103" s="49">
        <f>'Avg Week Koboko-Arua'!I103+'Avg Week Arua-Koboko'!I103</f>
        <v>0</v>
      </c>
      <c r="J103" s="49">
        <f>'Avg Week Koboko-Arua'!J103+'Avg Week Arua-Koboko'!J103</f>
        <v>0</v>
      </c>
      <c r="K103" s="49">
        <f>'Avg Week Koboko-Arua'!K103+'Avg Week Arua-Koboko'!K103</f>
        <v>0</v>
      </c>
      <c r="L103" s="49">
        <f>'Avg Week Koboko-Arua'!L103+'Avg Week Arua-Koboko'!L103</f>
        <v>0</v>
      </c>
      <c r="M103" s="49">
        <f>'Avg Week Koboko-Arua'!M103+'Avg Week Arua-Koboko'!M103</f>
        <v>18</v>
      </c>
      <c r="N103" s="49">
        <f>'Avg Week Koboko-Arua'!N103+'Avg Week Arua-Koboko'!N103</f>
        <v>0</v>
      </c>
      <c r="O103" s="15">
        <f t="shared" si="35"/>
        <v>7</v>
      </c>
      <c r="P103" s="15">
        <f t="shared" si="36"/>
        <v>25</v>
      </c>
      <c r="R103" s="8"/>
      <c r="T103"/>
    </row>
    <row r="104" spans="2:20" ht="23.1" customHeight="1" x14ac:dyDescent="0.25">
      <c r="B104" s="25" t="s">
        <v>144</v>
      </c>
      <c r="C104" s="49">
        <f>'Avg Week Koboko-Arua'!C104+'Avg Week Arua-Koboko'!C104</f>
        <v>1</v>
      </c>
      <c r="D104" s="49">
        <f>'Avg Week Koboko-Arua'!D104+'Avg Week Arua-Koboko'!D104</f>
        <v>0</v>
      </c>
      <c r="E104" s="49">
        <f>'Avg Week Koboko-Arua'!E104+'Avg Week Arua-Koboko'!E104</f>
        <v>0.5</v>
      </c>
      <c r="F104" s="49">
        <f>'Avg Week Koboko-Arua'!F104+'Avg Week Arua-Koboko'!F104</f>
        <v>0.5</v>
      </c>
      <c r="G104" s="49">
        <f>'Avg Week Koboko-Arua'!G104+'Avg Week Arua-Koboko'!G104</f>
        <v>0.5</v>
      </c>
      <c r="H104" s="49">
        <f>'Avg Week Koboko-Arua'!H104+'Avg Week Arua-Koboko'!H104</f>
        <v>0</v>
      </c>
      <c r="I104" s="49">
        <f>'Avg Week Koboko-Arua'!I104+'Avg Week Arua-Koboko'!I104</f>
        <v>1</v>
      </c>
      <c r="J104" s="49">
        <f>'Avg Week Koboko-Arua'!J104+'Avg Week Arua-Koboko'!J104</f>
        <v>0.5</v>
      </c>
      <c r="K104" s="49">
        <f>'Avg Week Koboko-Arua'!K104+'Avg Week Arua-Koboko'!K104</f>
        <v>1</v>
      </c>
      <c r="L104" s="49">
        <f>'Avg Week Koboko-Arua'!L104+'Avg Week Arua-Koboko'!L104</f>
        <v>0.5</v>
      </c>
      <c r="M104" s="49">
        <f>'Avg Week Koboko-Arua'!M104+'Avg Week Arua-Koboko'!M104</f>
        <v>29.5</v>
      </c>
      <c r="N104" s="49">
        <f>'Avg Week Koboko-Arua'!N104+'Avg Week Arua-Koboko'!N104</f>
        <v>0</v>
      </c>
      <c r="O104" s="15">
        <f t="shared" si="35"/>
        <v>5.5</v>
      </c>
      <c r="P104" s="15">
        <f t="shared" si="36"/>
        <v>35</v>
      </c>
      <c r="R104" s="8"/>
      <c r="T104"/>
    </row>
    <row r="105" spans="2:20" ht="23.1" customHeight="1" x14ac:dyDescent="0.25">
      <c r="B105" s="23" t="s">
        <v>145</v>
      </c>
      <c r="C105" s="49">
        <f>'Avg Week Koboko-Arua'!C105+'Avg Week Arua-Koboko'!C105</f>
        <v>4</v>
      </c>
      <c r="D105" s="49">
        <f>'Avg Week Koboko-Arua'!D105+'Avg Week Arua-Koboko'!D105</f>
        <v>0</v>
      </c>
      <c r="E105" s="49">
        <f>'Avg Week Koboko-Arua'!E105+'Avg Week Arua-Koboko'!E105</f>
        <v>1</v>
      </c>
      <c r="F105" s="49">
        <f>'Avg Week Koboko-Arua'!F105+'Avg Week Arua-Koboko'!F105</f>
        <v>0.5</v>
      </c>
      <c r="G105" s="49">
        <f>'Avg Week Koboko-Arua'!G105+'Avg Week Arua-Koboko'!G105</f>
        <v>0</v>
      </c>
      <c r="H105" s="49">
        <f>'Avg Week Koboko-Arua'!H105+'Avg Week Arua-Koboko'!H105</f>
        <v>7.5</v>
      </c>
      <c r="I105" s="49">
        <f>'Avg Week Koboko-Arua'!I105+'Avg Week Arua-Koboko'!I105</f>
        <v>1</v>
      </c>
      <c r="J105" s="49">
        <f>'Avg Week Koboko-Arua'!J105+'Avg Week Arua-Koboko'!J105</f>
        <v>0.5</v>
      </c>
      <c r="K105" s="49">
        <f>'Avg Week Koboko-Arua'!K105+'Avg Week Arua-Koboko'!K105</f>
        <v>0</v>
      </c>
      <c r="L105" s="49">
        <f>'Avg Week Koboko-Arua'!L105+'Avg Week Arua-Koboko'!L105</f>
        <v>1</v>
      </c>
      <c r="M105" s="49">
        <f>'Avg Week Koboko-Arua'!M105+'Avg Week Arua-Koboko'!M105</f>
        <v>42.5</v>
      </c>
      <c r="N105" s="49">
        <f>'Avg Week Koboko-Arua'!N105+'Avg Week Arua-Koboko'!N105</f>
        <v>0</v>
      </c>
      <c r="O105" s="15">
        <f t="shared" si="35"/>
        <v>15.5</v>
      </c>
      <c r="P105" s="15">
        <f t="shared" si="36"/>
        <v>58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895.99999999999989</v>
      </c>
      <c r="D106" s="16">
        <f t="shared" ref="D106:P106" si="37">SUM(D10:D105)</f>
        <v>165.57142857142856</v>
      </c>
      <c r="E106" s="16">
        <f t="shared" si="37"/>
        <v>333.92857142857144</v>
      </c>
      <c r="F106" s="16">
        <f t="shared" si="37"/>
        <v>214.42857142857144</v>
      </c>
      <c r="G106" s="16">
        <f t="shared" si="37"/>
        <v>46.142857142857146</v>
      </c>
      <c r="H106" s="16">
        <f t="shared" si="37"/>
        <v>142</v>
      </c>
      <c r="I106" s="16">
        <f t="shared" si="37"/>
        <v>163.54761904761904</v>
      </c>
      <c r="J106" s="16">
        <f t="shared" si="37"/>
        <v>94.63333333333334</v>
      </c>
      <c r="K106" s="16">
        <f t="shared" si="37"/>
        <v>16.714285714285712</v>
      </c>
      <c r="L106" s="16">
        <f t="shared" si="37"/>
        <v>38.499999999999986</v>
      </c>
      <c r="M106" s="16">
        <f t="shared" si="37"/>
        <v>4311.2142857142853</v>
      </c>
      <c r="N106" s="16">
        <f t="shared" si="37"/>
        <v>3.2619047619047614</v>
      </c>
      <c r="O106" s="16">
        <f t="shared" si="37"/>
        <v>2114.7285714285717</v>
      </c>
      <c r="P106" s="16">
        <f t="shared" si="37"/>
        <v>6425.9428571428571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0.13943479111458906</v>
      </c>
      <c r="D107" s="43">
        <f t="shared" si="38"/>
        <v>2.5766091023885319E-2</v>
      </c>
      <c r="E107" s="43">
        <f t="shared" si="38"/>
        <v>5.1965692638767852E-2</v>
      </c>
      <c r="F107" s="43">
        <f t="shared" si="38"/>
        <v>3.3369199850605581E-2</v>
      </c>
      <c r="G107" s="43">
        <f t="shared" si="38"/>
        <v>7.1807138919024677E-3</v>
      </c>
      <c r="H107" s="43">
        <f t="shared" si="38"/>
        <v>2.2097924484678181E-2</v>
      </c>
      <c r="I107" s="43">
        <f t="shared" si="38"/>
        <v>2.5451147432135213E-2</v>
      </c>
      <c r="J107" s="43">
        <f t="shared" si="38"/>
        <v>1.4726762350235061E-2</v>
      </c>
      <c r="K107" s="43">
        <f t="shared" si="38"/>
        <v>2.6010635459832463E-3</v>
      </c>
      <c r="L107" s="43">
        <f t="shared" si="38"/>
        <v>5.9913386807049973E-3</v>
      </c>
      <c r="M107" s="43">
        <f t="shared" si="38"/>
        <v>0.67090766002098634</v>
      </c>
      <c r="N107" s="43">
        <f t="shared" si="38"/>
        <v>5.0761496552664495E-4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0.42369503685038934</v>
      </c>
      <c r="D108" s="44">
        <f t="shared" ref="D108:N108" si="39">D106/$O$106</f>
        <v>7.8294411305739997E-2</v>
      </c>
      <c r="E108" s="44">
        <f t="shared" si="39"/>
        <v>0.15790611425985096</v>
      </c>
      <c r="F108" s="44">
        <f t="shared" si="39"/>
        <v>0.1013976802156305</v>
      </c>
      <c r="G108" s="44">
        <f t="shared" si="39"/>
        <v>2.1819753970452133E-2</v>
      </c>
      <c r="H108" s="44">
        <f t="shared" si="39"/>
        <v>6.7148097357985811E-2</v>
      </c>
      <c r="I108" s="44">
        <f t="shared" si="39"/>
        <v>7.7337404552649994E-2</v>
      </c>
      <c r="J108" s="44">
        <f t="shared" si="39"/>
        <v>4.4749635774488671E-2</v>
      </c>
      <c r="K108" s="44">
        <f t="shared" si="39"/>
        <v>7.9037498902256934E-3</v>
      </c>
      <c r="L108" s="44">
        <f t="shared" si="39"/>
        <v>1.8205646114665162E-2</v>
      </c>
      <c r="M108" s="44"/>
      <c r="N108" s="44">
        <f t="shared" si="39"/>
        <v>1.5424697079215385E-3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31.07 Koboko-Arua</vt:lpstr>
      <vt:lpstr>31.07 Arua-Koboko</vt:lpstr>
      <vt:lpstr>01.08 Koboko-Arua</vt:lpstr>
      <vt:lpstr>01.08 Arua-Koboko</vt:lpstr>
      <vt:lpstr>02.08 Koboko-Arua-24h</vt:lpstr>
      <vt:lpstr>02.08 Arua-Koboko-24h</vt:lpstr>
      <vt:lpstr>03.08 Koboko-Arua-24h</vt:lpstr>
      <vt:lpstr>03.08 Arua-Koboko-24h</vt:lpstr>
      <vt:lpstr>04.08 Koboko-Arua</vt:lpstr>
      <vt:lpstr>04.08 Arua-Koboko</vt:lpstr>
      <vt:lpstr>05.08 Koboko-Arua</vt:lpstr>
      <vt:lpstr>05.08 Arua-Koboko</vt:lpstr>
      <vt:lpstr>06.08 Koboko-Arua</vt:lpstr>
      <vt:lpstr>06.08 Arua-Koboko</vt:lpstr>
      <vt:lpstr>Avg Week Koboko-Arua</vt:lpstr>
      <vt:lpstr>Avg Week Arua-Koboko</vt:lpstr>
      <vt:lpstr>Avg Week Arua-Koboko-2Dir</vt:lpstr>
      <vt:lpstr>'01.08 Arua-Koboko'!Print_Area</vt:lpstr>
      <vt:lpstr>'01.08 Koboko-Arua'!Print_Area</vt:lpstr>
      <vt:lpstr>'02.08 Arua-Koboko-24h'!Print_Area</vt:lpstr>
      <vt:lpstr>'02.08 Koboko-Arua-24h'!Print_Area</vt:lpstr>
      <vt:lpstr>'03.08 Arua-Koboko-24h'!Print_Area</vt:lpstr>
      <vt:lpstr>'03.08 Koboko-Arua-24h'!Print_Area</vt:lpstr>
      <vt:lpstr>'04.08 Arua-Koboko'!Print_Area</vt:lpstr>
      <vt:lpstr>'04.08 Koboko-Arua'!Print_Area</vt:lpstr>
      <vt:lpstr>'05.08 Arua-Koboko'!Print_Area</vt:lpstr>
      <vt:lpstr>'05.08 Koboko-Arua'!Print_Area</vt:lpstr>
      <vt:lpstr>'06.08 Arua-Koboko'!Print_Area</vt:lpstr>
      <vt:lpstr>'06.08 Koboko-Arua'!Print_Area</vt:lpstr>
      <vt:lpstr>'31.07 Arua-Koboko'!Print_Area</vt:lpstr>
      <vt:lpstr>'31.07 Koboko-Arua'!Print_Area</vt:lpstr>
      <vt:lpstr>'Avg Week Arua-Koboko'!Print_Area</vt:lpstr>
      <vt:lpstr>'Avg Week Arua-Koboko-2Dir'!Print_Area</vt:lpstr>
      <vt:lpstr>'Avg Week Koboko-Arua'!Print_Area</vt:lpstr>
      <vt:lpstr>'01.08 Arua-Koboko'!Print_Titles</vt:lpstr>
      <vt:lpstr>'01.08 Koboko-Arua'!Print_Titles</vt:lpstr>
      <vt:lpstr>'02.08 Arua-Koboko-24h'!Print_Titles</vt:lpstr>
      <vt:lpstr>'02.08 Koboko-Arua-24h'!Print_Titles</vt:lpstr>
      <vt:lpstr>'03.08 Arua-Koboko-24h'!Print_Titles</vt:lpstr>
      <vt:lpstr>'03.08 Koboko-Arua-24h'!Print_Titles</vt:lpstr>
      <vt:lpstr>'04.08 Arua-Koboko'!Print_Titles</vt:lpstr>
      <vt:lpstr>'04.08 Koboko-Arua'!Print_Titles</vt:lpstr>
      <vt:lpstr>'05.08 Arua-Koboko'!Print_Titles</vt:lpstr>
      <vt:lpstr>'05.08 Koboko-Arua'!Print_Titles</vt:lpstr>
      <vt:lpstr>'06.08 Arua-Koboko'!Print_Titles</vt:lpstr>
      <vt:lpstr>'06.08 Koboko-Arua'!Print_Titles</vt:lpstr>
      <vt:lpstr>'31.07 Arua-Koboko'!Print_Titles</vt:lpstr>
      <vt:lpstr>'31.07 Koboko-Arua'!Print_Titles</vt:lpstr>
      <vt:lpstr>'Avg Week Arua-Koboko'!Print_Titles</vt:lpstr>
      <vt:lpstr>'Avg Week Arua-Koboko-2Dir'!Print_Titles</vt:lpstr>
      <vt:lpstr>'Avg Week Koboko-Arua'!Print_Titles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M.R O</cp:lastModifiedBy>
  <cp:lastPrinted>2019-07-25T18:18:41Z</cp:lastPrinted>
  <dcterms:created xsi:type="dcterms:W3CDTF">2010-07-06T07:39:49Z</dcterms:created>
  <dcterms:modified xsi:type="dcterms:W3CDTF">2020-01-15T12:37:24Z</dcterms:modified>
</cp:coreProperties>
</file>