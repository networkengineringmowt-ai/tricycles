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5 Analysis Complete\STN116 KARUMA-GULU\MCC\"/>
    </mc:Choice>
  </mc:AlternateContent>
  <xr:revisionPtr revIDLastSave="0" documentId="13_ncr:1_{841855CA-C7BB-4B47-B744-DE97ACA51599}" xr6:coauthVersionLast="45" xr6:coauthVersionMax="45" xr10:uidLastSave="{00000000-0000-0000-0000-000000000000}"/>
  <bookViews>
    <workbookView xWindow="-120" yWindow="-120" windowWidth="20730" windowHeight="11160" tabRatio="918" firstSheet="11" activeTab="16" xr2:uid="{00000000-000D-0000-FFFF-FFFF00000000}"/>
  </bookViews>
  <sheets>
    <sheet name="01.08 GULU-KARUMA" sheetId="93" r:id="rId1"/>
    <sheet name="01.08 KARUMA-GULU" sheetId="94" r:id="rId2"/>
    <sheet name="02.08 GULU-KARUMA" sheetId="95" r:id="rId3"/>
    <sheet name="02.08 KARUMA-GULU" sheetId="96" r:id="rId4"/>
    <sheet name="03. 08 GULU-KARUMA-24HRS" sheetId="101" r:id="rId5"/>
    <sheet name="03.08 KARUMA-GULU-24HRS" sheetId="109" r:id="rId6"/>
    <sheet name="04.08 GULU-KARUMA" sheetId="97" r:id="rId7"/>
    <sheet name="04.08 KARUMA-GULU" sheetId="98" r:id="rId8"/>
    <sheet name="05.08, GULU-KARUMA-24HRS" sheetId="105" r:id="rId9"/>
    <sheet name="05.08, KARUMA-GULU-24HRS" sheetId="110" r:id="rId10"/>
    <sheet name="06.08 GULU-KARUMA" sheetId="99" r:id="rId11"/>
    <sheet name="06.08 KARUMA-GULU" sheetId="100" r:id="rId12"/>
    <sheet name="7.08 GULU-KARUMA" sheetId="103" r:id="rId13"/>
    <sheet name="7.08 KARUMA-GULU" sheetId="104" r:id="rId14"/>
    <sheet name="Avg Week GULU-KARUMA" sheetId="107" r:id="rId15"/>
    <sheet name="Avg Week KARUMA-GULU" sheetId="108" r:id="rId16"/>
    <sheet name="Avg Week GULU-KARUMA-2Dir" sheetId="111" r:id="rId17"/>
  </sheets>
  <externalReferences>
    <externalReference r:id="rId18"/>
  </externalReferences>
  <definedNames>
    <definedName name="_xlnm.Print_Area" localSheetId="0">'01.08 GULU-KARUMA'!$A$1:$AF$60</definedName>
    <definedName name="_xlnm.Print_Area" localSheetId="1">'01.08 KARUMA-GULU'!$A$1:$AF$60</definedName>
    <definedName name="_xlnm.Print_Area" localSheetId="2">'02.08 GULU-KARUMA'!$A$1:$AF$60</definedName>
    <definedName name="_xlnm.Print_Area" localSheetId="3">'02.08 KARUMA-GULU'!$A$1:$AF$60</definedName>
    <definedName name="_xlnm.Print_Area" localSheetId="4">'03. 08 GULU-KARUMA-24HRS'!$A$1:$AF$108</definedName>
    <definedName name="_xlnm.Print_Area" localSheetId="5">'03.08 KARUMA-GULU-24HRS'!$A$1:$AF$108</definedName>
    <definedName name="_xlnm.Print_Area" localSheetId="6">'04.08 GULU-KARUMA'!$A$1:$AF$60</definedName>
    <definedName name="_xlnm.Print_Area" localSheetId="7">'04.08 KARUMA-GULU'!$A$1:$AF$60</definedName>
    <definedName name="_xlnm.Print_Area" localSheetId="8">'05.08, GULU-KARUMA-24HRS'!$A$1:$AF$108</definedName>
    <definedName name="_xlnm.Print_Area" localSheetId="9">'05.08, KARUMA-GULU-24HRS'!$A$1:$AF$108</definedName>
    <definedName name="_xlnm.Print_Area" localSheetId="10">'06.08 GULU-KARUMA'!$A$1:$AF$60</definedName>
    <definedName name="_xlnm.Print_Area" localSheetId="11">'06.08 KARUMA-GULU'!$A$1:$AF$60</definedName>
    <definedName name="_xlnm.Print_Area" localSheetId="12">'7.08 GULU-KARUMA'!$A$1:$AF$60</definedName>
    <definedName name="_xlnm.Print_Area" localSheetId="13">'7.08 KARUMA-GULU'!$A$1:$AF$60</definedName>
    <definedName name="_xlnm.Print_Area" localSheetId="14">'Avg Week GULU-KARUMA'!$A$1:$AF$108</definedName>
    <definedName name="_xlnm.Print_Area" localSheetId="16">'Avg Week GULU-KARUMA-2Dir'!$A$1:$AF$108</definedName>
    <definedName name="_xlnm.Print_Area" localSheetId="15">'Avg Week KARUMA-GULU'!$A$1:$AF$108</definedName>
    <definedName name="_xlnm.Print_Titles" localSheetId="0">'01.08 GULU-KARUMA'!$1:$8</definedName>
    <definedName name="_xlnm.Print_Titles" localSheetId="1">'01.08 KARUMA-GULU'!$1:$8</definedName>
    <definedName name="_xlnm.Print_Titles" localSheetId="2">'02.08 GULU-KARUMA'!$1:$8</definedName>
    <definedName name="_xlnm.Print_Titles" localSheetId="3">'02.08 KARUMA-GULU'!$1:$8</definedName>
    <definedName name="_xlnm.Print_Titles" localSheetId="4">'03. 08 GULU-KARUMA-24HRS'!$1:$8</definedName>
    <definedName name="_xlnm.Print_Titles" localSheetId="5">'03.08 KARUMA-GULU-24HRS'!$1:$8</definedName>
    <definedName name="_xlnm.Print_Titles" localSheetId="6">'04.08 GULU-KARUMA'!$1:$8</definedName>
    <definedName name="_xlnm.Print_Titles" localSheetId="7">'04.08 KARUMA-GULU'!$1:$8</definedName>
    <definedName name="_xlnm.Print_Titles" localSheetId="8">'05.08, GULU-KARUMA-24HRS'!$1:$8</definedName>
    <definedName name="_xlnm.Print_Titles" localSheetId="9">'05.08, KARUMA-GULU-24HRS'!$1:$8</definedName>
    <definedName name="_xlnm.Print_Titles" localSheetId="10">'06.08 GULU-KARUMA'!$1:$8</definedName>
    <definedName name="_xlnm.Print_Titles" localSheetId="11">'06.08 KARUMA-GULU'!$1:$8</definedName>
    <definedName name="_xlnm.Print_Titles" localSheetId="12">'7.08 GULU-KARUMA'!$1:$8</definedName>
    <definedName name="_xlnm.Print_Titles" localSheetId="13">'7.08 KARUMA-GULU'!$1:$8</definedName>
    <definedName name="_xlnm.Print_Titles" localSheetId="14">'Avg Week GULU-KARUMA'!$1:$8</definedName>
    <definedName name="_xlnm.Print_Titles" localSheetId="16">'Avg Week GULU-KARUMA-2Dir'!$1:$8</definedName>
    <definedName name="_xlnm.Print_Titles" localSheetId="15">'Avg Week KARUMA-GULU'!$1:$8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9" i="108" l="1"/>
  <c r="D59" i="108"/>
  <c r="F59" i="108"/>
  <c r="G59" i="108"/>
  <c r="H59" i="108"/>
  <c r="I59" i="108"/>
  <c r="J59" i="108"/>
  <c r="K59" i="108"/>
  <c r="L59" i="108"/>
  <c r="M59" i="108"/>
  <c r="N59" i="108"/>
  <c r="C60" i="108"/>
  <c r="D60" i="108"/>
  <c r="F60" i="108"/>
  <c r="G60" i="108"/>
  <c r="H60" i="108"/>
  <c r="I60" i="108"/>
  <c r="J60" i="108"/>
  <c r="K60" i="108"/>
  <c r="L60" i="108"/>
  <c r="M60" i="108"/>
  <c r="N60" i="108"/>
  <c r="C61" i="108"/>
  <c r="D61" i="108"/>
  <c r="F61" i="108"/>
  <c r="G61" i="108"/>
  <c r="H61" i="108"/>
  <c r="I61" i="108"/>
  <c r="J61" i="108"/>
  <c r="K61" i="108"/>
  <c r="L61" i="108"/>
  <c r="M61" i="108"/>
  <c r="N61" i="108"/>
  <c r="AD22" i="108" s="1"/>
  <c r="C62" i="108"/>
  <c r="D62" i="108"/>
  <c r="F62" i="108"/>
  <c r="G62" i="108"/>
  <c r="H62" i="108"/>
  <c r="I62" i="108"/>
  <c r="J62" i="108"/>
  <c r="K62" i="108"/>
  <c r="L62" i="108"/>
  <c r="M62" i="108"/>
  <c r="N62" i="108"/>
  <c r="C63" i="108"/>
  <c r="D63" i="108"/>
  <c r="F63" i="108"/>
  <c r="G63" i="108"/>
  <c r="H63" i="108"/>
  <c r="X23" i="108" s="1"/>
  <c r="I63" i="108"/>
  <c r="Y23" i="108" s="1"/>
  <c r="J63" i="108"/>
  <c r="K63" i="108"/>
  <c r="L63" i="108"/>
  <c r="M63" i="108"/>
  <c r="N63" i="108"/>
  <c r="C64" i="108"/>
  <c r="D64" i="108"/>
  <c r="F64" i="108"/>
  <c r="G64" i="108"/>
  <c r="H64" i="108"/>
  <c r="I64" i="108"/>
  <c r="J64" i="108"/>
  <c r="K64" i="108"/>
  <c r="L64" i="108"/>
  <c r="M64" i="108"/>
  <c r="N64" i="108"/>
  <c r="C65" i="108"/>
  <c r="D65" i="108"/>
  <c r="F65" i="108"/>
  <c r="G65" i="108"/>
  <c r="H65" i="108"/>
  <c r="I65" i="108"/>
  <c r="J65" i="108"/>
  <c r="K65" i="108"/>
  <c r="L65" i="108"/>
  <c r="M65" i="108"/>
  <c r="N65" i="108"/>
  <c r="C66" i="108"/>
  <c r="D66" i="108"/>
  <c r="F66" i="108"/>
  <c r="G66" i="108"/>
  <c r="H66" i="108"/>
  <c r="X24" i="108" s="1"/>
  <c r="I66" i="108"/>
  <c r="J66" i="108"/>
  <c r="K66" i="108"/>
  <c r="L66" i="108"/>
  <c r="M66" i="108"/>
  <c r="N66" i="108"/>
  <c r="C67" i="108"/>
  <c r="S24" i="108" s="1"/>
  <c r="D67" i="108"/>
  <c r="T24" i="108" s="1"/>
  <c r="F67" i="108"/>
  <c r="G67" i="108"/>
  <c r="H67" i="108"/>
  <c r="I67" i="108"/>
  <c r="J67" i="108"/>
  <c r="K67" i="108"/>
  <c r="L67" i="108"/>
  <c r="AB24" i="108" s="1"/>
  <c r="M67" i="108"/>
  <c r="N67" i="108"/>
  <c r="C68" i="108"/>
  <c r="D68" i="108"/>
  <c r="F68" i="108"/>
  <c r="G68" i="108"/>
  <c r="H68" i="108"/>
  <c r="I68" i="108"/>
  <c r="J68" i="108"/>
  <c r="Z24" i="108" s="1"/>
  <c r="K68" i="108"/>
  <c r="AA24" i="108" s="1"/>
  <c r="L68" i="108"/>
  <c r="M68" i="108"/>
  <c r="N68" i="108"/>
  <c r="C69" i="108"/>
  <c r="D69" i="108"/>
  <c r="F69" i="108"/>
  <c r="G69" i="108"/>
  <c r="W24" i="108" s="1"/>
  <c r="H69" i="108"/>
  <c r="I69" i="108"/>
  <c r="J69" i="108"/>
  <c r="K69" i="108"/>
  <c r="L69" i="108"/>
  <c r="M69" i="108"/>
  <c r="N69" i="108"/>
  <c r="AD24" i="108" s="1"/>
  <c r="C70" i="108"/>
  <c r="D70" i="108"/>
  <c r="T25" i="108" s="1"/>
  <c r="F70" i="108"/>
  <c r="G70" i="108"/>
  <c r="H70" i="108"/>
  <c r="I70" i="108"/>
  <c r="J70" i="108"/>
  <c r="K70" i="108"/>
  <c r="L70" i="108"/>
  <c r="M70" i="108"/>
  <c r="N70" i="108"/>
  <c r="C71" i="108"/>
  <c r="D71" i="108"/>
  <c r="F71" i="108"/>
  <c r="G71" i="108"/>
  <c r="H71" i="108"/>
  <c r="X25" i="108" s="1"/>
  <c r="I71" i="108"/>
  <c r="Y25" i="108" s="1"/>
  <c r="J71" i="108"/>
  <c r="K71" i="108"/>
  <c r="L71" i="108"/>
  <c r="M71" i="108"/>
  <c r="N71" i="108"/>
  <c r="C72" i="108"/>
  <c r="D72" i="108"/>
  <c r="F72" i="108"/>
  <c r="G72" i="108"/>
  <c r="W25" i="108" s="1"/>
  <c r="H72" i="108"/>
  <c r="I72" i="108"/>
  <c r="J72" i="108"/>
  <c r="K72" i="108"/>
  <c r="L72" i="108"/>
  <c r="M72" i="108"/>
  <c r="N72" i="108"/>
  <c r="C73" i="108"/>
  <c r="D73" i="108"/>
  <c r="F73" i="108"/>
  <c r="G73" i="108"/>
  <c r="H73" i="108"/>
  <c r="I73" i="108"/>
  <c r="J73" i="108"/>
  <c r="K73" i="108"/>
  <c r="L73" i="108"/>
  <c r="M73" i="108"/>
  <c r="N73" i="108"/>
  <c r="C74" i="108"/>
  <c r="D74" i="108"/>
  <c r="F74" i="108"/>
  <c r="G74" i="108"/>
  <c r="H74" i="108"/>
  <c r="X26" i="108" s="1"/>
  <c r="I74" i="108"/>
  <c r="J74" i="108"/>
  <c r="K74" i="108"/>
  <c r="L74" i="108"/>
  <c r="M74" i="108"/>
  <c r="N74" i="108"/>
  <c r="C75" i="108"/>
  <c r="D75" i="108"/>
  <c r="F75" i="108"/>
  <c r="G75" i="108"/>
  <c r="H75" i="108"/>
  <c r="I75" i="108"/>
  <c r="J75" i="108"/>
  <c r="K75" i="108"/>
  <c r="L75" i="108"/>
  <c r="AB26" i="108" s="1"/>
  <c r="M75" i="108"/>
  <c r="N75" i="108"/>
  <c r="C76" i="108"/>
  <c r="D76" i="108"/>
  <c r="F76" i="108"/>
  <c r="G76" i="108"/>
  <c r="H76" i="108"/>
  <c r="I76" i="108"/>
  <c r="J76" i="108"/>
  <c r="Z26" i="108" s="1"/>
  <c r="K76" i="108"/>
  <c r="AA26" i="108" s="1"/>
  <c r="L76" i="108"/>
  <c r="M76" i="108"/>
  <c r="N76" i="108"/>
  <c r="C77" i="108"/>
  <c r="D77" i="108"/>
  <c r="F77" i="108"/>
  <c r="G77" i="108"/>
  <c r="H77" i="108"/>
  <c r="I77" i="108"/>
  <c r="J77" i="108"/>
  <c r="K77" i="108"/>
  <c r="L77" i="108"/>
  <c r="M77" i="108"/>
  <c r="N77" i="108"/>
  <c r="AD26" i="108" s="1"/>
  <c r="C78" i="108"/>
  <c r="D78" i="108"/>
  <c r="F78" i="108"/>
  <c r="G78" i="108"/>
  <c r="H78" i="108"/>
  <c r="I78" i="108"/>
  <c r="J78" i="108"/>
  <c r="K78" i="108"/>
  <c r="L78" i="108"/>
  <c r="M78" i="108"/>
  <c r="N78" i="108"/>
  <c r="C79" i="108"/>
  <c r="D79" i="108"/>
  <c r="F79" i="108"/>
  <c r="G79" i="108"/>
  <c r="H79" i="108"/>
  <c r="X27" i="108" s="1"/>
  <c r="I79" i="108"/>
  <c r="Y27" i="108" s="1"/>
  <c r="J79" i="108"/>
  <c r="K79" i="108"/>
  <c r="L79" i="108"/>
  <c r="M79" i="108"/>
  <c r="N79" i="108"/>
  <c r="C80" i="108"/>
  <c r="D80" i="108"/>
  <c r="F80" i="108"/>
  <c r="G80" i="108"/>
  <c r="W27" i="108" s="1"/>
  <c r="H80" i="108"/>
  <c r="I80" i="108"/>
  <c r="J80" i="108"/>
  <c r="K80" i="108"/>
  <c r="L80" i="108"/>
  <c r="M80" i="108"/>
  <c r="N80" i="108"/>
  <c r="C81" i="108"/>
  <c r="D81" i="108"/>
  <c r="F81" i="108"/>
  <c r="G81" i="108"/>
  <c r="H81" i="108"/>
  <c r="I81" i="108"/>
  <c r="J81" i="108"/>
  <c r="K81" i="108"/>
  <c r="L81" i="108"/>
  <c r="M81" i="108"/>
  <c r="N81" i="108"/>
  <c r="C82" i="108"/>
  <c r="D82" i="108"/>
  <c r="F82" i="108"/>
  <c r="G82" i="108"/>
  <c r="H82" i="108"/>
  <c r="X28" i="108" s="1"/>
  <c r="I82" i="108"/>
  <c r="J82" i="108"/>
  <c r="K82" i="108"/>
  <c r="L82" i="108"/>
  <c r="M82" i="108"/>
  <c r="N82" i="108"/>
  <c r="C83" i="108"/>
  <c r="D83" i="108"/>
  <c r="T28" i="108" s="1"/>
  <c r="F83" i="108"/>
  <c r="V28" i="108" s="1"/>
  <c r="G83" i="108"/>
  <c r="H83" i="108"/>
  <c r="I83" i="108"/>
  <c r="J83" i="108"/>
  <c r="K83" i="108"/>
  <c r="L83" i="108"/>
  <c r="AB28" i="108" s="1"/>
  <c r="M83" i="108"/>
  <c r="N83" i="108"/>
  <c r="C84" i="108"/>
  <c r="D84" i="108"/>
  <c r="F84" i="108"/>
  <c r="G84" i="108"/>
  <c r="H84" i="108"/>
  <c r="I84" i="108"/>
  <c r="J84" i="108"/>
  <c r="Z28" i="108" s="1"/>
  <c r="K84" i="108"/>
  <c r="AA28" i="108" s="1"/>
  <c r="L84" i="108"/>
  <c r="M84" i="108"/>
  <c r="N84" i="108"/>
  <c r="C85" i="108"/>
  <c r="D85" i="108"/>
  <c r="F85" i="108"/>
  <c r="G85" i="108"/>
  <c r="H85" i="108"/>
  <c r="I85" i="108"/>
  <c r="J85" i="108"/>
  <c r="K85" i="108"/>
  <c r="L85" i="108"/>
  <c r="M85" i="108"/>
  <c r="N85" i="108"/>
  <c r="AD28" i="108" s="1"/>
  <c r="C86" i="108"/>
  <c r="D86" i="108"/>
  <c r="F86" i="108"/>
  <c r="G86" i="108"/>
  <c r="H86" i="108"/>
  <c r="I86" i="108"/>
  <c r="J86" i="108"/>
  <c r="K86" i="108"/>
  <c r="L86" i="108"/>
  <c r="M86" i="108"/>
  <c r="N86" i="108"/>
  <c r="C87" i="108"/>
  <c r="D87" i="108"/>
  <c r="F87" i="108"/>
  <c r="G87" i="108"/>
  <c r="H87" i="108"/>
  <c r="X29" i="108" s="1"/>
  <c r="I87" i="108"/>
  <c r="Y29" i="108" s="1"/>
  <c r="J87" i="108"/>
  <c r="K87" i="108"/>
  <c r="L87" i="108"/>
  <c r="M87" i="108"/>
  <c r="N87" i="108"/>
  <c r="C88" i="108"/>
  <c r="D88" i="108"/>
  <c r="F88" i="108"/>
  <c r="G88" i="108"/>
  <c r="H88" i="108"/>
  <c r="I88" i="108"/>
  <c r="J88" i="108"/>
  <c r="K88" i="108"/>
  <c r="L88" i="108"/>
  <c r="M88" i="108"/>
  <c r="N88" i="108"/>
  <c r="C89" i="108"/>
  <c r="D89" i="108"/>
  <c r="F89" i="108"/>
  <c r="G89" i="108"/>
  <c r="H89" i="108"/>
  <c r="I89" i="108"/>
  <c r="J89" i="108"/>
  <c r="K89" i="108"/>
  <c r="L89" i="108"/>
  <c r="M89" i="108"/>
  <c r="N89" i="108"/>
  <c r="C90" i="108"/>
  <c r="D90" i="108"/>
  <c r="F90" i="108"/>
  <c r="G90" i="108"/>
  <c r="H90" i="108"/>
  <c r="X30" i="108" s="1"/>
  <c r="I90" i="108"/>
  <c r="Y30" i="108" s="1"/>
  <c r="J90" i="108"/>
  <c r="K90" i="108"/>
  <c r="L90" i="108"/>
  <c r="M90" i="108"/>
  <c r="N90" i="108"/>
  <c r="C91" i="108"/>
  <c r="D91" i="108"/>
  <c r="F91" i="108"/>
  <c r="G91" i="108"/>
  <c r="H91" i="108"/>
  <c r="I91" i="108"/>
  <c r="J91" i="108"/>
  <c r="K91" i="108"/>
  <c r="L91" i="108"/>
  <c r="AB30" i="108" s="1"/>
  <c r="M91" i="108"/>
  <c r="N91" i="108"/>
  <c r="C92" i="108"/>
  <c r="D92" i="108"/>
  <c r="F92" i="108"/>
  <c r="G92" i="108"/>
  <c r="H92" i="108"/>
  <c r="I92" i="108"/>
  <c r="J92" i="108"/>
  <c r="Z30" i="108" s="1"/>
  <c r="K92" i="108"/>
  <c r="AA30" i="108" s="1"/>
  <c r="L92" i="108"/>
  <c r="M92" i="108"/>
  <c r="N92" i="108"/>
  <c r="C93" i="108"/>
  <c r="D93" i="108"/>
  <c r="F93" i="108"/>
  <c r="G93" i="108"/>
  <c r="H93" i="108"/>
  <c r="I93" i="108"/>
  <c r="J93" i="108"/>
  <c r="K93" i="108"/>
  <c r="L93" i="108"/>
  <c r="M93" i="108"/>
  <c r="N93" i="108"/>
  <c r="AD30" i="108" s="1"/>
  <c r="C94" i="108"/>
  <c r="D94" i="108"/>
  <c r="F94" i="108"/>
  <c r="G94" i="108"/>
  <c r="H94" i="108"/>
  <c r="I94" i="108"/>
  <c r="J94" i="108"/>
  <c r="K94" i="108"/>
  <c r="L94" i="108"/>
  <c r="M94" i="108"/>
  <c r="N94" i="108"/>
  <c r="C95" i="108"/>
  <c r="D95" i="108"/>
  <c r="F95" i="108"/>
  <c r="G95" i="108"/>
  <c r="H95" i="108"/>
  <c r="X31" i="108" s="1"/>
  <c r="I95" i="108"/>
  <c r="Y31" i="108" s="1"/>
  <c r="J95" i="108"/>
  <c r="K95" i="108"/>
  <c r="L95" i="108"/>
  <c r="M95" i="108"/>
  <c r="N95" i="108"/>
  <c r="C96" i="108"/>
  <c r="D96" i="108"/>
  <c r="F96" i="108"/>
  <c r="G96" i="108"/>
  <c r="W31" i="108" s="1"/>
  <c r="H96" i="108"/>
  <c r="I96" i="108"/>
  <c r="J96" i="108"/>
  <c r="K96" i="108"/>
  <c r="L96" i="108"/>
  <c r="M96" i="108"/>
  <c r="N96" i="108"/>
  <c r="C97" i="108"/>
  <c r="D97" i="108"/>
  <c r="F97" i="108"/>
  <c r="G97" i="108"/>
  <c r="H97" i="108"/>
  <c r="I97" i="108"/>
  <c r="J97" i="108"/>
  <c r="K97" i="108"/>
  <c r="L97" i="108"/>
  <c r="M97" i="108"/>
  <c r="N97" i="108"/>
  <c r="C98" i="108"/>
  <c r="D98" i="108"/>
  <c r="F98" i="108"/>
  <c r="G98" i="108"/>
  <c r="H98" i="108"/>
  <c r="X32" i="108" s="1"/>
  <c r="I98" i="108"/>
  <c r="Y32" i="108" s="1"/>
  <c r="J98" i="108"/>
  <c r="K98" i="108"/>
  <c r="L98" i="108"/>
  <c r="M98" i="108"/>
  <c r="N98" i="108"/>
  <c r="C99" i="108"/>
  <c r="S32" i="108" s="1"/>
  <c r="D99" i="108"/>
  <c r="T32" i="108" s="1"/>
  <c r="F99" i="108"/>
  <c r="G99" i="108"/>
  <c r="H99" i="108"/>
  <c r="I99" i="108"/>
  <c r="J99" i="108"/>
  <c r="K99" i="108"/>
  <c r="L99" i="108"/>
  <c r="AB32" i="108" s="1"/>
  <c r="M99" i="108"/>
  <c r="N99" i="108"/>
  <c r="C100" i="108"/>
  <c r="D100" i="108"/>
  <c r="F100" i="108"/>
  <c r="G100" i="108"/>
  <c r="H100" i="108"/>
  <c r="I100" i="108"/>
  <c r="J100" i="108"/>
  <c r="Z32" i="108" s="1"/>
  <c r="K100" i="108"/>
  <c r="L100" i="108"/>
  <c r="M100" i="108"/>
  <c r="N100" i="108"/>
  <c r="C101" i="108"/>
  <c r="D101" i="108"/>
  <c r="F101" i="108"/>
  <c r="G101" i="108"/>
  <c r="H101" i="108"/>
  <c r="I101" i="108"/>
  <c r="J101" i="108"/>
  <c r="K101" i="108"/>
  <c r="L101" i="108"/>
  <c r="M101" i="108"/>
  <c r="N101" i="108"/>
  <c r="AD32" i="108" s="1"/>
  <c r="C102" i="108"/>
  <c r="D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F105" i="108"/>
  <c r="G105" i="108"/>
  <c r="H105" i="108"/>
  <c r="I105" i="108"/>
  <c r="J105" i="108"/>
  <c r="K105" i="108"/>
  <c r="L105" i="108"/>
  <c r="AB33" i="108" s="1"/>
  <c r="M105" i="108"/>
  <c r="N105" i="108"/>
  <c r="D58" i="108"/>
  <c r="F58" i="108"/>
  <c r="G58" i="108"/>
  <c r="H58" i="108"/>
  <c r="I58" i="108"/>
  <c r="J58" i="108"/>
  <c r="K58" i="108"/>
  <c r="L58" i="108"/>
  <c r="M58" i="108"/>
  <c r="N58" i="108"/>
  <c r="C58" i="108"/>
  <c r="D59" i="107"/>
  <c r="E59" i="107"/>
  <c r="F59" i="107"/>
  <c r="F59" i="111" s="1"/>
  <c r="G59" i="107"/>
  <c r="G59" i="111" s="1"/>
  <c r="H59" i="107"/>
  <c r="H59" i="111" s="1"/>
  <c r="J59" i="107"/>
  <c r="J59" i="111" s="1"/>
  <c r="K59" i="107"/>
  <c r="L59" i="107"/>
  <c r="M59" i="107"/>
  <c r="N59" i="107"/>
  <c r="D60" i="107"/>
  <c r="D60" i="111" s="1"/>
  <c r="E60" i="107"/>
  <c r="F60" i="107"/>
  <c r="G60" i="107"/>
  <c r="H60" i="107"/>
  <c r="J60" i="107"/>
  <c r="K60" i="107"/>
  <c r="L60" i="107"/>
  <c r="L60" i="111" s="1"/>
  <c r="M60" i="107"/>
  <c r="N60" i="107"/>
  <c r="N60" i="111" s="1"/>
  <c r="D61" i="107"/>
  <c r="E61" i="107"/>
  <c r="F61" i="107"/>
  <c r="G61" i="107"/>
  <c r="H61" i="107"/>
  <c r="J61" i="107"/>
  <c r="J61" i="111" s="1"/>
  <c r="K61" i="107"/>
  <c r="K61" i="111" s="1"/>
  <c r="L61" i="107"/>
  <c r="L61" i="111" s="1"/>
  <c r="M61" i="107"/>
  <c r="N61" i="107"/>
  <c r="D62" i="107"/>
  <c r="E62" i="107"/>
  <c r="F62" i="107"/>
  <c r="G62" i="107"/>
  <c r="G62" i="111" s="1"/>
  <c r="H62" i="107"/>
  <c r="H62" i="111" s="1"/>
  <c r="J62" i="107"/>
  <c r="K62" i="107"/>
  <c r="L62" i="107"/>
  <c r="M62" i="107"/>
  <c r="N62" i="107"/>
  <c r="D63" i="107"/>
  <c r="D63" i="111" s="1"/>
  <c r="E63" i="107"/>
  <c r="F63" i="107"/>
  <c r="F63" i="111" s="1"/>
  <c r="G63" i="107"/>
  <c r="H63" i="107"/>
  <c r="J63" i="107"/>
  <c r="K63" i="107"/>
  <c r="K63" i="111" s="1"/>
  <c r="L63" i="107"/>
  <c r="L63" i="111" s="1"/>
  <c r="M63" i="107"/>
  <c r="N63" i="107"/>
  <c r="N63" i="111" s="1"/>
  <c r="D64" i="107"/>
  <c r="E64" i="107"/>
  <c r="F64" i="107"/>
  <c r="G64" i="107"/>
  <c r="H64" i="107"/>
  <c r="H64" i="111" s="1"/>
  <c r="J64" i="107"/>
  <c r="J64" i="111" s="1"/>
  <c r="K64" i="107"/>
  <c r="L64" i="107"/>
  <c r="L64" i="111" s="1"/>
  <c r="M64" i="107"/>
  <c r="N64" i="107"/>
  <c r="N64" i="111" s="1"/>
  <c r="D65" i="107"/>
  <c r="D65" i="111" s="1"/>
  <c r="E65" i="107"/>
  <c r="F65" i="107"/>
  <c r="F65" i="111" s="1"/>
  <c r="G65" i="107"/>
  <c r="G65" i="111" s="1"/>
  <c r="H65" i="107"/>
  <c r="H65" i="111" s="1"/>
  <c r="J65" i="107"/>
  <c r="K65" i="107"/>
  <c r="K65" i="111" s="1"/>
  <c r="L65" i="107"/>
  <c r="M65" i="107"/>
  <c r="N65" i="107"/>
  <c r="N65" i="111" s="1"/>
  <c r="D66" i="107"/>
  <c r="D66" i="111" s="1"/>
  <c r="E66" i="107"/>
  <c r="F66" i="107"/>
  <c r="G66" i="107"/>
  <c r="H66" i="107"/>
  <c r="H66" i="111" s="1"/>
  <c r="J66" i="107"/>
  <c r="K66" i="107"/>
  <c r="K66" i="111" s="1"/>
  <c r="L66" i="107"/>
  <c r="L66" i="111" s="1"/>
  <c r="M66" i="107"/>
  <c r="M66" i="111" s="1"/>
  <c r="N66" i="107"/>
  <c r="N66" i="111" s="1"/>
  <c r="D67" i="107"/>
  <c r="E67" i="107"/>
  <c r="F67" i="107"/>
  <c r="F67" i="111" s="1"/>
  <c r="G67" i="107"/>
  <c r="G67" i="111" s="1"/>
  <c r="H67" i="107"/>
  <c r="H67" i="111" s="1"/>
  <c r="J67" i="107"/>
  <c r="J67" i="111" s="1"/>
  <c r="K67" i="107"/>
  <c r="L67" i="107"/>
  <c r="M67" i="107"/>
  <c r="N67" i="107"/>
  <c r="N67" i="111" s="1"/>
  <c r="D68" i="107"/>
  <c r="D68" i="111" s="1"/>
  <c r="E68" i="107"/>
  <c r="F68" i="107"/>
  <c r="G68" i="107"/>
  <c r="H68" i="107"/>
  <c r="J68" i="107"/>
  <c r="K68" i="107"/>
  <c r="L68" i="107"/>
  <c r="L68" i="111" s="1"/>
  <c r="M68" i="107"/>
  <c r="N68" i="107"/>
  <c r="N68" i="111" s="1"/>
  <c r="D69" i="107"/>
  <c r="E69" i="107"/>
  <c r="F69" i="107"/>
  <c r="G69" i="107"/>
  <c r="H69" i="107"/>
  <c r="J69" i="107"/>
  <c r="J69" i="111" s="1"/>
  <c r="K69" i="107"/>
  <c r="K69" i="111" s="1"/>
  <c r="L69" i="107"/>
  <c r="L69" i="111" s="1"/>
  <c r="M69" i="107"/>
  <c r="N69" i="107"/>
  <c r="D70" i="107"/>
  <c r="E70" i="107"/>
  <c r="F70" i="107"/>
  <c r="G70" i="107"/>
  <c r="G70" i="111" s="1"/>
  <c r="H70" i="107"/>
  <c r="H70" i="111" s="1"/>
  <c r="J70" i="107"/>
  <c r="K70" i="107"/>
  <c r="L70" i="107"/>
  <c r="M70" i="107"/>
  <c r="N70" i="107"/>
  <c r="D71" i="107"/>
  <c r="D71" i="111" s="1"/>
  <c r="E71" i="107"/>
  <c r="F71" i="107"/>
  <c r="F71" i="111" s="1"/>
  <c r="G71" i="107"/>
  <c r="H71" i="107"/>
  <c r="J71" i="107"/>
  <c r="K71" i="107"/>
  <c r="K71" i="111" s="1"/>
  <c r="L71" i="107"/>
  <c r="L71" i="111" s="1"/>
  <c r="M71" i="107"/>
  <c r="N71" i="107"/>
  <c r="N71" i="111" s="1"/>
  <c r="D72" i="107"/>
  <c r="E72" i="107"/>
  <c r="F72" i="107"/>
  <c r="G72" i="107"/>
  <c r="H72" i="107"/>
  <c r="H72" i="111" s="1"/>
  <c r="J72" i="107"/>
  <c r="J72" i="111" s="1"/>
  <c r="K72" i="107"/>
  <c r="L72" i="107"/>
  <c r="L72" i="111" s="1"/>
  <c r="M72" i="107"/>
  <c r="N72" i="107"/>
  <c r="N72" i="111" s="1"/>
  <c r="D73" i="107"/>
  <c r="D73" i="111" s="1"/>
  <c r="E73" i="107"/>
  <c r="F73" i="107"/>
  <c r="F73" i="111" s="1"/>
  <c r="G73" i="107"/>
  <c r="G73" i="111" s="1"/>
  <c r="H73" i="107"/>
  <c r="H73" i="111" s="1"/>
  <c r="J73" i="107"/>
  <c r="K73" i="107"/>
  <c r="K73" i="111" s="1"/>
  <c r="L73" i="107"/>
  <c r="M73" i="107"/>
  <c r="N73" i="107"/>
  <c r="N73" i="111" s="1"/>
  <c r="D74" i="107"/>
  <c r="D74" i="111" s="1"/>
  <c r="E74" i="107"/>
  <c r="F74" i="107"/>
  <c r="G74" i="107"/>
  <c r="H74" i="107"/>
  <c r="J74" i="107"/>
  <c r="K74" i="107"/>
  <c r="K74" i="111" s="1"/>
  <c r="L74" i="107"/>
  <c r="M74" i="107"/>
  <c r="M74" i="111" s="1"/>
  <c r="N74" i="107"/>
  <c r="D75" i="107"/>
  <c r="E75" i="107"/>
  <c r="F75" i="107"/>
  <c r="F75" i="111" s="1"/>
  <c r="G75" i="107"/>
  <c r="G75" i="111" s="1"/>
  <c r="H75" i="107"/>
  <c r="H75" i="111" s="1"/>
  <c r="J75" i="107"/>
  <c r="J75" i="111" s="1"/>
  <c r="K75" i="107"/>
  <c r="L75" i="107"/>
  <c r="M75" i="107"/>
  <c r="N75" i="107"/>
  <c r="N75" i="111" s="1"/>
  <c r="D76" i="107"/>
  <c r="D76" i="111" s="1"/>
  <c r="E76" i="107"/>
  <c r="F76" i="107"/>
  <c r="G76" i="107"/>
  <c r="H76" i="107"/>
  <c r="J76" i="107"/>
  <c r="K76" i="107"/>
  <c r="AA26" i="107" s="1"/>
  <c r="L76" i="107"/>
  <c r="L76" i="111" s="1"/>
  <c r="M76" i="107"/>
  <c r="N76" i="107"/>
  <c r="N76" i="111" s="1"/>
  <c r="D77" i="107"/>
  <c r="E77" i="107"/>
  <c r="F77" i="107"/>
  <c r="G77" i="107"/>
  <c r="H77" i="107"/>
  <c r="J77" i="107"/>
  <c r="J77" i="111" s="1"/>
  <c r="K77" i="107"/>
  <c r="K77" i="111" s="1"/>
  <c r="L77" i="107"/>
  <c r="L77" i="111" s="1"/>
  <c r="M77" i="107"/>
  <c r="N77" i="107"/>
  <c r="D78" i="107"/>
  <c r="E78" i="107"/>
  <c r="F78" i="107"/>
  <c r="G78" i="107"/>
  <c r="G78" i="111" s="1"/>
  <c r="H78" i="107"/>
  <c r="H78" i="111" s="1"/>
  <c r="J78" i="107"/>
  <c r="K78" i="107"/>
  <c r="L78" i="107"/>
  <c r="M78" i="107"/>
  <c r="N78" i="107"/>
  <c r="D79" i="107"/>
  <c r="D79" i="111" s="1"/>
  <c r="E79" i="107"/>
  <c r="F79" i="107"/>
  <c r="F79" i="111" s="1"/>
  <c r="G79" i="107"/>
  <c r="H79" i="107"/>
  <c r="J79" i="107"/>
  <c r="K79" i="107"/>
  <c r="K79" i="111" s="1"/>
  <c r="L79" i="107"/>
  <c r="L79" i="111" s="1"/>
  <c r="M79" i="107"/>
  <c r="N79" i="107"/>
  <c r="N79" i="111" s="1"/>
  <c r="D80" i="107"/>
  <c r="E80" i="107"/>
  <c r="F80" i="107"/>
  <c r="G80" i="107"/>
  <c r="H80" i="107"/>
  <c r="H80" i="111" s="1"/>
  <c r="J80" i="107"/>
  <c r="J80" i="111" s="1"/>
  <c r="K80" i="107"/>
  <c r="L80" i="107"/>
  <c r="L80" i="111" s="1"/>
  <c r="M80" i="107"/>
  <c r="N80" i="107"/>
  <c r="N80" i="111" s="1"/>
  <c r="D81" i="107"/>
  <c r="D81" i="111" s="1"/>
  <c r="E81" i="107"/>
  <c r="F81" i="107"/>
  <c r="F81" i="111" s="1"/>
  <c r="G81" i="107"/>
  <c r="G81" i="111" s="1"/>
  <c r="H81" i="107"/>
  <c r="H81" i="111" s="1"/>
  <c r="J81" i="107"/>
  <c r="K81" i="107"/>
  <c r="K81" i="111" s="1"/>
  <c r="L81" i="107"/>
  <c r="M81" i="107"/>
  <c r="N81" i="107"/>
  <c r="N81" i="111" s="1"/>
  <c r="D82" i="107"/>
  <c r="E82" i="107"/>
  <c r="F82" i="107"/>
  <c r="G82" i="107"/>
  <c r="H82" i="107"/>
  <c r="J82" i="107"/>
  <c r="K82" i="107"/>
  <c r="K82" i="111" s="1"/>
  <c r="L82" i="107"/>
  <c r="M82" i="107"/>
  <c r="M82" i="111" s="1"/>
  <c r="N82" i="107"/>
  <c r="D83" i="107"/>
  <c r="E83" i="107"/>
  <c r="F83" i="107"/>
  <c r="F83" i="111" s="1"/>
  <c r="G83" i="107"/>
  <c r="G83" i="111" s="1"/>
  <c r="H83" i="107"/>
  <c r="H83" i="111" s="1"/>
  <c r="J83" i="107"/>
  <c r="J83" i="111" s="1"/>
  <c r="K83" i="107"/>
  <c r="L83" i="107"/>
  <c r="M83" i="107"/>
  <c r="N83" i="107"/>
  <c r="N83" i="111" s="1"/>
  <c r="D84" i="107"/>
  <c r="D84" i="111" s="1"/>
  <c r="E84" i="107"/>
  <c r="F84" i="107"/>
  <c r="G84" i="107"/>
  <c r="H84" i="107"/>
  <c r="J84" i="107"/>
  <c r="K84" i="107"/>
  <c r="AA28" i="107" s="1"/>
  <c r="L84" i="107"/>
  <c r="L84" i="111" s="1"/>
  <c r="M84" i="107"/>
  <c r="N84" i="107"/>
  <c r="N84" i="111" s="1"/>
  <c r="D85" i="107"/>
  <c r="E85" i="107"/>
  <c r="F85" i="107"/>
  <c r="G85" i="107"/>
  <c r="H85" i="107"/>
  <c r="J85" i="107"/>
  <c r="J85" i="111" s="1"/>
  <c r="K85" i="107"/>
  <c r="K85" i="111" s="1"/>
  <c r="L85" i="107"/>
  <c r="L85" i="111" s="1"/>
  <c r="M85" i="107"/>
  <c r="N85" i="107"/>
  <c r="D86" i="107"/>
  <c r="E86" i="107"/>
  <c r="F86" i="107"/>
  <c r="G86" i="107"/>
  <c r="G86" i="111" s="1"/>
  <c r="H86" i="107"/>
  <c r="J86" i="107"/>
  <c r="K86" i="107"/>
  <c r="L86" i="107"/>
  <c r="M86" i="107"/>
  <c r="N86" i="107"/>
  <c r="D87" i="107"/>
  <c r="D87" i="111" s="1"/>
  <c r="E87" i="107"/>
  <c r="F87" i="107"/>
  <c r="F87" i="111" s="1"/>
  <c r="G87" i="107"/>
  <c r="H87" i="107"/>
  <c r="J87" i="107"/>
  <c r="K87" i="107"/>
  <c r="K87" i="111" s="1"/>
  <c r="L87" i="107"/>
  <c r="L87" i="111" s="1"/>
  <c r="M87" i="107"/>
  <c r="N87" i="107"/>
  <c r="N87" i="111" s="1"/>
  <c r="D88" i="107"/>
  <c r="E88" i="107"/>
  <c r="F88" i="107"/>
  <c r="G88" i="107"/>
  <c r="H88" i="107"/>
  <c r="H88" i="111" s="1"/>
  <c r="J88" i="107"/>
  <c r="J88" i="111" s="1"/>
  <c r="K88" i="107"/>
  <c r="L88" i="107"/>
  <c r="L88" i="111" s="1"/>
  <c r="M88" i="107"/>
  <c r="N88" i="107"/>
  <c r="N88" i="111" s="1"/>
  <c r="D89" i="107"/>
  <c r="D89" i="111" s="1"/>
  <c r="E89" i="107"/>
  <c r="F89" i="107"/>
  <c r="F89" i="111" s="1"/>
  <c r="G89" i="107"/>
  <c r="G89" i="111" s="1"/>
  <c r="H89" i="107"/>
  <c r="H89" i="111" s="1"/>
  <c r="J89" i="107"/>
  <c r="K89" i="107"/>
  <c r="K89" i="111" s="1"/>
  <c r="L89" i="107"/>
  <c r="M89" i="107"/>
  <c r="N89" i="107"/>
  <c r="N89" i="111" s="1"/>
  <c r="D90" i="107"/>
  <c r="E90" i="107"/>
  <c r="F90" i="107"/>
  <c r="G90" i="107"/>
  <c r="H90" i="107"/>
  <c r="H90" i="111" s="1"/>
  <c r="J90" i="107"/>
  <c r="K90" i="107"/>
  <c r="K90" i="111" s="1"/>
  <c r="L90" i="107"/>
  <c r="M90" i="107"/>
  <c r="M90" i="111" s="1"/>
  <c r="N90" i="107"/>
  <c r="D91" i="107"/>
  <c r="E91" i="107"/>
  <c r="F91" i="107"/>
  <c r="F91" i="111" s="1"/>
  <c r="G91" i="107"/>
  <c r="G91" i="111" s="1"/>
  <c r="H91" i="107"/>
  <c r="H91" i="111" s="1"/>
  <c r="J91" i="107"/>
  <c r="J91" i="111" s="1"/>
  <c r="K91" i="107"/>
  <c r="L91" i="107"/>
  <c r="M91" i="107"/>
  <c r="N91" i="107"/>
  <c r="N91" i="111" s="1"/>
  <c r="D92" i="107"/>
  <c r="D92" i="111" s="1"/>
  <c r="E92" i="107"/>
  <c r="F92" i="107"/>
  <c r="G92" i="107"/>
  <c r="H92" i="107"/>
  <c r="J92" i="107"/>
  <c r="K92" i="107"/>
  <c r="AA30" i="107" s="1"/>
  <c r="L92" i="107"/>
  <c r="L92" i="111" s="1"/>
  <c r="M92" i="107"/>
  <c r="N92" i="107"/>
  <c r="N92" i="111" s="1"/>
  <c r="D93" i="107"/>
  <c r="E93" i="107"/>
  <c r="F93" i="107"/>
  <c r="G93" i="107"/>
  <c r="H93" i="107"/>
  <c r="J93" i="107"/>
  <c r="J93" i="111" s="1"/>
  <c r="K93" i="107"/>
  <c r="K93" i="111" s="1"/>
  <c r="L93" i="107"/>
  <c r="L93" i="111" s="1"/>
  <c r="M93" i="107"/>
  <c r="N93" i="107"/>
  <c r="D94" i="107"/>
  <c r="E94" i="107"/>
  <c r="F94" i="107"/>
  <c r="G94" i="107"/>
  <c r="G94" i="111" s="1"/>
  <c r="H94" i="107"/>
  <c r="J94" i="107"/>
  <c r="K94" i="107"/>
  <c r="AA31" i="107" s="1"/>
  <c r="L94" i="107"/>
  <c r="M94" i="107"/>
  <c r="N94" i="107"/>
  <c r="D95" i="107"/>
  <c r="D95" i="111" s="1"/>
  <c r="E95" i="107"/>
  <c r="F95" i="107"/>
  <c r="F95" i="111" s="1"/>
  <c r="G95" i="107"/>
  <c r="H95" i="107"/>
  <c r="J95" i="107"/>
  <c r="K95" i="107"/>
  <c r="K95" i="111" s="1"/>
  <c r="L95" i="107"/>
  <c r="L95" i="111" s="1"/>
  <c r="M95" i="107"/>
  <c r="N95" i="107"/>
  <c r="N95" i="111" s="1"/>
  <c r="D96" i="107"/>
  <c r="E96" i="107"/>
  <c r="F96" i="107"/>
  <c r="G96" i="107"/>
  <c r="H96" i="107"/>
  <c r="H96" i="111" s="1"/>
  <c r="J96" i="107"/>
  <c r="J96" i="111" s="1"/>
  <c r="K96" i="107"/>
  <c r="L96" i="107"/>
  <c r="L96" i="111" s="1"/>
  <c r="M96" i="107"/>
  <c r="N96" i="107"/>
  <c r="N96" i="111" s="1"/>
  <c r="D97" i="107"/>
  <c r="D97" i="111" s="1"/>
  <c r="E97" i="107"/>
  <c r="F97" i="107"/>
  <c r="F97" i="111" s="1"/>
  <c r="G97" i="107"/>
  <c r="G97" i="111" s="1"/>
  <c r="H97" i="107"/>
  <c r="H97" i="111" s="1"/>
  <c r="J97" i="107"/>
  <c r="K97" i="107"/>
  <c r="K97" i="111" s="1"/>
  <c r="L97" i="107"/>
  <c r="M97" i="107"/>
  <c r="N97" i="107"/>
  <c r="N97" i="111" s="1"/>
  <c r="D98" i="107"/>
  <c r="D98" i="111" s="1"/>
  <c r="E98" i="107"/>
  <c r="F98" i="107"/>
  <c r="G98" i="107"/>
  <c r="H98" i="107"/>
  <c r="J98" i="107"/>
  <c r="K98" i="107"/>
  <c r="K98" i="111" s="1"/>
  <c r="L98" i="107"/>
  <c r="L98" i="111" s="1"/>
  <c r="M98" i="107"/>
  <c r="M98" i="111" s="1"/>
  <c r="N98" i="107"/>
  <c r="D99" i="107"/>
  <c r="E99" i="107"/>
  <c r="F99" i="107"/>
  <c r="F99" i="111" s="1"/>
  <c r="G99" i="107"/>
  <c r="G99" i="111" s="1"/>
  <c r="H99" i="107"/>
  <c r="H99" i="111" s="1"/>
  <c r="J99" i="107"/>
  <c r="J99" i="111" s="1"/>
  <c r="K99" i="107"/>
  <c r="L99" i="107"/>
  <c r="M99" i="107"/>
  <c r="N99" i="107"/>
  <c r="N99" i="111" s="1"/>
  <c r="D100" i="107"/>
  <c r="D100" i="111" s="1"/>
  <c r="E100" i="107"/>
  <c r="F100" i="107"/>
  <c r="G100" i="107"/>
  <c r="H100" i="107"/>
  <c r="J100" i="107"/>
  <c r="K100" i="107"/>
  <c r="L100" i="107"/>
  <c r="L100" i="111" s="1"/>
  <c r="M100" i="107"/>
  <c r="N100" i="107"/>
  <c r="N100" i="111" s="1"/>
  <c r="D101" i="107"/>
  <c r="E101" i="107"/>
  <c r="F101" i="107"/>
  <c r="G101" i="107"/>
  <c r="H101" i="107"/>
  <c r="J101" i="107"/>
  <c r="J101" i="111" s="1"/>
  <c r="K101" i="107"/>
  <c r="K101" i="111" s="1"/>
  <c r="L101" i="107"/>
  <c r="L101" i="111" s="1"/>
  <c r="M101" i="107"/>
  <c r="N101" i="107"/>
  <c r="D102" i="107"/>
  <c r="E102" i="107"/>
  <c r="F102" i="107"/>
  <c r="G102" i="107"/>
  <c r="G102" i="111" s="1"/>
  <c r="H102" i="107"/>
  <c r="J102" i="107"/>
  <c r="K102" i="107"/>
  <c r="L102" i="107"/>
  <c r="M102" i="107"/>
  <c r="N102" i="107"/>
  <c r="D103" i="107"/>
  <c r="D103" i="111" s="1"/>
  <c r="E103" i="107"/>
  <c r="F103" i="107"/>
  <c r="F103" i="111" s="1"/>
  <c r="G103" i="107"/>
  <c r="H103" i="107"/>
  <c r="J103" i="107"/>
  <c r="K103" i="107"/>
  <c r="K103" i="111" s="1"/>
  <c r="L103" i="107"/>
  <c r="L103" i="111" s="1"/>
  <c r="M103" i="107"/>
  <c r="N103" i="107"/>
  <c r="N103" i="111" s="1"/>
  <c r="D104" i="107"/>
  <c r="E104" i="107"/>
  <c r="F104" i="107"/>
  <c r="G104" i="107"/>
  <c r="H104" i="107"/>
  <c r="H104" i="111" s="1"/>
  <c r="J104" i="107"/>
  <c r="J104" i="111" s="1"/>
  <c r="K104" i="107"/>
  <c r="K104" i="111" s="1"/>
  <c r="L104" i="107"/>
  <c r="L104" i="111" s="1"/>
  <c r="M104" i="107"/>
  <c r="N104" i="107"/>
  <c r="N104" i="111" s="1"/>
  <c r="D105" i="107"/>
  <c r="D105" i="111" s="1"/>
  <c r="E105" i="107"/>
  <c r="F105" i="107"/>
  <c r="F105" i="111" s="1"/>
  <c r="G105" i="107"/>
  <c r="G105" i="111" s="1"/>
  <c r="H105" i="107"/>
  <c r="H105" i="111" s="1"/>
  <c r="J105" i="107"/>
  <c r="K105" i="107"/>
  <c r="L105" i="107"/>
  <c r="M105" i="107"/>
  <c r="N105" i="107"/>
  <c r="N105" i="111" s="1"/>
  <c r="D58" i="107"/>
  <c r="E58" i="107"/>
  <c r="F58" i="107"/>
  <c r="F58" i="111" s="1"/>
  <c r="G58" i="107"/>
  <c r="G58" i="111" s="1"/>
  <c r="H58" i="107"/>
  <c r="H58" i="111" s="1"/>
  <c r="J58" i="107"/>
  <c r="K58" i="107"/>
  <c r="L58" i="107"/>
  <c r="L58" i="111" s="1"/>
  <c r="M58" i="107"/>
  <c r="N58" i="107"/>
  <c r="N58" i="111" s="1"/>
  <c r="U33" i="107"/>
  <c r="W32" i="107"/>
  <c r="W31" i="107"/>
  <c r="U31" i="107"/>
  <c r="W30" i="107"/>
  <c r="U30" i="107"/>
  <c r="AA29" i="107"/>
  <c r="W29" i="107"/>
  <c r="U29" i="107"/>
  <c r="W28" i="107"/>
  <c r="U28" i="107"/>
  <c r="AA27" i="107"/>
  <c r="W27" i="107"/>
  <c r="U27" i="107"/>
  <c r="W26" i="107"/>
  <c r="U26" i="107"/>
  <c r="AB25" i="107"/>
  <c r="U25" i="107"/>
  <c r="AB24" i="107"/>
  <c r="U24" i="107"/>
  <c r="AB23" i="107"/>
  <c r="W23" i="107"/>
  <c r="U23" i="107"/>
  <c r="AB22" i="107"/>
  <c r="Y33" i="108"/>
  <c r="T30" i="108"/>
  <c r="T26" i="108"/>
  <c r="AB25" i="108"/>
  <c r="W23" i="108"/>
  <c r="AB22" i="108"/>
  <c r="T22" i="108"/>
  <c r="S22" i="108"/>
  <c r="M92" i="111" l="1"/>
  <c r="M84" i="111"/>
  <c r="M76" i="111"/>
  <c r="M68" i="111"/>
  <c r="M60" i="111"/>
  <c r="AC30" i="108"/>
  <c r="AC26" i="108"/>
  <c r="M102" i="111"/>
  <c r="M94" i="111"/>
  <c r="M86" i="111"/>
  <c r="M78" i="111"/>
  <c r="M70" i="111"/>
  <c r="M62" i="111"/>
  <c r="AC25" i="107"/>
  <c r="AC32" i="108"/>
  <c r="AC22" i="108"/>
  <c r="M58" i="111"/>
  <c r="AC28" i="108"/>
  <c r="AC24" i="108"/>
  <c r="AC23" i="108"/>
  <c r="M103" i="111"/>
  <c r="M99" i="111"/>
  <c r="M95" i="111"/>
  <c r="M91" i="111"/>
  <c r="M87" i="111"/>
  <c r="M83" i="111"/>
  <c r="M79" i="111"/>
  <c r="M75" i="111"/>
  <c r="M71" i="111"/>
  <c r="M67" i="111"/>
  <c r="AC24" i="111" s="1"/>
  <c r="M63" i="111"/>
  <c r="M59" i="111"/>
  <c r="M105" i="111"/>
  <c r="M101" i="111"/>
  <c r="M97" i="111"/>
  <c r="M93" i="111"/>
  <c r="M89" i="111"/>
  <c r="M85" i="111"/>
  <c r="M81" i="111"/>
  <c r="M77" i="111"/>
  <c r="M73" i="111"/>
  <c r="M69" i="111"/>
  <c r="M65" i="111"/>
  <c r="M61" i="111"/>
  <c r="AC33" i="108"/>
  <c r="AC31" i="108"/>
  <c r="AC29" i="108"/>
  <c r="AC27" i="108"/>
  <c r="AC25" i="108"/>
  <c r="G77" i="111"/>
  <c r="J76" i="111"/>
  <c r="J68" i="111"/>
  <c r="J60" i="111"/>
  <c r="W33" i="108"/>
  <c r="AA32" i="108"/>
  <c r="W29" i="108"/>
  <c r="AB31" i="108"/>
  <c r="X33" i="108"/>
  <c r="AB29" i="108"/>
  <c r="AB27" i="108"/>
  <c r="AB23" i="108"/>
  <c r="H85" i="111"/>
  <c r="D83" i="111"/>
  <c r="H77" i="111"/>
  <c r="D75" i="111"/>
  <c r="H69" i="111"/>
  <c r="D67" i="111"/>
  <c r="H61" i="111"/>
  <c r="K60" i="111"/>
  <c r="D59" i="111"/>
  <c r="X22" i="108"/>
  <c r="AA31" i="108"/>
  <c r="J92" i="111"/>
  <c r="D58" i="111"/>
  <c r="H100" i="111"/>
  <c r="K99" i="111"/>
  <c r="H92" i="111"/>
  <c r="K91" i="111"/>
  <c r="D86" i="111"/>
  <c r="H84" i="111"/>
  <c r="K83" i="111"/>
  <c r="H76" i="111"/>
  <c r="K75" i="111"/>
  <c r="D70" i="111"/>
  <c r="H68" i="111"/>
  <c r="K67" i="111"/>
  <c r="D62" i="111"/>
  <c r="H60" i="111"/>
  <c r="X22" i="111" s="1"/>
  <c r="K59" i="111"/>
  <c r="J100" i="111"/>
  <c r="G93" i="111"/>
  <c r="G85" i="111"/>
  <c r="J95" i="111"/>
  <c r="J79" i="111"/>
  <c r="H101" i="111"/>
  <c r="H93" i="111"/>
  <c r="X30" i="111" s="1"/>
  <c r="G101" i="111"/>
  <c r="J84" i="111"/>
  <c r="L102" i="111"/>
  <c r="J87" i="111"/>
  <c r="L70" i="111"/>
  <c r="L62" i="111"/>
  <c r="AB23" i="111" s="1"/>
  <c r="F104" i="111"/>
  <c r="D101" i="111"/>
  <c r="F100" i="111"/>
  <c r="F96" i="111"/>
  <c r="D93" i="111"/>
  <c r="F92" i="111"/>
  <c r="F88" i="111"/>
  <c r="D85" i="111"/>
  <c r="F84" i="111"/>
  <c r="F80" i="111"/>
  <c r="D77" i="111"/>
  <c r="F76" i="111"/>
  <c r="F72" i="111"/>
  <c r="D69" i="111"/>
  <c r="F68" i="111"/>
  <c r="F64" i="111"/>
  <c r="D61" i="111"/>
  <c r="T22" i="111" s="1"/>
  <c r="F60" i="111"/>
  <c r="D99" i="111"/>
  <c r="J103" i="111"/>
  <c r="L94" i="111"/>
  <c r="AB31" i="111" s="1"/>
  <c r="J71" i="111"/>
  <c r="J63" i="111"/>
  <c r="J58" i="111"/>
  <c r="Z22" i="111" s="1"/>
  <c r="L105" i="111"/>
  <c r="G103" i="111"/>
  <c r="L97" i="111"/>
  <c r="G95" i="111"/>
  <c r="L89" i="111"/>
  <c r="G87" i="111"/>
  <c r="L81" i="111"/>
  <c r="G79" i="111"/>
  <c r="L73" i="111"/>
  <c r="G71" i="111"/>
  <c r="L65" i="111"/>
  <c r="G63" i="111"/>
  <c r="K100" i="111"/>
  <c r="D91" i="111"/>
  <c r="T26" i="111"/>
  <c r="X24" i="111"/>
  <c r="T24" i="111"/>
  <c r="T33" i="108"/>
  <c r="V32" i="108"/>
  <c r="W32" i="108"/>
  <c r="T31" i="108"/>
  <c r="V30" i="108"/>
  <c r="T29" i="108"/>
  <c r="Y28" i="108"/>
  <c r="T27" i="108"/>
  <c r="V26" i="108"/>
  <c r="Y26" i="108"/>
  <c r="AA25" i="108"/>
  <c r="V24" i="108"/>
  <c r="Y24" i="108"/>
  <c r="T23" i="108"/>
  <c r="Y22" i="108"/>
  <c r="T23" i="107"/>
  <c r="X24" i="107"/>
  <c r="AC27" i="107"/>
  <c r="AC29" i="107"/>
  <c r="L99" i="111"/>
  <c r="AB32" i="111" s="1"/>
  <c r="L91" i="111"/>
  <c r="L83" i="111"/>
  <c r="L75" i="111"/>
  <c r="L67" i="111"/>
  <c r="AB24" i="111" s="1"/>
  <c r="L59" i="111"/>
  <c r="AB22" i="111" s="1"/>
  <c r="AC33" i="107"/>
  <c r="AC31" i="107"/>
  <c r="F101" i="111"/>
  <c r="F93" i="111"/>
  <c r="F85" i="111"/>
  <c r="F77" i="111"/>
  <c r="F69" i="111"/>
  <c r="F61" i="111"/>
  <c r="AA33" i="108"/>
  <c r="W30" i="108"/>
  <c r="AA29" i="108"/>
  <c r="W28" i="108"/>
  <c r="AA27" i="108"/>
  <c r="W26" i="108"/>
  <c r="AA23" i="108"/>
  <c r="AC24" i="107"/>
  <c r="T32" i="107"/>
  <c r="N101" i="111"/>
  <c r="N93" i="111"/>
  <c r="N85" i="111"/>
  <c r="N77" i="111"/>
  <c r="N69" i="111"/>
  <c r="AD24" i="111" s="1"/>
  <c r="N61" i="111"/>
  <c r="T25" i="107"/>
  <c r="X30" i="107"/>
  <c r="H103" i="111"/>
  <c r="K102" i="111"/>
  <c r="H95" i="111"/>
  <c r="K94" i="111"/>
  <c r="AA31" i="111" s="1"/>
  <c r="H87" i="111"/>
  <c r="K86" i="111"/>
  <c r="H79" i="111"/>
  <c r="X27" i="111" s="1"/>
  <c r="K78" i="111"/>
  <c r="H71" i="111"/>
  <c r="X25" i="111" s="1"/>
  <c r="K70" i="111"/>
  <c r="H63" i="111"/>
  <c r="X23" i="111" s="1"/>
  <c r="K62" i="111"/>
  <c r="X23" i="107"/>
  <c r="V22" i="107"/>
  <c r="AC28" i="107"/>
  <c r="AA32" i="107"/>
  <c r="AC26" i="107"/>
  <c r="AC23" i="107"/>
  <c r="X25" i="107"/>
  <c r="AC30" i="107"/>
  <c r="AA33" i="107"/>
  <c r="M104" i="111"/>
  <c r="D104" i="111"/>
  <c r="M96" i="111"/>
  <c r="D96" i="111"/>
  <c r="M88" i="111"/>
  <c r="D88" i="111"/>
  <c r="M80" i="111"/>
  <c r="D80" i="111"/>
  <c r="M72" i="111"/>
  <c r="D72" i="111"/>
  <c r="M64" i="111"/>
  <c r="D64" i="111"/>
  <c r="T22" i="107"/>
  <c r="X22" i="107"/>
  <c r="Z22" i="107"/>
  <c r="T24" i="107"/>
  <c r="X27" i="107"/>
  <c r="W33" i="107"/>
  <c r="J105" i="111"/>
  <c r="G98" i="111"/>
  <c r="J97" i="111"/>
  <c r="G90" i="111"/>
  <c r="J89" i="111"/>
  <c r="G82" i="111"/>
  <c r="J81" i="111"/>
  <c r="G74" i="111"/>
  <c r="J73" i="111"/>
  <c r="G66" i="111"/>
  <c r="J65" i="111"/>
  <c r="K72" i="111"/>
  <c r="AA25" i="107"/>
  <c r="AB31" i="107"/>
  <c r="AB33" i="107"/>
  <c r="H102" i="111"/>
  <c r="X33" i="107"/>
  <c r="D102" i="111"/>
  <c r="T33" i="107"/>
  <c r="H98" i="111"/>
  <c r="X32" i="107"/>
  <c r="H94" i="111"/>
  <c r="X31" i="107"/>
  <c r="D94" i="111"/>
  <c r="T31" i="107"/>
  <c r="D90" i="111"/>
  <c r="T30" i="107"/>
  <c r="H86" i="111"/>
  <c r="X29" i="107"/>
  <c r="H82" i="111"/>
  <c r="X28" i="107"/>
  <c r="D82" i="111"/>
  <c r="T28" i="107"/>
  <c r="D78" i="111"/>
  <c r="T27" i="111" s="1"/>
  <c r="T27" i="107"/>
  <c r="H74" i="111"/>
  <c r="X26" i="111" s="1"/>
  <c r="X26" i="107"/>
  <c r="G69" i="111"/>
  <c r="W24" i="107"/>
  <c r="K68" i="111"/>
  <c r="AA24" i="107"/>
  <c r="U22" i="107"/>
  <c r="W25" i="107"/>
  <c r="T26" i="107"/>
  <c r="T29" i="107"/>
  <c r="AB32" i="107"/>
  <c r="G104" i="111"/>
  <c r="G100" i="111"/>
  <c r="L90" i="111"/>
  <c r="AB30" i="107"/>
  <c r="L86" i="111"/>
  <c r="AB29" i="107"/>
  <c r="L82" i="111"/>
  <c r="AB28" i="111" s="1"/>
  <c r="AB28" i="107"/>
  <c r="L78" i="111"/>
  <c r="AB27" i="107"/>
  <c r="L74" i="111"/>
  <c r="AB26" i="111" s="1"/>
  <c r="AB26" i="107"/>
  <c r="K64" i="111"/>
  <c r="AA23" i="107"/>
  <c r="AC22" i="107"/>
  <c r="G61" i="111"/>
  <c r="W22" i="107"/>
  <c r="S33" i="108"/>
  <c r="S31" i="108"/>
  <c r="S30" i="108"/>
  <c r="S29" i="108"/>
  <c r="S28" i="108"/>
  <c r="S27" i="108"/>
  <c r="S26" i="108"/>
  <c r="S25" i="108"/>
  <c r="S23" i="108"/>
  <c r="K96" i="111"/>
  <c r="G96" i="111"/>
  <c r="K92" i="111"/>
  <c r="AA30" i="111" s="1"/>
  <c r="G92" i="111"/>
  <c r="W30" i="111" s="1"/>
  <c r="K88" i="111"/>
  <c r="AA29" i="111" s="1"/>
  <c r="G88" i="111"/>
  <c r="W29" i="111" s="1"/>
  <c r="K84" i="111"/>
  <c r="G84" i="111"/>
  <c r="K80" i="111"/>
  <c r="G80" i="111"/>
  <c r="K76" i="111"/>
  <c r="AA26" i="111" s="1"/>
  <c r="G76" i="111"/>
  <c r="AA22" i="107"/>
  <c r="K58" i="111"/>
  <c r="AD33" i="107"/>
  <c r="N102" i="111"/>
  <c r="AD33" i="111" s="1"/>
  <c r="Z33" i="107"/>
  <c r="J102" i="111"/>
  <c r="V33" i="107"/>
  <c r="F102" i="111"/>
  <c r="AD32" i="107"/>
  <c r="N98" i="111"/>
  <c r="AD32" i="111" s="1"/>
  <c r="Z32" i="107"/>
  <c r="J98" i="111"/>
  <c r="Z32" i="111" s="1"/>
  <c r="V32" i="107"/>
  <c r="F98" i="111"/>
  <c r="V32" i="111" s="1"/>
  <c r="AD31" i="107"/>
  <c r="N94" i="111"/>
  <c r="AD31" i="111" s="1"/>
  <c r="Z31" i="107"/>
  <c r="J94" i="111"/>
  <c r="V31" i="107"/>
  <c r="F94" i="111"/>
  <c r="V31" i="111" s="1"/>
  <c r="AD30" i="107"/>
  <c r="N90" i="111"/>
  <c r="AD30" i="111" s="1"/>
  <c r="Z30" i="107"/>
  <c r="J90" i="111"/>
  <c r="V30" i="107"/>
  <c r="F90" i="111"/>
  <c r="AD29" i="107"/>
  <c r="N86" i="111"/>
  <c r="AD29" i="111" s="1"/>
  <c r="Z29" i="107"/>
  <c r="J86" i="111"/>
  <c r="V29" i="107"/>
  <c r="F86" i="111"/>
  <c r="AD28" i="107"/>
  <c r="N82" i="111"/>
  <c r="AD28" i="111" s="1"/>
  <c r="Z28" i="107"/>
  <c r="J82" i="111"/>
  <c r="Z28" i="111" s="1"/>
  <c r="V28" i="107"/>
  <c r="F82" i="111"/>
  <c r="AD27" i="107"/>
  <c r="N78" i="111"/>
  <c r="AD27" i="111" s="1"/>
  <c r="Z27" i="107"/>
  <c r="J78" i="111"/>
  <c r="V27" i="107"/>
  <c r="F78" i="111"/>
  <c r="V27" i="111" s="1"/>
  <c r="AD26" i="107"/>
  <c r="N74" i="111"/>
  <c r="AD26" i="111" s="1"/>
  <c r="K105" i="111"/>
  <c r="U32" i="107"/>
  <c r="AC32" i="107"/>
  <c r="M100" i="111"/>
  <c r="G72" i="111"/>
  <c r="W25" i="111" s="1"/>
  <c r="G68" i="111"/>
  <c r="G64" i="111"/>
  <c r="W23" i="111" s="1"/>
  <c r="G60" i="111"/>
  <c r="W22" i="111" s="1"/>
  <c r="Z26" i="107"/>
  <c r="J74" i="111"/>
  <c r="Z26" i="111" s="1"/>
  <c r="V26" i="107"/>
  <c r="F74" i="111"/>
  <c r="AD25" i="107"/>
  <c r="Z25" i="107"/>
  <c r="J70" i="111"/>
  <c r="V25" i="107"/>
  <c r="F70" i="111"/>
  <c r="AD24" i="107"/>
  <c r="Z24" i="107"/>
  <c r="J66" i="111"/>
  <c r="Z24" i="111" s="1"/>
  <c r="V24" i="107"/>
  <c r="F66" i="111"/>
  <c r="AD23" i="107"/>
  <c r="Z23" i="107"/>
  <c r="J62" i="111"/>
  <c r="V23" i="107"/>
  <c r="F62" i="111"/>
  <c r="V23" i="111" s="1"/>
  <c r="AD22" i="107"/>
  <c r="N59" i="111"/>
  <c r="AD22" i="111" s="1"/>
  <c r="AA22" i="108"/>
  <c r="W22" i="108"/>
  <c r="AD33" i="108"/>
  <c r="Z33" i="108"/>
  <c r="V33" i="108"/>
  <c r="AD31" i="108"/>
  <c r="Z31" i="108"/>
  <c r="V31" i="108"/>
  <c r="AD29" i="108"/>
  <c r="Z29" i="108"/>
  <c r="V29" i="108"/>
  <c r="AD27" i="108"/>
  <c r="Z27" i="108"/>
  <c r="V27" i="108"/>
  <c r="AD25" i="108"/>
  <c r="Z25" i="108"/>
  <c r="V25" i="108"/>
  <c r="AD23" i="108"/>
  <c r="Z23" i="108"/>
  <c r="V23" i="108"/>
  <c r="Z22" i="108"/>
  <c r="V22" i="108"/>
  <c r="N70" i="111"/>
  <c r="AD25" i="111" s="1"/>
  <c r="N62" i="111"/>
  <c r="AD23" i="111" s="1"/>
  <c r="AC30" i="111" l="1"/>
  <c r="AC27" i="111"/>
  <c r="AC22" i="111"/>
  <c r="AC32" i="111"/>
  <c r="AC28" i="111"/>
  <c r="AC23" i="111"/>
  <c r="AC31" i="111"/>
  <c r="AC26" i="111"/>
  <c r="AC29" i="111"/>
  <c r="AC25" i="111"/>
  <c r="AC33" i="111"/>
  <c r="AB30" i="111"/>
  <c r="AA24" i="111"/>
  <c r="Z27" i="111"/>
  <c r="AB27" i="111"/>
  <c r="X31" i="111"/>
  <c r="V29" i="111"/>
  <c r="V28" i="111"/>
  <c r="Z29" i="111"/>
  <c r="Z33" i="111"/>
  <c r="W27" i="111"/>
  <c r="AA23" i="111"/>
  <c r="AB29" i="111"/>
  <c r="V26" i="111"/>
  <c r="AA27" i="111"/>
  <c r="W31" i="111"/>
  <c r="T30" i="111"/>
  <c r="T23" i="111"/>
  <c r="AB33" i="111"/>
  <c r="AA28" i="111"/>
  <c r="W32" i="111"/>
  <c r="T28" i="111"/>
  <c r="T31" i="111"/>
  <c r="X33" i="111"/>
  <c r="T25" i="111"/>
  <c r="AB25" i="111"/>
  <c r="W28" i="111"/>
  <c r="Z23" i="111"/>
  <c r="V25" i="111"/>
  <c r="V30" i="111"/>
  <c r="Z31" i="111"/>
  <c r="AA22" i="111"/>
  <c r="W33" i="111"/>
  <c r="V22" i="111"/>
  <c r="AA32" i="111"/>
  <c r="X28" i="111"/>
  <c r="Z25" i="111"/>
  <c r="Z30" i="111"/>
  <c r="V33" i="111"/>
  <c r="V24" i="111"/>
  <c r="W24" i="111"/>
  <c r="AA33" i="111"/>
  <c r="X29" i="111"/>
  <c r="X32" i="111"/>
  <c r="AA25" i="111"/>
  <c r="T29" i="111"/>
  <c r="T32" i="111"/>
  <c r="W26" i="111"/>
  <c r="T33" i="111"/>
  <c r="E10" i="107"/>
  <c r="D5" i="110" l="1"/>
  <c r="E58" i="108"/>
  <c r="E59" i="108"/>
  <c r="E60" i="108"/>
  <c r="E61" i="108"/>
  <c r="E62" i="108"/>
  <c r="E63" i="108"/>
  <c r="E64" i="108"/>
  <c r="E65" i="108"/>
  <c r="E66" i="108"/>
  <c r="E67" i="108"/>
  <c r="E68" i="108"/>
  <c r="E69" i="108"/>
  <c r="E70" i="108"/>
  <c r="E71" i="108"/>
  <c r="E72" i="108"/>
  <c r="E73" i="108"/>
  <c r="E74" i="108"/>
  <c r="E75" i="108"/>
  <c r="E76" i="108"/>
  <c r="E77" i="108"/>
  <c r="E78" i="108"/>
  <c r="E79" i="108"/>
  <c r="E80" i="108"/>
  <c r="E81" i="108"/>
  <c r="E82" i="108"/>
  <c r="E83" i="108"/>
  <c r="E84" i="108"/>
  <c r="E85" i="108"/>
  <c r="E86" i="108"/>
  <c r="E87" i="108"/>
  <c r="E88" i="108"/>
  <c r="E89" i="108"/>
  <c r="E90" i="108"/>
  <c r="E91" i="108"/>
  <c r="E92" i="108"/>
  <c r="E93" i="108"/>
  <c r="E94" i="108"/>
  <c r="E95" i="108"/>
  <c r="E96" i="108"/>
  <c r="E97" i="108"/>
  <c r="E98" i="108"/>
  <c r="E99" i="108"/>
  <c r="E100" i="108"/>
  <c r="E101" i="108"/>
  <c r="E102" i="108"/>
  <c r="E103" i="108"/>
  <c r="E104" i="108"/>
  <c r="E105" i="108"/>
  <c r="I11" i="105"/>
  <c r="I12" i="105"/>
  <c r="I13" i="105"/>
  <c r="I14" i="105"/>
  <c r="I15" i="105"/>
  <c r="I16" i="105"/>
  <c r="I17" i="105"/>
  <c r="I18" i="105"/>
  <c r="I19" i="105"/>
  <c r="I20" i="105"/>
  <c r="I21" i="105"/>
  <c r="I22" i="105"/>
  <c r="I23" i="105"/>
  <c r="I24" i="105"/>
  <c r="I25" i="105"/>
  <c r="I26" i="105"/>
  <c r="I27" i="105"/>
  <c r="I28" i="105"/>
  <c r="I29" i="105"/>
  <c r="I30" i="105"/>
  <c r="I31" i="105"/>
  <c r="I32" i="105"/>
  <c r="I33" i="105"/>
  <c r="I34" i="105"/>
  <c r="I35" i="105"/>
  <c r="I36" i="105"/>
  <c r="I37" i="105"/>
  <c r="I38" i="105"/>
  <c r="I39" i="105"/>
  <c r="I40" i="105"/>
  <c r="I41" i="105"/>
  <c r="I42" i="105"/>
  <c r="I43" i="105"/>
  <c r="I44" i="105"/>
  <c r="I45" i="105"/>
  <c r="I46" i="105"/>
  <c r="I47" i="105"/>
  <c r="I48" i="105"/>
  <c r="I49" i="105"/>
  <c r="I50" i="105"/>
  <c r="I51" i="105"/>
  <c r="I52" i="105"/>
  <c r="I53" i="105"/>
  <c r="I54" i="105"/>
  <c r="I55" i="105"/>
  <c r="I56" i="105"/>
  <c r="I57" i="105"/>
  <c r="I58" i="105"/>
  <c r="I58" i="107" s="1"/>
  <c r="I59" i="105"/>
  <c r="I59" i="107" s="1"/>
  <c r="I59" i="111" s="1"/>
  <c r="I60" i="105"/>
  <c r="I60" i="107" s="1"/>
  <c r="I60" i="111" s="1"/>
  <c r="I61" i="105"/>
  <c r="I61" i="107" s="1"/>
  <c r="I61" i="111" s="1"/>
  <c r="I62" i="105"/>
  <c r="I62" i="107" s="1"/>
  <c r="I63" i="105"/>
  <c r="I63" i="107" s="1"/>
  <c r="I63" i="111" s="1"/>
  <c r="I64" i="105"/>
  <c r="I64" i="107" s="1"/>
  <c r="I64" i="111" s="1"/>
  <c r="I65" i="105"/>
  <c r="I65" i="107" s="1"/>
  <c r="I65" i="111" s="1"/>
  <c r="I66" i="105"/>
  <c r="I66" i="107" s="1"/>
  <c r="I67" i="105"/>
  <c r="I67" i="107" s="1"/>
  <c r="I67" i="111" s="1"/>
  <c r="I68" i="105"/>
  <c r="I68" i="107" s="1"/>
  <c r="I68" i="111" s="1"/>
  <c r="I69" i="105"/>
  <c r="I69" i="107" s="1"/>
  <c r="I69" i="111" s="1"/>
  <c r="I70" i="105"/>
  <c r="I70" i="107" s="1"/>
  <c r="I71" i="105"/>
  <c r="I71" i="107" s="1"/>
  <c r="I71" i="111" s="1"/>
  <c r="I72" i="105"/>
  <c r="I72" i="107" s="1"/>
  <c r="I72" i="111" s="1"/>
  <c r="I73" i="105"/>
  <c r="I73" i="107" s="1"/>
  <c r="I73" i="111" s="1"/>
  <c r="I74" i="105"/>
  <c r="I74" i="107" s="1"/>
  <c r="I75" i="105"/>
  <c r="I75" i="107" s="1"/>
  <c r="I75" i="111" s="1"/>
  <c r="I76" i="105"/>
  <c r="I76" i="107" s="1"/>
  <c r="I76" i="111" s="1"/>
  <c r="I77" i="105"/>
  <c r="I77" i="107" s="1"/>
  <c r="I77" i="111" s="1"/>
  <c r="I78" i="105"/>
  <c r="I78" i="107" s="1"/>
  <c r="I79" i="105"/>
  <c r="I79" i="107" s="1"/>
  <c r="I79" i="111" s="1"/>
  <c r="I80" i="105"/>
  <c r="I80" i="107" s="1"/>
  <c r="I80" i="111" s="1"/>
  <c r="I81" i="105"/>
  <c r="I81" i="107" s="1"/>
  <c r="I81" i="111" s="1"/>
  <c r="I82" i="105"/>
  <c r="I82" i="107" s="1"/>
  <c r="I83" i="105"/>
  <c r="I83" i="107" s="1"/>
  <c r="I83" i="111" s="1"/>
  <c r="I84" i="105"/>
  <c r="I84" i="107" s="1"/>
  <c r="I84" i="111" s="1"/>
  <c r="I85" i="105"/>
  <c r="I85" i="107" s="1"/>
  <c r="I85" i="111" s="1"/>
  <c r="I86" i="105"/>
  <c r="I86" i="107" s="1"/>
  <c r="I87" i="105"/>
  <c r="I87" i="107" s="1"/>
  <c r="I87" i="111" s="1"/>
  <c r="I88" i="105"/>
  <c r="I88" i="107" s="1"/>
  <c r="I88" i="111" s="1"/>
  <c r="I89" i="105"/>
  <c r="I89" i="107" s="1"/>
  <c r="I89" i="111" s="1"/>
  <c r="I90" i="105"/>
  <c r="I90" i="107" s="1"/>
  <c r="I91" i="105"/>
  <c r="I91" i="107" s="1"/>
  <c r="I91" i="111" s="1"/>
  <c r="I92" i="105"/>
  <c r="I92" i="107" s="1"/>
  <c r="I92" i="111" s="1"/>
  <c r="I93" i="105"/>
  <c r="I93" i="107" s="1"/>
  <c r="I93" i="111" s="1"/>
  <c r="I94" i="105"/>
  <c r="I94" i="107" s="1"/>
  <c r="I95" i="105"/>
  <c r="I95" i="107" s="1"/>
  <c r="I95" i="111" s="1"/>
  <c r="I96" i="105"/>
  <c r="I96" i="107" s="1"/>
  <c r="I96" i="111" s="1"/>
  <c r="I97" i="105"/>
  <c r="I97" i="107" s="1"/>
  <c r="I97" i="111" s="1"/>
  <c r="I98" i="105"/>
  <c r="I98" i="107" s="1"/>
  <c r="I98" i="111" s="1"/>
  <c r="I99" i="105"/>
  <c r="I99" i="107" s="1"/>
  <c r="I99" i="111" s="1"/>
  <c r="I100" i="105"/>
  <c r="I100" i="107" s="1"/>
  <c r="I100" i="111" s="1"/>
  <c r="I101" i="105"/>
  <c r="I101" i="107" s="1"/>
  <c r="I102" i="105"/>
  <c r="I102" i="107" s="1"/>
  <c r="I103" i="105"/>
  <c r="I103" i="107" s="1"/>
  <c r="I103" i="111" s="1"/>
  <c r="I104" i="105"/>
  <c r="I104" i="107" s="1"/>
  <c r="I104" i="111" s="1"/>
  <c r="I105" i="105"/>
  <c r="I105" i="107" s="1"/>
  <c r="I105" i="111" s="1"/>
  <c r="I10" i="105"/>
  <c r="C67" i="101"/>
  <c r="C67" i="107" s="1"/>
  <c r="C68" i="101"/>
  <c r="C68" i="107" s="1"/>
  <c r="C69" i="101"/>
  <c r="C69" i="107" s="1"/>
  <c r="C70" i="101"/>
  <c r="C70" i="107" s="1"/>
  <c r="C71" i="101"/>
  <c r="C71" i="107" s="1"/>
  <c r="C72" i="101"/>
  <c r="C72" i="107" s="1"/>
  <c r="C73" i="101"/>
  <c r="C73" i="107" s="1"/>
  <c r="C74" i="101"/>
  <c r="C74" i="107" s="1"/>
  <c r="C75" i="101"/>
  <c r="C75" i="107" s="1"/>
  <c r="C76" i="101"/>
  <c r="C76" i="107" s="1"/>
  <c r="C77" i="101"/>
  <c r="C77" i="107" s="1"/>
  <c r="C78" i="101"/>
  <c r="C78" i="107" s="1"/>
  <c r="C79" i="101"/>
  <c r="C79" i="107" s="1"/>
  <c r="C80" i="101"/>
  <c r="C80" i="107" s="1"/>
  <c r="C81" i="101"/>
  <c r="C81" i="107" s="1"/>
  <c r="C82" i="101"/>
  <c r="C82" i="107" s="1"/>
  <c r="C83" i="101"/>
  <c r="C83" i="107" s="1"/>
  <c r="C84" i="101"/>
  <c r="C84" i="107" s="1"/>
  <c r="C85" i="101"/>
  <c r="C85" i="107" s="1"/>
  <c r="C86" i="101"/>
  <c r="C86" i="107" s="1"/>
  <c r="C87" i="101"/>
  <c r="C87" i="107" s="1"/>
  <c r="C88" i="101"/>
  <c r="C88" i="107" s="1"/>
  <c r="C89" i="101"/>
  <c r="C89" i="107" s="1"/>
  <c r="C90" i="101"/>
  <c r="C90" i="107" s="1"/>
  <c r="C91" i="101"/>
  <c r="C91" i="107" s="1"/>
  <c r="C92" i="101"/>
  <c r="C92" i="107" s="1"/>
  <c r="C93" i="101"/>
  <c r="C93" i="107" s="1"/>
  <c r="C94" i="101"/>
  <c r="C94" i="107" s="1"/>
  <c r="C95" i="101"/>
  <c r="C95" i="107" s="1"/>
  <c r="C96" i="101"/>
  <c r="C96" i="107" s="1"/>
  <c r="C97" i="101"/>
  <c r="C97" i="107" s="1"/>
  <c r="C98" i="101"/>
  <c r="C98" i="107" s="1"/>
  <c r="C99" i="101"/>
  <c r="C99" i="107" s="1"/>
  <c r="C100" i="101"/>
  <c r="C100" i="107" s="1"/>
  <c r="C101" i="101"/>
  <c r="C101" i="107" s="1"/>
  <c r="C102" i="101"/>
  <c r="C102" i="107" s="1"/>
  <c r="C103" i="101"/>
  <c r="C103" i="107" s="1"/>
  <c r="C104" i="101"/>
  <c r="C104" i="107" s="1"/>
  <c r="C105" i="101"/>
  <c r="C105" i="107" s="1"/>
  <c r="C64" i="101"/>
  <c r="C64" i="107" s="1"/>
  <c r="C65" i="101"/>
  <c r="C65" i="107" s="1"/>
  <c r="C66" i="101"/>
  <c r="C66" i="107" s="1"/>
  <c r="C11" i="101"/>
  <c r="C12" i="101"/>
  <c r="C13" i="101"/>
  <c r="C14" i="101"/>
  <c r="C15" i="101"/>
  <c r="C16" i="101"/>
  <c r="C17" i="101"/>
  <c r="C18" i="101"/>
  <c r="C19" i="101"/>
  <c r="C20" i="101"/>
  <c r="C21" i="101"/>
  <c r="C22" i="101"/>
  <c r="C23" i="101"/>
  <c r="C24" i="101"/>
  <c r="C25" i="101"/>
  <c r="C26" i="101"/>
  <c r="C27" i="101"/>
  <c r="C28" i="101"/>
  <c r="C29" i="101"/>
  <c r="C30" i="101"/>
  <c r="C31" i="101"/>
  <c r="C32" i="101"/>
  <c r="C33" i="101"/>
  <c r="C34" i="101"/>
  <c r="C35" i="101"/>
  <c r="C36" i="101"/>
  <c r="C37" i="101"/>
  <c r="C38" i="101"/>
  <c r="C39" i="101"/>
  <c r="C40" i="101"/>
  <c r="C41" i="101"/>
  <c r="C42" i="101"/>
  <c r="C43" i="101"/>
  <c r="C44" i="101"/>
  <c r="C45" i="101"/>
  <c r="C46" i="101"/>
  <c r="C47" i="101"/>
  <c r="C48" i="101"/>
  <c r="C49" i="101"/>
  <c r="C50" i="101"/>
  <c r="C51" i="101"/>
  <c r="C52" i="101"/>
  <c r="C53" i="101"/>
  <c r="C54" i="101"/>
  <c r="C55" i="101"/>
  <c r="C56" i="101"/>
  <c r="C57" i="101"/>
  <c r="C58" i="101"/>
  <c r="C58" i="107" s="1"/>
  <c r="C59" i="101"/>
  <c r="C59" i="107" s="1"/>
  <c r="C60" i="101"/>
  <c r="C60" i="107" s="1"/>
  <c r="C61" i="101"/>
  <c r="C61" i="107" s="1"/>
  <c r="C62" i="101"/>
  <c r="C62" i="107" s="1"/>
  <c r="C63" i="101"/>
  <c r="C63" i="107" s="1"/>
  <c r="C10" i="101"/>
  <c r="C11" i="99"/>
  <c r="C12" i="99"/>
  <c r="C13" i="99"/>
  <c r="C14" i="99"/>
  <c r="C15" i="99"/>
  <c r="C16" i="99"/>
  <c r="C17" i="99"/>
  <c r="C18" i="99"/>
  <c r="C19" i="99"/>
  <c r="C20" i="99"/>
  <c r="C21" i="99"/>
  <c r="C22" i="99"/>
  <c r="C23" i="99"/>
  <c r="C24" i="99"/>
  <c r="C25" i="99"/>
  <c r="C26" i="99"/>
  <c r="C27" i="99"/>
  <c r="C28" i="99"/>
  <c r="C29" i="99"/>
  <c r="C30" i="99"/>
  <c r="C31" i="99"/>
  <c r="C32" i="99"/>
  <c r="C33" i="99"/>
  <c r="C34" i="99"/>
  <c r="C35" i="99"/>
  <c r="C36" i="99"/>
  <c r="C37" i="99"/>
  <c r="C38" i="99"/>
  <c r="C39" i="99"/>
  <c r="C40" i="99"/>
  <c r="C41" i="99"/>
  <c r="C42" i="99"/>
  <c r="C43" i="99"/>
  <c r="C44" i="99"/>
  <c r="C45" i="99"/>
  <c r="C46" i="99"/>
  <c r="C47" i="99"/>
  <c r="C48" i="99"/>
  <c r="C49" i="99"/>
  <c r="C50" i="99"/>
  <c r="C51" i="99"/>
  <c r="C52" i="99"/>
  <c r="C53" i="99"/>
  <c r="C54" i="99"/>
  <c r="C55" i="99"/>
  <c r="C56" i="99"/>
  <c r="C57" i="99"/>
  <c r="C10" i="99"/>
  <c r="N11" i="97"/>
  <c r="N12" i="97"/>
  <c r="N13" i="97"/>
  <c r="N14" i="97"/>
  <c r="N15" i="97"/>
  <c r="N16" i="97"/>
  <c r="N17" i="97"/>
  <c r="N18" i="97"/>
  <c r="N19" i="97"/>
  <c r="N20" i="97"/>
  <c r="N21" i="97"/>
  <c r="N22" i="97"/>
  <c r="N23" i="97"/>
  <c r="N24" i="97"/>
  <c r="N25" i="97"/>
  <c r="N26" i="97"/>
  <c r="N27" i="97"/>
  <c r="N28" i="97"/>
  <c r="N29" i="97"/>
  <c r="N30" i="97"/>
  <c r="N31" i="97"/>
  <c r="N32" i="97"/>
  <c r="N33" i="97"/>
  <c r="N34" i="97"/>
  <c r="N35" i="97"/>
  <c r="N36" i="97"/>
  <c r="N37" i="97"/>
  <c r="N38" i="97"/>
  <c r="N39" i="97"/>
  <c r="N40" i="97"/>
  <c r="N41" i="97"/>
  <c r="N42" i="97"/>
  <c r="N43" i="97"/>
  <c r="N44" i="97"/>
  <c r="N45" i="97"/>
  <c r="N46" i="97"/>
  <c r="N47" i="97"/>
  <c r="N48" i="97"/>
  <c r="N49" i="97"/>
  <c r="N50" i="97"/>
  <c r="N51" i="97"/>
  <c r="N52" i="97"/>
  <c r="N53" i="97"/>
  <c r="N54" i="97"/>
  <c r="N55" i="97"/>
  <c r="N56" i="97"/>
  <c r="N57" i="97"/>
  <c r="N10" i="97"/>
  <c r="N11" i="98"/>
  <c r="N12" i="98"/>
  <c r="N13" i="98"/>
  <c r="N14" i="98"/>
  <c r="N15" i="98"/>
  <c r="N16" i="98"/>
  <c r="N17" i="98"/>
  <c r="N18" i="98"/>
  <c r="N19" i="98"/>
  <c r="N20" i="98"/>
  <c r="N21" i="98"/>
  <c r="N22" i="98"/>
  <c r="N23" i="98"/>
  <c r="N24" i="98"/>
  <c r="N25" i="98"/>
  <c r="N26" i="98"/>
  <c r="N27" i="98"/>
  <c r="N28" i="98"/>
  <c r="N29" i="98"/>
  <c r="N30" i="98"/>
  <c r="N31" i="98"/>
  <c r="N32" i="98"/>
  <c r="N33" i="98"/>
  <c r="N34" i="98"/>
  <c r="N35" i="98"/>
  <c r="N36" i="98"/>
  <c r="N37" i="98"/>
  <c r="N38" i="98"/>
  <c r="N39" i="98"/>
  <c r="N40" i="98"/>
  <c r="N41" i="98"/>
  <c r="N42" i="98"/>
  <c r="N43" i="98"/>
  <c r="N44" i="98"/>
  <c r="N45" i="98"/>
  <c r="N46" i="98"/>
  <c r="N47" i="98"/>
  <c r="N48" i="98"/>
  <c r="N49" i="98"/>
  <c r="N50" i="98"/>
  <c r="N51" i="98"/>
  <c r="N52" i="98"/>
  <c r="N53" i="98"/>
  <c r="N54" i="98"/>
  <c r="N55" i="98"/>
  <c r="N56" i="98"/>
  <c r="N57" i="98"/>
  <c r="N10" i="98"/>
  <c r="L11" i="98"/>
  <c r="L12" i="98"/>
  <c r="L13" i="98"/>
  <c r="L14" i="98"/>
  <c r="L15" i="98"/>
  <c r="L16" i="98"/>
  <c r="L17" i="98"/>
  <c r="L18" i="98"/>
  <c r="L19" i="98"/>
  <c r="L20" i="98"/>
  <c r="L21" i="98"/>
  <c r="L22" i="98"/>
  <c r="L23" i="98"/>
  <c r="L24" i="98"/>
  <c r="L25" i="98"/>
  <c r="L26" i="98"/>
  <c r="L27" i="98"/>
  <c r="L28" i="98"/>
  <c r="L29" i="98"/>
  <c r="L30" i="98"/>
  <c r="L31" i="98"/>
  <c r="L32" i="98"/>
  <c r="L33" i="98"/>
  <c r="L34" i="98"/>
  <c r="L35" i="98"/>
  <c r="L36" i="98"/>
  <c r="L37" i="98"/>
  <c r="L38" i="98"/>
  <c r="L39" i="98"/>
  <c r="L40" i="98"/>
  <c r="L41" i="98"/>
  <c r="L42" i="98"/>
  <c r="L43" i="98"/>
  <c r="L44" i="98"/>
  <c r="L45" i="98"/>
  <c r="L46" i="98"/>
  <c r="L47" i="98"/>
  <c r="L48" i="98"/>
  <c r="L49" i="98"/>
  <c r="L50" i="98"/>
  <c r="L51" i="98"/>
  <c r="L52" i="98"/>
  <c r="L53" i="98"/>
  <c r="L54" i="98"/>
  <c r="L55" i="98"/>
  <c r="L56" i="98"/>
  <c r="L57" i="98"/>
  <c r="L10" i="98"/>
  <c r="I11" i="98"/>
  <c r="I12" i="98"/>
  <c r="I13" i="98"/>
  <c r="I14" i="98"/>
  <c r="I15" i="98"/>
  <c r="I16" i="98"/>
  <c r="I17" i="98"/>
  <c r="I18" i="98"/>
  <c r="I19" i="98"/>
  <c r="I20" i="98"/>
  <c r="I21" i="98"/>
  <c r="I22" i="98"/>
  <c r="I23" i="98"/>
  <c r="I24" i="98"/>
  <c r="I25" i="98"/>
  <c r="I26" i="98"/>
  <c r="I27" i="98"/>
  <c r="I28" i="98"/>
  <c r="I29" i="98"/>
  <c r="I30" i="98"/>
  <c r="I31" i="98"/>
  <c r="I32" i="98"/>
  <c r="I33" i="98"/>
  <c r="I34" i="98"/>
  <c r="I35" i="98"/>
  <c r="I36" i="98"/>
  <c r="I37" i="98"/>
  <c r="I38" i="98"/>
  <c r="I39" i="98"/>
  <c r="I40" i="98"/>
  <c r="I41" i="98"/>
  <c r="I42" i="98"/>
  <c r="I43" i="98"/>
  <c r="I44" i="98"/>
  <c r="I45" i="98"/>
  <c r="I46" i="98"/>
  <c r="I47" i="98"/>
  <c r="I48" i="98"/>
  <c r="I49" i="98"/>
  <c r="I50" i="98"/>
  <c r="I51" i="98"/>
  <c r="I52" i="98"/>
  <c r="I53" i="98"/>
  <c r="I54" i="98"/>
  <c r="I55" i="98"/>
  <c r="I56" i="98"/>
  <c r="I57" i="98"/>
  <c r="I10" i="98"/>
  <c r="F11" i="98"/>
  <c r="F12" i="98"/>
  <c r="F13" i="98"/>
  <c r="F14" i="98"/>
  <c r="F15" i="98"/>
  <c r="F16" i="98"/>
  <c r="F17" i="98"/>
  <c r="F18" i="98"/>
  <c r="F19" i="98"/>
  <c r="F20" i="98"/>
  <c r="F21" i="98"/>
  <c r="F22" i="98"/>
  <c r="F23" i="98"/>
  <c r="F24" i="98"/>
  <c r="F25" i="98"/>
  <c r="F26" i="98"/>
  <c r="F27" i="98"/>
  <c r="F28" i="98"/>
  <c r="F29" i="98"/>
  <c r="F30" i="98"/>
  <c r="F31" i="98"/>
  <c r="F32" i="98"/>
  <c r="F33" i="98"/>
  <c r="F34" i="98"/>
  <c r="F35" i="98"/>
  <c r="F36" i="98"/>
  <c r="F37" i="98"/>
  <c r="F38" i="98"/>
  <c r="F39" i="98"/>
  <c r="F40" i="98"/>
  <c r="F41" i="98"/>
  <c r="F42" i="98"/>
  <c r="F43" i="98"/>
  <c r="F44" i="98"/>
  <c r="F45" i="98"/>
  <c r="F46" i="98"/>
  <c r="F47" i="98"/>
  <c r="F48" i="98"/>
  <c r="F49" i="98"/>
  <c r="F50" i="98"/>
  <c r="F51" i="98"/>
  <c r="F52" i="98"/>
  <c r="F53" i="98"/>
  <c r="F54" i="98"/>
  <c r="F55" i="98"/>
  <c r="F56" i="98"/>
  <c r="F57" i="98"/>
  <c r="F10" i="98"/>
  <c r="O10" i="98" s="1"/>
  <c r="M11" i="97"/>
  <c r="M12" i="97"/>
  <c r="M13" i="97"/>
  <c r="M14" i="97"/>
  <c r="M15" i="97"/>
  <c r="M16" i="97"/>
  <c r="M17" i="97"/>
  <c r="M18" i="97"/>
  <c r="M19" i="97"/>
  <c r="M20" i="97"/>
  <c r="M21" i="97"/>
  <c r="M22" i="97"/>
  <c r="M23" i="97"/>
  <c r="M24" i="97"/>
  <c r="M25" i="97"/>
  <c r="M26" i="97"/>
  <c r="M27" i="97"/>
  <c r="M28" i="97"/>
  <c r="M29" i="97"/>
  <c r="M30" i="97"/>
  <c r="M31" i="97"/>
  <c r="M32" i="97"/>
  <c r="M33" i="97"/>
  <c r="M34" i="97"/>
  <c r="M35" i="97"/>
  <c r="M36" i="97"/>
  <c r="M37" i="97"/>
  <c r="M38" i="97"/>
  <c r="M39" i="97"/>
  <c r="M40" i="97"/>
  <c r="M41" i="97"/>
  <c r="M42" i="97"/>
  <c r="M43" i="97"/>
  <c r="M44" i="97"/>
  <c r="M45" i="97"/>
  <c r="M46" i="97"/>
  <c r="M47" i="97"/>
  <c r="M48" i="97"/>
  <c r="M49" i="97"/>
  <c r="M50" i="97"/>
  <c r="M51" i="97"/>
  <c r="M52" i="97"/>
  <c r="M53" i="97"/>
  <c r="M54" i="97"/>
  <c r="M55" i="97"/>
  <c r="M56" i="97"/>
  <c r="M57" i="97"/>
  <c r="M10" i="97"/>
  <c r="I11" i="96"/>
  <c r="I12" i="96"/>
  <c r="I13" i="96"/>
  <c r="O13" i="96" s="1"/>
  <c r="I14" i="96"/>
  <c r="I15" i="96"/>
  <c r="I16" i="96"/>
  <c r="I17" i="96"/>
  <c r="I18" i="96"/>
  <c r="I19" i="96"/>
  <c r="I20" i="96"/>
  <c r="I21" i="96"/>
  <c r="I22" i="96"/>
  <c r="I23" i="96"/>
  <c r="I24" i="96"/>
  <c r="I25" i="96"/>
  <c r="I26" i="96"/>
  <c r="I27" i="96"/>
  <c r="I28" i="96"/>
  <c r="I29" i="96"/>
  <c r="I30" i="96"/>
  <c r="I31" i="96"/>
  <c r="I32" i="96"/>
  <c r="I33" i="96"/>
  <c r="I34" i="96"/>
  <c r="I35" i="96"/>
  <c r="I36" i="96"/>
  <c r="I37" i="96"/>
  <c r="I38" i="96"/>
  <c r="I39" i="96"/>
  <c r="I40" i="96"/>
  <c r="I41" i="96"/>
  <c r="I42" i="96"/>
  <c r="I43" i="96"/>
  <c r="I44" i="96"/>
  <c r="I45" i="96"/>
  <c r="I46" i="96"/>
  <c r="I47" i="96"/>
  <c r="I48" i="96"/>
  <c r="I49" i="96"/>
  <c r="I50" i="96"/>
  <c r="I51" i="96"/>
  <c r="I52" i="96"/>
  <c r="I53" i="96"/>
  <c r="I54" i="96"/>
  <c r="I55" i="96"/>
  <c r="I56" i="96"/>
  <c r="I57" i="96"/>
  <c r="I10" i="96"/>
  <c r="O10" i="96" s="1"/>
  <c r="O10" i="95"/>
  <c r="O11" i="95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7" i="93"/>
  <c r="O28" i="93"/>
  <c r="O29" i="93"/>
  <c r="O30" i="93"/>
  <c r="O31" i="93"/>
  <c r="O32" i="93"/>
  <c r="O33" i="93"/>
  <c r="O34" i="93"/>
  <c r="O35" i="93"/>
  <c r="O36" i="93"/>
  <c r="O37" i="93"/>
  <c r="O38" i="93"/>
  <c r="O39" i="93"/>
  <c r="O40" i="93"/>
  <c r="O41" i="93"/>
  <c r="O42" i="93"/>
  <c r="O43" i="93"/>
  <c r="O44" i="93"/>
  <c r="O45" i="93"/>
  <c r="O46" i="93"/>
  <c r="O47" i="93"/>
  <c r="O48" i="93"/>
  <c r="O49" i="93"/>
  <c r="O50" i="93"/>
  <c r="O51" i="93"/>
  <c r="O52" i="93"/>
  <c r="O53" i="93"/>
  <c r="O54" i="93"/>
  <c r="O55" i="93"/>
  <c r="O56" i="93"/>
  <c r="O57" i="93"/>
  <c r="O10" i="93"/>
  <c r="E12" i="95"/>
  <c r="O12" i="95" s="1"/>
  <c r="E13" i="95"/>
  <c r="O13" i="95" s="1"/>
  <c r="E14" i="95"/>
  <c r="O14" i="95" s="1"/>
  <c r="E15" i="95"/>
  <c r="O15" i="95" s="1"/>
  <c r="E16" i="95"/>
  <c r="O16" i="95" s="1"/>
  <c r="E17" i="95"/>
  <c r="O17" i="95" s="1"/>
  <c r="E18" i="95"/>
  <c r="O18" i="95" s="1"/>
  <c r="E19" i="95"/>
  <c r="O19" i="95" s="1"/>
  <c r="E20" i="95"/>
  <c r="O20" i="95" s="1"/>
  <c r="E21" i="95"/>
  <c r="O21" i="95" s="1"/>
  <c r="E22" i="95"/>
  <c r="O22" i="95" s="1"/>
  <c r="E23" i="95"/>
  <c r="O23" i="95" s="1"/>
  <c r="E24" i="95"/>
  <c r="O24" i="95" s="1"/>
  <c r="E25" i="95"/>
  <c r="O25" i="95" s="1"/>
  <c r="E26" i="95"/>
  <c r="O26" i="95" s="1"/>
  <c r="E27" i="95"/>
  <c r="O27" i="95" s="1"/>
  <c r="E28" i="95"/>
  <c r="O28" i="95" s="1"/>
  <c r="E29" i="95"/>
  <c r="O29" i="95" s="1"/>
  <c r="E30" i="95"/>
  <c r="O30" i="95" s="1"/>
  <c r="E31" i="95"/>
  <c r="O31" i="95" s="1"/>
  <c r="E32" i="95"/>
  <c r="O32" i="95" s="1"/>
  <c r="E33" i="95"/>
  <c r="O33" i="95" s="1"/>
  <c r="E34" i="95"/>
  <c r="O34" i="95" s="1"/>
  <c r="E35" i="95"/>
  <c r="O35" i="95" s="1"/>
  <c r="E36" i="95"/>
  <c r="O36" i="95" s="1"/>
  <c r="E37" i="95"/>
  <c r="O37" i="95" s="1"/>
  <c r="E38" i="95"/>
  <c r="O38" i="95" s="1"/>
  <c r="E39" i="95"/>
  <c r="O39" i="95" s="1"/>
  <c r="E40" i="95"/>
  <c r="O40" i="95" s="1"/>
  <c r="E41" i="95"/>
  <c r="O41" i="95" s="1"/>
  <c r="E42" i="95"/>
  <c r="O42" i="95" s="1"/>
  <c r="E43" i="95"/>
  <c r="O43" i="95" s="1"/>
  <c r="E44" i="95"/>
  <c r="O44" i="95" s="1"/>
  <c r="E45" i="95"/>
  <c r="O45" i="95" s="1"/>
  <c r="E46" i="95"/>
  <c r="O46" i="95" s="1"/>
  <c r="E47" i="95"/>
  <c r="O47" i="95" s="1"/>
  <c r="E48" i="95"/>
  <c r="O48" i="95" s="1"/>
  <c r="E49" i="95"/>
  <c r="O49" i="95" s="1"/>
  <c r="E50" i="95"/>
  <c r="O50" i="95" s="1"/>
  <c r="E51" i="95"/>
  <c r="O51" i="95" s="1"/>
  <c r="E52" i="95"/>
  <c r="O52" i="95" s="1"/>
  <c r="E53" i="95"/>
  <c r="O53" i="95" s="1"/>
  <c r="E54" i="95"/>
  <c r="O54" i="95" s="1"/>
  <c r="E55" i="95"/>
  <c r="O55" i="95" s="1"/>
  <c r="E56" i="95"/>
  <c r="O56" i="95" s="1"/>
  <c r="E57" i="95"/>
  <c r="O57" i="95" s="1"/>
  <c r="C61" i="111" l="1"/>
  <c r="P61" i="107"/>
  <c r="O61" i="107"/>
  <c r="P103" i="107"/>
  <c r="O103" i="107"/>
  <c r="C103" i="111"/>
  <c r="C91" i="111"/>
  <c r="P91" i="107"/>
  <c r="O91" i="107"/>
  <c r="P79" i="107"/>
  <c r="O79" i="107"/>
  <c r="C79" i="111"/>
  <c r="C67" i="111"/>
  <c r="P67" i="107"/>
  <c r="O67" i="107"/>
  <c r="E103" i="111"/>
  <c r="P103" i="108"/>
  <c r="O103" i="108"/>
  <c r="P91" i="108"/>
  <c r="O91" i="108"/>
  <c r="E91" i="111"/>
  <c r="E79" i="111"/>
  <c r="P79" i="108"/>
  <c r="O79" i="108"/>
  <c r="P67" i="108"/>
  <c r="O67" i="108"/>
  <c r="E67" i="111"/>
  <c r="C60" i="111"/>
  <c r="P60" i="107"/>
  <c r="O60" i="107"/>
  <c r="C64" i="111"/>
  <c r="P64" i="107"/>
  <c r="O64" i="107"/>
  <c r="P102" i="107"/>
  <c r="O102" i="107"/>
  <c r="S33" i="107"/>
  <c r="C102" i="111"/>
  <c r="C98" i="111"/>
  <c r="S32" i="107"/>
  <c r="P98" i="107"/>
  <c r="O98" i="107"/>
  <c r="C94" i="111"/>
  <c r="P94" i="107"/>
  <c r="O94" i="107"/>
  <c r="S31" i="107"/>
  <c r="C90" i="111"/>
  <c r="P90" i="107"/>
  <c r="O90" i="107"/>
  <c r="S30" i="107"/>
  <c r="C86" i="111"/>
  <c r="P86" i="107"/>
  <c r="O86" i="107"/>
  <c r="S29" i="107"/>
  <c r="C82" i="111"/>
  <c r="S28" i="107"/>
  <c r="P82" i="107"/>
  <c r="O82" i="107"/>
  <c r="C78" i="111"/>
  <c r="P78" i="107"/>
  <c r="O78" i="107"/>
  <c r="S27" i="107"/>
  <c r="C74" i="111"/>
  <c r="S26" i="107"/>
  <c r="P74" i="107"/>
  <c r="O74" i="107"/>
  <c r="C70" i="111"/>
  <c r="P70" i="107"/>
  <c r="O70" i="107"/>
  <c r="S25" i="107"/>
  <c r="I102" i="111"/>
  <c r="Y33" i="111" s="1"/>
  <c r="Y33" i="107"/>
  <c r="I94" i="111"/>
  <c r="Y31" i="111" s="1"/>
  <c r="Y31" i="107"/>
  <c r="I90" i="111"/>
  <c r="Y30" i="111" s="1"/>
  <c r="Y30" i="107"/>
  <c r="I86" i="111"/>
  <c r="Y29" i="111" s="1"/>
  <c r="Y29" i="107"/>
  <c r="Y28" i="107"/>
  <c r="I82" i="111"/>
  <c r="Y28" i="111" s="1"/>
  <c r="I78" i="111"/>
  <c r="Y27" i="111" s="1"/>
  <c r="Y27" i="107"/>
  <c r="I74" i="111"/>
  <c r="Y26" i="111" s="1"/>
  <c r="Y26" i="107"/>
  <c r="I70" i="111"/>
  <c r="Y25" i="111" s="1"/>
  <c r="Y25" i="107"/>
  <c r="I66" i="111"/>
  <c r="Y24" i="111" s="1"/>
  <c r="Y24" i="107"/>
  <c r="I62" i="111"/>
  <c r="Y23" i="111" s="1"/>
  <c r="Y23" i="107"/>
  <c r="I58" i="111"/>
  <c r="Y22" i="111" s="1"/>
  <c r="Y22" i="107"/>
  <c r="U33" i="108"/>
  <c r="P102" i="108"/>
  <c r="E102" i="111"/>
  <c r="O102" i="108"/>
  <c r="U32" i="108"/>
  <c r="O98" i="108"/>
  <c r="P98" i="108"/>
  <c r="E98" i="111"/>
  <c r="U31" i="108"/>
  <c r="E94" i="111"/>
  <c r="P94" i="108"/>
  <c r="O94" i="108"/>
  <c r="U30" i="108"/>
  <c r="E90" i="111"/>
  <c r="P90" i="108"/>
  <c r="O90" i="108"/>
  <c r="U29" i="108"/>
  <c r="P86" i="108"/>
  <c r="O86" i="108"/>
  <c r="E86" i="111"/>
  <c r="U28" i="108"/>
  <c r="O82" i="108"/>
  <c r="P82" i="108"/>
  <c r="E82" i="111"/>
  <c r="U27" i="108"/>
  <c r="P78" i="108"/>
  <c r="O78" i="108"/>
  <c r="E78" i="111"/>
  <c r="U26" i="108"/>
  <c r="P74" i="108"/>
  <c r="E74" i="111"/>
  <c r="O74" i="108"/>
  <c r="U25" i="108"/>
  <c r="P70" i="108"/>
  <c r="O70" i="108"/>
  <c r="E70" i="111"/>
  <c r="U24" i="108"/>
  <c r="P66" i="108"/>
  <c r="O66" i="108"/>
  <c r="E66" i="111"/>
  <c r="U23" i="108"/>
  <c r="P62" i="108"/>
  <c r="O62" i="108"/>
  <c r="E62" i="111"/>
  <c r="U22" i="108"/>
  <c r="O58" i="108"/>
  <c r="P58" i="108"/>
  <c r="E58" i="111"/>
  <c r="C99" i="111"/>
  <c r="P99" i="107"/>
  <c r="O99" i="107"/>
  <c r="C87" i="111"/>
  <c r="P87" i="107"/>
  <c r="O87" i="107"/>
  <c r="C75" i="111"/>
  <c r="P75" i="107"/>
  <c r="O75" i="107"/>
  <c r="C71" i="111"/>
  <c r="P71" i="107"/>
  <c r="O71" i="107"/>
  <c r="P99" i="108"/>
  <c r="O99" i="108"/>
  <c r="E99" i="111"/>
  <c r="P83" i="108"/>
  <c r="O83" i="108"/>
  <c r="E83" i="111"/>
  <c r="E71" i="111"/>
  <c r="O71" i="108"/>
  <c r="P71" i="108"/>
  <c r="O63" i="108"/>
  <c r="P63" i="108"/>
  <c r="E63" i="111"/>
  <c r="C63" i="111"/>
  <c r="P63" i="107"/>
  <c r="O63" i="107"/>
  <c r="C59" i="111"/>
  <c r="P59" i="107"/>
  <c r="O59" i="107"/>
  <c r="P105" i="107"/>
  <c r="O105" i="107"/>
  <c r="C105" i="111"/>
  <c r="P101" i="107"/>
  <c r="O101" i="107"/>
  <c r="C101" i="111"/>
  <c r="C97" i="111"/>
  <c r="P97" i="107"/>
  <c r="O97" i="107"/>
  <c r="C93" i="111"/>
  <c r="P93" i="107"/>
  <c r="O93" i="107"/>
  <c r="C89" i="111"/>
  <c r="P89" i="107"/>
  <c r="O89" i="107"/>
  <c r="C85" i="111"/>
  <c r="P85" i="107"/>
  <c r="O85" i="107"/>
  <c r="C81" i="111"/>
  <c r="P81" i="107"/>
  <c r="O81" i="107"/>
  <c r="C77" i="111"/>
  <c r="P77" i="107"/>
  <c r="O77" i="107"/>
  <c r="C73" i="111"/>
  <c r="P73" i="107"/>
  <c r="O73" i="107"/>
  <c r="C69" i="111"/>
  <c r="P69" i="107"/>
  <c r="O69" i="107"/>
  <c r="Y32" i="107"/>
  <c r="I101" i="111"/>
  <c r="Y32" i="111" s="1"/>
  <c r="O105" i="108"/>
  <c r="P105" i="108"/>
  <c r="E105" i="111"/>
  <c r="E101" i="111"/>
  <c r="O101" i="108"/>
  <c r="P101" i="108"/>
  <c r="P97" i="108"/>
  <c r="O97" i="108"/>
  <c r="E97" i="111"/>
  <c r="E93" i="111"/>
  <c r="O93" i="108"/>
  <c r="P93" i="108"/>
  <c r="E89" i="111"/>
  <c r="P89" i="108"/>
  <c r="O89" i="108"/>
  <c r="E85" i="111"/>
  <c r="P85" i="108"/>
  <c r="O85" i="108"/>
  <c r="E81" i="111"/>
  <c r="P81" i="108"/>
  <c r="O81" i="108"/>
  <c r="O77" i="108"/>
  <c r="P77" i="108"/>
  <c r="E77" i="111"/>
  <c r="O73" i="108"/>
  <c r="P73" i="108"/>
  <c r="E73" i="111"/>
  <c r="E69" i="111"/>
  <c r="P69" i="108"/>
  <c r="O69" i="108"/>
  <c r="O65" i="108"/>
  <c r="E65" i="111"/>
  <c r="P65" i="108"/>
  <c r="E61" i="111"/>
  <c r="P61" i="108"/>
  <c r="O61" i="108"/>
  <c r="C65" i="111"/>
  <c r="P65" i="107"/>
  <c r="O65" i="107"/>
  <c r="C95" i="111"/>
  <c r="P95" i="107"/>
  <c r="O95" i="107"/>
  <c r="C83" i="111"/>
  <c r="P83" i="107"/>
  <c r="O83" i="107"/>
  <c r="E95" i="111"/>
  <c r="O95" i="108"/>
  <c r="P95" i="108"/>
  <c r="O87" i="108"/>
  <c r="P87" i="108"/>
  <c r="E87" i="111"/>
  <c r="P75" i="108"/>
  <c r="O75" i="108"/>
  <c r="E75" i="111"/>
  <c r="P59" i="108"/>
  <c r="E59" i="111"/>
  <c r="O59" i="108"/>
  <c r="C62" i="111"/>
  <c r="P62" i="107"/>
  <c r="O62" i="107"/>
  <c r="S23" i="107"/>
  <c r="C58" i="111"/>
  <c r="S22" i="107"/>
  <c r="P58" i="107"/>
  <c r="O58" i="107"/>
  <c r="C66" i="111"/>
  <c r="O66" i="107"/>
  <c r="S24" i="107"/>
  <c r="P66" i="107"/>
  <c r="P104" i="107"/>
  <c r="O104" i="107"/>
  <c r="C104" i="111"/>
  <c r="C100" i="111"/>
  <c r="P100" i="107"/>
  <c r="O100" i="107"/>
  <c r="C96" i="111"/>
  <c r="P96" i="107"/>
  <c r="O96" i="107"/>
  <c r="C92" i="111"/>
  <c r="P92" i="107"/>
  <c r="O92" i="107"/>
  <c r="C88" i="111"/>
  <c r="P88" i="107"/>
  <c r="O88" i="107"/>
  <c r="C84" i="111"/>
  <c r="P84" i="107"/>
  <c r="O84" i="107"/>
  <c r="C80" i="111"/>
  <c r="P80" i="107"/>
  <c r="O80" i="107"/>
  <c r="C76" i="111"/>
  <c r="P76" i="107"/>
  <c r="O76" i="107"/>
  <c r="C72" i="111"/>
  <c r="P72" i="107"/>
  <c r="O72" i="107"/>
  <c r="C68" i="111"/>
  <c r="P68" i="107"/>
  <c r="O68" i="107"/>
  <c r="O104" i="108"/>
  <c r="P104" i="108"/>
  <c r="E104" i="111"/>
  <c r="P100" i="108"/>
  <c r="E100" i="111"/>
  <c r="O100" i="108"/>
  <c r="O96" i="108"/>
  <c r="P96" i="108"/>
  <c r="E96" i="111"/>
  <c r="E92" i="111"/>
  <c r="P92" i="108"/>
  <c r="O92" i="108"/>
  <c r="AE30" i="108" s="1"/>
  <c r="O88" i="108"/>
  <c r="P88" i="108"/>
  <c r="E88" i="111"/>
  <c r="E84" i="111"/>
  <c r="P84" i="108"/>
  <c r="O84" i="108"/>
  <c r="E80" i="111"/>
  <c r="O80" i="108"/>
  <c r="P80" i="108"/>
  <c r="E76" i="111"/>
  <c r="P76" i="108"/>
  <c r="O76" i="108"/>
  <c r="O72" i="108"/>
  <c r="E72" i="111"/>
  <c r="P72" i="108"/>
  <c r="E68" i="111"/>
  <c r="P68" i="108"/>
  <c r="O68" i="108"/>
  <c r="O64" i="108"/>
  <c r="E64" i="111"/>
  <c r="P64" i="108"/>
  <c r="P60" i="108"/>
  <c r="E60" i="111"/>
  <c r="O60" i="108"/>
  <c r="L11" i="94"/>
  <c r="O11" i="94" s="1"/>
  <c r="L12" i="94"/>
  <c r="O12" i="94" s="1"/>
  <c r="L13" i="94"/>
  <c r="O13" i="94" s="1"/>
  <c r="L14" i="94"/>
  <c r="O14" i="94" s="1"/>
  <c r="L15" i="94"/>
  <c r="O15" i="94" s="1"/>
  <c r="L16" i="94"/>
  <c r="O16" i="94" s="1"/>
  <c r="L17" i="94"/>
  <c r="O17" i="94" s="1"/>
  <c r="L18" i="94"/>
  <c r="O18" i="94" s="1"/>
  <c r="L19" i="94"/>
  <c r="O19" i="94" s="1"/>
  <c r="L20" i="94"/>
  <c r="O20" i="94" s="1"/>
  <c r="L21" i="94"/>
  <c r="O21" i="94" s="1"/>
  <c r="L22" i="94"/>
  <c r="O22" i="94" s="1"/>
  <c r="L23" i="94"/>
  <c r="O23" i="94" s="1"/>
  <c r="L24" i="94"/>
  <c r="O24" i="94" s="1"/>
  <c r="L25" i="94"/>
  <c r="O25" i="94" s="1"/>
  <c r="L26" i="94"/>
  <c r="O26" i="94" s="1"/>
  <c r="L27" i="94"/>
  <c r="O27" i="94" s="1"/>
  <c r="L28" i="94"/>
  <c r="O28" i="94" s="1"/>
  <c r="L29" i="94"/>
  <c r="O29" i="94" s="1"/>
  <c r="L30" i="94"/>
  <c r="O30" i="94" s="1"/>
  <c r="L31" i="94"/>
  <c r="O31" i="94" s="1"/>
  <c r="L32" i="94"/>
  <c r="O32" i="94" s="1"/>
  <c r="L33" i="94"/>
  <c r="O33" i="94" s="1"/>
  <c r="L34" i="94"/>
  <c r="O34" i="94" s="1"/>
  <c r="L35" i="94"/>
  <c r="O35" i="94" s="1"/>
  <c r="L36" i="94"/>
  <c r="O36" i="94" s="1"/>
  <c r="L37" i="94"/>
  <c r="O37" i="94" s="1"/>
  <c r="L38" i="94"/>
  <c r="O38" i="94" s="1"/>
  <c r="L39" i="94"/>
  <c r="O39" i="94" s="1"/>
  <c r="L40" i="94"/>
  <c r="O40" i="94" s="1"/>
  <c r="L41" i="94"/>
  <c r="O41" i="94" s="1"/>
  <c r="L42" i="94"/>
  <c r="O42" i="94" s="1"/>
  <c r="L43" i="94"/>
  <c r="O43" i="94" s="1"/>
  <c r="L44" i="94"/>
  <c r="O44" i="94" s="1"/>
  <c r="L45" i="94"/>
  <c r="O45" i="94" s="1"/>
  <c r="L46" i="94"/>
  <c r="O46" i="94" s="1"/>
  <c r="L47" i="94"/>
  <c r="O47" i="94" s="1"/>
  <c r="L48" i="94"/>
  <c r="O48" i="94" s="1"/>
  <c r="L49" i="94"/>
  <c r="O49" i="94" s="1"/>
  <c r="L50" i="94"/>
  <c r="O50" i="94" s="1"/>
  <c r="L51" i="94"/>
  <c r="O51" i="94" s="1"/>
  <c r="L52" i="94"/>
  <c r="O52" i="94" s="1"/>
  <c r="L53" i="94"/>
  <c r="O53" i="94" s="1"/>
  <c r="L54" i="94"/>
  <c r="O54" i="94" s="1"/>
  <c r="L55" i="94"/>
  <c r="O55" i="94" s="1"/>
  <c r="L56" i="94"/>
  <c r="O56" i="94" s="1"/>
  <c r="L57" i="94"/>
  <c r="O57" i="94" s="1"/>
  <c r="L10" i="94"/>
  <c r="O10" i="94" s="1"/>
  <c r="AF31" i="107" l="1"/>
  <c r="AE28" i="108"/>
  <c r="AF31" i="108"/>
  <c r="U33" i="111"/>
  <c r="AF25" i="108"/>
  <c r="AF26" i="107"/>
  <c r="AE29" i="107"/>
  <c r="AF26" i="108"/>
  <c r="AE31" i="108"/>
  <c r="AF32" i="107"/>
  <c r="AE33" i="107"/>
  <c r="AE25" i="107"/>
  <c r="P68" i="111"/>
  <c r="O68" i="111"/>
  <c r="O89" i="111"/>
  <c r="P89" i="111"/>
  <c r="P75" i="111"/>
  <c r="O75" i="111"/>
  <c r="AE27" i="108"/>
  <c r="P64" i="111"/>
  <c r="O64" i="111"/>
  <c r="AF23" i="108"/>
  <c r="AE25" i="108"/>
  <c r="AF27" i="108"/>
  <c r="AF28" i="108"/>
  <c r="AE33" i="108"/>
  <c r="P80" i="111"/>
  <c r="O80" i="111"/>
  <c r="AF30" i="107"/>
  <c r="P96" i="111"/>
  <c r="O96" i="111"/>
  <c r="P104" i="111"/>
  <c r="O104" i="111"/>
  <c r="AE23" i="107"/>
  <c r="U22" i="111"/>
  <c r="P95" i="111"/>
  <c r="O95" i="111"/>
  <c r="P69" i="111"/>
  <c r="O69" i="111"/>
  <c r="AE26" i="107"/>
  <c r="AF27" i="107"/>
  <c r="P85" i="111"/>
  <c r="O85" i="111"/>
  <c r="AE30" i="107"/>
  <c r="P71" i="111"/>
  <c r="O71" i="111"/>
  <c r="AF24" i="108"/>
  <c r="U30" i="111"/>
  <c r="U31" i="111"/>
  <c r="AE32" i="108"/>
  <c r="AF33" i="108"/>
  <c r="P70" i="111"/>
  <c r="O70" i="111"/>
  <c r="S25" i="111"/>
  <c r="P74" i="111"/>
  <c r="O74" i="111"/>
  <c r="S26" i="111"/>
  <c r="P78" i="111"/>
  <c r="O78" i="111"/>
  <c r="S27" i="111"/>
  <c r="P82" i="111"/>
  <c r="O82" i="111"/>
  <c r="S28" i="111"/>
  <c r="P86" i="111"/>
  <c r="O86" i="111"/>
  <c r="P90" i="111"/>
  <c r="O90" i="111"/>
  <c r="S30" i="111"/>
  <c r="S31" i="111"/>
  <c r="P94" i="111"/>
  <c r="O94" i="111"/>
  <c r="P98" i="111"/>
  <c r="O98" i="111"/>
  <c r="S32" i="111"/>
  <c r="P91" i="111"/>
  <c r="O91" i="111"/>
  <c r="AE22" i="107"/>
  <c r="P84" i="111"/>
  <c r="O84" i="111"/>
  <c r="P100" i="111"/>
  <c r="O100" i="111"/>
  <c r="AF22" i="108"/>
  <c r="U26" i="111"/>
  <c r="P79" i="111"/>
  <c r="O79" i="111"/>
  <c r="AE22" i="108"/>
  <c r="AF32" i="108"/>
  <c r="P76" i="111"/>
  <c r="O76" i="111"/>
  <c r="P92" i="111"/>
  <c r="O92" i="111"/>
  <c r="AF23" i="107"/>
  <c r="P83" i="111"/>
  <c r="O83" i="111"/>
  <c r="AE29" i="108"/>
  <c r="P81" i="111"/>
  <c r="O81" i="111"/>
  <c r="P97" i="111"/>
  <c r="O97" i="111"/>
  <c r="O105" i="111"/>
  <c r="P105" i="111"/>
  <c r="P63" i="111"/>
  <c r="O63" i="111"/>
  <c r="P99" i="111"/>
  <c r="O99" i="111"/>
  <c r="AE32" i="107"/>
  <c r="S33" i="111"/>
  <c r="P102" i="111"/>
  <c r="O102" i="111"/>
  <c r="P103" i="111"/>
  <c r="O103" i="111"/>
  <c r="AF22" i="107"/>
  <c r="P65" i="111"/>
  <c r="O65" i="111"/>
  <c r="P73" i="111"/>
  <c r="O73" i="111"/>
  <c r="AE24" i="108"/>
  <c r="AF25" i="107"/>
  <c r="AE23" i="108"/>
  <c r="AF30" i="108"/>
  <c r="AF24" i="107"/>
  <c r="P72" i="111"/>
  <c r="O72" i="111"/>
  <c r="AF28" i="107"/>
  <c r="P88" i="111"/>
  <c r="O88" i="111"/>
  <c r="AF33" i="107"/>
  <c r="P66" i="111"/>
  <c r="O66" i="111"/>
  <c r="S24" i="111"/>
  <c r="P58" i="111"/>
  <c r="O58" i="111"/>
  <c r="S22" i="111"/>
  <c r="P62" i="111"/>
  <c r="O62" i="111"/>
  <c r="S23" i="111"/>
  <c r="AE26" i="108"/>
  <c r="AF29" i="108"/>
  <c r="AE24" i="107"/>
  <c r="P77" i="111"/>
  <c r="O77" i="111"/>
  <c r="AE28" i="107"/>
  <c r="AF29" i="107"/>
  <c r="P93" i="111"/>
  <c r="O93" i="111"/>
  <c r="P101" i="111"/>
  <c r="O101" i="111"/>
  <c r="P59" i="111"/>
  <c r="O59" i="111"/>
  <c r="S29" i="111"/>
  <c r="P87" i="111"/>
  <c r="O87" i="111"/>
  <c r="U23" i="111"/>
  <c r="U24" i="111"/>
  <c r="U25" i="111"/>
  <c r="U27" i="111"/>
  <c r="U28" i="111"/>
  <c r="U29" i="111"/>
  <c r="U32" i="111"/>
  <c r="AE27" i="107"/>
  <c r="AE31" i="107"/>
  <c r="P60" i="111"/>
  <c r="O60" i="111"/>
  <c r="P67" i="111"/>
  <c r="O67" i="111"/>
  <c r="P61" i="111"/>
  <c r="O61" i="111"/>
  <c r="C3" i="94"/>
  <c r="AE23" i="111" l="1"/>
  <c r="AF27" i="111"/>
  <c r="AF25" i="111"/>
  <c r="AE27" i="111"/>
  <c r="AF23" i="111"/>
  <c r="AE22" i="111"/>
  <c r="AE25" i="111"/>
  <c r="AE30" i="111"/>
  <c r="AE28" i="111"/>
  <c r="AE31" i="111"/>
  <c r="AF22" i="111"/>
  <c r="AE29" i="111"/>
  <c r="AF31" i="111"/>
  <c r="AF30" i="111"/>
  <c r="AF26" i="111"/>
  <c r="AF32" i="111"/>
  <c r="AF33" i="111"/>
  <c r="AE24" i="111"/>
  <c r="AF29" i="111"/>
  <c r="AE26" i="111"/>
  <c r="AE32" i="111"/>
  <c r="AF28" i="111"/>
  <c r="AE33" i="111"/>
  <c r="AF24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6"/>
  <c r="G6" i="109" s="1"/>
  <c r="G6" i="103"/>
  <c r="G6" i="107" s="1"/>
  <c r="G6" i="105"/>
  <c r="G6" i="101"/>
  <c r="G6" i="99"/>
  <c r="G6" i="95"/>
  <c r="D6" i="104"/>
  <c r="D6" i="108" s="1"/>
  <c r="D6" i="110"/>
  <c r="D6" i="109"/>
  <c r="D6" i="100"/>
  <c r="D6" i="96"/>
  <c r="D6" i="103"/>
  <c r="D6" i="107" s="1"/>
  <c r="D6" i="105"/>
  <c r="D6" i="101"/>
  <c r="D6" i="99"/>
  <c r="D6" i="95"/>
  <c r="D5" i="104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Y19" i="103"/>
  <c r="Y27" i="103" s="1"/>
  <c r="X19" i="103"/>
  <c r="W19" i="103"/>
  <c r="W27" i="103" s="1"/>
  <c r="V19" i="103"/>
  <c r="V27" i="103" s="1"/>
  <c r="U19" i="103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T21" i="101"/>
  <c r="S21" i="101"/>
  <c r="AD20" i="101"/>
  <c r="AC20" i="101"/>
  <c r="AB20" i="101"/>
  <c r="AA20" i="101"/>
  <c r="Z20" i="101"/>
  <c r="Y20" i="101"/>
  <c r="X20" i="101"/>
  <c r="W20" i="101"/>
  <c r="V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T19" i="101"/>
  <c r="S19" i="101"/>
  <c r="AD18" i="101"/>
  <c r="AC18" i="101"/>
  <c r="AB18" i="101"/>
  <c r="AA18" i="101"/>
  <c r="Z18" i="101"/>
  <c r="Y18" i="101"/>
  <c r="X18" i="101"/>
  <c r="W18" i="101"/>
  <c r="V18" i="101"/>
  <c r="T18" i="101"/>
  <c r="S18" i="101"/>
  <c r="AD17" i="101"/>
  <c r="AC17" i="101"/>
  <c r="AB17" i="101"/>
  <c r="AA17" i="101"/>
  <c r="Y17" i="101"/>
  <c r="X17" i="101"/>
  <c r="W17" i="101"/>
  <c r="V17" i="101"/>
  <c r="T17" i="101"/>
  <c r="AD16" i="101"/>
  <c r="AC16" i="101"/>
  <c r="AB16" i="101"/>
  <c r="AA16" i="101"/>
  <c r="Z16" i="101"/>
  <c r="Y16" i="101"/>
  <c r="X16" i="101"/>
  <c r="W16" i="101"/>
  <c r="V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Y19" i="97"/>
  <c r="X19" i="97"/>
  <c r="X27" i="97" s="1"/>
  <c r="W19" i="97"/>
  <c r="V19" i="97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T27" i="97" l="1"/>
  <c r="AB27" i="97"/>
  <c r="Z27" i="103"/>
  <c r="AD39" i="105"/>
  <c r="U24" i="103"/>
  <c r="X27" i="103"/>
  <c r="S39" i="101"/>
  <c r="V39" i="101"/>
  <c r="AA39" i="105"/>
  <c r="Z39" i="105"/>
  <c r="W39" i="105"/>
  <c r="V39" i="105"/>
  <c r="AC39" i="109"/>
  <c r="Y39" i="109"/>
  <c r="U39" i="109"/>
  <c r="AD38" i="101"/>
  <c r="AA39" i="101"/>
  <c r="W27" i="99"/>
  <c r="V27" i="99"/>
  <c r="T27" i="99"/>
  <c r="S27" i="99"/>
  <c r="Z27" i="97"/>
  <c r="V27" i="97"/>
  <c r="AA26" i="95"/>
  <c r="X26" i="98"/>
  <c r="AA27" i="99"/>
  <c r="X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8" i="94"/>
  <c r="K42" i="108"/>
  <c r="AA18" i="108" s="1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AA20" i="108" s="1"/>
  <c r="G50" i="108"/>
  <c r="C50" i="108"/>
  <c r="S20" i="108" s="1"/>
  <c r="K46" i="108"/>
  <c r="G46" i="108"/>
  <c r="W19" i="108" s="1"/>
  <c r="G38" i="108"/>
  <c r="G30" i="108"/>
  <c r="G26" i="108"/>
  <c r="W14" i="108" s="1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AC30" i="101"/>
  <c r="AA30" i="101"/>
  <c r="Y30" i="101"/>
  <c r="W30" i="101"/>
  <c r="AC28" i="101"/>
  <c r="AA28" i="101"/>
  <c r="Y28" i="101"/>
  <c r="W28" i="101"/>
  <c r="AC26" i="101"/>
  <c r="AA26" i="101"/>
  <c r="Y26" i="101"/>
  <c r="W26" i="101"/>
  <c r="AC24" i="101"/>
  <c r="AA24" i="101"/>
  <c r="Y24" i="101"/>
  <c r="W24" i="101"/>
  <c r="AC22" i="101"/>
  <c r="AA22" i="101"/>
  <c r="Y22" i="101"/>
  <c r="W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AC31" i="101"/>
  <c r="AA31" i="101"/>
  <c r="Y31" i="101"/>
  <c r="W31" i="101"/>
  <c r="AC29" i="101"/>
  <c r="AA29" i="101"/>
  <c r="Y29" i="101"/>
  <c r="W29" i="101"/>
  <c r="AC27" i="101"/>
  <c r="AA27" i="101"/>
  <c r="Y27" i="101"/>
  <c r="W27" i="101"/>
  <c r="AC25" i="101"/>
  <c r="AA25" i="101"/>
  <c r="Y25" i="101"/>
  <c r="W25" i="101"/>
  <c r="AC23" i="101"/>
  <c r="AA23" i="101"/>
  <c r="Y23" i="101"/>
  <c r="W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Y17" i="94"/>
  <c r="P22" i="104"/>
  <c r="P23" i="104"/>
  <c r="P24" i="104"/>
  <c r="O30" i="104"/>
  <c r="O34" i="104"/>
  <c r="O38" i="104"/>
  <c r="O42" i="104"/>
  <c r="O46" i="104"/>
  <c r="O50" i="104"/>
  <c r="O54" i="104"/>
  <c r="U15" i="94"/>
  <c r="W17" i="96"/>
  <c r="Z19" i="98"/>
  <c r="AC24" i="103"/>
  <c r="Y19" i="94"/>
  <c r="Y14" i="100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AC39" i="101"/>
  <c r="T14" i="101"/>
  <c r="X14" i="101"/>
  <c r="AB14" i="101"/>
  <c r="W11" i="101"/>
  <c r="Y11" i="101"/>
  <c r="AA11" i="101"/>
  <c r="AC11" i="101"/>
  <c r="T13" i="101"/>
  <c r="X13" i="101"/>
  <c r="AB13" i="101"/>
  <c r="AA12" i="97"/>
  <c r="T12" i="98"/>
  <c r="P21" i="100"/>
  <c r="P23" i="100"/>
  <c r="P24" i="100"/>
  <c r="O34" i="100"/>
  <c r="O42" i="100"/>
  <c r="O50" i="100"/>
  <c r="O54" i="100"/>
  <c r="W13" i="101"/>
  <c r="W35" i="101" s="1"/>
  <c r="Y13" i="101"/>
  <c r="AA13" i="101"/>
  <c r="AA35" i="101" s="1"/>
  <c r="AC13" i="101"/>
  <c r="AC35" i="101" s="1"/>
  <c r="AC11" i="95"/>
  <c r="O38" i="100"/>
  <c r="S17" i="100"/>
  <c r="Y10" i="101"/>
  <c r="AC10" i="101"/>
  <c r="U11" i="97"/>
  <c r="S10" i="101"/>
  <c r="W10" i="101"/>
  <c r="AA10" i="101"/>
  <c r="S11" i="101"/>
  <c r="S12" i="101"/>
  <c r="S13" i="101"/>
  <c r="S14" i="101"/>
  <c r="S36" i="101"/>
  <c r="W36" i="101"/>
  <c r="AA36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S17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S10" i="95"/>
  <c r="U10" i="95"/>
  <c r="W10" i="95"/>
  <c r="Y10" i="95"/>
  <c r="AA10" i="95"/>
  <c r="AC10" i="95"/>
  <c r="W23" i="95"/>
  <c r="AA23" i="95"/>
  <c r="Y24" i="95"/>
  <c r="AA24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S10" i="96"/>
  <c r="U10" i="96"/>
  <c r="W10" i="96"/>
  <c r="Y10" i="96"/>
  <c r="AA10" i="96"/>
  <c r="AC10" i="96"/>
  <c r="O11" i="96"/>
  <c r="O12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P32" i="94"/>
  <c r="P33" i="94"/>
  <c r="P36" i="94"/>
  <c r="P37" i="94"/>
  <c r="P40" i="94"/>
  <c r="P41" i="94"/>
  <c r="P44" i="94"/>
  <c r="P45" i="94"/>
  <c r="P48" i="94"/>
  <c r="P49" i="94"/>
  <c r="P52" i="94"/>
  <c r="P53" i="94"/>
  <c r="P56" i="94"/>
  <c r="P57" i="94"/>
  <c r="P25" i="94"/>
  <c r="T13" i="94"/>
  <c r="P26" i="94"/>
  <c r="T14" i="94"/>
  <c r="H58" i="94"/>
  <c r="C58" i="94"/>
  <c r="P10" i="94"/>
  <c r="U10" i="94"/>
  <c r="Y10" i="94"/>
  <c r="AC10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C11" i="107"/>
  <c r="D11" i="107"/>
  <c r="F11" i="107"/>
  <c r="G11" i="107"/>
  <c r="H11" i="107"/>
  <c r="I11" i="107"/>
  <c r="J11" i="107"/>
  <c r="K11" i="107"/>
  <c r="L11" i="107"/>
  <c r="M11" i="107"/>
  <c r="N11" i="107"/>
  <c r="C12" i="107"/>
  <c r="D12" i="107"/>
  <c r="F12" i="107"/>
  <c r="G12" i="107"/>
  <c r="H12" i="107"/>
  <c r="I12" i="107"/>
  <c r="J12" i="107"/>
  <c r="K12" i="107"/>
  <c r="L12" i="107"/>
  <c r="M12" i="107"/>
  <c r="N12" i="107"/>
  <c r="C13" i="107"/>
  <c r="D13" i="107"/>
  <c r="F13" i="107"/>
  <c r="G13" i="107"/>
  <c r="H13" i="107"/>
  <c r="I13" i="107"/>
  <c r="J13" i="107"/>
  <c r="K13" i="107"/>
  <c r="L13" i="107"/>
  <c r="M13" i="107"/>
  <c r="N13" i="107"/>
  <c r="C14" i="107"/>
  <c r="D14" i="107"/>
  <c r="F14" i="107"/>
  <c r="G14" i="107"/>
  <c r="H14" i="107"/>
  <c r="I14" i="107"/>
  <c r="J14" i="107"/>
  <c r="K14" i="107"/>
  <c r="L14" i="107"/>
  <c r="M14" i="107"/>
  <c r="N14" i="107"/>
  <c r="C15" i="107"/>
  <c r="D15" i="107"/>
  <c r="F15" i="107"/>
  <c r="G15" i="107"/>
  <c r="H15" i="107"/>
  <c r="I15" i="107"/>
  <c r="J15" i="107"/>
  <c r="K15" i="107"/>
  <c r="L15" i="107"/>
  <c r="M15" i="107"/>
  <c r="N15" i="107"/>
  <c r="C16" i="107"/>
  <c r="D16" i="107"/>
  <c r="F16" i="107"/>
  <c r="G16" i="107"/>
  <c r="H16" i="107"/>
  <c r="I16" i="107"/>
  <c r="J16" i="107"/>
  <c r="K16" i="107"/>
  <c r="L16" i="107"/>
  <c r="M16" i="107"/>
  <c r="N16" i="107"/>
  <c r="C17" i="107"/>
  <c r="D17" i="107"/>
  <c r="F17" i="107"/>
  <c r="G17" i="107"/>
  <c r="H17" i="107"/>
  <c r="I17" i="107"/>
  <c r="J17" i="107"/>
  <c r="K17" i="107"/>
  <c r="L17" i="107"/>
  <c r="M17" i="107"/>
  <c r="N17" i="107"/>
  <c r="C18" i="107"/>
  <c r="D18" i="107"/>
  <c r="F18" i="107"/>
  <c r="G18" i="107"/>
  <c r="H18" i="107"/>
  <c r="I18" i="107"/>
  <c r="J18" i="107"/>
  <c r="K18" i="107"/>
  <c r="L18" i="107"/>
  <c r="M18" i="107"/>
  <c r="N18" i="107"/>
  <c r="C19" i="107"/>
  <c r="D19" i="107"/>
  <c r="F19" i="107"/>
  <c r="G19" i="107"/>
  <c r="H19" i="107"/>
  <c r="I19" i="107"/>
  <c r="J19" i="107"/>
  <c r="K19" i="107"/>
  <c r="L19" i="107"/>
  <c r="M19" i="107"/>
  <c r="N19" i="107"/>
  <c r="C20" i="107"/>
  <c r="D20" i="107"/>
  <c r="F20" i="107"/>
  <c r="G20" i="107"/>
  <c r="H20" i="107"/>
  <c r="I20" i="107"/>
  <c r="J20" i="107"/>
  <c r="K20" i="107"/>
  <c r="L20" i="107"/>
  <c r="M20" i="107"/>
  <c r="N20" i="107"/>
  <c r="C21" i="107"/>
  <c r="D21" i="107"/>
  <c r="F21" i="107"/>
  <c r="G21" i="107"/>
  <c r="H21" i="107"/>
  <c r="I21" i="107"/>
  <c r="J21" i="107"/>
  <c r="K21" i="107"/>
  <c r="L21" i="107"/>
  <c r="M21" i="107"/>
  <c r="N21" i="107"/>
  <c r="C22" i="107"/>
  <c r="D22" i="107"/>
  <c r="F22" i="107"/>
  <c r="G22" i="107"/>
  <c r="H22" i="107"/>
  <c r="I22" i="107"/>
  <c r="J22" i="107"/>
  <c r="K22" i="107"/>
  <c r="L22" i="107"/>
  <c r="M22" i="107"/>
  <c r="N22" i="107"/>
  <c r="C23" i="107"/>
  <c r="D23" i="107"/>
  <c r="F23" i="107"/>
  <c r="G23" i="107"/>
  <c r="H23" i="107"/>
  <c r="I23" i="107"/>
  <c r="J23" i="107"/>
  <c r="K23" i="107"/>
  <c r="L23" i="107"/>
  <c r="M23" i="107"/>
  <c r="N23" i="107"/>
  <c r="C24" i="107"/>
  <c r="D24" i="107"/>
  <c r="F24" i="107"/>
  <c r="G24" i="107"/>
  <c r="H24" i="107"/>
  <c r="I24" i="107"/>
  <c r="J24" i="107"/>
  <c r="K24" i="107"/>
  <c r="L24" i="107"/>
  <c r="M24" i="107"/>
  <c r="N24" i="107"/>
  <c r="C25" i="107"/>
  <c r="D25" i="107"/>
  <c r="F25" i="107"/>
  <c r="G25" i="107"/>
  <c r="H25" i="107"/>
  <c r="I25" i="107"/>
  <c r="J25" i="107"/>
  <c r="K25" i="107"/>
  <c r="L25" i="107"/>
  <c r="M25" i="107"/>
  <c r="N25" i="107"/>
  <c r="C26" i="107"/>
  <c r="D26" i="107"/>
  <c r="F26" i="107"/>
  <c r="G26" i="107"/>
  <c r="H26" i="107"/>
  <c r="I26" i="107"/>
  <c r="J26" i="107"/>
  <c r="K26" i="107"/>
  <c r="L26" i="107"/>
  <c r="M26" i="107"/>
  <c r="N26" i="107"/>
  <c r="C27" i="107"/>
  <c r="D27" i="107"/>
  <c r="F27" i="107"/>
  <c r="G27" i="107"/>
  <c r="H27" i="107"/>
  <c r="I27" i="107"/>
  <c r="J27" i="107"/>
  <c r="K27" i="107"/>
  <c r="L27" i="107"/>
  <c r="M27" i="107"/>
  <c r="N27" i="107"/>
  <c r="C28" i="107"/>
  <c r="D28" i="107"/>
  <c r="F28" i="107"/>
  <c r="G28" i="107"/>
  <c r="H28" i="107"/>
  <c r="I28" i="107"/>
  <c r="J28" i="107"/>
  <c r="K28" i="107"/>
  <c r="L28" i="107"/>
  <c r="M28" i="107"/>
  <c r="N28" i="107"/>
  <c r="C29" i="107"/>
  <c r="D29" i="107"/>
  <c r="F29" i="107"/>
  <c r="G29" i="107"/>
  <c r="H29" i="107"/>
  <c r="I29" i="107"/>
  <c r="J29" i="107"/>
  <c r="K29" i="107"/>
  <c r="L29" i="107"/>
  <c r="M29" i="107"/>
  <c r="N29" i="107"/>
  <c r="C30" i="107"/>
  <c r="D30" i="107"/>
  <c r="F30" i="107"/>
  <c r="G30" i="107"/>
  <c r="H30" i="107"/>
  <c r="I30" i="107"/>
  <c r="J30" i="107"/>
  <c r="K30" i="107"/>
  <c r="L30" i="107"/>
  <c r="M30" i="107"/>
  <c r="N30" i="107"/>
  <c r="C31" i="107"/>
  <c r="D31" i="107"/>
  <c r="F31" i="107"/>
  <c r="G31" i="107"/>
  <c r="H31" i="107"/>
  <c r="I31" i="107"/>
  <c r="J31" i="107"/>
  <c r="K31" i="107"/>
  <c r="L31" i="107"/>
  <c r="M31" i="107"/>
  <c r="N31" i="107"/>
  <c r="C32" i="107"/>
  <c r="D32" i="107"/>
  <c r="F32" i="107"/>
  <c r="G32" i="107"/>
  <c r="H32" i="107"/>
  <c r="I32" i="107"/>
  <c r="J32" i="107"/>
  <c r="K32" i="107"/>
  <c r="L32" i="107"/>
  <c r="M32" i="107"/>
  <c r="N32" i="107"/>
  <c r="C33" i="107"/>
  <c r="D33" i="107"/>
  <c r="F33" i="107"/>
  <c r="G33" i="107"/>
  <c r="H33" i="107"/>
  <c r="I33" i="107"/>
  <c r="J33" i="107"/>
  <c r="K33" i="107"/>
  <c r="L33" i="107"/>
  <c r="M33" i="107"/>
  <c r="N33" i="107"/>
  <c r="C34" i="107"/>
  <c r="D34" i="107"/>
  <c r="F34" i="107"/>
  <c r="G34" i="107"/>
  <c r="H34" i="107"/>
  <c r="I34" i="107"/>
  <c r="J34" i="107"/>
  <c r="K34" i="107"/>
  <c r="L34" i="107"/>
  <c r="M34" i="107"/>
  <c r="N34" i="107"/>
  <c r="C35" i="107"/>
  <c r="D35" i="107"/>
  <c r="F35" i="107"/>
  <c r="G35" i="107"/>
  <c r="H35" i="107"/>
  <c r="I35" i="107"/>
  <c r="J35" i="107"/>
  <c r="K35" i="107"/>
  <c r="L35" i="107"/>
  <c r="M35" i="107"/>
  <c r="N35" i="107"/>
  <c r="C36" i="107"/>
  <c r="D36" i="107"/>
  <c r="F36" i="107"/>
  <c r="G36" i="107"/>
  <c r="H36" i="107"/>
  <c r="I36" i="107"/>
  <c r="J36" i="107"/>
  <c r="K36" i="107"/>
  <c r="L36" i="107"/>
  <c r="M36" i="107"/>
  <c r="N36" i="107"/>
  <c r="C37" i="107"/>
  <c r="D37" i="107"/>
  <c r="F37" i="107"/>
  <c r="G37" i="107"/>
  <c r="H37" i="107"/>
  <c r="I37" i="107"/>
  <c r="J37" i="107"/>
  <c r="K37" i="107"/>
  <c r="L37" i="107"/>
  <c r="M37" i="107"/>
  <c r="N37" i="107"/>
  <c r="C38" i="107"/>
  <c r="D38" i="107"/>
  <c r="F38" i="107"/>
  <c r="G38" i="107"/>
  <c r="H38" i="107"/>
  <c r="I38" i="107"/>
  <c r="J38" i="107"/>
  <c r="K38" i="107"/>
  <c r="L38" i="107"/>
  <c r="M38" i="107"/>
  <c r="N38" i="107"/>
  <c r="C39" i="107"/>
  <c r="D39" i="107"/>
  <c r="F39" i="107"/>
  <c r="G39" i="107"/>
  <c r="H39" i="107"/>
  <c r="I39" i="107"/>
  <c r="J39" i="107"/>
  <c r="K39" i="107"/>
  <c r="L39" i="107"/>
  <c r="M39" i="107"/>
  <c r="N39" i="107"/>
  <c r="C40" i="107"/>
  <c r="D40" i="107"/>
  <c r="F40" i="107"/>
  <c r="G40" i="107"/>
  <c r="H40" i="107"/>
  <c r="I40" i="107"/>
  <c r="J40" i="107"/>
  <c r="K40" i="107"/>
  <c r="L40" i="107"/>
  <c r="M40" i="107"/>
  <c r="N40" i="107"/>
  <c r="C41" i="107"/>
  <c r="D41" i="107"/>
  <c r="F41" i="107"/>
  <c r="G41" i="107"/>
  <c r="H41" i="107"/>
  <c r="I41" i="107"/>
  <c r="J41" i="107"/>
  <c r="K41" i="107"/>
  <c r="L41" i="107"/>
  <c r="M41" i="107"/>
  <c r="N41" i="107"/>
  <c r="C42" i="107"/>
  <c r="D42" i="107"/>
  <c r="F42" i="107"/>
  <c r="G42" i="107"/>
  <c r="H42" i="107"/>
  <c r="I42" i="107"/>
  <c r="J42" i="107"/>
  <c r="K42" i="107"/>
  <c r="L42" i="107"/>
  <c r="M42" i="107"/>
  <c r="N42" i="107"/>
  <c r="C43" i="107"/>
  <c r="D43" i="107"/>
  <c r="F43" i="107"/>
  <c r="G43" i="107"/>
  <c r="H43" i="107"/>
  <c r="I43" i="107"/>
  <c r="J43" i="107"/>
  <c r="K43" i="107"/>
  <c r="L43" i="107"/>
  <c r="M43" i="107"/>
  <c r="N43" i="107"/>
  <c r="C44" i="107"/>
  <c r="D44" i="107"/>
  <c r="F44" i="107"/>
  <c r="G44" i="107"/>
  <c r="H44" i="107"/>
  <c r="I44" i="107"/>
  <c r="J44" i="107"/>
  <c r="K44" i="107"/>
  <c r="L44" i="107"/>
  <c r="M44" i="107"/>
  <c r="N44" i="107"/>
  <c r="C45" i="107"/>
  <c r="D45" i="107"/>
  <c r="F45" i="107"/>
  <c r="G45" i="107"/>
  <c r="H45" i="107"/>
  <c r="I45" i="107"/>
  <c r="J45" i="107"/>
  <c r="K45" i="107"/>
  <c r="L45" i="107"/>
  <c r="M45" i="107"/>
  <c r="N45" i="107"/>
  <c r="C46" i="107"/>
  <c r="D46" i="107"/>
  <c r="F46" i="107"/>
  <c r="G46" i="107"/>
  <c r="H46" i="107"/>
  <c r="I46" i="107"/>
  <c r="J46" i="107"/>
  <c r="K46" i="107"/>
  <c r="L46" i="107"/>
  <c r="M46" i="107"/>
  <c r="N46" i="107"/>
  <c r="C47" i="107"/>
  <c r="D47" i="107"/>
  <c r="F47" i="107"/>
  <c r="G47" i="107"/>
  <c r="H47" i="107"/>
  <c r="I47" i="107"/>
  <c r="J47" i="107"/>
  <c r="K47" i="107"/>
  <c r="L47" i="107"/>
  <c r="M47" i="107"/>
  <c r="N47" i="107"/>
  <c r="C48" i="107"/>
  <c r="D48" i="107"/>
  <c r="F48" i="107"/>
  <c r="G48" i="107"/>
  <c r="H48" i="107"/>
  <c r="I48" i="107"/>
  <c r="J48" i="107"/>
  <c r="K48" i="107"/>
  <c r="L48" i="107"/>
  <c r="M48" i="107"/>
  <c r="N48" i="107"/>
  <c r="C49" i="107"/>
  <c r="D49" i="107"/>
  <c r="F49" i="107"/>
  <c r="G49" i="107"/>
  <c r="H49" i="107"/>
  <c r="I49" i="107"/>
  <c r="J49" i="107"/>
  <c r="K49" i="107"/>
  <c r="L49" i="107"/>
  <c r="M49" i="107"/>
  <c r="N49" i="107"/>
  <c r="C50" i="107"/>
  <c r="D50" i="107"/>
  <c r="F50" i="107"/>
  <c r="G50" i="107"/>
  <c r="H50" i="107"/>
  <c r="I50" i="107"/>
  <c r="J50" i="107"/>
  <c r="K50" i="107"/>
  <c r="L50" i="107"/>
  <c r="M50" i="107"/>
  <c r="N50" i="107"/>
  <c r="C51" i="107"/>
  <c r="D51" i="107"/>
  <c r="F51" i="107"/>
  <c r="G51" i="107"/>
  <c r="H51" i="107"/>
  <c r="I51" i="107"/>
  <c r="J51" i="107"/>
  <c r="K51" i="107"/>
  <c r="L51" i="107"/>
  <c r="M51" i="107"/>
  <c r="N51" i="107"/>
  <c r="C52" i="107"/>
  <c r="D52" i="107"/>
  <c r="F52" i="107"/>
  <c r="G52" i="107"/>
  <c r="H52" i="107"/>
  <c r="I52" i="107"/>
  <c r="J52" i="107"/>
  <c r="K52" i="107"/>
  <c r="L52" i="107"/>
  <c r="M52" i="107"/>
  <c r="N52" i="107"/>
  <c r="C53" i="107"/>
  <c r="D53" i="107"/>
  <c r="F53" i="107"/>
  <c r="G53" i="107"/>
  <c r="H53" i="107"/>
  <c r="I53" i="107"/>
  <c r="J53" i="107"/>
  <c r="K53" i="107"/>
  <c r="L53" i="107"/>
  <c r="M53" i="107"/>
  <c r="N53" i="107"/>
  <c r="C54" i="107"/>
  <c r="D54" i="107"/>
  <c r="F54" i="107"/>
  <c r="G54" i="107"/>
  <c r="H54" i="107"/>
  <c r="I54" i="107"/>
  <c r="J54" i="107"/>
  <c r="K54" i="107"/>
  <c r="L54" i="107"/>
  <c r="M54" i="107"/>
  <c r="N54" i="107"/>
  <c r="C55" i="107"/>
  <c r="D55" i="107"/>
  <c r="F55" i="107"/>
  <c r="G55" i="107"/>
  <c r="H55" i="107"/>
  <c r="I55" i="107"/>
  <c r="J55" i="107"/>
  <c r="K55" i="107"/>
  <c r="L55" i="107"/>
  <c r="M55" i="107"/>
  <c r="N55" i="107"/>
  <c r="C56" i="107"/>
  <c r="D56" i="107"/>
  <c r="F56" i="107"/>
  <c r="G56" i="107"/>
  <c r="H56" i="107"/>
  <c r="I56" i="107"/>
  <c r="J56" i="107"/>
  <c r="K56" i="107"/>
  <c r="L56" i="107"/>
  <c r="M56" i="107"/>
  <c r="N56" i="107"/>
  <c r="C57" i="107"/>
  <c r="D57" i="107"/>
  <c r="F57" i="107"/>
  <c r="G57" i="107"/>
  <c r="H57" i="107"/>
  <c r="I57" i="107"/>
  <c r="J57" i="107"/>
  <c r="K57" i="107"/>
  <c r="L57" i="107"/>
  <c r="M57" i="107"/>
  <c r="N57" i="107"/>
  <c r="F10" i="107"/>
  <c r="G10" i="107"/>
  <c r="H10" i="107"/>
  <c r="I10" i="107"/>
  <c r="J10" i="107"/>
  <c r="K10" i="107"/>
  <c r="L10" i="107"/>
  <c r="M10" i="107"/>
  <c r="N10" i="107"/>
  <c r="C10" i="107"/>
  <c r="AC13" i="108" l="1"/>
  <c r="S14" i="108"/>
  <c r="AC21" i="108"/>
  <c r="W21" i="107"/>
  <c r="AA20" i="107"/>
  <c r="W19" i="107"/>
  <c r="AA18" i="107"/>
  <c r="W17" i="107"/>
  <c r="AA16" i="107"/>
  <c r="W15" i="107"/>
  <c r="AA14" i="107"/>
  <c r="W13" i="107"/>
  <c r="AA12" i="107"/>
  <c r="W11" i="107"/>
  <c r="Z15" i="108"/>
  <c r="AB13" i="108"/>
  <c r="AB11" i="108"/>
  <c r="W13" i="108"/>
  <c r="S17" i="108"/>
  <c r="U18" i="108"/>
  <c r="U16" i="108"/>
  <c r="X13" i="108"/>
  <c r="U13" i="108"/>
  <c r="Y20" i="108"/>
  <c r="U21" i="108"/>
  <c r="AA21" i="107"/>
  <c r="AA39" i="107" s="1"/>
  <c r="AA19" i="107"/>
  <c r="W18" i="107"/>
  <c r="AA17" i="107"/>
  <c r="W16" i="107"/>
  <c r="AA15" i="107"/>
  <c r="W14" i="107"/>
  <c r="W38" i="107" s="1"/>
  <c r="AA13" i="107"/>
  <c r="W12" i="107"/>
  <c r="AA11" i="107"/>
  <c r="AB12" i="108"/>
  <c r="AA21" i="108"/>
  <c r="S18" i="108"/>
  <c r="AA15" i="108"/>
  <c r="Y15" i="108"/>
  <c r="W20" i="107"/>
  <c r="M106" i="107"/>
  <c r="AC10" i="107"/>
  <c r="L106" i="108"/>
  <c r="AB10" i="108"/>
  <c r="Z18" i="108"/>
  <c r="Z17" i="108"/>
  <c r="Z16" i="108"/>
  <c r="Z14" i="108"/>
  <c r="V13" i="108"/>
  <c r="J106" i="108"/>
  <c r="Z10" i="108"/>
  <c r="AA17" i="108"/>
  <c r="AC14" i="108"/>
  <c r="AA12" i="108"/>
  <c r="S12" i="108"/>
  <c r="AA11" i="108"/>
  <c r="S11" i="108"/>
  <c r="G106" i="108"/>
  <c r="W10" i="108"/>
  <c r="Z21" i="108"/>
  <c r="Z20" i="108"/>
  <c r="Z19" i="108"/>
  <c r="AD12" i="108"/>
  <c r="Z11" i="108"/>
  <c r="AA35" i="107"/>
  <c r="AA38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C106" i="108"/>
  <c r="S10" i="108"/>
  <c r="X18" i="108"/>
  <c r="X17" i="108"/>
  <c r="X16" i="108"/>
  <c r="X15" i="108"/>
  <c r="X14" i="108"/>
  <c r="X38" i="108" s="1"/>
  <c r="X12" i="108"/>
  <c r="X11" i="108"/>
  <c r="AA19" i="108"/>
  <c r="S21" i="108"/>
  <c r="V11" i="108"/>
  <c r="S19" i="108"/>
  <c r="F106" i="108"/>
  <c r="V10" i="108"/>
  <c r="AC19" i="108"/>
  <c r="Y19" i="108"/>
  <c r="AC18" i="108"/>
  <c r="Y17" i="108"/>
  <c r="AC16" i="108"/>
  <c r="U15" i="108"/>
  <c r="Y14" i="108"/>
  <c r="Y12" i="108"/>
  <c r="Y11" i="108"/>
  <c r="M106" i="108"/>
  <c r="AC10" i="108"/>
  <c r="E106" i="108"/>
  <c r="U10" i="108"/>
  <c r="X21" i="108"/>
  <c r="X20" i="108"/>
  <c r="X19" i="108"/>
  <c r="AD13" i="108"/>
  <c r="Z12" i="108"/>
  <c r="I106" i="107"/>
  <c r="Y10" i="107"/>
  <c r="AA36" i="107"/>
  <c r="L106" i="107"/>
  <c r="AB10" i="107"/>
  <c r="AD21" i="107"/>
  <c r="C106" i="107"/>
  <c r="S10" i="107"/>
  <c r="K106" i="107"/>
  <c r="AA10" i="107"/>
  <c r="G106" i="107"/>
  <c r="W10" i="107"/>
  <c r="AC21" i="107"/>
  <c r="Y21" i="107"/>
  <c r="T21" i="107"/>
  <c r="AC20" i="107"/>
  <c r="Y20" i="107"/>
  <c r="T20" i="107"/>
  <c r="AC19" i="107"/>
  <c r="Y19" i="107"/>
  <c r="T19" i="107"/>
  <c r="AC18" i="107"/>
  <c r="Y18" i="107"/>
  <c r="T18" i="107"/>
  <c r="AC17" i="107"/>
  <c r="Y17" i="107"/>
  <c r="T17" i="107"/>
  <c r="AC16" i="107"/>
  <c r="Y16" i="107"/>
  <c r="T16" i="107"/>
  <c r="AC15" i="107"/>
  <c r="Y15" i="107"/>
  <c r="T15" i="107"/>
  <c r="AC14" i="107"/>
  <c r="Y14" i="107"/>
  <c r="T14" i="107"/>
  <c r="AC13" i="107"/>
  <c r="Y13" i="107"/>
  <c r="T13" i="107"/>
  <c r="AC12" i="107"/>
  <c r="Y12" i="107"/>
  <c r="T12" i="107"/>
  <c r="AC11" i="107"/>
  <c r="Y11" i="107"/>
  <c r="T11" i="107"/>
  <c r="D106" i="108"/>
  <c r="T10" i="108"/>
  <c r="V19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W15" i="108"/>
  <c r="W21" i="108"/>
  <c r="AA13" i="108"/>
  <c r="S13" i="108"/>
  <c r="U20" i="108"/>
  <c r="AC20" i="108"/>
  <c r="AC36" i="108" s="1"/>
  <c r="AA16" i="108"/>
  <c r="U19" i="108"/>
  <c r="Y18" i="108"/>
  <c r="U17" i="108"/>
  <c r="Y16" i="108"/>
  <c r="U14" i="108"/>
  <c r="W12" i="108"/>
  <c r="W11" i="108"/>
  <c r="K106" i="108"/>
  <c r="AA10" i="108"/>
  <c r="AD21" i="108"/>
  <c r="V21" i="108"/>
  <c r="AD20" i="108"/>
  <c r="V20" i="108"/>
  <c r="AD19" i="108"/>
  <c r="Z13" i="108"/>
  <c r="W36" i="107"/>
  <c r="W39" i="107"/>
  <c r="H106" i="107"/>
  <c r="X10" i="107"/>
  <c r="Z21" i="107"/>
  <c r="N106" i="107"/>
  <c r="AD10" i="107"/>
  <c r="J106" i="107"/>
  <c r="Z10" i="107"/>
  <c r="F106" i="107"/>
  <c r="V10" i="107"/>
  <c r="AB21" i="107"/>
  <c r="X21" i="107"/>
  <c r="S21" i="107"/>
  <c r="AB20" i="107"/>
  <c r="X20" i="107"/>
  <c r="S20" i="107"/>
  <c r="AB19" i="107"/>
  <c r="X19" i="107"/>
  <c r="S19" i="107"/>
  <c r="AB18" i="107"/>
  <c r="X18" i="107"/>
  <c r="S18" i="107"/>
  <c r="AB17" i="107"/>
  <c r="X17" i="107"/>
  <c r="S17" i="107"/>
  <c r="AB16" i="107"/>
  <c r="X16" i="107"/>
  <c r="S16" i="107"/>
  <c r="AB15" i="107"/>
  <c r="X15" i="107"/>
  <c r="S15" i="107"/>
  <c r="AB14" i="107"/>
  <c r="X14" i="107"/>
  <c r="S14" i="107"/>
  <c r="AB13" i="107"/>
  <c r="X13" i="107"/>
  <c r="S13" i="107"/>
  <c r="AB12" i="107"/>
  <c r="X12" i="107"/>
  <c r="S12" i="107"/>
  <c r="AB11" i="107"/>
  <c r="X11" i="107"/>
  <c r="S11" i="107"/>
  <c r="H106" i="108"/>
  <c r="X10" i="108"/>
  <c r="AB18" i="108"/>
  <c r="T18" i="108"/>
  <c r="AB17" i="108"/>
  <c r="T17" i="108"/>
  <c r="AB16" i="108"/>
  <c r="T16" i="108"/>
  <c r="AB15" i="108"/>
  <c r="T15" i="108"/>
  <c r="AB14" i="108"/>
  <c r="T14" i="108"/>
  <c r="W17" i="108"/>
  <c r="W20" i="108"/>
  <c r="W36" i="108" s="1"/>
  <c r="Y13" i="108"/>
  <c r="S15" i="108"/>
  <c r="N106" i="108"/>
  <c r="AD10" i="108"/>
  <c r="S16" i="108"/>
  <c r="W18" i="108"/>
  <c r="AC17" i="108"/>
  <c r="W16" i="108"/>
  <c r="AC15" i="108"/>
  <c r="AC12" i="108"/>
  <c r="U12" i="108"/>
  <c r="AC11" i="108"/>
  <c r="U11" i="108"/>
  <c r="I106" i="108"/>
  <c r="Y10" i="108"/>
  <c r="AB21" i="108"/>
  <c r="T21" i="108"/>
  <c r="AB20" i="108"/>
  <c r="T20" i="108"/>
  <c r="AB19" i="108"/>
  <c r="AD11" i="108"/>
  <c r="U38" i="110"/>
  <c r="V39" i="109"/>
  <c r="S38" i="110"/>
  <c r="Y38" i="105"/>
  <c r="U38" i="109"/>
  <c r="X36" i="101"/>
  <c r="AD26" i="97"/>
  <c r="Z26" i="95"/>
  <c r="S38" i="105"/>
  <c r="S35" i="110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M57" i="111"/>
  <c r="I57" i="111"/>
  <c r="G57" i="111"/>
  <c r="M56" i="111"/>
  <c r="K56" i="111"/>
  <c r="I56" i="111"/>
  <c r="C56" i="111"/>
  <c r="G55" i="111"/>
  <c r="K54" i="111"/>
  <c r="I54" i="111"/>
  <c r="G54" i="111"/>
  <c r="I53" i="111"/>
  <c r="G53" i="111"/>
  <c r="M52" i="111"/>
  <c r="K52" i="111"/>
  <c r="C52" i="111"/>
  <c r="M51" i="111"/>
  <c r="G51" i="111"/>
  <c r="M50" i="111"/>
  <c r="K50" i="111"/>
  <c r="C50" i="111"/>
  <c r="M49" i="111"/>
  <c r="K49" i="111"/>
  <c r="I49" i="111"/>
  <c r="C49" i="111"/>
  <c r="M48" i="111"/>
  <c r="I48" i="111"/>
  <c r="G48" i="111"/>
  <c r="K47" i="111"/>
  <c r="C47" i="111"/>
  <c r="G46" i="111"/>
  <c r="K45" i="111"/>
  <c r="G45" i="111"/>
  <c r="C45" i="111"/>
  <c r="K44" i="111"/>
  <c r="G44" i="111"/>
  <c r="C44" i="111"/>
  <c r="K43" i="111"/>
  <c r="G43" i="111"/>
  <c r="C43" i="111"/>
  <c r="K42" i="111"/>
  <c r="I42" i="111"/>
  <c r="C42" i="111"/>
  <c r="K41" i="111"/>
  <c r="G41" i="111"/>
  <c r="C41" i="111"/>
  <c r="K40" i="111"/>
  <c r="G40" i="111"/>
  <c r="C40" i="111"/>
  <c r="K39" i="111"/>
  <c r="G39" i="111"/>
  <c r="C39" i="111"/>
  <c r="K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M28" i="111"/>
  <c r="I28" i="111"/>
  <c r="M27" i="111"/>
  <c r="I27" i="111"/>
  <c r="M26" i="111"/>
  <c r="K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C57" i="111"/>
  <c r="G56" i="111"/>
  <c r="M55" i="111"/>
  <c r="K55" i="111"/>
  <c r="I55" i="111"/>
  <c r="C55" i="111"/>
  <c r="M54" i="111"/>
  <c r="C54" i="111"/>
  <c r="M53" i="111"/>
  <c r="K53" i="111"/>
  <c r="C53" i="111"/>
  <c r="I52" i="111"/>
  <c r="G52" i="111"/>
  <c r="K51" i="111"/>
  <c r="I51" i="111"/>
  <c r="C51" i="111"/>
  <c r="I50" i="111"/>
  <c r="G50" i="111"/>
  <c r="G49" i="111"/>
  <c r="K48" i="111"/>
  <c r="C48" i="111"/>
  <c r="M47" i="111"/>
  <c r="I47" i="111"/>
  <c r="G47" i="111"/>
  <c r="M46" i="111"/>
  <c r="K46" i="111"/>
  <c r="I46" i="111"/>
  <c r="C46" i="111"/>
  <c r="M45" i="111"/>
  <c r="I45" i="111"/>
  <c r="M44" i="111"/>
  <c r="I44" i="111"/>
  <c r="M43" i="111"/>
  <c r="I43" i="111"/>
  <c r="M42" i="111"/>
  <c r="G42" i="111"/>
  <c r="M41" i="111"/>
  <c r="I41" i="111"/>
  <c r="M40" i="111"/>
  <c r="I40" i="111"/>
  <c r="M39" i="111"/>
  <c r="I39" i="111"/>
  <c r="M38" i="111"/>
  <c r="I38" i="111"/>
  <c r="G38" i="111"/>
  <c r="M37" i="111"/>
  <c r="W27" i="94"/>
  <c r="S26" i="94"/>
  <c r="U23" i="97"/>
  <c r="AA27" i="94"/>
  <c r="U27" i="95"/>
  <c r="U24" i="95"/>
  <c r="I37" i="111"/>
  <c r="M36" i="111"/>
  <c r="I36" i="111"/>
  <c r="M35" i="111"/>
  <c r="I35" i="111"/>
  <c r="M34" i="111"/>
  <c r="G34" i="111"/>
  <c r="C34" i="111"/>
  <c r="M33" i="111"/>
  <c r="I33" i="111"/>
  <c r="M32" i="111"/>
  <c r="I32" i="111"/>
  <c r="M31" i="111"/>
  <c r="I31" i="111"/>
  <c r="M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M24" i="111"/>
  <c r="I24" i="111"/>
  <c r="M23" i="111"/>
  <c r="I23" i="111"/>
  <c r="M22" i="111"/>
  <c r="I22" i="111"/>
  <c r="M21" i="111"/>
  <c r="I21" i="111"/>
  <c r="M20" i="111"/>
  <c r="I20" i="111"/>
  <c r="M19" i="111"/>
  <c r="I19" i="111"/>
  <c r="M18" i="111"/>
  <c r="I18" i="111"/>
  <c r="M17" i="111"/>
  <c r="I17" i="111"/>
  <c r="M16" i="111"/>
  <c r="I16" i="111"/>
  <c r="M15" i="111"/>
  <c r="I15" i="111"/>
  <c r="M14" i="111"/>
  <c r="I14" i="111"/>
  <c r="M13" i="111"/>
  <c r="I13" i="111"/>
  <c r="M12" i="111"/>
  <c r="I12" i="111"/>
  <c r="M11" i="111"/>
  <c r="I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AC35" i="105"/>
  <c r="U38" i="105"/>
  <c r="AB38" i="105"/>
  <c r="T38" i="105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Y24" i="99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AD41" i="101"/>
  <c r="Z41" i="101"/>
  <c r="AA41" i="101"/>
  <c r="Y41" i="101"/>
  <c r="S41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X23" i="99"/>
  <c r="X25" i="100"/>
  <c r="AA25" i="100"/>
  <c r="S24" i="100"/>
  <c r="AB40" i="101"/>
  <c r="AB37" i="101"/>
  <c r="AB34" i="101"/>
  <c r="X40" i="101"/>
  <c r="X37" i="101"/>
  <c r="X34" i="101"/>
  <c r="T40" i="101"/>
  <c r="T37" i="101"/>
  <c r="T34" i="101"/>
  <c r="S38" i="101"/>
  <c r="S35" i="101"/>
  <c r="W40" i="101"/>
  <c r="W37" i="101"/>
  <c r="W34" i="101"/>
  <c r="AC40" i="101"/>
  <c r="AC37" i="101"/>
  <c r="AC34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M58" i="93"/>
  <c r="C58" i="93"/>
  <c r="AC19" i="111" l="1"/>
  <c r="AC21" i="111"/>
  <c r="U39" i="108"/>
  <c r="V12" i="111"/>
  <c r="T39" i="108"/>
  <c r="AF12" i="108"/>
  <c r="AE21" i="108"/>
  <c r="W18" i="111"/>
  <c r="W35" i="111" s="1"/>
  <c r="Y36" i="108"/>
  <c r="W16" i="111"/>
  <c r="AB38" i="108"/>
  <c r="W15" i="111"/>
  <c r="W37" i="108"/>
  <c r="AF21" i="108"/>
  <c r="AF14" i="108"/>
  <c r="S21" i="111"/>
  <c r="AB12" i="111"/>
  <c r="T36" i="108"/>
  <c r="Y39" i="107"/>
  <c r="Y11" i="111"/>
  <c r="AD16" i="111"/>
  <c r="AD20" i="111"/>
  <c r="Y14" i="111"/>
  <c r="AC35" i="108"/>
  <c r="U36" i="108"/>
  <c r="Y13" i="111"/>
  <c r="AD12" i="111"/>
  <c r="W17" i="111"/>
  <c r="Z11" i="111"/>
  <c r="X35" i="108"/>
  <c r="W14" i="111"/>
  <c r="AD14" i="111"/>
  <c r="S15" i="111"/>
  <c r="S16" i="111"/>
  <c r="Y17" i="111"/>
  <c r="S19" i="111"/>
  <c r="AB11" i="111"/>
  <c r="AC36" i="107"/>
  <c r="Y12" i="111"/>
  <c r="AD18" i="111"/>
  <c r="W12" i="111"/>
  <c r="AF16" i="108"/>
  <c r="AE19" i="108"/>
  <c r="AC15" i="111"/>
  <c r="AC17" i="111"/>
  <c r="AC18" i="111"/>
  <c r="Y19" i="111"/>
  <c r="AB13" i="111"/>
  <c r="AD15" i="111"/>
  <c r="AD17" i="111"/>
  <c r="AD19" i="111"/>
  <c r="AD39" i="111" s="1"/>
  <c r="AD21" i="111"/>
  <c r="W11" i="111"/>
  <c r="W13" i="111"/>
  <c r="W35" i="107"/>
  <c r="Y39" i="108"/>
  <c r="W38" i="108"/>
  <c r="AE16" i="108"/>
  <c r="AF18" i="108"/>
  <c r="AF11" i="108"/>
  <c r="AE13" i="108"/>
  <c r="AF17" i="108"/>
  <c r="AC11" i="111"/>
  <c r="AC12" i="111"/>
  <c r="AC13" i="111"/>
  <c r="AC16" i="111"/>
  <c r="AA19" i="111"/>
  <c r="W20" i="111"/>
  <c r="H106" i="111"/>
  <c r="X10" i="111"/>
  <c r="T11" i="111"/>
  <c r="T12" i="111"/>
  <c r="T13" i="111"/>
  <c r="AA11" i="111"/>
  <c r="AA12" i="111"/>
  <c r="AA13" i="111"/>
  <c r="AC14" i="111"/>
  <c r="Y15" i="111"/>
  <c r="AA16" i="111"/>
  <c r="T14" i="111"/>
  <c r="T15" i="111"/>
  <c r="T16" i="111"/>
  <c r="T17" i="111"/>
  <c r="T18" i="111"/>
  <c r="T19" i="111"/>
  <c r="T20" i="111"/>
  <c r="T21" i="111"/>
  <c r="S18" i="111"/>
  <c r="W19" i="111"/>
  <c r="AC20" i="111"/>
  <c r="W21" i="111"/>
  <c r="L106" i="111"/>
  <c r="AB10" i="111"/>
  <c r="X40" i="108"/>
  <c r="X37" i="108"/>
  <c r="X34" i="108"/>
  <c r="X41" i="108"/>
  <c r="S35" i="107"/>
  <c r="S38" i="107"/>
  <c r="AB36" i="107"/>
  <c r="AB39" i="107"/>
  <c r="Z35" i="108"/>
  <c r="Z38" i="108"/>
  <c r="T38" i="108"/>
  <c r="T35" i="108"/>
  <c r="T40" i="108"/>
  <c r="T41" i="108"/>
  <c r="T37" i="108"/>
  <c r="T34" i="108"/>
  <c r="T38" i="107"/>
  <c r="T35" i="107"/>
  <c r="Y38" i="107"/>
  <c r="AC39" i="107"/>
  <c r="S36" i="108"/>
  <c r="S39" i="108"/>
  <c r="Z35" i="107"/>
  <c r="Z38" i="107"/>
  <c r="Z39" i="108"/>
  <c r="Z36" i="108"/>
  <c r="W39" i="108"/>
  <c r="AB40" i="108"/>
  <c r="AB37" i="108"/>
  <c r="AB34" i="108"/>
  <c r="AB41" i="108"/>
  <c r="AE18" i="108"/>
  <c r="AF20" i="108"/>
  <c r="AF15" i="108"/>
  <c r="AE20" i="108"/>
  <c r="AE14" i="108"/>
  <c r="P106" i="108"/>
  <c r="H107" i="108" s="1"/>
  <c r="AF10" i="108"/>
  <c r="AC39" i="111"/>
  <c r="AC36" i="111"/>
  <c r="Y20" i="111"/>
  <c r="N106" i="111"/>
  <c r="AD10" i="111"/>
  <c r="V13" i="111"/>
  <c r="V14" i="111"/>
  <c r="V15" i="111"/>
  <c r="V16" i="111"/>
  <c r="V17" i="111"/>
  <c r="V18" i="111"/>
  <c r="V19" i="111"/>
  <c r="V20" i="111"/>
  <c r="V21" i="111"/>
  <c r="AA15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Y18" i="111"/>
  <c r="Y21" i="111"/>
  <c r="AB36" i="108"/>
  <c r="AB39" i="108"/>
  <c r="AD37" i="108"/>
  <c r="AD41" i="108"/>
  <c r="AD34" i="108"/>
  <c r="AD40" i="108"/>
  <c r="Y35" i="108"/>
  <c r="X38" i="107"/>
  <c r="X35" i="107"/>
  <c r="Z34" i="107"/>
  <c r="Z37" i="107"/>
  <c r="Z41" i="107"/>
  <c r="Z40" i="107"/>
  <c r="AD39" i="108"/>
  <c r="AD36" i="108"/>
  <c r="Y35" i="107"/>
  <c r="AC38" i="107"/>
  <c r="AA40" i="107"/>
  <c r="AA34" i="107"/>
  <c r="AA41" i="107"/>
  <c r="AA37" i="107"/>
  <c r="AD35" i="108"/>
  <c r="AD38" i="108"/>
  <c r="U40" i="108"/>
  <c r="U37" i="108"/>
  <c r="U41" i="108"/>
  <c r="U34" i="108"/>
  <c r="AC39" i="108"/>
  <c r="AA36" i="108"/>
  <c r="AA39" i="108"/>
  <c r="AD35" i="107"/>
  <c r="AD38" i="107"/>
  <c r="V39" i="107"/>
  <c r="V36" i="107"/>
  <c r="AC38" i="108"/>
  <c r="W35" i="108"/>
  <c r="V35" i="108"/>
  <c r="V38" i="108"/>
  <c r="AE11" i="108"/>
  <c r="AE15" i="108"/>
  <c r="AE17" i="108"/>
  <c r="AF13" i="108"/>
  <c r="G106" i="111"/>
  <c r="W10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M106" i="111"/>
  <c r="AC10" i="111"/>
  <c r="AA17" i="111"/>
  <c r="AA18" i="111"/>
  <c r="S20" i="111"/>
  <c r="AA21" i="111"/>
  <c r="Y41" i="108"/>
  <c r="Y34" i="108"/>
  <c r="Y40" i="108"/>
  <c r="Y37" i="108"/>
  <c r="AB38" i="107"/>
  <c r="AB35" i="107"/>
  <c r="S39" i="107"/>
  <c r="S36" i="107"/>
  <c r="X40" i="107"/>
  <c r="X41" i="107"/>
  <c r="X34" i="107"/>
  <c r="X37" i="107"/>
  <c r="AA40" i="108"/>
  <c r="AA41" i="108"/>
  <c r="AA37" i="108"/>
  <c r="AA34" i="108"/>
  <c r="U38" i="108"/>
  <c r="S38" i="108"/>
  <c r="S35" i="108"/>
  <c r="AC35" i="107"/>
  <c r="T36" i="107"/>
  <c r="T39" i="107"/>
  <c r="Y36" i="107"/>
  <c r="AB40" i="107"/>
  <c r="AB41" i="107"/>
  <c r="AB34" i="107"/>
  <c r="AB37" i="107"/>
  <c r="Y40" i="107"/>
  <c r="Y37" i="107"/>
  <c r="Y41" i="107"/>
  <c r="Y34" i="107"/>
  <c r="X36" i="108"/>
  <c r="X39" i="108"/>
  <c r="V34" i="108"/>
  <c r="V41" i="108"/>
  <c r="V40" i="108"/>
  <c r="V37" i="108"/>
  <c r="U35" i="108"/>
  <c r="Z39" i="107"/>
  <c r="Z36" i="107"/>
  <c r="AB35" i="108"/>
  <c r="AC40" i="107"/>
  <c r="AC41" i="107"/>
  <c r="AC37" i="107"/>
  <c r="AC34" i="107"/>
  <c r="AE12" i="108"/>
  <c r="AF19" i="108"/>
  <c r="O106" i="108"/>
  <c r="H108" i="108" s="1"/>
  <c r="AE10" i="108"/>
  <c r="K106" i="111"/>
  <c r="AA10" i="111"/>
  <c r="Y39" i="111"/>
  <c r="Y36" i="111"/>
  <c r="F106" i="111"/>
  <c r="V10" i="111"/>
  <c r="AA14" i="111"/>
  <c r="Y16" i="111"/>
  <c r="AD11" i="111"/>
  <c r="C106" i="111"/>
  <c r="S10" i="111"/>
  <c r="AA20" i="111"/>
  <c r="J106" i="111"/>
  <c r="Z10" i="111"/>
  <c r="X36" i="107"/>
  <c r="X39" i="107"/>
  <c r="V41" i="107"/>
  <c r="V40" i="107"/>
  <c r="V42" i="107" s="1"/>
  <c r="V34" i="107"/>
  <c r="V37" i="107"/>
  <c r="AD34" i="107"/>
  <c r="AD37" i="107"/>
  <c r="AD41" i="107"/>
  <c r="AD40" i="107"/>
  <c r="AA38" i="108"/>
  <c r="AA35" i="108"/>
  <c r="V39" i="108"/>
  <c r="V36" i="108"/>
  <c r="W40" i="107"/>
  <c r="W41" i="107"/>
  <c r="W34" i="107"/>
  <c r="W37" i="107"/>
  <c r="S40" i="107"/>
  <c r="S37" i="107"/>
  <c r="S34" i="107"/>
  <c r="S41" i="107"/>
  <c r="AC34" i="108"/>
  <c r="AC41" i="108"/>
  <c r="AC40" i="108"/>
  <c r="AC37" i="108"/>
  <c r="Y38" i="108"/>
  <c r="S40" i="108"/>
  <c r="S41" i="108"/>
  <c r="S37" i="108"/>
  <c r="S34" i="108"/>
  <c r="V35" i="107"/>
  <c r="V38" i="107"/>
  <c r="AD39" i="107"/>
  <c r="AD36" i="107"/>
  <c r="W40" i="108"/>
  <c r="W34" i="108"/>
  <c r="W41" i="108"/>
  <c r="Z34" i="108"/>
  <c r="Z41" i="108"/>
  <c r="Z40" i="108"/>
  <c r="Z37" i="108"/>
  <c r="X42" i="109"/>
  <c r="AA42" i="110"/>
  <c r="V22" i="93"/>
  <c r="AE24" i="98"/>
  <c r="S42" i="110"/>
  <c r="C108" i="110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W42" i="101"/>
  <c r="X42" i="101"/>
  <c r="Y42" i="101"/>
  <c r="V42" i="101"/>
  <c r="AA42" i="101"/>
  <c r="AD42" i="101"/>
  <c r="AC42" i="101"/>
  <c r="T42" i="101"/>
  <c r="AB42" i="101"/>
  <c r="S42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23" i="100"/>
  <c r="AE24" i="96"/>
  <c r="AE27" i="100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W38" i="111" l="1"/>
  <c r="S39" i="111"/>
  <c r="T42" i="108"/>
  <c r="AE39" i="108"/>
  <c r="Y35" i="111"/>
  <c r="AE36" i="108"/>
  <c r="AB42" i="108"/>
  <c r="AB35" i="111"/>
  <c r="V42" i="108"/>
  <c r="X42" i="108"/>
  <c r="AC42" i="108"/>
  <c r="W42" i="107"/>
  <c r="AD36" i="111"/>
  <c r="AB38" i="111"/>
  <c r="S36" i="111"/>
  <c r="Y38" i="111"/>
  <c r="AB42" i="107"/>
  <c r="AA42" i="107"/>
  <c r="AA40" i="111"/>
  <c r="AA34" i="111"/>
  <c r="AA37" i="111"/>
  <c r="AA41" i="111"/>
  <c r="Z39" i="111"/>
  <c r="Z36" i="111"/>
  <c r="Y37" i="111"/>
  <c r="Y40" i="111"/>
  <c r="Y41" i="111"/>
  <c r="Y34" i="111"/>
  <c r="X36" i="111"/>
  <c r="X39" i="111"/>
  <c r="V39" i="111"/>
  <c r="V36" i="111"/>
  <c r="AF40" i="108"/>
  <c r="AF41" i="108"/>
  <c r="AF37" i="108"/>
  <c r="AF34" i="108"/>
  <c r="AC35" i="111"/>
  <c r="AC38" i="111"/>
  <c r="AC40" i="111"/>
  <c r="AC41" i="111"/>
  <c r="AC34" i="111"/>
  <c r="AC37" i="111"/>
  <c r="AB36" i="111"/>
  <c r="AB39" i="111"/>
  <c r="W40" i="111"/>
  <c r="W37" i="111"/>
  <c r="W34" i="111"/>
  <c r="W41" i="111"/>
  <c r="Z42" i="107"/>
  <c r="AA38" i="111"/>
  <c r="AA35" i="111"/>
  <c r="T36" i="111"/>
  <c r="T39" i="111"/>
  <c r="T38" i="111"/>
  <c r="T35" i="111"/>
  <c r="AE35" i="108"/>
  <c r="AE38" i="108"/>
  <c r="W42" i="108"/>
  <c r="S42" i="107"/>
  <c r="AD42" i="107"/>
  <c r="V41" i="111"/>
  <c r="V37" i="111"/>
  <c r="V34" i="111"/>
  <c r="V40" i="111"/>
  <c r="AE40" i="108"/>
  <c r="AE37" i="108"/>
  <c r="AE34" i="108"/>
  <c r="AE41" i="108"/>
  <c r="Y42" i="108"/>
  <c r="Z35" i="111"/>
  <c r="Z38" i="111"/>
  <c r="X38" i="111"/>
  <c r="X35" i="111"/>
  <c r="V35" i="111"/>
  <c r="V38" i="111"/>
  <c r="AB40" i="111"/>
  <c r="AB34" i="111"/>
  <c r="AB37" i="111"/>
  <c r="AB41" i="111"/>
  <c r="W36" i="111"/>
  <c r="W39" i="111"/>
  <c r="AA36" i="111"/>
  <c r="AA39" i="111"/>
  <c r="Z41" i="111"/>
  <c r="Z37" i="111"/>
  <c r="Z34" i="111"/>
  <c r="Z40" i="111"/>
  <c r="AF36" i="108"/>
  <c r="AF39" i="108"/>
  <c r="Z42" i="108"/>
  <c r="S42" i="108"/>
  <c r="S40" i="111"/>
  <c r="S41" i="111"/>
  <c r="S34" i="111"/>
  <c r="S37" i="111"/>
  <c r="AC42" i="107"/>
  <c r="Y42" i="107"/>
  <c r="AA42" i="108"/>
  <c r="X42" i="107"/>
  <c r="AD35" i="111"/>
  <c r="AD38" i="111"/>
  <c r="S38" i="111"/>
  <c r="S35" i="111"/>
  <c r="AF38" i="108"/>
  <c r="AF35" i="108"/>
  <c r="U42" i="108"/>
  <c r="AD42" i="108"/>
  <c r="AD40" i="111"/>
  <c r="AD34" i="111"/>
  <c r="AD41" i="111"/>
  <c r="AD37" i="111"/>
  <c r="X40" i="111"/>
  <c r="X37" i="111"/>
  <c r="X34" i="111"/>
  <c r="X41" i="111"/>
  <c r="J107" i="108"/>
  <c r="AF42" i="110"/>
  <c r="AE42" i="110"/>
  <c r="AE42" i="109"/>
  <c r="AF42" i="109"/>
  <c r="L107" i="108"/>
  <c r="G107" i="108"/>
  <c r="G108" i="108"/>
  <c r="F108" i="108"/>
  <c r="C108" i="108"/>
  <c r="K108" i="108"/>
  <c r="N108" i="108"/>
  <c r="L108" i="108"/>
  <c r="D108" i="108"/>
  <c r="I108" i="108"/>
  <c r="E108" i="108"/>
  <c r="J108" i="108"/>
  <c r="D107" i="108"/>
  <c r="M107" i="108"/>
  <c r="K107" i="108"/>
  <c r="C107" i="108"/>
  <c r="N107" i="108"/>
  <c r="F107" i="108"/>
  <c r="I107" i="108"/>
  <c r="E107" i="108"/>
  <c r="AE42" i="105"/>
  <c r="AF42" i="105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W42" i="111" l="1"/>
  <c r="AA42" i="111"/>
  <c r="AF42" i="108"/>
  <c r="Y42" i="111"/>
  <c r="AD42" i="111"/>
  <c r="AE42" i="108"/>
  <c r="S42" i="111"/>
  <c r="V42" i="111"/>
  <c r="X42" i="111"/>
  <c r="Z42" i="111"/>
  <c r="AB42" i="111"/>
  <c r="AC42" i="111"/>
  <c r="E22" i="107"/>
  <c r="E46" i="107"/>
  <c r="O46" i="101"/>
  <c r="P22" i="101"/>
  <c r="O22" i="101"/>
  <c r="P46" i="101"/>
  <c r="P90" i="101"/>
  <c r="O18" i="101"/>
  <c r="O30" i="101"/>
  <c r="P34" i="101"/>
  <c r="O78" i="101"/>
  <c r="P86" i="101"/>
  <c r="O94" i="101"/>
  <c r="P82" i="101"/>
  <c r="O34" i="101"/>
  <c r="P38" i="101"/>
  <c r="O74" i="101"/>
  <c r="P78" i="101"/>
  <c r="O90" i="101"/>
  <c r="E27" i="107"/>
  <c r="P27" i="107" s="1"/>
  <c r="P70" i="101"/>
  <c r="O98" i="101"/>
  <c r="O26" i="101"/>
  <c r="O38" i="101"/>
  <c r="P42" i="101"/>
  <c r="P14" i="101"/>
  <c r="O70" i="101"/>
  <c r="P74" i="101"/>
  <c r="E38" i="107"/>
  <c r="E40" i="107"/>
  <c r="O40" i="107" s="1"/>
  <c r="E47" i="107"/>
  <c r="E47" i="111" s="1"/>
  <c r="O42" i="101"/>
  <c r="P18" i="101"/>
  <c r="O66" i="101"/>
  <c r="P66" i="101"/>
  <c r="E12" i="107"/>
  <c r="E12" i="111" s="1"/>
  <c r="E43" i="107"/>
  <c r="O43" i="107" s="1"/>
  <c r="E15" i="107"/>
  <c r="E15" i="111" s="1"/>
  <c r="E48" i="107"/>
  <c r="E48" i="111" s="1"/>
  <c r="E28" i="107"/>
  <c r="O28" i="107" s="1"/>
  <c r="P50" i="101"/>
  <c r="O62" i="101"/>
  <c r="P62" i="101"/>
  <c r="E20" i="107"/>
  <c r="O20" i="107" s="1"/>
  <c r="E17" i="107"/>
  <c r="E17" i="111" s="1"/>
  <c r="E13" i="107"/>
  <c r="E13" i="111" s="1"/>
  <c r="E32" i="107"/>
  <c r="O32" i="107" s="1"/>
  <c r="E53" i="107"/>
  <c r="P53" i="107" s="1"/>
  <c r="E36" i="107"/>
  <c r="P36" i="107" s="1"/>
  <c r="O50" i="101"/>
  <c r="P54" i="101"/>
  <c r="P26" i="101"/>
  <c r="O58" i="101"/>
  <c r="P58" i="101"/>
  <c r="E23" i="107"/>
  <c r="P23" i="107" s="1"/>
  <c r="E42" i="107"/>
  <c r="E54" i="107"/>
  <c r="E55" i="107"/>
  <c r="E55" i="111" s="1"/>
  <c r="E37" i="107"/>
  <c r="P37" i="107" s="1"/>
  <c r="U13" i="101"/>
  <c r="E16" i="107"/>
  <c r="P16" i="107" s="1"/>
  <c r="E41" i="107"/>
  <c r="E41" i="111" s="1"/>
  <c r="E44" i="107"/>
  <c r="E44" i="111" s="1"/>
  <c r="E49" i="107"/>
  <c r="E49" i="111" s="1"/>
  <c r="E52" i="107"/>
  <c r="P52" i="107" s="1"/>
  <c r="E57" i="107"/>
  <c r="E57" i="111" s="1"/>
  <c r="E26" i="107"/>
  <c r="E34" i="107"/>
  <c r="O14" i="101"/>
  <c r="O82" i="101"/>
  <c r="E50" i="107"/>
  <c r="E30" i="107"/>
  <c r="O54" i="101"/>
  <c r="P30" i="101"/>
  <c r="O86" i="101"/>
  <c r="P94" i="101"/>
  <c r="O102" i="101"/>
  <c r="E21" i="107"/>
  <c r="O21" i="107" s="1"/>
  <c r="E14" i="107"/>
  <c r="E18" i="107"/>
  <c r="E24" i="107"/>
  <c r="P24" i="107" s="1"/>
  <c r="E35" i="107"/>
  <c r="P35" i="107" s="1"/>
  <c r="E39" i="107"/>
  <c r="E39" i="111" s="1"/>
  <c r="E45" i="107"/>
  <c r="E45" i="111" s="1"/>
  <c r="E51" i="107"/>
  <c r="E51" i="111" s="1"/>
  <c r="E56" i="107"/>
  <c r="P56" i="107" s="1"/>
  <c r="E33" i="107"/>
  <c r="E33" i="111" s="1"/>
  <c r="E25" i="107"/>
  <c r="P25" i="107" s="1"/>
  <c r="E31" i="107"/>
  <c r="E31" i="111" s="1"/>
  <c r="E11" i="107"/>
  <c r="E19" i="107"/>
  <c r="P19" i="107" s="1"/>
  <c r="E29" i="107"/>
  <c r="O29" i="107" s="1"/>
  <c r="P102" i="101"/>
  <c r="U19" i="101"/>
  <c r="U28" i="101"/>
  <c r="U12" i="101"/>
  <c r="P105" i="101"/>
  <c r="O105" i="101"/>
  <c r="O97" i="101"/>
  <c r="P97" i="101"/>
  <c r="P89" i="101"/>
  <c r="O89" i="101"/>
  <c r="O81" i="101"/>
  <c r="P81" i="101"/>
  <c r="P73" i="101"/>
  <c r="O73" i="101"/>
  <c r="O65" i="101"/>
  <c r="P65" i="101"/>
  <c r="P57" i="101"/>
  <c r="O57" i="101"/>
  <c r="P49" i="101"/>
  <c r="O49" i="101"/>
  <c r="P41" i="101"/>
  <c r="O41" i="101"/>
  <c r="P33" i="101"/>
  <c r="O33" i="101"/>
  <c r="P25" i="101"/>
  <c r="O25" i="101"/>
  <c r="P17" i="101"/>
  <c r="O17" i="101"/>
  <c r="U20" i="101"/>
  <c r="P104" i="101"/>
  <c r="O104" i="101"/>
  <c r="P96" i="101"/>
  <c r="O96" i="101"/>
  <c r="O88" i="101"/>
  <c r="P88" i="101"/>
  <c r="O80" i="101"/>
  <c r="P80" i="101"/>
  <c r="O72" i="101"/>
  <c r="P72" i="101"/>
  <c r="O64" i="101"/>
  <c r="P64" i="101"/>
  <c r="O56" i="101"/>
  <c r="P56" i="101"/>
  <c r="O48" i="101"/>
  <c r="P48" i="101"/>
  <c r="O40" i="101"/>
  <c r="P40" i="101"/>
  <c r="O32" i="101"/>
  <c r="P32" i="101"/>
  <c r="O24" i="101"/>
  <c r="P24" i="101"/>
  <c r="P16" i="101"/>
  <c r="O16" i="101"/>
  <c r="U16" i="101"/>
  <c r="P103" i="101"/>
  <c r="O103" i="101"/>
  <c r="P95" i="101"/>
  <c r="O95" i="101"/>
  <c r="O87" i="101"/>
  <c r="P87" i="101"/>
  <c r="P79" i="101"/>
  <c r="O79" i="101"/>
  <c r="O71" i="101"/>
  <c r="P71" i="101"/>
  <c r="P63" i="101"/>
  <c r="O63" i="101"/>
  <c r="O55" i="101"/>
  <c r="P55" i="101"/>
  <c r="O47" i="101"/>
  <c r="P47" i="101"/>
  <c r="O39" i="101"/>
  <c r="P39" i="101"/>
  <c r="O31" i="101"/>
  <c r="P31" i="101"/>
  <c r="O23" i="101"/>
  <c r="P23" i="101"/>
  <c r="P15" i="101"/>
  <c r="O15" i="101"/>
  <c r="U18" i="101"/>
  <c r="U33" i="101"/>
  <c r="U31" i="101"/>
  <c r="U29" i="101"/>
  <c r="U27" i="101"/>
  <c r="U25" i="101"/>
  <c r="U23" i="101"/>
  <c r="U21" i="101"/>
  <c r="U17" i="101"/>
  <c r="U15" i="101"/>
  <c r="U11" i="101"/>
  <c r="U26" i="101"/>
  <c r="U14" i="101"/>
  <c r="P101" i="101"/>
  <c r="O101" i="101"/>
  <c r="O93" i="101"/>
  <c r="P93" i="101"/>
  <c r="O85" i="101"/>
  <c r="P85" i="101"/>
  <c r="O77" i="101"/>
  <c r="P77" i="101"/>
  <c r="O69" i="101"/>
  <c r="P69" i="101"/>
  <c r="P61" i="101"/>
  <c r="O61" i="101"/>
  <c r="O53" i="101"/>
  <c r="P53" i="101"/>
  <c r="O45" i="101"/>
  <c r="P45" i="101"/>
  <c r="O37" i="101"/>
  <c r="P37" i="101"/>
  <c r="P29" i="101"/>
  <c r="O29" i="101"/>
  <c r="O21" i="101"/>
  <c r="P21" i="101"/>
  <c r="P13" i="101"/>
  <c r="O13" i="101"/>
  <c r="U30" i="101"/>
  <c r="U24" i="101"/>
  <c r="P100" i="101"/>
  <c r="O100" i="101"/>
  <c r="O92" i="101"/>
  <c r="P92" i="101"/>
  <c r="P84" i="101"/>
  <c r="O84" i="101"/>
  <c r="P76" i="101"/>
  <c r="O76" i="101"/>
  <c r="O68" i="101"/>
  <c r="P68" i="101"/>
  <c r="P60" i="101"/>
  <c r="O60" i="101"/>
  <c r="O52" i="101"/>
  <c r="P52" i="101"/>
  <c r="O44" i="101"/>
  <c r="P44" i="101"/>
  <c r="O36" i="101"/>
  <c r="P36" i="101"/>
  <c r="O28" i="101"/>
  <c r="P28" i="101"/>
  <c r="O20" i="101"/>
  <c r="P20" i="101"/>
  <c r="O12" i="101"/>
  <c r="P12" i="101"/>
  <c r="P98" i="101"/>
  <c r="U32" i="101"/>
  <c r="U22" i="101"/>
  <c r="O99" i="101"/>
  <c r="P99" i="101"/>
  <c r="P91" i="101"/>
  <c r="O91" i="101"/>
  <c r="O83" i="101"/>
  <c r="P83" i="101"/>
  <c r="O75" i="101"/>
  <c r="P75" i="101"/>
  <c r="P67" i="101"/>
  <c r="O67" i="101"/>
  <c r="O59" i="101"/>
  <c r="P59" i="101"/>
  <c r="O51" i="101"/>
  <c r="P51" i="101"/>
  <c r="O43" i="101"/>
  <c r="P43" i="101"/>
  <c r="O35" i="101"/>
  <c r="P35" i="101"/>
  <c r="P27" i="101"/>
  <c r="O27" i="101"/>
  <c r="O19" i="101"/>
  <c r="P19" i="101"/>
  <c r="O11" i="101"/>
  <c r="P11" i="101"/>
  <c r="E106" i="107" l="1"/>
  <c r="U10" i="107"/>
  <c r="E46" i="111"/>
  <c r="U19" i="111" s="1"/>
  <c r="U19" i="107"/>
  <c r="U39" i="107" s="1"/>
  <c r="P54" i="107"/>
  <c r="U21" i="107"/>
  <c r="O38" i="107"/>
  <c r="U17" i="107"/>
  <c r="O22" i="107"/>
  <c r="U13" i="107"/>
  <c r="U12" i="107"/>
  <c r="E30" i="111"/>
  <c r="U15" i="107"/>
  <c r="O34" i="107"/>
  <c r="U16" i="107"/>
  <c r="O42" i="107"/>
  <c r="U18" i="107"/>
  <c r="E14" i="111"/>
  <c r="U11" i="107"/>
  <c r="P50" i="107"/>
  <c r="U20" i="107"/>
  <c r="E26" i="111"/>
  <c r="P26" i="111" s="1"/>
  <c r="U14" i="107"/>
  <c r="O11" i="107"/>
  <c r="P41" i="107"/>
  <c r="AE15" i="101"/>
  <c r="O24" i="107"/>
  <c r="O57" i="107"/>
  <c r="P49" i="107"/>
  <c r="AE14" i="101"/>
  <c r="AF30" i="101"/>
  <c r="O56" i="107"/>
  <c r="AF33" i="101"/>
  <c r="O19" i="107"/>
  <c r="O51" i="107"/>
  <c r="O36" i="107"/>
  <c r="AE30" i="101"/>
  <c r="AE31" i="101"/>
  <c r="O33" i="107"/>
  <c r="P48" i="107"/>
  <c r="AE20" i="101"/>
  <c r="U36" i="101"/>
  <c r="AF15" i="101"/>
  <c r="AE23" i="101"/>
  <c r="P43" i="107"/>
  <c r="AE32" i="101"/>
  <c r="AF28" i="101"/>
  <c r="AF19" i="101"/>
  <c r="AE16" i="101"/>
  <c r="AF22" i="101"/>
  <c r="P31" i="107"/>
  <c r="P51" i="107"/>
  <c r="AE21" i="101"/>
  <c r="AF20" i="101"/>
  <c r="AF25" i="101"/>
  <c r="U38" i="101"/>
  <c r="AE13" i="101"/>
  <c r="AE29" i="101"/>
  <c r="O41" i="107"/>
  <c r="P28" i="107"/>
  <c r="O12" i="107"/>
  <c r="AF29" i="101"/>
  <c r="AF13" i="101"/>
  <c r="AE27" i="101"/>
  <c r="AE19" i="101"/>
  <c r="AF32" i="101"/>
  <c r="AF23" i="101"/>
  <c r="AE28" i="101"/>
  <c r="U35" i="101"/>
  <c r="AE22" i="101"/>
  <c r="AE24" i="101"/>
  <c r="AF11" i="101"/>
  <c r="AF27" i="101"/>
  <c r="AF16" i="101"/>
  <c r="AE25" i="101"/>
  <c r="AE33" i="101"/>
  <c r="AE11" i="101"/>
  <c r="O49" i="107"/>
  <c r="AF14" i="101"/>
  <c r="AF12" i="101"/>
  <c r="AF18" i="101"/>
  <c r="U39" i="101"/>
  <c r="AF24" i="101"/>
  <c r="AF26" i="101"/>
  <c r="AE18" i="101"/>
  <c r="AE26" i="101"/>
  <c r="AE17" i="101"/>
  <c r="P33" i="107"/>
  <c r="O39" i="107"/>
  <c r="AF31" i="101"/>
  <c r="O44" i="107"/>
  <c r="P55" i="107"/>
  <c r="AF21" i="101"/>
  <c r="AF17" i="101"/>
  <c r="AE12" i="101"/>
  <c r="O17" i="111"/>
  <c r="P17" i="111"/>
  <c r="P15" i="111"/>
  <c r="O15" i="111"/>
  <c r="O44" i="111"/>
  <c r="P44" i="111"/>
  <c r="O55" i="111"/>
  <c r="P55" i="111"/>
  <c r="O47" i="111"/>
  <c r="P47" i="111"/>
  <c r="P39" i="111"/>
  <c r="O39" i="111"/>
  <c r="O48" i="111"/>
  <c r="P48" i="111"/>
  <c r="P57" i="111"/>
  <c r="O57" i="111"/>
  <c r="P41" i="111"/>
  <c r="O41" i="111"/>
  <c r="O12" i="111"/>
  <c r="P12" i="111"/>
  <c r="P51" i="111"/>
  <c r="O51" i="111"/>
  <c r="O30" i="111"/>
  <c r="P14" i="111"/>
  <c r="O14" i="111"/>
  <c r="P31" i="111"/>
  <c r="O31" i="111"/>
  <c r="O45" i="111"/>
  <c r="P45" i="111"/>
  <c r="P49" i="111"/>
  <c r="O49" i="111"/>
  <c r="O13" i="111"/>
  <c r="P13" i="111"/>
  <c r="P46" i="111"/>
  <c r="O46" i="111"/>
  <c r="P33" i="111"/>
  <c r="O33" i="111"/>
  <c r="O17" i="107"/>
  <c r="P12" i="107"/>
  <c r="P40" i="107"/>
  <c r="E18" i="111"/>
  <c r="E24" i="111"/>
  <c r="E42" i="111"/>
  <c r="P26" i="107"/>
  <c r="P30" i="107"/>
  <c r="E36" i="111"/>
  <c r="E37" i="111"/>
  <c r="P38" i="107"/>
  <c r="O46" i="107"/>
  <c r="P29" i="107"/>
  <c r="P45" i="107"/>
  <c r="P21" i="107"/>
  <c r="O16" i="107"/>
  <c r="O23" i="107"/>
  <c r="O53" i="107"/>
  <c r="O48" i="107"/>
  <c r="E34" i="111"/>
  <c r="E32" i="111"/>
  <c r="P14" i="107"/>
  <c r="E19" i="111"/>
  <c r="O30" i="107"/>
  <c r="E28" i="111"/>
  <c r="O31" i="107"/>
  <c r="P39" i="107"/>
  <c r="P57" i="107"/>
  <c r="O55" i="107"/>
  <c r="P32" i="107"/>
  <c r="P17" i="107"/>
  <c r="O15" i="107"/>
  <c r="E25" i="111"/>
  <c r="E56" i="111"/>
  <c r="O18" i="107"/>
  <c r="AE12" i="107" s="1"/>
  <c r="E54" i="111"/>
  <c r="E20" i="111"/>
  <c r="E50" i="111"/>
  <c r="E43" i="111"/>
  <c r="P18" i="107"/>
  <c r="E21" i="111"/>
  <c r="P46" i="107"/>
  <c r="O25" i="107"/>
  <c r="O52" i="107"/>
  <c r="P44" i="107"/>
  <c r="P20" i="107"/>
  <c r="P47" i="107"/>
  <c r="O27" i="107"/>
  <c r="E53" i="111"/>
  <c r="E16" i="111"/>
  <c r="P15" i="107"/>
  <c r="O14" i="107"/>
  <c r="O54" i="107"/>
  <c r="E27" i="111"/>
  <c r="E23" i="111"/>
  <c r="P42" i="107"/>
  <c r="E52" i="111"/>
  <c r="P22" i="107"/>
  <c r="AF13" i="107" s="1"/>
  <c r="P11" i="107"/>
  <c r="O35" i="107"/>
  <c r="O37" i="107"/>
  <c r="P13" i="107"/>
  <c r="O47" i="107"/>
  <c r="E11" i="111"/>
  <c r="E38" i="111"/>
  <c r="E29" i="111"/>
  <c r="E40" i="111"/>
  <c r="E35" i="111"/>
  <c r="P34" i="107"/>
  <c r="AF16" i="107" s="1"/>
  <c r="O26" i="107"/>
  <c r="AE14" i="107" s="1"/>
  <c r="O50" i="107"/>
  <c r="E22" i="111"/>
  <c r="O45" i="107"/>
  <c r="O13" i="107"/>
  <c r="O26" i="111" l="1"/>
  <c r="U17" i="111"/>
  <c r="AE15" i="107"/>
  <c r="AE20" i="107"/>
  <c r="AF19" i="111"/>
  <c r="AE19" i="111"/>
  <c r="U21" i="111"/>
  <c r="AE21" i="107"/>
  <c r="AE18" i="107"/>
  <c r="AE11" i="107"/>
  <c r="AF12" i="107"/>
  <c r="U16" i="111"/>
  <c r="AE19" i="107"/>
  <c r="AF15" i="107"/>
  <c r="U12" i="111"/>
  <c r="U38" i="107"/>
  <c r="AE17" i="107"/>
  <c r="U13" i="111"/>
  <c r="U10" i="111"/>
  <c r="E106" i="111"/>
  <c r="AF18" i="107"/>
  <c r="AF17" i="107"/>
  <c r="AF14" i="107"/>
  <c r="U14" i="111"/>
  <c r="U11" i="111"/>
  <c r="AE16" i="107"/>
  <c r="U35" i="107"/>
  <c r="U40" i="107"/>
  <c r="U37" i="107"/>
  <c r="U41" i="107"/>
  <c r="U34" i="107"/>
  <c r="AF20" i="107"/>
  <c r="U15" i="111"/>
  <c r="AF19" i="107"/>
  <c r="U20" i="111"/>
  <c r="AF11" i="107"/>
  <c r="U18" i="111"/>
  <c r="P30" i="111"/>
  <c r="U36" i="107"/>
  <c r="AE13" i="107"/>
  <c r="AF21" i="107"/>
  <c r="AE36" i="101"/>
  <c r="AE39" i="101"/>
  <c r="AE38" i="101"/>
  <c r="AF35" i="101"/>
  <c r="AF39" i="101"/>
  <c r="AE35" i="101"/>
  <c r="AF38" i="101"/>
  <c r="AF36" i="101"/>
  <c r="O36" i="111"/>
  <c r="P36" i="111"/>
  <c r="O43" i="111"/>
  <c r="P43" i="111"/>
  <c r="P19" i="111"/>
  <c r="O19" i="111"/>
  <c r="O52" i="111"/>
  <c r="P52" i="111"/>
  <c r="O50" i="111"/>
  <c r="P50" i="111"/>
  <c r="O38" i="111"/>
  <c r="P38" i="111"/>
  <c r="P11" i="111"/>
  <c r="O11" i="111"/>
  <c r="O16" i="111"/>
  <c r="AE11" i="111" s="1"/>
  <c r="P16" i="111"/>
  <c r="AF11" i="111" s="1"/>
  <c r="P20" i="111"/>
  <c r="O20" i="111"/>
  <c r="P32" i="111"/>
  <c r="O32" i="111"/>
  <c r="AE15" i="111" s="1"/>
  <c r="P42" i="111"/>
  <c r="O42" i="111"/>
  <c r="AE18" i="111" s="1"/>
  <c r="P54" i="111"/>
  <c r="O54" i="111"/>
  <c r="O34" i="111"/>
  <c r="P34" i="111"/>
  <c r="O24" i="111"/>
  <c r="P24" i="111"/>
  <c r="O53" i="111"/>
  <c r="P53" i="111"/>
  <c r="O40" i="111"/>
  <c r="P40" i="111"/>
  <c r="P56" i="111"/>
  <c r="O56" i="111"/>
  <c r="O23" i="111"/>
  <c r="P23" i="111"/>
  <c r="O35" i="111"/>
  <c r="P35" i="111"/>
  <c r="O27" i="111"/>
  <c r="P27" i="111"/>
  <c r="P18" i="111"/>
  <c r="O18" i="111"/>
  <c r="O22" i="111"/>
  <c r="P22" i="111"/>
  <c r="P29" i="111"/>
  <c r="O29" i="111"/>
  <c r="P21" i="111"/>
  <c r="O21" i="111"/>
  <c r="P25" i="111"/>
  <c r="O25" i="111"/>
  <c r="O28" i="111"/>
  <c r="P28" i="111"/>
  <c r="O37" i="111"/>
  <c r="P37" i="111"/>
  <c r="U36" i="111" l="1"/>
  <c r="AF14" i="111"/>
  <c r="U39" i="111"/>
  <c r="AE14" i="111"/>
  <c r="AF18" i="111"/>
  <c r="U42" i="107"/>
  <c r="AF38" i="107"/>
  <c r="AE12" i="111"/>
  <c r="AF12" i="111"/>
  <c r="AF20" i="111"/>
  <c r="AE16" i="111"/>
  <c r="AE20" i="111"/>
  <c r="AF35" i="107"/>
  <c r="AF16" i="111"/>
  <c r="U35" i="111"/>
  <c r="U38" i="111"/>
  <c r="AF13" i="111"/>
  <c r="AE21" i="111"/>
  <c r="AF17" i="111"/>
  <c r="AF15" i="111"/>
  <c r="AE36" i="107"/>
  <c r="AE39" i="107"/>
  <c r="AF36" i="107"/>
  <c r="AF39" i="107"/>
  <c r="AE13" i="111"/>
  <c r="AF21" i="111"/>
  <c r="AE17" i="111"/>
  <c r="AE38" i="107"/>
  <c r="AE35" i="107"/>
  <c r="U41" i="111"/>
  <c r="U34" i="111"/>
  <c r="U37" i="111"/>
  <c r="U40" i="111"/>
  <c r="E106" i="101"/>
  <c r="O10" i="101"/>
  <c r="AE10" i="101" s="1"/>
  <c r="P10" i="101"/>
  <c r="P106" i="101" s="1"/>
  <c r="U10" i="101"/>
  <c r="U37" i="101" s="1"/>
  <c r="D10" i="107"/>
  <c r="U42" i="111" l="1"/>
  <c r="AE39" i="111"/>
  <c r="AE36" i="111"/>
  <c r="AE38" i="111"/>
  <c r="AE35" i="111"/>
  <c r="AF38" i="111"/>
  <c r="AF35" i="111"/>
  <c r="D106" i="107"/>
  <c r="T10" i="107"/>
  <c r="AF36" i="111"/>
  <c r="AF39" i="111"/>
  <c r="U41" i="101"/>
  <c r="AF10" i="101"/>
  <c r="AF40" i="101" s="1"/>
  <c r="U40" i="101"/>
  <c r="AE37" i="101"/>
  <c r="AE41" i="101"/>
  <c r="AE40" i="101"/>
  <c r="AE34" i="101"/>
  <c r="J107" i="101"/>
  <c r="F107" i="101"/>
  <c r="L107" i="101"/>
  <c r="M107" i="101"/>
  <c r="G107" i="101"/>
  <c r="D107" i="101"/>
  <c r="K107" i="101"/>
  <c r="H107" i="101"/>
  <c r="N107" i="101"/>
  <c r="C107" i="101"/>
  <c r="I107" i="101"/>
  <c r="E107" i="101"/>
  <c r="P10" i="107"/>
  <c r="D10" i="111"/>
  <c r="O10" i="107"/>
  <c r="O106" i="101"/>
  <c r="U34" i="101"/>
  <c r="D106" i="111" l="1"/>
  <c r="T10" i="111"/>
  <c r="O106" i="107"/>
  <c r="AE10" i="107"/>
  <c r="P106" i="107"/>
  <c r="D107" i="107" s="1"/>
  <c r="AF10" i="107"/>
  <c r="T40" i="107"/>
  <c r="T41" i="107"/>
  <c r="T42" i="107" s="1"/>
  <c r="T34" i="107"/>
  <c r="T37" i="107"/>
  <c r="U42" i="101"/>
  <c r="AF37" i="101"/>
  <c r="AF41" i="101"/>
  <c r="AF42" i="101" s="1"/>
  <c r="AF34" i="101"/>
  <c r="AE42" i="101"/>
  <c r="J108" i="101"/>
  <c r="D108" i="101"/>
  <c r="F108" i="101"/>
  <c r="I108" i="101"/>
  <c r="C108" i="101"/>
  <c r="H108" i="101"/>
  <c r="E108" i="101"/>
  <c r="L108" i="101"/>
  <c r="K108" i="101"/>
  <c r="N108" i="101"/>
  <c r="G108" i="101"/>
  <c r="P10" i="111"/>
  <c r="O10" i="111"/>
  <c r="P106" i="111" l="1"/>
  <c r="D107" i="111" s="1"/>
  <c r="AF10" i="111"/>
  <c r="O106" i="111"/>
  <c r="D108" i="111" s="1"/>
  <c r="AE10" i="111"/>
  <c r="AE40" i="107"/>
  <c r="AE34" i="107"/>
  <c r="AE37" i="107"/>
  <c r="AE41" i="107"/>
  <c r="AE42" i="107" s="1"/>
  <c r="AF40" i="107"/>
  <c r="AF37" i="107"/>
  <c r="AF41" i="107"/>
  <c r="AF42" i="107" s="1"/>
  <c r="AF34" i="107"/>
  <c r="T40" i="111"/>
  <c r="T34" i="111"/>
  <c r="T41" i="111"/>
  <c r="T37" i="111"/>
  <c r="G108" i="107"/>
  <c r="J108" i="107"/>
  <c r="N108" i="107"/>
  <c r="K108" i="107"/>
  <c r="I108" i="107"/>
  <c r="H108" i="107"/>
  <c r="F108" i="107"/>
  <c r="C108" i="107"/>
  <c r="E108" i="107"/>
  <c r="L108" i="107"/>
  <c r="D108" i="107"/>
  <c r="E107" i="107"/>
  <c r="N107" i="107"/>
  <c r="K107" i="107"/>
  <c r="C107" i="107"/>
  <c r="F107" i="107"/>
  <c r="M107" i="107"/>
  <c r="I107" i="107"/>
  <c r="L107" i="107"/>
  <c r="G107" i="107"/>
  <c r="J107" i="107"/>
  <c r="H107" i="107"/>
  <c r="T42" i="111" l="1"/>
  <c r="AF40" i="111"/>
  <c r="AF41" i="111"/>
  <c r="AF34" i="111"/>
  <c r="AF37" i="111"/>
  <c r="AE40" i="111"/>
  <c r="AE41" i="111"/>
  <c r="AE42" i="111" s="1"/>
  <c r="AE34" i="111"/>
  <c r="AE37" i="111"/>
  <c r="K108" i="111"/>
  <c r="H108" i="111"/>
  <c r="N108" i="111"/>
  <c r="E108" i="111"/>
  <c r="C108" i="111"/>
  <c r="F108" i="111"/>
  <c r="L108" i="111"/>
  <c r="J108" i="111"/>
  <c r="G108" i="111"/>
  <c r="I108" i="111"/>
  <c r="H107" i="111"/>
  <c r="K107" i="111"/>
  <c r="C107" i="111"/>
  <c r="I107" i="111"/>
  <c r="N107" i="111"/>
  <c r="F107" i="111"/>
  <c r="M107" i="111"/>
  <c r="E107" i="111"/>
  <c r="G107" i="111"/>
  <c r="J107" i="111"/>
  <c r="L107" i="111"/>
  <c r="AF42" i="111" l="1"/>
</calcChain>
</file>

<file path=xl/sharedStrings.xml><?xml version="1.0" encoding="utf-8"?>
<sst xmlns="http://schemas.openxmlformats.org/spreadsheetml/2006/main" count="2329" uniqueCount="177">
  <si>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</si>
  <si>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</si>
  <si>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</si>
  <si>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</si>
  <si>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</si>
  <si>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</si>
  <si>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</si>
  <si>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</si>
  <si>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</si>
  <si>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</si>
  <si>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</si>
  <si>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</si>
  <si>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</si>
  <si>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</si>
  <si>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</si>
  <si>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</si>
  <si>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</si>
  <si>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</si>
  <si>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</si>
  <si>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</si>
  <si>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</si>
  <si>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</si>
  <si>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</si>
  <si>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</si>
  <si>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</si>
  <si>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</si>
  <si>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</si>
  <si>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</si>
  <si>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</si>
  <si>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</si>
  <si>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</si>
  <si>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</si>
  <si>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</si>
  <si>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</si>
  <si>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</si>
  <si>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</si>
  <si>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</si>
  <si>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</si>
  <si>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</si>
  <si>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</si>
  <si>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</si>
  <si>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</si>
  <si>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</si>
  <si>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</si>
  <si>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</si>
  <si>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</si>
  <si>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</si>
  <si>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</si>
  <si>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</si>
  <si>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</si>
  <si>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</si>
  <si>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</si>
  <si>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</si>
  <si>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</si>
  <si>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</si>
  <si>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</si>
  <si>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</si>
  <si>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</si>
  <si>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</si>
  <si>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</si>
  <si>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</si>
  <si>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</si>
  <si>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</si>
  <si>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</si>
  <si>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</si>
  <si>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</si>
  <si>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</si>
  <si>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</si>
  <si>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</si>
  <si>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</si>
  <si>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</si>
  <si>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</si>
  <si>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</si>
  <si>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</si>
  <si>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</si>
  <si>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</si>
  <si>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</si>
  <si>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</si>
  <si>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</si>
  <si>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</si>
  <si>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</si>
  <si>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</si>
  <si>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</si>
  <si>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</si>
  <si>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</si>
  <si>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</si>
  <si>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</si>
  <si>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</si>
  <si>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</si>
  <si>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</si>
  <si>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</si>
  <si>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</si>
  <si>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</si>
  <si>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</si>
  <si>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</si>
  <si>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</si>
  <si>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</si>
  <si>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</si>
  <si>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</si>
  <si>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</si>
  <si>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</si>
  <si>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</si>
  <si>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</si>
  <si>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</si>
  <si>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</si>
  <si>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</si>
  <si>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</si>
  <si>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</si>
  <si>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</si>
  <si>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</si>
  <si>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</si>
  <si>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</si>
  <si>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</si>
  <si>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</si>
  <si>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</si>
  <si>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</si>
  <si>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</si>
  <si>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</si>
  <si>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</si>
  <si>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</si>
  <si>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</si>
  <si>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</si>
  <si>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</si>
  <si>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</si>
  <si>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</si>
  <si>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</si>
  <si>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</si>
  <si>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</si>
  <si>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</si>
  <si>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</si>
  <si>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</si>
  <si>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</si>
  <si>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</si>
  <si>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</si>
  <si>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</si>
  <si>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</si>
  <si>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</si>
  <si>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</si>
  <si>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</si>
  <si>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</si>
  <si>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</si>
  <si>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</si>
  <si>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</si>
  <si>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</si>
  <si>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</si>
  <si>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</si>
  <si>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</si>
  <si>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</si>
  <si>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</si>
  <si>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</si>
  <si>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</si>
  <si>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</si>
  <si>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</si>
  <si>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</si>
  <si>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</si>
  <si>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</si>
  <si>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</si>
  <si>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</si>
  <si>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</si>
  <si>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</si>
  <si>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</si>
  <si>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</si>
  <si>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</si>
  <si>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</si>
  <si>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GULU</t>
  </si>
  <si>
    <t>KARUMA</t>
  </si>
  <si>
    <t>MCC - C5- STN116 -GULU-KARUMA ROAD</t>
  </si>
  <si>
    <t xml:space="preserve">KARUMA </t>
  </si>
  <si>
    <t xml:space="preserve"> </t>
  </si>
  <si>
    <t>1.08.19</t>
  </si>
  <si>
    <t>2.08.19</t>
  </si>
  <si>
    <t>3.08.19</t>
  </si>
  <si>
    <t>4.08.19</t>
  </si>
  <si>
    <t>5.08.19</t>
  </si>
  <si>
    <t>6.08.19</t>
  </si>
  <si>
    <t>7.08.19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</si>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</sst>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GULU-KARUMA'!$AE$9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GULU-KARUMA'!$AE$10:$AE$21</c:f>
              <c:numCache>
                <c:formatCode>0</c:formatCode>
                <c:ptCount val="12"/>
                <c:pt idx="0">
                  <c:v>51</c:v>
                </c:pt>
                <c:pt idx="1">
                  <c:v>53.5</c:v>
                </c:pt>
                <c:pt idx="2">
                  <c:v>55</c:v>
                </c:pt>
                <c:pt idx="3">
                  <c:v>65.5</c:v>
                </c:pt>
                <c:pt idx="4">
                  <c:v>70</c:v>
                </c:pt>
                <c:pt idx="5">
                  <c:v>78</c:v>
                </c:pt>
                <c:pt idx="6">
                  <c:v>67</c:v>
                </c:pt>
                <c:pt idx="7">
                  <c:v>57</c:v>
                </c:pt>
                <c:pt idx="8">
                  <c:v>62.5</c:v>
                </c:pt>
                <c:pt idx="9">
                  <c:v>61</c:v>
                </c:pt>
                <c:pt idx="10">
                  <c:v>78.5</c:v>
                </c:pt>
                <c:pt idx="11">
                  <c:v>51.5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'01.08 GULU-KARUMA'!$AF$9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GULU-KARUMA'!$AF$10:$AF$21</c:f>
              <c:numCache>
                <c:formatCode>0</c:formatCode>
                <c:ptCount val="12"/>
                <c:pt idx="0">
                  <c:v>328</c:v>
                </c:pt>
                <c:pt idx="1">
                  <c:v>334.5</c:v>
                </c:pt>
                <c:pt idx="2">
                  <c:v>236</c:v>
                </c:pt>
                <c:pt idx="3">
                  <c:v>229.5</c:v>
                </c:pt>
                <c:pt idx="4">
                  <c:v>243</c:v>
                </c:pt>
                <c:pt idx="5">
                  <c:v>267</c:v>
                </c:pt>
                <c:pt idx="6">
                  <c:v>171</c:v>
                </c:pt>
                <c:pt idx="7">
                  <c:v>198</c:v>
                </c:pt>
                <c:pt idx="8">
                  <c:v>202.5</c:v>
                </c:pt>
                <c:pt idx="9">
                  <c:v>201</c:v>
                </c:pt>
                <c:pt idx="10">
                  <c:v>312.5</c:v>
                </c:pt>
                <c:pt idx="11">
                  <c:v>241.5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027392"/>
        <c:axId val="78041856"/>
      </c:lineChart>
      <c:catAx>
        <c:axId val="78027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041856"/>
        <c:crosses val="autoZero"/>
        <c:auto val="1"/>
        <c:lblAlgn val="ctr"/>
        <c:lblOffset val="100"/>
        <c:noMultiLvlLbl val="0"/>
      </c:catAx>
      <c:valAx>
        <c:axId val="780418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02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GULU-KARUMA'!$C$59:$N$59</c:f>
              <c:numCache>
                <c:formatCode>0.0%</c:formatCode>
                <c:ptCount val="12"/>
                <c:pt idx="0">
                  <c:v>4.8912126834204754E-2</c:v>
                </c:pt>
                <c:pt idx="1">
                  <c:v>1.7878225670433463E-2</c:v>
                </c:pt>
                <c:pt idx="2">
                  <c:v>4.7394164277281159E-2</c:v>
                </c:pt>
                <c:pt idx="3">
                  <c:v>2.7660651037274414E-2</c:v>
                </c:pt>
                <c:pt idx="4">
                  <c:v>2.3612750885478157E-3</c:v>
                </c:pt>
                <c:pt idx="5">
                  <c:v>9.7824253668409508E-3</c:v>
                </c:pt>
                <c:pt idx="6">
                  <c:v>3.3732501264968795E-2</c:v>
                </c:pt>
                <c:pt idx="7">
                  <c:v>2.0576825771630967E-2</c:v>
                </c:pt>
                <c:pt idx="8">
                  <c:v>2.3612750885478157E-3</c:v>
                </c:pt>
                <c:pt idx="9">
                  <c:v>4.2165626581210994E-2</c:v>
                </c:pt>
                <c:pt idx="10">
                  <c:v>0.74683757800640915</c:v>
                </c:pt>
                <c:pt idx="11">
                  <c:v>3.3732501264968796E-4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GULU-KARUMA'!$C$60:$N$60</c:f>
              <c:numCache>
                <c:formatCode>0.00%</c:formatCode>
                <c:ptCount val="12"/>
                <c:pt idx="0">
                  <c:v>0.1932045303131246</c:v>
                </c:pt>
                <c:pt idx="1">
                  <c:v>7.061958694203864E-2</c:v>
                </c:pt>
                <c:pt idx="2">
                  <c:v>0.18720852764823451</c:v>
                </c:pt>
                <c:pt idx="3">
                  <c:v>0.10926049300466356</c:v>
                </c:pt>
                <c:pt idx="4">
                  <c:v>9.3271152564956689E-3</c:v>
                </c:pt>
                <c:pt idx="5">
                  <c:v>3.8640906062624915E-2</c:v>
                </c:pt>
                <c:pt idx="6">
                  <c:v>0.13324450366422386</c:v>
                </c:pt>
                <c:pt idx="7">
                  <c:v>8.1279147235176555E-2</c:v>
                </c:pt>
                <c:pt idx="8">
                  <c:v>9.3271152564956689E-3</c:v>
                </c:pt>
                <c:pt idx="9">
                  <c:v>0.16655562958027981</c:v>
                </c:pt>
                <c:pt idx="11">
                  <c:v>1.3324450366422385E-3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KARUMA-GULU'!$AE$9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KARUMA-GULU'!$AE$10:$AE$21</c:f>
              <c:numCache>
                <c:formatCode>0</c:formatCode>
                <c:ptCount val="12"/>
                <c:pt idx="0">
                  <c:v>52</c:v>
                </c:pt>
                <c:pt idx="1">
                  <c:v>84</c:v>
                </c:pt>
                <c:pt idx="2">
                  <c:v>85</c:v>
                </c:pt>
                <c:pt idx="3">
                  <c:v>87</c:v>
                </c:pt>
                <c:pt idx="4">
                  <c:v>65</c:v>
                </c:pt>
                <c:pt idx="5">
                  <c:v>78</c:v>
                </c:pt>
                <c:pt idx="6">
                  <c:v>82</c:v>
                </c:pt>
                <c:pt idx="7">
                  <c:v>59</c:v>
                </c:pt>
                <c:pt idx="8">
                  <c:v>90</c:v>
                </c:pt>
                <c:pt idx="9">
                  <c:v>103</c:v>
                </c:pt>
                <c:pt idx="10">
                  <c:v>126</c:v>
                </c:pt>
                <c:pt idx="11">
                  <c:v>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'01.08 KARUMA-GULU'!$AF$9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KARUMA-GULU'!$AF$10:$AF$21</c:f>
              <c:numCache>
                <c:formatCode>0</c:formatCode>
                <c:ptCount val="12"/>
                <c:pt idx="0">
                  <c:v>347</c:v>
                </c:pt>
                <c:pt idx="1">
                  <c:v>335</c:v>
                </c:pt>
                <c:pt idx="2">
                  <c:v>333</c:v>
                </c:pt>
                <c:pt idx="3">
                  <c:v>321</c:v>
                </c:pt>
                <c:pt idx="4">
                  <c:v>276</c:v>
                </c:pt>
                <c:pt idx="5">
                  <c:v>233</c:v>
                </c:pt>
                <c:pt idx="6">
                  <c:v>258</c:v>
                </c:pt>
                <c:pt idx="7">
                  <c:v>222</c:v>
                </c:pt>
                <c:pt idx="8">
                  <c:v>298</c:v>
                </c:pt>
                <c:pt idx="9">
                  <c:v>337</c:v>
                </c:pt>
                <c:pt idx="10">
                  <c:v>474</c:v>
                </c:pt>
                <c:pt idx="11">
                  <c:v>480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91776"/>
        <c:axId val="80106240"/>
      </c:lineChart>
      <c:catAx>
        <c:axId val="80091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106240"/>
        <c:crosses val="autoZero"/>
        <c:auto val="1"/>
        <c:lblAlgn val="ctr"/>
        <c:lblOffset val="100"/>
        <c:noMultiLvlLbl val="0"/>
      </c:catAx>
      <c:valAx>
        <c:axId val="80106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09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KARUMA-GULU'!$C$59:$N$59</c:f>
              <c:numCache>
                <c:formatCode>0.0%</c:formatCode>
                <c:ptCount val="12"/>
                <c:pt idx="0">
                  <c:v>0.10500766479305058</c:v>
                </c:pt>
                <c:pt idx="1">
                  <c:v>3.1425651507409301E-2</c:v>
                </c:pt>
                <c:pt idx="2">
                  <c:v>6.7961165048543687E-2</c:v>
                </c:pt>
                <c:pt idx="3">
                  <c:v>8.9422585590189056E-3</c:v>
                </c:pt>
                <c:pt idx="4">
                  <c:v>4.3433827286663259E-3</c:v>
                </c:pt>
                <c:pt idx="5">
                  <c:v>4.3433827286663259E-3</c:v>
                </c:pt>
                <c:pt idx="6">
                  <c:v>2.2994379151762903E-2</c:v>
                </c:pt>
                <c:pt idx="7">
                  <c:v>6.3873275421563614E-3</c:v>
                </c:pt>
                <c:pt idx="8">
                  <c:v>1.7884517118037812E-3</c:v>
                </c:pt>
                <c:pt idx="9">
                  <c:v>2.452733776188043E-2</c:v>
                </c:pt>
                <c:pt idx="10">
                  <c:v>0.72227899846704136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KARUMA-GULU'!$S$9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KARUMA-GULU'!$S$10:$S$21</c:f>
              <c:numCache>
                <c:formatCode>0</c:formatCode>
                <c:ptCount val="12"/>
                <c:pt idx="0">
                  <c:v>19</c:v>
                </c:pt>
                <c:pt idx="1">
                  <c:v>45</c:v>
                </c:pt>
                <c:pt idx="2">
                  <c:v>47</c:v>
                </c:pt>
                <c:pt idx="3">
                  <c:v>33</c:v>
                </c:pt>
                <c:pt idx="4">
                  <c:v>25</c:v>
                </c:pt>
                <c:pt idx="5">
                  <c:v>31</c:v>
                </c:pt>
                <c:pt idx="6">
                  <c:v>21</c:v>
                </c:pt>
                <c:pt idx="7">
                  <c:v>24</c:v>
                </c:pt>
                <c:pt idx="8">
                  <c:v>36</c:v>
                </c:pt>
                <c:pt idx="9">
                  <c:v>35</c:v>
                </c:pt>
                <c:pt idx="10">
                  <c:v>51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'01.08 KARUMA-GULU'!$T$9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KARUMA-GULU'!$T$10:$T$21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7</c:v>
                </c:pt>
                <c:pt idx="5">
                  <c:v>6</c:v>
                </c:pt>
                <c:pt idx="6">
                  <c:v>11</c:v>
                </c:pt>
                <c:pt idx="7">
                  <c:v>4</c:v>
                </c:pt>
                <c:pt idx="8">
                  <c:v>9</c:v>
                </c:pt>
                <c:pt idx="9">
                  <c:v>14</c:v>
                </c:pt>
                <c:pt idx="10">
                  <c:v>15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'01.08 KARUMA-GULU'!$U$9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KARUMA-GULU'!$U$10:$U$21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15</c:v>
                </c:pt>
                <c:pt idx="3">
                  <c:v>21</c:v>
                </c:pt>
                <c:pt idx="4">
                  <c:v>15</c:v>
                </c:pt>
                <c:pt idx="5">
                  <c:v>13</c:v>
                </c:pt>
                <c:pt idx="6">
                  <c:v>22</c:v>
                </c:pt>
                <c:pt idx="7">
                  <c:v>12</c:v>
                </c:pt>
                <c:pt idx="8">
                  <c:v>20</c:v>
                </c:pt>
                <c:pt idx="9">
                  <c:v>29</c:v>
                </c:pt>
                <c:pt idx="10">
                  <c:v>32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'01.08 KARUMA-GULU'!$V$9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KARUMA-GULU'!$V$10:$V$21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5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'01.08 KARUMA-GULU'!$W$9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'01.08 KARUMA-GULU'!$X$9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'01.08 KARUMA-GULU'!$Y$9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KARUMA-GULU'!$Y$10:$Y$21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6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'01.08 KARUMA-GULU'!$Z$9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5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'01.08 KARUMA-GULU'!$AA$9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'01.08 KARUMA-GULU'!$AB$9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KARUMA-GULU'!$AB$10:$AB$21</c:f>
              <c:numCache>
                <c:formatCode>0</c:formatCode>
                <c:ptCount val="1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'01.08 KARUMA-GULU'!$AC$9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KARUMA-GULU'!$AC$10:$AC$21</c:f>
              <c:numCache>
                <c:formatCode>0</c:formatCode>
                <c:ptCount val="12"/>
                <c:pt idx="0">
                  <c:v>295</c:v>
                </c:pt>
                <c:pt idx="1">
                  <c:v>251</c:v>
                </c:pt>
                <c:pt idx="2">
                  <c:v>248</c:v>
                </c:pt>
                <c:pt idx="3">
                  <c:v>234</c:v>
                </c:pt>
                <c:pt idx="4">
                  <c:v>211</c:v>
                </c:pt>
                <c:pt idx="5">
                  <c:v>155</c:v>
                </c:pt>
                <c:pt idx="6">
                  <c:v>176</c:v>
                </c:pt>
                <c:pt idx="7">
                  <c:v>163</c:v>
                </c:pt>
                <c:pt idx="8">
                  <c:v>208</c:v>
                </c:pt>
                <c:pt idx="9">
                  <c:v>234</c:v>
                </c:pt>
                <c:pt idx="10">
                  <c:v>348</c:v>
                </c:pt>
                <c:pt idx="11">
                  <c:v>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'01.08 KARUMA-GULU'!$AD$9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KARUMA-GULU'!$AD$10:$AD$21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342016"/>
        <c:axId val="80343808"/>
      </c:lineChart>
      <c:catAx>
        <c:axId val="803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343808"/>
        <c:crosses val="autoZero"/>
        <c:auto val="1"/>
        <c:lblAlgn val="ctr"/>
        <c:lblOffset val="100"/>
        <c:noMultiLvlLbl val="0"/>
      </c:catAx>
      <c:valAx>
        <c:axId val="8034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3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KARUMA-GULU'!$C$60:$N$60</c:f>
              <c:numCache>
                <c:formatCode>0.00%</c:formatCode>
                <c:ptCount val="12"/>
                <c:pt idx="0">
                  <c:v>0.37810487580496782</c:v>
                </c:pt>
                <c:pt idx="1">
                  <c:v>0.11315547378104876</c:v>
                </c:pt>
                <c:pt idx="2">
                  <c:v>0.24471021159153633</c:v>
                </c:pt>
                <c:pt idx="3">
                  <c:v>3.219871205151794E-2</c:v>
                </c:pt>
                <c:pt idx="4">
                  <c:v>1.5639374425023E-2</c:v>
                </c:pt>
                <c:pt idx="5">
                  <c:v>1.5639374425023E-2</c:v>
                </c:pt>
                <c:pt idx="6">
                  <c:v>8.2796688132474705E-2</c:v>
                </c:pt>
                <c:pt idx="7">
                  <c:v>2.2999080036798528E-2</c:v>
                </c:pt>
                <c:pt idx="8">
                  <c:v>6.439742410303588E-3</c:v>
                </c:pt>
                <c:pt idx="9">
                  <c:v>8.8316467341306354E-2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GULU-KARUMA'!$AE$9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GULU-KARUMA'!$AE$10:$AE$21</c:f>
              <c:numCache>
                <c:formatCode>0</c:formatCode>
                <c:ptCount val="12"/>
                <c:pt idx="0">
                  <c:v>58</c:v>
                </c:pt>
                <c:pt idx="1">
                  <c:v>69</c:v>
                </c:pt>
                <c:pt idx="2">
                  <c:v>81</c:v>
                </c:pt>
                <c:pt idx="3">
                  <c:v>92</c:v>
                </c:pt>
                <c:pt idx="4">
                  <c:v>120</c:v>
                </c:pt>
                <c:pt idx="5">
                  <c:v>110</c:v>
                </c:pt>
                <c:pt idx="6">
                  <c:v>57</c:v>
                </c:pt>
                <c:pt idx="7">
                  <c:v>66</c:v>
                </c:pt>
                <c:pt idx="8">
                  <c:v>78</c:v>
                </c:pt>
                <c:pt idx="9">
                  <c:v>79</c:v>
                </c:pt>
                <c:pt idx="10">
                  <c:v>90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'02.08 GULU-KARUMA'!$AF$9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GULU-KARUMA'!$AF$10:$AF$21</c:f>
              <c:numCache>
                <c:formatCode>0</c:formatCode>
                <c:ptCount val="12"/>
                <c:pt idx="0">
                  <c:v>259</c:v>
                </c:pt>
                <c:pt idx="1">
                  <c:v>240</c:v>
                </c:pt>
                <c:pt idx="2">
                  <c:v>306</c:v>
                </c:pt>
                <c:pt idx="3">
                  <c:v>270</c:v>
                </c:pt>
                <c:pt idx="4">
                  <c:v>309</c:v>
                </c:pt>
                <c:pt idx="5">
                  <c:v>299</c:v>
                </c:pt>
                <c:pt idx="6">
                  <c:v>223</c:v>
                </c:pt>
                <c:pt idx="7">
                  <c:v>196</c:v>
                </c:pt>
                <c:pt idx="8">
                  <c:v>296</c:v>
                </c:pt>
                <c:pt idx="9">
                  <c:v>283</c:v>
                </c:pt>
                <c:pt idx="10">
                  <c:v>329</c:v>
                </c:pt>
                <c:pt idx="11">
                  <c:v>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496512"/>
        <c:axId val="80515072"/>
      </c:lineChart>
      <c:catAx>
        <c:axId val="80496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515072"/>
        <c:crosses val="autoZero"/>
        <c:auto val="1"/>
        <c:lblAlgn val="ctr"/>
        <c:lblOffset val="100"/>
        <c:noMultiLvlLbl val="0"/>
      </c:catAx>
      <c:valAx>
        <c:axId val="80515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49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GULU-KARUMA'!$C$59:$N$59</c:f>
              <c:numCache>
                <c:formatCode>0.0%</c:formatCode>
                <c:ptCount val="12"/>
                <c:pt idx="0">
                  <c:v>5.8139534883720929E-2</c:v>
                </c:pt>
                <c:pt idx="1">
                  <c:v>3.4883720930232558E-2</c:v>
                </c:pt>
                <c:pt idx="2">
                  <c:v>7.8029375764993886E-2</c:v>
                </c:pt>
                <c:pt idx="3">
                  <c:v>2.8151774785801713E-2</c:v>
                </c:pt>
                <c:pt idx="4">
                  <c:v>6.4259485924112606E-3</c:v>
                </c:pt>
                <c:pt idx="5">
                  <c:v>8.5679314565483469E-3</c:v>
                </c:pt>
                <c:pt idx="6">
                  <c:v>2.3561811505507957E-2</c:v>
                </c:pt>
                <c:pt idx="7">
                  <c:v>2.2949816401468787E-2</c:v>
                </c:pt>
                <c:pt idx="8">
                  <c:v>3.3659730722154224E-3</c:v>
                </c:pt>
                <c:pt idx="9">
                  <c:v>3.4271725826193387E-2</c:v>
                </c:pt>
                <c:pt idx="10">
                  <c:v>0.7016523867809058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GULU-KARUMA'!$S$9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GULU-KARUMA'!$S$10:$S$21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21</c:v>
                </c:pt>
                <c:pt idx="3">
                  <c:v>26</c:v>
                </c:pt>
                <c:pt idx="4">
                  <c:v>28</c:v>
                </c:pt>
                <c:pt idx="5">
                  <c:v>30</c:v>
                </c:pt>
                <c:pt idx="6">
                  <c:v>7</c:v>
                </c:pt>
                <c:pt idx="7">
                  <c:v>11</c:v>
                </c:pt>
                <c:pt idx="8">
                  <c:v>9</c:v>
                </c:pt>
                <c:pt idx="9">
                  <c:v>12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'02.08 GULU-KARUMA'!$T$9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GULU-KARUMA'!$T$10:$T$21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12</c:v>
                </c:pt>
                <c:pt idx="3">
                  <c:v>9</c:v>
                </c:pt>
                <c:pt idx="4">
                  <c:v>17</c:v>
                </c:pt>
                <c:pt idx="5">
                  <c:v>13</c:v>
                </c:pt>
                <c:pt idx="6">
                  <c:v>5</c:v>
                </c:pt>
                <c:pt idx="7">
                  <c:v>9</c:v>
                </c:pt>
                <c:pt idx="8">
                  <c:v>13</c:v>
                </c:pt>
                <c:pt idx="9">
                  <c:v>8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'02.08 GULU-KARUMA'!$U$9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GULU-KARUMA'!$U$10:$U$21</c:f>
              <c:numCache>
                <c:formatCode>0</c:formatCode>
                <c:ptCount val="12"/>
                <c:pt idx="0">
                  <c:v>16</c:v>
                </c:pt>
                <c:pt idx="1">
                  <c:v>18</c:v>
                </c:pt>
                <c:pt idx="2">
                  <c:v>26</c:v>
                </c:pt>
                <c:pt idx="3">
                  <c:v>21</c:v>
                </c:pt>
                <c:pt idx="4">
                  <c:v>38</c:v>
                </c:pt>
                <c:pt idx="5">
                  <c:v>27</c:v>
                </c:pt>
                <c:pt idx="6">
                  <c:v>14</c:v>
                </c:pt>
                <c:pt idx="7">
                  <c:v>19</c:v>
                </c:pt>
                <c:pt idx="8">
                  <c:v>28</c:v>
                </c:pt>
                <c:pt idx="9">
                  <c:v>16</c:v>
                </c:pt>
                <c:pt idx="10">
                  <c:v>19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'02.08 GULU-KARUMA'!$V$9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GULU-KARUMA'!$V$10:$V$21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11</c:v>
                </c:pt>
                <c:pt idx="9">
                  <c:v>9</c:v>
                </c:pt>
                <c:pt idx="10">
                  <c:v>14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'02.08 GULU-KARUMA'!$W$9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GULU-KARUMA'!$W$10:$W$21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'02.08 GULU-KARUMA'!$X$9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GULU-KARUMA'!$X$10:$X$21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'02.08 GULU-KARUMA'!$Y$9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GULU-KARUMA'!$Y$10:$Y$21</c:f>
              <c:numCache>
                <c:formatCode>0</c:formatCode>
                <c:ptCount val="12"/>
                <c:pt idx="0">
                  <c:v>3</c:v>
                </c:pt>
                <c:pt idx="1">
                  <c:v>11</c:v>
                </c:pt>
                <c:pt idx="2">
                  <c:v>6</c:v>
                </c:pt>
                <c:pt idx="3">
                  <c:v>4</c:v>
                </c:pt>
                <c:pt idx="4">
                  <c:v>8</c:v>
                </c:pt>
                <c:pt idx="5">
                  <c:v>9</c:v>
                </c:pt>
                <c:pt idx="6">
                  <c:v>1</c:v>
                </c:pt>
                <c:pt idx="7">
                  <c:v>9</c:v>
                </c:pt>
                <c:pt idx="8">
                  <c:v>5</c:v>
                </c:pt>
                <c:pt idx="9">
                  <c:v>12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'02.08 GULU-KARUMA'!$Z$9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GULU-KARUMA'!$Z$10:$Z$21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2</c:v>
                </c:pt>
                <c:pt idx="3">
                  <c:v>9</c:v>
                </c:pt>
                <c:pt idx="4">
                  <c:v>9</c:v>
                </c:pt>
                <c:pt idx="5">
                  <c:v>5</c:v>
                </c:pt>
                <c:pt idx="6">
                  <c:v>11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11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'02.08 GULU-KARUMA'!$AA$9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'02.08 GULU-KARUMA'!$AB$9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GULU-KARUMA'!$AB$10:$AB$21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4</c:v>
                </c:pt>
                <c:pt idx="3">
                  <c:v>9</c:v>
                </c:pt>
                <c:pt idx="4">
                  <c:v>13</c:v>
                </c:pt>
                <c:pt idx="5">
                  <c:v>18</c:v>
                </c:pt>
                <c:pt idx="6">
                  <c:v>11</c:v>
                </c:pt>
                <c:pt idx="7">
                  <c:v>4</c:v>
                </c:pt>
                <c:pt idx="8">
                  <c:v>4</c:v>
                </c:pt>
                <c:pt idx="9">
                  <c:v>12</c:v>
                </c:pt>
                <c:pt idx="10">
                  <c:v>13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'02.08 GULU-KARUMA'!$AC$9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GULU-KARUMA'!$AC$10:$AC$21</c:f>
              <c:numCache>
                <c:formatCode>0</c:formatCode>
                <c:ptCount val="12"/>
                <c:pt idx="0">
                  <c:v>201</c:v>
                </c:pt>
                <c:pt idx="1">
                  <c:v>171</c:v>
                </c:pt>
                <c:pt idx="2">
                  <c:v>225</c:v>
                </c:pt>
                <c:pt idx="3">
                  <c:v>178</c:v>
                </c:pt>
                <c:pt idx="4">
                  <c:v>189</c:v>
                </c:pt>
                <c:pt idx="5">
                  <c:v>189</c:v>
                </c:pt>
                <c:pt idx="6">
                  <c:v>166</c:v>
                </c:pt>
                <c:pt idx="7">
                  <c:v>130</c:v>
                </c:pt>
                <c:pt idx="8">
                  <c:v>218</c:v>
                </c:pt>
                <c:pt idx="9">
                  <c:v>204</c:v>
                </c:pt>
                <c:pt idx="10">
                  <c:v>239</c:v>
                </c:pt>
                <c:pt idx="11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'02.08 GULU-KARUMA'!$AD$9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GULU-KARUMA'!$AD$10:$AD$21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80128"/>
        <c:axId val="78881920"/>
      </c:lineChart>
      <c:catAx>
        <c:axId val="7888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881920"/>
        <c:crosses val="autoZero"/>
        <c:auto val="1"/>
        <c:lblAlgn val="ctr"/>
        <c:lblOffset val="100"/>
        <c:noMultiLvlLbl val="0"/>
      </c:catAx>
      <c:valAx>
        <c:axId val="7888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88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GULU-KARUMA'!$C$60:$N$60</c:f>
              <c:numCache>
                <c:formatCode>0.00%</c:formatCode>
                <c:ptCount val="12"/>
                <c:pt idx="0">
                  <c:v>0.19487179487179487</c:v>
                </c:pt>
                <c:pt idx="1">
                  <c:v>0.11692307692307692</c:v>
                </c:pt>
                <c:pt idx="2">
                  <c:v>0.26153846153846155</c:v>
                </c:pt>
                <c:pt idx="3">
                  <c:v>9.4358974358974362E-2</c:v>
                </c:pt>
                <c:pt idx="4">
                  <c:v>2.1538461538461538E-2</c:v>
                </c:pt>
                <c:pt idx="5">
                  <c:v>2.8717948717948718E-2</c:v>
                </c:pt>
                <c:pt idx="6">
                  <c:v>7.8974358974358977E-2</c:v>
                </c:pt>
                <c:pt idx="7">
                  <c:v>7.6923076923076927E-2</c:v>
                </c:pt>
                <c:pt idx="8">
                  <c:v>1.1282051282051283E-2</c:v>
                </c:pt>
                <c:pt idx="9">
                  <c:v>0.11487179487179487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KARUMA-GULU'!$AE$9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KARUMA-GULU'!$AE$10:$AE$21</c:f>
              <c:numCache>
                <c:formatCode>0</c:formatCode>
                <c:ptCount val="12"/>
                <c:pt idx="0">
                  <c:v>68</c:v>
                </c:pt>
                <c:pt idx="1">
                  <c:v>93</c:v>
                </c:pt>
                <c:pt idx="2">
                  <c:v>74</c:v>
                </c:pt>
                <c:pt idx="3">
                  <c:v>62</c:v>
                </c:pt>
                <c:pt idx="4">
                  <c:v>58</c:v>
                </c:pt>
                <c:pt idx="5">
                  <c:v>72</c:v>
                </c:pt>
                <c:pt idx="6">
                  <c:v>80</c:v>
                </c:pt>
                <c:pt idx="7">
                  <c:v>54</c:v>
                </c:pt>
                <c:pt idx="8">
                  <c:v>76</c:v>
                </c:pt>
                <c:pt idx="9">
                  <c:v>100</c:v>
                </c:pt>
                <c:pt idx="10">
                  <c:v>90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'02.08 KARUMA-GULU'!$AF$9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KARUMA-GULU'!$AF$10:$AF$21</c:f>
              <c:numCache>
                <c:formatCode>0</c:formatCode>
                <c:ptCount val="12"/>
                <c:pt idx="0">
                  <c:v>460</c:v>
                </c:pt>
                <c:pt idx="1">
                  <c:v>414</c:v>
                </c:pt>
                <c:pt idx="2">
                  <c:v>334</c:v>
                </c:pt>
                <c:pt idx="3">
                  <c:v>273</c:v>
                </c:pt>
                <c:pt idx="4">
                  <c:v>251</c:v>
                </c:pt>
                <c:pt idx="5">
                  <c:v>327</c:v>
                </c:pt>
                <c:pt idx="6">
                  <c:v>292</c:v>
                </c:pt>
                <c:pt idx="7">
                  <c:v>250</c:v>
                </c:pt>
                <c:pt idx="8">
                  <c:v>288</c:v>
                </c:pt>
                <c:pt idx="9">
                  <c:v>411</c:v>
                </c:pt>
                <c:pt idx="10">
                  <c:v>415</c:v>
                </c:pt>
                <c:pt idx="11">
                  <c:v>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892288"/>
        <c:axId val="80894208"/>
      </c:lineChart>
      <c:catAx>
        <c:axId val="80892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894208"/>
        <c:crosses val="autoZero"/>
        <c:auto val="1"/>
        <c:lblAlgn val="ctr"/>
        <c:lblOffset val="100"/>
        <c:noMultiLvlLbl val="0"/>
      </c:catAx>
      <c:valAx>
        <c:axId val="808942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89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KARUMA-GULU'!$C$59:$N$59</c:f>
              <c:numCache>
                <c:formatCode>0.0%</c:formatCode>
                <c:ptCount val="12"/>
                <c:pt idx="0">
                  <c:v>8.7451550387596902E-2</c:v>
                </c:pt>
                <c:pt idx="1">
                  <c:v>2.4951550387596898E-2</c:v>
                </c:pt>
                <c:pt idx="2">
                  <c:v>5.4263565891472867E-2</c:v>
                </c:pt>
                <c:pt idx="3">
                  <c:v>8.2364341085271325E-3</c:v>
                </c:pt>
                <c:pt idx="4">
                  <c:v>1.2112403100775194E-3</c:v>
                </c:pt>
                <c:pt idx="5">
                  <c:v>3.3914728682170542E-3</c:v>
                </c:pt>
                <c:pt idx="6">
                  <c:v>2.0106589147286823E-2</c:v>
                </c:pt>
                <c:pt idx="7">
                  <c:v>4.3604651162790697E-3</c:v>
                </c:pt>
                <c:pt idx="8">
                  <c:v>1.937984496124031E-3</c:v>
                </c:pt>
                <c:pt idx="9">
                  <c:v>1.4777131782945737E-2</c:v>
                </c:pt>
                <c:pt idx="10">
                  <c:v>0.77931201550387597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KARUMA-GULU'!$S$9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KARUMA-GULU'!$S$10:$S$21</c:f>
              <c:numCache>
                <c:formatCode>0</c:formatCode>
                <c:ptCount val="12"/>
                <c:pt idx="0">
                  <c:v>29</c:v>
                </c:pt>
                <c:pt idx="1">
                  <c:v>53</c:v>
                </c:pt>
                <c:pt idx="2">
                  <c:v>25</c:v>
                </c:pt>
                <c:pt idx="3">
                  <c:v>19</c:v>
                </c:pt>
                <c:pt idx="4">
                  <c:v>22</c:v>
                </c:pt>
                <c:pt idx="5">
                  <c:v>29</c:v>
                </c:pt>
                <c:pt idx="6">
                  <c:v>26</c:v>
                </c:pt>
                <c:pt idx="7">
                  <c:v>14</c:v>
                </c:pt>
                <c:pt idx="8">
                  <c:v>30</c:v>
                </c:pt>
                <c:pt idx="9">
                  <c:v>48</c:v>
                </c:pt>
                <c:pt idx="10">
                  <c:v>30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'02.08 KARUMA-GULU'!$T$9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KARUMA-GULU'!$T$10:$T$21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'02.08 KARUMA-GULU'!$U$9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KARUMA-GULU'!$U$10:$U$21</c:f>
              <c:numCache>
                <c:formatCode>0</c:formatCode>
                <c:ptCount val="12"/>
                <c:pt idx="0">
                  <c:v>13</c:v>
                </c:pt>
                <c:pt idx="1">
                  <c:v>12</c:v>
                </c:pt>
                <c:pt idx="2">
                  <c:v>19</c:v>
                </c:pt>
                <c:pt idx="3">
                  <c:v>15</c:v>
                </c:pt>
                <c:pt idx="4">
                  <c:v>16</c:v>
                </c:pt>
                <c:pt idx="5">
                  <c:v>18</c:v>
                </c:pt>
                <c:pt idx="6">
                  <c:v>23</c:v>
                </c:pt>
                <c:pt idx="7">
                  <c:v>20</c:v>
                </c:pt>
                <c:pt idx="8">
                  <c:v>18</c:v>
                </c:pt>
                <c:pt idx="9">
                  <c:v>23</c:v>
                </c:pt>
                <c:pt idx="10">
                  <c:v>26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'02.08 KARUMA-GULU'!$V$9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KARUMA-GULU'!$V$10:$V$21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4</c:v>
                </c:pt>
                <c:pt idx="6">
                  <c:v>6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'02.08 KARUMA-GULU'!$W$9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'02.08 KARUMA-GULU'!$X$9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'02.08 KARUMA-GULU'!$Y$9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KARUMA-GULU'!$Y$10:$Y$21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8</c:v>
                </c:pt>
                <c:pt idx="3">
                  <c:v>10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8</c:v>
                </c:pt>
                <c:pt idx="9">
                  <c:v>8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'02.08 KARUMA-GULU'!$Z$9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'02.08 KARUMA-GULU'!$AA$9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'02.08 KARUMA-GULU'!$AB$9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KARUMA-GULU'!$AB$10:$AB$21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'02.08 KARUMA-GULU'!$AC$9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KARUMA-GULU'!$AC$10:$AC$21</c:f>
              <c:numCache>
                <c:formatCode>0</c:formatCode>
                <c:ptCount val="12"/>
                <c:pt idx="0">
                  <c:v>392</c:v>
                </c:pt>
                <c:pt idx="1">
                  <c:v>321</c:v>
                </c:pt>
                <c:pt idx="2">
                  <c:v>260</c:v>
                </c:pt>
                <c:pt idx="3">
                  <c:v>211</c:v>
                </c:pt>
                <c:pt idx="4">
                  <c:v>193</c:v>
                </c:pt>
                <c:pt idx="5">
                  <c:v>255</c:v>
                </c:pt>
                <c:pt idx="6">
                  <c:v>212</c:v>
                </c:pt>
                <c:pt idx="7">
                  <c:v>196</c:v>
                </c:pt>
                <c:pt idx="8">
                  <c:v>212</c:v>
                </c:pt>
                <c:pt idx="9">
                  <c:v>311</c:v>
                </c:pt>
                <c:pt idx="10">
                  <c:v>325</c:v>
                </c:pt>
                <c:pt idx="11">
                  <c:v>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'02.08 KARUMA-GULU'!$AD$9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KARUMA-GULU'!$AD$10:$AD$21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685312"/>
        <c:axId val="80691200"/>
      </c:lineChart>
      <c:catAx>
        <c:axId val="8068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691200"/>
        <c:crosses val="autoZero"/>
        <c:auto val="1"/>
        <c:lblAlgn val="ctr"/>
        <c:lblOffset val="100"/>
        <c:noMultiLvlLbl val="0"/>
      </c:catAx>
      <c:valAx>
        <c:axId val="8069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68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KARUMA-GULU'!$C$60:$N$60</c:f>
              <c:numCache>
                <c:formatCode>0.00%</c:formatCode>
                <c:ptCount val="12"/>
                <c:pt idx="0">
                  <c:v>0.39626783754116357</c:v>
                </c:pt>
                <c:pt idx="1">
                  <c:v>0.11306256860592755</c:v>
                </c:pt>
                <c:pt idx="2">
                  <c:v>0.24588364434687157</c:v>
                </c:pt>
                <c:pt idx="3">
                  <c:v>3.7321624588364431E-2</c:v>
                </c:pt>
                <c:pt idx="4">
                  <c:v>5.4884742041712408E-3</c:v>
                </c:pt>
                <c:pt idx="5">
                  <c:v>1.5367727771679473E-2</c:v>
                </c:pt>
                <c:pt idx="6">
                  <c:v>9.110867178924259E-2</c:v>
                </c:pt>
                <c:pt idx="7">
                  <c:v>1.9758507135016465E-2</c:v>
                </c:pt>
                <c:pt idx="8">
                  <c:v>8.7815587266739849E-3</c:v>
                </c:pt>
                <c:pt idx="9">
                  <c:v>6.6959385290889128E-2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 08 GULU-KARUMA-24HRS'!$AE$9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 08 GULU-KARUMA-24HRS'!$R$10:$R$33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 08 GULU-KARUMA-24HRS'!$AE$10:$AE$33</c:f>
              <c:numCache>
                <c:formatCode>0</c:formatCode>
                <c:ptCount val="24"/>
                <c:pt idx="0">
                  <c:v>34</c:v>
                </c:pt>
                <c:pt idx="1">
                  <c:v>71</c:v>
                </c:pt>
                <c:pt idx="2">
                  <c:v>74</c:v>
                </c:pt>
                <c:pt idx="3">
                  <c:v>72</c:v>
                </c:pt>
                <c:pt idx="4">
                  <c:v>89</c:v>
                </c:pt>
                <c:pt idx="5">
                  <c:v>78</c:v>
                </c:pt>
                <c:pt idx="6">
                  <c:v>108</c:v>
                </c:pt>
                <c:pt idx="7">
                  <c:v>96</c:v>
                </c:pt>
                <c:pt idx="8">
                  <c:v>73</c:v>
                </c:pt>
                <c:pt idx="9">
                  <c:v>80</c:v>
                </c:pt>
                <c:pt idx="10">
                  <c:v>85</c:v>
                </c:pt>
                <c:pt idx="11">
                  <c:v>53</c:v>
                </c:pt>
                <c:pt idx="12">
                  <c:v>38</c:v>
                </c:pt>
                <c:pt idx="13">
                  <c:v>73</c:v>
                </c:pt>
                <c:pt idx="14">
                  <c:v>94</c:v>
                </c:pt>
                <c:pt idx="15">
                  <c:v>78</c:v>
                </c:pt>
                <c:pt idx="16">
                  <c:v>100</c:v>
                </c:pt>
                <c:pt idx="17">
                  <c:v>88</c:v>
                </c:pt>
                <c:pt idx="18">
                  <c:v>96</c:v>
                </c:pt>
                <c:pt idx="19">
                  <c:v>84</c:v>
                </c:pt>
                <c:pt idx="20">
                  <c:v>87</c:v>
                </c:pt>
                <c:pt idx="21">
                  <c:v>102</c:v>
                </c:pt>
                <c:pt idx="22">
                  <c:v>91</c:v>
                </c:pt>
                <c:pt idx="23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'03. 08 GULU-KARUMA-24HRS'!$AF$9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 08 GULU-KARUMA-24HRS'!$R$10:$R$33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 08 GULU-KARUMA-24HRS'!$AF$10:$AF$33</c:f>
              <c:numCache>
                <c:formatCode>0</c:formatCode>
                <c:ptCount val="24"/>
                <c:pt idx="0">
                  <c:v>203</c:v>
                </c:pt>
                <c:pt idx="1">
                  <c:v>351</c:v>
                </c:pt>
                <c:pt idx="2">
                  <c:v>307</c:v>
                </c:pt>
                <c:pt idx="3">
                  <c:v>299</c:v>
                </c:pt>
                <c:pt idx="4">
                  <c:v>299</c:v>
                </c:pt>
                <c:pt idx="5">
                  <c:v>311</c:v>
                </c:pt>
                <c:pt idx="6">
                  <c:v>318</c:v>
                </c:pt>
                <c:pt idx="7">
                  <c:v>293</c:v>
                </c:pt>
                <c:pt idx="8">
                  <c:v>292</c:v>
                </c:pt>
                <c:pt idx="9">
                  <c:v>324</c:v>
                </c:pt>
                <c:pt idx="10">
                  <c:v>343</c:v>
                </c:pt>
                <c:pt idx="11">
                  <c:v>271</c:v>
                </c:pt>
                <c:pt idx="12">
                  <c:v>233</c:v>
                </c:pt>
                <c:pt idx="13">
                  <c:v>244</c:v>
                </c:pt>
                <c:pt idx="14">
                  <c:v>262</c:v>
                </c:pt>
                <c:pt idx="15">
                  <c:v>182</c:v>
                </c:pt>
                <c:pt idx="16">
                  <c:v>164</c:v>
                </c:pt>
                <c:pt idx="17">
                  <c:v>143</c:v>
                </c:pt>
                <c:pt idx="18">
                  <c:v>122</c:v>
                </c:pt>
                <c:pt idx="19">
                  <c:v>87</c:v>
                </c:pt>
                <c:pt idx="20">
                  <c:v>95</c:v>
                </c:pt>
                <c:pt idx="21">
                  <c:v>102</c:v>
                </c:pt>
                <c:pt idx="22">
                  <c:v>98</c:v>
                </c:pt>
                <c:pt idx="23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447168"/>
        <c:axId val="77449088"/>
      </c:lineChart>
      <c:catAx>
        <c:axId val="77447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7449088"/>
        <c:crosses val="autoZero"/>
        <c:auto val="1"/>
        <c:lblAlgn val="ctr"/>
        <c:lblOffset val="100"/>
        <c:noMultiLvlLbl val="0"/>
      </c:catAx>
      <c:valAx>
        <c:axId val="77449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744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 08 GULU-KARUMA-24HRS'!$C$9:$N$9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 08 GULU-KARUMA-24HRS'!$C$107:$N$107</c:f>
              <c:numCache>
                <c:formatCode>0.0%</c:formatCode>
                <c:ptCount val="12"/>
                <c:pt idx="0">
                  <c:v>7.8725741486634929E-2</c:v>
                </c:pt>
                <c:pt idx="1">
                  <c:v>4.302453313804467E-2</c:v>
                </c:pt>
                <c:pt idx="2">
                  <c:v>9.5386305382643727E-2</c:v>
                </c:pt>
                <c:pt idx="3">
                  <c:v>2.2153057488099596E-2</c:v>
                </c:pt>
                <c:pt idx="4">
                  <c:v>1.4646649578908824E-3</c:v>
                </c:pt>
                <c:pt idx="5">
                  <c:v>1.0984987184181618E-2</c:v>
                </c:pt>
                <c:pt idx="6">
                  <c:v>6.0966678872207983E-2</c:v>
                </c:pt>
                <c:pt idx="7">
                  <c:v>4.9432442328817281E-3</c:v>
                </c:pt>
                <c:pt idx="8">
                  <c:v>1.2815818381545221E-3</c:v>
                </c:pt>
                <c:pt idx="9">
                  <c:v>3.3504210911753936E-2</c:v>
                </c:pt>
                <c:pt idx="10">
                  <c:v>0.64610032954961549</c:v>
                </c:pt>
                <c:pt idx="11">
                  <c:v>1.4646649578908824E-3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 08 GULU-KARUMA-24HRS'!$C$9:$N$9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 08 GULU-KARUMA-24HRS'!$C$108:$N$108</c:f>
              <c:numCache>
                <c:formatCode>0.00%</c:formatCode>
                <c:ptCount val="12"/>
                <c:pt idx="0">
                  <c:v>0.22245214692188309</c:v>
                </c:pt>
                <c:pt idx="1">
                  <c:v>0.12157268494568028</c:v>
                </c:pt>
                <c:pt idx="2">
                  <c:v>0.26952922917744437</c:v>
                </c:pt>
                <c:pt idx="3">
                  <c:v>6.2596999482669433E-2</c:v>
                </c:pt>
                <c:pt idx="4">
                  <c:v>4.1386445938954991E-3</c:v>
                </c:pt>
                <c:pt idx="5">
                  <c:v>3.1039834454216243E-2</c:v>
                </c:pt>
                <c:pt idx="6">
                  <c:v>0.17227108122090015</c:v>
                </c:pt>
                <c:pt idx="7">
                  <c:v>1.3967925504397309E-2</c:v>
                </c:pt>
                <c:pt idx="8">
                  <c:v>3.6213140196585617E-3</c:v>
                </c:pt>
                <c:pt idx="9">
                  <c:v>9.4671495085359547E-2</c:v>
                </c:pt>
                <c:pt idx="11">
                  <c:v>4.1386445938954991E-3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KARUMA-GULU-24HRS'!$AE$9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KARUMA-GULU-24HRS'!$R$10:$R$33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KARUMA-GULU-24HRS'!$AE$10:$AE$33</c:f>
              <c:numCache>
                <c:formatCode>0</c:formatCode>
                <c:ptCount val="24"/>
                <c:pt idx="0">
                  <c:v>37</c:v>
                </c:pt>
                <c:pt idx="1">
                  <c:v>61</c:v>
                </c:pt>
                <c:pt idx="2">
                  <c:v>50</c:v>
                </c:pt>
                <c:pt idx="3">
                  <c:v>51</c:v>
                </c:pt>
                <c:pt idx="4">
                  <c:v>58</c:v>
                </c:pt>
                <c:pt idx="5">
                  <c:v>60</c:v>
                </c:pt>
                <c:pt idx="6">
                  <c:v>58</c:v>
                </c:pt>
                <c:pt idx="7">
                  <c:v>79</c:v>
                </c:pt>
                <c:pt idx="8">
                  <c:v>27</c:v>
                </c:pt>
                <c:pt idx="9">
                  <c:v>88</c:v>
                </c:pt>
                <c:pt idx="10">
                  <c:v>83</c:v>
                </c:pt>
                <c:pt idx="11">
                  <c:v>63</c:v>
                </c:pt>
                <c:pt idx="12">
                  <c:v>62</c:v>
                </c:pt>
                <c:pt idx="13">
                  <c:v>56</c:v>
                </c:pt>
                <c:pt idx="14">
                  <c:v>58</c:v>
                </c:pt>
                <c:pt idx="15">
                  <c:v>68</c:v>
                </c:pt>
                <c:pt idx="16">
                  <c:v>63</c:v>
                </c:pt>
                <c:pt idx="17">
                  <c:v>54</c:v>
                </c:pt>
                <c:pt idx="18">
                  <c:v>54</c:v>
                </c:pt>
                <c:pt idx="19">
                  <c:v>55</c:v>
                </c:pt>
                <c:pt idx="20">
                  <c:v>76</c:v>
                </c:pt>
                <c:pt idx="21">
                  <c:v>81</c:v>
                </c:pt>
                <c:pt idx="22">
                  <c:v>107</c:v>
                </c:pt>
                <c:pt idx="23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'03.08 KARUMA-GULU-24HRS'!$AF$9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KARUMA-GULU-24HRS'!$R$10:$R$33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KARUMA-GULU-24HRS'!$AF$10:$AF$33</c:f>
              <c:numCache>
                <c:formatCode>0</c:formatCode>
                <c:ptCount val="24"/>
                <c:pt idx="0">
                  <c:v>205</c:v>
                </c:pt>
                <c:pt idx="1">
                  <c:v>245</c:v>
                </c:pt>
                <c:pt idx="2">
                  <c:v>210</c:v>
                </c:pt>
                <c:pt idx="3">
                  <c:v>121</c:v>
                </c:pt>
                <c:pt idx="4">
                  <c:v>164</c:v>
                </c:pt>
                <c:pt idx="5">
                  <c:v>252</c:v>
                </c:pt>
                <c:pt idx="6">
                  <c:v>298</c:v>
                </c:pt>
                <c:pt idx="7">
                  <c:v>252</c:v>
                </c:pt>
                <c:pt idx="8">
                  <c:v>252</c:v>
                </c:pt>
                <c:pt idx="9">
                  <c:v>361</c:v>
                </c:pt>
                <c:pt idx="10">
                  <c:v>358</c:v>
                </c:pt>
                <c:pt idx="11">
                  <c:v>320</c:v>
                </c:pt>
                <c:pt idx="12">
                  <c:v>257</c:v>
                </c:pt>
                <c:pt idx="13">
                  <c:v>227</c:v>
                </c:pt>
                <c:pt idx="14">
                  <c:v>226</c:v>
                </c:pt>
                <c:pt idx="15">
                  <c:v>172</c:v>
                </c:pt>
                <c:pt idx="16">
                  <c:v>124</c:v>
                </c:pt>
                <c:pt idx="17">
                  <c:v>110</c:v>
                </c:pt>
                <c:pt idx="18">
                  <c:v>78</c:v>
                </c:pt>
                <c:pt idx="19">
                  <c:v>58</c:v>
                </c:pt>
                <c:pt idx="20">
                  <c:v>84</c:v>
                </c:pt>
                <c:pt idx="21">
                  <c:v>81</c:v>
                </c:pt>
                <c:pt idx="22">
                  <c:v>114</c:v>
                </c:pt>
                <c:pt idx="23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35872"/>
        <c:axId val="81150336"/>
      </c:lineChart>
      <c:catAx>
        <c:axId val="81135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50336"/>
        <c:crosses val="autoZero"/>
        <c:auto val="1"/>
        <c:lblAlgn val="ctr"/>
        <c:lblOffset val="100"/>
        <c:noMultiLvlLbl val="0"/>
      </c:catAx>
      <c:valAx>
        <c:axId val="81150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3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KARUMA-GULU-24HRS'!$C$9:$N$9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KARUMA-GULU-24HRS'!$C$107:$N$107</c:f>
              <c:numCache>
                <c:formatCode>0.0%</c:formatCode>
                <c:ptCount val="12"/>
                <c:pt idx="0">
                  <c:v>7.0685629378051368E-2</c:v>
                </c:pt>
                <c:pt idx="1">
                  <c:v>3.9482063256208871E-2</c:v>
                </c:pt>
                <c:pt idx="2">
                  <c:v>8.894077690511569E-2</c:v>
                </c:pt>
                <c:pt idx="3">
                  <c:v>3.4599872638505627E-2</c:v>
                </c:pt>
                <c:pt idx="4">
                  <c:v>2.5472298874973467E-3</c:v>
                </c:pt>
                <c:pt idx="5">
                  <c:v>8.9153046062407128E-3</c:v>
                </c:pt>
                <c:pt idx="6">
                  <c:v>4.4151984716620678E-2</c:v>
                </c:pt>
                <c:pt idx="7">
                  <c:v>1.3160687752069624E-2</c:v>
                </c:pt>
                <c:pt idx="8">
                  <c:v>1.0613457864572277E-3</c:v>
                </c:pt>
                <c:pt idx="9">
                  <c:v>2.7382721290596476E-2</c:v>
                </c:pt>
                <c:pt idx="10">
                  <c:v>0.66864784546805345</c:v>
                </c:pt>
                <c:pt idx="11">
                  <c:v>4.2453831458289112E-4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KARUMA-GULU-24HRS'!$C$9:$N$9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KARUMA-GULU-24HRS'!$C$108:$N$108</c:f>
              <c:numCache>
                <c:formatCode>0.00%</c:formatCode>
                <c:ptCount val="12"/>
                <c:pt idx="0">
                  <c:v>0.21332479180012812</c:v>
                </c:pt>
                <c:pt idx="1">
                  <c:v>0.11915438821268418</c:v>
                </c:pt>
                <c:pt idx="2">
                  <c:v>0.26841768097373481</c:v>
                </c:pt>
                <c:pt idx="3">
                  <c:v>0.10442024343369635</c:v>
                </c:pt>
                <c:pt idx="4">
                  <c:v>7.6873798846893021E-3</c:v>
                </c:pt>
                <c:pt idx="5">
                  <c:v>2.6905829596412557E-2</c:v>
                </c:pt>
                <c:pt idx="6">
                  <c:v>0.13324791800128122</c:v>
                </c:pt>
                <c:pt idx="7">
                  <c:v>3.9718129404228059E-2</c:v>
                </c:pt>
                <c:pt idx="8">
                  <c:v>3.2030749519538757E-3</c:v>
                </c:pt>
                <c:pt idx="9">
                  <c:v>8.2639333760409994E-2</c:v>
                </c:pt>
                <c:pt idx="11">
                  <c:v>1.2812299807815502E-3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GULU-KARUMA'!$AE$9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GULU-KARUMA'!$AE$10:$AE$21</c:f>
              <c:numCache>
                <c:formatCode>0</c:formatCode>
                <c:ptCount val="12"/>
                <c:pt idx="0">
                  <c:v>35</c:v>
                </c:pt>
                <c:pt idx="1">
                  <c:v>88</c:v>
                </c:pt>
                <c:pt idx="2">
                  <c:v>98</c:v>
                </c:pt>
                <c:pt idx="3">
                  <c:v>97</c:v>
                </c:pt>
                <c:pt idx="4">
                  <c:v>120</c:v>
                </c:pt>
                <c:pt idx="5">
                  <c:v>101</c:v>
                </c:pt>
                <c:pt idx="6">
                  <c:v>75</c:v>
                </c:pt>
                <c:pt idx="7">
                  <c:v>71</c:v>
                </c:pt>
                <c:pt idx="8">
                  <c:v>91</c:v>
                </c:pt>
                <c:pt idx="9">
                  <c:v>72</c:v>
                </c:pt>
                <c:pt idx="10">
                  <c:v>84</c:v>
                </c:pt>
                <c:pt idx="11">
                  <c:v>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'04.08 GULU-KARUMA'!$AF$9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GULU-KARUMA'!$AF$10:$AF$21</c:f>
              <c:numCache>
                <c:formatCode>0</c:formatCode>
                <c:ptCount val="12"/>
                <c:pt idx="0">
                  <c:v>206</c:v>
                </c:pt>
                <c:pt idx="1">
                  <c:v>332</c:v>
                </c:pt>
                <c:pt idx="2">
                  <c:v>354</c:v>
                </c:pt>
                <c:pt idx="3">
                  <c:v>347</c:v>
                </c:pt>
                <c:pt idx="4">
                  <c:v>333</c:v>
                </c:pt>
                <c:pt idx="5">
                  <c:v>296</c:v>
                </c:pt>
                <c:pt idx="6">
                  <c:v>274</c:v>
                </c:pt>
                <c:pt idx="7">
                  <c:v>281</c:v>
                </c:pt>
                <c:pt idx="8">
                  <c:v>276</c:v>
                </c:pt>
                <c:pt idx="9">
                  <c:v>261</c:v>
                </c:pt>
                <c:pt idx="10">
                  <c:v>260</c:v>
                </c:pt>
                <c:pt idx="11">
                  <c:v>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592704"/>
        <c:axId val="81594624"/>
      </c:lineChart>
      <c:catAx>
        <c:axId val="81592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594624"/>
        <c:crosses val="autoZero"/>
        <c:auto val="1"/>
        <c:lblAlgn val="ctr"/>
        <c:lblOffset val="100"/>
        <c:noMultiLvlLbl val="0"/>
      </c:catAx>
      <c:valAx>
        <c:axId val="81594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59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GULU-KARUMA'!$C$59:$N$59</c:f>
              <c:numCache>
                <c:formatCode>0.0%</c:formatCode>
                <c:ptCount val="12"/>
                <c:pt idx="0">
                  <c:v>8.2369534555712276E-2</c:v>
                </c:pt>
                <c:pt idx="1">
                  <c:v>3.0465444287729196E-2</c:v>
                </c:pt>
                <c:pt idx="2">
                  <c:v>6.9957686882933703E-2</c:v>
                </c:pt>
                <c:pt idx="3">
                  <c:v>1.4950634696755994E-2</c:v>
                </c:pt>
                <c:pt idx="4">
                  <c:v>1.4104372355430183E-3</c:v>
                </c:pt>
                <c:pt idx="5">
                  <c:v>7.616361071932299E-3</c:v>
                </c:pt>
                <c:pt idx="6">
                  <c:v>2.7926657263751764E-2</c:v>
                </c:pt>
                <c:pt idx="7">
                  <c:v>1.9746121297602257E-2</c:v>
                </c:pt>
                <c:pt idx="8">
                  <c:v>4.5133991537376584E-3</c:v>
                </c:pt>
                <c:pt idx="9">
                  <c:v>3.07475317348378E-2</c:v>
                </c:pt>
                <c:pt idx="10">
                  <c:v>0.70973201692524679</c:v>
                </c:pt>
                <c:pt idx="11">
                  <c:v>5.641748942172073E-4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GULU-KARUMA'!$S$9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GULU-KARUMA'!$S$10:$S$21</c:f>
              <c:numCache>
                <c:formatCode>0</c:formatCode>
                <c:ptCount val="12"/>
                <c:pt idx="0">
                  <c:v>6</c:v>
                </c:pt>
                <c:pt idx="1">
                  <c:v>28</c:v>
                </c:pt>
                <c:pt idx="2">
                  <c:v>29</c:v>
                </c:pt>
                <c:pt idx="3">
                  <c:v>20</c:v>
                </c:pt>
                <c:pt idx="4">
                  <c:v>33</c:v>
                </c:pt>
                <c:pt idx="5">
                  <c:v>29</c:v>
                </c:pt>
                <c:pt idx="6">
                  <c:v>28</c:v>
                </c:pt>
                <c:pt idx="7">
                  <c:v>23</c:v>
                </c:pt>
                <c:pt idx="8">
                  <c:v>21</c:v>
                </c:pt>
                <c:pt idx="9">
                  <c:v>24</c:v>
                </c:pt>
                <c:pt idx="10">
                  <c:v>17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'04.08 GULU-KARUMA'!$T$9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GULU-KARUMA'!$T$10:$T$21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13</c:v>
                </c:pt>
                <c:pt idx="5">
                  <c:v>11</c:v>
                </c:pt>
                <c:pt idx="6">
                  <c:v>5</c:v>
                </c:pt>
                <c:pt idx="7">
                  <c:v>6</c:v>
                </c:pt>
                <c:pt idx="8">
                  <c:v>8</c:v>
                </c:pt>
                <c:pt idx="9">
                  <c:v>7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'04.08 GULU-KARUMA'!$U$9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GULU-KARUMA'!$U$10:$U$21</c:f>
              <c:numCache>
                <c:formatCode>0</c:formatCode>
                <c:ptCount val="12"/>
                <c:pt idx="0">
                  <c:v>12</c:v>
                </c:pt>
                <c:pt idx="1">
                  <c:v>21</c:v>
                </c:pt>
                <c:pt idx="2">
                  <c:v>24</c:v>
                </c:pt>
                <c:pt idx="3">
                  <c:v>21</c:v>
                </c:pt>
                <c:pt idx="4">
                  <c:v>30</c:v>
                </c:pt>
                <c:pt idx="5">
                  <c:v>23</c:v>
                </c:pt>
                <c:pt idx="6">
                  <c:v>12</c:v>
                </c:pt>
                <c:pt idx="7">
                  <c:v>15</c:v>
                </c:pt>
                <c:pt idx="8">
                  <c:v>19</c:v>
                </c:pt>
                <c:pt idx="9">
                  <c:v>18</c:v>
                </c:pt>
                <c:pt idx="10">
                  <c:v>24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'04.08 GULU-KARUMA'!$V$9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GULU-KARUMA'!$V$10:$V$21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'04.08 GULU-KARUMA'!$W$9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'04.08 GULU-KARUMA'!$X$9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GULU-KARUMA'!$X$10:$X$21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'04.08 GULU-KARUMA'!$Y$9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GULU-KARUMA'!$Y$10:$Y$21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13</c:v>
                </c:pt>
                <c:pt idx="3">
                  <c:v>14</c:v>
                </c:pt>
                <c:pt idx="4">
                  <c:v>9</c:v>
                </c:pt>
                <c:pt idx="5">
                  <c:v>9</c:v>
                </c:pt>
                <c:pt idx="6">
                  <c:v>10</c:v>
                </c:pt>
                <c:pt idx="7">
                  <c:v>5</c:v>
                </c:pt>
                <c:pt idx="8">
                  <c:v>6</c:v>
                </c:pt>
                <c:pt idx="9">
                  <c:v>10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'04.08 GULU-KARUMA'!$Z$9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GULU-KARUMA'!$Z$10:$Z$21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9</c:v>
                </c:pt>
                <c:pt idx="9">
                  <c:v>2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'04.08 GULU-KARUMA'!$AA$9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'04.08 GULU-KARUMA'!$AB$9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14</c:v>
                </c:pt>
                <c:pt idx="4">
                  <c:v>14</c:v>
                </c:pt>
                <c:pt idx="5">
                  <c:v>19</c:v>
                </c:pt>
                <c:pt idx="6">
                  <c:v>11</c:v>
                </c:pt>
                <c:pt idx="7">
                  <c:v>10</c:v>
                </c:pt>
                <c:pt idx="8">
                  <c:v>18</c:v>
                </c:pt>
                <c:pt idx="9">
                  <c:v>3</c:v>
                </c:pt>
                <c:pt idx="10">
                  <c:v>12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'04.08 GULU-KARUMA'!$AC$9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GULU-KARUMA'!$AC$10:$AC$21</c:f>
              <c:numCache>
                <c:formatCode>0</c:formatCode>
                <c:ptCount val="12"/>
                <c:pt idx="0">
                  <c:v>171</c:v>
                </c:pt>
                <c:pt idx="1">
                  <c:v>244</c:v>
                </c:pt>
                <c:pt idx="2">
                  <c:v>256</c:v>
                </c:pt>
                <c:pt idx="3">
                  <c:v>250</c:v>
                </c:pt>
                <c:pt idx="4">
                  <c:v>213</c:v>
                </c:pt>
                <c:pt idx="5">
                  <c:v>195</c:v>
                </c:pt>
                <c:pt idx="6">
                  <c:v>199</c:v>
                </c:pt>
                <c:pt idx="7">
                  <c:v>210</c:v>
                </c:pt>
                <c:pt idx="8">
                  <c:v>185</c:v>
                </c:pt>
                <c:pt idx="9">
                  <c:v>189</c:v>
                </c:pt>
                <c:pt idx="10">
                  <c:v>176</c:v>
                </c:pt>
                <c:pt idx="11">
                  <c:v>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'04.08 GULU-KARUMA'!$AD$9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GULU-KARUMA'!$AD$10:$AD$21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64672"/>
        <c:axId val="81985536"/>
      </c:lineChart>
      <c:catAx>
        <c:axId val="8236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985536"/>
        <c:crosses val="autoZero"/>
        <c:auto val="1"/>
        <c:lblAlgn val="ctr"/>
        <c:lblOffset val="100"/>
        <c:noMultiLvlLbl val="0"/>
      </c:catAx>
      <c:valAx>
        <c:axId val="8198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236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GULU-KARUMA'!$C$60:$N$60</c:f>
              <c:numCache>
                <c:formatCode>0.00%</c:formatCode>
                <c:ptCount val="12"/>
                <c:pt idx="0">
                  <c:v>0.28377065111758987</c:v>
                </c:pt>
                <c:pt idx="1">
                  <c:v>0.10495626822157435</c:v>
                </c:pt>
                <c:pt idx="2">
                  <c:v>0.24101068999028183</c:v>
                </c:pt>
                <c:pt idx="3">
                  <c:v>5.1506316812439258E-2</c:v>
                </c:pt>
                <c:pt idx="4">
                  <c:v>4.859086491739553E-3</c:v>
                </c:pt>
                <c:pt idx="5">
                  <c:v>2.6239067055393587E-2</c:v>
                </c:pt>
                <c:pt idx="6">
                  <c:v>9.6209912536443148E-2</c:v>
                </c:pt>
                <c:pt idx="7">
                  <c:v>6.8027210884353748E-2</c:v>
                </c:pt>
                <c:pt idx="8">
                  <c:v>1.5549076773566569E-2</c:v>
                </c:pt>
                <c:pt idx="9">
                  <c:v>0.10592808551992225</c:v>
                </c:pt>
                <c:pt idx="11">
                  <c:v>1.9436345966958211E-3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KARUMA-GULU'!$AE$9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KARUMA-GULU'!$AE$10:$AE$21</c:f>
              <c:numCache>
                <c:formatCode>0</c:formatCode>
                <c:ptCount val="12"/>
                <c:pt idx="0">
                  <c:v>57</c:v>
                </c:pt>
                <c:pt idx="1">
                  <c:v>86</c:v>
                </c:pt>
                <c:pt idx="2">
                  <c:v>75</c:v>
                </c:pt>
                <c:pt idx="3">
                  <c:v>84</c:v>
                </c:pt>
                <c:pt idx="4">
                  <c:v>95</c:v>
                </c:pt>
                <c:pt idx="5">
                  <c:v>80</c:v>
                </c:pt>
                <c:pt idx="6">
                  <c:v>91</c:v>
                </c:pt>
                <c:pt idx="7">
                  <c:v>75</c:v>
                </c:pt>
                <c:pt idx="8">
                  <c:v>83</c:v>
                </c:pt>
                <c:pt idx="9">
                  <c:v>74</c:v>
                </c:pt>
                <c:pt idx="10">
                  <c:v>98</c:v>
                </c:pt>
                <c:pt idx="11">
                  <c:v>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'04.08 KARUMA-GULU'!$AF$9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KARUMA-GULU'!$AF$10:$AF$21</c:f>
              <c:numCache>
                <c:formatCode>0</c:formatCode>
                <c:ptCount val="12"/>
                <c:pt idx="0">
                  <c:v>300</c:v>
                </c:pt>
                <c:pt idx="1">
                  <c:v>365</c:v>
                </c:pt>
                <c:pt idx="2">
                  <c:v>433</c:v>
                </c:pt>
                <c:pt idx="3">
                  <c:v>381</c:v>
                </c:pt>
                <c:pt idx="4">
                  <c:v>320</c:v>
                </c:pt>
                <c:pt idx="5">
                  <c:v>318</c:v>
                </c:pt>
                <c:pt idx="6">
                  <c:v>338</c:v>
                </c:pt>
                <c:pt idx="7">
                  <c:v>296</c:v>
                </c:pt>
                <c:pt idx="8">
                  <c:v>304</c:v>
                </c:pt>
                <c:pt idx="9">
                  <c:v>347</c:v>
                </c:pt>
                <c:pt idx="10">
                  <c:v>439</c:v>
                </c:pt>
                <c:pt idx="11">
                  <c:v>349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099200"/>
        <c:axId val="82109568"/>
      </c:lineChart>
      <c:catAx>
        <c:axId val="82099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2109568"/>
        <c:crosses val="autoZero"/>
        <c:auto val="1"/>
        <c:lblAlgn val="ctr"/>
        <c:lblOffset val="100"/>
        <c:noMultiLvlLbl val="0"/>
      </c:catAx>
      <c:valAx>
        <c:axId val="82109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209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KARUMA-GULU'!$C$59:$N$59</c:f>
              <c:numCache>
                <c:formatCode>0.0%</c:formatCode>
                <c:ptCount val="12"/>
                <c:pt idx="0">
                  <c:v>0.10787589498806682</c:v>
                </c:pt>
                <c:pt idx="1">
                  <c:v>2.2195704057279237E-2</c:v>
                </c:pt>
                <c:pt idx="2">
                  <c:v>4.9642004773269688E-2</c:v>
                </c:pt>
                <c:pt idx="3">
                  <c:v>1.0501193317422435E-2</c:v>
                </c:pt>
                <c:pt idx="4">
                  <c:v>1.1933174224343676E-3</c:v>
                </c:pt>
                <c:pt idx="5">
                  <c:v>3.3412887828162289E-3</c:v>
                </c:pt>
                <c:pt idx="6">
                  <c:v>2.1957040572792363E-2</c:v>
                </c:pt>
                <c:pt idx="7">
                  <c:v>2.6252983293556086E-3</c:v>
                </c:pt>
                <c:pt idx="8">
                  <c:v>1.9093078758949881E-3</c:v>
                </c:pt>
                <c:pt idx="9">
                  <c:v>1.7422434367541765E-2</c:v>
                </c:pt>
                <c:pt idx="10">
                  <c:v>0.76062052505966582</c:v>
                </c:pt>
                <c:pt idx="11">
                  <c:v>7.1599045346062051E-4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KARUMA-GULU'!$C$60:$N$60</c:f>
              <c:numCache>
                <c:formatCode>0.00%</c:formatCode>
                <c:ptCount val="12"/>
                <c:pt idx="0">
                  <c:v>0.4506480558325025</c:v>
                </c:pt>
                <c:pt idx="1">
                  <c:v>9.2721834496510475E-2</c:v>
                </c:pt>
                <c:pt idx="2">
                  <c:v>0.20737786640079761</c:v>
                </c:pt>
                <c:pt idx="3">
                  <c:v>4.3868394815553338E-2</c:v>
                </c:pt>
                <c:pt idx="4">
                  <c:v>4.9850448654037887E-3</c:v>
                </c:pt>
                <c:pt idx="5">
                  <c:v>1.3958125623130608E-2</c:v>
                </c:pt>
                <c:pt idx="6">
                  <c:v>9.1724825523429712E-2</c:v>
                </c:pt>
                <c:pt idx="7">
                  <c:v>1.0967098703888335E-2</c:v>
                </c:pt>
                <c:pt idx="8">
                  <c:v>7.9760717846460612E-3</c:v>
                </c:pt>
                <c:pt idx="9">
                  <c:v>7.278165503489531E-2</c:v>
                </c:pt>
                <c:pt idx="11">
                  <c:v>2.9910269192422734E-3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'05.08, GULU-KARUMA-24HRS'!$AE$9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'05.08, GULU-KARUMA-24HRS'!$R$10:$R$33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'05.08, GULU-KARUMA-24HRS'!$AE$10:$AE$33</c:f>
              <c:numCache>
                <c:formatCode>0</c:formatCode>
                <c:ptCount val="24"/>
                <c:pt idx="0">
                  <c:v>38</c:v>
                </c:pt>
                <c:pt idx="1">
                  <c:v>73</c:v>
                </c:pt>
                <c:pt idx="2">
                  <c:v>94</c:v>
                </c:pt>
                <c:pt idx="3">
                  <c:v>78</c:v>
                </c:pt>
                <c:pt idx="4">
                  <c:v>100</c:v>
                </c:pt>
                <c:pt idx="5">
                  <c:v>88</c:v>
                </c:pt>
                <c:pt idx="6">
                  <c:v>96</c:v>
                </c:pt>
                <c:pt idx="7">
                  <c:v>84</c:v>
                </c:pt>
                <c:pt idx="8">
                  <c:v>87</c:v>
                </c:pt>
                <c:pt idx="9">
                  <c:v>102</c:v>
                </c:pt>
                <c:pt idx="10">
                  <c:v>91</c:v>
                </c:pt>
                <c:pt idx="11">
                  <c:v>89</c:v>
                </c:pt>
                <c:pt idx="12">
                  <c:v>51</c:v>
                </c:pt>
                <c:pt idx="13">
                  <c:v>86</c:v>
                </c:pt>
                <c:pt idx="14">
                  <c:v>93</c:v>
                </c:pt>
                <c:pt idx="15">
                  <c:v>99</c:v>
                </c:pt>
                <c:pt idx="16">
                  <c:v>61</c:v>
                </c:pt>
                <c:pt idx="17">
                  <c:v>85</c:v>
                </c:pt>
                <c:pt idx="18">
                  <c:v>86</c:v>
                </c:pt>
                <c:pt idx="19">
                  <c:v>62</c:v>
                </c:pt>
                <c:pt idx="20">
                  <c:v>86</c:v>
                </c:pt>
                <c:pt idx="21">
                  <c:v>92</c:v>
                </c:pt>
                <c:pt idx="22">
                  <c:v>106</c:v>
                </c:pt>
                <c:pt idx="23">
                  <c:v>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'05.08, GULU-KARUMA-24HRS'!$AF$9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'05.08, GULU-KARUMA-24HRS'!$R$10:$R$33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'05.08, GULU-KARUMA-24HRS'!$AF$10:$AF$33</c:f>
              <c:numCache>
                <c:formatCode>0</c:formatCode>
                <c:ptCount val="24"/>
                <c:pt idx="0">
                  <c:v>242</c:v>
                </c:pt>
                <c:pt idx="1">
                  <c:v>305</c:v>
                </c:pt>
                <c:pt idx="2">
                  <c:v>302</c:v>
                </c:pt>
                <c:pt idx="3">
                  <c:v>323</c:v>
                </c:pt>
                <c:pt idx="4">
                  <c:v>296</c:v>
                </c:pt>
                <c:pt idx="5">
                  <c:v>274</c:v>
                </c:pt>
                <c:pt idx="6">
                  <c:v>316</c:v>
                </c:pt>
                <c:pt idx="7">
                  <c:v>243</c:v>
                </c:pt>
                <c:pt idx="8">
                  <c:v>267</c:v>
                </c:pt>
                <c:pt idx="9">
                  <c:v>318</c:v>
                </c:pt>
                <c:pt idx="10">
                  <c:v>342</c:v>
                </c:pt>
                <c:pt idx="11">
                  <c:v>360</c:v>
                </c:pt>
                <c:pt idx="12">
                  <c:v>316</c:v>
                </c:pt>
                <c:pt idx="13">
                  <c:v>257</c:v>
                </c:pt>
                <c:pt idx="14">
                  <c:v>261</c:v>
                </c:pt>
                <c:pt idx="15">
                  <c:v>203</c:v>
                </c:pt>
                <c:pt idx="16">
                  <c:v>125</c:v>
                </c:pt>
                <c:pt idx="17">
                  <c:v>140</c:v>
                </c:pt>
                <c:pt idx="18">
                  <c:v>112</c:v>
                </c:pt>
                <c:pt idx="19">
                  <c:v>65</c:v>
                </c:pt>
                <c:pt idx="20">
                  <c:v>94</c:v>
                </c:pt>
                <c:pt idx="21">
                  <c:v>92</c:v>
                </c:pt>
                <c:pt idx="22">
                  <c:v>111</c:v>
                </c:pt>
                <c:pt idx="23">
                  <c:v>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709696"/>
        <c:axId val="82539264"/>
      </c:lineChart>
      <c:catAx>
        <c:axId val="817096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2539264"/>
        <c:crosses val="autoZero"/>
        <c:auto val="1"/>
        <c:lblAlgn val="ctr"/>
        <c:lblOffset val="100"/>
        <c:noMultiLvlLbl val="0"/>
      </c:catAx>
      <c:valAx>
        <c:axId val="82539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70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'05.08, GULU-KARUMA-24HRS'!$C$9:$N$9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'05.08, GULU-KARUMA-24HRS'!$C$107:$N$107</c:f>
              <c:numCache>
                <c:formatCode>0.0%</c:formatCode>
                <c:ptCount val="12"/>
                <c:pt idx="0">
                  <c:v>0.10933572710951527</c:v>
                </c:pt>
                <c:pt idx="1">
                  <c:v>4.3985637342908439E-2</c:v>
                </c:pt>
                <c:pt idx="2">
                  <c:v>9.5691202872531425E-2</c:v>
                </c:pt>
                <c:pt idx="3">
                  <c:v>1.7953321364452424E-2</c:v>
                </c:pt>
                <c:pt idx="4">
                  <c:v>3.9497307001795335E-3</c:v>
                </c:pt>
                <c:pt idx="5">
                  <c:v>8.0789946140035901E-3</c:v>
                </c:pt>
                <c:pt idx="6">
                  <c:v>4.8294434470377019E-2</c:v>
                </c:pt>
                <c:pt idx="7">
                  <c:v>6.8222621184919211E-3</c:v>
                </c:pt>
                <c:pt idx="8">
                  <c:v>1.6157989228007181E-3</c:v>
                </c:pt>
                <c:pt idx="9">
                  <c:v>4.1292639138240578E-2</c:v>
                </c:pt>
                <c:pt idx="10">
                  <c:v>0.62136445242369842</c:v>
                </c:pt>
                <c:pt idx="11">
                  <c:v>1.6157989228007181E-3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'05.08, GULU-KARUMA-24HRS'!$C$9:$N$9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'05.08, GULU-KARUMA-24HRS'!$C$108:$N$108</c:f>
              <c:numCache>
                <c:formatCode>0.00%</c:formatCode>
                <c:ptCount val="12"/>
                <c:pt idx="0">
                  <c:v>0.28876244665718348</c:v>
                </c:pt>
                <c:pt idx="1">
                  <c:v>0.1161688003793267</c:v>
                </c:pt>
                <c:pt idx="2">
                  <c:v>0.25272641062114748</c:v>
                </c:pt>
                <c:pt idx="3">
                  <c:v>4.7415836889521099E-2</c:v>
                </c:pt>
                <c:pt idx="4">
                  <c:v>1.0431484115694643E-2</c:v>
                </c:pt>
                <c:pt idx="5">
                  <c:v>2.1337126600284494E-2</c:v>
                </c:pt>
                <c:pt idx="6">
                  <c:v>0.12754860123281175</c:v>
                </c:pt>
                <c:pt idx="7">
                  <c:v>1.8018018018018018E-2</c:v>
                </c:pt>
                <c:pt idx="8">
                  <c:v>4.2674253200568994E-3</c:v>
                </c:pt>
                <c:pt idx="9">
                  <c:v>0.10905642484589853</c:v>
                </c:pt>
                <c:pt idx="11">
                  <c:v>4.2674253200568994E-3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'05.08, KARUMA-GULU-24HRS'!$AE$9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'05.08, KARUMA-GULU-24HRS'!$R$10:$R$33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'05.08, KARUMA-GULU-24HRS'!$AE$10:$AE$33</c:f>
              <c:numCache>
                <c:formatCode>0</c:formatCode>
                <c:ptCount val="24"/>
                <c:pt idx="0">
                  <c:v>31.932773109243698</c:v>
                </c:pt>
                <c:pt idx="1">
                  <c:v>61.34453781512606</c:v>
                </c:pt>
                <c:pt idx="2">
                  <c:v>78.991596638655466</c:v>
                </c:pt>
                <c:pt idx="3">
                  <c:v>64.705882352941188</c:v>
                </c:pt>
                <c:pt idx="4">
                  <c:v>84.033613445378165</c:v>
                </c:pt>
                <c:pt idx="5">
                  <c:v>73.109243697478988</c:v>
                </c:pt>
                <c:pt idx="6">
                  <c:v>80.672268907563037</c:v>
                </c:pt>
                <c:pt idx="7">
                  <c:v>70.588235294117652</c:v>
                </c:pt>
                <c:pt idx="8">
                  <c:v>69.747899159663859</c:v>
                </c:pt>
                <c:pt idx="9">
                  <c:v>85.714285714285708</c:v>
                </c:pt>
                <c:pt idx="10">
                  <c:v>76.470588235294116</c:v>
                </c:pt>
                <c:pt idx="11">
                  <c:v>74.789915966386559</c:v>
                </c:pt>
                <c:pt idx="12">
                  <c:v>40.336134453781511</c:v>
                </c:pt>
                <c:pt idx="13">
                  <c:v>72.268907563025209</c:v>
                </c:pt>
                <c:pt idx="14">
                  <c:v>78.151260504201673</c:v>
                </c:pt>
                <c:pt idx="15">
                  <c:v>83.193277310924373</c:v>
                </c:pt>
                <c:pt idx="16">
                  <c:v>51.260504201680675</c:v>
                </c:pt>
                <c:pt idx="17">
                  <c:v>71.428571428571416</c:v>
                </c:pt>
                <c:pt idx="18">
                  <c:v>72.268907563025209</c:v>
                </c:pt>
                <c:pt idx="19">
                  <c:v>52.100840336134453</c:v>
                </c:pt>
                <c:pt idx="20">
                  <c:v>72.268907563025209</c:v>
                </c:pt>
                <c:pt idx="21">
                  <c:v>83.193277310924373</c:v>
                </c:pt>
                <c:pt idx="22">
                  <c:v>105.0420168067227</c:v>
                </c:pt>
                <c:pt idx="23">
                  <c:v>152.94117647058823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'05.08, KARUMA-GULU-24HRS'!$AF$9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'05.08, KARUMA-GULU-24HRS'!$R$10:$R$33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'05.08, KARUMA-GULU-24HRS'!$AF$10:$AF$33</c:f>
              <c:numCache>
                <c:formatCode>0</c:formatCode>
                <c:ptCount val="24"/>
                <c:pt idx="0">
                  <c:v>312.93277310924373</c:v>
                </c:pt>
                <c:pt idx="1">
                  <c:v>292.34453781512605</c:v>
                </c:pt>
                <c:pt idx="2">
                  <c:v>382.69159663865548</c:v>
                </c:pt>
                <c:pt idx="3">
                  <c:v>334.20588235294122</c:v>
                </c:pt>
                <c:pt idx="4">
                  <c:v>299.63361344537816</c:v>
                </c:pt>
                <c:pt idx="5">
                  <c:v>277.709243697479</c:v>
                </c:pt>
                <c:pt idx="6">
                  <c:v>322.67226890756308</c:v>
                </c:pt>
                <c:pt idx="7">
                  <c:v>245.48823529411769</c:v>
                </c:pt>
                <c:pt idx="8">
                  <c:v>267.74789915966392</c:v>
                </c:pt>
                <c:pt idx="9">
                  <c:v>323.31428571428575</c:v>
                </c:pt>
                <c:pt idx="10">
                  <c:v>352.57058823529411</c:v>
                </c:pt>
                <c:pt idx="11">
                  <c:v>352.98991596638655</c:v>
                </c:pt>
                <c:pt idx="12">
                  <c:v>235.33613445378148</c:v>
                </c:pt>
                <c:pt idx="13">
                  <c:v>243.26890756302521</c:v>
                </c:pt>
                <c:pt idx="14">
                  <c:v>246.15126050420167</c:v>
                </c:pt>
                <c:pt idx="15">
                  <c:v>187.19327731092437</c:v>
                </c:pt>
                <c:pt idx="16">
                  <c:v>115.26050420168067</c:v>
                </c:pt>
                <c:pt idx="17">
                  <c:v>121.42857142857142</c:v>
                </c:pt>
                <c:pt idx="18">
                  <c:v>98.268907563025209</c:v>
                </c:pt>
                <c:pt idx="19">
                  <c:v>55.100840336134453</c:v>
                </c:pt>
                <c:pt idx="20">
                  <c:v>80.268907563025209</c:v>
                </c:pt>
                <c:pt idx="21">
                  <c:v>83.193277310924373</c:v>
                </c:pt>
                <c:pt idx="22">
                  <c:v>112.0420168067227</c:v>
                </c:pt>
                <c:pt idx="23">
                  <c:v>178.94117647058823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786368"/>
        <c:axId val="81788288"/>
      </c:lineChart>
      <c:catAx>
        <c:axId val="81786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788288"/>
        <c:crosses val="autoZero"/>
        <c:auto val="1"/>
        <c:lblAlgn val="ctr"/>
        <c:lblOffset val="100"/>
        <c:noMultiLvlLbl val="0"/>
      </c:catAx>
      <c:valAx>
        <c:axId val="81788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78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'05.08, KARUMA-GULU-24HRS'!$C$9:$N$9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'05.08, KARUMA-GULU-24HRS'!$C$107:$N$107</c:f>
              <c:numCache>
                <c:formatCode>0.0%</c:formatCode>
                <c:ptCount val="12"/>
                <c:pt idx="0">
                  <c:v>9.6655888900829268E-2</c:v>
                </c:pt>
                <c:pt idx="1">
                  <c:v>3.7292429575910474E-2</c:v>
                </c:pt>
                <c:pt idx="2">
                  <c:v>8.1130061077388974E-2</c:v>
                </c:pt>
                <c:pt idx="3">
                  <c:v>1.5221399826902236E-2</c:v>
                </c:pt>
                <c:pt idx="4">
                  <c:v>3.3487079619184939E-3</c:v>
                </c:pt>
                <c:pt idx="5">
                  <c:v>6.8496299221060056E-3</c:v>
                </c:pt>
                <c:pt idx="6">
                  <c:v>4.0945565534367061E-2</c:v>
                </c:pt>
                <c:pt idx="7">
                  <c:v>5.7841319342228541E-3</c:v>
                </c:pt>
                <c:pt idx="8">
                  <c:v>1.3699259844212018E-3</c:v>
                </c:pt>
                <c:pt idx="9">
                  <c:v>3.5009219601875155E-2</c:v>
                </c:pt>
                <c:pt idx="10">
                  <c:v>0.67639303968005837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'05.08, KARUMA-GULU-24HRS'!$C$9:$N$9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'05.08, KARUMA-GULU-24HRS'!$C$108:$N$108</c:f>
              <c:numCache>
                <c:formatCode>0.00%</c:formatCode>
                <c:ptCount val="12"/>
                <c:pt idx="0">
                  <c:v>0.29868297271872057</c:v>
                </c:pt>
                <c:pt idx="1">
                  <c:v>0.11523988711194721</c:v>
                </c:pt>
                <c:pt idx="2">
                  <c:v>0.25070555032925679</c:v>
                </c:pt>
                <c:pt idx="3">
                  <c:v>4.7036688617121319E-2</c:v>
                </c:pt>
                <c:pt idx="4">
                  <c:v>1.0348071495766695E-2</c:v>
                </c:pt>
                <c:pt idx="5">
                  <c:v>2.1166509877704593E-2</c:v>
                </c:pt>
                <c:pt idx="6">
                  <c:v>0.12652869238005648</c:v>
                </c:pt>
                <c:pt idx="7">
                  <c:v>1.7873941674506115E-2</c:v>
                </c:pt>
                <c:pt idx="8">
                  <c:v>4.2333019755409207E-3</c:v>
                </c:pt>
                <c:pt idx="9">
                  <c:v>0.10818438381937907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GULU-KARUMA'!$AE$9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GULU-KARUMA'!$AE$10:$AE$21</c:f>
              <c:numCache>
                <c:formatCode>0</c:formatCode>
                <c:ptCount val="12"/>
                <c:pt idx="0">
                  <c:v>40</c:v>
                </c:pt>
                <c:pt idx="1">
                  <c:v>50</c:v>
                </c:pt>
                <c:pt idx="2">
                  <c:v>71</c:v>
                </c:pt>
                <c:pt idx="3">
                  <c:v>101</c:v>
                </c:pt>
                <c:pt idx="4">
                  <c:v>92</c:v>
                </c:pt>
                <c:pt idx="5">
                  <c:v>103</c:v>
                </c:pt>
                <c:pt idx="6">
                  <c:v>115</c:v>
                </c:pt>
                <c:pt idx="7">
                  <c:v>107</c:v>
                </c:pt>
                <c:pt idx="8">
                  <c:v>89</c:v>
                </c:pt>
                <c:pt idx="9">
                  <c:v>80</c:v>
                </c:pt>
                <c:pt idx="10">
                  <c:v>72</c:v>
                </c:pt>
                <c:pt idx="11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'06.08 GULU-KARUMA'!$AF$9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GULU-KARUMA'!$AF$10:$AF$21</c:f>
              <c:numCache>
                <c:formatCode>0</c:formatCode>
                <c:ptCount val="12"/>
                <c:pt idx="0">
                  <c:v>138</c:v>
                </c:pt>
                <c:pt idx="1">
                  <c:v>225</c:v>
                </c:pt>
                <c:pt idx="2">
                  <c:v>280</c:v>
                </c:pt>
                <c:pt idx="3">
                  <c:v>311</c:v>
                </c:pt>
                <c:pt idx="4">
                  <c:v>306</c:v>
                </c:pt>
                <c:pt idx="5">
                  <c:v>314</c:v>
                </c:pt>
                <c:pt idx="6">
                  <c:v>322</c:v>
                </c:pt>
                <c:pt idx="7">
                  <c:v>342</c:v>
                </c:pt>
                <c:pt idx="8">
                  <c:v>274</c:v>
                </c:pt>
                <c:pt idx="9">
                  <c:v>306</c:v>
                </c:pt>
                <c:pt idx="10">
                  <c:v>294</c:v>
                </c:pt>
                <c:pt idx="11">
                  <c:v>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271040"/>
        <c:axId val="83310080"/>
      </c:lineChart>
      <c:catAx>
        <c:axId val="83271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310080"/>
        <c:crosses val="autoZero"/>
        <c:auto val="1"/>
        <c:lblAlgn val="ctr"/>
        <c:lblOffset val="100"/>
        <c:noMultiLvlLbl val="0"/>
      </c:catAx>
      <c:valAx>
        <c:axId val="83310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27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GULU-KARUMA'!$C$59:$N$59</c:f>
              <c:numCache>
                <c:formatCode>0.0%</c:formatCode>
                <c:ptCount val="12"/>
                <c:pt idx="0">
                  <c:v>7.4260355029585792E-2</c:v>
                </c:pt>
                <c:pt idx="1">
                  <c:v>3.7573964497041423E-2</c:v>
                </c:pt>
                <c:pt idx="2">
                  <c:v>8.0473372781065089E-2</c:v>
                </c:pt>
                <c:pt idx="3">
                  <c:v>1.2721893491124261E-2</c:v>
                </c:pt>
                <c:pt idx="4">
                  <c:v>8.8757396449704138E-4</c:v>
                </c:pt>
                <c:pt idx="5">
                  <c:v>1.0059171597633136E-2</c:v>
                </c:pt>
                <c:pt idx="6">
                  <c:v>3.6686390532544376E-2</c:v>
                </c:pt>
                <c:pt idx="7">
                  <c:v>5.0295857988165681E-3</c:v>
                </c:pt>
                <c:pt idx="8">
                  <c:v>1.1834319526627219E-3</c:v>
                </c:pt>
                <c:pt idx="9">
                  <c:v>2.8994082840236687E-2</c:v>
                </c:pt>
                <c:pt idx="10">
                  <c:v>0.71183431952662723</c:v>
                </c:pt>
                <c:pt idx="11">
                  <c:v>2.9585798816568048E-4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GULU-KARUMA'!$S$9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GULU-KARUMA'!$S$10:$S$21</c:f>
              <c:numCache>
                <c:formatCode>0</c:formatCode>
                <c:ptCount val="12"/>
                <c:pt idx="0">
                  <c:v>6</c:v>
                </c:pt>
                <c:pt idx="1">
                  <c:v>13</c:v>
                </c:pt>
                <c:pt idx="2">
                  <c:v>13</c:v>
                </c:pt>
                <c:pt idx="3">
                  <c:v>23</c:v>
                </c:pt>
                <c:pt idx="4">
                  <c:v>27</c:v>
                </c:pt>
                <c:pt idx="5">
                  <c:v>28</c:v>
                </c:pt>
                <c:pt idx="6">
                  <c:v>35</c:v>
                </c:pt>
                <c:pt idx="7">
                  <c:v>19</c:v>
                </c:pt>
                <c:pt idx="8">
                  <c:v>26</c:v>
                </c:pt>
                <c:pt idx="9">
                  <c:v>24</c:v>
                </c:pt>
                <c:pt idx="10">
                  <c:v>26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'06.08 GULU-KARUMA'!$T$9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GULU-KARUMA'!$T$10:$T$21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  <c:pt idx="6">
                  <c:v>16</c:v>
                </c:pt>
                <c:pt idx="7">
                  <c:v>16</c:v>
                </c:pt>
                <c:pt idx="8">
                  <c:v>12</c:v>
                </c:pt>
                <c:pt idx="9">
                  <c:v>10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'06.08 GULU-KARUMA'!$U$9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GULU-KARUMA'!$U$10:$U$21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21</c:v>
                </c:pt>
                <c:pt idx="3">
                  <c:v>33</c:v>
                </c:pt>
                <c:pt idx="4">
                  <c:v>23</c:v>
                </c:pt>
                <c:pt idx="5">
                  <c:v>24</c:v>
                </c:pt>
                <c:pt idx="6">
                  <c:v>33</c:v>
                </c:pt>
                <c:pt idx="7">
                  <c:v>34</c:v>
                </c:pt>
                <c:pt idx="8">
                  <c:v>25</c:v>
                </c:pt>
                <c:pt idx="9">
                  <c:v>22</c:v>
                </c:pt>
                <c:pt idx="10">
                  <c:v>16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'06.08 GULU-KARUMA'!$V$9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GULU-KARUMA'!$V$10:$V$21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8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'06.08 GULU-KARUMA'!$W$9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'06.08 GULU-KARUMA'!$X$9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GULU-KARUMA'!$X$10:$X$21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'06.08 GULU-KARUMA'!$Y$9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GULU-KARUMA'!$Y$10:$Y$21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9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13</c:v>
                </c:pt>
                <c:pt idx="7">
                  <c:v>10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'06.08 GULU-KARUMA'!$Z$9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'06.08 GULU-KARUMA'!$AA$9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'06.08 GULU-KARUMA'!$AB$9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GULU-KARUMA'!$AB$10:$AB$21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7</c:v>
                </c:pt>
                <c:pt idx="4">
                  <c:v>17</c:v>
                </c:pt>
                <c:pt idx="5">
                  <c:v>19</c:v>
                </c:pt>
                <c:pt idx="6">
                  <c:v>12</c:v>
                </c:pt>
                <c:pt idx="7">
                  <c:v>10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'06.08 GULU-KARUMA'!$AC$9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GULU-KARUMA'!$AC$10:$AC$21</c:f>
              <c:numCache>
                <c:formatCode>0</c:formatCode>
                <c:ptCount val="12"/>
                <c:pt idx="0">
                  <c:v>98</c:v>
                </c:pt>
                <c:pt idx="1">
                  <c:v>175</c:v>
                </c:pt>
                <c:pt idx="2">
                  <c:v>209</c:v>
                </c:pt>
                <c:pt idx="3">
                  <c:v>210</c:v>
                </c:pt>
                <c:pt idx="4">
                  <c:v>214</c:v>
                </c:pt>
                <c:pt idx="5">
                  <c:v>211</c:v>
                </c:pt>
                <c:pt idx="6">
                  <c:v>207</c:v>
                </c:pt>
                <c:pt idx="7">
                  <c:v>235</c:v>
                </c:pt>
                <c:pt idx="8">
                  <c:v>185</c:v>
                </c:pt>
                <c:pt idx="9">
                  <c:v>226</c:v>
                </c:pt>
                <c:pt idx="10">
                  <c:v>222</c:v>
                </c:pt>
                <c:pt idx="11">
                  <c:v>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'06.08 GULU-KARUMA'!$AD$9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GULU-KARUMA'!$AD$10:$AD$21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875328"/>
        <c:axId val="83876864"/>
      </c:lineChart>
      <c:catAx>
        <c:axId val="8387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876864"/>
        <c:crosses val="autoZero"/>
        <c:auto val="1"/>
        <c:lblAlgn val="ctr"/>
        <c:lblOffset val="100"/>
        <c:noMultiLvlLbl val="0"/>
      </c:catAx>
      <c:valAx>
        <c:axId val="838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87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GULU-KARUMA'!$C$60:$N$60</c:f>
              <c:numCache>
                <c:formatCode>0.00%</c:formatCode>
                <c:ptCount val="12"/>
                <c:pt idx="0">
                  <c:v>0.25770020533880905</c:v>
                </c:pt>
                <c:pt idx="1">
                  <c:v>0.13039014373716631</c:v>
                </c:pt>
                <c:pt idx="2">
                  <c:v>0.27926078028747431</c:v>
                </c:pt>
                <c:pt idx="3">
                  <c:v>4.4147843942505136E-2</c:v>
                </c:pt>
                <c:pt idx="4">
                  <c:v>3.0800821355236141E-3</c:v>
                </c:pt>
                <c:pt idx="5">
                  <c:v>3.4907597535934289E-2</c:v>
                </c:pt>
                <c:pt idx="6">
                  <c:v>0.12731006160164271</c:v>
                </c:pt>
                <c:pt idx="7">
                  <c:v>1.7453798767967144E-2</c:v>
                </c:pt>
                <c:pt idx="8">
                  <c:v>4.1067761806981521E-3</c:v>
                </c:pt>
                <c:pt idx="9">
                  <c:v>0.10061601642710473</c:v>
                </c:pt>
                <c:pt idx="11">
                  <c:v>1.026694045174538E-3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KARUMA-GULU'!$AE$9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KARUMA-GULU'!$AE$10:$AE$21</c:f>
              <c:numCache>
                <c:formatCode>0</c:formatCode>
                <c:ptCount val="12"/>
                <c:pt idx="0">
                  <c:v>27</c:v>
                </c:pt>
                <c:pt idx="1">
                  <c:v>44</c:v>
                </c:pt>
                <c:pt idx="2">
                  <c:v>45</c:v>
                </c:pt>
                <c:pt idx="3">
                  <c:v>69</c:v>
                </c:pt>
                <c:pt idx="4">
                  <c:v>54</c:v>
                </c:pt>
                <c:pt idx="5">
                  <c:v>45</c:v>
                </c:pt>
                <c:pt idx="6">
                  <c:v>46</c:v>
                </c:pt>
                <c:pt idx="7">
                  <c:v>52</c:v>
                </c:pt>
                <c:pt idx="8">
                  <c:v>48</c:v>
                </c:pt>
                <c:pt idx="9">
                  <c:v>49</c:v>
                </c:pt>
                <c:pt idx="10">
                  <c:v>80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'06.08 KARUMA-GULU'!$AF$9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KARUMA-GULU'!$AF$10:$AF$21</c:f>
              <c:numCache>
                <c:formatCode>0</c:formatCode>
                <c:ptCount val="12"/>
                <c:pt idx="0">
                  <c:v>171</c:v>
                </c:pt>
                <c:pt idx="1">
                  <c:v>275</c:v>
                </c:pt>
                <c:pt idx="2">
                  <c:v>247</c:v>
                </c:pt>
                <c:pt idx="3">
                  <c:v>276</c:v>
                </c:pt>
                <c:pt idx="4">
                  <c:v>215</c:v>
                </c:pt>
                <c:pt idx="5">
                  <c:v>179</c:v>
                </c:pt>
                <c:pt idx="6">
                  <c:v>231</c:v>
                </c:pt>
                <c:pt idx="7">
                  <c:v>282</c:v>
                </c:pt>
                <c:pt idx="8">
                  <c:v>230</c:v>
                </c:pt>
                <c:pt idx="9">
                  <c:v>234</c:v>
                </c:pt>
                <c:pt idx="10">
                  <c:v>358</c:v>
                </c:pt>
                <c:pt idx="11">
                  <c:v>238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37536"/>
        <c:axId val="83939712"/>
      </c:lineChart>
      <c:catAx>
        <c:axId val="83937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939712"/>
        <c:crosses val="autoZero"/>
        <c:auto val="1"/>
        <c:lblAlgn val="ctr"/>
        <c:lblOffset val="100"/>
        <c:noMultiLvlLbl val="0"/>
      </c:catAx>
      <c:valAx>
        <c:axId val="83939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393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KARUMA-GULU'!$C$59:$N$59</c:f>
              <c:numCache>
                <c:formatCode>0.0%</c:formatCode>
                <c:ptCount val="12"/>
                <c:pt idx="0">
                  <c:v>4.1212534059945502E-2</c:v>
                </c:pt>
                <c:pt idx="1">
                  <c:v>2.4863760217983651E-2</c:v>
                </c:pt>
                <c:pt idx="2">
                  <c:v>5.6539509536784743E-2</c:v>
                </c:pt>
                <c:pt idx="3">
                  <c:v>2.4523160762942781E-2</c:v>
                </c:pt>
                <c:pt idx="4">
                  <c:v>2.7247956403269754E-3</c:v>
                </c:pt>
                <c:pt idx="5">
                  <c:v>5.7901907356948225E-3</c:v>
                </c:pt>
                <c:pt idx="6">
                  <c:v>2.2138964577656677E-2</c:v>
                </c:pt>
                <c:pt idx="7">
                  <c:v>9.8773841961852862E-3</c:v>
                </c:pt>
                <c:pt idx="8">
                  <c:v>3.0653950953678476E-3</c:v>
                </c:pt>
                <c:pt idx="9">
                  <c:v>2.3841961852861037E-2</c:v>
                </c:pt>
                <c:pt idx="10">
                  <c:v>0.78542234332425065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KARUMA-GULU'!$S$9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KARUMA-GULU'!$S$10:$S$21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9</c:v>
                </c:pt>
                <c:pt idx="3">
                  <c:v>16</c:v>
                </c:pt>
                <c:pt idx="4">
                  <c:v>7</c:v>
                </c:pt>
                <c:pt idx="5">
                  <c:v>6</c:v>
                </c:pt>
                <c:pt idx="6">
                  <c:v>9</c:v>
                </c:pt>
                <c:pt idx="7">
                  <c:v>13</c:v>
                </c:pt>
                <c:pt idx="8">
                  <c:v>7</c:v>
                </c:pt>
                <c:pt idx="9">
                  <c:v>11</c:v>
                </c:pt>
                <c:pt idx="10">
                  <c:v>19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'06.08 KARUMA-GULU'!$T$9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KARUMA-GULU'!$T$10:$T$21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'06.08 KARUMA-GULU'!$U$9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8</c:v>
                </c:pt>
                <c:pt idx="3">
                  <c:v>18</c:v>
                </c:pt>
                <c:pt idx="4">
                  <c:v>16</c:v>
                </c:pt>
                <c:pt idx="5">
                  <c:v>13</c:v>
                </c:pt>
                <c:pt idx="6">
                  <c:v>18</c:v>
                </c:pt>
                <c:pt idx="7">
                  <c:v>17</c:v>
                </c:pt>
                <c:pt idx="8">
                  <c:v>16</c:v>
                </c:pt>
                <c:pt idx="9">
                  <c:v>17</c:v>
                </c:pt>
                <c:pt idx="10">
                  <c:v>22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'06.08 KARUMA-GULU'!$V$9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KARUMA-GULU'!$V$10:$V$21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12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'06.08 KARUMA-GULU'!$W$9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'06.08 KARUMA-GULU'!$X$9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'06.08 KARUMA-GULU'!$Y$9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KARUMA-GULU'!$Y$10:$Y$21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8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3</c:v>
                </c:pt>
                <c:pt idx="7">
                  <c:v>6</c:v>
                </c:pt>
                <c:pt idx="8">
                  <c:v>8</c:v>
                </c:pt>
                <c:pt idx="9">
                  <c:v>4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'06.08 KARUMA-GULU'!$Z$9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'06.08 KARUMA-GULU'!$AA$9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'06.08 KARUMA-GULU'!$AB$9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KARUMA-GULU'!$AB$10:$AB$21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'06.08 KARUMA-GULU'!$AC$9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KARUMA-GULU'!$AC$10:$AC$21</c:f>
              <c:numCache>
                <c:formatCode>0</c:formatCode>
                <c:ptCount val="12"/>
                <c:pt idx="0">
                  <c:v>144</c:v>
                </c:pt>
                <c:pt idx="1">
                  <c:v>231</c:v>
                </c:pt>
                <c:pt idx="2">
                  <c:v>202</c:v>
                </c:pt>
                <c:pt idx="3">
                  <c:v>207</c:v>
                </c:pt>
                <c:pt idx="4">
                  <c:v>161</c:v>
                </c:pt>
                <c:pt idx="5">
                  <c:v>134</c:v>
                </c:pt>
                <c:pt idx="6">
                  <c:v>185</c:v>
                </c:pt>
                <c:pt idx="7">
                  <c:v>230</c:v>
                </c:pt>
                <c:pt idx="8">
                  <c:v>182</c:v>
                </c:pt>
                <c:pt idx="9">
                  <c:v>185</c:v>
                </c:pt>
                <c:pt idx="10">
                  <c:v>278</c:v>
                </c:pt>
                <c:pt idx="11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'06.08 KARUMA-GULU'!$AD$9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KARUMA-GULU'!$AD$10:$AD$21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377408"/>
        <c:axId val="85378944"/>
      </c:lineChart>
      <c:catAx>
        <c:axId val="8537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378944"/>
        <c:crosses val="autoZero"/>
        <c:auto val="1"/>
        <c:lblAlgn val="ctr"/>
        <c:lblOffset val="100"/>
        <c:noMultiLvlLbl val="0"/>
      </c:catAx>
      <c:valAx>
        <c:axId val="8537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37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KARUMA-GULU'!$C$60:$N$60</c:f>
              <c:numCache>
                <c:formatCode>0.00%</c:formatCode>
                <c:ptCount val="12"/>
                <c:pt idx="0">
                  <c:v>0.19206349206349208</c:v>
                </c:pt>
                <c:pt idx="1">
                  <c:v>0.11587301587301588</c:v>
                </c:pt>
                <c:pt idx="2">
                  <c:v>0.2634920634920635</c:v>
                </c:pt>
                <c:pt idx="3">
                  <c:v>0.11428571428571428</c:v>
                </c:pt>
                <c:pt idx="4">
                  <c:v>1.2698412698412698E-2</c:v>
                </c:pt>
                <c:pt idx="5">
                  <c:v>2.6984126984126985E-2</c:v>
                </c:pt>
                <c:pt idx="6">
                  <c:v>0.10317460317460317</c:v>
                </c:pt>
                <c:pt idx="7">
                  <c:v>4.6031746031746035E-2</c:v>
                </c:pt>
                <c:pt idx="8">
                  <c:v>1.4285714285714285E-2</c:v>
                </c:pt>
                <c:pt idx="9">
                  <c:v>0.1111111111111111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'7.08 GULU-KARUMA'!$AE$9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'7.08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GULU-KARUMA'!$AE$10:$AE$21</c:f>
              <c:numCache>
                <c:formatCode>0</c:formatCode>
                <c:ptCount val="12"/>
                <c:pt idx="0">
                  <c:v>26</c:v>
                </c:pt>
                <c:pt idx="1">
                  <c:v>40</c:v>
                </c:pt>
                <c:pt idx="2">
                  <c:v>47</c:v>
                </c:pt>
                <c:pt idx="3">
                  <c:v>49</c:v>
                </c:pt>
                <c:pt idx="4">
                  <c:v>59</c:v>
                </c:pt>
                <c:pt idx="5">
                  <c:v>57</c:v>
                </c:pt>
                <c:pt idx="6">
                  <c:v>54</c:v>
                </c:pt>
                <c:pt idx="7">
                  <c:v>50</c:v>
                </c:pt>
                <c:pt idx="8">
                  <c:v>48</c:v>
                </c:pt>
                <c:pt idx="9">
                  <c:v>48</c:v>
                </c:pt>
                <c:pt idx="10">
                  <c:v>54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'7.08 GULU-KARUMA'!$AF$9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'7.08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GULU-KARUMA'!$AF$10:$AF$21</c:f>
              <c:numCache>
                <c:formatCode>0</c:formatCode>
                <c:ptCount val="12"/>
                <c:pt idx="0">
                  <c:v>138</c:v>
                </c:pt>
                <c:pt idx="1">
                  <c:v>178</c:v>
                </c:pt>
                <c:pt idx="2">
                  <c:v>180</c:v>
                </c:pt>
                <c:pt idx="3">
                  <c:v>176</c:v>
                </c:pt>
                <c:pt idx="4">
                  <c:v>179</c:v>
                </c:pt>
                <c:pt idx="5">
                  <c:v>177</c:v>
                </c:pt>
                <c:pt idx="6">
                  <c:v>164</c:v>
                </c:pt>
                <c:pt idx="7">
                  <c:v>158</c:v>
                </c:pt>
                <c:pt idx="8">
                  <c:v>160</c:v>
                </c:pt>
                <c:pt idx="9">
                  <c:v>169</c:v>
                </c:pt>
                <c:pt idx="10">
                  <c:v>193</c:v>
                </c:pt>
                <c:pt idx="11">
                  <c:v>171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98656"/>
        <c:axId val="85400576"/>
      </c:lineChart>
      <c:catAx>
        <c:axId val="85398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400576"/>
        <c:crosses val="autoZero"/>
        <c:auto val="1"/>
        <c:lblAlgn val="ctr"/>
        <c:lblOffset val="100"/>
        <c:noMultiLvlLbl val="0"/>
      </c:catAx>
      <c:valAx>
        <c:axId val="85400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39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'7.08 GULU-KARUMA'!$C$59:$N$59</c:f>
              <c:numCache>
                <c:formatCode>0.0%</c:formatCode>
                <c:ptCount val="12"/>
                <c:pt idx="0">
                  <c:v>6.4610866372980913E-2</c:v>
                </c:pt>
                <c:pt idx="1">
                  <c:v>3.1815956926089087E-2</c:v>
                </c:pt>
                <c:pt idx="2">
                  <c:v>7.1953010279001473E-2</c:v>
                </c:pt>
                <c:pt idx="3">
                  <c:v>2.2026431718061675E-2</c:v>
                </c:pt>
                <c:pt idx="4">
                  <c:v>0</c:v>
                </c:pt>
                <c:pt idx="5">
                  <c:v>6.8526676456191872E-3</c:v>
                </c:pt>
                <c:pt idx="6">
                  <c:v>3.768967205090553E-2</c:v>
                </c:pt>
                <c:pt idx="7">
                  <c:v>1.3215859030837005E-2</c:v>
                </c:pt>
                <c:pt idx="8">
                  <c:v>0</c:v>
                </c:pt>
                <c:pt idx="9">
                  <c:v>3.1815956926089087E-2</c:v>
                </c:pt>
                <c:pt idx="10">
                  <c:v>0.72001957905041603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'7.08 GULU-KARUMA'!$S$9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'7.08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GULU-KARUMA'!$S$10:$S$21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12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'7.08 GULU-KARUMA'!$T$9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'7.08 GULU-KARUMA'!$R$10:$R$21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GULU-KARUMA'!$T$10:$T$21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'7.08 GULU-KARUMA'!$U$9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GULU-KARUMA'!$U$10:$U$21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15</c:v>
                </c:pt>
                <c:pt idx="5">
                  <c:v>13</c:v>
                </c:pt>
                <c:pt idx="6">
                  <c:v>15</c:v>
                </c:pt>
                <c:pt idx="7">
                  <c:v>14</c:v>
                </c:pt>
                <c:pt idx="8">
                  <c:v>11</c:v>
                </c:pt>
                <c:pt idx="9">
                  <c:v>11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'7.08 GULU-KARUMA'!$V$9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GULU-KARUMA'!$V$10:$V$21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'7.08 GULU-KARUMA'!$W$9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'7.08 GULU-KARUMA'!$X$9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'7.08 GULU-KARUMA'!$Y$9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GULU-KARUMA'!$Y$10:$Y$21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'7.08 GULU-KARUMA'!$Z$9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'7.08 GULU-KARUMA'!$AA$9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'7.08 GULU-KARUMA'!$AB$9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12</c:v>
                </c:pt>
                <c:pt idx="6">
                  <c:v>8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'7.08 GULU-KARUMA'!$AC$9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GULU-KARUMA'!$AC$10:$AC$21</c:f>
              <c:numCache>
                <c:formatCode>0</c:formatCode>
                <c:ptCount val="12"/>
                <c:pt idx="0">
                  <c:v>112</c:v>
                </c:pt>
                <c:pt idx="1">
                  <c:v>138</c:v>
                </c:pt>
                <c:pt idx="2">
                  <c:v>133</c:v>
                </c:pt>
                <c:pt idx="3">
                  <c:v>127</c:v>
                </c:pt>
                <c:pt idx="4">
                  <c:v>120</c:v>
                </c:pt>
                <c:pt idx="5">
                  <c:v>120</c:v>
                </c:pt>
                <c:pt idx="6">
                  <c:v>110</c:v>
                </c:pt>
                <c:pt idx="7">
                  <c:v>108</c:v>
                </c:pt>
                <c:pt idx="8">
                  <c:v>112</c:v>
                </c:pt>
                <c:pt idx="9">
                  <c:v>121</c:v>
                </c:pt>
                <c:pt idx="10">
                  <c:v>139</c:v>
                </c:pt>
                <c:pt idx="11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'7.08 GULU-KARUMA'!$AD$9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GULU-KARUMA'!$AD$10:$AD$21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21888"/>
        <c:axId val="86827776"/>
      </c:lineChart>
      <c:catAx>
        <c:axId val="8682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827776"/>
        <c:crosses val="autoZero"/>
        <c:auto val="1"/>
        <c:lblAlgn val="ctr"/>
        <c:lblOffset val="100"/>
        <c:noMultiLvlLbl val="0"/>
      </c:catAx>
      <c:valAx>
        <c:axId val="8682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82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'7.08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'7.08 GULU-KARUMA'!$C$60:$N$60</c:f>
              <c:numCache>
                <c:formatCode>0.00%</c:formatCode>
                <c:ptCount val="12"/>
                <c:pt idx="0">
                  <c:v>0.23076923076923078</c:v>
                </c:pt>
                <c:pt idx="1">
                  <c:v>0.11363636363636363</c:v>
                </c:pt>
                <c:pt idx="2">
                  <c:v>0.25699300699300698</c:v>
                </c:pt>
                <c:pt idx="3">
                  <c:v>7.8671328671328672E-2</c:v>
                </c:pt>
                <c:pt idx="4">
                  <c:v>0</c:v>
                </c:pt>
                <c:pt idx="5">
                  <c:v>2.4475524475524476E-2</c:v>
                </c:pt>
                <c:pt idx="6">
                  <c:v>0.13461538461538461</c:v>
                </c:pt>
                <c:pt idx="7">
                  <c:v>4.72027972027972E-2</c:v>
                </c:pt>
                <c:pt idx="8">
                  <c:v>0</c:v>
                </c:pt>
                <c:pt idx="9">
                  <c:v>0.11363636363636363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'7.08 KARUMA-GULU'!$AE$9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'7.08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KARUMA-GULU'!$AE$10:$AE$21</c:f>
              <c:numCache>
                <c:formatCode>0</c:formatCode>
                <c:ptCount val="12"/>
                <c:pt idx="0">
                  <c:v>31</c:v>
                </c:pt>
                <c:pt idx="1">
                  <c:v>47</c:v>
                </c:pt>
                <c:pt idx="2">
                  <c:v>38</c:v>
                </c:pt>
                <c:pt idx="3">
                  <c:v>34</c:v>
                </c:pt>
                <c:pt idx="4">
                  <c:v>35</c:v>
                </c:pt>
                <c:pt idx="5">
                  <c:v>36</c:v>
                </c:pt>
                <c:pt idx="6">
                  <c:v>36</c:v>
                </c:pt>
                <c:pt idx="7">
                  <c:v>32</c:v>
                </c:pt>
                <c:pt idx="8">
                  <c:v>33</c:v>
                </c:pt>
                <c:pt idx="9">
                  <c:v>40</c:v>
                </c:pt>
                <c:pt idx="10">
                  <c:v>49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'7.08 KARUMA-GULU'!$AF$9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'7.08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KARUMA-GULU'!$AF$10:$AF$21</c:f>
              <c:numCache>
                <c:formatCode>0</c:formatCode>
                <c:ptCount val="12"/>
                <c:pt idx="0">
                  <c:v>184</c:v>
                </c:pt>
                <c:pt idx="1">
                  <c:v>197</c:v>
                </c:pt>
                <c:pt idx="2">
                  <c:v>183</c:v>
                </c:pt>
                <c:pt idx="3">
                  <c:v>136</c:v>
                </c:pt>
                <c:pt idx="4">
                  <c:v>125</c:v>
                </c:pt>
                <c:pt idx="5">
                  <c:v>135</c:v>
                </c:pt>
                <c:pt idx="6">
                  <c:v>143</c:v>
                </c:pt>
                <c:pt idx="7">
                  <c:v>130</c:v>
                </c:pt>
                <c:pt idx="8">
                  <c:v>138</c:v>
                </c:pt>
                <c:pt idx="9">
                  <c:v>169</c:v>
                </c:pt>
                <c:pt idx="10">
                  <c:v>206</c:v>
                </c:pt>
                <c:pt idx="11">
                  <c:v>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949888"/>
        <c:axId val="86951808"/>
      </c:lineChart>
      <c:catAx>
        <c:axId val="869498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951808"/>
        <c:crosses val="autoZero"/>
        <c:auto val="1"/>
        <c:lblAlgn val="ctr"/>
        <c:lblOffset val="100"/>
        <c:noMultiLvlLbl val="0"/>
      </c:catAx>
      <c:valAx>
        <c:axId val="86951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94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'7.08 KARUMA-GULU'!$C$59:$N$59</c:f>
              <c:numCache>
                <c:formatCode>0.0%</c:formatCode>
                <c:ptCount val="12"/>
                <c:pt idx="0">
                  <c:v>8.4155844155844151E-2</c:v>
                </c:pt>
                <c:pt idx="1">
                  <c:v>2.7532467532467533E-2</c:v>
                </c:pt>
                <c:pt idx="2">
                  <c:v>5.8701298701298699E-2</c:v>
                </c:pt>
                <c:pt idx="3">
                  <c:v>1.7142857142857144E-2</c:v>
                </c:pt>
                <c:pt idx="4">
                  <c:v>0</c:v>
                </c:pt>
                <c:pt idx="5">
                  <c:v>3.1168831168831169E-3</c:v>
                </c:pt>
                <c:pt idx="6">
                  <c:v>2.5454545454545455E-2</c:v>
                </c:pt>
                <c:pt idx="7">
                  <c:v>2.5974025974025974E-3</c:v>
                </c:pt>
                <c:pt idx="8">
                  <c:v>0</c:v>
                </c:pt>
                <c:pt idx="9">
                  <c:v>2.0259740259740259E-2</c:v>
                </c:pt>
                <c:pt idx="10">
                  <c:v>0.76103896103896107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'7.08 KARUMA-GULU'!$S$9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'7.08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KARUMA-GULU'!$S$10:$S$21</c:f>
              <c:numCache>
                <c:formatCode>0</c:formatCode>
                <c:ptCount val="12"/>
                <c:pt idx="0">
                  <c:v>10</c:v>
                </c:pt>
                <c:pt idx="1">
                  <c:v>18</c:v>
                </c:pt>
                <c:pt idx="2">
                  <c:v>14</c:v>
                </c:pt>
                <c:pt idx="3">
                  <c:v>11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16</c:v>
                </c:pt>
                <c:pt idx="10">
                  <c:v>18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'7.08 KARUMA-GULU'!$T$9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'7.08 KARUMA-GULU'!$R$10:$R$21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'7.08 KARUMA-GULU'!$T$10:$T$21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'7.08 KARUMA-GULU'!$U$9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KARUMA-GULU'!$U$10:$U$21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10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'7.08 KARUMA-GULU'!$V$9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KARUMA-GULU'!$V$10:$V$21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'7.08 KARUMA-GULU'!$W$9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'7.08 KARUMA-GULU'!$X$9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'7.08 KARUMA-GULU'!$Y$9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KARUMA-GULU'!$Y$10:$Y$21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'7.08 KARUMA-GULU'!$Z$9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'7.08 KARUMA-GULU'!$AA$9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'7.08 KARUMA-GULU'!$AB$9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KARUMA-GULU'!$AB$10:$AB$21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'7.08 KARUMA-GULU'!$AC$9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KARUMA-GULU'!$AC$10:$AC$21</c:f>
              <c:numCache>
                <c:formatCode>0</c:formatCode>
                <c:ptCount val="12"/>
                <c:pt idx="0">
                  <c:v>153</c:v>
                </c:pt>
                <c:pt idx="1">
                  <c:v>150</c:v>
                </c:pt>
                <c:pt idx="2">
                  <c:v>145</c:v>
                </c:pt>
                <c:pt idx="3">
                  <c:v>102</c:v>
                </c:pt>
                <c:pt idx="4">
                  <c:v>90</c:v>
                </c:pt>
                <c:pt idx="5">
                  <c:v>99</c:v>
                </c:pt>
                <c:pt idx="6">
                  <c:v>107</c:v>
                </c:pt>
                <c:pt idx="7">
                  <c:v>98</c:v>
                </c:pt>
                <c:pt idx="8">
                  <c:v>105</c:v>
                </c:pt>
                <c:pt idx="9">
                  <c:v>129</c:v>
                </c:pt>
                <c:pt idx="10">
                  <c:v>157</c:v>
                </c:pt>
                <c:pt idx="1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'7.08 KARUMA-GULU'!$AD$9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'7.08 KARUMA-GULU'!$AD$10:$AD$21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267200"/>
        <c:axId val="87268736"/>
      </c:lineChart>
      <c:catAx>
        <c:axId val="87267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7268736"/>
        <c:crosses val="autoZero"/>
        <c:auto val="1"/>
        <c:lblAlgn val="ctr"/>
        <c:lblOffset val="100"/>
        <c:noMultiLvlLbl val="0"/>
      </c:catAx>
      <c:valAx>
        <c:axId val="8726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726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'7.08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'7.08 KARUMA-GULU'!$C$60:$N$60</c:f>
              <c:numCache>
                <c:formatCode>0.00%</c:formatCode>
                <c:ptCount val="12"/>
                <c:pt idx="0">
                  <c:v>0.35217391304347828</c:v>
                </c:pt>
                <c:pt idx="1">
                  <c:v>0.11521739130434783</c:v>
                </c:pt>
                <c:pt idx="2">
                  <c:v>0.24565217391304348</c:v>
                </c:pt>
                <c:pt idx="3">
                  <c:v>7.1739130434782611E-2</c:v>
                </c:pt>
                <c:pt idx="4">
                  <c:v>0</c:v>
                </c:pt>
                <c:pt idx="5">
                  <c:v>1.3043478260869565E-2</c:v>
                </c:pt>
                <c:pt idx="6">
                  <c:v>0.10652173913043478</c:v>
                </c:pt>
                <c:pt idx="7">
                  <c:v>1.0869565217391304E-2</c:v>
                </c:pt>
                <c:pt idx="8">
                  <c:v>0</c:v>
                </c:pt>
                <c:pt idx="9">
                  <c:v>8.478260869565217E-2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GULU-KARUMA'!$AE$9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GULU-KARUMA'!$R$10:$R$33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GULU-KARUMA'!$AE$10:$AE$33</c:f>
              <c:numCache>
                <c:formatCode>0</c:formatCode>
                <c:ptCount val="24"/>
                <c:pt idx="0">
                  <c:v>40.285714285714292</c:v>
                </c:pt>
                <c:pt idx="1">
                  <c:v>63.5</c:v>
                </c:pt>
                <c:pt idx="2">
                  <c:v>74.285714285714292</c:v>
                </c:pt>
                <c:pt idx="3">
                  <c:v>79.214285714285722</c:v>
                </c:pt>
                <c:pt idx="4">
                  <c:v>92.857142857142861</c:v>
                </c:pt>
                <c:pt idx="5">
                  <c:v>87.857142857142861</c:v>
                </c:pt>
                <c:pt idx="6">
                  <c:v>81.714285714285722</c:v>
                </c:pt>
                <c:pt idx="7">
                  <c:v>75.857142857142861</c:v>
                </c:pt>
                <c:pt idx="8">
                  <c:v>75.5</c:v>
                </c:pt>
                <c:pt idx="9">
                  <c:v>74.571428571428569</c:v>
                </c:pt>
                <c:pt idx="10">
                  <c:v>79.214285714285708</c:v>
                </c:pt>
                <c:pt idx="11">
                  <c:v>65.642857142857139</c:v>
                </c:pt>
                <c:pt idx="12">
                  <c:v>44.5</c:v>
                </c:pt>
                <c:pt idx="13">
                  <c:v>79.5</c:v>
                </c:pt>
                <c:pt idx="14">
                  <c:v>93.5</c:v>
                </c:pt>
                <c:pt idx="15">
                  <c:v>88.5</c:v>
                </c:pt>
                <c:pt idx="16">
                  <c:v>80.5</c:v>
                </c:pt>
                <c:pt idx="17">
                  <c:v>86.5</c:v>
                </c:pt>
                <c:pt idx="18">
                  <c:v>91</c:v>
                </c:pt>
                <c:pt idx="19">
                  <c:v>73</c:v>
                </c:pt>
                <c:pt idx="20">
                  <c:v>86.5</c:v>
                </c:pt>
                <c:pt idx="21">
                  <c:v>97</c:v>
                </c:pt>
                <c:pt idx="22">
                  <c:v>98.5</c:v>
                </c:pt>
                <c:pt idx="23">
                  <c:v>135.5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GULU-KARUMA'!$AF$9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GULU-KARUMA'!$R$10:$R$33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GULU-KARUMA'!$AF$10:$AF$33</c:f>
              <c:numCache>
                <c:formatCode>0</c:formatCode>
                <c:ptCount val="24"/>
                <c:pt idx="0">
                  <c:v>216.28571428571428</c:v>
                </c:pt>
                <c:pt idx="1">
                  <c:v>280.78571428571428</c:v>
                </c:pt>
                <c:pt idx="2">
                  <c:v>280.71428571428572</c:v>
                </c:pt>
                <c:pt idx="3">
                  <c:v>279.35714285714289</c:v>
                </c:pt>
                <c:pt idx="4">
                  <c:v>280.71428571428567</c:v>
                </c:pt>
                <c:pt idx="5">
                  <c:v>276.85714285714283</c:v>
                </c:pt>
                <c:pt idx="6">
                  <c:v>255.42857142857142</c:v>
                </c:pt>
                <c:pt idx="7">
                  <c:v>244.42857142857139</c:v>
                </c:pt>
                <c:pt idx="8">
                  <c:v>252.5</c:v>
                </c:pt>
                <c:pt idx="9">
                  <c:v>266</c:v>
                </c:pt>
                <c:pt idx="10">
                  <c:v>296.21428571428567</c:v>
                </c:pt>
                <c:pt idx="11">
                  <c:v>270.64285714285711</c:v>
                </c:pt>
                <c:pt idx="12">
                  <c:v>274.5</c:v>
                </c:pt>
                <c:pt idx="13">
                  <c:v>250.5</c:v>
                </c:pt>
                <c:pt idx="14">
                  <c:v>261.5</c:v>
                </c:pt>
                <c:pt idx="15">
                  <c:v>192.5</c:v>
                </c:pt>
                <c:pt idx="16">
                  <c:v>144.5</c:v>
                </c:pt>
                <c:pt idx="17">
                  <c:v>141.5</c:v>
                </c:pt>
                <c:pt idx="18">
                  <c:v>117</c:v>
                </c:pt>
                <c:pt idx="19">
                  <c:v>76</c:v>
                </c:pt>
                <c:pt idx="20">
                  <c:v>94.5</c:v>
                </c:pt>
                <c:pt idx="21">
                  <c:v>97</c:v>
                </c:pt>
                <c:pt idx="22">
                  <c:v>104.5</c:v>
                </c:pt>
                <c:pt idx="23">
                  <c:v>162.5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738368"/>
        <c:axId val="86545152"/>
      </c:lineChart>
      <c:catAx>
        <c:axId val="81738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45152"/>
        <c:crosses val="autoZero"/>
        <c:auto val="1"/>
        <c:lblAlgn val="ctr"/>
        <c:lblOffset val="100"/>
        <c:noMultiLvlLbl val="0"/>
      </c:catAx>
      <c:valAx>
        <c:axId val="86545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73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GULU-KARUMA'!$C$107:$N$107</c:f>
              <c:numCache>
                <c:formatCode>0.0%</c:formatCode>
                <c:ptCount val="12"/>
                <c:pt idx="0">
                  <c:v>9.9720787379589573E-2</c:v>
                </c:pt>
                <c:pt idx="1">
                  <c:v>4.3543208153008515E-2</c:v>
                </c:pt>
                <c:pt idx="2">
                  <c:v>9.6300432779561629E-2</c:v>
                </c:pt>
                <c:pt idx="3">
                  <c:v>2.1946111964260783E-2</c:v>
                </c:pt>
                <c:pt idx="4">
                  <c:v>3.3784727069663548E-3</c:v>
                </c:pt>
                <c:pt idx="5">
                  <c:v>9.7584810833449675E-3</c:v>
                </c:pt>
                <c:pt idx="6">
                  <c:v>4.8904090464889013E-2</c:v>
                </c:pt>
                <c:pt idx="7">
                  <c:v>1.1447717436828144E-2</c:v>
                </c:pt>
                <c:pt idx="8">
                  <c:v>2.135976546139885E-3</c:v>
                </c:pt>
                <c:pt idx="9">
                  <c:v>4.1798129275443241E-2</c:v>
                </c:pt>
                <c:pt idx="10">
                  <c:v>0.61985201731118234</c:v>
                </c:pt>
                <c:pt idx="11">
                  <c:v>1.2145748987854252E-3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GULU-KARUMA'!$C$9:$N$9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GULU-KARUMA'!$C$108:$N$108</c:f>
              <c:numCache>
                <c:formatCode>0.00%</c:formatCode>
                <c:ptCount val="12"/>
                <c:pt idx="0">
                  <c:v>0.26232096951891298</c:v>
                </c:pt>
                <c:pt idx="1">
                  <c:v>0.11454278369445464</c:v>
                </c:pt>
                <c:pt idx="2">
                  <c:v>0.25332354021300035</c:v>
                </c:pt>
                <c:pt idx="3">
                  <c:v>5.7730444362835101E-2</c:v>
                </c:pt>
                <c:pt idx="4">
                  <c:v>8.8872567021667272E-3</c:v>
                </c:pt>
                <c:pt idx="5">
                  <c:v>2.5670216672787367E-2</c:v>
                </c:pt>
                <c:pt idx="6">
                  <c:v>0.12864487697392582</c:v>
                </c:pt>
                <c:pt idx="7">
                  <c:v>3.0113845023870729E-2</c:v>
                </c:pt>
                <c:pt idx="8">
                  <c:v>5.618802791039294E-3</c:v>
                </c:pt>
                <c:pt idx="9">
                  <c:v>0.10995225853837677</c:v>
                </c:pt>
                <c:pt idx="11">
                  <c:v>3.1950055086301873E-3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KARUMA-GULU'!$AE$9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KARUMA-GULU'!$R$10:$R$33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KARUMA-GULU'!$AE$10:$AE$33</c:f>
              <c:numCache>
                <c:formatCode>0</c:formatCode>
                <c:ptCount val="24"/>
                <c:pt idx="0">
                  <c:v>43.418967587034814</c:v>
                </c:pt>
                <c:pt idx="1">
                  <c:v>68.049219687875151</c:v>
                </c:pt>
                <c:pt idx="2">
                  <c:v>63.71308523409364</c:v>
                </c:pt>
                <c:pt idx="3">
                  <c:v>64.529411764705884</c:v>
                </c:pt>
                <c:pt idx="4">
                  <c:v>64.14765906362544</c:v>
                </c:pt>
                <c:pt idx="5">
                  <c:v>63.444177671068431</c:v>
                </c:pt>
                <c:pt idx="6">
                  <c:v>67.667466986794722</c:v>
                </c:pt>
                <c:pt idx="7">
                  <c:v>60.226890756302517</c:v>
                </c:pt>
                <c:pt idx="8">
                  <c:v>60.963985594237698</c:v>
                </c:pt>
                <c:pt idx="9">
                  <c:v>77.102040816326522</c:v>
                </c:pt>
                <c:pt idx="10">
                  <c:v>86.067226890756302</c:v>
                </c:pt>
                <c:pt idx="11">
                  <c:v>88.969987995198068</c:v>
                </c:pt>
                <c:pt idx="12">
                  <c:v>51.168067226890763</c:v>
                </c:pt>
                <c:pt idx="13">
                  <c:v>64.134453781512605</c:v>
                </c:pt>
                <c:pt idx="14">
                  <c:v>68.075630252100851</c:v>
                </c:pt>
                <c:pt idx="15">
                  <c:v>75.596638655462186</c:v>
                </c:pt>
                <c:pt idx="16">
                  <c:v>57.13025210084033</c:v>
                </c:pt>
                <c:pt idx="17">
                  <c:v>62.714285714285708</c:v>
                </c:pt>
                <c:pt idx="18">
                  <c:v>63.134453781512605</c:v>
                </c:pt>
                <c:pt idx="19">
                  <c:v>53.550420168067227</c:v>
                </c:pt>
                <c:pt idx="20">
                  <c:v>74.134453781512605</c:v>
                </c:pt>
                <c:pt idx="21">
                  <c:v>82.096638655462172</c:v>
                </c:pt>
                <c:pt idx="22">
                  <c:v>106.02100840336134</c:v>
                </c:pt>
                <c:pt idx="23">
                  <c:v>132.47058823529414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KARUMA-GULU'!$AF$9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KARUMA-GULU'!$R$10:$R$33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KARUMA-GULU'!$AF$10:$AF$33</c:f>
              <c:numCache>
                <c:formatCode>0</c:formatCode>
                <c:ptCount val="24"/>
                <c:pt idx="0">
                  <c:v>282.84753901560623</c:v>
                </c:pt>
                <c:pt idx="1">
                  <c:v>303.33493397358944</c:v>
                </c:pt>
                <c:pt idx="2">
                  <c:v>303.24165666266504</c:v>
                </c:pt>
                <c:pt idx="3">
                  <c:v>263.17226890756302</c:v>
                </c:pt>
                <c:pt idx="4">
                  <c:v>235.80480192076831</c:v>
                </c:pt>
                <c:pt idx="5">
                  <c:v>245.95846338535415</c:v>
                </c:pt>
                <c:pt idx="6">
                  <c:v>268.95318127250903</c:v>
                </c:pt>
                <c:pt idx="7">
                  <c:v>239.64117647058822</c:v>
                </c:pt>
                <c:pt idx="8">
                  <c:v>253.9639855942377</c:v>
                </c:pt>
                <c:pt idx="9">
                  <c:v>311.75918367346935</c:v>
                </c:pt>
                <c:pt idx="10">
                  <c:v>371.79579831932779</c:v>
                </c:pt>
                <c:pt idx="11">
                  <c:v>333.14141656662662</c:v>
                </c:pt>
                <c:pt idx="12">
                  <c:v>246.16806722689074</c:v>
                </c:pt>
                <c:pt idx="13">
                  <c:v>235.13445378151263</c:v>
                </c:pt>
                <c:pt idx="14">
                  <c:v>236.07563025210084</c:v>
                </c:pt>
                <c:pt idx="15">
                  <c:v>179.59663865546219</c:v>
                </c:pt>
                <c:pt idx="16">
                  <c:v>119.63025210084034</c:v>
                </c:pt>
                <c:pt idx="17">
                  <c:v>115.71428571428571</c:v>
                </c:pt>
                <c:pt idx="18">
                  <c:v>88.134453781512605</c:v>
                </c:pt>
                <c:pt idx="19">
                  <c:v>56.550420168067227</c:v>
                </c:pt>
                <c:pt idx="20">
                  <c:v>82.134453781512605</c:v>
                </c:pt>
                <c:pt idx="21">
                  <c:v>82.096638655462172</c:v>
                </c:pt>
                <c:pt idx="22">
                  <c:v>113.02100840336134</c:v>
                </c:pt>
                <c:pt idx="23">
                  <c:v>160.47058823529412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984192"/>
        <c:axId val="86986112"/>
      </c:lineChart>
      <c:catAx>
        <c:axId val="869841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986112"/>
        <c:crosses val="autoZero"/>
        <c:auto val="1"/>
        <c:lblAlgn val="ctr"/>
        <c:lblOffset val="100"/>
        <c:noMultiLvlLbl val="0"/>
      </c:catAx>
      <c:valAx>
        <c:axId val="86986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98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KARUMA-GULU'!$C$107:$N$107</c:f>
              <c:numCache>
                <c:formatCode>0.0%</c:formatCode>
                <c:ptCount val="12"/>
                <c:pt idx="0">
                  <c:v>0.10075824895398629</c:v>
                </c:pt>
                <c:pt idx="1">
                  <c:v>3.8449795375991594E-2</c:v>
                </c:pt>
                <c:pt idx="2">
                  <c:v>8.4411104985563534E-2</c:v>
                </c:pt>
                <c:pt idx="3">
                  <c:v>2.1409401507986498E-2</c:v>
                </c:pt>
                <c:pt idx="4">
                  <c:v>3.0976788523292991E-3</c:v>
                </c:pt>
                <c:pt idx="5">
                  <c:v>6.4356484431091357E-3</c:v>
                </c:pt>
                <c:pt idx="6">
                  <c:v>3.5993984234165353E-2</c:v>
                </c:pt>
                <c:pt idx="7">
                  <c:v>8.620269306810726E-3</c:v>
                </c:pt>
                <c:pt idx="8">
                  <c:v>1.8599416097016882E-3</c:v>
                </c:pt>
                <c:pt idx="9">
                  <c:v>3.0028617421399235E-2</c:v>
                </c:pt>
                <c:pt idx="10">
                  <c:v>0.6687960272930018</c:v>
                </c:pt>
                <c:pt idx="11">
                  <c:v>1.3928201595525823E-4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KARUMA-GULU'!$C$9:$N$9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KARUMA-GULU'!$C$108:$N$108</c:f>
              <c:numCache>
                <c:formatCode>0.00%</c:formatCode>
                <c:ptCount val="12"/>
                <c:pt idx="0">
                  <c:v>0.30421811710308994</c:v>
                </c:pt>
                <c:pt idx="1">
                  <c:v>0.11609098484457617</c:v>
                </c:pt>
                <c:pt idx="2">
                  <c:v>0.25486139038627498</c:v>
                </c:pt>
                <c:pt idx="3">
                  <c:v>6.4641137402438237E-2</c:v>
                </c:pt>
                <c:pt idx="4">
                  <c:v>9.3527828999493239E-3</c:v>
                </c:pt>
                <c:pt idx="5">
                  <c:v>1.9431072612170832E-2</c:v>
                </c:pt>
                <c:pt idx="6">
                  <c:v>0.1086761850710276</c:v>
                </c:pt>
                <c:pt idx="7">
                  <c:v>2.6027070980929011E-2</c:v>
                </c:pt>
                <c:pt idx="8">
                  <c:v>5.6156983701010615E-3</c:v>
                </c:pt>
                <c:pt idx="9">
                  <c:v>9.0665027885895005E-2</c:v>
                </c:pt>
                <c:pt idx="11">
                  <c:v>4.2053244354793665E-4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GULU-KARUMA-2Dir'!$C$9:$N$9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GULU-KARUMA-2Dir'!$C$107:$N$107</c:f>
              <c:numCache>
                <c:formatCode>0.0%</c:formatCode>
                <c:ptCount val="12"/>
                <c:pt idx="0">
                  <c:v>0.10024012135234929</c:v>
                </c:pt>
                <c:pt idx="1">
                  <c:v>4.099354042779043E-2</c:v>
                </c:pt>
                <c:pt idx="2">
                  <c:v>9.0348856365476224E-2</c:v>
                </c:pt>
                <c:pt idx="3">
                  <c:v>2.1677444689869759E-2</c:v>
                </c:pt>
                <c:pt idx="4">
                  <c:v>3.2379125246386666E-3</c:v>
                </c:pt>
                <c:pt idx="5">
                  <c:v>8.0951328510282736E-3</c:v>
                </c:pt>
                <c:pt idx="6">
                  <c:v>4.2441531346542612E-2</c:v>
                </c:pt>
                <c:pt idx="7">
                  <c:v>1.0032349478754334E-2</c:v>
                </c:pt>
                <c:pt idx="8">
                  <c:v>1.9977985897714481E-3</c:v>
                </c:pt>
                <c:pt idx="9">
                  <c:v>3.5906530492946287E-2</c:v>
                </c:pt>
                <c:pt idx="10">
                  <c:v>0.64435247860434386</c:v>
                </c:pt>
                <c:pt idx="11">
                  <c:v>6.763032764892904E-4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GULU-KARUMA-2Dir'!$C$9:$N$9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GULU-KARUMA-2Dir'!$C$108:$N$108</c:f>
              <c:numCache>
                <c:formatCode>0.00%</c:formatCode>
                <c:ptCount val="12"/>
                <c:pt idx="0">
                  <c:v>0.28185243906376739</c:v>
                </c:pt>
                <c:pt idx="1">
                  <c:v>0.11526451883291838</c:v>
                </c:pt>
                <c:pt idx="2">
                  <c:v>0.25404044996833647</c:v>
                </c:pt>
                <c:pt idx="3">
                  <c:v>6.095204770386594E-2</c:v>
                </c:pt>
                <c:pt idx="4">
                  <c:v>9.1042741193084215E-3</c:v>
                </c:pt>
                <c:pt idx="5">
                  <c:v>2.2761673747256239E-2</c:v>
                </c:pt>
                <c:pt idx="6">
                  <c:v>0.11933594020279008</c:v>
                </c:pt>
                <c:pt idx="7">
                  <c:v>2.8208686621474788E-2</c:v>
                </c:pt>
                <c:pt idx="8">
                  <c:v>5.617355582661022E-3</c:v>
                </c:pt>
                <c:pt idx="9">
                  <c:v>0.10096100305167144</c:v>
                </c:pt>
                <c:pt idx="11">
                  <c:v>1.9016111059492104E-3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GULU-KARUMA-2Dir'!$AE$9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GULU-KARUMA-2Dir'!$R$10:$R$33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GULU-KARUMA-2Dir'!$AE$10:$AE$33</c:f>
              <c:numCache>
                <c:formatCode>0</c:formatCode>
                <c:ptCount val="24"/>
                <c:pt idx="0">
                  <c:v>83.704681872749106</c:v>
                </c:pt>
                <c:pt idx="1">
                  <c:v>131.54921968787517</c:v>
                </c:pt>
                <c:pt idx="2">
                  <c:v>137.9987995198079</c:v>
                </c:pt>
                <c:pt idx="3">
                  <c:v>143.74369747899158</c:v>
                </c:pt>
                <c:pt idx="4">
                  <c:v>157.00480192076833</c:v>
                </c:pt>
                <c:pt idx="5">
                  <c:v>151.30132052821128</c:v>
                </c:pt>
                <c:pt idx="6">
                  <c:v>149.38175270108044</c:v>
                </c:pt>
                <c:pt idx="7">
                  <c:v>136.08403361344537</c:v>
                </c:pt>
                <c:pt idx="8">
                  <c:v>136.46398559423767</c:v>
                </c:pt>
                <c:pt idx="9">
                  <c:v>151.67346938775509</c:v>
                </c:pt>
                <c:pt idx="10">
                  <c:v>165.281512605042</c:v>
                </c:pt>
                <c:pt idx="11">
                  <c:v>154.61284513805521</c:v>
                </c:pt>
                <c:pt idx="12">
                  <c:v>95.668067226890741</c:v>
                </c:pt>
                <c:pt idx="13">
                  <c:v>143.6344537815126</c:v>
                </c:pt>
                <c:pt idx="14">
                  <c:v>161.57563025210084</c:v>
                </c:pt>
                <c:pt idx="15">
                  <c:v>164.09663865546219</c:v>
                </c:pt>
                <c:pt idx="16">
                  <c:v>137.63025210084035</c:v>
                </c:pt>
                <c:pt idx="17">
                  <c:v>149.21428571428572</c:v>
                </c:pt>
                <c:pt idx="18">
                  <c:v>154.1344537815126</c:v>
                </c:pt>
                <c:pt idx="19">
                  <c:v>126.55042016806722</c:v>
                </c:pt>
                <c:pt idx="20">
                  <c:v>160.6344537815126</c:v>
                </c:pt>
                <c:pt idx="21">
                  <c:v>179.09663865546219</c:v>
                </c:pt>
                <c:pt idx="22">
                  <c:v>204.52100840336135</c:v>
                </c:pt>
                <c:pt idx="23">
                  <c:v>267.97058823529414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BB-4F0D-8525-375E525A6687}"/>
            </c:ext>
          </c:extLst>
        </c:ser>
        <c:ser>
          <c:idx val="1"/>
          <c:order val="1"/>
          <c:tx>
            <c:strRef>
              <c:f>'Avg Week GULU-KARUMA-2Dir'!$AF$9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GULU-KARUMA-2Dir'!$R$10:$R$33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GULU-KARUMA-2Dir'!$AF$10:$AF$33</c:f>
              <c:numCache>
                <c:formatCode>0</c:formatCode>
                <c:ptCount val="24"/>
                <c:pt idx="0">
                  <c:v>499.13325330132056</c:v>
                </c:pt>
                <c:pt idx="1">
                  <c:v>584.12064825930372</c:v>
                </c:pt>
                <c:pt idx="2">
                  <c:v>583.95594237695082</c:v>
                </c:pt>
                <c:pt idx="3">
                  <c:v>542.52941176470597</c:v>
                </c:pt>
                <c:pt idx="4">
                  <c:v>516.51908763505401</c:v>
                </c:pt>
                <c:pt idx="5">
                  <c:v>522.81560624249687</c:v>
                </c:pt>
                <c:pt idx="6">
                  <c:v>524.38175270108047</c:v>
                </c:pt>
                <c:pt idx="7">
                  <c:v>484.06974789915967</c:v>
                </c:pt>
                <c:pt idx="8">
                  <c:v>506.46398559423767</c:v>
                </c:pt>
                <c:pt idx="9">
                  <c:v>577.75918367346935</c:v>
                </c:pt>
                <c:pt idx="10">
                  <c:v>668.01008403361345</c:v>
                </c:pt>
                <c:pt idx="11">
                  <c:v>603.78427370948373</c:v>
                </c:pt>
                <c:pt idx="12">
                  <c:v>520.6680672268908</c:v>
                </c:pt>
                <c:pt idx="13">
                  <c:v>485.6344537815126</c:v>
                </c:pt>
                <c:pt idx="14">
                  <c:v>497.57563025210084</c:v>
                </c:pt>
                <c:pt idx="15">
                  <c:v>372.09663865546219</c:v>
                </c:pt>
                <c:pt idx="16">
                  <c:v>264.13025210084032</c:v>
                </c:pt>
                <c:pt idx="17">
                  <c:v>257.21428571428578</c:v>
                </c:pt>
                <c:pt idx="18">
                  <c:v>205.1344537815126</c:v>
                </c:pt>
                <c:pt idx="19">
                  <c:v>132.55042016806721</c:v>
                </c:pt>
                <c:pt idx="20">
                  <c:v>176.6344537815126</c:v>
                </c:pt>
                <c:pt idx="21">
                  <c:v>179.09663865546219</c:v>
                </c:pt>
                <c:pt idx="22">
                  <c:v>217.52100840336135</c:v>
                </c:pt>
                <c:pt idx="23">
                  <c:v>322.97058823529414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BBB-4F0D-8525-375E525A6687}"/>
            </c:ext>
          </c:extLst>
        </c:ser>
        <c:ser>
          <c:idx val="5"/>
          <c:order val="2"/>
          <c:tx>
            <c:strRef>
              <c:f>'Avg Week GULU-KARUMA-2Dir'!$AC$9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GULU-KARUMA-2Dir'!$R$10:$R$33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GULU-KARUMA-2Dir'!$AC$10:$AC$33</c:f>
              <c:numCache>
                <c:formatCode>0</c:formatCode>
                <c:ptCount val="24"/>
                <c:pt idx="0">
                  <c:v>415.42857142857144</c:v>
                </c:pt>
                <c:pt idx="1">
                  <c:v>452.57142857142856</c:v>
                </c:pt>
                <c:pt idx="2">
                  <c:v>445.95714285714286</c:v>
                </c:pt>
                <c:pt idx="3">
                  <c:v>398.78571428571422</c:v>
                </c:pt>
                <c:pt idx="4">
                  <c:v>359.51428571428573</c:v>
                </c:pt>
                <c:pt idx="5">
                  <c:v>371.51428571428573</c:v>
                </c:pt>
                <c:pt idx="6">
                  <c:v>375</c:v>
                </c:pt>
                <c:pt idx="7">
                  <c:v>347.98571428571427</c:v>
                </c:pt>
                <c:pt idx="8">
                  <c:v>370</c:v>
                </c:pt>
                <c:pt idx="9">
                  <c:v>426.08571428571435</c:v>
                </c:pt>
                <c:pt idx="10">
                  <c:v>502.72857142857146</c:v>
                </c:pt>
                <c:pt idx="11">
                  <c:v>449.17142857142852</c:v>
                </c:pt>
                <c:pt idx="12">
                  <c:v>425</c:v>
                </c:pt>
                <c:pt idx="13">
                  <c:v>342</c:v>
                </c:pt>
                <c:pt idx="14">
                  <c:v>336</c:v>
                </c:pt>
                <c:pt idx="15">
                  <c:v>208</c:v>
                </c:pt>
                <c:pt idx="16">
                  <c:v>126.5</c:v>
                </c:pt>
                <c:pt idx="17">
                  <c:v>108</c:v>
                </c:pt>
                <c:pt idx="18">
                  <c:v>51</c:v>
                </c:pt>
                <c:pt idx="19">
                  <c:v>6</c:v>
                </c:pt>
                <c:pt idx="20">
                  <c:v>16</c:v>
                </c:pt>
                <c:pt idx="21">
                  <c:v>0</c:v>
                </c:pt>
                <c:pt idx="22">
                  <c:v>13</c:v>
                </c:pt>
                <c:pt idx="23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B-4F0D-8525-375E525A6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GULU-KARUMA-2Dir'!$S$9:$AF$9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GULU-KARUMA-2Dir'!$S$41:$AF$41</c:f>
              <c:numCache>
                <c:formatCode>_(* #,##0_);_(* \(#,##0\);_(* "-"_);_(@_)</c:formatCode>
                <c:ptCount val="14"/>
                <c:pt idx="0">
                  <c:v>1026.9369747899161</c:v>
                </c:pt>
                <c:pt idx="1">
                  <c:v>419.96938775510205</c:v>
                </c:pt>
                <c:pt idx="2">
                  <c:v>925.60324129651872</c:v>
                </c:pt>
                <c:pt idx="3">
                  <c:v>222.08043217286917</c:v>
                </c:pt>
                <c:pt idx="4">
                  <c:v>33.171668667466982</c:v>
                </c:pt>
                <c:pt idx="5">
                  <c:v>82.932773109243698</c:v>
                </c:pt>
                <c:pt idx="6">
                  <c:v>434.80372148859539</c:v>
                </c:pt>
                <c:pt idx="7">
                  <c:v>102.77911164465786</c:v>
                </c:pt>
                <c:pt idx="8">
                  <c:v>20.466986794717887</c:v>
                </c:pt>
                <c:pt idx="9">
                  <c:v>367.8541416566627</c:v>
                </c:pt>
                <c:pt idx="10">
                  <c:v>6601.2428571428572</c:v>
                </c:pt>
                <c:pt idx="11">
                  <c:v>6.9285714285714279</c:v>
                </c:pt>
                <c:pt idx="12">
                  <c:v>3643.5270108043223</c:v>
                </c:pt>
                <c:pt idx="13">
                  <c:v>10244.76986794718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C-4925-A23E-099F71CD1E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GULU-KARUMA-2Dir'!$S$9:$AF$9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GULU-KARUMA-2Dir'!$S$42:$AF$42</c:f>
              <c:numCache>
                <c:formatCode>0.000</c:formatCode>
                <c:ptCount val="14"/>
                <c:pt idx="0">
                  <c:v>2.1676866042287504</c:v>
                </c:pt>
                <c:pt idx="1">
                  <c:v>2.2245470905055926</c:v>
                </c:pt>
                <c:pt idx="2">
                  <c:v>2.1942121536804393</c:v>
                </c:pt>
                <c:pt idx="3">
                  <c:v>1.9939962274319591</c:v>
                </c:pt>
                <c:pt idx="4">
                  <c:v>2.5460241407905646</c:v>
                </c:pt>
                <c:pt idx="5">
                  <c:v>1.8938783342928422</c:v>
                </c:pt>
                <c:pt idx="6">
                  <c:v>2.1262981466370001</c:v>
                </c:pt>
                <c:pt idx="7">
                  <c:v>1.7636940444554312</c:v>
                </c:pt>
                <c:pt idx="8">
                  <c:v>1.7757525257785649</c:v>
                </c:pt>
                <c:pt idx="9">
                  <c:v>2.1700541765518224</c:v>
                </c:pt>
                <c:pt idx="10">
                  <c:v>1.343151218491303</c:v>
                </c:pt>
                <c:pt idx="11">
                  <c:v>2.8529411764705888</c:v>
                </c:pt>
                <c:pt idx="12">
                  <c:v>2.1447649831231068</c:v>
                </c:pt>
                <c:pt idx="13">
                  <c:v>1.5490592415109214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A-4A13-8EF4-5D9C5E42777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42</xdr:row>
      <xdr:rowOff>260349</xdr:rowOff>
    </xdr:from>
    <xdr:to>
      <xdr:col>28</xdr:col>
      <xdr:colOff>15875</xdr:colOff>
      <xdr:row>58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263526</xdr:rowOff>
    </xdr:from>
    <xdr:to>
      <xdr:col>24</xdr:col>
      <xdr:colOff>47625</xdr:colOff>
      <xdr:row>73</xdr:row>
      <xdr:rowOff>15876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0</xdr:colOff>
      <xdr:row>59</xdr:row>
      <xdr:rowOff>15875</xdr:rowOff>
    </xdr:from>
    <xdr:to>
      <xdr:col>31</xdr:col>
      <xdr:colOff>682625</xdr:colOff>
      <xdr:row>73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2643</xdr:colOff>
      <xdr:row>43</xdr:row>
      <xdr:rowOff>4906</xdr:rowOff>
    </xdr:from>
    <xdr:to>
      <xdr:col>28</xdr:col>
      <xdr:colOff>15875</xdr:colOff>
      <xdr:row>57</xdr:row>
      <xdr:rowOff>277091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23089</xdr:colOff>
      <xdr:row>59</xdr:row>
      <xdr:rowOff>9525</xdr:rowOff>
    </xdr:from>
    <xdr:to>
      <xdr:col>23</xdr:col>
      <xdr:colOff>710044</xdr:colOff>
      <xdr:row>73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686955</xdr:colOff>
      <xdr:row>58</xdr:row>
      <xdr:rowOff>269875</xdr:rowOff>
    </xdr:from>
    <xdr:to>
      <xdr:col>31</xdr:col>
      <xdr:colOff>606137</xdr:colOff>
      <xdr:row>73</xdr:row>
      <xdr:rowOff>69851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9525</xdr:rowOff>
    </xdr:from>
    <xdr:to>
      <xdr:col>23</xdr:col>
      <xdr:colOff>698500</xdr:colOff>
      <xdr:row>74</xdr:row>
      <xdr:rowOff>238125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15876</xdr:colOff>
      <xdr:row>74</xdr:row>
      <xdr:rowOff>206375</xdr:rowOff>
    </xdr:from>
    <xdr:to>
      <xdr:col>23</xdr:col>
      <xdr:colOff>698500</xdr:colOff>
      <xdr:row>91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1</xdr:rowOff>
    </xdr:from>
    <xdr:to>
      <xdr:col>27</xdr:col>
      <xdr:colOff>698500</xdr:colOff>
      <xdr:row>58</xdr:row>
      <xdr:rowOff>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194F100-0C97-400A-9A8B-97FCF0D095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59</xdr:row>
      <xdr:rowOff>0</xdr:rowOff>
    </xdr:from>
    <xdr:to>
      <xdr:col>30</xdr:col>
      <xdr:colOff>698500</xdr:colOff>
      <xdr:row>74</xdr:row>
      <xdr:rowOff>204788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863E935-383C-4E5F-9B3C-60F32A21CE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698500</xdr:colOff>
      <xdr:row>74</xdr:row>
      <xdr:rowOff>222250</xdr:rowOff>
    </xdr:from>
    <xdr:to>
      <xdr:col>31</xdr:col>
      <xdr:colOff>0</xdr:colOff>
      <xdr:row>91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0B3C248-C850-4D6E-A4F9-15C1220F7D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leaned%20files_Ben/STN%20116%20KARUMA-GULU/MCC/MCC%20-%20C5%20-%20STN116%20GULU-KARUMA%20HIGHW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edule "/>
      <sheetName val="RD116 MCC"/>
      <sheetName val="Axle Loads"/>
      <sheetName val="OD"/>
      <sheetName val="AV1 Air Inquiry"/>
      <sheetName val="IW1 OD Ferries"/>
      <sheetName val="EntExit Bus"/>
      <sheetName val="PT2 OD Bus"/>
      <sheetName val="SP"/>
      <sheetName val="Reference Data Codes"/>
      <sheetName val="District Codes"/>
      <sheetName val="Border Codes"/>
      <sheetName val="Zones"/>
    </sheetNames>
    <sheetDataSet>
      <sheetData sheetId="0"/>
      <sheetData sheetId="1">
        <row r="56">
          <cell r="I56">
            <v>7</v>
          </cell>
        </row>
        <row r="57">
          <cell r="I57">
            <v>5</v>
          </cell>
        </row>
        <row r="58">
          <cell r="I58">
            <v>3</v>
          </cell>
        </row>
        <row r="59">
          <cell r="I59">
            <v>7</v>
          </cell>
        </row>
        <row r="60">
          <cell r="I60">
            <v>2</v>
          </cell>
        </row>
        <row r="61">
          <cell r="I61">
            <v>6</v>
          </cell>
        </row>
        <row r="62">
          <cell r="I62">
            <v>1</v>
          </cell>
        </row>
        <row r="63">
          <cell r="I63">
            <v>9</v>
          </cell>
        </row>
        <row r="64">
          <cell r="I64">
            <v>10</v>
          </cell>
        </row>
        <row r="65">
          <cell r="I65">
            <v>6</v>
          </cell>
        </row>
        <row r="66">
          <cell r="I66">
            <v>2</v>
          </cell>
        </row>
        <row r="67">
          <cell r="I67">
            <v>3</v>
          </cell>
        </row>
        <row r="68">
          <cell r="I68">
            <v>7</v>
          </cell>
        </row>
        <row r="69">
          <cell r="I69">
            <v>9</v>
          </cell>
        </row>
        <row r="70">
          <cell r="I70">
            <v>5</v>
          </cell>
        </row>
        <row r="71">
          <cell r="I71">
            <v>17</v>
          </cell>
        </row>
        <row r="72">
          <cell r="I72">
            <v>7</v>
          </cell>
        </row>
        <row r="73">
          <cell r="I73">
            <v>9</v>
          </cell>
        </row>
        <row r="74">
          <cell r="I74">
            <v>7</v>
          </cell>
        </row>
        <row r="75">
          <cell r="I75">
            <v>10</v>
          </cell>
        </row>
        <row r="76">
          <cell r="I76">
            <v>4</v>
          </cell>
        </row>
        <row r="77">
          <cell r="I77">
            <v>6</v>
          </cell>
        </row>
        <row r="78">
          <cell r="I78">
            <v>3</v>
          </cell>
        </row>
        <row r="79">
          <cell r="I79">
            <v>3</v>
          </cell>
        </row>
        <row r="80">
          <cell r="I80">
            <v>5</v>
          </cell>
        </row>
        <row r="81">
          <cell r="I81">
            <v>3</v>
          </cell>
        </row>
        <row r="82">
          <cell r="I82">
            <v>8</v>
          </cell>
        </row>
        <row r="83">
          <cell r="I83">
            <v>4</v>
          </cell>
        </row>
        <row r="84">
          <cell r="I84">
            <v>5</v>
          </cell>
        </row>
        <row r="85">
          <cell r="I85">
            <v>2</v>
          </cell>
        </row>
        <row r="86">
          <cell r="I86">
            <v>6</v>
          </cell>
        </row>
        <row r="87">
          <cell r="I87">
            <v>18</v>
          </cell>
        </row>
        <row r="88">
          <cell r="I88">
            <v>3</v>
          </cell>
        </row>
        <row r="89">
          <cell r="I89">
            <v>1</v>
          </cell>
        </row>
        <row r="90">
          <cell r="I90">
            <v>4</v>
          </cell>
        </row>
        <row r="91">
          <cell r="I91">
            <v>6</v>
          </cell>
        </row>
        <row r="92">
          <cell r="I92">
            <v>4</v>
          </cell>
        </row>
        <row r="93">
          <cell r="I93">
            <v>2</v>
          </cell>
        </row>
        <row r="94">
          <cell r="I94">
            <v>5</v>
          </cell>
        </row>
        <row r="95">
          <cell r="I95">
            <v>8</v>
          </cell>
        </row>
        <row r="96">
          <cell r="I96">
            <v>3</v>
          </cell>
        </row>
        <row r="97">
          <cell r="I97">
            <v>3</v>
          </cell>
        </row>
        <row r="98">
          <cell r="I98">
            <v>4</v>
          </cell>
        </row>
        <row r="99">
          <cell r="I99">
            <v>3</v>
          </cell>
        </row>
        <row r="100">
          <cell r="I100">
            <v>5</v>
          </cell>
        </row>
        <row r="101">
          <cell r="I101">
            <v>1</v>
          </cell>
        </row>
        <row r="150">
          <cell r="M150">
            <v>39</v>
          </cell>
          <cell r="V150">
            <v>0</v>
          </cell>
        </row>
        <row r="151">
          <cell r="M151">
            <v>30</v>
          </cell>
          <cell r="V151">
            <v>0</v>
          </cell>
        </row>
        <row r="152">
          <cell r="M152">
            <v>48</v>
          </cell>
          <cell r="V152">
            <v>0</v>
          </cell>
        </row>
        <row r="153">
          <cell r="M153">
            <v>54</v>
          </cell>
          <cell r="V153">
            <v>0</v>
          </cell>
        </row>
        <row r="154">
          <cell r="M154">
            <v>62</v>
          </cell>
          <cell r="V154">
            <v>1</v>
          </cell>
        </row>
        <row r="155">
          <cell r="M155">
            <v>73</v>
          </cell>
          <cell r="V155">
            <v>1</v>
          </cell>
        </row>
        <row r="156">
          <cell r="M156">
            <v>55</v>
          </cell>
          <cell r="V156">
            <v>0</v>
          </cell>
        </row>
        <row r="157">
          <cell r="M157">
            <v>54</v>
          </cell>
          <cell r="V157">
            <v>0</v>
          </cell>
        </row>
        <row r="158">
          <cell r="M158">
            <v>60</v>
          </cell>
          <cell r="V158">
            <v>0</v>
          </cell>
        </row>
        <row r="159">
          <cell r="M159">
            <v>64</v>
          </cell>
          <cell r="V159">
            <v>0</v>
          </cell>
        </row>
        <row r="160">
          <cell r="M160">
            <v>62</v>
          </cell>
          <cell r="V160">
            <v>0</v>
          </cell>
        </row>
        <row r="161">
          <cell r="M161">
            <v>70</v>
          </cell>
          <cell r="V161">
            <v>0</v>
          </cell>
        </row>
        <row r="162">
          <cell r="M162">
            <v>58</v>
          </cell>
          <cell r="V162">
            <v>0</v>
          </cell>
        </row>
        <row r="163">
          <cell r="M163">
            <v>60</v>
          </cell>
          <cell r="V163">
            <v>0</v>
          </cell>
        </row>
        <row r="164">
          <cell r="M164">
            <v>62</v>
          </cell>
          <cell r="V164">
            <v>0</v>
          </cell>
        </row>
        <row r="165">
          <cell r="M165">
            <v>70</v>
          </cell>
          <cell r="V165">
            <v>0</v>
          </cell>
        </row>
        <row r="166">
          <cell r="M166">
            <v>69</v>
          </cell>
          <cell r="V166">
            <v>0</v>
          </cell>
        </row>
        <row r="167">
          <cell r="M167">
            <v>50</v>
          </cell>
          <cell r="V167">
            <v>0</v>
          </cell>
        </row>
        <row r="168">
          <cell r="M168">
            <v>49</v>
          </cell>
          <cell r="V168">
            <v>0</v>
          </cell>
        </row>
        <row r="169">
          <cell r="M169">
            <v>45</v>
          </cell>
          <cell r="V169">
            <v>0</v>
          </cell>
        </row>
        <row r="170">
          <cell r="M170">
            <v>54</v>
          </cell>
          <cell r="V170">
            <v>0</v>
          </cell>
        </row>
        <row r="171">
          <cell r="M171">
            <v>42</v>
          </cell>
          <cell r="V171">
            <v>0</v>
          </cell>
        </row>
        <row r="172">
          <cell r="M172">
            <v>42</v>
          </cell>
          <cell r="V172">
            <v>0</v>
          </cell>
        </row>
        <row r="173">
          <cell r="M173">
            <v>57</v>
          </cell>
          <cell r="V173">
            <v>0</v>
          </cell>
        </row>
        <row r="174">
          <cell r="M174">
            <v>59</v>
          </cell>
          <cell r="V174">
            <v>0</v>
          </cell>
        </row>
        <row r="175">
          <cell r="M175">
            <v>50</v>
          </cell>
          <cell r="V175">
            <v>0</v>
          </cell>
        </row>
        <row r="176">
          <cell r="M176">
            <v>51</v>
          </cell>
          <cell r="V176">
            <v>0</v>
          </cell>
        </row>
        <row r="177">
          <cell r="M177">
            <v>39</v>
          </cell>
          <cell r="V177">
            <v>0</v>
          </cell>
        </row>
        <row r="178">
          <cell r="M178">
            <v>46</v>
          </cell>
          <cell r="V178">
            <v>0</v>
          </cell>
        </row>
        <row r="179">
          <cell r="M179">
            <v>38</v>
          </cell>
          <cell r="V179">
            <v>0</v>
          </cell>
        </row>
        <row r="180">
          <cell r="M180">
            <v>55</v>
          </cell>
          <cell r="V180">
            <v>0</v>
          </cell>
        </row>
        <row r="181">
          <cell r="M181">
            <v>71</v>
          </cell>
          <cell r="V181">
            <v>0</v>
          </cell>
        </row>
        <row r="182">
          <cell r="M182">
            <v>56</v>
          </cell>
          <cell r="V182">
            <v>0</v>
          </cell>
        </row>
        <row r="183">
          <cell r="M183">
            <v>33</v>
          </cell>
          <cell r="V183">
            <v>0</v>
          </cell>
        </row>
        <row r="184">
          <cell r="M184">
            <v>52</v>
          </cell>
          <cell r="V184">
            <v>0</v>
          </cell>
        </row>
        <row r="185">
          <cell r="M185">
            <v>44</v>
          </cell>
          <cell r="V185">
            <v>0</v>
          </cell>
        </row>
        <row r="186">
          <cell r="M186">
            <v>51</v>
          </cell>
          <cell r="V186">
            <v>0</v>
          </cell>
        </row>
        <row r="187">
          <cell r="M187">
            <v>44</v>
          </cell>
          <cell r="V187">
            <v>0</v>
          </cell>
        </row>
        <row r="188">
          <cell r="M188">
            <v>52</v>
          </cell>
          <cell r="V188">
            <v>0</v>
          </cell>
        </row>
        <row r="189">
          <cell r="M189">
            <v>42</v>
          </cell>
          <cell r="V189">
            <v>0</v>
          </cell>
        </row>
        <row r="190">
          <cell r="M190">
            <v>35</v>
          </cell>
          <cell r="V190">
            <v>0</v>
          </cell>
        </row>
        <row r="191">
          <cell r="M191">
            <v>61</v>
          </cell>
          <cell r="V191">
            <v>0</v>
          </cell>
        </row>
        <row r="192">
          <cell r="M192">
            <v>45</v>
          </cell>
          <cell r="V192">
            <v>0</v>
          </cell>
        </row>
        <row r="193">
          <cell r="M193">
            <v>35</v>
          </cell>
          <cell r="V193">
            <v>0</v>
          </cell>
        </row>
        <row r="194">
          <cell r="M194">
            <v>43</v>
          </cell>
          <cell r="V194">
            <v>0</v>
          </cell>
        </row>
        <row r="195">
          <cell r="M195">
            <v>58</v>
          </cell>
          <cell r="V195">
            <v>0</v>
          </cell>
        </row>
        <row r="196">
          <cell r="M196">
            <v>79</v>
          </cell>
          <cell r="V196">
            <v>0</v>
          </cell>
        </row>
        <row r="197">
          <cell r="M197">
            <v>48</v>
          </cell>
          <cell r="V197">
            <v>0</v>
          </cell>
        </row>
        <row r="198">
          <cell r="H198">
            <v>0</v>
          </cell>
        </row>
        <row r="199">
          <cell r="H199">
            <v>3</v>
          </cell>
        </row>
        <row r="200">
          <cell r="H200">
            <v>2</v>
          </cell>
        </row>
        <row r="201">
          <cell r="H201">
            <v>1</v>
          </cell>
        </row>
        <row r="202">
          <cell r="H202">
            <v>3</v>
          </cell>
        </row>
        <row r="203">
          <cell r="H203">
            <v>2</v>
          </cell>
        </row>
        <row r="204">
          <cell r="H204">
            <v>3</v>
          </cell>
        </row>
        <row r="205">
          <cell r="H205">
            <v>5</v>
          </cell>
        </row>
        <row r="206">
          <cell r="H206">
            <v>4</v>
          </cell>
        </row>
        <row r="207">
          <cell r="H207">
            <v>5</v>
          </cell>
        </row>
        <row r="208">
          <cell r="H208">
            <v>1</v>
          </cell>
        </row>
        <row r="209">
          <cell r="H209">
            <v>3</v>
          </cell>
        </row>
        <row r="210">
          <cell r="H210">
            <v>8</v>
          </cell>
        </row>
        <row r="211">
          <cell r="H211">
            <v>6</v>
          </cell>
        </row>
        <row r="212">
          <cell r="H212">
            <v>2</v>
          </cell>
        </row>
        <row r="213">
          <cell r="H213">
            <v>7</v>
          </cell>
        </row>
        <row r="214">
          <cell r="H214">
            <v>7</v>
          </cell>
        </row>
        <row r="215">
          <cell r="H215">
            <v>10</v>
          </cell>
        </row>
        <row r="216">
          <cell r="H216">
            <v>5</v>
          </cell>
        </row>
        <row r="217">
          <cell r="H217">
            <v>5</v>
          </cell>
        </row>
        <row r="218">
          <cell r="H218">
            <v>8</v>
          </cell>
        </row>
        <row r="219">
          <cell r="H219">
            <v>9</v>
          </cell>
        </row>
        <row r="220">
          <cell r="H220">
            <v>6</v>
          </cell>
        </row>
        <row r="221">
          <cell r="H221">
            <v>5</v>
          </cell>
        </row>
        <row r="222">
          <cell r="H222">
            <v>7</v>
          </cell>
        </row>
        <row r="223">
          <cell r="H223">
            <v>6</v>
          </cell>
        </row>
        <row r="224">
          <cell r="H224">
            <v>12</v>
          </cell>
        </row>
        <row r="225">
          <cell r="H225">
            <v>10</v>
          </cell>
        </row>
        <row r="226">
          <cell r="H226">
            <v>9</v>
          </cell>
        </row>
        <row r="227">
          <cell r="H227">
            <v>4</v>
          </cell>
        </row>
        <row r="228">
          <cell r="H228">
            <v>3</v>
          </cell>
        </row>
        <row r="229">
          <cell r="H229">
            <v>3</v>
          </cell>
        </row>
        <row r="230">
          <cell r="H230">
            <v>11</v>
          </cell>
        </row>
        <row r="231">
          <cell r="H231">
            <v>6</v>
          </cell>
        </row>
        <row r="232">
          <cell r="H232">
            <v>2</v>
          </cell>
        </row>
        <row r="233">
          <cell r="H233">
            <v>7</v>
          </cell>
        </row>
        <row r="234">
          <cell r="H234">
            <v>7</v>
          </cell>
        </row>
        <row r="235">
          <cell r="H235">
            <v>2</v>
          </cell>
        </row>
        <row r="236">
          <cell r="H236">
            <v>7</v>
          </cell>
        </row>
        <row r="237">
          <cell r="H237">
            <v>8</v>
          </cell>
        </row>
        <row r="238">
          <cell r="H238">
            <v>9</v>
          </cell>
        </row>
        <row r="239">
          <cell r="H239">
            <v>3</v>
          </cell>
        </row>
        <row r="240">
          <cell r="H240">
            <v>5</v>
          </cell>
        </row>
        <row r="241">
          <cell r="H241">
            <v>9</v>
          </cell>
        </row>
        <row r="242">
          <cell r="H242">
            <v>5</v>
          </cell>
        </row>
        <row r="243">
          <cell r="H243">
            <v>2</v>
          </cell>
        </row>
        <row r="244">
          <cell r="H244">
            <v>1</v>
          </cell>
        </row>
        <row r="245">
          <cell r="H245">
            <v>3</v>
          </cell>
        </row>
        <row r="246">
          <cell r="H246">
            <v>2</v>
          </cell>
        </row>
        <row r="247">
          <cell r="H247">
            <v>2</v>
          </cell>
        </row>
        <row r="248">
          <cell r="H248">
            <v>2</v>
          </cell>
        </row>
        <row r="249">
          <cell r="H249">
            <v>3</v>
          </cell>
        </row>
        <row r="250">
          <cell r="H250">
            <v>5</v>
          </cell>
        </row>
        <row r="251">
          <cell r="H251">
            <v>2</v>
          </cell>
        </row>
        <row r="252">
          <cell r="H252">
            <v>3</v>
          </cell>
        </row>
        <row r="253">
          <cell r="H253">
            <v>2</v>
          </cell>
        </row>
        <row r="254">
          <cell r="H254">
            <v>7</v>
          </cell>
        </row>
        <row r="255">
          <cell r="H255">
            <v>2</v>
          </cell>
        </row>
        <row r="256">
          <cell r="H256">
            <v>5</v>
          </cell>
        </row>
        <row r="257">
          <cell r="H257">
            <v>4</v>
          </cell>
        </row>
        <row r="258">
          <cell r="H258">
            <v>7</v>
          </cell>
        </row>
        <row r="259">
          <cell r="H259">
            <v>2</v>
          </cell>
        </row>
        <row r="260">
          <cell r="H260">
            <v>4</v>
          </cell>
        </row>
        <row r="261">
          <cell r="H261">
            <v>3</v>
          </cell>
        </row>
        <row r="262">
          <cell r="H262">
            <v>5</v>
          </cell>
        </row>
        <row r="263">
          <cell r="H263">
            <v>3</v>
          </cell>
        </row>
        <row r="264">
          <cell r="H264">
            <v>2</v>
          </cell>
        </row>
        <row r="265">
          <cell r="H265">
            <v>4</v>
          </cell>
        </row>
        <row r="266">
          <cell r="H266">
            <v>6</v>
          </cell>
        </row>
        <row r="267">
          <cell r="H267">
            <v>1</v>
          </cell>
        </row>
        <row r="268">
          <cell r="H268">
            <v>4</v>
          </cell>
        </row>
        <row r="269">
          <cell r="H269">
            <v>3</v>
          </cell>
        </row>
        <row r="270">
          <cell r="H270">
            <v>7</v>
          </cell>
        </row>
        <row r="271">
          <cell r="H271">
            <v>7</v>
          </cell>
        </row>
        <row r="272">
          <cell r="H272">
            <v>7</v>
          </cell>
        </row>
        <row r="273">
          <cell r="H273">
            <v>3</v>
          </cell>
        </row>
        <row r="274">
          <cell r="H274">
            <v>3</v>
          </cell>
        </row>
        <row r="275">
          <cell r="H275">
            <v>2</v>
          </cell>
        </row>
        <row r="276">
          <cell r="H276">
            <v>3</v>
          </cell>
        </row>
        <row r="277">
          <cell r="H277">
            <v>7</v>
          </cell>
        </row>
        <row r="278">
          <cell r="H278">
            <v>3</v>
          </cell>
        </row>
        <row r="279">
          <cell r="H279">
            <v>9</v>
          </cell>
        </row>
        <row r="280">
          <cell r="H280">
            <v>6</v>
          </cell>
        </row>
        <row r="281">
          <cell r="H281">
            <v>4</v>
          </cell>
        </row>
        <row r="282">
          <cell r="H282">
            <v>10</v>
          </cell>
        </row>
        <row r="283">
          <cell r="H283">
            <v>5</v>
          </cell>
        </row>
        <row r="284">
          <cell r="H284">
            <v>3</v>
          </cell>
        </row>
        <row r="285">
          <cell r="H285">
            <v>5</v>
          </cell>
        </row>
        <row r="286">
          <cell r="H286">
            <v>4</v>
          </cell>
        </row>
        <row r="287">
          <cell r="H287">
            <v>3</v>
          </cell>
        </row>
        <row r="288">
          <cell r="H288">
            <v>6</v>
          </cell>
        </row>
        <row r="289">
          <cell r="H289">
            <v>8</v>
          </cell>
        </row>
        <row r="290">
          <cell r="H290">
            <v>7</v>
          </cell>
        </row>
        <row r="291">
          <cell r="H291">
            <v>3</v>
          </cell>
        </row>
        <row r="292">
          <cell r="H292">
            <v>3</v>
          </cell>
        </row>
        <row r="293">
          <cell r="H293">
            <v>5</v>
          </cell>
        </row>
        <row r="294">
          <cell r="H294">
            <v>1</v>
          </cell>
          <cell r="O294">
            <v>0</v>
          </cell>
        </row>
        <row r="295">
          <cell r="H295">
            <v>1</v>
          </cell>
          <cell r="O295">
            <v>1</v>
          </cell>
        </row>
        <row r="296">
          <cell r="H296">
            <v>1</v>
          </cell>
          <cell r="O296">
            <v>1</v>
          </cell>
        </row>
        <row r="297">
          <cell r="H297">
            <v>3</v>
          </cell>
          <cell r="O297">
            <v>3</v>
          </cell>
        </row>
        <row r="298">
          <cell r="H298">
            <v>2</v>
          </cell>
          <cell r="O298">
            <v>1</v>
          </cell>
        </row>
        <row r="299">
          <cell r="H299">
            <v>4</v>
          </cell>
          <cell r="O299">
            <v>1</v>
          </cell>
        </row>
        <row r="300">
          <cell r="H300">
            <v>2</v>
          </cell>
          <cell r="O300">
            <v>6</v>
          </cell>
        </row>
        <row r="301">
          <cell r="H301">
            <v>3</v>
          </cell>
          <cell r="O301">
            <v>1</v>
          </cell>
        </row>
        <row r="302">
          <cell r="H302">
            <v>10</v>
          </cell>
          <cell r="O302">
            <v>4</v>
          </cell>
        </row>
        <row r="303">
          <cell r="H303">
            <v>5</v>
          </cell>
          <cell r="O303">
            <v>4</v>
          </cell>
        </row>
        <row r="304">
          <cell r="H304">
            <v>5</v>
          </cell>
          <cell r="O304">
            <v>7</v>
          </cell>
        </row>
        <row r="305">
          <cell r="H305">
            <v>2</v>
          </cell>
          <cell r="O305">
            <v>4</v>
          </cell>
        </row>
        <row r="306">
          <cell r="H306">
            <v>7</v>
          </cell>
          <cell r="O306">
            <v>4</v>
          </cell>
        </row>
        <row r="307">
          <cell r="H307">
            <v>4</v>
          </cell>
          <cell r="O307">
            <v>2</v>
          </cell>
        </row>
        <row r="308">
          <cell r="H308">
            <v>5</v>
          </cell>
          <cell r="O308">
            <v>5</v>
          </cell>
        </row>
        <row r="309">
          <cell r="H309">
            <v>7</v>
          </cell>
          <cell r="O309">
            <v>2</v>
          </cell>
        </row>
        <row r="310">
          <cell r="H310">
            <v>6</v>
          </cell>
          <cell r="O310">
            <v>3</v>
          </cell>
        </row>
        <row r="311">
          <cell r="H311">
            <v>4</v>
          </cell>
          <cell r="O311">
            <v>3</v>
          </cell>
        </row>
        <row r="312">
          <cell r="H312">
            <v>7</v>
          </cell>
          <cell r="O312">
            <v>5</v>
          </cell>
        </row>
        <row r="313">
          <cell r="H313">
            <v>4</v>
          </cell>
          <cell r="O313">
            <v>5</v>
          </cell>
        </row>
        <row r="314">
          <cell r="H314">
            <v>6</v>
          </cell>
          <cell r="O314">
            <v>6</v>
          </cell>
        </row>
        <row r="315">
          <cell r="H315">
            <v>3</v>
          </cell>
          <cell r="O315">
            <v>3</v>
          </cell>
        </row>
        <row r="316">
          <cell r="H316">
            <v>4</v>
          </cell>
          <cell r="O316">
            <v>4</v>
          </cell>
        </row>
        <row r="317">
          <cell r="H317">
            <v>6</v>
          </cell>
          <cell r="O317">
            <v>1</v>
          </cell>
        </row>
        <row r="318">
          <cell r="H318">
            <v>2</v>
          </cell>
          <cell r="O318">
            <v>5</v>
          </cell>
        </row>
        <row r="319">
          <cell r="H319">
            <v>4</v>
          </cell>
          <cell r="O319">
            <v>4</v>
          </cell>
        </row>
        <row r="320">
          <cell r="H320">
            <v>4</v>
          </cell>
          <cell r="O320">
            <v>4</v>
          </cell>
        </row>
        <row r="321">
          <cell r="H321">
            <v>4</v>
          </cell>
          <cell r="O321">
            <v>5</v>
          </cell>
        </row>
        <row r="322">
          <cell r="H322">
            <v>1</v>
          </cell>
          <cell r="O322">
            <v>7</v>
          </cell>
        </row>
        <row r="323">
          <cell r="H323">
            <v>4</v>
          </cell>
          <cell r="O323">
            <v>3</v>
          </cell>
        </row>
        <row r="324">
          <cell r="H324">
            <v>6</v>
          </cell>
          <cell r="O324">
            <v>1</v>
          </cell>
        </row>
        <row r="325">
          <cell r="H325">
            <v>7</v>
          </cell>
          <cell r="O325">
            <v>5</v>
          </cell>
        </row>
        <row r="326">
          <cell r="H326">
            <v>2</v>
          </cell>
          <cell r="O326">
            <v>6</v>
          </cell>
        </row>
        <row r="327">
          <cell r="H327">
            <v>6</v>
          </cell>
          <cell r="O327">
            <v>4</v>
          </cell>
        </row>
        <row r="328">
          <cell r="H328">
            <v>3</v>
          </cell>
          <cell r="O328">
            <v>4</v>
          </cell>
        </row>
        <row r="329">
          <cell r="H329">
            <v>5</v>
          </cell>
          <cell r="O329">
            <v>2</v>
          </cell>
        </row>
        <row r="330">
          <cell r="H330">
            <v>4</v>
          </cell>
          <cell r="O330">
            <v>6</v>
          </cell>
        </row>
        <row r="331">
          <cell r="H331">
            <v>7</v>
          </cell>
          <cell r="O331">
            <v>6</v>
          </cell>
        </row>
        <row r="332">
          <cell r="H332">
            <v>6</v>
          </cell>
          <cell r="O332">
            <v>8</v>
          </cell>
        </row>
        <row r="333">
          <cell r="H333">
            <v>13</v>
          </cell>
          <cell r="O333">
            <v>5</v>
          </cell>
        </row>
        <row r="334">
          <cell r="H334">
            <v>4</v>
          </cell>
          <cell r="O334">
            <v>2</v>
          </cell>
        </row>
        <row r="335">
          <cell r="H335">
            <v>8</v>
          </cell>
          <cell r="O335">
            <v>3</v>
          </cell>
        </row>
        <row r="336">
          <cell r="H336">
            <v>7</v>
          </cell>
          <cell r="O336">
            <v>4</v>
          </cell>
        </row>
        <row r="337">
          <cell r="H337">
            <v>5</v>
          </cell>
          <cell r="O337">
            <v>5</v>
          </cell>
        </row>
        <row r="338">
          <cell r="H338">
            <v>4</v>
          </cell>
          <cell r="O338">
            <v>3</v>
          </cell>
        </row>
        <row r="339">
          <cell r="H339">
            <v>7</v>
          </cell>
          <cell r="O339">
            <v>5</v>
          </cell>
        </row>
        <row r="340">
          <cell r="H340">
            <v>7</v>
          </cell>
          <cell r="O340">
            <v>4</v>
          </cell>
        </row>
        <row r="341">
          <cell r="H341">
            <v>2</v>
          </cell>
          <cell r="O341">
            <v>2</v>
          </cell>
        </row>
        <row r="342">
          <cell r="O342">
            <v>3</v>
          </cell>
          <cell r="R342">
            <v>1</v>
          </cell>
          <cell r="S342">
            <v>1</v>
          </cell>
          <cell r="T342">
            <v>0</v>
          </cell>
          <cell r="U342">
            <v>0</v>
          </cell>
        </row>
        <row r="343">
          <cell r="O343">
            <v>1</v>
          </cell>
        </row>
        <row r="344">
          <cell r="O344">
            <v>3</v>
          </cell>
        </row>
        <row r="345">
          <cell r="O345">
            <v>2</v>
          </cell>
        </row>
        <row r="346">
          <cell r="O346">
            <v>1</v>
          </cell>
        </row>
        <row r="347">
          <cell r="O347">
            <v>1</v>
          </cell>
        </row>
        <row r="348">
          <cell r="O348">
            <v>1</v>
          </cell>
        </row>
        <row r="349">
          <cell r="O349">
            <v>3</v>
          </cell>
        </row>
        <row r="350">
          <cell r="O350">
            <v>4</v>
          </cell>
        </row>
        <row r="351">
          <cell r="O351">
            <v>1</v>
          </cell>
        </row>
        <row r="352">
          <cell r="O352">
            <v>1</v>
          </cell>
        </row>
        <row r="353">
          <cell r="O353">
            <v>0</v>
          </cell>
        </row>
        <row r="354">
          <cell r="O354">
            <v>1</v>
          </cell>
        </row>
        <row r="355">
          <cell r="O355">
            <v>1</v>
          </cell>
        </row>
        <row r="356">
          <cell r="O356">
            <v>4</v>
          </cell>
        </row>
        <row r="357">
          <cell r="O357">
            <v>1</v>
          </cell>
        </row>
        <row r="358">
          <cell r="O358">
            <v>0</v>
          </cell>
        </row>
        <row r="359">
          <cell r="O359">
            <v>3</v>
          </cell>
        </row>
        <row r="360">
          <cell r="O360">
            <v>1</v>
          </cell>
        </row>
        <row r="361">
          <cell r="O361">
            <v>3</v>
          </cell>
        </row>
        <row r="362">
          <cell r="O362">
            <v>2</v>
          </cell>
        </row>
        <row r="363">
          <cell r="O363">
            <v>1</v>
          </cell>
        </row>
        <row r="364">
          <cell r="O364">
            <v>1</v>
          </cell>
        </row>
        <row r="365">
          <cell r="O365">
            <v>3</v>
          </cell>
        </row>
        <row r="366">
          <cell r="O366">
            <v>3</v>
          </cell>
        </row>
        <row r="367">
          <cell r="O367">
            <v>0</v>
          </cell>
        </row>
        <row r="368">
          <cell r="O368">
            <v>1</v>
          </cell>
        </row>
        <row r="369">
          <cell r="O369">
            <v>2</v>
          </cell>
        </row>
        <row r="370">
          <cell r="O370">
            <v>5</v>
          </cell>
        </row>
        <row r="371">
          <cell r="O371">
            <v>0</v>
          </cell>
        </row>
        <row r="372">
          <cell r="O372">
            <v>1</v>
          </cell>
        </row>
        <row r="373">
          <cell r="O373">
            <v>3</v>
          </cell>
        </row>
        <row r="374">
          <cell r="O374">
            <v>2</v>
          </cell>
        </row>
        <row r="375">
          <cell r="O375">
            <v>1</v>
          </cell>
        </row>
        <row r="376">
          <cell r="O376">
            <v>4</v>
          </cell>
        </row>
        <row r="377">
          <cell r="O377">
            <v>2</v>
          </cell>
        </row>
        <row r="378">
          <cell r="O378">
            <v>3</v>
          </cell>
        </row>
        <row r="379">
          <cell r="O379">
            <v>1</v>
          </cell>
        </row>
        <row r="380">
          <cell r="O380">
            <v>3</v>
          </cell>
        </row>
        <row r="381">
          <cell r="O381">
            <v>1</v>
          </cell>
        </row>
        <row r="382">
          <cell r="O382">
            <v>2</v>
          </cell>
        </row>
        <row r="383">
          <cell r="O383">
            <v>4</v>
          </cell>
        </row>
        <row r="384">
          <cell r="O384">
            <v>0</v>
          </cell>
        </row>
        <row r="385">
          <cell r="O385">
            <v>1</v>
          </cell>
        </row>
        <row r="386">
          <cell r="O386">
            <v>0</v>
          </cell>
        </row>
        <row r="387">
          <cell r="O387">
            <v>5</v>
          </cell>
        </row>
        <row r="388">
          <cell r="O388">
            <v>3</v>
          </cell>
        </row>
        <row r="389">
          <cell r="O389">
            <v>1</v>
          </cell>
        </row>
        <row r="390">
          <cell r="O390">
            <v>0</v>
          </cell>
        </row>
        <row r="391">
          <cell r="O391">
            <v>1</v>
          </cell>
        </row>
        <row r="392">
          <cell r="O392">
            <v>3</v>
          </cell>
        </row>
        <row r="393">
          <cell r="O393">
            <v>1</v>
          </cell>
        </row>
        <row r="394">
          <cell r="O394">
            <v>2</v>
          </cell>
        </row>
        <row r="395">
          <cell r="O395">
            <v>1</v>
          </cell>
        </row>
        <row r="396">
          <cell r="O396">
            <v>1</v>
          </cell>
        </row>
        <row r="397">
          <cell r="O397">
            <v>2</v>
          </cell>
        </row>
        <row r="398">
          <cell r="O398">
            <v>1</v>
          </cell>
        </row>
        <row r="399">
          <cell r="O399">
            <v>1</v>
          </cell>
        </row>
        <row r="400">
          <cell r="O400">
            <v>3</v>
          </cell>
        </row>
        <row r="401">
          <cell r="O401">
            <v>3</v>
          </cell>
        </row>
        <row r="402">
          <cell r="O402">
            <v>2</v>
          </cell>
        </row>
        <row r="403">
          <cell r="O403">
            <v>2</v>
          </cell>
        </row>
        <row r="404">
          <cell r="O404">
            <v>5</v>
          </cell>
        </row>
        <row r="405">
          <cell r="O405">
            <v>1</v>
          </cell>
        </row>
        <row r="406">
          <cell r="O406">
            <v>1</v>
          </cell>
        </row>
        <row r="407">
          <cell r="O407">
            <v>0</v>
          </cell>
        </row>
        <row r="408">
          <cell r="O408">
            <v>3</v>
          </cell>
        </row>
        <row r="409">
          <cell r="O409">
            <v>1</v>
          </cell>
        </row>
        <row r="410">
          <cell r="O410">
            <v>0</v>
          </cell>
        </row>
        <row r="411">
          <cell r="O411">
            <v>2</v>
          </cell>
        </row>
        <row r="412">
          <cell r="O412">
            <v>1</v>
          </cell>
        </row>
        <row r="413">
          <cell r="O413">
            <v>2</v>
          </cell>
        </row>
        <row r="414">
          <cell r="O414">
            <v>3</v>
          </cell>
        </row>
        <row r="415">
          <cell r="O415">
            <v>1</v>
          </cell>
        </row>
        <row r="416">
          <cell r="O416">
            <v>0</v>
          </cell>
        </row>
        <row r="417">
          <cell r="O417">
            <v>2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2</v>
          </cell>
        </row>
        <row r="421">
          <cell r="O421">
            <v>2</v>
          </cell>
        </row>
        <row r="422">
          <cell r="O422">
            <v>4</v>
          </cell>
        </row>
        <row r="423">
          <cell r="O423">
            <v>2</v>
          </cell>
        </row>
        <row r="424">
          <cell r="O424">
            <v>0</v>
          </cell>
        </row>
        <row r="425">
          <cell r="O425">
            <v>2</v>
          </cell>
        </row>
        <row r="426">
          <cell r="O426">
            <v>1</v>
          </cell>
        </row>
        <row r="427">
          <cell r="O427">
            <v>1</v>
          </cell>
        </row>
        <row r="428">
          <cell r="O428">
            <v>1</v>
          </cell>
        </row>
        <row r="429">
          <cell r="O429">
            <v>5</v>
          </cell>
        </row>
        <row r="430">
          <cell r="O430">
            <v>4</v>
          </cell>
        </row>
        <row r="431">
          <cell r="O431">
            <v>2</v>
          </cell>
        </row>
        <row r="432">
          <cell r="O432">
            <v>2</v>
          </cell>
        </row>
        <row r="433">
          <cell r="O433">
            <v>3</v>
          </cell>
        </row>
        <row r="434">
          <cell r="O434">
            <v>1</v>
          </cell>
        </row>
        <row r="435">
          <cell r="O435">
            <v>1</v>
          </cell>
        </row>
        <row r="436">
          <cell r="O436">
            <v>4</v>
          </cell>
        </row>
        <row r="437">
          <cell r="O437">
            <v>1</v>
          </cell>
        </row>
        <row r="486">
          <cell r="J486">
            <v>1</v>
          </cell>
          <cell r="O486">
            <v>2</v>
          </cell>
          <cell r="R486">
            <v>0</v>
          </cell>
          <cell r="S486">
            <v>1</v>
          </cell>
          <cell r="T486">
            <v>0</v>
          </cell>
          <cell r="U486">
            <v>0</v>
          </cell>
          <cell r="V486">
            <v>0</v>
          </cell>
        </row>
        <row r="487">
          <cell r="J487">
            <v>0</v>
          </cell>
          <cell r="O487">
            <v>0</v>
          </cell>
          <cell r="R487">
            <v>2</v>
          </cell>
          <cell r="S487">
            <v>8</v>
          </cell>
          <cell r="T487">
            <v>0</v>
          </cell>
          <cell r="U487">
            <v>0</v>
          </cell>
          <cell r="V487">
            <v>0</v>
          </cell>
        </row>
        <row r="488">
          <cell r="J488">
            <v>1</v>
          </cell>
          <cell r="O488">
            <v>4</v>
          </cell>
          <cell r="R488">
            <v>0</v>
          </cell>
          <cell r="S488">
            <v>1</v>
          </cell>
          <cell r="T488">
            <v>0</v>
          </cell>
          <cell r="U488">
            <v>0</v>
          </cell>
          <cell r="V488">
            <v>0</v>
          </cell>
        </row>
        <row r="489">
          <cell r="J489">
            <v>1</v>
          </cell>
          <cell r="O489">
            <v>2</v>
          </cell>
          <cell r="R489">
            <v>0</v>
          </cell>
          <cell r="S489">
            <v>4</v>
          </cell>
          <cell r="T489">
            <v>0</v>
          </cell>
          <cell r="U489">
            <v>0</v>
          </cell>
          <cell r="V489">
            <v>0</v>
          </cell>
        </row>
        <row r="490">
          <cell r="J490">
            <v>0</v>
          </cell>
          <cell r="O490">
            <v>4</v>
          </cell>
          <cell r="R490">
            <v>0</v>
          </cell>
          <cell r="S490">
            <v>1</v>
          </cell>
          <cell r="T490">
            <v>0</v>
          </cell>
          <cell r="U490">
            <v>0</v>
          </cell>
          <cell r="V490">
            <v>0</v>
          </cell>
        </row>
        <row r="491">
          <cell r="J491">
            <v>1</v>
          </cell>
          <cell r="O491">
            <v>3</v>
          </cell>
          <cell r="R491">
            <v>0</v>
          </cell>
          <cell r="S491">
            <v>1</v>
          </cell>
          <cell r="T491">
            <v>0</v>
          </cell>
          <cell r="U491">
            <v>0</v>
          </cell>
          <cell r="V491">
            <v>0</v>
          </cell>
        </row>
        <row r="492">
          <cell r="J492">
            <v>0</v>
          </cell>
          <cell r="O492">
            <v>1</v>
          </cell>
          <cell r="R492">
            <v>3</v>
          </cell>
          <cell r="S492">
            <v>3</v>
          </cell>
          <cell r="T492">
            <v>0</v>
          </cell>
          <cell r="U492">
            <v>0</v>
          </cell>
          <cell r="V492">
            <v>0</v>
          </cell>
        </row>
        <row r="493">
          <cell r="J493">
            <v>2</v>
          </cell>
          <cell r="O493">
            <v>4</v>
          </cell>
          <cell r="R493">
            <v>1</v>
          </cell>
          <cell r="S493">
            <v>3</v>
          </cell>
          <cell r="T493">
            <v>1</v>
          </cell>
          <cell r="U493">
            <v>0</v>
          </cell>
          <cell r="V493">
            <v>0</v>
          </cell>
        </row>
        <row r="494">
          <cell r="J494">
            <v>1</v>
          </cell>
          <cell r="O494">
            <v>3</v>
          </cell>
          <cell r="R494">
            <v>0</v>
          </cell>
          <cell r="S494">
            <v>1</v>
          </cell>
          <cell r="T494">
            <v>2</v>
          </cell>
          <cell r="U494">
            <v>0</v>
          </cell>
          <cell r="V494">
            <v>0</v>
          </cell>
        </row>
        <row r="495">
          <cell r="J495">
            <v>0</v>
          </cell>
          <cell r="O495">
            <v>3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</row>
        <row r="496">
          <cell r="J496">
            <v>0</v>
          </cell>
          <cell r="O496">
            <v>1</v>
          </cell>
          <cell r="R496">
            <v>1</v>
          </cell>
          <cell r="S496">
            <v>0</v>
          </cell>
          <cell r="T496">
            <v>1</v>
          </cell>
          <cell r="U496">
            <v>0</v>
          </cell>
          <cell r="V496">
            <v>1</v>
          </cell>
        </row>
        <row r="497">
          <cell r="J497">
            <v>2</v>
          </cell>
          <cell r="O497">
            <v>1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</row>
        <row r="498">
          <cell r="J498">
            <v>1</v>
          </cell>
          <cell r="O498">
            <v>1</v>
          </cell>
          <cell r="R498">
            <v>1</v>
          </cell>
          <cell r="S498">
            <v>1</v>
          </cell>
          <cell r="T498">
            <v>0</v>
          </cell>
          <cell r="U498">
            <v>0</v>
          </cell>
          <cell r="V498">
            <v>0</v>
          </cell>
        </row>
        <row r="499">
          <cell r="J499">
            <v>1</v>
          </cell>
          <cell r="O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</row>
        <row r="500">
          <cell r="J500">
            <v>2</v>
          </cell>
          <cell r="O500">
            <v>1</v>
          </cell>
          <cell r="R500">
            <v>0</v>
          </cell>
          <cell r="S500">
            <v>1</v>
          </cell>
          <cell r="T500">
            <v>0</v>
          </cell>
          <cell r="U500">
            <v>0</v>
          </cell>
          <cell r="V500">
            <v>0</v>
          </cell>
        </row>
        <row r="501">
          <cell r="J501">
            <v>3</v>
          </cell>
          <cell r="O501">
            <v>0</v>
          </cell>
          <cell r="R501">
            <v>0</v>
          </cell>
          <cell r="S501">
            <v>2</v>
          </cell>
          <cell r="T501">
            <v>0</v>
          </cell>
          <cell r="U501">
            <v>0</v>
          </cell>
          <cell r="V501">
            <v>0</v>
          </cell>
        </row>
        <row r="502">
          <cell r="J502">
            <v>1</v>
          </cell>
          <cell r="O502">
            <v>2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</row>
        <row r="503">
          <cell r="J503">
            <v>0</v>
          </cell>
          <cell r="O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</row>
        <row r="504">
          <cell r="J504">
            <v>1</v>
          </cell>
          <cell r="O504">
            <v>3</v>
          </cell>
          <cell r="R504">
            <v>0</v>
          </cell>
          <cell r="S504">
            <v>4</v>
          </cell>
          <cell r="T504">
            <v>0</v>
          </cell>
          <cell r="U504">
            <v>0</v>
          </cell>
          <cell r="V504">
            <v>0</v>
          </cell>
        </row>
        <row r="505">
          <cell r="J505">
            <v>1</v>
          </cell>
          <cell r="O505">
            <v>1</v>
          </cell>
          <cell r="R505">
            <v>2</v>
          </cell>
          <cell r="S505">
            <v>0</v>
          </cell>
          <cell r="T505">
            <v>2</v>
          </cell>
          <cell r="U505">
            <v>0</v>
          </cell>
          <cell r="V505">
            <v>0</v>
          </cell>
        </row>
        <row r="506">
          <cell r="J506">
            <v>0</v>
          </cell>
          <cell r="O506">
            <v>7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</row>
        <row r="507">
          <cell r="J507">
            <v>2</v>
          </cell>
          <cell r="O507">
            <v>0</v>
          </cell>
          <cell r="R507">
            <v>0</v>
          </cell>
          <cell r="S507">
            <v>1</v>
          </cell>
          <cell r="T507">
            <v>0</v>
          </cell>
          <cell r="U507">
            <v>0</v>
          </cell>
          <cell r="V507">
            <v>0</v>
          </cell>
        </row>
        <row r="508">
          <cell r="J508">
            <v>0</v>
          </cell>
          <cell r="O508">
            <v>2</v>
          </cell>
          <cell r="R508">
            <v>0</v>
          </cell>
          <cell r="S508">
            <v>1</v>
          </cell>
          <cell r="T508">
            <v>0</v>
          </cell>
          <cell r="U508">
            <v>0</v>
          </cell>
          <cell r="V508">
            <v>0</v>
          </cell>
        </row>
        <row r="509">
          <cell r="J509">
            <v>0</v>
          </cell>
          <cell r="O509">
            <v>2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</row>
        <row r="510">
          <cell r="J510">
            <v>2</v>
          </cell>
          <cell r="O510">
            <v>3</v>
          </cell>
          <cell r="R510">
            <v>0</v>
          </cell>
          <cell r="S510">
            <v>3</v>
          </cell>
          <cell r="T510">
            <v>0</v>
          </cell>
          <cell r="U510">
            <v>0</v>
          </cell>
          <cell r="V510">
            <v>0</v>
          </cell>
        </row>
        <row r="511">
          <cell r="J511">
            <v>0</v>
          </cell>
          <cell r="O511">
            <v>5</v>
          </cell>
          <cell r="R511">
            <v>0</v>
          </cell>
          <cell r="S511">
            <v>1</v>
          </cell>
          <cell r="T511">
            <v>0</v>
          </cell>
          <cell r="U511">
            <v>0</v>
          </cell>
          <cell r="V511">
            <v>0</v>
          </cell>
        </row>
        <row r="512">
          <cell r="J512">
            <v>1</v>
          </cell>
          <cell r="O512">
            <v>2</v>
          </cell>
          <cell r="R512">
            <v>0</v>
          </cell>
          <cell r="S512">
            <v>2</v>
          </cell>
          <cell r="T512">
            <v>0</v>
          </cell>
          <cell r="U512">
            <v>0</v>
          </cell>
          <cell r="V512">
            <v>0</v>
          </cell>
        </row>
        <row r="513">
          <cell r="J513">
            <v>3</v>
          </cell>
          <cell r="O513">
            <v>2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</row>
        <row r="514">
          <cell r="J514">
            <v>1</v>
          </cell>
          <cell r="O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</row>
        <row r="515">
          <cell r="J515">
            <v>1</v>
          </cell>
          <cell r="O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</row>
        <row r="516">
          <cell r="J516">
            <v>1</v>
          </cell>
          <cell r="O516">
            <v>1</v>
          </cell>
          <cell r="R516">
            <v>0</v>
          </cell>
          <cell r="S516">
            <v>2</v>
          </cell>
          <cell r="T516">
            <v>0</v>
          </cell>
          <cell r="U516">
            <v>0</v>
          </cell>
          <cell r="V516">
            <v>0</v>
          </cell>
        </row>
        <row r="517">
          <cell r="J517">
            <v>1</v>
          </cell>
          <cell r="O517">
            <v>0</v>
          </cell>
          <cell r="R517">
            <v>0</v>
          </cell>
          <cell r="S517">
            <v>1</v>
          </cell>
          <cell r="T517">
            <v>0</v>
          </cell>
          <cell r="U517">
            <v>0</v>
          </cell>
          <cell r="V517">
            <v>0</v>
          </cell>
        </row>
        <row r="518">
          <cell r="J518">
            <v>1</v>
          </cell>
          <cell r="O518">
            <v>3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1</v>
          </cell>
        </row>
        <row r="519">
          <cell r="J519">
            <v>0</v>
          </cell>
          <cell r="O519">
            <v>3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</row>
        <row r="520">
          <cell r="J520">
            <v>2</v>
          </cell>
          <cell r="O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</row>
        <row r="521">
          <cell r="J521">
            <v>1</v>
          </cell>
          <cell r="O521">
            <v>1</v>
          </cell>
          <cell r="R521">
            <v>0</v>
          </cell>
          <cell r="S521">
            <v>1</v>
          </cell>
          <cell r="T521">
            <v>0</v>
          </cell>
          <cell r="U521">
            <v>0</v>
          </cell>
          <cell r="V521">
            <v>0</v>
          </cell>
        </row>
        <row r="522">
          <cell r="J522">
            <v>1</v>
          </cell>
          <cell r="O522">
            <v>3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</row>
        <row r="523">
          <cell r="J523">
            <v>0</v>
          </cell>
          <cell r="O523">
            <v>3</v>
          </cell>
          <cell r="R523">
            <v>0</v>
          </cell>
          <cell r="S523">
            <v>2</v>
          </cell>
          <cell r="T523">
            <v>0</v>
          </cell>
          <cell r="U523">
            <v>0</v>
          </cell>
          <cell r="V523">
            <v>0</v>
          </cell>
        </row>
        <row r="524">
          <cell r="J524">
            <v>1</v>
          </cell>
          <cell r="O524">
            <v>2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</row>
        <row r="525">
          <cell r="J525">
            <v>2</v>
          </cell>
          <cell r="O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1</v>
          </cell>
        </row>
        <row r="526">
          <cell r="J526">
            <v>0</v>
          </cell>
          <cell r="O526">
            <v>1</v>
          </cell>
          <cell r="R526">
            <v>0</v>
          </cell>
          <cell r="S526">
            <v>2</v>
          </cell>
          <cell r="T526">
            <v>1</v>
          </cell>
          <cell r="U526">
            <v>0</v>
          </cell>
          <cell r="V526">
            <v>0</v>
          </cell>
        </row>
        <row r="527">
          <cell r="J527">
            <v>3</v>
          </cell>
          <cell r="O527">
            <v>5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</row>
        <row r="528">
          <cell r="J528">
            <v>1</v>
          </cell>
          <cell r="O528">
            <v>1</v>
          </cell>
          <cell r="R528">
            <v>1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</row>
        <row r="529">
          <cell r="J529">
            <v>0</v>
          </cell>
          <cell r="O529">
            <v>1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</row>
        <row r="530">
          <cell r="J530">
            <v>0</v>
          </cell>
          <cell r="O530">
            <v>3</v>
          </cell>
          <cell r="R530">
            <v>0</v>
          </cell>
          <cell r="S530">
            <v>4</v>
          </cell>
          <cell r="T530">
            <v>0</v>
          </cell>
          <cell r="U530">
            <v>0</v>
          </cell>
          <cell r="V530">
            <v>0</v>
          </cell>
        </row>
        <row r="531">
          <cell r="J531">
            <v>0</v>
          </cell>
          <cell r="O531">
            <v>2</v>
          </cell>
          <cell r="R531">
            <v>0</v>
          </cell>
          <cell r="S531">
            <v>2</v>
          </cell>
          <cell r="T531">
            <v>0</v>
          </cell>
          <cell r="U531">
            <v>0</v>
          </cell>
          <cell r="V531">
            <v>0</v>
          </cell>
        </row>
        <row r="532">
          <cell r="J532">
            <v>1</v>
          </cell>
          <cell r="O532">
            <v>3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</row>
        <row r="533">
          <cell r="J533">
            <v>0</v>
          </cell>
          <cell r="O533">
            <v>1</v>
          </cell>
          <cell r="R533">
            <v>0</v>
          </cell>
          <cell r="S533">
            <v>2</v>
          </cell>
          <cell r="T533">
            <v>0</v>
          </cell>
          <cell r="U533">
            <v>0</v>
          </cell>
          <cell r="V53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D10" sqref="D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3" width="11" customWidth="1"/>
    <col min="14" max="14" width="23.42578125" customWidth="1"/>
    <col min="15" max="15" width="14" customWidth="1"/>
    <col min="16" max="16" width="13.7109375" customWidth="1"/>
    <col min="17" max="17" width="5.8554687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166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57" t="s">
        <v>162</v>
      </c>
      <c r="H5" s="58"/>
      <c r="I5" s="14"/>
      <c r="J5" s="2" t="s">
        <v>5</v>
      </c>
      <c r="K5" s="57" t="s">
        <v>162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164</v>
      </c>
      <c r="E6" s="58"/>
      <c r="F6" s="2" t="s">
        <v>2</v>
      </c>
      <c r="G6" s="57" t="s">
        <v>165</v>
      </c>
      <c r="H6" s="58"/>
      <c r="J6" s="2" t="s">
        <v>21</v>
      </c>
      <c r="K6" s="57" t="s">
        <v>162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2</v>
      </c>
      <c r="E10" s="50">
        <v>3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2</v>
      </c>
      <c r="M10" s="50">
        <v>55</v>
      </c>
      <c r="N10" s="50">
        <v>0</v>
      </c>
      <c r="O10" s="15">
        <f>SUM(C10:L10,N10)</f>
        <v>11</v>
      </c>
      <c r="P10" s="15">
        <f t="shared" ref="P10:P57" si="0">SUM(C10:N10)</f>
        <v>66</v>
      </c>
      <c r="R10" s="1" t="s">
        <v>6</v>
      </c>
      <c r="S10" s="17">
        <f t="shared" ref="S10:AF10" si="1">SUM(C10:C13)</f>
        <v>14</v>
      </c>
      <c r="T10" s="17">
        <f t="shared" si="1"/>
        <v>7</v>
      </c>
      <c r="U10" s="17">
        <f t="shared" si="1"/>
        <v>12</v>
      </c>
      <c r="V10" s="17">
        <f t="shared" si="1"/>
        <v>6</v>
      </c>
      <c r="W10" s="17">
        <f t="shared" si="1"/>
        <v>1</v>
      </c>
      <c r="X10" s="17">
        <f t="shared" si="1"/>
        <v>2</v>
      </c>
      <c r="Y10" s="17">
        <f t="shared" si="1"/>
        <v>4</v>
      </c>
      <c r="Z10" s="17">
        <f t="shared" si="1"/>
        <v>2</v>
      </c>
      <c r="AA10" s="17">
        <f t="shared" si="1"/>
        <v>1</v>
      </c>
      <c r="AB10" s="17">
        <f t="shared" si="1"/>
        <v>2</v>
      </c>
      <c r="AC10" s="17">
        <f t="shared" si="1"/>
        <v>277</v>
      </c>
      <c r="AD10" s="17">
        <f t="shared" si="1"/>
        <v>0</v>
      </c>
      <c r="AE10" s="31">
        <f t="shared" si="1"/>
        <v>51</v>
      </c>
      <c r="AF10" s="31">
        <f t="shared" si="1"/>
        <v>328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2</v>
      </c>
      <c r="E11" s="50">
        <v>4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63</v>
      </c>
      <c r="N11" s="50">
        <v>0</v>
      </c>
      <c r="O11" s="15">
        <f t="shared" ref="O11:O57" si="2">SUM(C11:L11,N11)</f>
        <v>11</v>
      </c>
      <c r="P11" s="15">
        <f t="shared" si="0"/>
        <v>74</v>
      </c>
      <c r="R11" s="1" t="s">
        <v>7</v>
      </c>
      <c r="S11" s="17">
        <f t="shared" ref="S11:AF11" si="3">SUM(C14:C17)</f>
        <v>17</v>
      </c>
      <c r="T11" s="17">
        <f t="shared" si="3"/>
        <v>5</v>
      </c>
      <c r="U11" s="17">
        <f t="shared" si="3"/>
        <v>9.5</v>
      </c>
      <c r="V11" s="17">
        <f t="shared" si="3"/>
        <v>4</v>
      </c>
      <c r="W11" s="17">
        <f t="shared" si="3"/>
        <v>1</v>
      </c>
      <c r="X11" s="17">
        <f t="shared" si="3"/>
        <v>2</v>
      </c>
      <c r="Y11" s="17">
        <f t="shared" si="3"/>
        <v>8</v>
      </c>
      <c r="Z11" s="17">
        <f t="shared" si="3"/>
        <v>5</v>
      </c>
      <c r="AA11" s="17">
        <f t="shared" si="3"/>
        <v>0</v>
      </c>
      <c r="AB11" s="17">
        <f t="shared" si="3"/>
        <v>2</v>
      </c>
      <c r="AC11" s="17">
        <f t="shared" si="3"/>
        <v>281</v>
      </c>
      <c r="AD11" s="17">
        <f t="shared" si="3"/>
        <v>0</v>
      </c>
      <c r="AE11" s="31">
        <f t="shared" si="3"/>
        <v>53.5</v>
      </c>
      <c r="AF11" s="31">
        <f t="shared" si="3"/>
        <v>334.5</v>
      </c>
    </row>
    <row r="12" spans="2:32" ht="23.1" customHeight="1" x14ac:dyDescent="0.25">
      <c r="B12" s="23" t="s">
        <v>39</v>
      </c>
      <c r="C12" s="50">
        <v>4</v>
      </c>
      <c r="D12" s="50">
        <v>1</v>
      </c>
      <c r="E12" s="50">
        <v>1</v>
      </c>
      <c r="F12" s="50">
        <v>0</v>
      </c>
      <c r="G12" s="50">
        <v>1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76</v>
      </c>
      <c r="N12" s="50">
        <v>0</v>
      </c>
      <c r="O12" s="15">
        <f t="shared" si="2"/>
        <v>9</v>
      </c>
      <c r="P12" s="15">
        <f t="shared" si="0"/>
        <v>85</v>
      </c>
      <c r="R12" s="1" t="s">
        <v>8</v>
      </c>
      <c r="S12" s="17">
        <f t="shared" ref="S12:AF12" si="4">SUM(C18:C21)</f>
        <v>9</v>
      </c>
      <c r="T12" s="17">
        <f t="shared" si="4"/>
        <v>4</v>
      </c>
      <c r="U12" s="17">
        <f t="shared" si="4"/>
        <v>14</v>
      </c>
      <c r="V12" s="17">
        <f t="shared" si="4"/>
        <v>10</v>
      </c>
      <c r="W12" s="17">
        <f t="shared" si="4"/>
        <v>0</v>
      </c>
      <c r="X12" s="17">
        <f t="shared" si="4"/>
        <v>1</v>
      </c>
      <c r="Y12" s="17">
        <f t="shared" si="4"/>
        <v>6</v>
      </c>
      <c r="Z12" s="17">
        <f t="shared" si="4"/>
        <v>6</v>
      </c>
      <c r="AA12" s="17">
        <f t="shared" si="4"/>
        <v>0</v>
      </c>
      <c r="AB12" s="17">
        <f t="shared" si="4"/>
        <v>4</v>
      </c>
      <c r="AC12" s="17">
        <f t="shared" si="4"/>
        <v>181</v>
      </c>
      <c r="AD12" s="17">
        <f t="shared" si="4"/>
        <v>1</v>
      </c>
      <c r="AE12" s="31">
        <f t="shared" si="4"/>
        <v>55</v>
      </c>
      <c r="AF12" s="31">
        <f t="shared" si="4"/>
        <v>236</v>
      </c>
    </row>
    <row r="13" spans="2:32" ht="23.1" customHeight="1" x14ac:dyDescent="0.25">
      <c r="B13" s="23" t="s">
        <v>40</v>
      </c>
      <c r="C13" s="50">
        <v>7</v>
      </c>
      <c r="D13" s="50">
        <v>2</v>
      </c>
      <c r="E13" s="50">
        <v>4</v>
      </c>
      <c r="F13" s="50">
        <v>2</v>
      </c>
      <c r="G13" s="50">
        <v>0</v>
      </c>
      <c r="H13" s="50">
        <v>1</v>
      </c>
      <c r="I13" s="50">
        <v>2</v>
      </c>
      <c r="J13" s="50">
        <v>2</v>
      </c>
      <c r="K13" s="50">
        <v>0</v>
      </c>
      <c r="L13" s="50">
        <v>0</v>
      </c>
      <c r="M13" s="50">
        <v>83</v>
      </c>
      <c r="N13" s="50">
        <v>0</v>
      </c>
      <c r="O13" s="15">
        <f t="shared" si="2"/>
        <v>20</v>
      </c>
      <c r="P13" s="15">
        <f t="shared" si="0"/>
        <v>103</v>
      </c>
      <c r="R13" s="1" t="s">
        <v>9</v>
      </c>
      <c r="S13" s="17">
        <f t="shared" ref="S13:AF13" si="5">SUM(C22:C25)</f>
        <v>19</v>
      </c>
      <c r="T13" s="17">
        <f t="shared" si="5"/>
        <v>2</v>
      </c>
      <c r="U13" s="17">
        <f t="shared" si="5"/>
        <v>8.5</v>
      </c>
      <c r="V13" s="17">
        <f t="shared" si="5"/>
        <v>8</v>
      </c>
      <c r="W13" s="17">
        <f t="shared" si="5"/>
        <v>1</v>
      </c>
      <c r="X13" s="17">
        <f t="shared" si="5"/>
        <v>3</v>
      </c>
      <c r="Y13" s="17">
        <f t="shared" si="5"/>
        <v>9</v>
      </c>
      <c r="Z13" s="17">
        <f t="shared" si="5"/>
        <v>2</v>
      </c>
      <c r="AA13" s="17">
        <f t="shared" si="5"/>
        <v>1</v>
      </c>
      <c r="AB13" s="17">
        <f t="shared" si="5"/>
        <v>12</v>
      </c>
      <c r="AC13" s="17">
        <f t="shared" si="5"/>
        <v>164</v>
      </c>
      <c r="AD13" s="17">
        <f t="shared" si="5"/>
        <v>0</v>
      </c>
      <c r="AE13" s="31">
        <f t="shared" si="5"/>
        <v>65.5</v>
      </c>
      <c r="AF13" s="31">
        <f t="shared" si="5"/>
        <v>229.5</v>
      </c>
    </row>
    <row r="14" spans="2:32" ht="23.1" customHeight="1" x14ac:dyDescent="0.25">
      <c r="B14" s="23" t="s">
        <v>41</v>
      </c>
      <c r="C14" s="50">
        <v>1</v>
      </c>
      <c r="D14" s="50">
        <v>3</v>
      </c>
      <c r="E14" s="50">
        <v>3</v>
      </c>
      <c r="F14" s="50">
        <v>1</v>
      </c>
      <c r="G14" s="50">
        <v>1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60</v>
      </c>
      <c r="N14" s="50">
        <v>0</v>
      </c>
      <c r="O14" s="15">
        <f t="shared" si="2"/>
        <v>12</v>
      </c>
      <c r="P14" s="15">
        <f t="shared" si="0"/>
        <v>72</v>
      </c>
      <c r="R14" s="1" t="s">
        <v>10</v>
      </c>
      <c r="S14" s="17">
        <f t="shared" ref="S14:AF14" si="6">SUM(C26:C29)</f>
        <v>8</v>
      </c>
      <c r="T14" s="17">
        <f t="shared" si="6"/>
        <v>5</v>
      </c>
      <c r="U14" s="17">
        <f t="shared" si="6"/>
        <v>13</v>
      </c>
      <c r="V14" s="17">
        <f t="shared" si="6"/>
        <v>11</v>
      </c>
      <c r="W14" s="17">
        <f t="shared" si="6"/>
        <v>1</v>
      </c>
      <c r="X14" s="17">
        <f t="shared" si="6"/>
        <v>3</v>
      </c>
      <c r="Y14" s="17">
        <f t="shared" si="6"/>
        <v>10</v>
      </c>
      <c r="Z14" s="17">
        <f t="shared" si="6"/>
        <v>6</v>
      </c>
      <c r="AA14" s="17">
        <f t="shared" si="6"/>
        <v>0</v>
      </c>
      <c r="AB14" s="17">
        <f t="shared" si="6"/>
        <v>13</v>
      </c>
      <c r="AC14" s="17">
        <f t="shared" si="6"/>
        <v>173</v>
      </c>
      <c r="AD14" s="17">
        <f t="shared" si="6"/>
        <v>0</v>
      </c>
      <c r="AE14" s="31">
        <f t="shared" si="6"/>
        <v>70</v>
      </c>
      <c r="AF14" s="31">
        <f t="shared" si="6"/>
        <v>243</v>
      </c>
    </row>
    <row r="15" spans="2:32" ht="23.1" customHeight="1" x14ac:dyDescent="0.25">
      <c r="B15" s="23" t="s">
        <v>42</v>
      </c>
      <c r="C15" s="50">
        <v>8</v>
      </c>
      <c r="D15" s="50">
        <v>1</v>
      </c>
      <c r="E15" s="50">
        <v>3</v>
      </c>
      <c r="F15" s="50">
        <v>0</v>
      </c>
      <c r="G15" s="50">
        <v>0</v>
      </c>
      <c r="H15" s="50">
        <v>0</v>
      </c>
      <c r="I15" s="50">
        <v>3</v>
      </c>
      <c r="J15" s="50">
        <v>2</v>
      </c>
      <c r="K15" s="50">
        <v>0</v>
      </c>
      <c r="L15" s="50">
        <v>0</v>
      </c>
      <c r="M15" s="50">
        <v>82</v>
      </c>
      <c r="N15" s="50">
        <v>0</v>
      </c>
      <c r="O15" s="15">
        <f t="shared" si="2"/>
        <v>17</v>
      </c>
      <c r="P15" s="15">
        <f t="shared" si="0"/>
        <v>99</v>
      </c>
      <c r="R15" s="1" t="s">
        <v>11</v>
      </c>
      <c r="S15" s="17">
        <f t="shared" ref="S15:AF15" si="7">SUM(C30:C33)</f>
        <v>13</v>
      </c>
      <c r="T15" s="17">
        <f t="shared" si="7"/>
        <v>2</v>
      </c>
      <c r="U15" s="17">
        <f t="shared" si="7"/>
        <v>9</v>
      </c>
      <c r="V15" s="17">
        <f t="shared" si="7"/>
        <v>6</v>
      </c>
      <c r="W15" s="17">
        <f t="shared" si="7"/>
        <v>0</v>
      </c>
      <c r="X15" s="17">
        <f t="shared" si="7"/>
        <v>1</v>
      </c>
      <c r="Y15" s="17">
        <f t="shared" si="7"/>
        <v>10</v>
      </c>
      <c r="Z15" s="17">
        <f t="shared" si="7"/>
        <v>6</v>
      </c>
      <c r="AA15" s="17">
        <f t="shared" si="7"/>
        <v>0</v>
      </c>
      <c r="AB15" s="17">
        <f t="shared" si="7"/>
        <v>31</v>
      </c>
      <c r="AC15" s="17">
        <f t="shared" si="7"/>
        <v>189</v>
      </c>
      <c r="AD15" s="17">
        <f t="shared" si="7"/>
        <v>0</v>
      </c>
      <c r="AE15" s="31">
        <f t="shared" si="7"/>
        <v>78</v>
      </c>
      <c r="AF15" s="31">
        <f t="shared" si="7"/>
        <v>267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2.5</v>
      </c>
      <c r="F16" s="50">
        <v>3</v>
      </c>
      <c r="G16" s="50">
        <v>0</v>
      </c>
      <c r="H16" s="50">
        <v>2</v>
      </c>
      <c r="I16" s="50">
        <v>1</v>
      </c>
      <c r="J16" s="50">
        <v>2</v>
      </c>
      <c r="K16" s="50">
        <v>0</v>
      </c>
      <c r="L16" s="50">
        <v>2</v>
      </c>
      <c r="M16" s="50">
        <v>61</v>
      </c>
      <c r="N16" s="50">
        <v>0</v>
      </c>
      <c r="O16" s="15">
        <f t="shared" si="2"/>
        <v>17.5</v>
      </c>
      <c r="P16" s="15">
        <f t="shared" si="0"/>
        <v>78.5</v>
      </c>
      <c r="R16" s="1" t="s">
        <v>12</v>
      </c>
      <c r="S16" s="17">
        <f t="shared" ref="S16:AF16" si="8">SUM(C34:C37)</f>
        <v>11</v>
      </c>
      <c r="T16" s="17">
        <f t="shared" si="8"/>
        <v>8</v>
      </c>
      <c r="U16" s="17">
        <f t="shared" si="8"/>
        <v>19</v>
      </c>
      <c r="V16" s="17">
        <f t="shared" si="8"/>
        <v>5</v>
      </c>
      <c r="W16" s="17">
        <f t="shared" si="8"/>
        <v>1</v>
      </c>
      <c r="X16" s="17">
        <f t="shared" si="8"/>
        <v>2</v>
      </c>
      <c r="Y16" s="17">
        <f t="shared" si="8"/>
        <v>2</v>
      </c>
      <c r="Z16" s="17">
        <f t="shared" si="8"/>
        <v>7</v>
      </c>
      <c r="AA16" s="17">
        <f t="shared" si="8"/>
        <v>0</v>
      </c>
      <c r="AB16" s="17">
        <f t="shared" si="8"/>
        <v>12</v>
      </c>
      <c r="AC16" s="17">
        <f t="shared" si="8"/>
        <v>104</v>
      </c>
      <c r="AD16" s="17">
        <f t="shared" si="8"/>
        <v>0</v>
      </c>
      <c r="AE16" s="31">
        <f t="shared" si="8"/>
        <v>67</v>
      </c>
      <c r="AF16" s="31">
        <f t="shared" si="8"/>
        <v>171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78</v>
      </c>
      <c r="N17" s="50">
        <v>0</v>
      </c>
      <c r="O17" s="15">
        <f t="shared" si="2"/>
        <v>7</v>
      </c>
      <c r="P17" s="15">
        <f t="shared" si="0"/>
        <v>85</v>
      </c>
      <c r="R17" s="1" t="s">
        <v>13</v>
      </c>
      <c r="S17" s="17">
        <f t="shared" ref="S17:AF17" si="9">SUM(C38:C41)</f>
        <v>7</v>
      </c>
      <c r="T17" s="17">
        <f t="shared" si="9"/>
        <v>6</v>
      </c>
      <c r="U17" s="17">
        <f t="shared" si="9"/>
        <v>15</v>
      </c>
      <c r="V17" s="17">
        <f t="shared" si="9"/>
        <v>4</v>
      </c>
      <c r="W17" s="17">
        <f t="shared" si="9"/>
        <v>0</v>
      </c>
      <c r="X17" s="17">
        <f t="shared" si="9"/>
        <v>3</v>
      </c>
      <c r="Y17" s="17">
        <f t="shared" si="9"/>
        <v>11</v>
      </c>
      <c r="Z17" s="17">
        <f t="shared" si="9"/>
        <v>4</v>
      </c>
      <c r="AA17" s="17">
        <f t="shared" si="9"/>
        <v>1</v>
      </c>
      <c r="AB17" s="17">
        <f t="shared" si="9"/>
        <v>6</v>
      </c>
      <c r="AC17" s="17">
        <f t="shared" si="9"/>
        <v>141</v>
      </c>
      <c r="AD17" s="17">
        <f t="shared" si="9"/>
        <v>0</v>
      </c>
      <c r="AE17" s="31">
        <f t="shared" si="9"/>
        <v>57</v>
      </c>
      <c r="AF17" s="31">
        <f t="shared" si="9"/>
        <v>198</v>
      </c>
    </row>
    <row r="18" spans="2:32" ht="23.1" customHeight="1" x14ac:dyDescent="0.25">
      <c r="B18" s="23" t="s">
        <v>45</v>
      </c>
      <c r="C18" s="50">
        <v>2</v>
      </c>
      <c r="D18" s="50">
        <v>3</v>
      </c>
      <c r="E18" s="50">
        <v>7.5</v>
      </c>
      <c r="F18" s="50">
        <v>5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2</v>
      </c>
      <c r="M18" s="50">
        <v>57</v>
      </c>
      <c r="N18" s="50">
        <v>0</v>
      </c>
      <c r="O18" s="15">
        <f t="shared" si="2"/>
        <v>19.5</v>
      </c>
      <c r="P18" s="15">
        <f t="shared" si="0"/>
        <v>76.5</v>
      </c>
      <c r="R18" s="1" t="s">
        <v>14</v>
      </c>
      <c r="S18" s="17">
        <f t="shared" ref="S18:AF18" si="10">SUM(C42:C45)</f>
        <v>14</v>
      </c>
      <c r="T18" s="17">
        <f t="shared" si="10"/>
        <v>2</v>
      </c>
      <c r="U18" s="17">
        <f t="shared" si="10"/>
        <v>8.5</v>
      </c>
      <c r="V18" s="17">
        <f t="shared" si="10"/>
        <v>5</v>
      </c>
      <c r="W18" s="17">
        <f t="shared" si="10"/>
        <v>0</v>
      </c>
      <c r="X18" s="17">
        <f t="shared" si="10"/>
        <v>2</v>
      </c>
      <c r="Y18" s="17">
        <f t="shared" si="10"/>
        <v>12</v>
      </c>
      <c r="Z18" s="17">
        <f t="shared" si="10"/>
        <v>5</v>
      </c>
      <c r="AA18" s="17">
        <f t="shared" si="10"/>
        <v>2</v>
      </c>
      <c r="AB18" s="17">
        <f t="shared" si="10"/>
        <v>12</v>
      </c>
      <c r="AC18" s="17">
        <f t="shared" si="10"/>
        <v>140</v>
      </c>
      <c r="AD18" s="17">
        <f t="shared" si="10"/>
        <v>0</v>
      </c>
      <c r="AE18" s="31">
        <f t="shared" si="10"/>
        <v>62.5</v>
      </c>
      <c r="AF18" s="31">
        <f t="shared" si="10"/>
        <v>202.5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1.5</v>
      </c>
      <c r="F19" s="50">
        <v>3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1</v>
      </c>
      <c r="M19" s="50">
        <v>51</v>
      </c>
      <c r="N19" s="50">
        <v>0</v>
      </c>
      <c r="O19" s="15">
        <f t="shared" si="2"/>
        <v>9.5</v>
      </c>
      <c r="P19" s="15">
        <f t="shared" si="0"/>
        <v>60.5</v>
      </c>
      <c r="R19" s="1" t="s">
        <v>15</v>
      </c>
      <c r="S19" s="17">
        <f t="shared" ref="S19:AF19" si="11">SUM(C46:C49)</f>
        <v>9</v>
      </c>
      <c r="T19" s="17">
        <f t="shared" si="11"/>
        <v>4</v>
      </c>
      <c r="U19" s="17">
        <f t="shared" si="11"/>
        <v>10</v>
      </c>
      <c r="V19" s="17">
        <f t="shared" si="11"/>
        <v>6</v>
      </c>
      <c r="W19" s="17">
        <f t="shared" si="11"/>
        <v>1</v>
      </c>
      <c r="X19" s="17">
        <f t="shared" si="11"/>
        <v>5</v>
      </c>
      <c r="Y19" s="17">
        <f t="shared" si="11"/>
        <v>9</v>
      </c>
      <c r="Z19" s="17">
        <f t="shared" si="11"/>
        <v>9</v>
      </c>
      <c r="AA19" s="17">
        <f t="shared" si="11"/>
        <v>0</v>
      </c>
      <c r="AB19" s="17">
        <f t="shared" si="11"/>
        <v>8</v>
      </c>
      <c r="AC19" s="17">
        <f t="shared" si="11"/>
        <v>140</v>
      </c>
      <c r="AD19" s="17">
        <f t="shared" si="11"/>
        <v>0</v>
      </c>
      <c r="AE19" s="31">
        <f t="shared" si="11"/>
        <v>61</v>
      </c>
      <c r="AF19" s="31">
        <f t="shared" si="11"/>
        <v>201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1.5</v>
      </c>
      <c r="F20" s="50">
        <v>1</v>
      </c>
      <c r="G20" s="50">
        <v>0</v>
      </c>
      <c r="H20" s="50">
        <v>1</v>
      </c>
      <c r="I20" s="50">
        <v>3</v>
      </c>
      <c r="J20" s="50">
        <v>4</v>
      </c>
      <c r="K20" s="50">
        <v>0</v>
      </c>
      <c r="L20" s="50">
        <v>0</v>
      </c>
      <c r="M20" s="50">
        <v>31</v>
      </c>
      <c r="N20" s="50">
        <v>0</v>
      </c>
      <c r="O20" s="15">
        <f t="shared" si="2"/>
        <v>13.5</v>
      </c>
      <c r="P20" s="15">
        <f t="shared" si="0"/>
        <v>44.5</v>
      </c>
      <c r="R20" s="1" t="s">
        <v>16</v>
      </c>
      <c r="S20" s="17">
        <f t="shared" ref="S20:AF20" si="12">SUM(C50:C53)</f>
        <v>16</v>
      </c>
      <c r="T20" s="17">
        <f t="shared" si="12"/>
        <v>5</v>
      </c>
      <c r="U20" s="17">
        <f t="shared" si="12"/>
        <v>14.5</v>
      </c>
      <c r="V20" s="17">
        <f t="shared" si="12"/>
        <v>8</v>
      </c>
      <c r="W20" s="17">
        <f t="shared" si="12"/>
        <v>1</v>
      </c>
      <c r="X20" s="17">
        <f t="shared" si="12"/>
        <v>3</v>
      </c>
      <c r="Y20" s="17">
        <f t="shared" si="12"/>
        <v>11</v>
      </c>
      <c r="Z20" s="17">
        <f t="shared" si="12"/>
        <v>7</v>
      </c>
      <c r="AA20" s="17">
        <f t="shared" si="12"/>
        <v>2</v>
      </c>
      <c r="AB20" s="17">
        <f t="shared" si="12"/>
        <v>11</v>
      </c>
      <c r="AC20" s="17">
        <f t="shared" si="12"/>
        <v>234</v>
      </c>
      <c r="AD20" s="17">
        <f t="shared" si="12"/>
        <v>0</v>
      </c>
      <c r="AE20" s="31">
        <f t="shared" si="12"/>
        <v>78.5</v>
      </c>
      <c r="AF20" s="31">
        <f t="shared" si="12"/>
        <v>312.5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3.5</v>
      </c>
      <c r="F21" s="50">
        <v>1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1</v>
      </c>
      <c r="M21" s="50">
        <v>42</v>
      </c>
      <c r="N21" s="50">
        <v>1</v>
      </c>
      <c r="O21" s="15">
        <f t="shared" si="2"/>
        <v>12.5</v>
      </c>
      <c r="P21" s="15">
        <f t="shared" si="0"/>
        <v>54.5</v>
      </c>
      <c r="R21" s="36" t="s">
        <v>20</v>
      </c>
      <c r="S21" s="34">
        <f t="shared" ref="S21:AF21" si="13">SUM(C54:C57)</f>
        <v>8</v>
      </c>
      <c r="T21" s="17">
        <f t="shared" si="13"/>
        <v>3</v>
      </c>
      <c r="U21" s="17">
        <f t="shared" si="13"/>
        <v>7.5</v>
      </c>
      <c r="V21" s="17">
        <f t="shared" si="13"/>
        <v>9</v>
      </c>
      <c r="W21" s="17">
        <f t="shared" si="13"/>
        <v>0</v>
      </c>
      <c r="X21" s="17">
        <f t="shared" si="13"/>
        <v>2</v>
      </c>
      <c r="Y21" s="17">
        <f t="shared" si="13"/>
        <v>8</v>
      </c>
      <c r="Z21" s="17">
        <f t="shared" si="13"/>
        <v>2</v>
      </c>
      <c r="AA21" s="17">
        <f t="shared" si="13"/>
        <v>0</v>
      </c>
      <c r="AB21" s="17">
        <f t="shared" si="13"/>
        <v>12</v>
      </c>
      <c r="AC21" s="17">
        <f t="shared" si="13"/>
        <v>190</v>
      </c>
      <c r="AD21" s="17">
        <f t="shared" si="13"/>
        <v>0</v>
      </c>
      <c r="AE21" s="31">
        <f t="shared" si="13"/>
        <v>51.5</v>
      </c>
      <c r="AF21" s="31">
        <f t="shared" si="13"/>
        <v>241.5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2.5</v>
      </c>
      <c r="F22" s="50">
        <v>2</v>
      </c>
      <c r="G22" s="50">
        <v>1</v>
      </c>
      <c r="H22" s="50">
        <v>1</v>
      </c>
      <c r="I22" s="50">
        <v>2</v>
      </c>
      <c r="J22" s="50">
        <v>0</v>
      </c>
      <c r="K22" s="50">
        <v>0</v>
      </c>
      <c r="L22" s="50">
        <v>1</v>
      </c>
      <c r="M22" s="50">
        <v>55</v>
      </c>
      <c r="N22" s="50">
        <v>0</v>
      </c>
      <c r="O22" s="15">
        <f t="shared" si="2"/>
        <v>14.5</v>
      </c>
      <c r="P22" s="15">
        <f t="shared" si="0"/>
        <v>69.5</v>
      </c>
      <c r="R22" s="38" t="s">
        <v>90</v>
      </c>
      <c r="S22" s="39">
        <f>MAX(S10:S12)</f>
        <v>17</v>
      </c>
      <c r="T22" s="39">
        <f t="shared" ref="T22:AF22" si="14">MAX(T10:T12)</f>
        <v>7</v>
      </c>
      <c r="U22" s="39">
        <f t="shared" si="14"/>
        <v>14</v>
      </c>
      <c r="V22" s="39">
        <f t="shared" si="14"/>
        <v>10</v>
      </c>
      <c r="W22" s="39">
        <f t="shared" si="14"/>
        <v>1</v>
      </c>
      <c r="X22" s="39">
        <f t="shared" si="14"/>
        <v>2</v>
      </c>
      <c r="Y22" s="39">
        <f t="shared" si="14"/>
        <v>8</v>
      </c>
      <c r="Z22" s="39">
        <f t="shared" si="14"/>
        <v>6</v>
      </c>
      <c r="AA22" s="39">
        <f t="shared" si="14"/>
        <v>1</v>
      </c>
      <c r="AB22" s="39">
        <f t="shared" si="14"/>
        <v>4</v>
      </c>
      <c r="AC22" s="39">
        <f t="shared" si="14"/>
        <v>281</v>
      </c>
      <c r="AD22" s="39">
        <f t="shared" si="14"/>
        <v>1</v>
      </c>
      <c r="AE22" s="40">
        <f t="shared" si="14"/>
        <v>55</v>
      </c>
      <c r="AF22" s="40">
        <f t="shared" si="14"/>
        <v>334.5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1.5</v>
      </c>
      <c r="F23" s="50">
        <v>0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1</v>
      </c>
      <c r="M23" s="50">
        <v>41</v>
      </c>
      <c r="N23" s="50">
        <v>0</v>
      </c>
      <c r="O23" s="15">
        <f t="shared" si="2"/>
        <v>12.5</v>
      </c>
      <c r="P23" s="15">
        <f t="shared" si="0"/>
        <v>53.5</v>
      </c>
      <c r="R23" s="38" t="s">
        <v>91</v>
      </c>
      <c r="S23" s="39">
        <f>MAX(S13:S18)</f>
        <v>19</v>
      </c>
      <c r="T23" s="39">
        <f t="shared" ref="T23:AF23" si="15">MAX(T13:T18)</f>
        <v>8</v>
      </c>
      <c r="U23" s="39">
        <f t="shared" si="15"/>
        <v>19</v>
      </c>
      <c r="V23" s="39">
        <f t="shared" si="15"/>
        <v>11</v>
      </c>
      <c r="W23" s="39">
        <f t="shared" si="15"/>
        <v>1</v>
      </c>
      <c r="X23" s="39">
        <f t="shared" si="15"/>
        <v>3</v>
      </c>
      <c r="Y23" s="39">
        <f t="shared" si="15"/>
        <v>12</v>
      </c>
      <c r="Z23" s="39">
        <f t="shared" si="15"/>
        <v>7</v>
      </c>
      <c r="AA23" s="39">
        <f t="shared" si="15"/>
        <v>2</v>
      </c>
      <c r="AB23" s="39">
        <f t="shared" si="15"/>
        <v>31</v>
      </c>
      <c r="AC23" s="39">
        <f t="shared" si="15"/>
        <v>189</v>
      </c>
      <c r="AD23" s="39">
        <f t="shared" si="15"/>
        <v>0</v>
      </c>
      <c r="AE23" s="40">
        <f t="shared" si="15"/>
        <v>78</v>
      </c>
      <c r="AF23" s="40">
        <f t="shared" si="15"/>
        <v>267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3.5</v>
      </c>
      <c r="F24" s="50">
        <v>4</v>
      </c>
      <c r="G24" s="50">
        <v>0</v>
      </c>
      <c r="H24" s="50">
        <v>2</v>
      </c>
      <c r="I24" s="50">
        <v>1</v>
      </c>
      <c r="J24" s="50">
        <v>1</v>
      </c>
      <c r="K24" s="50">
        <v>1</v>
      </c>
      <c r="L24" s="50">
        <v>4</v>
      </c>
      <c r="M24" s="50">
        <v>37</v>
      </c>
      <c r="N24" s="50">
        <v>0</v>
      </c>
      <c r="O24" s="15">
        <f t="shared" si="2"/>
        <v>20.5</v>
      </c>
      <c r="P24" s="15">
        <f t="shared" si="0"/>
        <v>57.5</v>
      </c>
      <c r="R24" s="38" t="s">
        <v>92</v>
      </c>
      <c r="S24" s="39">
        <f>MAX(S19:S21)</f>
        <v>16</v>
      </c>
      <c r="T24" s="39">
        <f t="shared" ref="T24:AF24" si="16">MAX(T19:T21)</f>
        <v>5</v>
      </c>
      <c r="U24" s="39">
        <f t="shared" si="16"/>
        <v>14.5</v>
      </c>
      <c r="V24" s="39">
        <f t="shared" si="16"/>
        <v>9</v>
      </c>
      <c r="W24" s="39">
        <f t="shared" si="16"/>
        <v>1</v>
      </c>
      <c r="X24" s="39">
        <f t="shared" si="16"/>
        <v>5</v>
      </c>
      <c r="Y24" s="39">
        <f t="shared" si="16"/>
        <v>11</v>
      </c>
      <c r="Z24" s="39">
        <f t="shared" si="16"/>
        <v>9</v>
      </c>
      <c r="AA24" s="39">
        <f t="shared" si="16"/>
        <v>2</v>
      </c>
      <c r="AB24" s="39">
        <f t="shared" si="16"/>
        <v>12</v>
      </c>
      <c r="AC24" s="39">
        <f t="shared" si="16"/>
        <v>234</v>
      </c>
      <c r="AD24" s="39">
        <f t="shared" si="16"/>
        <v>0</v>
      </c>
      <c r="AE24" s="40">
        <f t="shared" si="16"/>
        <v>78.5</v>
      </c>
      <c r="AF24" s="40">
        <f t="shared" si="16"/>
        <v>312.5</v>
      </c>
    </row>
    <row r="25" spans="2:32" ht="23.1" customHeight="1" x14ac:dyDescent="0.25">
      <c r="B25" s="23" t="s">
        <v>52</v>
      </c>
      <c r="C25" s="50">
        <v>6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6</v>
      </c>
      <c r="M25" s="50">
        <v>31</v>
      </c>
      <c r="N25" s="50">
        <v>0</v>
      </c>
      <c r="O25" s="15">
        <f t="shared" si="2"/>
        <v>18</v>
      </c>
      <c r="P25" s="15">
        <f t="shared" si="0"/>
        <v>49</v>
      </c>
      <c r="R25" s="37" t="s">
        <v>85</v>
      </c>
      <c r="S25" s="35">
        <f t="shared" ref="S25:AF25" si="17">SUM(S10:S12)</f>
        <v>40</v>
      </c>
      <c r="T25" s="16">
        <f t="shared" si="17"/>
        <v>16</v>
      </c>
      <c r="U25" s="16">
        <f t="shared" si="17"/>
        <v>35.5</v>
      </c>
      <c r="V25" s="16">
        <f t="shared" si="17"/>
        <v>20</v>
      </c>
      <c r="W25" s="16">
        <f t="shared" si="17"/>
        <v>2</v>
      </c>
      <c r="X25" s="16">
        <f t="shared" si="17"/>
        <v>5</v>
      </c>
      <c r="Y25" s="16">
        <f t="shared" si="17"/>
        <v>18</v>
      </c>
      <c r="Z25" s="16">
        <f t="shared" si="17"/>
        <v>13</v>
      </c>
      <c r="AA25" s="16">
        <f t="shared" si="17"/>
        <v>1</v>
      </c>
      <c r="AB25" s="16">
        <f t="shared" si="17"/>
        <v>8</v>
      </c>
      <c r="AC25" s="16">
        <f t="shared" si="17"/>
        <v>739</v>
      </c>
      <c r="AD25" s="16">
        <f t="shared" si="17"/>
        <v>1</v>
      </c>
      <c r="AE25" s="32">
        <f t="shared" si="17"/>
        <v>159.5</v>
      </c>
      <c r="AF25" s="32">
        <f t="shared" si="17"/>
        <v>898.5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3</v>
      </c>
      <c r="F26" s="50">
        <v>4</v>
      </c>
      <c r="G26" s="50">
        <v>0</v>
      </c>
      <c r="H26" s="50">
        <v>0</v>
      </c>
      <c r="I26" s="50">
        <v>5</v>
      </c>
      <c r="J26" s="50">
        <v>1</v>
      </c>
      <c r="K26" s="50">
        <v>0</v>
      </c>
      <c r="L26" s="50">
        <v>3</v>
      </c>
      <c r="M26" s="50">
        <v>53</v>
      </c>
      <c r="N26" s="50">
        <v>0</v>
      </c>
      <c r="O26" s="15">
        <f t="shared" si="2"/>
        <v>19</v>
      </c>
      <c r="P26" s="15">
        <f t="shared" si="0"/>
        <v>72</v>
      </c>
      <c r="R26" s="28" t="s">
        <v>86</v>
      </c>
      <c r="S26" s="16">
        <f t="shared" ref="S26:AF26" si="18">SUM(S13:S18)</f>
        <v>72</v>
      </c>
      <c r="T26" s="16">
        <f t="shared" si="18"/>
        <v>25</v>
      </c>
      <c r="U26" s="16">
        <f t="shared" si="18"/>
        <v>73</v>
      </c>
      <c r="V26" s="16">
        <f t="shared" si="18"/>
        <v>39</v>
      </c>
      <c r="W26" s="16">
        <f t="shared" si="18"/>
        <v>3</v>
      </c>
      <c r="X26" s="16">
        <f t="shared" si="18"/>
        <v>14</v>
      </c>
      <c r="Y26" s="16">
        <f t="shared" si="18"/>
        <v>54</v>
      </c>
      <c r="Z26" s="16">
        <f t="shared" si="18"/>
        <v>30</v>
      </c>
      <c r="AA26" s="16">
        <f t="shared" si="18"/>
        <v>4</v>
      </c>
      <c r="AB26" s="16">
        <f t="shared" si="18"/>
        <v>86</v>
      </c>
      <c r="AC26" s="16">
        <f t="shared" si="18"/>
        <v>911</v>
      </c>
      <c r="AD26" s="16">
        <f t="shared" si="18"/>
        <v>0</v>
      </c>
      <c r="AE26" s="32">
        <f t="shared" si="18"/>
        <v>400</v>
      </c>
      <c r="AF26" s="32">
        <f t="shared" si="18"/>
        <v>1311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0.5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1</v>
      </c>
      <c r="M27" s="50">
        <v>30</v>
      </c>
      <c r="N27" s="50">
        <v>0</v>
      </c>
      <c r="O27" s="15">
        <f t="shared" si="2"/>
        <v>5.5</v>
      </c>
      <c r="P27" s="15">
        <f t="shared" si="0"/>
        <v>35.5</v>
      </c>
      <c r="R27" s="29" t="s">
        <v>87</v>
      </c>
      <c r="S27" s="16">
        <f t="shared" ref="S27:AF27" si="19">SUM(S19:S21)</f>
        <v>33</v>
      </c>
      <c r="T27" s="16">
        <f t="shared" si="19"/>
        <v>12</v>
      </c>
      <c r="U27" s="16">
        <f t="shared" si="19"/>
        <v>32</v>
      </c>
      <c r="V27" s="16">
        <f t="shared" si="19"/>
        <v>23</v>
      </c>
      <c r="W27" s="16">
        <f t="shared" si="19"/>
        <v>2</v>
      </c>
      <c r="X27" s="16">
        <f t="shared" si="19"/>
        <v>10</v>
      </c>
      <c r="Y27" s="16">
        <f t="shared" si="19"/>
        <v>28</v>
      </c>
      <c r="Z27" s="16">
        <f t="shared" si="19"/>
        <v>18</v>
      </c>
      <c r="AA27" s="16">
        <f t="shared" si="19"/>
        <v>2</v>
      </c>
      <c r="AB27" s="16">
        <f t="shared" si="19"/>
        <v>31</v>
      </c>
      <c r="AC27" s="16">
        <f t="shared" si="19"/>
        <v>564</v>
      </c>
      <c r="AD27" s="16">
        <f t="shared" si="19"/>
        <v>0</v>
      </c>
      <c r="AE27" s="32">
        <f t="shared" si="19"/>
        <v>191</v>
      </c>
      <c r="AF27" s="32">
        <f t="shared" si="19"/>
        <v>755</v>
      </c>
    </row>
    <row r="28" spans="2:32" ht="23.1" customHeight="1" x14ac:dyDescent="0.25">
      <c r="B28" s="23" t="s">
        <v>55</v>
      </c>
      <c r="C28" s="50">
        <v>5</v>
      </c>
      <c r="D28" s="50">
        <v>2</v>
      </c>
      <c r="E28" s="50">
        <v>4.5</v>
      </c>
      <c r="F28" s="50">
        <v>4</v>
      </c>
      <c r="G28" s="50">
        <v>1</v>
      </c>
      <c r="H28" s="50">
        <v>1</v>
      </c>
      <c r="I28" s="50">
        <v>2</v>
      </c>
      <c r="J28" s="50">
        <v>2</v>
      </c>
      <c r="K28" s="50">
        <v>0</v>
      </c>
      <c r="L28" s="50">
        <v>5</v>
      </c>
      <c r="M28" s="50">
        <v>60</v>
      </c>
      <c r="N28" s="50">
        <v>0</v>
      </c>
      <c r="O28" s="15">
        <f t="shared" si="2"/>
        <v>26.5</v>
      </c>
      <c r="P28" s="15">
        <f t="shared" si="0"/>
        <v>86.5</v>
      </c>
      <c r="R28" s="5" t="s">
        <v>17</v>
      </c>
      <c r="S28" s="16">
        <f t="shared" ref="S28:AF28" si="20">SUM(S10:S21)</f>
        <v>145</v>
      </c>
      <c r="T28" s="16">
        <f t="shared" si="20"/>
        <v>53</v>
      </c>
      <c r="U28" s="16">
        <f t="shared" si="20"/>
        <v>140.5</v>
      </c>
      <c r="V28" s="16">
        <f t="shared" si="20"/>
        <v>82</v>
      </c>
      <c r="W28" s="16">
        <f t="shared" si="20"/>
        <v>7</v>
      </c>
      <c r="X28" s="16">
        <f t="shared" si="20"/>
        <v>29</v>
      </c>
      <c r="Y28" s="16">
        <f t="shared" si="20"/>
        <v>100</v>
      </c>
      <c r="Z28" s="16">
        <f t="shared" si="20"/>
        <v>61</v>
      </c>
      <c r="AA28" s="16">
        <f t="shared" si="20"/>
        <v>7</v>
      </c>
      <c r="AB28" s="16">
        <f t="shared" si="20"/>
        <v>125</v>
      </c>
      <c r="AC28" s="16">
        <f t="shared" si="20"/>
        <v>2214</v>
      </c>
      <c r="AD28" s="16">
        <f t="shared" si="20"/>
        <v>1</v>
      </c>
      <c r="AE28" s="32">
        <f t="shared" si="20"/>
        <v>750.5</v>
      </c>
      <c r="AF28" s="32">
        <f t="shared" si="20"/>
        <v>2964.5</v>
      </c>
    </row>
    <row r="29" spans="2:32" ht="23.1" customHeight="1" x14ac:dyDescent="0.25">
      <c r="B29" s="23" t="s">
        <v>56</v>
      </c>
      <c r="C29" s="50">
        <v>0</v>
      </c>
      <c r="D29" s="50">
        <v>2</v>
      </c>
      <c r="E29" s="50">
        <v>5</v>
      </c>
      <c r="F29" s="50">
        <v>2</v>
      </c>
      <c r="G29" s="50">
        <v>0</v>
      </c>
      <c r="H29" s="50">
        <v>2</v>
      </c>
      <c r="I29" s="50">
        <v>2</v>
      </c>
      <c r="J29" s="50">
        <v>2</v>
      </c>
      <c r="K29" s="50">
        <v>0</v>
      </c>
      <c r="L29" s="50">
        <v>4</v>
      </c>
      <c r="M29" s="50">
        <v>30</v>
      </c>
      <c r="N29" s="50">
        <v>0</v>
      </c>
      <c r="O29" s="15">
        <f t="shared" si="2"/>
        <v>19</v>
      </c>
      <c r="P29" s="15">
        <f t="shared" si="0"/>
        <v>49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3</v>
      </c>
      <c r="F30" s="50">
        <v>1</v>
      </c>
      <c r="G30" s="50">
        <v>0</v>
      </c>
      <c r="H30" s="50">
        <v>0</v>
      </c>
      <c r="I30" s="50">
        <v>5</v>
      </c>
      <c r="J30" s="50">
        <v>2</v>
      </c>
      <c r="K30" s="50">
        <v>0</v>
      </c>
      <c r="L30" s="50">
        <v>7</v>
      </c>
      <c r="M30" s="50">
        <v>50</v>
      </c>
      <c r="N30" s="50">
        <v>0</v>
      </c>
      <c r="O30" s="15">
        <f t="shared" si="2"/>
        <v>22</v>
      </c>
      <c r="P30" s="15">
        <f t="shared" si="0"/>
        <v>72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3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15</v>
      </c>
      <c r="M31" s="50">
        <v>44</v>
      </c>
      <c r="N31" s="50">
        <v>0</v>
      </c>
      <c r="O31" s="15">
        <f t="shared" si="2"/>
        <v>25</v>
      </c>
      <c r="P31" s="15">
        <f t="shared" si="0"/>
        <v>69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1.5</v>
      </c>
      <c r="F32" s="50">
        <v>1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3</v>
      </c>
      <c r="M32" s="50">
        <v>53</v>
      </c>
      <c r="N32" s="50">
        <v>0</v>
      </c>
      <c r="O32" s="15">
        <f t="shared" si="2"/>
        <v>12.5</v>
      </c>
      <c r="P32" s="15">
        <f t="shared" si="0"/>
        <v>65.5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3.5</v>
      </c>
      <c r="F33" s="50">
        <v>1</v>
      </c>
      <c r="G33" s="50">
        <v>0</v>
      </c>
      <c r="H33" s="50">
        <v>1</v>
      </c>
      <c r="I33" s="50">
        <v>2</v>
      </c>
      <c r="J33" s="50">
        <v>2</v>
      </c>
      <c r="K33" s="50">
        <v>0</v>
      </c>
      <c r="L33" s="50">
        <v>6</v>
      </c>
      <c r="M33" s="50">
        <v>42</v>
      </c>
      <c r="N33" s="50">
        <v>0</v>
      </c>
      <c r="O33" s="15">
        <f t="shared" si="2"/>
        <v>18.5</v>
      </c>
      <c r="P33" s="15">
        <f t="shared" si="0"/>
        <v>60.5</v>
      </c>
    </row>
    <row r="34" spans="2:20" ht="23.1" customHeight="1" x14ac:dyDescent="0.25">
      <c r="B34" s="24" t="s">
        <v>61</v>
      </c>
      <c r="C34" s="50">
        <v>0</v>
      </c>
      <c r="D34" s="50">
        <v>2</v>
      </c>
      <c r="E34" s="50">
        <v>4.5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24</v>
      </c>
      <c r="N34" s="50">
        <v>0</v>
      </c>
      <c r="O34" s="15">
        <f t="shared" si="2"/>
        <v>11.5</v>
      </c>
      <c r="P34" s="15">
        <f t="shared" si="0"/>
        <v>35.5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2.5</v>
      </c>
      <c r="F35" s="50">
        <v>0</v>
      </c>
      <c r="G35" s="50">
        <v>0</v>
      </c>
      <c r="H35" s="50">
        <v>0</v>
      </c>
      <c r="I35" s="50">
        <v>0</v>
      </c>
      <c r="J35" s="50">
        <v>3</v>
      </c>
      <c r="K35" s="50">
        <v>0</v>
      </c>
      <c r="L35" s="50">
        <v>2</v>
      </c>
      <c r="M35" s="50">
        <v>33</v>
      </c>
      <c r="N35" s="50">
        <v>0</v>
      </c>
      <c r="O35" s="15">
        <f t="shared" si="2"/>
        <v>13.5</v>
      </c>
      <c r="P35" s="15">
        <f t="shared" si="0"/>
        <v>46.5</v>
      </c>
    </row>
    <row r="36" spans="2:20" ht="23.1" customHeight="1" x14ac:dyDescent="0.25">
      <c r="B36" s="24" t="s">
        <v>63</v>
      </c>
      <c r="C36" s="50">
        <v>3</v>
      </c>
      <c r="D36" s="50">
        <v>4</v>
      </c>
      <c r="E36" s="50">
        <v>8.5</v>
      </c>
      <c r="F36" s="50">
        <v>1</v>
      </c>
      <c r="G36" s="50">
        <v>1</v>
      </c>
      <c r="H36" s="50">
        <v>1</v>
      </c>
      <c r="I36" s="50">
        <v>1</v>
      </c>
      <c r="J36" s="50">
        <v>1</v>
      </c>
      <c r="K36" s="50">
        <v>0</v>
      </c>
      <c r="L36" s="50">
        <v>7</v>
      </c>
      <c r="M36" s="50">
        <v>24</v>
      </c>
      <c r="N36" s="50">
        <v>0</v>
      </c>
      <c r="O36" s="15">
        <f t="shared" si="2"/>
        <v>27.5</v>
      </c>
      <c r="P36" s="15">
        <f t="shared" si="0"/>
        <v>51.5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3.5</v>
      </c>
      <c r="F37" s="50">
        <v>2</v>
      </c>
      <c r="G37" s="50">
        <v>0</v>
      </c>
      <c r="H37" s="50">
        <v>1</v>
      </c>
      <c r="I37" s="50">
        <v>0</v>
      </c>
      <c r="J37" s="50">
        <v>1</v>
      </c>
      <c r="K37" s="50">
        <v>0</v>
      </c>
      <c r="L37" s="50">
        <v>3</v>
      </c>
      <c r="M37" s="50">
        <v>23</v>
      </c>
      <c r="N37" s="50">
        <v>0</v>
      </c>
      <c r="O37" s="15">
        <f t="shared" si="2"/>
        <v>14.5</v>
      </c>
      <c r="P37" s="15">
        <f t="shared" si="0"/>
        <v>37.5</v>
      </c>
    </row>
    <row r="38" spans="2:20" ht="23.1" customHeight="1" x14ac:dyDescent="0.25">
      <c r="B38" s="24" t="s">
        <v>65</v>
      </c>
      <c r="C38" s="50">
        <v>1</v>
      </c>
      <c r="D38" s="50">
        <v>2</v>
      </c>
      <c r="E38" s="50">
        <v>4.5</v>
      </c>
      <c r="F38" s="50">
        <v>1</v>
      </c>
      <c r="G38" s="50">
        <v>0</v>
      </c>
      <c r="H38" s="50">
        <v>1</v>
      </c>
      <c r="I38" s="50">
        <v>3</v>
      </c>
      <c r="J38" s="50">
        <v>2</v>
      </c>
      <c r="K38" s="50">
        <v>1</v>
      </c>
      <c r="L38" s="50">
        <v>3</v>
      </c>
      <c r="M38" s="50">
        <v>23</v>
      </c>
      <c r="N38" s="50">
        <v>0</v>
      </c>
      <c r="O38" s="15">
        <f t="shared" si="2"/>
        <v>18.5</v>
      </c>
      <c r="P38" s="15">
        <f t="shared" si="0"/>
        <v>41.5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3.5</v>
      </c>
      <c r="F39" s="50">
        <v>1</v>
      </c>
      <c r="G39" s="50">
        <v>0</v>
      </c>
      <c r="H39" s="50">
        <v>1</v>
      </c>
      <c r="I39" s="50">
        <v>2</v>
      </c>
      <c r="J39" s="50">
        <v>0</v>
      </c>
      <c r="K39" s="50">
        <v>0</v>
      </c>
      <c r="L39" s="50">
        <v>1</v>
      </c>
      <c r="M39" s="50">
        <v>48</v>
      </c>
      <c r="N39" s="50">
        <v>0</v>
      </c>
      <c r="O39" s="15">
        <f t="shared" si="2"/>
        <v>12.5</v>
      </c>
      <c r="P39" s="15">
        <f t="shared" si="0"/>
        <v>60.5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5</v>
      </c>
      <c r="F40" s="50">
        <v>1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1</v>
      </c>
      <c r="M40" s="50">
        <v>35</v>
      </c>
      <c r="N40" s="50">
        <v>0</v>
      </c>
      <c r="O40" s="15">
        <f t="shared" si="2"/>
        <v>14</v>
      </c>
      <c r="P40" s="15">
        <f t="shared" si="0"/>
        <v>49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2</v>
      </c>
      <c r="F41" s="50">
        <v>1</v>
      </c>
      <c r="G41" s="50">
        <v>0</v>
      </c>
      <c r="H41" s="50">
        <v>1</v>
      </c>
      <c r="I41" s="50">
        <v>4</v>
      </c>
      <c r="J41" s="50">
        <v>1</v>
      </c>
      <c r="K41" s="50">
        <v>0</v>
      </c>
      <c r="L41" s="50">
        <v>1</v>
      </c>
      <c r="M41" s="50">
        <v>35</v>
      </c>
      <c r="N41" s="50">
        <v>0</v>
      </c>
      <c r="O41" s="15">
        <f t="shared" si="2"/>
        <v>12</v>
      </c>
      <c r="P41" s="15">
        <f t="shared" si="0"/>
        <v>47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3</v>
      </c>
      <c r="F42" s="50">
        <v>2</v>
      </c>
      <c r="G42" s="50">
        <v>0</v>
      </c>
      <c r="H42" s="50">
        <v>1</v>
      </c>
      <c r="I42" s="50">
        <v>6</v>
      </c>
      <c r="J42" s="50">
        <v>1</v>
      </c>
      <c r="K42" s="50">
        <v>1</v>
      </c>
      <c r="L42" s="50">
        <v>1</v>
      </c>
      <c r="M42" s="50">
        <v>31</v>
      </c>
      <c r="N42" s="50">
        <v>0</v>
      </c>
      <c r="O42" s="15">
        <f t="shared" si="2"/>
        <v>21</v>
      </c>
      <c r="P42" s="15">
        <f t="shared" si="0"/>
        <v>52</v>
      </c>
    </row>
    <row r="43" spans="2:20" ht="23.1" customHeight="1" x14ac:dyDescent="0.25">
      <c r="B43" s="23" t="s">
        <v>70</v>
      </c>
      <c r="C43" s="50">
        <v>7</v>
      </c>
      <c r="D43" s="50">
        <v>0</v>
      </c>
      <c r="E43" s="50">
        <v>1.5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1</v>
      </c>
      <c r="L43" s="50">
        <v>6</v>
      </c>
      <c r="M43" s="50">
        <v>20</v>
      </c>
      <c r="N43" s="50">
        <v>0</v>
      </c>
      <c r="O43" s="15">
        <f t="shared" si="2"/>
        <v>17.5</v>
      </c>
      <c r="P43" s="15">
        <f t="shared" si="0"/>
        <v>37.5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1.5</v>
      </c>
      <c r="F44" s="50">
        <v>0</v>
      </c>
      <c r="G44" s="50">
        <v>0</v>
      </c>
      <c r="H44" s="50">
        <v>0</v>
      </c>
      <c r="I44" s="50">
        <v>5</v>
      </c>
      <c r="J44" s="50">
        <v>1</v>
      </c>
      <c r="K44" s="50">
        <v>0</v>
      </c>
      <c r="L44" s="50">
        <v>3</v>
      </c>
      <c r="M44" s="50">
        <v>34</v>
      </c>
      <c r="N44" s="50">
        <v>0</v>
      </c>
      <c r="O44" s="15">
        <f t="shared" si="2"/>
        <v>10.5</v>
      </c>
      <c r="P44" s="15">
        <f t="shared" si="0"/>
        <v>44.5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2.5</v>
      </c>
      <c r="F45" s="50">
        <v>1</v>
      </c>
      <c r="G45" s="50">
        <v>0</v>
      </c>
      <c r="H45" s="50">
        <v>1</v>
      </c>
      <c r="I45" s="50">
        <v>1</v>
      </c>
      <c r="J45" s="50">
        <v>3</v>
      </c>
      <c r="K45" s="50">
        <v>0</v>
      </c>
      <c r="L45" s="50">
        <v>2</v>
      </c>
      <c r="M45" s="50">
        <v>55</v>
      </c>
      <c r="N45" s="50">
        <v>0</v>
      </c>
      <c r="O45" s="15">
        <f t="shared" si="2"/>
        <v>13.5</v>
      </c>
      <c r="P45" s="15">
        <f t="shared" si="0"/>
        <v>68.5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1.5</v>
      </c>
      <c r="F46" s="50">
        <v>2</v>
      </c>
      <c r="G46" s="50">
        <v>0</v>
      </c>
      <c r="H46" s="50">
        <v>2</v>
      </c>
      <c r="I46" s="50">
        <v>1</v>
      </c>
      <c r="J46" s="50">
        <v>2</v>
      </c>
      <c r="K46" s="50">
        <v>0</v>
      </c>
      <c r="L46" s="50">
        <v>4</v>
      </c>
      <c r="M46" s="50">
        <v>28</v>
      </c>
      <c r="N46" s="50">
        <v>0</v>
      </c>
      <c r="O46" s="15">
        <f t="shared" si="2"/>
        <v>12.5</v>
      </c>
      <c r="P46" s="15">
        <f t="shared" si="0"/>
        <v>40.5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2</v>
      </c>
      <c r="E47" s="50">
        <v>4</v>
      </c>
      <c r="F47" s="50">
        <v>2</v>
      </c>
      <c r="G47" s="50">
        <v>1</v>
      </c>
      <c r="H47" s="50">
        <v>2</v>
      </c>
      <c r="I47" s="50">
        <v>1</v>
      </c>
      <c r="J47" s="50">
        <v>1</v>
      </c>
      <c r="K47" s="50">
        <v>0</v>
      </c>
      <c r="L47" s="50">
        <v>1</v>
      </c>
      <c r="M47" s="50">
        <v>30</v>
      </c>
      <c r="N47" s="50">
        <v>0</v>
      </c>
      <c r="O47" s="15">
        <f t="shared" si="2"/>
        <v>17</v>
      </c>
      <c r="P47" s="15">
        <f t="shared" si="0"/>
        <v>47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2</v>
      </c>
      <c r="F48" s="50">
        <v>1</v>
      </c>
      <c r="G48" s="50">
        <v>0</v>
      </c>
      <c r="H48" s="50">
        <v>1</v>
      </c>
      <c r="I48" s="50">
        <v>4</v>
      </c>
      <c r="J48" s="50">
        <v>2</v>
      </c>
      <c r="K48" s="50">
        <v>0</v>
      </c>
      <c r="L48" s="50">
        <v>1</v>
      </c>
      <c r="M48" s="50">
        <v>36</v>
      </c>
      <c r="N48" s="50">
        <v>0</v>
      </c>
      <c r="O48" s="15">
        <f t="shared" si="2"/>
        <v>14</v>
      </c>
      <c r="P48" s="15">
        <f t="shared" si="0"/>
        <v>50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1</v>
      </c>
      <c r="E49" s="50">
        <v>2.5</v>
      </c>
      <c r="F49" s="50">
        <v>1</v>
      </c>
      <c r="G49" s="50">
        <v>0</v>
      </c>
      <c r="H49" s="50">
        <v>0</v>
      </c>
      <c r="I49" s="50">
        <v>3</v>
      </c>
      <c r="J49" s="50">
        <v>4</v>
      </c>
      <c r="K49" s="50">
        <v>0</v>
      </c>
      <c r="L49" s="50">
        <v>2</v>
      </c>
      <c r="M49" s="50">
        <v>46</v>
      </c>
      <c r="N49" s="50">
        <v>0</v>
      </c>
      <c r="O49" s="15">
        <f t="shared" si="2"/>
        <v>17.5</v>
      </c>
      <c r="P49" s="15">
        <f t="shared" si="0"/>
        <v>63.5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1</v>
      </c>
      <c r="F50" s="50">
        <v>0</v>
      </c>
      <c r="G50" s="50">
        <v>1</v>
      </c>
      <c r="H50" s="50">
        <v>1</v>
      </c>
      <c r="I50" s="50">
        <v>4</v>
      </c>
      <c r="J50" s="50">
        <v>2</v>
      </c>
      <c r="K50" s="50">
        <v>1</v>
      </c>
      <c r="L50" s="50">
        <v>0</v>
      </c>
      <c r="M50" s="50">
        <v>45</v>
      </c>
      <c r="N50" s="50">
        <v>0</v>
      </c>
      <c r="O50" s="15">
        <f t="shared" si="2"/>
        <v>15</v>
      </c>
      <c r="P50" s="15">
        <f t="shared" si="0"/>
        <v>60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3</v>
      </c>
      <c r="F51" s="50">
        <v>1</v>
      </c>
      <c r="G51" s="50">
        <v>0</v>
      </c>
      <c r="H51" s="50">
        <v>1</v>
      </c>
      <c r="I51" s="50">
        <v>0</v>
      </c>
      <c r="J51" s="50">
        <v>5</v>
      </c>
      <c r="K51" s="50">
        <v>0</v>
      </c>
      <c r="L51" s="50">
        <v>5</v>
      </c>
      <c r="M51" s="50">
        <v>70</v>
      </c>
      <c r="N51" s="50">
        <v>0</v>
      </c>
      <c r="O51" s="15">
        <f t="shared" si="2"/>
        <v>18</v>
      </c>
      <c r="P51" s="15">
        <f t="shared" si="0"/>
        <v>88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4</v>
      </c>
      <c r="E52" s="50">
        <v>9</v>
      </c>
      <c r="F52" s="50">
        <v>7</v>
      </c>
      <c r="G52" s="50">
        <v>0</v>
      </c>
      <c r="H52" s="50">
        <v>1</v>
      </c>
      <c r="I52" s="50">
        <v>2</v>
      </c>
      <c r="J52" s="50">
        <v>0</v>
      </c>
      <c r="K52" s="50">
        <v>0</v>
      </c>
      <c r="L52" s="50">
        <v>2</v>
      </c>
      <c r="M52" s="50">
        <v>63</v>
      </c>
      <c r="N52" s="50">
        <v>0</v>
      </c>
      <c r="O52" s="15">
        <f t="shared" si="2"/>
        <v>31</v>
      </c>
      <c r="P52" s="15">
        <f t="shared" si="0"/>
        <v>94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1.5</v>
      </c>
      <c r="F53" s="50">
        <v>0</v>
      </c>
      <c r="G53" s="50">
        <v>0</v>
      </c>
      <c r="H53" s="50">
        <v>0</v>
      </c>
      <c r="I53" s="50">
        <v>5</v>
      </c>
      <c r="J53" s="50">
        <v>0</v>
      </c>
      <c r="K53" s="50">
        <v>1</v>
      </c>
      <c r="L53" s="50">
        <v>4</v>
      </c>
      <c r="M53" s="50">
        <v>56</v>
      </c>
      <c r="N53" s="50">
        <v>0</v>
      </c>
      <c r="O53" s="15">
        <f t="shared" si="2"/>
        <v>14.5</v>
      </c>
      <c r="P53" s="15">
        <f t="shared" si="0"/>
        <v>70.5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0.5</v>
      </c>
      <c r="F54" s="50">
        <v>3</v>
      </c>
      <c r="G54" s="50">
        <v>0</v>
      </c>
      <c r="H54" s="50">
        <v>1</v>
      </c>
      <c r="I54" s="50">
        <v>3</v>
      </c>
      <c r="J54" s="50">
        <v>2</v>
      </c>
      <c r="K54" s="50">
        <v>0</v>
      </c>
      <c r="L54" s="50">
        <v>2</v>
      </c>
      <c r="M54" s="50">
        <v>38</v>
      </c>
      <c r="N54" s="50">
        <v>0</v>
      </c>
      <c r="O54" s="15">
        <f t="shared" si="2"/>
        <v>12.5</v>
      </c>
      <c r="P54" s="15">
        <f t="shared" si="0"/>
        <v>50.5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2</v>
      </c>
      <c r="F55" s="50">
        <v>3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2</v>
      </c>
      <c r="M55" s="50">
        <v>42</v>
      </c>
      <c r="N55" s="50">
        <v>0</v>
      </c>
      <c r="O55" s="15">
        <f t="shared" si="2"/>
        <v>10</v>
      </c>
      <c r="P55" s="15">
        <f t="shared" si="0"/>
        <v>52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3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2</v>
      </c>
      <c r="M56" s="50">
        <v>35</v>
      </c>
      <c r="N56" s="50">
        <v>0</v>
      </c>
      <c r="O56" s="15">
        <f t="shared" si="2"/>
        <v>10</v>
      </c>
      <c r="P56" s="15">
        <f t="shared" si="0"/>
        <v>45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1</v>
      </c>
      <c r="E57" s="50">
        <v>2</v>
      </c>
      <c r="F57" s="50">
        <v>2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6</v>
      </c>
      <c r="M57" s="50">
        <v>75</v>
      </c>
      <c r="N57" s="50">
        <v>0</v>
      </c>
      <c r="O57" s="15">
        <f t="shared" si="2"/>
        <v>19</v>
      </c>
      <c r="P57" s="15">
        <f t="shared" si="0"/>
        <v>94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145</v>
      </c>
      <c r="D58" s="16">
        <f t="shared" si="21"/>
        <v>53</v>
      </c>
      <c r="E58" s="16">
        <f t="shared" si="21"/>
        <v>140.5</v>
      </c>
      <c r="F58" s="16">
        <f t="shared" si="21"/>
        <v>82</v>
      </c>
      <c r="G58" s="16">
        <f t="shared" si="21"/>
        <v>7</v>
      </c>
      <c r="H58" s="16">
        <f t="shared" si="21"/>
        <v>29</v>
      </c>
      <c r="I58" s="16">
        <f t="shared" si="21"/>
        <v>100</v>
      </c>
      <c r="J58" s="16">
        <f t="shared" si="21"/>
        <v>61</v>
      </c>
      <c r="K58" s="16">
        <f t="shared" si="21"/>
        <v>7</v>
      </c>
      <c r="L58" s="16">
        <f t="shared" si="21"/>
        <v>125</v>
      </c>
      <c r="M58" s="16">
        <f t="shared" si="21"/>
        <v>2214</v>
      </c>
      <c r="N58" s="16">
        <f t="shared" si="21"/>
        <v>1</v>
      </c>
      <c r="O58" s="16">
        <f t="shared" si="21"/>
        <v>750.5</v>
      </c>
      <c r="P58" s="16">
        <f t="shared" si="21"/>
        <v>2964.5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4.8912126834204754E-2</v>
      </c>
      <c r="D59" s="43">
        <f t="shared" si="22"/>
        <v>1.7878225670433463E-2</v>
      </c>
      <c r="E59" s="43">
        <f t="shared" si="22"/>
        <v>4.7394164277281159E-2</v>
      </c>
      <c r="F59" s="43">
        <f t="shared" si="22"/>
        <v>2.7660651037274414E-2</v>
      </c>
      <c r="G59" s="43">
        <f t="shared" si="22"/>
        <v>2.3612750885478157E-3</v>
      </c>
      <c r="H59" s="43">
        <f t="shared" si="22"/>
        <v>9.7824253668409508E-3</v>
      </c>
      <c r="I59" s="43">
        <f t="shared" si="22"/>
        <v>3.3732501264968795E-2</v>
      </c>
      <c r="J59" s="43">
        <f t="shared" si="22"/>
        <v>2.0576825771630967E-2</v>
      </c>
      <c r="K59" s="43">
        <f t="shared" si="22"/>
        <v>2.3612750885478157E-3</v>
      </c>
      <c r="L59" s="43">
        <f t="shared" si="22"/>
        <v>4.2165626581210994E-2</v>
      </c>
      <c r="M59" s="43">
        <f t="shared" si="22"/>
        <v>0.74683757800640915</v>
      </c>
      <c r="N59" s="43">
        <f t="shared" si="22"/>
        <v>3.3732501264968796E-4</v>
      </c>
      <c r="R59" s="8"/>
      <c r="T59"/>
    </row>
    <row r="60" spans="2:20" ht="23.1" customHeight="1" x14ac:dyDescent="0.25">
      <c r="B60" s="42" t="s">
        <v>94</v>
      </c>
      <c r="C60" s="44">
        <f>C58/$O$58</f>
        <v>0.1932045303131246</v>
      </c>
      <c r="D60" s="44">
        <f t="shared" ref="D60:N60" si="23">D58/$O$58</f>
        <v>7.061958694203864E-2</v>
      </c>
      <c r="E60" s="44">
        <f t="shared" si="23"/>
        <v>0.18720852764823451</v>
      </c>
      <c r="F60" s="44">
        <f t="shared" si="23"/>
        <v>0.10926049300466356</v>
      </c>
      <c r="G60" s="44">
        <f t="shared" si="23"/>
        <v>9.3271152564956689E-3</v>
      </c>
      <c r="H60" s="44">
        <f t="shared" si="23"/>
        <v>3.8640906062624915E-2</v>
      </c>
      <c r="I60" s="44">
        <f t="shared" si="23"/>
        <v>0.13324450366422386</v>
      </c>
      <c r="J60" s="44">
        <f t="shared" si="23"/>
        <v>8.1279147235176555E-2</v>
      </c>
      <c r="K60" s="44">
        <f t="shared" si="23"/>
        <v>9.3271152564956689E-3</v>
      </c>
      <c r="L60" s="44">
        <f t="shared" si="23"/>
        <v>0.16655562958027981</v>
      </c>
      <c r="M60" s="44"/>
      <c r="N60" s="44">
        <f t="shared" si="23"/>
        <v>1.3324450366422385E-3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D14" sqref="D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6.28515625" customWidth="1"/>
    <col min="16" max="16" width="22.85546875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GULU-KARUMA'!D5</f>
        <v>1.08.19</v>
      </c>
      <c r="E5" s="3"/>
      <c r="F5" s="41" t="s">
        <v>1</v>
      </c>
      <c r="G5" s="63" t="str">
        <f>'01.08 GULU-KARUMA'!G5:H5</f>
        <v>xxx</v>
      </c>
      <c r="H5" s="64"/>
      <c r="I5" s="14"/>
      <c r="J5" s="2" t="s">
        <v>5</v>
      </c>
      <c r="K5" s="63" t="str">
        <f>'01.08 GULU-KARUMA'!K5:L5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167</v>
      </c>
      <c r="E6" s="58"/>
      <c r="F6" s="2" t="s">
        <v>2</v>
      </c>
      <c r="G6" s="57" t="s">
        <v>164</v>
      </c>
      <c r="H6" s="58"/>
      <c r="J6" s="2" t="s">
        <v>21</v>
      </c>
      <c r="K6" s="63" t="str">
        <f>'01.08 GULU-KARUMA'!K6:L6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1</v>
      </c>
      <c r="E10" s="50">
        <v>2</v>
      </c>
      <c r="F10" s="50">
        <v>0</v>
      </c>
      <c r="G10" s="50">
        <v>0</v>
      </c>
      <c r="H10" s="50">
        <v>1</v>
      </c>
      <c r="I10" s="50">
        <v>3</v>
      </c>
      <c r="J10" s="50">
        <v>0</v>
      </c>
      <c r="K10" s="50">
        <v>0</v>
      </c>
      <c r="L10" s="50">
        <f>'[1]RD116 MCC'!$R$342+'[1]RD116 MCC'!$S$342+'[1]RD116 MCC'!$T$342+'[1]RD116 MCC'!$U$342</f>
        <v>2</v>
      </c>
      <c r="M10" s="50">
        <v>45</v>
      </c>
      <c r="N10" s="50">
        <v>0</v>
      </c>
      <c r="O10" s="15">
        <f>SUM(C10:L10,N10)</f>
        <v>13</v>
      </c>
      <c r="P10" s="15">
        <f t="shared" ref="P10:P57" si="0">SUM(C10:N10)</f>
        <v>58</v>
      </c>
      <c r="R10" s="1" t="s">
        <v>6</v>
      </c>
      <c r="S10" s="17">
        <f t="shared" ref="S10:AF10" si="1">SUM(C10:C13)</f>
        <v>19</v>
      </c>
      <c r="T10" s="17">
        <f t="shared" si="1"/>
        <v>4</v>
      </c>
      <c r="U10" s="17">
        <f t="shared" si="1"/>
        <v>8</v>
      </c>
      <c r="V10" s="17">
        <f t="shared" si="1"/>
        <v>3</v>
      </c>
      <c r="W10" s="17">
        <f t="shared" si="1"/>
        <v>0</v>
      </c>
      <c r="X10" s="17">
        <f t="shared" si="1"/>
        <v>1</v>
      </c>
      <c r="Y10" s="17">
        <f t="shared" si="1"/>
        <v>9</v>
      </c>
      <c r="Z10" s="17">
        <f t="shared" si="1"/>
        <v>0</v>
      </c>
      <c r="AA10" s="17">
        <f t="shared" si="1"/>
        <v>0</v>
      </c>
      <c r="AB10" s="17">
        <f t="shared" si="1"/>
        <v>8</v>
      </c>
      <c r="AC10" s="17">
        <f t="shared" si="1"/>
        <v>295</v>
      </c>
      <c r="AD10" s="17">
        <f t="shared" si="1"/>
        <v>0</v>
      </c>
      <c r="AE10" s="31">
        <f t="shared" si="1"/>
        <v>52</v>
      </c>
      <c r="AF10" s="31">
        <f t="shared" si="1"/>
        <v>347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f>'[1]RD116 MCC'!$R$342+'[1]RD116 MCC'!$S$342+'[1]RD116 MCC'!$T$342+'[1]RD116 MCC'!$U$342</f>
        <v>2</v>
      </c>
      <c r="M11" s="50">
        <v>67</v>
      </c>
      <c r="N11" s="50">
        <v>0</v>
      </c>
      <c r="O11" s="15">
        <f t="shared" ref="O11:O57" si="2">SUM(C11:L11,N11)</f>
        <v>9</v>
      </c>
      <c r="P11" s="15">
        <f t="shared" si="0"/>
        <v>76</v>
      </c>
      <c r="R11" s="1" t="s">
        <v>7</v>
      </c>
      <c r="S11" s="17">
        <f t="shared" ref="S11:AF11" si="3">SUM(C14:C17)</f>
        <v>45</v>
      </c>
      <c r="T11" s="17">
        <f t="shared" si="3"/>
        <v>5</v>
      </c>
      <c r="U11" s="17">
        <f t="shared" si="3"/>
        <v>13</v>
      </c>
      <c r="V11" s="17">
        <f t="shared" si="3"/>
        <v>3</v>
      </c>
      <c r="W11" s="17">
        <f t="shared" si="3"/>
        <v>1</v>
      </c>
      <c r="X11" s="17">
        <f t="shared" si="3"/>
        <v>0</v>
      </c>
      <c r="Y11" s="17">
        <f t="shared" si="3"/>
        <v>6</v>
      </c>
      <c r="Z11" s="17">
        <f t="shared" si="3"/>
        <v>2</v>
      </c>
      <c r="AA11" s="17">
        <f t="shared" si="3"/>
        <v>1</v>
      </c>
      <c r="AB11" s="17">
        <f t="shared" si="3"/>
        <v>8</v>
      </c>
      <c r="AC11" s="17">
        <f t="shared" si="3"/>
        <v>251</v>
      </c>
      <c r="AD11" s="17">
        <f t="shared" si="3"/>
        <v>0</v>
      </c>
      <c r="AE11" s="31">
        <f t="shared" si="3"/>
        <v>84</v>
      </c>
      <c r="AF11" s="31">
        <f t="shared" si="3"/>
        <v>335</v>
      </c>
    </row>
    <row r="12" spans="2:32" ht="23.1" customHeight="1" x14ac:dyDescent="0.25">
      <c r="B12" s="23" t="s">
        <v>39</v>
      </c>
      <c r="C12" s="50">
        <v>7</v>
      </c>
      <c r="D12" s="50">
        <v>1</v>
      </c>
      <c r="E12" s="50">
        <v>2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f>'[1]RD116 MCC'!$R$342+'[1]RD116 MCC'!$S$342+'[1]RD116 MCC'!$T$342+'[1]RD116 MCC'!$U$342</f>
        <v>2</v>
      </c>
      <c r="M12" s="50">
        <v>102</v>
      </c>
      <c r="N12" s="50">
        <v>0</v>
      </c>
      <c r="O12" s="15">
        <f t="shared" si="2"/>
        <v>15</v>
      </c>
      <c r="P12" s="15">
        <f t="shared" si="0"/>
        <v>117</v>
      </c>
      <c r="R12" s="1" t="s">
        <v>8</v>
      </c>
      <c r="S12" s="17">
        <f t="shared" ref="S12:AF12" si="4">SUM(C18:C21)</f>
        <v>47</v>
      </c>
      <c r="T12" s="17">
        <f t="shared" si="4"/>
        <v>6</v>
      </c>
      <c r="U12" s="17">
        <f t="shared" si="4"/>
        <v>15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2</v>
      </c>
      <c r="AA12" s="17">
        <f t="shared" si="4"/>
        <v>0</v>
      </c>
      <c r="AB12" s="17">
        <f t="shared" si="4"/>
        <v>8</v>
      </c>
      <c r="AC12" s="17">
        <f t="shared" si="4"/>
        <v>248</v>
      </c>
      <c r="AD12" s="17">
        <f t="shared" si="4"/>
        <v>0</v>
      </c>
      <c r="AE12" s="31">
        <f t="shared" si="4"/>
        <v>85</v>
      </c>
      <c r="AF12" s="31">
        <f t="shared" si="4"/>
        <v>333</v>
      </c>
    </row>
    <row r="13" spans="2:32" ht="23.1" customHeight="1" x14ac:dyDescent="0.25">
      <c r="B13" s="23" t="s">
        <v>40</v>
      </c>
      <c r="C13" s="50">
        <v>5</v>
      </c>
      <c r="D13" s="50">
        <v>2</v>
      </c>
      <c r="E13" s="50">
        <v>4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f>'[1]RD116 MCC'!$R$342+'[1]RD116 MCC'!$S$342+'[1]RD116 MCC'!$T$342+'[1]RD116 MCC'!$U$342</f>
        <v>2</v>
      </c>
      <c r="M13" s="50">
        <v>81</v>
      </c>
      <c r="N13" s="50">
        <v>0</v>
      </c>
      <c r="O13" s="15">
        <f t="shared" si="2"/>
        <v>15</v>
      </c>
      <c r="P13" s="15">
        <f t="shared" si="0"/>
        <v>96</v>
      </c>
      <c r="R13" s="1" t="s">
        <v>9</v>
      </c>
      <c r="S13" s="17">
        <f t="shared" ref="S13:AF13" si="5">SUM(C22:C25)</f>
        <v>33</v>
      </c>
      <c r="T13" s="17">
        <f t="shared" si="5"/>
        <v>10</v>
      </c>
      <c r="U13" s="17">
        <f t="shared" si="5"/>
        <v>21</v>
      </c>
      <c r="V13" s="17">
        <f t="shared" si="5"/>
        <v>0</v>
      </c>
      <c r="W13" s="17">
        <f t="shared" si="5"/>
        <v>3</v>
      </c>
      <c r="X13" s="17">
        <f t="shared" si="5"/>
        <v>1</v>
      </c>
      <c r="Y13" s="17">
        <f t="shared" si="5"/>
        <v>7</v>
      </c>
      <c r="Z13" s="17">
        <f t="shared" si="5"/>
        <v>4</v>
      </c>
      <c r="AA13" s="17">
        <f t="shared" si="5"/>
        <v>0</v>
      </c>
      <c r="AB13" s="17">
        <f t="shared" si="5"/>
        <v>8</v>
      </c>
      <c r="AC13" s="17">
        <f t="shared" si="5"/>
        <v>234</v>
      </c>
      <c r="AD13" s="17">
        <f t="shared" si="5"/>
        <v>0</v>
      </c>
      <c r="AE13" s="31">
        <f t="shared" si="5"/>
        <v>87</v>
      </c>
      <c r="AF13" s="31">
        <f t="shared" si="5"/>
        <v>321</v>
      </c>
    </row>
    <row r="14" spans="2:32" ht="23.1" customHeight="1" x14ac:dyDescent="0.25">
      <c r="B14" s="23" t="s">
        <v>41</v>
      </c>
      <c r="C14" s="50">
        <v>11</v>
      </c>
      <c r="D14" s="50">
        <v>1</v>
      </c>
      <c r="E14" s="50">
        <v>3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f>'[1]RD116 MCC'!$R$342+'[1]RD116 MCC'!$S$342+'[1]RD116 MCC'!$T$342+'[1]RD116 MCC'!$U$342</f>
        <v>2</v>
      </c>
      <c r="M14" s="50">
        <v>65</v>
      </c>
      <c r="N14" s="50">
        <v>0</v>
      </c>
      <c r="O14" s="15">
        <f t="shared" si="2"/>
        <v>18</v>
      </c>
      <c r="P14" s="15">
        <f t="shared" si="0"/>
        <v>83</v>
      </c>
      <c r="R14" s="1" t="s">
        <v>10</v>
      </c>
      <c r="S14" s="17">
        <f t="shared" ref="S14:AF14" si="6">SUM(C26:C29)</f>
        <v>25</v>
      </c>
      <c r="T14" s="17">
        <f t="shared" si="6"/>
        <v>7</v>
      </c>
      <c r="U14" s="17">
        <f t="shared" si="6"/>
        <v>15</v>
      </c>
      <c r="V14" s="17">
        <f t="shared" si="6"/>
        <v>0</v>
      </c>
      <c r="W14" s="17">
        <f t="shared" si="6"/>
        <v>1</v>
      </c>
      <c r="X14" s="17">
        <f t="shared" si="6"/>
        <v>1</v>
      </c>
      <c r="Y14" s="17">
        <f t="shared" si="6"/>
        <v>7</v>
      </c>
      <c r="Z14" s="17">
        <f t="shared" si="6"/>
        <v>1</v>
      </c>
      <c r="AA14" s="17">
        <f t="shared" si="6"/>
        <v>0</v>
      </c>
      <c r="AB14" s="17">
        <f t="shared" si="6"/>
        <v>8</v>
      </c>
      <c r="AC14" s="17">
        <f t="shared" si="6"/>
        <v>211</v>
      </c>
      <c r="AD14" s="17">
        <f t="shared" si="6"/>
        <v>0</v>
      </c>
      <c r="AE14" s="31">
        <f t="shared" si="6"/>
        <v>65</v>
      </c>
      <c r="AF14" s="31">
        <f t="shared" si="6"/>
        <v>276</v>
      </c>
    </row>
    <row r="15" spans="2:32" ht="23.1" customHeight="1" x14ac:dyDescent="0.25">
      <c r="B15" s="23" t="s">
        <v>42</v>
      </c>
      <c r="C15" s="50">
        <v>12</v>
      </c>
      <c r="D15" s="50">
        <v>3</v>
      </c>
      <c r="E15" s="50">
        <v>6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f>'[1]RD116 MCC'!$R$342+'[1]RD116 MCC'!$S$342+'[1]RD116 MCC'!$T$342+'[1]RD116 MCC'!$U$342</f>
        <v>2</v>
      </c>
      <c r="M15" s="50">
        <v>73</v>
      </c>
      <c r="N15" s="50">
        <v>0</v>
      </c>
      <c r="O15" s="15">
        <f t="shared" si="2"/>
        <v>24</v>
      </c>
      <c r="P15" s="15">
        <f t="shared" si="0"/>
        <v>97</v>
      </c>
      <c r="R15" s="1" t="s">
        <v>11</v>
      </c>
      <c r="S15" s="17">
        <f t="shared" ref="S15:AF15" si="7">SUM(C30:C33)</f>
        <v>31</v>
      </c>
      <c r="T15" s="17">
        <f t="shared" si="7"/>
        <v>6</v>
      </c>
      <c r="U15" s="17">
        <f t="shared" si="7"/>
        <v>13</v>
      </c>
      <c r="V15" s="17">
        <f t="shared" si="7"/>
        <v>4</v>
      </c>
      <c r="W15" s="17">
        <f t="shared" si="7"/>
        <v>2</v>
      </c>
      <c r="X15" s="17">
        <f t="shared" si="7"/>
        <v>2</v>
      </c>
      <c r="Y15" s="17">
        <f t="shared" si="7"/>
        <v>7</v>
      </c>
      <c r="Z15" s="17">
        <f t="shared" si="7"/>
        <v>5</v>
      </c>
      <c r="AA15" s="17">
        <f t="shared" si="7"/>
        <v>0</v>
      </c>
      <c r="AB15" s="17">
        <f t="shared" si="7"/>
        <v>8</v>
      </c>
      <c r="AC15" s="17">
        <f t="shared" si="7"/>
        <v>155</v>
      </c>
      <c r="AD15" s="17">
        <f t="shared" si="7"/>
        <v>0</v>
      </c>
      <c r="AE15" s="31">
        <f t="shared" si="7"/>
        <v>78</v>
      </c>
      <c r="AF15" s="31">
        <f t="shared" si="7"/>
        <v>233</v>
      </c>
    </row>
    <row r="16" spans="2:32" ht="23.1" customHeight="1" x14ac:dyDescent="0.25">
      <c r="B16" s="23" t="s">
        <v>43</v>
      </c>
      <c r="C16" s="50">
        <v>18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f>'[1]RD116 MCC'!$R$342+'[1]RD116 MCC'!$S$342+'[1]RD116 MCC'!$T$342+'[1]RD116 MCC'!$U$342</f>
        <v>2</v>
      </c>
      <c r="M16" s="50">
        <v>51</v>
      </c>
      <c r="N16" s="50">
        <v>0</v>
      </c>
      <c r="O16" s="15">
        <f t="shared" si="2"/>
        <v>22</v>
      </c>
      <c r="P16" s="15">
        <f t="shared" si="0"/>
        <v>73</v>
      </c>
      <c r="R16" s="1" t="s">
        <v>12</v>
      </c>
      <c r="S16" s="17">
        <f t="shared" ref="S16:AF16" si="8">SUM(C34:C37)</f>
        <v>21</v>
      </c>
      <c r="T16" s="17">
        <f t="shared" si="8"/>
        <v>11</v>
      </c>
      <c r="U16" s="17">
        <f t="shared" si="8"/>
        <v>22</v>
      </c>
      <c r="V16" s="17">
        <f t="shared" si="8"/>
        <v>5</v>
      </c>
      <c r="W16" s="17">
        <f t="shared" si="8"/>
        <v>5</v>
      </c>
      <c r="X16" s="17">
        <f t="shared" si="8"/>
        <v>3</v>
      </c>
      <c r="Y16" s="17">
        <f t="shared" si="8"/>
        <v>6</v>
      </c>
      <c r="Z16" s="17">
        <f t="shared" si="8"/>
        <v>1</v>
      </c>
      <c r="AA16" s="17">
        <f t="shared" si="8"/>
        <v>0</v>
      </c>
      <c r="AB16" s="17">
        <f t="shared" si="8"/>
        <v>8</v>
      </c>
      <c r="AC16" s="17">
        <f t="shared" si="8"/>
        <v>176</v>
      </c>
      <c r="AD16" s="17">
        <f t="shared" si="8"/>
        <v>0</v>
      </c>
      <c r="AE16" s="31">
        <f t="shared" si="8"/>
        <v>82</v>
      </c>
      <c r="AF16" s="31">
        <f t="shared" si="8"/>
        <v>258</v>
      </c>
    </row>
    <row r="17" spans="2:32" ht="23.1" customHeight="1" x14ac:dyDescent="0.25">
      <c r="B17" s="23" t="s">
        <v>44</v>
      </c>
      <c r="C17" s="50">
        <v>4</v>
      </c>
      <c r="D17" s="50">
        <v>1</v>
      </c>
      <c r="E17" s="50">
        <v>3</v>
      </c>
      <c r="F17" s="50">
        <v>3</v>
      </c>
      <c r="G17" s="50">
        <v>1</v>
      </c>
      <c r="H17" s="50">
        <v>0</v>
      </c>
      <c r="I17" s="50">
        <v>3</v>
      </c>
      <c r="J17" s="50">
        <v>2</v>
      </c>
      <c r="K17" s="50">
        <v>1</v>
      </c>
      <c r="L17" s="50">
        <f>'[1]RD116 MCC'!$R$342+'[1]RD116 MCC'!$S$342+'[1]RD116 MCC'!$T$342+'[1]RD116 MCC'!$U$342</f>
        <v>2</v>
      </c>
      <c r="M17" s="50">
        <v>62</v>
      </c>
      <c r="N17" s="50">
        <v>0</v>
      </c>
      <c r="O17" s="15">
        <f t="shared" si="2"/>
        <v>20</v>
      </c>
      <c r="P17" s="15">
        <f t="shared" si="0"/>
        <v>82</v>
      </c>
      <c r="R17" s="1" t="s">
        <v>13</v>
      </c>
      <c r="S17" s="17">
        <f t="shared" ref="S17:AF17" si="9">SUM(C38:C41)</f>
        <v>24</v>
      </c>
      <c r="T17" s="17">
        <f t="shared" si="9"/>
        <v>4</v>
      </c>
      <c r="U17" s="17">
        <f t="shared" si="9"/>
        <v>12</v>
      </c>
      <c r="V17" s="17">
        <f t="shared" si="9"/>
        <v>1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0</v>
      </c>
      <c r="AB17" s="17">
        <f t="shared" si="9"/>
        <v>8</v>
      </c>
      <c r="AC17" s="17">
        <f t="shared" si="9"/>
        <v>163</v>
      </c>
      <c r="AD17" s="17">
        <f t="shared" si="9"/>
        <v>0</v>
      </c>
      <c r="AE17" s="31">
        <f t="shared" si="9"/>
        <v>59</v>
      </c>
      <c r="AF17" s="31">
        <f t="shared" si="9"/>
        <v>222</v>
      </c>
    </row>
    <row r="18" spans="2:32" ht="23.1" customHeight="1" x14ac:dyDescent="0.25">
      <c r="B18" s="23" t="s">
        <v>45</v>
      </c>
      <c r="C18" s="50">
        <v>10</v>
      </c>
      <c r="D18" s="50">
        <v>2</v>
      </c>
      <c r="E18" s="50">
        <v>4</v>
      </c>
      <c r="F18" s="50">
        <v>0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f>'[1]RD116 MCC'!$R$342+'[1]RD116 MCC'!$S$342+'[1]RD116 MCC'!$T$342+'[1]RD116 MCC'!$U$342</f>
        <v>2</v>
      </c>
      <c r="M18" s="50">
        <v>63</v>
      </c>
      <c r="N18" s="50">
        <v>0</v>
      </c>
      <c r="O18" s="15">
        <f t="shared" si="2"/>
        <v>22</v>
      </c>
      <c r="P18" s="15">
        <f t="shared" si="0"/>
        <v>85</v>
      </c>
      <c r="R18" s="1" t="s">
        <v>14</v>
      </c>
      <c r="S18" s="17">
        <f t="shared" ref="S18:AF18" si="10">SUM(C42:C45)</f>
        <v>36</v>
      </c>
      <c r="T18" s="17">
        <f t="shared" si="10"/>
        <v>9</v>
      </c>
      <c r="U18" s="17">
        <f t="shared" si="10"/>
        <v>20</v>
      </c>
      <c r="V18" s="17">
        <f t="shared" si="10"/>
        <v>1</v>
      </c>
      <c r="W18" s="17">
        <f t="shared" si="10"/>
        <v>0</v>
      </c>
      <c r="X18" s="17">
        <f t="shared" si="10"/>
        <v>3</v>
      </c>
      <c r="Y18" s="17">
        <f t="shared" si="10"/>
        <v>9</v>
      </c>
      <c r="Z18" s="17">
        <f t="shared" si="10"/>
        <v>2</v>
      </c>
      <c r="AA18" s="17">
        <f t="shared" si="10"/>
        <v>2</v>
      </c>
      <c r="AB18" s="17">
        <f t="shared" si="10"/>
        <v>8</v>
      </c>
      <c r="AC18" s="17">
        <f t="shared" si="10"/>
        <v>208</v>
      </c>
      <c r="AD18" s="17">
        <f t="shared" si="10"/>
        <v>0</v>
      </c>
      <c r="AE18" s="31">
        <f t="shared" si="10"/>
        <v>90</v>
      </c>
      <c r="AF18" s="31">
        <f t="shared" si="10"/>
        <v>298</v>
      </c>
    </row>
    <row r="19" spans="2:32" ht="23.1" customHeight="1" x14ac:dyDescent="0.25">
      <c r="B19" s="23" t="s">
        <v>46</v>
      </c>
      <c r="C19" s="50">
        <v>6</v>
      </c>
      <c r="D19" s="50">
        <v>2</v>
      </c>
      <c r="E19" s="50">
        <v>5</v>
      </c>
      <c r="F19" s="50">
        <v>0</v>
      </c>
      <c r="G19" s="50">
        <v>1</v>
      </c>
      <c r="H19" s="50">
        <v>0</v>
      </c>
      <c r="I19" s="50">
        <v>1</v>
      </c>
      <c r="J19" s="50">
        <v>1</v>
      </c>
      <c r="K19" s="50">
        <v>0</v>
      </c>
      <c r="L19" s="50">
        <f>'[1]RD116 MCC'!$R$342+'[1]RD116 MCC'!$S$342+'[1]RD116 MCC'!$T$342+'[1]RD116 MCC'!$U$342</f>
        <v>2</v>
      </c>
      <c r="M19" s="50">
        <v>63</v>
      </c>
      <c r="N19" s="50">
        <v>0</v>
      </c>
      <c r="O19" s="15">
        <f t="shared" si="2"/>
        <v>18</v>
      </c>
      <c r="P19" s="15">
        <f t="shared" si="0"/>
        <v>81</v>
      </c>
      <c r="R19" s="1" t="s">
        <v>15</v>
      </c>
      <c r="S19" s="17">
        <f t="shared" ref="S19:AF19" si="11">SUM(C46:C49)</f>
        <v>35</v>
      </c>
      <c r="T19" s="17">
        <f t="shared" si="11"/>
        <v>14</v>
      </c>
      <c r="U19" s="17">
        <f t="shared" si="11"/>
        <v>29</v>
      </c>
      <c r="V19" s="17">
        <f t="shared" si="11"/>
        <v>3</v>
      </c>
      <c r="W19" s="17">
        <f t="shared" si="11"/>
        <v>2</v>
      </c>
      <c r="X19" s="17">
        <f t="shared" si="11"/>
        <v>1</v>
      </c>
      <c r="Y19" s="17">
        <f t="shared" si="11"/>
        <v>8</v>
      </c>
      <c r="Z19" s="17">
        <f t="shared" si="11"/>
        <v>3</v>
      </c>
      <c r="AA19" s="17">
        <f t="shared" si="11"/>
        <v>0</v>
      </c>
      <c r="AB19" s="17">
        <f t="shared" si="11"/>
        <v>8</v>
      </c>
      <c r="AC19" s="17">
        <f t="shared" si="11"/>
        <v>234</v>
      </c>
      <c r="AD19" s="17">
        <f t="shared" si="11"/>
        <v>0</v>
      </c>
      <c r="AE19" s="31">
        <f t="shared" si="11"/>
        <v>103</v>
      </c>
      <c r="AF19" s="31">
        <f t="shared" si="11"/>
        <v>337</v>
      </c>
    </row>
    <row r="20" spans="2:32" ht="23.1" customHeight="1" x14ac:dyDescent="0.25">
      <c r="B20" s="23" t="s">
        <v>47</v>
      </c>
      <c r="C20" s="50">
        <v>15</v>
      </c>
      <c r="D20" s="50">
        <v>1</v>
      </c>
      <c r="E20" s="50">
        <v>3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f>'[1]RD116 MCC'!$R$342+'[1]RD116 MCC'!$S$342+'[1]RD116 MCC'!$T$342+'[1]RD116 MCC'!$U$342</f>
        <v>2</v>
      </c>
      <c r="M20" s="50">
        <v>64</v>
      </c>
      <c r="N20" s="50">
        <v>0</v>
      </c>
      <c r="O20" s="15">
        <f t="shared" si="2"/>
        <v>22</v>
      </c>
      <c r="P20" s="15">
        <f t="shared" si="0"/>
        <v>86</v>
      </c>
      <c r="R20" s="1" t="s">
        <v>16</v>
      </c>
      <c r="S20" s="17">
        <f t="shared" ref="S20:AF20" si="12">SUM(C50:C53)</f>
        <v>51</v>
      </c>
      <c r="T20" s="17">
        <f t="shared" si="12"/>
        <v>15</v>
      </c>
      <c r="U20" s="17">
        <f t="shared" si="12"/>
        <v>32</v>
      </c>
      <c r="V20" s="17">
        <f t="shared" si="12"/>
        <v>6</v>
      </c>
      <c r="W20" s="17">
        <f t="shared" si="12"/>
        <v>0</v>
      </c>
      <c r="X20" s="17">
        <f t="shared" si="12"/>
        <v>3</v>
      </c>
      <c r="Y20" s="17">
        <f t="shared" si="12"/>
        <v>7</v>
      </c>
      <c r="Z20" s="17">
        <f t="shared" si="12"/>
        <v>2</v>
      </c>
      <c r="AA20" s="17">
        <f t="shared" si="12"/>
        <v>2</v>
      </c>
      <c r="AB20" s="17">
        <f t="shared" si="12"/>
        <v>8</v>
      </c>
      <c r="AC20" s="17">
        <f t="shared" si="12"/>
        <v>348</v>
      </c>
      <c r="AD20" s="17">
        <f t="shared" si="12"/>
        <v>0</v>
      </c>
      <c r="AE20" s="31">
        <f t="shared" si="12"/>
        <v>126</v>
      </c>
      <c r="AF20" s="31">
        <f t="shared" si="12"/>
        <v>474</v>
      </c>
    </row>
    <row r="21" spans="2:32" ht="23.1" customHeight="1" x14ac:dyDescent="0.25">
      <c r="B21" s="23" t="s">
        <v>48</v>
      </c>
      <c r="C21" s="50">
        <v>16</v>
      </c>
      <c r="D21" s="50">
        <v>1</v>
      </c>
      <c r="E21" s="50">
        <v>3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f>'[1]RD116 MCC'!$R$342+'[1]RD116 MCC'!$S$342+'[1]RD116 MCC'!$T$342+'[1]RD116 MCC'!$U$342</f>
        <v>2</v>
      </c>
      <c r="M21" s="50">
        <v>58</v>
      </c>
      <c r="N21" s="50">
        <v>0</v>
      </c>
      <c r="O21" s="15">
        <f t="shared" si="2"/>
        <v>23</v>
      </c>
      <c r="P21" s="15">
        <f t="shared" si="0"/>
        <v>81</v>
      </c>
      <c r="R21" s="36" t="s">
        <v>20</v>
      </c>
      <c r="S21" s="34">
        <f t="shared" ref="S21:AF21" si="13">SUM(C54:C57)</f>
        <v>44</v>
      </c>
      <c r="T21" s="17">
        <f t="shared" si="13"/>
        <v>32</v>
      </c>
      <c r="U21" s="17">
        <f t="shared" si="13"/>
        <v>66</v>
      </c>
      <c r="V21" s="17">
        <f t="shared" si="13"/>
        <v>9</v>
      </c>
      <c r="W21" s="17">
        <f t="shared" si="13"/>
        <v>1</v>
      </c>
      <c r="X21" s="17">
        <f t="shared" si="13"/>
        <v>2</v>
      </c>
      <c r="Y21" s="17">
        <f t="shared" si="13"/>
        <v>9</v>
      </c>
      <c r="Z21" s="17">
        <f t="shared" si="13"/>
        <v>3</v>
      </c>
      <c r="AA21" s="17">
        <f t="shared" si="13"/>
        <v>2</v>
      </c>
      <c r="AB21" s="17">
        <f t="shared" si="13"/>
        <v>8</v>
      </c>
      <c r="AC21" s="17">
        <f t="shared" si="13"/>
        <v>304</v>
      </c>
      <c r="AD21" s="17">
        <f t="shared" si="13"/>
        <v>0</v>
      </c>
      <c r="AE21" s="31">
        <f t="shared" si="13"/>
        <v>176</v>
      </c>
      <c r="AF21" s="31">
        <f t="shared" si="13"/>
        <v>480</v>
      </c>
    </row>
    <row r="22" spans="2:32" ht="23.1" customHeight="1" x14ac:dyDescent="0.25">
      <c r="B22" s="23" t="s">
        <v>49</v>
      </c>
      <c r="C22" s="50">
        <v>10</v>
      </c>
      <c r="D22" s="50">
        <v>2</v>
      </c>
      <c r="E22" s="50">
        <v>4</v>
      </c>
      <c r="F22" s="50">
        <v>0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f>'[1]RD116 MCC'!$R$342+'[1]RD116 MCC'!$S$342+'[1]RD116 MCC'!$T$342+'[1]RD116 MCC'!$U$342</f>
        <v>2</v>
      </c>
      <c r="M22" s="50">
        <v>55</v>
      </c>
      <c r="N22" s="50">
        <v>0</v>
      </c>
      <c r="O22" s="15">
        <f t="shared" si="2"/>
        <v>20</v>
      </c>
      <c r="P22" s="15">
        <f t="shared" si="0"/>
        <v>75</v>
      </c>
      <c r="R22" s="38" t="s">
        <v>90</v>
      </c>
      <c r="S22" s="39">
        <f>MAX(S10:S12)</f>
        <v>47</v>
      </c>
      <c r="T22" s="39">
        <f t="shared" ref="T22:AF22" si="14">MAX(T10:T12)</f>
        <v>6</v>
      </c>
      <c r="U22" s="39">
        <f t="shared" si="14"/>
        <v>15</v>
      </c>
      <c r="V22" s="39">
        <f t="shared" si="14"/>
        <v>3</v>
      </c>
      <c r="W22" s="39">
        <f t="shared" si="14"/>
        <v>1</v>
      </c>
      <c r="X22" s="39">
        <f t="shared" si="14"/>
        <v>1</v>
      </c>
      <c r="Y22" s="39">
        <f t="shared" si="14"/>
        <v>9</v>
      </c>
      <c r="Z22" s="39">
        <f t="shared" si="14"/>
        <v>2</v>
      </c>
      <c r="AA22" s="39">
        <f t="shared" si="14"/>
        <v>1</v>
      </c>
      <c r="AB22" s="39">
        <f t="shared" si="14"/>
        <v>8</v>
      </c>
      <c r="AC22" s="39">
        <f t="shared" si="14"/>
        <v>295</v>
      </c>
      <c r="AD22" s="39">
        <f t="shared" si="14"/>
        <v>0</v>
      </c>
      <c r="AE22" s="40">
        <f t="shared" si="14"/>
        <v>85</v>
      </c>
      <c r="AF22" s="40">
        <f t="shared" si="14"/>
        <v>347</v>
      </c>
    </row>
    <row r="23" spans="2:32" ht="23.1" customHeight="1" x14ac:dyDescent="0.25">
      <c r="B23" s="23" t="s">
        <v>50</v>
      </c>
      <c r="C23" s="50">
        <v>11</v>
      </c>
      <c r="D23" s="50">
        <v>2</v>
      </c>
      <c r="E23" s="50">
        <v>4</v>
      </c>
      <c r="F23" s="50">
        <v>0</v>
      </c>
      <c r="G23" s="50">
        <v>0</v>
      </c>
      <c r="H23" s="50">
        <v>1</v>
      </c>
      <c r="I23" s="50">
        <v>1</v>
      </c>
      <c r="J23" s="50">
        <v>2</v>
      </c>
      <c r="K23" s="50">
        <v>0</v>
      </c>
      <c r="L23" s="50">
        <f>'[1]RD116 MCC'!$R$342+'[1]RD116 MCC'!$S$342+'[1]RD116 MCC'!$T$342+'[1]RD116 MCC'!$U$342</f>
        <v>2</v>
      </c>
      <c r="M23" s="50">
        <v>48</v>
      </c>
      <c r="N23" s="50">
        <v>0</v>
      </c>
      <c r="O23" s="15">
        <f t="shared" si="2"/>
        <v>23</v>
      </c>
      <c r="P23" s="15">
        <f t="shared" si="0"/>
        <v>71</v>
      </c>
      <c r="R23" s="38" t="s">
        <v>91</v>
      </c>
      <c r="S23" s="39">
        <f>MAX(S13:S18)</f>
        <v>36</v>
      </c>
      <c r="T23" s="39">
        <f t="shared" ref="T23:AF23" si="15">MAX(T13:T18)</f>
        <v>11</v>
      </c>
      <c r="U23" s="39">
        <f t="shared" si="15"/>
        <v>22</v>
      </c>
      <c r="V23" s="39">
        <f t="shared" si="15"/>
        <v>5</v>
      </c>
      <c r="W23" s="39">
        <f t="shared" si="15"/>
        <v>5</v>
      </c>
      <c r="X23" s="39">
        <f t="shared" si="15"/>
        <v>3</v>
      </c>
      <c r="Y23" s="39">
        <f t="shared" si="15"/>
        <v>9</v>
      </c>
      <c r="Z23" s="39">
        <f t="shared" si="15"/>
        <v>5</v>
      </c>
      <c r="AA23" s="39">
        <f t="shared" si="15"/>
        <v>2</v>
      </c>
      <c r="AB23" s="39">
        <f t="shared" si="15"/>
        <v>8</v>
      </c>
      <c r="AC23" s="39">
        <f t="shared" si="15"/>
        <v>234</v>
      </c>
      <c r="AD23" s="39">
        <f t="shared" si="15"/>
        <v>0</v>
      </c>
      <c r="AE23" s="40">
        <f t="shared" si="15"/>
        <v>90</v>
      </c>
      <c r="AF23" s="40">
        <f t="shared" si="15"/>
        <v>321</v>
      </c>
    </row>
    <row r="24" spans="2:32" ht="23.1" customHeight="1" x14ac:dyDescent="0.25">
      <c r="B24" s="23" t="s">
        <v>51</v>
      </c>
      <c r="C24" s="50">
        <v>9</v>
      </c>
      <c r="D24" s="50">
        <v>2</v>
      </c>
      <c r="E24" s="50">
        <v>5</v>
      </c>
      <c r="F24" s="50">
        <v>0</v>
      </c>
      <c r="G24" s="50">
        <v>1</v>
      </c>
      <c r="H24" s="50">
        <v>0</v>
      </c>
      <c r="I24" s="50">
        <v>4</v>
      </c>
      <c r="J24" s="50">
        <v>2</v>
      </c>
      <c r="K24" s="50">
        <v>0</v>
      </c>
      <c r="L24" s="50">
        <f>'[1]RD116 MCC'!$R$342+'[1]RD116 MCC'!$S$342+'[1]RD116 MCC'!$T$342+'[1]RD116 MCC'!$U$342</f>
        <v>2</v>
      </c>
      <c r="M24" s="50">
        <v>56</v>
      </c>
      <c r="N24" s="50">
        <v>0</v>
      </c>
      <c r="O24" s="15">
        <f t="shared" si="2"/>
        <v>25</v>
      </c>
      <c r="P24" s="15">
        <f t="shared" si="0"/>
        <v>81</v>
      </c>
      <c r="R24" s="38" t="s">
        <v>92</v>
      </c>
      <c r="S24" s="39">
        <f>MAX(S19:S21)</f>
        <v>51</v>
      </c>
      <c r="T24" s="39">
        <f t="shared" ref="T24:AF24" si="16">MAX(T19:T21)</f>
        <v>32</v>
      </c>
      <c r="U24" s="39">
        <f t="shared" si="16"/>
        <v>66</v>
      </c>
      <c r="V24" s="39">
        <f t="shared" si="16"/>
        <v>9</v>
      </c>
      <c r="W24" s="39">
        <f t="shared" si="16"/>
        <v>2</v>
      </c>
      <c r="X24" s="39">
        <f t="shared" si="16"/>
        <v>3</v>
      </c>
      <c r="Y24" s="39">
        <f t="shared" si="16"/>
        <v>9</v>
      </c>
      <c r="Z24" s="39">
        <f t="shared" si="16"/>
        <v>3</v>
      </c>
      <c r="AA24" s="39">
        <f t="shared" si="16"/>
        <v>2</v>
      </c>
      <c r="AB24" s="39">
        <f t="shared" si="16"/>
        <v>8</v>
      </c>
      <c r="AC24" s="39">
        <f t="shared" si="16"/>
        <v>348</v>
      </c>
      <c r="AD24" s="39">
        <f t="shared" si="16"/>
        <v>0</v>
      </c>
      <c r="AE24" s="40">
        <f t="shared" si="16"/>
        <v>176</v>
      </c>
      <c r="AF24" s="40">
        <f t="shared" si="16"/>
        <v>480</v>
      </c>
    </row>
    <row r="25" spans="2:32" ht="23.1" customHeight="1" x14ac:dyDescent="0.25">
      <c r="B25" s="23" t="s">
        <v>52</v>
      </c>
      <c r="C25" s="50">
        <v>3</v>
      </c>
      <c r="D25" s="50">
        <v>4</v>
      </c>
      <c r="E25" s="50">
        <v>8</v>
      </c>
      <c r="F25" s="50">
        <v>0</v>
      </c>
      <c r="G25" s="50">
        <v>1</v>
      </c>
      <c r="H25" s="50">
        <v>0</v>
      </c>
      <c r="I25" s="50">
        <v>1</v>
      </c>
      <c r="J25" s="50">
        <v>0</v>
      </c>
      <c r="K25" s="50">
        <v>0</v>
      </c>
      <c r="L25" s="50">
        <f>'[1]RD116 MCC'!$R$342+'[1]RD116 MCC'!$S$342+'[1]RD116 MCC'!$T$342+'[1]RD116 MCC'!$U$342</f>
        <v>2</v>
      </c>
      <c r="M25" s="50">
        <v>75</v>
      </c>
      <c r="N25" s="50">
        <v>0</v>
      </c>
      <c r="O25" s="15">
        <f t="shared" si="2"/>
        <v>19</v>
      </c>
      <c r="P25" s="15">
        <f t="shared" si="0"/>
        <v>94</v>
      </c>
      <c r="R25" s="37" t="s">
        <v>85</v>
      </c>
      <c r="S25" s="35">
        <f t="shared" ref="S25:AF25" si="17">SUM(S10:S12)</f>
        <v>111</v>
      </c>
      <c r="T25" s="16">
        <f t="shared" si="17"/>
        <v>15</v>
      </c>
      <c r="U25" s="16">
        <f t="shared" si="17"/>
        <v>36</v>
      </c>
      <c r="V25" s="16">
        <f t="shared" si="17"/>
        <v>6</v>
      </c>
      <c r="W25" s="16">
        <f t="shared" si="17"/>
        <v>2</v>
      </c>
      <c r="X25" s="16">
        <f t="shared" si="17"/>
        <v>1</v>
      </c>
      <c r="Y25" s="16">
        <f t="shared" si="17"/>
        <v>21</v>
      </c>
      <c r="Z25" s="16">
        <f t="shared" si="17"/>
        <v>4</v>
      </c>
      <c r="AA25" s="16">
        <f t="shared" si="17"/>
        <v>1</v>
      </c>
      <c r="AB25" s="16">
        <f t="shared" si="17"/>
        <v>24</v>
      </c>
      <c r="AC25" s="16">
        <f t="shared" si="17"/>
        <v>794</v>
      </c>
      <c r="AD25" s="16">
        <f t="shared" si="17"/>
        <v>0</v>
      </c>
      <c r="AE25" s="32">
        <f t="shared" si="17"/>
        <v>221</v>
      </c>
      <c r="AF25" s="32">
        <f t="shared" si="17"/>
        <v>1015</v>
      </c>
    </row>
    <row r="26" spans="2:32" ht="23.1" customHeight="1" x14ac:dyDescent="0.25">
      <c r="B26" s="23" t="s">
        <v>53</v>
      </c>
      <c r="C26" s="50">
        <v>7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f>'[1]RD116 MCC'!$R$342+'[1]RD116 MCC'!$S$342+'[1]RD116 MCC'!$T$342+'[1]RD116 MCC'!$U$342</f>
        <v>2</v>
      </c>
      <c r="M26" s="50">
        <v>61</v>
      </c>
      <c r="N26" s="50">
        <v>0</v>
      </c>
      <c r="O26" s="15">
        <f t="shared" si="2"/>
        <v>12</v>
      </c>
      <c r="P26" s="15">
        <f t="shared" si="0"/>
        <v>73</v>
      </c>
      <c r="R26" s="28" t="s">
        <v>86</v>
      </c>
      <c r="S26" s="16">
        <f t="shared" ref="S26:AF26" si="18">SUM(S13:S18)</f>
        <v>170</v>
      </c>
      <c r="T26" s="16">
        <f t="shared" si="18"/>
        <v>47</v>
      </c>
      <c r="U26" s="16">
        <f t="shared" si="18"/>
        <v>103</v>
      </c>
      <c r="V26" s="16">
        <f t="shared" si="18"/>
        <v>11</v>
      </c>
      <c r="W26" s="16">
        <f t="shared" si="18"/>
        <v>12</v>
      </c>
      <c r="X26" s="16">
        <f t="shared" si="18"/>
        <v>10</v>
      </c>
      <c r="Y26" s="16">
        <f t="shared" si="18"/>
        <v>45</v>
      </c>
      <c r="Z26" s="16">
        <f t="shared" si="18"/>
        <v>13</v>
      </c>
      <c r="AA26" s="16">
        <f t="shared" si="18"/>
        <v>2</v>
      </c>
      <c r="AB26" s="16">
        <f t="shared" si="18"/>
        <v>48</v>
      </c>
      <c r="AC26" s="16">
        <f t="shared" si="18"/>
        <v>1147</v>
      </c>
      <c r="AD26" s="16">
        <f t="shared" si="18"/>
        <v>0</v>
      </c>
      <c r="AE26" s="32">
        <f t="shared" si="18"/>
        <v>461</v>
      </c>
      <c r="AF26" s="32">
        <f t="shared" si="18"/>
        <v>1608</v>
      </c>
    </row>
    <row r="27" spans="2:32" ht="23.1" customHeight="1" x14ac:dyDescent="0.25">
      <c r="B27" s="23" t="s">
        <v>54</v>
      </c>
      <c r="C27" s="50">
        <v>8</v>
      </c>
      <c r="D27" s="50">
        <v>2</v>
      </c>
      <c r="E27" s="50">
        <v>4</v>
      </c>
      <c r="F27" s="50">
        <v>0</v>
      </c>
      <c r="G27" s="50">
        <v>0</v>
      </c>
      <c r="H27" s="50">
        <v>1</v>
      </c>
      <c r="I27" s="50">
        <v>3</v>
      </c>
      <c r="J27" s="50">
        <v>0</v>
      </c>
      <c r="K27" s="50">
        <v>0</v>
      </c>
      <c r="L27" s="50">
        <f>'[1]RD116 MCC'!$R$342+'[1]RD116 MCC'!$S$342+'[1]RD116 MCC'!$T$342+'[1]RD116 MCC'!$U$342</f>
        <v>2</v>
      </c>
      <c r="M27" s="50">
        <v>42</v>
      </c>
      <c r="N27" s="50">
        <v>0</v>
      </c>
      <c r="O27" s="15">
        <f t="shared" si="2"/>
        <v>20</v>
      </c>
      <c r="P27" s="15">
        <f t="shared" si="0"/>
        <v>62</v>
      </c>
      <c r="R27" s="29" t="s">
        <v>87</v>
      </c>
      <c r="S27" s="16">
        <f t="shared" ref="S27:AF27" si="19">SUM(S19:S21)</f>
        <v>130</v>
      </c>
      <c r="T27" s="16">
        <f t="shared" si="19"/>
        <v>61</v>
      </c>
      <c r="U27" s="16">
        <f t="shared" si="19"/>
        <v>127</v>
      </c>
      <c r="V27" s="16">
        <f t="shared" si="19"/>
        <v>18</v>
      </c>
      <c r="W27" s="16">
        <f t="shared" si="19"/>
        <v>3</v>
      </c>
      <c r="X27" s="16">
        <f t="shared" si="19"/>
        <v>6</v>
      </c>
      <c r="Y27" s="16">
        <f t="shared" si="19"/>
        <v>24</v>
      </c>
      <c r="Z27" s="16">
        <f t="shared" si="19"/>
        <v>8</v>
      </c>
      <c r="AA27" s="16">
        <f t="shared" si="19"/>
        <v>4</v>
      </c>
      <c r="AB27" s="16">
        <f t="shared" si="19"/>
        <v>24</v>
      </c>
      <c r="AC27" s="16">
        <f t="shared" si="19"/>
        <v>886</v>
      </c>
      <c r="AD27" s="16">
        <f t="shared" si="19"/>
        <v>0</v>
      </c>
      <c r="AE27" s="32">
        <f t="shared" si="19"/>
        <v>405</v>
      </c>
      <c r="AF27" s="32">
        <f t="shared" si="19"/>
        <v>1291</v>
      </c>
    </row>
    <row r="28" spans="2:32" ht="23.1" customHeight="1" x14ac:dyDescent="0.25">
      <c r="B28" s="23" t="s">
        <v>55</v>
      </c>
      <c r="C28" s="50">
        <v>5</v>
      </c>
      <c r="D28" s="50">
        <v>2</v>
      </c>
      <c r="E28" s="50">
        <v>5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f>'[1]RD116 MCC'!$R$342+'[1]RD116 MCC'!$S$342+'[1]RD116 MCC'!$T$342+'[1]RD116 MCC'!$U$342</f>
        <v>2</v>
      </c>
      <c r="M28" s="50">
        <v>53</v>
      </c>
      <c r="N28" s="50">
        <v>0</v>
      </c>
      <c r="O28" s="15">
        <f t="shared" si="2"/>
        <v>15</v>
      </c>
      <c r="P28" s="15">
        <f t="shared" si="0"/>
        <v>68</v>
      </c>
      <c r="R28" s="5" t="s">
        <v>17</v>
      </c>
      <c r="S28" s="16">
        <f t="shared" ref="S28:AF28" si="20">SUM(S10:S21)</f>
        <v>411</v>
      </c>
      <c r="T28" s="16">
        <f t="shared" si="20"/>
        <v>123</v>
      </c>
      <c r="U28" s="16">
        <f t="shared" si="20"/>
        <v>266</v>
      </c>
      <c r="V28" s="16">
        <f t="shared" si="20"/>
        <v>35</v>
      </c>
      <c r="W28" s="16">
        <f t="shared" si="20"/>
        <v>17</v>
      </c>
      <c r="X28" s="16">
        <f t="shared" si="20"/>
        <v>17</v>
      </c>
      <c r="Y28" s="16">
        <f t="shared" si="20"/>
        <v>90</v>
      </c>
      <c r="Z28" s="16">
        <f t="shared" si="20"/>
        <v>25</v>
      </c>
      <c r="AA28" s="16">
        <f t="shared" si="20"/>
        <v>7</v>
      </c>
      <c r="AB28" s="16">
        <f t="shared" si="20"/>
        <v>96</v>
      </c>
      <c r="AC28" s="16">
        <f t="shared" si="20"/>
        <v>2827</v>
      </c>
      <c r="AD28" s="16">
        <f t="shared" si="20"/>
        <v>0</v>
      </c>
      <c r="AE28" s="32">
        <f t="shared" si="20"/>
        <v>1087</v>
      </c>
      <c r="AF28" s="32">
        <f t="shared" si="20"/>
        <v>3914</v>
      </c>
    </row>
    <row r="29" spans="2:32" ht="23.1" customHeight="1" x14ac:dyDescent="0.25">
      <c r="B29" s="23" t="s">
        <v>56</v>
      </c>
      <c r="C29" s="50">
        <v>5</v>
      </c>
      <c r="D29" s="50">
        <v>2</v>
      </c>
      <c r="E29" s="50">
        <v>4</v>
      </c>
      <c r="F29" s="50">
        <v>0</v>
      </c>
      <c r="G29" s="50">
        <v>1</v>
      </c>
      <c r="H29" s="50">
        <v>0</v>
      </c>
      <c r="I29" s="50">
        <v>3</v>
      </c>
      <c r="J29" s="50">
        <v>1</v>
      </c>
      <c r="K29" s="50">
        <v>0</v>
      </c>
      <c r="L29" s="50">
        <f>'[1]RD116 MCC'!$R$342+'[1]RD116 MCC'!$S$342+'[1]RD116 MCC'!$T$342+'[1]RD116 MCC'!$U$342</f>
        <v>2</v>
      </c>
      <c r="M29" s="50">
        <v>55</v>
      </c>
      <c r="N29" s="50">
        <v>0</v>
      </c>
      <c r="O29" s="15">
        <f t="shared" si="2"/>
        <v>18</v>
      </c>
      <c r="P29" s="15">
        <f t="shared" si="0"/>
        <v>73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2</v>
      </c>
      <c r="E30" s="50">
        <v>4</v>
      </c>
      <c r="F30" s="50">
        <v>0</v>
      </c>
      <c r="G30" s="50">
        <v>1</v>
      </c>
      <c r="H30" s="50">
        <v>1</v>
      </c>
      <c r="I30" s="50">
        <v>2</v>
      </c>
      <c r="J30" s="50">
        <v>1</v>
      </c>
      <c r="K30" s="50">
        <v>0</v>
      </c>
      <c r="L30" s="50">
        <f>'[1]RD116 MCC'!$R$342+'[1]RD116 MCC'!$S$342+'[1]RD116 MCC'!$T$342+'[1]RD116 MCC'!$U$342</f>
        <v>2</v>
      </c>
      <c r="M30" s="50">
        <v>54</v>
      </c>
      <c r="N30" s="50">
        <v>0</v>
      </c>
      <c r="O30" s="15">
        <f t="shared" si="2"/>
        <v>21</v>
      </c>
      <c r="P30" s="15">
        <f t="shared" si="0"/>
        <v>75</v>
      </c>
    </row>
    <row r="31" spans="2:32" ht="23.1" customHeight="1" x14ac:dyDescent="0.25">
      <c r="B31" s="24" t="s">
        <v>58</v>
      </c>
      <c r="C31" s="50">
        <v>8</v>
      </c>
      <c r="D31" s="50">
        <v>1</v>
      </c>
      <c r="E31" s="50">
        <v>2</v>
      </c>
      <c r="F31" s="50">
        <v>0</v>
      </c>
      <c r="G31" s="50">
        <v>1</v>
      </c>
      <c r="H31" s="50">
        <v>1</v>
      </c>
      <c r="I31" s="50">
        <v>1</v>
      </c>
      <c r="J31" s="50">
        <v>2</v>
      </c>
      <c r="K31" s="50">
        <v>0</v>
      </c>
      <c r="L31" s="50">
        <f>'[1]RD116 MCC'!$R$342+'[1]RD116 MCC'!$S$342+'[1]RD116 MCC'!$T$342+'[1]RD116 MCC'!$U$342</f>
        <v>2</v>
      </c>
      <c r="M31" s="50">
        <v>36</v>
      </c>
      <c r="N31" s="50">
        <v>0</v>
      </c>
      <c r="O31" s="15">
        <f t="shared" si="2"/>
        <v>18</v>
      </c>
      <c r="P31" s="15">
        <f t="shared" si="0"/>
        <v>54</v>
      </c>
    </row>
    <row r="32" spans="2:32" ht="23.1" customHeight="1" x14ac:dyDescent="0.25">
      <c r="B32" s="24" t="s">
        <v>59</v>
      </c>
      <c r="C32" s="50">
        <v>10</v>
      </c>
      <c r="D32" s="50">
        <v>2</v>
      </c>
      <c r="E32" s="50">
        <v>5</v>
      </c>
      <c r="F32" s="50">
        <v>3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f>'[1]RD116 MCC'!$R$342+'[1]RD116 MCC'!$S$342+'[1]RD116 MCC'!$T$342+'[1]RD116 MCC'!$U$342</f>
        <v>2</v>
      </c>
      <c r="M32" s="50">
        <v>30</v>
      </c>
      <c r="N32" s="50">
        <v>0</v>
      </c>
      <c r="O32" s="15">
        <f t="shared" si="2"/>
        <v>23</v>
      </c>
      <c r="P32" s="15">
        <f t="shared" si="0"/>
        <v>53</v>
      </c>
    </row>
    <row r="33" spans="2:20" ht="23.1" customHeight="1" x14ac:dyDescent="0.25">
      <c r="B33" s="23" t="s">
        <v>60</v>
      </c>
      <c r="C33" s="50">
        <v>5</v>
      </c>
      <c r="D33" s="50">
        <v>1</v>
      </c>
      <c r="E33" s="50">
        <v>2</v>
      </c>
      <c r="F33" s="50">
        <v>1</v>
      </c>
      <c r="G33" s="50">
        <v>0</v>
      </c>
      <c r="H33" s="50">
        <v>0</v>
      </c>
      <c r="I33" s="50">
        <v>3</v>
      </c>
      <c r="J33" s="50">
        <v>2</v>
      </c>
      <c r="K33" s="50">
        <v>0</v>
      </c>
      <c r="L33" s="50">
        <f>'[1]RD116 MCC'!$R$342+'[1]RD116 MCC'!$S$342+'[1]RD116 MCC'!$T$342+'[1]RD116 MCC'!$U$342</f>
        <v>2</v>
      </c>
      <c r="M33" s="50">
        <v>35</v>
      </c>
      <c r="N33" s="50">
        <v>0</v>
      </c>
      <c r="O33" s="15">
        <f t="shared" si="2"/>
        <v>16</v>
      </c>
      <c r="P33" s="15">
        <f t="shared" si="0"/>
        <v>51</v>
      </c>
    </row>
    <row r="34" spans="2:20" ht="23.1" customHeight="1" x14ac:dyDescent="0.25">
      <c r="B34" s="24" t="s">
        <v>61</v>
      </c>
      <c r="C34" s="50">
        <v>6</v>
      </c>
      <c r="D34" s="50">
        <v>3</v>
      </c>
      <c r="E34" s="50">
        <v>6</v>
      </c>
      <c r="F34" s="50">
        <v>0</v>
      </c>
      <c r="G34" s="50">
        <v>1</v>
      </c>
      <c r="H34" s="50">
        <v>0</v>
      </c>
      <c r="I34" s="50">
        <v>3</v>
      </c>
      <c r="J34" s="50">
        <v>1</v>
      </c>
      <c r="K34" s="50">
        <v>0</v>
      </c>
      <c r="L34" s="50">
        <f>'[1]RD116 MCC'!$R$342+'[1]RD116 MCC'!$S$342+'[1]RD116 MCC'!$T$342+'[1]RD116 MCC'!$U$342</f>
        <v>2</v>
      </c>
      <c r="M34" s="50">
        <v>60</v>
      </c>
      <c r="N34" s="50">
        <v>0</v>
      </c>
      <c r="O34" s="15">
        <f t="shared" si="2"/>
        <v>22</v>
      </c>
      <c r="P34" s="15">
        <f t="shared" si="0"/>
        <v>82</v>
      </c>
    </row>
    <row r="35" spans="2:20" ht="23.1" customHeight="1" x14ac:dyDescent="0.25">
      <c r="B35" s="24" t="s">
        <v>62</v>
      </c>
      <c r="C35" s="50">
        <v>5</v>
      </c>
      <c r="D35" s="50">
        <v>3</v>
      </c>
      <c r="E35" s="50">
        <v>6</v>
      </c>
      <c r="F35" s="50">
        <v>0</v>
      </c>
      <c r="G35" s="50">
        <v>3</v>
      </c>
      <c r="H35" s="50">
        <v>0</v>
      </c>
      <c r="I35" s="50">
        <v>0</v>
      </c>
      <c r="J35" s="50">
        <v>0</v>
      </c>
      <c r="K35" s="50">
        <v>0</v>
      </c>
      <c r="L35" s="50">
        <f>'[1]RD116 MCC'!$R$342+'[1]RD116 MCC'!$S$342+'[1]RD116 MCC'!$T$342+'[1]RD116 MCC'!$U$342</f>
        <v>2</v>
      </c>
      <c r="M35" s="50">
        <v>49</v>
      </c>
      <c r="N35" s="50">
        <v>0</v>
      </c>
      <c r="O35" s="15">
        <f t="shared" si="2"/>
        <v>19</v>
      </c>
      <c r="P35" s="15">
        <f t="shared" si="0"/>
        <v>68</v>
      </c>
    </row>
    <row r="36" spans="2:20" ht="23.1" customHeight="1" x14ac:dyDescent="0.25">
      <c r="B36" s="24" t="s">
        <v>63</v>
      </c>
      <c r="C36" s="50">
        <v>4</v>
      </c>
      <c r="D36" s="50">
        <v>2</v>
      </c>
      <c r="E36" s="50">
        <v>4</v>
      </c>
      <c r="F36" s="50">
        <v>3</v>
      </c>
      <c r="G36" s="50">
        <v>1</v>
      </c>
      <c r="H36" s="50">
        <v>3</v>
      </c>
      <c r="I36" s="50">
        <v>1</v>
      </c>
      <c r="J36" s="50">
        <v>0</v>
      </c>
      <c r="K36" s="50">
        <v>0</v>
      </c>
      <c r="L36" s="50">
        <f>'[1]RD116 MCC'!$R$342+'[1]RD116 MCC'!$S$342+'[1]RD116 MCC'!$T$342+'[1]RD116 MCC'!$U$342</f>
        <v>2</v>
      </c>
      <c r="M36" s="50">
        <v>35</v>
      </c>
      <c r="N36" s="50">
        <v>0</v>
      </c>
      <c r="O36" s="15">
        <f t="shared" si="2"/>
        <v>20</v>
      </c>
      <c r="P36" s="15">
        <f t="shared" si="0"/>
        <v>55</v>
      </c>
    </row>
    <row r="37" spans="2:20" ht="23.1" customHeight="1" x14ac:dyDescent="0.25">
      <c r="B37" s="23" t="s">
        <v>64</v>
      </c>
      <c r="C37" s="50">
        <v>6</v>
      </c>
      <c r="D37" s="50">
        <v>3</v>
      </c>
      <c r="E37" s="50">
        <v>6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f>'[1]RD116 MCC'!$R$342+'[1]RD116 MCC'!$S$342+'[1]RD116 MCC'!$T$342+'[1]RD116 MCC'!$U$342</f>
        <v>2</v>
      </c>
      <c r="M37" s="50">
        <v>32</v>
      </c>
      <c r="N37" s="50">
        <v>0</v>
      </c>
      <c r="O37" s="15">
        <f t="shared" si="2"/>
        <v>21</v>
      </c>
      <c r="P37" s="15">
        <f t="shared" si="0"/>
        <v>53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f>'[1]RD116 MCC'!$R$342+'[1]RD116 MCC'!$S$342+'[1]RD116 MCC'!$T$342+'[1]RD116 MCC'!$U$342</f>
        <v>2</v>
      </c>
      <c r="M38" s="50">
        <v>50</v>
      </c>
      <c r="N38" s="50">
        <v>0</v>
      </c>
      <c r="O38" s="15">
        <f t="shared" si="2"/>
        <v>13</v>
      </c>
      <c r="P38" s="15">
        <f t="shared" si="0"/>
        <v>63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f>'[1]RD116 MCC'!$R$342+'[1]RD116 MCC'!$S$342+'[1]RD116 MCC'!$T$342+'[1]RD116 MCC'!$U$342</f>
        <v>2</v>
      </c>
      <c r="M39" s="50">
        <v>45</v>
      </c>
      <c r="N39" s="50">
        <v>0</v>
      </c>
      <c r="O39" s="15">
        <f t="shared" si="2"/>
        <v>4</v>
      </c>
      <c r="P39" s="15">
        <f t="shared" si="0"/>
        <v>49</v>
      </c>
    </row>
    <row r="40" spans="2:20" ht="23.1" customHeight="1" x14ac:dyDescent="0.25">
      <c r="B40" s="24" t="s">
        <v>67</v>
      </c>
      <c r="C40" s="50">
        <v>11</v>
      </c>
      <c r="D40" s="50">
        <v>3</v>
      </c>
      <c r="E40" s="50">
        <v>7</v>
      </c>
      <c r="F40" s="50">
        <v>0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f>'[1]RD116 MCC'!$R$342+'[1]RD116 MCC'!$S$342+'[1]RD116 MCC'!$T$342+'[1]RD116 MCC'!$U$342</f>
        <v>2</v>
      </c>
      <c r="M40" s="50">
        <v>33</v>
      </c>
      <c r="N40" s="50">
        <v>0</v>
      </c>
      <c r="O40" s="15">
        <f t="shared" si="2"/>
        <v>25</v>
      </c>
      <c r="P40" s="15">
        <f t="shared" si="0"/>
        <v>58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3</v>
      </c>
      <c r="F41" s="50">
        <v>0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f>'[1]RD116 MCC'!$R$342+'[1]RD116 MCC'!$S$342+'[1]RD116 MCC'!$T$342+'[1]RD116 MCC'!$U$342</f>
        <v>2</v>
      </c>
      <c r="M41" s="50">
        <v>35</v>
      </c>
      <c r="N41" s="50">
        <v>0</v>
      </c>
      <c r="O41" s="15">
        <f t="shared" si="2"/>
        <v>17</v>
      </c>
      <c r="P41" s="15">
        <f t="shared" si="0"/>
        <v>52</v>
      </c>
    </row>
    <row r="42" spans="2:20" ht="23.1" customHeight="1" x14ac:dyDescent="0.25">
      <c r="B42" s="24" t="s">
        <v>69</v>
      </c>
      <c r="C42" s="50">
        <v>5</v>
      </c>
      <c r="D42" s="50">
        <v>2</v>
      </c>
      <c r="E42" s="50">
        <v>5</v>
      </c>
      <c r="F42" s="50">
        <v>0</v>
      </c>
      <c r="G42" s="50">
        <v>0</v>
      </c>
      <c r="H42" s="50">
        <v>1</v>
      </c>
      <c r="I42" s="50">
        <v>2</v>
      </c>
      <c r="J42" s="50">
        <v>0</v>
      </c>
      <c r="K42" s="50">
        <v>1</v>
      </c>
      <c r="L42" s="50">
        <f>'[1]RD116 MCC'!$R$342+'[1]RD116 MCC'!$S$342+'[1]RD116 MCC'!$T$342+'[1]RD116 MCC'!$U$342</f>
        <v>2</v>
      </c>
      <c r="M42" s="50">
        <v>47</v>
      </c>
      <c r="N42" s="50">
        <v>0</v>
      </c>
      <c r="O42" s="15">
        <f t="shared" si="2"/>
        <v>18</v>
      </c>
      <c r="P42" s="15">
        <f t="shared" si="0"/>
        <v>65</v>
      </c>
    </row>
    <row r="43" spans="2:20" ht="23.1" customHeight="1" x14ac:dyDescent="0.25">
      <c r="B43" s="23" t="s">
        <v>70</v>
      </c>
      <c r="C43" s="50">
        <v>5</v>
      </c>
      <c r="D43" s="50">
        <v>2</v>
      </c>
      <c r="E43" s="50">
        <v>4</v>
      </c>
      <c r="F43" s="50">
        <v>1</v>
      </c>
      <c r="G43" s="50">
        <v>0</v>
      </c>
      <c r="H43" s="50">
        <v>1</v>
      </c>
      <c r="I43" s="50">
        <v>1</v>
      </c>
      <c r="J43" s="50">
        <v>1</v>
      </c>
      <c r="K43" s="50">
        <v>0</v>
      </c>
      <c r="L43" s="50">
        <f>'[1]RD116 MCC'!$R$342+'[1]RD116 MCC'!$S$342+'[1]RD116 MCC'!$T$342+'[1]RD116 MCC'!$U$342</f>
        <v>2</v>
      </c>
      <c r="M43" s="50">
        <v>53</v>
      </c>
      <c r="N43" s="50">
        <v>0</v>
      </c>
      <c r="O43" s="15">
        <f t="shared" si="2"/>
        <v>17</v>
      </c>
      <c r="P43" s="15">
        <f t="shared" si="0"/>
        <v>70</v>
      </c>
    </row>
    <row r="44" spans="2:20" ht="23.1" customHeight="1" x14ac:dyDescent="0.25">
      <c r="B44" s="25" t="s">
        <v>71</v>
      </c>
      <c r="C44" s="50">
        <v>10</v>
      </c>
      <c r="D44" s="50">
        <v>2</v>
      </c>
      <c r="E44" s="50">
        <v>5</v>
      </c>
      <c r="F44" s="50">
        <v>0</v>
      </c>
      <c r="G44" s="50">
        <v>0</v>
      </c>
      <c r="H44" s="50">
        <v>1</v>
      </c>
      <c r="I44" s="50">
        <v>4</v>
      </c>
      <c r="J44" s="50">
        <v>0</v>
      </c>
      <c r="K44" s="50">
        <v>0</v>
      </c>
      <c r="L44" s="50">
        <f>'[1]RD116 MCC'!$R$342+'[1]RD116 MCC'!$S$342+'[1]RD116 MCC'!$T$342+'[1]RD116 MCC'!$U$342</f>
        <v>2</v>
      </c>
      <c r="M44" s="50">
        <v>52</v>
      </c>
      <c r="N44" s="50">
        <v>0</v>
      </c>
      <c r="O44" s="15">
        <f t="shared" si="2"/>
        <v>24</v>
      </c>
      <c r="P44" s="15">
        <f t="shared" si="0"/>
        <v>76</v>
      </c>
    </row>
    <row r="45" spans="2:20" ht="23.1" customHeight="1" x14ac:dyDescent="0.25">
      <c r="B45" s="23" t="s">
        <v>72</v>
      </c>
      <c r="C45" s="50">
        <v>16</v>
      </c>
      <c r="D45" s="50">
        <v>3</v>
      </c>
      <c r="E45" s="50">
        <v>6</v>
      </c>
      <c r="F45" s="50">
        <v>0</v>
      </c>
      <c r="G45" s="50">
        <v>0</v>
      </c>
      <c r="H45" s="50">
        <v>0</v>
      </c>
      <c r="I45" s="50">
        <v>2</v>
      </c>
      <c r="J45" s="50">
        <v>1</v>
      </c>
      <c r="K45" s="50">
        <v>1</v>
      </c>
      <c r="L45" s="50">
        <f>'[1]RD116 MCC'!$R$342+'[1]RD116 MCC'!$S$342+'[1]RD116 MCC'!$T$342+'[1]RD116 MCC'!$U$342</f>
        <v>2</v>
      </c>
      <c r="M45" s="50">
        <v>56</v>
      </c>
      <c r="N45" s="50">
        <v>0</v>
      </c>
      <c r="O45" s="15">
        <f t="shared" si="2"/>
        <v>31</v>
      </c>
      <c r="P45" s="15">
        <f t="shared" si="0"/>
        <v>87</v>
      </c>
    </row>
    <row r="46" spans="2:20" ht="23.1" customHeight="1" x14ac:dyDescent="0.25">
      <c r="B46" s="24" t="s">
        <v>73</v>
      </c>
      <c r="C46" s="50">
        <v>12</v>
      </c>
      <c r="D46" s="50">
        <v>5</v>
      </c>
      <c r="E46" s="50">
        <v>10</v>
      </c>
      <c r="F46" s="50">
        <v>0</v>
      </c>
      <c r="G46" s="50">
        <v>1</v>
      </c>
      <c r="H46" s="50">
        <v>1</v>
      </c>
      <c r="I46" s="50">
        <v>3</v>
      </c>
      <c r="J46" s="50">
        <v>0</v>
      </c>
      <c r="K46" s="50">
        <v>0</v>
      </c>
      <c r="L46" s="50">
        <f>'[1]RD116 MCC'!$R$342+'[1]RD116 MCC'!$S$342+'[1]RD116 MCC'!$T$342+'[1]RD116 MCC'!$U$342</f>
        <v>2</v>
      </c>
      <c r="M46" s="50">
        <v>40</v>
      </c>
      <c r="N46" s="50">
        <v>0</v>
      </c>
      <c r="O46" s="15">
        <f t="shared" si="2"/>
        <v>34</v>
      </c>
      <c r="P46" s="15">
        <f t="shared" si="0"/>
        <v>74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4</v>
      </c>
      <c r="E47" s="50">
        <v>8</v>
      </c>
      <c r="F47" s="50">
        <v>1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f>'[1]RD116 MCC'!$R$342+'[1]RD116 MCC'!$S$342+'[1]RD116 MCC'!$T$342+'[1]RD116 MCC'!$U$342</f>
        <v>2</v>
      </c>
      <c r="M47" s="50">
        <v>7</v>
      </c>
      <c r="N47" s="50">
        <v>0</v>
      </c>
      <c r="O47" s="15">
        <f t="shared" si="2"/>
        <v>24</v>
      </c>
      <c r="P47" s="15">
        <f t="shared" si="0"/>
        <v>31</v>
      </c>
      <c r="R47" s="8"/>
      <c r="S47" s="8" t="s">
        <v>168</v>
      </c>
      <c r="T47"/>
    </row>
    <row r="48" spans="2:20" ht="23.1" customHeight="1" x14ac:dyDescent="0.25">
      <c r="B48" s="24" t="s">
        <v>75</v>
      </c>
      <c r="C48" s="50">
        <v>10</v>
      </c>
      <c r="D48" s="50">
        <v>2</v>
      </c>
      <c r="E48" s="50">
        <v>5</v>
      </c>
      <c r="F48" s="50">
        <v>0</v>
      </c>
      <c r="G48" s="50">
        <v>1</v>
      </c>
      <c r="H48" s="50">
        <v>0</v>
      </c>
      <c r="I48" s="50">
        <v>3</v>
      </c>
      <c r="J48" s="50">
        <v>1</v>
      </c>
      <c r="K48" s="50">
        <v>0</v>
      </c>
      <c r="L48" s="50">
        <f>'[1]RD116 MCC'!$R$342+'[1]RD116 MCC'!$S$342+'[1]RD116 MCC'!$T$342+'[1]RD116 MCC'!$U$342</f>
        <v>2</v>
      </c>
      <c r="M48" s="50">
        <v>95</v>
      </c>
      <c r="N48" s="50">
        <v>0</v>
      </c>
      <c r="O48" s="15">
        <f t="shared" si="2"/>
        <v>24</v>
      </c>
      <c r="P48" s="15">
        <f t="shared" si="0"/>
        <v>119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3</v>
      </c>
      <c r="E49" s="50">
        <v>6</v>
      </c>
      <c r="F49" s="50">
        <v>2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f>'[1]RD116 MCC'!$R$342+'[1]RD116 MCC'!$S$342+'[1]RD116 MCC'!$T$342+'[1]RD116 MCC'!$U$342</f>
        <v>2</v>
      </c>
      <c r="M49" s="50">
        <v>92</v>
      </c>
      <c r="N49" s="50">
        <v>0</v>
      </c>
      <c r="O49" s="15">
        <f t="shared" si="2"/>
        <v>21</v>
      </c>
      <c r="P49" s="15">
        <f t="shared" si="0"/>
        <v>113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2</v>
      </c>
      <c r="E50" s="50">
        <v>5</v>
      </c>
      <c r="F50" s="50">
        <v>0</v>
      </c>
      <c r="G50" s="50">
        <v>0</v>
      </c>
      <c r="H50" s="50">
        <v>1</v>
      </c>
      <c r="I50" s="50">
        <v>2</v>
      </c>
      <c r="J50" s="50">
        <v>1</v>
      </c>
      <c r="K50" s="50">
        <v>0</v>
      </c>
      <c r="L50" s="50">
        <f>'[1]RD116 MCC'!$R$342+'[1]RD116 MCC'!$S$342+'[1]RD116 MCC'!$T$342+'[1]RD116 MCC'!$U$342</f>
        <v>2</v>
      </c>
      <c r="M50" s="50">
        <v>89</v>
      </c>
      <c r="N50" s="50">
        <v>0</v>
      </c>
      <c r="O50" s="15">
        <f t="shared" si="2"/>
        <v>19</v>
      </c>
      <c r="P50" s="15">
        <f t="shared" si="0"/>
        <v>108</v>
      </c>
      <c r="R50" s="8"/>
      <c r="T50"/>
    </row>
    <row r="51" spans="2:20" ht="23.1" customHeight="1" x14ac:dyDescent="0.25">
      <c r="B51" s="24" t="s">
        <v>78</v>
      </c>
      <c r="C51" s="50">
        <v>17</v>
      </c>
      <c r="D51" s="50">
        <v>3</v>
      </c>
      <c r="E51" s="50">
        <v>7</v>
      </c>
      <c r="F51" s="50">
        <v>1</v>
      </c>
      <c r="G51" s="50">
        <v>0</v>
      </c>
      <c r="H51" s="50">
        <v>1</v>
      </c>
      <c r="I51" s="50">
        <v>4</v>
      </c>
      <c r="J51" s="50">
        <v>1</v>
      </c>
      <c r="K51" s="50">
        <v>1</v>
      </c>
      <c r="L51" s="50">
        <f>'[1]RD116 MCC'!$R$342+'[1]RD116 MCC'!$S$342+'[1]RD116 MCC'!$T$342+'[1]RD116 MCC'!$U$342</f>
        <v>2</v>
      </c>
      <c r="M51" s="50">
        <v>95</v>
      </c>
      <c r="N51" s="50">
        <v>0</v>
      </c>
      <c r="O51" s="15">
        <f t="shared" si="2"/>
        <v>37</v>
      </c>
      <c r="P51" s="15">
        <f t="shared" si="0"/>
        <v>132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4</v>
      </c>
      <c r="E52" s="50">
        <v>8</v>
      </c>
      <c r="F52" s="50">
        <v>3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f>'[1]RD116 MCC'!$R$342+'[1]RD116 MCC'!$S$342+'[1]RD116 MCC'!$T$342+'[1]RD116 MCC'!$U$342</f>
        <v>2</v>
      </c>
      <c r="M52" s="50">
        <v>99</v>
      </c>
      <c r="N52" s="50">
        <v>0</v>
      </c>
      <c r="O52" s="15">
        <f t="shared" si="2"/>
        <v>33</v>
      </c>
      <c r="P52" s="15">
        <f t="shared" si="0"/>
        <v>132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6</v>
      </c>
      <c r="E53" s="50">
        <v>12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f>'[1]RD116 MCC'!$R$342+'[1]RD116 MCC'!$S$342+'[1]RD116 MCC'!$T$342+'[1]RD116 MCC'!$U$342</f>
        <v>2</v>
      </c>
      <c r="M53" s="50">
        <v>65</v>
      </c>
      <c r="N53" s="50">
        <v>0</v>
      </c>
      <c r="O53" s="15">
        <f t="shared" si="2"/>
        <v>37</v>
      </c>
      <c r="P53" s="15">
        <f t="shared" si="0"/>
        <v>102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9</v>
      </c>
      <c r="E54" s="50">
        <v>19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f>'[1]RD116 MCC'!$R$342+'[1]RD116 MCC'!$S$342+'[1]RD116 MCC'!$T$342+'[1]RD116 MCC'!$U$342</f>
        <v>2</v>
      </c>
      <c r="M54" s="50">
        <v>77</v>
      </c>
      <c r="N54" s="50">
        <v>0</v>
      </c>
      <c r="O54" s="15">
        <f t="shared" si="2"/>
        <v>44</v>
      </c>
      <c r="P54" s="15">
        <f t="shared" si="0"/>
        <v>121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4</v>
      </c>
      <c r="E55" s="50">
        <v>9</v>
      </c>
      <c r="F55" s="50">
        <v>2</v>
      </c>
      <c r="G55" s="50">
        <v>0</v>
      </c>
      <c r="H55" s="50">
        <v>1</v>
      </c>
      <c r="I55" s="50">
        <v>5</v>
      </c>
      <c r="J55" s="50">
        <v>2</v>
      </c>
      <c r="K55" s="50">
        <v>2</v>
      </c>
      <c r="L55" s="50">
        <f>'[1]RD116 MCC'!$R$342+'[1]RD116 MCC'!$S$342+'[1]RD116 MCC'!$T$342+'[1]RD116 MCC'!$U$342</f>
        <v>2</v>
      </c>
      <c r="M55" s="50">
        <v>68</v>
      </c>
      <c r="N55" s="50">
        <v>0</v>
      </c>
      <c r="O55" s="15">
        <f t="shared" si="2"/>
        <v>40</v>
      </c>
      <c r="P55" s="15">
        <f t="shared" si="0"/>
        <v>108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10</v>
      </c>
      <c r="E56" s="50">
        <v>20</v>
      </c>
      <c r="F56" s="50">
        <v>4</v>
      </c>
      <c r="G56" s="50">
        <v>1</v>
      </c>
      <c r="H56" s="50">
        <v>1</v>
      </c>
      <c r="I56" s="50">
        <v>3</v>
      </c>
      <c r="J56" s="50">
        <v>0</v>
      </c>
      <c r="K56" s="50">
        <v>0</v>
      </c>
      <c r="L56" s="50">
        <f>'[1]RD116 MCC'!$R$342+'[1]RD116 MCC'!$S$342+'[1]RD116 MCC'!$T$342+'[1]RD116 MCC'!$U$342</f>
        <v>2</v>
      </c>
      <c r="M56" s="50">
        <v>80</v>
      </c>
      <c r="N56" s="50">
        <v>0</v>
      </c>
      <c r="O56" s="15">
        <f t="shared" si="2"/>
        <v>52</v>
      </c>
      <c r="P56" s="15">
        <f t="shared" si="0"/>
        <v>132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9</v>
      </c>
      <c r="E57" s="50">
        <v>18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f>'[1]RD116 MCC'!$R$342+'[1]RD116 MCC'!$S$342+'[1]RD116 MCC'!$T$342+'[1]RD116 MCC'!$U$342</f>
        <v>2</v>
      </c>
      <c r="M57" s="50">
        <v>79</v>
      </c>
      <c r="N57" s="50">
        <v>0</v>
      </c>
      <c r="O57" s="15">
        <f t="shared" si="2"/>
        <v>40</v>
      </c>
      <c r="P57" s="15">
        <f t="shared" si="0"/>
        <v>119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411</v>
      </c>
      <c r="D58" s="16">
        <f t="shared" si="21"/>
        <v>123</v>
      </c>
      <c r="E58" s="16">
        <f t="shared" si="21"/>
        <v>266</v>
      </c>
      <c r="F58" s="16">
        <f t="shared" si="21"/>
        <v>35</v>
      </c>
      <c r="G58" s="16">
        <f t="shared" si="21"/>
        <v>17</v>
      </c>
      <c r="H58" s="16">
        <f t="shared" si="21"/>
        <v>17</v>
      </c>
      <c r="I58" s="16">
        <f t="shared" si="21"/>
        <v>90</v>
      </c>
      <c r="J58" s="16">
        <f t="shared" si="21"/>
        <v>25</v>
      </c>
      <c r="K58" s="16">
        <f t="shared" si="21"/>
        <v>7</v>
      </c>
      <c r="L58" s="16">
        <f t="shared" si="21"/>
        <v>96</v>
      </c>
      <c r="M58" s="16">
        <f t="shared" si="21"/>
        <v>2827</v>
      </c>
      <c r="N58" s="16">
        <f t="shared" si="21"/>
        <v>0</v>
      </c>
      <c r="O58" s="16">
        <f t="shared" si="21"/>
        <v>1087</v>
      </c>
      <c r="P58" s="16">
        <f t="shared" si="21"/>
        <v>3914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0.10500766479305058</v>
      </c>
      <c r="D59" s="43">
        <f t="shared" si="22"/>
        <v>3.1425651507409301E-2</v>
      </c>
      <c r="E59" s="43">
        <f t="shared" si="22"/>
        <v>6.7961165048543687E-2</v>
      </c>
      <c r="F59" s="43">
        <f t="shared" si="22"/>
        <v>8.9422585590189056E-3</v>
      </c>
      <c r="G59" s="43">
        <f t="shared" si="22"/>
        <v>4.3433827286663259E-3</v>
      </c>
      <c r="H59" s="43">
        <f t="shared" si="22"/>
        <v>4.3433827286663259E-3</v>
      </c>
      <c r="I59" s="43">
        <f t="shared" si="22"/>
        <v>2.2994379151762903E-2</v>
      </c>
      <c r="J59" s="43">
        <f t="shared" si="22"/>
        <v>6.3873275421563614E-3</v>
      </c>
      <c r="K59" s="43">
        <f t="shared" si="22"/>
        <v>1.7884517118037812E-3</v>
      </c>
      <c r="L59" s="43">
        <f t="shared" si="22"/>
        <v>2.452733776188043E-2</v>
      </c>
      <c r="M59" s="43">
        <f t="shared" si="22"/>
        <v>0.72227899846704136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0.37810487580496782</v>
      </c>
      <c r="D60" s="44">
        <f t="shared" ref="D60:N60" si="23">D58/$O$58</f>
        <v>0.11315547378104876</v>
      </c>
      <c r="E60" s="44">
        <f t="shared" si="23"/>
        <v>0.24471021159153633</v>
      </c>
      <c r="F60" s="44">
        <f t="shared" si="23"/>
        <v>3.219871205151794E-2</v>
      </c>
      <c r="G60" s="44">
        <f t="shared" si="23"/>
        <v>1.5639374425023E-2</v>
      </c>
      <c r="H60" s="44">
        <f t="shared" si="23"/>
        <v>1.5639374425023E-2</v>
      </c>
      <c r="I60" s="44">
        <f t="shared" si="23"/>
        <v>8.2796688132474705E-2</v>
      </c>
      <c r="J60" s="44">
        <f t="shared" si="23"/>
        <v>2.2999080036798528E-2</v>
      </c>
      <c r="K60" s="44">
        <f t="shared" si="23"/>
        <v>6.439742410303588E-3</v>
      </c>
      <c r="L60" s="44">
        <f t="shared" si="23"/>
        <v>8.8316467341306354E-2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2" width="11" customWidth="1"/>
    <col min="13" max="13" width="14.5703125" customWidth="1"/>
    <col min="14" max="14" width="18.85546875" customWidth="1"/>
    <col min="15" max="15" width="21.140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6" t="str">
        <f>'01.08 GULU-KARUMA'!G5:H5</f>
        <v>xxx</v>
      </c>
      <c r="H5" s="67"/>
      <c r="I5" s="14"/>
      <c r="J5" s="2" t="s">
        <v>5</v>
      </c>
      <c r="K5" s="66" t="str">
        <f>'01.08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GULU-KARUMA'!D6:E6</f>
        <v>GULU</v>
      </c>
      <c r="E6" s="67"/>
      <c r="F6" s="2" t="s">
        <v>2</v>
      </c>
      <c r="G6" s="66" t="str">
        <f>'01.08 GULU-KARUMA'!G6:H6</f>
        <v>KARUMA</v>
      </c>
      <c r="H6" s="67"/>
      <c r="J6" s="2" t="s">
        <v>21</v>
      </c>
      <c r="K6" s="66" t="str">
        <f>'01.08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2</v>
      </c>
      <c r="F10" s="50">
        <v>3</v>
      </c>
      <c r="G10" s="50">
        <v>2</v>
      </c>
      <c r="H10" s="50">
        <v>0</v>
      </c>
      <c r="I10" s="50">
        <v>2</v>
      </c>
      <c r="J10" s="50">
        <v>4</v>
      </c>
      <c r="K10" s="50">
        <v>0</v>
      </c>
      <c r="L10" s="50">
        <v>3</v>
      </c>
      <c r="M10" s="50">
        <v>52</v>
      </c>
      <c r="N10" s="50">
        <v>0</v>
      </c>
      <c r="O10" s="15">
        <f>SUM(C10:L10,N10)</f>
        <v>19</v>
      </c>
      <c r="P10" s="15">
        <f t="shared" ref="P10:P57" si="0">SUM(C10:N10)</f>
        <v>71</v>
      </c>
      <c r="R10" s="1" t="s">
        <v>6</v>
      </c>
      <c r="S10" s="17">
        <f t="shared" ref="S10:AF10" si="1">SUM(C10:C13)</f>
        <v>7</v>
      </c>
      <c r="T10" s="17">
        <f t="shared" si="1"/>
        <v>7</v>
      </c>
      <c r="U10" s="17">
        <f t="shared" si="1"/>
        <v>16</v>
      </c>
      <c r="V10" s="17">
        <f t="shared" si="1"/>
        <v>7</v>
      </c>
      <c r="W10" s="17">
        <f t="shared" si="1"/>
        <v>4</v>
      </c>
      <c r="X10" s="17">
        <f t="shared" si="1"/>
        <v>2</v>
      </c>
      <c r="Y10" s="17">
        <f t="shared" si="1"/>
        <v>3</v>
      </c>
      <c r="Z10" s="17">
        <f t="shared" si="1"/>
        <v>7</v>
      </c>
      <c r="AA10" s="17">
        <f t="shared" si="1"/>
        <v>1</v>
      </c>
      <c r="AB10" s="17">
        <f t="shared" si="1"/>
        <v>4</v>
      </c>
      <c r="AC10" s="17">
        <f t="shared" si="1"/>
        <v>201</v>
      </c>
      <c r="AD10" s="17">
        <f t="shared" si="1"/>
        <v>0</v>
      </c>
      <c r="AE10" s="31">
        <f t="shared" si="1"/>
        <v>58</v>
      </c>
      <c r="AF10" s="31">
        <f t="shared" si="1"/>
        <v>259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2</v>
      </c>
      <c r="F11" s="50">
        <v>1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28</v>
      </c>
      <c r="N11" s="50">
        <v>0</v>
      </c>
      <c r="O11" s="15">
        <f t="shared" ref="O11:O12" si="2">SUM(C11:L11,N11)</f>
        <v>7</v>
      </c>
      <c r="P11" s="15">
        <f t="shared" si="0"/>
        <v>35</v>
      </c>
      <c r="R11" s="1" t="s">
        <v>7</v>
      </c>
      <c r="S11" s="17">
        <f t="shared" ref="S11:AF11" si="3">SUM(C14:C17)</f>
        <v>11</v>
      </c>
      <c r="T11" s="17">
        <f t="shared" si="3"/>
        <v>8</v>
      </c>
      <c r="U11" s="17">
        <f t="shared" si="3"/>
        <v>18</v>
      </c>
      <c r="V11" s="17">
        <f t="shared" si="3"/>
        <v>10</v>
      </c>
      <c r="W11" s="17">
        <f t="shared" si="3"/>
        <v>1</v>
      </c>
      <c r="X11" s="17">
        <f t="shared" si="3"/>
        <v>3</v>
      </c>
      <c r="Y11" s="17">
        <f t="shared" si="3"/>
        <v>11</v>
      </c>
      <c r="Z11" s="17">
        <f t="shared" si="3"/>
        <v>5</v>
      </c>
      <c r="AA11" s="17">
        <f t="shared" si="3"/>
        <v>0</v>
      </c>
      <c r="AB11" s="17">
        <f t="shared" si="3"/>
        <v>2</v>
      </c>
      <c r="AC11" s="17">
        <f t="shared" si="3"/>
        <v>171</v>
      </c>
      <c r="AD11" s="17">
        <f t="shared" si="3"/>
        <v>0</v>
      </c>
      <c r="AE11" s="31">
        <f t="shared" si="3"/>
        <v>69</v>
      </c>
      <c r="AF11" s="31">
        <f t="shared" si="3"/>
        <v>240</v>
      </c>
    </row>
    <row r="12" spans="2:32" ht="23.1" customHeight="1" x14ac:dyDescent="0.25">
      <c r="B12" s="23" t="s">
        <v>39</v>
      </c>
      <c r="C12" s="50">
        <v>1</v>
      </c>
      <c r="D12" s="50">
        <v>3</v>
      </c>
      <c r="E12" s="50">
        <f>'[1]RD116 MCC'!I56</f>
        <v>7</v>
      </c>
      <c r="F12" s="50">
        <v>1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1</v>
      </c>
      <c r="M12" s="50">
        <v>36</v>
      </c>
      <c r="N12" s="50">
        <v>0</v>
      </c>
      <c r="O12" s="15">
        <f t="shared" si="2"/>
        <v>15</v>
      </c>
      <c r="P12" s="15">
        <f t="shared" si="0"/>
        <v>51</v>
      </c>
      <c r="R12" s="1" t="s">
        <v>8</v>
      </c>
      <c r="S12" s="17">
        <f t="shared" ref="S12:AF12" si="4">SUM(C18:C21)</f>
        <v>21</v>
      </c>
      <c r="T12" s="17">
        <f t="shared" si="4"/>
        <v>12</v>
      </c>
      <c r="U12" s="17">
        <f t="shared" si="4"/>
        <v>26</v>
      </c>
      <c r="V12" s="17">
        <f t="shared" si="4"/>
        <v>8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2</v>
      </c>
      <c r="AA12" s="17">
        <f t="shared" si="4"/>
        <v>0</v>
      </c>
      <c r="AB12" s="17">
        <f t="shared" si="4"/>
        <v>4</v>
      </c>
      <c r="AC12" s="17">
        <f t="shared" si="4"/>
        <v>225</v>
      </c>
      <c r="AD12" s="17">
        <f t="shared" si="4"/>
        <v>0</v>
      </c>
      <c r="AE12" s="31">
        <f t="shared" si="4"/>
        <v>81</v>
      </c>
      <c r="AF12" s="31">
        <f t="shared" si="4"/>
        <v>306</v>
      </c>
    </row>
    <row r="13" spans="2:32" ht="23.1" customHeight="1" x14ac:dyDescent="0.25">
      <c r="B13" s="23" t="s">
        <v>40</v>
      </c>
      <c r="C13" s="50">
        <v>3</v>
      </c>
      <c r="D13" s="50">
        <v>2</v>
      </c>
      <c r="E13" s="50">
        <f>'[1]RD116 MCC'!I57</f>
        <v>5</v>
      </c>
      <c r="F13" s="50">
        <v>2</v>
      </c>
      <c r="G13" s="50">
        <v>2</v>
      </c>
      <c r="H13" s="50">
        <v>1</v>
      </c>
      <c r="I13" s="50">
        <v>0</v>
      </c>
      <c r="J13" s="50">
        <v>1</v>
      </c>
      <c r="K13" s="50">
        <v>1</v>
      </c>
      <c r="L13" s="50">
        <v>0</v>
      </c>
      <c r="M13" s="50">
        <v>85</v>
      </c>
      <c r="N13" s="50">
        <v>0</v>
      </c>
      <c r="O13" s="15">
        <f>SUM(C13:L13,N13)</f>
        <v>17</v>
      </c>
      <c r="P13" s="15">
        <f t="shared" si="0"/>
        <v>102</v>
      </c>
      <c r="R13" s="1" t="s">
        <v>9</v>
      </c>
      <c r="S13" s="17">
        <f t="shared" ref="S13:AF13" si="5">SUM(C22:C25)</f>
        <v>26</v>
      </c>
      <c r="T13" s="17">
        <f t="shared" si="5"/>
        <v>9</v>
      </c>
      <c r="U13" s="17">
        <f t="shared" si="5"/>
        <v>21</v>
      </c>
      <c r="V13" s="17">
        <f t="shared" si="5"/>
        <v>7</v>
      </c>
      <c r="W13" s="17">
        <f t="shared" si="5"/>
        <v>2</v>
      </c>
      <c r="X13" s="17">
        <f t="shared" si="5"/>
        <v>2</v>
      </c>
      <c r="Y13" s="17">
        <f t="shared" si="5"/>
        <v>4</v>
      </c>
      <c r="Z13" s="17">
        <f t="shared" si="5"/>
        <v>9</v>
      </c>
      <c r="AA13" s="17">
        <f t="shared" si="5"/>
        <v>3</v>
      </c>
      <c r="AB13" s="17">
        <f t="shared" si="5"/>
        <v>9</v>
      </c>
      <c r="AC13" s="17">
        <f t="shared" si="5"/>
        <v>178</v>
      </c>
      <c r="AD13" s="17">
        <f t="shared" si="5"/>
        <v>0</v>
      </c>
      <c r="AE13" s="31">
        <f t="shared" si="5"/>
        <v>92</v>
      </c>
      <c r="AF13" s="31">
        <f t="shared" si="5"/>
        <v>270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f>'[1]RD116 MCC'!I58</f>
        <v>3</v>
      </c>
      <c r="F14" s="50">
        <v>0</v>
      </c>
      <c r="G14" s="50">
        <v>0</v>
      </c>
      <c r="H14" s="50">
        <v>1</v>
      </c>
      <c r="I14" s="50">
        <v>1</v>
      </c>
      <c r="J14" s="50">
        <v>0</v>
      </c>
      <c r="K14" s="50">
        <v>0</v>
      </c>
      <c r="L14" s="50">
        <v>0</v>
      </c>
      <c r="M14" s="50">
        <v>30</v>
      </c>
      <c r="N14" s="50">
        <v>0</v>
      </c>
      <c r="O14" s="15">
        <f t="shared" ref="O14:O57" si="6">SUM(C14:L14,N14)</f>
        <v>9</v>
      </c>
      <c r="P14" s="15">
        <f t="shared" si="0"/>
        <v>39</v>
      </c>
      <c r="R14" s="1" t="s">
        <v>10</v>
      </c>
      <c r="S14" s="17">
        <f t="shared" ref="S14:AF14" si="7">SUM(C26:C29)</f>
        <v>28</v>
      </c>
      <c r="T14" s="17">
        <f t="shared" si="7"/>
        <v>17</v>
      </c>
      <c r="U14" s="17">
        <f t="shared" si="7"/>
        <v>38</v>
      </c>
      <c r="V14" s="17">
        <f t="shared" si="7"/>
        <v>4</v>
      </c>
      <c r="W14" s="17">
        <f t="shared" si="7"/>
        <v>0</v>
      </c>
      <c r="X14" s="17">
        <f t="shared" si="7"/>
        <v>2</v>
      </c>
      <c r="Y14" s="17">
        <f t="shared" si="7"/>
        <v>8</v>
      </c>
      <c r="Z14" s="17">
        <f t="shared" si="7"/>
        <v>9</v>
      </c>
      <c r="AA14" s="17">
        <f t="shared" si="7"/>
        <v>1</v>
      </c>
      <c r="AB14" s="17">
        <f t="shared" si="7"/>
        <v>13</v>
      </c>
      <c r="AC14" s="17">
        <f t="shared" si="7"/>
        <v>189</v>
      </c>
      <c r="AD14" s="17">
        <f t="shared" si="7"/>
        <v>0</v>
      </c>
      <c r="AE14" s="31">
        <f t="shared" si="7"/>
        <v>120</v>
      </c>
      <c r="AF14" s="31">
        <f t="shared" si="7"/>
        <v>309</v>
      </c>
    </row>
    <row r="15" spans="2:32" ht="23.1" customHeight="1" x14ac:dyDescent="0.25">
      <c r="B15" s="23" t="s">
        <v>42</v>
      </c>
      <c r="C15" s="50">
        <v>3</v>
      </c>
      <c r="D15" s="50">
        <v>3</v>
      </c>
      <c r="E15" s="50">
        <f>'[1]RD116 MCC'!I59</f>
        <v>7</v>
      </c>
      <c r="F15" s="50">
        <v>4</v>
      </c>
      <c r="G15" s="50">
        <v>0</v>
      </c>
      <c r="H15" s="50">
        <v>1</v>
      </c>
      <c r="I15" s="50">
        <v>2</v>
      </c>
      <c r="J15" s="50">
        <v>2</v>
      </c>
      <c r="K15" s="50">
        <v>0</v>
      </c>
      <c r="L15" s="50">
        <v>0</v>
      </c>
      <c r="M15" s="50">
        <v>64</v>
      </c>
      <c r="N15" s="50">
        <v>0</v>
      </c>
      <c r="O15" s="15">
        <f t="shared" si="6"/>
        <v>22</v>
      </c>
      <c r="P15" s="15">
        <f t="shared" si="0"/>
        <v>86</v>
      </c>
      <c r="R15" s="1" t="s">
        <v>11</v>
      </c>
      <c r="S15" s="17">
        <f t="shared" ref="S15:AF15" si="8">SUM(C30:C33)</f>
        <v>30</v>
      </c>
      <c r="T15" s="17">
        <f t="shared" si="8"/>
        <v>13</v>
      </c>
      <c r="U15" s="17">
        <f t="shared" si="8"/>
        <v>27</v>
      </c>
      <c r="V15" s="17">
        <f t="shared" si="8"/>
        <v>5</v>
      </c>
      <c r="W15" s="17">
        <f t="shared" si="8"/>
        <v>0</v>
      </c>
      <c r="X15" s="17">
        <f t="shared" si="8"/>
        <v>2</v>
      </c>
      <c r="Y15" s="17">
        <f t="shared" si="8"/>
        <v>9</v>
      </c>
      <c r="Z15" s="17">
        <f t="shared" si="8"/>
        <v>5</v>
      </c>
      <c r="AA15" s="17">
        <f t="shared" si="8"/>
        <v>1</v>
      </c>
      <c r="AB15" s="17">
        <f t="shared" si="8"/>
        <v>18</v>
      </c>
      <c r="AC15" s="17">
        <f t="shared" si="8"/>
        <v>189</v>
      </c>
      <c r="AD15" s="17">
        <f t="shared" si="8"/>
        <v>0</v>
      </c>
      <c r="AE15" s="31">
        <f t="shared" si="8"/>
        <v>110</v>
      </c>
      <c r="AF15" s="31">
        <f t="shared" si="8"/>
        <v>299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f>'[1]RD116 MCC'!I60</f>
        <v>2</v>
      </c>
      <c r="F16" s="50">
        <v>2</v>
      </c>
      <c r="G16" s="50">
        <v>1</v>
      </c>
      <c r="H16" s="50">
        <v>0</v>
      </c>
      <c r="I16" s="50">
        <v>5</v>
      </c>
      <c r="J16" s="50">
        <v>1</v>
      </c>
      <c r="K16" s="50">
        <v>0</v>
      </c>
      <c r="L16" s="50">
        <v>1</v>
      </c>
      <c r="M16" s="50">
        <v>50</v>
      </c>
      <c r="N16" s="50">
        <v>0</v>
      </c>
      <c r="O16" s="15">
        <f t="shared" si="6"/>
        <v>14</v>
      </c>
      <c r="P16" s="15">
        <f t="shared" si="0"/>
        <v>64</v>
      </c>
      <c r="R16" s="1" t="s">
        <v>12</v>
      </c>
      <c r="S16" s="17">
        <f t="shared" ref="S16:AF16" si="9">SUM(C34:C37)</f>
        <v>7</v>
      </c>
      <c r="T16" s="17">
        <f t="shared" si="9"/>
        <v>5</v>
      </c>
      <c r="U16" s="17">
        <f t="shared" si="9"/>
        <v>14</v>
      </c>
      <c r="V16" s="17">
        <f t="shared" si="9"/>
        <v>5</v>
      </c>
      <c r="W16" s="17">
        <f t="shared" si="9"/>
        <v>0</v>
      </c>
      <c r="X16" s="17">
        <f t="shared" si="9"/>
        <v>2</v>
      </c>
      <c r="Y16" s="17">
        <f t="shared" si="9"/>
        <v>1</v>
      </c>
      <c r="Z16" s="17">
        <f t="shared" si="9"/>
        <v>11</v>
      </c>
      <c r="AA16" s="17">
        <f t="shared" si="9"/>
        <v>1</v>
      </c>
      <c r="AB16" s="17">
        <f t="shared" si="9"/>
        <v>11</v>
      </c>
      <c r="AC16" s="17">
        <f t="shared" si="9"/>
        <v>166</v>
      </c>
      <c r="AD16" s="17">
        <f t="shared" si="9"/>
        <v>0</v>
      </c>
      <c r="AE16" s="31">
        <f t="shared" si="9"/>
        <v>57</v>
      </c>
      <c r="AF16" s="31">
        <f t="shared" si="9"/>
        <v>223</v>
      </c>
    </row>
    <row r="17" spans="2:32" ht="23.1" customHeight="1" x14ac:dyDescent="0.25">
      <c r="B17" s="23" t="s">
        <v>44</v>
      </c>
      <c r="C17" s="50">
        <v>4</v>
      </c>
      <c r="D17" s="50">
        <v>3</v>
      </c>
      <c r="E17" s="50">
        <f>'[1]RD116 MCC'!I61</f>
        <v>6</v>
      </c>
      <c r="F17" s="50">
        <v>4</v>
      </c>
      <c r="G17" s="50">
        <v>0</v>
      </c>
      <c r="H17" s="50">
        <v>1</v>
      </c>
      <c r="I17" s="50">
        <v>3</v>
      </c>
      <c r="J17" s="50">
        <v>2</v>
      </c>
      <c r="K17" s="50">
        <v>0</v>
      </c>
      <c r="L17" s="50">
        <v>1</v>
      </c>
      <c r="M17" s="50">
        <v>27</v>
      </c>
      <c r="N17" s="50">
        <v>0</v>
      </c>
      <c r="O17" s="15">
        <f t="shared" si="6"/>
        <v>24</v>
      </c>
      <c r="P17" s="15">
        <f t="shared" si="0"/>
        <v>51</v>
      </c>
      <c r="R17" s="1" t="s">
        <v>13</v>
      </c>
      <c r="S17" s="17">
        <f t="shared" ref="S17:AF17" si="10">SUM(C38:C41)</f>
        <v>11</v>
      </c>
      <c r="T17" s="17">
        <f t="shared" si="10"/>
        <v>9</v>
      </c>
      <c r="U17" s="17">
        <f t="shared" si="10"/>
        <v>19</v>
      </c>
      <c r="V17" s="17">
        <f t="shared" si="10"/>
        <v>4</v>
      </c>
      <c r="W17" s="17">
        <f t="shared" si="10"/>
        <v>3</v>
      </c>
      <c r="X17" s="17">
        <f t="shared" si="10"/>
        <v>3</v>
      </c>
      <c r="Y17" s="17">
        <f t="shared" si="10"/>
        <v>9</v>
      </c>
      <c r="Z17" s="17">
        <f t="shared" si="10"/>
        <v>4</v>
      </c>
      <c r="AA17" s="17">
        <f t="shared" si="10"/>
        <v>0</v>
      </c>
      <c r="AB17" s="17">
        <f t="shared" si="10"/>
        <v>4</v>
      </c>
      <c r="AC17" s="17">
        <f t="shared" si="10"/>
        <v>130</v>
      </c>
      <c r="AD17" s="17">
        <f t="shared" si="10"/>
        <v>0</v>
      </c>
      <c r="AE17" s="31">
        <f t="shared" si="10"/>
        <v>66</v>
      </c>
      <c r="AF17" s="31">
        <f t="shared" si="10"/>
        <v>196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f>'[1]RD116 MCC'!I62</f>
        <v>1</v>
      </c>
      <c r="F18" s="50">
        <v>1</v>
      </c>
      <c r="G18" s="50">
        <v>1</v>
      </c>
      <c r="H18" s="50">
        <v>0</v>
      </c>
      <c r="I18" s="50">
        <v>1</v>
      </c>
      <c r="J18" s="50">
        <v>1</v>
      </c>
      <c r="K18" s="50">
        <v>0</v>
      </c>
      <c r="L18" s="50">
        <v>1</v>
      </c>
      <c r="M18" s="50">
        <v>60</v>
      </c>
      <c r="N18" s="50">
        <v>0</v>
      </c>
      <c r="O18" s="15">
        <f t="shared" si="6"/>
        <v>7</v>
      </c>
      <c r="P18" s="15">
        <f t="shared" si="0"/>
        <v>67</v>
      </c>
      <c r="R18" s="1" t="s">
        <v>14</v>
      </c>
      <c r="S18" s="17">
        <f t="shared" ref="S18:AF18" si="11">SUM(C42:C45)</f>
        <v>9</v>
      </c>
      <c r="T18" s="17">
        <f t="shared" si="11"/>
        <v>13</v>
      </c>
      <c r="U18" s="17">
        <f t="shared" si="11"/>
        <v>28</v>
      </c>
      <c r="V18" s="17">
        <f t="shared" si="11"/>
        <v>11</v>
      </c>
      <c r="W18" s="17">
        <f t="shared" si="11"/>
        <v>3</v>
      </c>
      <c r="X18" s="17">
        <f t="shared" si="11"/>
        <v>1</v>
      </c>
      <c r="Y18" s="17">
        <f t="shared" si="11"/>
        <v>5</v>
      </c>
      <c r="Z18" s="17">
        <f t="shared" si="11"/>
        <v>4</v>
      </c>
      <c r="AA18" s="17">
        <f t="shared" si="11"/>
        <v>0</v>
      </c>
      <c r="AB18" s="17">
        <f t="shared" si="11"/>
        <v>4</v>
      </c>
      <c r="AC18" s="17">
        <f t="shared" si="11"/>
        <v>218</v>
      </c>
      <c r="AD18" s="17">
        <f t="shared" si="11"/>
        <v>0</v>
      </c>
      <c r="AE18" s="31">
        <f t="shared" si="11"/>
        <v>78</v>
      </c>
      <c r="AF18" s="31">
        <f t="shared" si="11"/>
        <v>296</v>
      </c>
    </row>
    <row r="19" spans="2:32" ht="23.1" customHeight="1" x14ac:dyDescent="0.25">
      <c r="B19" s="23" t="s">
        <v>46</v>
      </c>
      <c r="C19" s="50">
        <v>6</v>
      </c>
      <c r="D19" s="50">
        <v>4</v>
      </c>
      <c r="E19" s="50">
        <f>'[1]RD116 MCC'!I63</f>
        <v>9</v>
      </c>
      <c r="F19" s="50">
        <v>4</v>
      </c>
      <c r="G19" s="50">
        <v>0</v>
      </c>
      <c r="H19" s="50">
        <v>1</v>
      </c>
      <c r="I19" s="50">
        <v>2</v>
      </c>
      <c r="J19" s="50">
        <v>1</v>
      </c>
      <c r="K19" s="50">
        <v>0</v>
      </c>
      <c r="L19" s="50">
        <v>1</v>
      </c>
      <c r="M19" s="50">
        <v>48</v>
      </c>
      <c r="N19" s="50">
        <v>0</v>
      </c>
      <c r="O19" s="15">
        <f t="shared" si="6"/>
        <v>28</v>
      </c>
      <c r="P19" s="15">
        <f t="shared" si="0"/>
        <v>76</v>
      </c>
      <c r="R19" s="1" t="s">
        <v>15</v>
      </c>
      <c r="S19" s="17">
        <f t="shared" ref="S19:AF19" si="12">SUM(C46:C49)</f>
        <v>12</v>
      </c>
      <c r="T19" s="17">
        <f t="shared" si="12"/>
        <v>8</v>
      </c>
      <c r="U19" s="17">
        <f t="shared" si="12"/>
        <v>16</v>
      </c>
      <c r="V19" s="17">
        <f t="shared" si="12"/>
        <v>9</v>
      </c>
      <c r="W19" s="17">
        <f t="shared" si="12"/>
        <v>3</v>
      </c>
      <c r="X19" s="17">
        <f t="shared" si="12"/>
        <v>3</v>
      </c>
      <c r="Y19" s="17">
        <f t="shared" si="12"/>
        <v>12</v>
      </c>
      <c r="Z19" s="17">
        <f t="shared" si="12"/>
        <v>4</v>
      </c>
      <c r="AA19" s="17">
        <f t="shared" si="12"/>
        <v>0</v>
      </c>
      <c r="AB19" s="17">
        <f t="shared" si="12"/>
        <v>12</v>
      </c>
      <c r="AC19" s="17">
        <f t="shared" si="12"/>
        <v>204</v>
      </c>
      <c r="AD19" s="17">
        <f t="shared" si="12"/>
        <v>0</v>
      </c>
      <c r="AE19" s="31">
        <f t="shared" si="12"/>
        <v>79</v>
      </c>
      <c r="AF19" s="31">
        <f t="shared" si="12"/>
        <v>283</v>
      </c>
    </row>
    <row r="20" spans="2:32" ht="23.1" customHeight="1" x14ac:dyDescent="0.25">
      <c r="B20" s="23" t="s">
        <v>47</v>
      </c>
      <c r="C20" s="50">
        <v>7</v>
      </c>
      <c r="D20" s="50">
        <v>5</v>
      </c>
      <c r="E20" s="50">
        <f>'[1]RD116 MCC'!I64</f>
        <v>10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6"/>
        <v>24</v>
      </c>
      <c r="P20" s="15">
        <f t="shared" si="0"/>
        <v>79</v>
      </c>
      <c r="R20" s="1" t="s">
        <v>16</v>
      </c>
      <c r="S20" s="17">
        <f t="shared" ref="S20:AF20" si="13">SUM(C50:C53)</f>
        <v>16</v>
      </c>
      <c r="T20" s="17">
        <f t="shared" si="13"/>
        <v>8</v>
      </c>
      <c r="U20" s="17">
        <f t="shared" si="13"/>
        <v>19</v>
      </c>
      <c r="V20" s="17">
        <f t="shared" si="13"/>
        <v>14</v>
      </c>
      <c r="W20" s="17">
        <f t="shared" si="13"/>
        <v>0</v>
      </c>
      <c r="X20" s="17">
        <f t="shared" si="13"/>
        <v>3</v>
      </c>
      <c r="Y20" s="17">
        <f t="shared" si="13"/>
        <v>3</v>
      </c>
      <c r="Z20" s="17">
        <f t="shared" si="13"/>
        <v>11</v>
      </c>
      <c r="AA20" s="17">
        <f t="shared" si="13"/>
        <v>3</v>
      </c>
      <c r="AB20" s="17">
        <f t="shared" si="13"/>
        <v>13</v>
      </c>
      <c r="AC20" s="17">
        <f t="shared" si="13"/>
        <v>239</v>
      </c>
      <c r="AD20" s="17">
        <f t="shared" si="13"/>
        <v>0</v>
      </c>
      <c r="AE20" s="31">
        <f t="shared" si="13"/>
        <v>90</v>
      </c>
      <c r="AF20" s="31">
        <f t="shared" si="13"/>
        <v>329</v>
      </c>
    </row>
    <row r="21" spans="2:32" ht="23.1" customHeight="1" x14ac:dyDescent="0.25">
      <c r="B21" s="23" t="s">
        <v>48</v>
      </c>
      <c r="C21" s="50">
        <v>7</v>
      </c>
      <c r="D21" s="50">
        <v>3</v>
      </c>
      <c r="E21" s="50">
        <f>'[1]RD116 MCC'!I65</f>
        <v>6</v>
      </c>
      <c r="F21" s="50">
        <v>1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2</v>
      </c>
      <c r="M21" s="50">
        <v>62</v>
      </c>
      <c r="N21" s="50">
        <v>0</v>
      </c>
      <c r="O21" s="15">
        <f t="shared" si="6"/>
        <v>22</v>
      </c>
      <c r="P21" s="15">
        <f t="shared" si="0"/>
        <v>84</v>
      </c>
      <c r="R21" s="36" t="s">
        <v>20</v>
      </c>
      <c r="S21" s="34">
        <f t="shared" ref="S21:AF21" si="14">SUM(C54:C57)</f>
        <v>12</v>
      </c>
      <c r="T21" s="17">
        <f t="shared" si="14"/>
        <v>5</v>
      </c>
      <c r="U21" s="17">
        <f t="shared" si="14"/>
        <v>13</v>
      </c>
      <c r="V21" s="17">
        <f t="shared" si="14"/>
        <v>8</v>
      </c>
      <c r="W21" s="17">
        <f t="shared" si="14"/>
        <v>4</v>
      </c>
      <c r="X21" s="17">
        <f t="shared" si="14"/>
        <v>4</v>
      </c>
      <c r="Y21" s="17">
        <f t="shared" si="14"/>
        <v>6</v>
      </c>
      <c r="Z21" s="17">
        <f t="shared" si="14"/>
        <v>4</v>
      </c>
      <c r="AA21" s="17">
        <f t="shared" si="14"/>
        <v>1</v>
      </c>
      <c r="AB21" s="17">
        <f t="shared" si="14"/>
        <v>18</v>
      </c>
      <c r="AC21" s="17">
        <f t="shared" si="14"/>
        <v>183</v>
      </c>
      <c r="AD21" s="17">
        <f t="shared" si="14"/>
        <v>0</v>
      </c>
      <c r="AE21" s="31">
        <f t="shared" si="14"/>
        <v>75</v>
      </c>
      <c r="AF21" s="31">
        <f t="shared" si="14"/>
        <v>258</v>
      </c>
    </row>
    <row r="22" spans="2:32" ht="23.1" customHeight="1" x14ac:dyDescent="0.25">
      <c r="B22" s="23" t="s">
        <v>49</v>
      </c>
      <c r="C22" s="50">
        <v>5</v>
      </c>
      <c r="D22" s="50">
        <v>1</v>
      </c>
      <c r="E22" s="50">
        <f>'[1]RD116 MCC'!I66</f>
        <v>2</v>
      </c>
      <c r="F22" s="50">
        <v>3</v>
      </c>
      <c r="G22" s="50">
        <v>1</v>
      </c>
      <c r="H22" s="50">
        <v>0</v>
      </c>
      <c r="I22" s="50">
        <v>1</v>
      </c>
      <c r="J22" s="50">
        <v>2</v>
      </c>
      <c r="K22" s="50">
        <v>2</v>
      </c>
      <c r="L22" s="50">
        <v>3</v>
      </c>
      <c r="M22" s="50">
        <v>42</v>
      </c>
      <c r="N22" s="50">
        <v>0</v>
      </c>
      <c r="O22" s="15">
        <f t="shared" si="6"/>
        <v>20</v>
      </c>
      <c r="P22" s="15">
        <f t="shared" si="0"/>
        <v>62</v>
      </c>
      <c r="R22" s="38" t="s">
        <v>90</v>
      </c>
      <c r="S22" s="39">
        <f>MAX(S10:S12)</f>
        <v>21</v>
      </c>
      <c r="T22" s="39">
        <f t="shared" ref="T22:AF22" si="15">MAX(T10:T12)</f>
        <v>12</v>
      </c>
      <c r="U22" s="39">
        <f t="shared" si="15"/>
        <v>26</v>
      </c>
      <c r="V22" s="39">
        <f t="shared" si="15"/>
        <v>10</v>
      </c>
      <c r="W22" s="39">
        <f t="shared" si="15"/>
        <v>4</v>
      </c>
      <c r="X22" s="39">
        <f t="shared" si="15"/>
        <v>3</v>
      </c>
      <c r="Y22" s="39">
        <f t="shared" si="15"/>
        <v>11</v>
      </c>
      <c r="Z22" s="39">
        <f t="shared" si="15"/>
        <v>7</v>
      </c>
      <c r="AA22" s="39">
        <f t="shared" si="15"/>
        <v>1</v>
      </c>
      <c r="AB22" s="39">
        <f t="shared" si="15"/>
        <v>4</v>
      </c>
      <c r="AC22" s="39">
        <f t="shared" si="15"/>
        <v>225</v>
      </c>
      <c r="AD22" s="39">
        <f t="shared" si="15"/>
        <v>0</v>
      </c>
      <c r="AE22" s="40">
        <f t="shared" si="15"/>
        <v>81</v>
      </c>
      <c r="AF22" s="40">
        <f t="shared" si="15"/>
        <v>306</v>
      </c>
    </row>
    <row r="23" spans="2:32" ht="23.1" customHeight="1" x14ac:dyDescent="0.25">
      <c r="B23" s="23" t="s">
        <v>50</v>
      </c>
      <c r="C23" s="50">
        <v>8</v>
      </c>
      <c r="D23" s="50">
        <v>1</v>
      </c>
      <c r="E23" s="50">
        <f>'[1]RD116 MCC'!I67</f>
        <v>3</v>
      </c>
      <c r="F23" s="50">
        <v>1</v>
      </c>
      <c r="G23" s="50">
        <v>0</v>
      </c>
      <c r="H23" s="50">
        <v>2</v>
      </c>
      <c r="I23" s="50">
        <v>1</v>
      </c>
      <c r="J23" s="50">
        <v>0</v>
      </c>
      <c r="K23" s="50">
        <v>1</v>
      </c>
      <c r="L23" s="50">
        <v>3</v>
      </c>
      <c r="M23" s="50">
        <v>51</v>
      </c>
      <c r="N23" s="50">
        <v>0</v>
      </c>
      <c r="O23" s="15">
        <f t="shared" si="6"/>
        <v>20</v>
      </c>
      <c r="P23" s="15">
        <f t="shared" si="0"/>
        <v>71</v>
      </c>
      <c r="R23" s="38" t="s">
        <v>91</v>
      </c>
      <c r="S23" s="39">
        <f>MAX(S13:S18)</f>
        <v>30</v>
      </c>
      <c r="T23" s="39">
        <f t="shared" ref="T23:AF23" si="16">MAX(T13:T18)</f>
        <v>17</v>
      </c>
      <c r="U23" s="39">
        <f t="shared" si="16"/>
        <v>38</v>
      </c>
      <c r="V23" s="39">
        <f t="shared" si="16"/>
        <v>11</v>
      </c>
      <c r="W23" s="39">
        <f t="shared" si="16"/>
        <v>3</v>
      </c>
      <c r="X23" s="39">
        <f t="shared" si="16"/>
        <v>3</v>
      </c>
      <c r="Y23" s="39">
        <f t="shared" si="16"/>
        <v>9</v>
      </c>
      <c r="Z23" s="39">
        <f t="shared" si="16"/>
        <v>11</v>
      </c>
      <c r="AA23" s="39">
        <f t="shared" si="16"/>
        <v>3</v>
      </c>
      <c r="AB23" s="39">
        <f t="shared" si="16"/>
        <v>18</v>
      </c>
      <c r="AC23" s="39">
        <f t="shared" si="16"/>
        <v>218</v>
      </c>
      <c r="AD23" s="39">
        <f t="shared" si="16"/>
        <v>0</v>
      </c>
      <c r="AE23" s="40">
        <f t="shared" si="16"/>
        <v>120</v>
      </c>
      <c r="AF23" s="40">
        <f t="shared" si="16"/>
        <v>309</v>
      </c>
    </row>
    <row r="24" spans="2:32" ht="23.1" customHeight="1" x14ac:dyDescent="0.25">
      <c r="B24" s="23" t="s">
        <v>51</v>
      </c>
      <c r="C24" s="50">
        <v>9</v>
      </c>
      <c r="D24" s="50">
        <v>3</v>
      </c>
      <c r="E24" s="50">
        <f>'[1]RD116 MCC'!I68</f>
        <v>7</v>
      </c>
      <c r="F24" s="50">
        <v>1</v>
      </c>
      <c r="G24" s="50">
        <v>0</v>
      </c>
      <c r="H24" s="50">
        <v>0</v>
      </c>
      <c r="I24" s="50">
        <v>1</v>
      </c>
      <c r="J24" s="50">
        <v>3</v>
      </c>
      <c r="K24" s="50">
        <v>0</v>
      </c>
      <c r="L24" s="50">
        <v>1</v>
      </c>
      <c r="M24" s="50">
        <v>33</v>
      </c>
      <c r="N24" s="50">
        <v>0</v>
      </c>
      <c r="O24" s="15">
        <f t="shared" si="6"/>
        <v>25</v>
      </c>
      <c r="P24" s="15">
        <f t="shared" si="0"/>
        <v>58</v>
      </c>
      <c r="R24" s="38" t="s">
        <v>92</v>
      </c>
      <c r="S24" s="39">
        <f>MAX(S19:S21)</f>
        <v>16</v>
      </c>
      <c r="T24" s="39">
        <f t="shared" ref="T24:AF24" si="17">MAX(T19:T21)</f>
        <v>8</v>
      </c>
      <c r="U24" s="39">
        <f t="shared" si="17"/>
        <v>19</v>
      </c>
      <c r="V24" s="39">
        <f t="shared" si="17"/>
        <v>14</v>
      </c>
      <c r="W24" s="39">
        <f t="shared" si="17"/>
        <v>4</v>
      </c>
      <c r="X24" s="39">
        <f t="shared" si="17"/>
        <v>4</v>
      </c>
      <c r="Y24" s="39">
        <f t="shared" si="17"/>
        <v>12</v>
      </c>
      <c r="Z24" s="39">
        <f t="shared" si="17"/>
        <v>11</v>
      </c>
      <c r="AA24" s="39">
        <f t="shared" si="17"/>
        <v>3</v>
      </c>
      <c r="AB24" s="39">
        <f t="shared" si="17"/>
        <v>18</v>
      </c>
      <c r="AC24" s="39">
        <f t="shared" si="17"/>
        <v>239</v>
      </c>
      <c r="AD24" s="39">
        <f t="shared" si="17"/>
        <v>0</v>
      </c>
      <c r="AE24" s="40">
        <f t="shared" si="17"/>
        <v>90</v>
      </c>
      <c r="AF24" s="40">
        <f t="shared" si="17"/>
        <v>329</v>
      </c>
    </row>
    <row r="25" spans="2:32" ht="23.1" customHeight="1" x14ac:dyDescent="0.25">
      <c r="B25" s="23" t="s">
        <v>52</v>
      </c>
      <c r="C25" s="50">
        <v>4</v>
      </c>
      <c r="D25" s="50">
        <v>4</v>
      </c>
      <c r="E25" s="50">
        <f>'[1]RD116 MCC'!I69</f>
        <v>9</v>
      </c>
      <c r="F25" s="50">
        <v>2</v>
      </c>
      <c r="G25" s="50">
        <v>1</v>
      </c>
      <c r="H25" s="50">
        <v>0</v>
      </c>
      <c r="I25" s="50">
        <v>1</v>
      </c>
      <c r="J25" s="50">
        <v>4</v>
      </c>
      <c r="K25" s="50">
        <v>0</v>
      </c>
      <c r="L25" s="50">
        <v>2</v>
      </c>
      <c r="M25" s="50">
        <v>52</v>
      </c>
      <c r="N25" s="50">
        <v>0</v>
      </c>
      <c r="O25" s="15">
        <f t="shared" si="6"/>
        <v>27</v>
      </c>
      <c r="P25" s="15">
        <f t="shared" si="0"/>
        <v>79</v>
      </c>
      <c r="R25" s="37" t="s">
        <v>85</v>
      </c>
      <c r="S25" s="35">
        <f t="shared" ref="S25:AF25" si="18">SUM(S10:S12)</f>
        <v>39</v>
      </c>
      <c r="T25" s="16">
        <f t="shared" si="18"/>
        <v>27</v>
      </c>
      <c r="U25" s="16">
        <f t="shared" si="18"/>
        <v>60</v>
      </c>
      <c r="V25" s="16">
        <f t="shared" si="18"/>
        <v>25</v>
      </c>
      <c r="W25" s="16">
        <f t="shared" si="18"/>
        <v>6</v>
      </c>
      <c r="X25" s="16">
        <f t="shared" si="18"/>
        <v>6</v>
      </c>
      <c r="Y25" s="16">
        <f t="shared" si="18"/>
        <v>20</v>
      </c>
      <c r="Z25" s="16">
        <f t="shared" si="18"/>
        <v>14</v>
      </c>
      <c r="AA25" s="16">
        <f t="shared" si="18"/>
        <v>1</v>
      </c>
      <c r="AB25" s="16">
        <f t="shared" si="18"/>
        <v>10</v>
      </c>
      <c r="AC25" s="16">
        <f t="shared" si="18"/>
        <v>597</v>
      </c>
      <c r="AD25" s="16">
        <f t="shared" si="18"/>
        <v>0</v>
      </c>
      <c r="AE25" s="32">
        <f t="shared" si="18"/>
        <v>208</v>
      </c>
      <c r="AF25" s="32">
        <f t="shared" si="18"/>
        <v>805</v>
      </c>
    </row>
    <row r="26" spans="2:32" ht="23.1" customHeight="1" x14ac:dyDescent="0.25">
      <c r="B26" s="23" t="s">
        <v>53</v>
      </c>
      <c r="C26" s="50">
        <v>6</v>
      </c>
      <c r="D26" s="50">
        <v>2</v>
      </c>
      <c r="E26" s="50">
        <f>'[1]RD116 MCC'!I70</f>
        <v>5</v>
      </c>
      <c r="F26" s="50">
        <v>0</v>
      </c>
      <c r="G26" s="50">
        <v>0</v>
      </c>
      <c r="H26" s="50">
        <v>1</v>
      </c>
      <c r="I26" s="50">
        <v>4</v>
      </c>
      <c r="J26" s="50">
        <v>0</v>
      </c>
      <c r="K26" s="50">
        <v>1</v>
      </c>
      <c r="L26" s="50">
        <v>5</v>
      </c>
      <c r="M26" s="50">
        <v>54</v>
      </c>
      <c r="N26" s="50">
        <v>0</v>
      </c>
      <c r="O26" s="15">
        <f t="shared" si="6"/>
        <v>24</v>
      </c>
      <c r="P26" s="15">
        <f t="shared" si="0"/>
        <v>78</v>
      </c>
      <c r="R26" s="28" t="s">
        <v>86</v>
      </c>
      <c r="S26" s="16">
        <f t="shared" ref="S26:AF26" si="19">SUM(S13:S18)</f>
        <v>111</v>
      </c>
      <c r="T26" s="16">
        <f t="shared" si="19"/>
        <v>66</v>
      </c>
      <c r="U26" s="16">
        <f t="shared" si="19"/>
        <v>147</v>
      </c>
      <c r="V26" s="16">
        <f t="shared" si="19"/>
        <v>36</v>
      </c>
      <c r="W26" s="16">
        <f t="shared" si="19"/>
        <v>8</v>
      </c>
      <c r="X26" s="16">
        <f t="shared" si="19"/>
        <v>12</v>
      </c>
      <c r="Y26" s="16">
        <f t="shared" si="19"/>
        <v>36</v>
      </c>
      <c r="Z26" s="16">
        <f t="shared" si="19"/>
        <v>42</v>
      </c>
      <c r="AA26" s="16">
        <f t="shared" si="19"/>
        <v>6</v>
      </c>
      <c r="AB26" s="16">
        <f t="shared" si="19"/>
        <v>59</v>
      </c>
      <c r="AC26" s="16">
        <f t="shared" si="19"/>
        <v>1070</v>
      </c>
      <c r="AD26" s="16">
        <f t="shared" si="19"/>
        <v>0</v>
      </c>
      <c r="AE26" s="32">
        <f t="shared" si="19"/>
        <v>523</v>
      </c>
      <c r="AF26" s="32">
        <f t="shared" si="19"/>
        <v>1593</v>
      </c>
    </row>
    <row r="27" spans="2:32" ht="23.1" customHeight="1" x14ac:dyDescent="0.25">
      <c r="B27" s="23" t="s">
        <v>54</v>
      </c>
      <c r="C27" s="50">
        <v>4</v>
      </c>
      <c r="D27" s="50">
        <v>8</v>
      </c>
      <c r="E27" s="50">
        <f>'[1]RD116 MCC'!I71</f>
        <v>17</v>
      </c>
      <c r="F27" s="50">
        <v>1</v>
      </c>
      <c r="G27" s="50">
        <v>0</v>
      </c>
      <c r="H27" s="50">
        <v>1</v>
      </c>
      <c r="I27" s="50">
        <v>1</v>
      </c>
      <c r="J27" s="50">
        <v>3</v>
      </c>
      <c r="K27" s="50">
        <v>0</v>
      </c>
      <c r="L27" s="50">
        <v>1</v>
      </c>
      <c r="M27" s="50">
        <v>52</v>
      </c>
      <c r="N27" s="50">
        <v>0</v>
      </c>
      <c r="O27" s="15">
        <f t="shared" si="6"/>
        <v>36</v>
      </c>
      <c r="P27" s="15">
        <f t="shared" si="0"/>
        <v>88</v>
      </c>
      <c r="R27" s="29" t="s">
        <v>87</v>
      </c>
      <c r="S27" s="16">
        <f t="shared" ref="S27:AF27" si="20">SUM(S19:S21)</f>
        <v>40</v>
      </c>
      <c r="T27" s="16">
        <f t="shared" si="20"/>
        <v>21</v>
      </c>
      <c r="U27" s="16">
        <f t="shared" si="20"/>
        <v>48</v>
      </c>
      <c r="V27" s="16">
        <f t="shared" si="20"/>
        <v>31</v>
      </c>
      <c r="W27" s="16">
        <f t="shared" si="20"/>
        <v>7</v>
      </c>
      <c r="X27" s="16">
        <f t="shared" si="20"/>
        <v>10</v>
      </c>
      <c r="Y27" s="16">
        <f t="shared" si="20"/>
        <v>21</v>
      </c>
      <c r="Z27" s="16">
        <f t="shared" si="20"/>
        <v>19</v>
      </c>
      <c r="AA27" s="16">
        <f t="shared" si="20"/>
        <v>4</v>
      </c>
      <c r="AB27" s="16">
        <f t="shared" si="20"/>
        <v>43</v>
      </c>
      <c r="AC27" s="16">
        <f t="shared" si="20"/>
        <v>626</v>
      </c>
      <c r="AD27" s="16">
        <f t="shared" si="20"/>
        <v>0</v>
      </c>
      <c r="AE27" s="32">
        <f t="shared" si="20"/>
        <v>244</v>
      </c>
      <c r="AF27" s="32">
        <f t="shared" si="20"/>
        <v>870</v>
      </c>
    </row>
    <row r="28" spans="2:32" ht="23.1" customHeight="1" x14ac:dyDescent="0.25">
      <c r="B28" s="23" t="s">
        <v>55</v>
      </c>
      <c r="C28" s="50">
        <v>7</v>
      </c>
      <c r="D28" s="50">
        <v>3</v>
      </c>
      <c r="E28" s="50">
        <f>'[1]RD116 MCC'!I72</f>
        <v>7</v>
      </c>
      <c r="F28" s="50">
        <v>2</v>
      </c>
      <c r="G28" s="50">
        <v>0</v>
      </c>
      <c r="H28" s="50">
        <v>0</v>
      </c>
      <c r="I28" s="50">
        <v>1</v>
      </c>
      <c r="J28" s="50">
        <v>4</v>
      </c>
      <c r="K28" s="50">
        <v>0</v>
      </c>
      <c r="L28" s="50">
        <v>3</v>
      </c>
      <c r="M28" s="50">
        <v>43</v>
      </c>
      <c r="N28" s="50">
        <v>0</v>
      </c>
      <c r="O28" s="15">
        <f t="shared" si="6"/>
        <v>27</v>
      </c>
      <c r="P28" s="15">
        <f t="shared" si="0"/>
        <v>70</v>
      </c>
      <c r="R28" s="5" t="s">
        <v>17</v>
      </c>
      <c r="S28" s="16">
        <f t="shared" ref="S28:AF28" si="21">SUM(S10:S21)</f>
        <v>190</v>
      </c>
      <c r="T28" s="16">
        <f t="shared" si="21"/>
        <v>114</v>
      </c>
      <c r="U28" s="16">
        <f t="shared" si="21"/>
        <v>255</v>
      </c>
      <c r="V28" s="16">
        <f t="shared" si="21"/>
        <v>92</v>
      </c>
      <c r="W28" s="16">
        <f t="shared" si="21"/>
        <v>21</v>
      </c>
      <c r="X28" s="16">
        <f t="shared" si="21"/>
        <v>28</v>
      </c>
      <c r="Y28" s="16">
        <f t="shared" si="21"/>
        <v>77</v>
      </c>
      <c r="Z28" s="16">
        <f t="shared" si="21"/>
        <v>75</v>
      </c>
      <c r="AA28" s="16">
        <f t="shared" si="21"/>
        <v>11</v>
      </c>
      <c r="AB28" s="16">
        <f t="shared" si="21"/>
        <v>112</v>
      </c>
      <c r="AC28" s="16">
        <f t="shared" si="21"/>
        <v>2293</v>
      </c>
      <c r="AD28" s="16">
        <f t="shared" si="21"/>
        <v>0</v>
      </c>
      <c r="AE28" s="32">
        <f t="shared" si="21"/>
        <v>975</v>
      </c>
      <c r="AF28" s="32">
        <f t="shared" si="21"/>
        <v>3268</v>
      </c>
    </row>
    <row r="29" spans="2:32" ht="23.1" customHeight="1" x14ac:dyDescent="0.25">
      <c r="B29" s="23" t="s">
        <v>56</v>
      </c>
      <c r="C29" s="50">
        <v>11</v>
      </c>
      <c r="D29" s="50">
        <v>4</v>
      </c>
      <c r="E29" s="50">
        <f>'[1]RD116 MCC'!I73</f>
        <v>9</v>
      </c>
      <c r="F29" s="50">
        <v>1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4</v>
      </c>
      <c r="M29" s="50">
        <v>40</v>
      </c>
      <c r="N29" s="50">
        <v>0</v>
      </c>
      <c r="O29" s="15">
        <f t="shared" si="6"/>
        <v>33</v>
      </c>
      <c r="P29" s="15">
        <f t="shared" si="0"/>
        <v>73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3</v>
      </c>
      <c r="E30" s="50">
        <f>'[1]RD116 MCC'!I74</f>
        <v>7</v>
      </c>
      <c r="F30" s="50">
        <v>1</v>
      </c>
      <c r="G30" s="50">
        <v>0</v>
      </c>
      <c r="H30" s="50">
        <v>0</v>
      </c>
      <c r="I30" s="50">
        <v>0</v>
      </c>
      <c r="J30" s="50">
        <v>1</v>
      </c>
      <c r="K30" s="50">
        <v>1</v>
      </c>
      <c r="L30" s="50">
        <v>6</v>
      </c>
      <c r="M30" s="50">
        <v>40</v>
      </c>
      <c r="N30" s="50">
        <v>0</v>
      </c>
      <c r="O30" s="15">
        <f t="shared" si="6"/>
        <v>23</v>
      </c>
      <c r="P30" s="15">
        <f t="shared" si="0"/>
        <v>63</v>
      </c>
    </row>
    <row r="31" spans="2:32" ht="23.1" customHeight="1" x14ac:dyDescent="0.25">
      <c r="B31" s="24" t="s">
        <v>58</v>
      </c>
      <c r="C31" s="50">
        <v>11</v>
      </c>
      <c r="D31" s="50">
        <v>5</v>
      </c>
      <c r="E31" s="50">
        <f>'[1]RD116 MCC'!I75</f>
        <v>10</v>
      </c>
      <c r="F31" s="50">
        <v>1</v>
      </c>
      <c r="G31" s="50">
        <v>0</v>
      </c>
      <c r="H31" s="50">
        <v>1</v>
      </c>
      <c r="I31" s="50">
        <v>5</v>
      </c>
      <c r="J31" s="50">
        <v>2</v>
      </c>
      <c r="K31" s="50">
        <v>0</v>
      </c>
      <c r="L31" s="50">
        <v>2</v>
      </c>
      <c r="M31" s="50">
        <v>47</v>
      </c>
      <c r="N31" s="50">
        <v>0</v>
      </c>
      <c r="O31" s="15">
        <f t="shared" si="6"/>
        <v>37</v>
      </c>
      <c r="P31" s="15">
        <f t="shared" si="0"/>
        <v>84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f>'[1]RD116 MCC'!I76</f>
        <v>4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3</v>
      </c>
      <c r="M32" s="50">
        <v>41</v>
      </c>
      <c r="N32" s="50">
        <v>0</v>
      </c>
      <c r="O32" s="15">
        <f t="shared" si="6"/>
        <v>16</v>
      </c>
      <c r="P32" s="15">
        <f t="shared" si="0"/>
        <v>57</v>
      </c>
    </row>
    <row r="33" spans="2:20" ht="23.1" customHeight="1" x14ac:dyDescent="0.25">
      <c r="B33" s="23" t="s">
        <v>60</v>
      </c>
      <c r="C33" s="50">
        <v>10</v>
      </c>
      <c r="D33" s="50">
        <v>3</v>
      </c>
      <c r="E33" s="50">
        <f>'[1]RD116 MCC'!I77</f>
        <v>6</v>
      </c>
      <c r="F33" s="50">
        <v>2</v>
      </c>
      <c r="G33" s="50">
        <v>0</v>
      </c>
      <c r="H33" s="50">
        <v>1</v>
      </c>
      <c r="I33" s="50">
        <v>3</v>
      </c>
      <c r="J33" s="50">
        <v>2</v>
      </c>
      <c r="K33" s="50">
        <v>0</v>
      </c>
      <c r="L33" s="50">
        <v>7</v>
      </c>
      <c r="M33" s="50">
        <v>61</v>
      </c>
      <c r="N33" s="50">
        <v>0</v>
      </c>
      <c r="O33" s="15">
        <f t="shared" si="6"/>
        <v>34</v>
      </c>
      <c r="P33" s="15">
        <f t="shared" si="0"/>
        <v>95</v>
      </c>
    </row>
    <row r="34" spans="2:20" ht="23.1" customHeight="1" x14ac:dyDescent="0.25">
      <c r="B34" s="24" t="s">
        <v>61</v>
      </c>
      <c r="C34" s="50">
        <v>4</v>
      </c>
      <c r="D34" s="50">
        <v>1</v>
      </c>
      <c r="E34" s="50">
        <f>'[1]RD116 MCC'!I78</f>
        <v>3</v>
      </c>
      <c r="F34" s="50">
        <v>2</v>
      </c>
      <c r="G34" s="50">
        <v>0</v>
      </c>
      <c r="H34" s="50">
        <v>1</v>
      </c>
      <c r="I34" s="50">
        <v>1</v>
      </c>
      <c r="J34" s="50">
        <v>4</v>
      </c>
      <c r="K34" s="50">
        <v>1</v>
      </c>
      <c r="L34" s="50">
        <v>1</v>
      </c>
      <c r="M34" s="50">
        <v>50</v>
      </c>
      <c r="N34" s="50">
        <v>0</v>
      </c>
      <c r="O34" s="15">
        <f t="shared" si="6"/>
        <v>18</v>
      </c>
      <c r="P34" s="15">
        <f t="shared" si="0"/>
        <v>68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f>'[1]RD116 MCC'!I79</f>
        <v>3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4</v>
      </c>
      <c r="M35" s="50">
        <v>27</v>
      </c>
      <c r="N35" s="50">
        <v>0</v>
      </c>
      <c r="O35" s="15">
        <f t="shared" si="6"/>
        <v>9</v>
      </c>
      <c r="P35" s="15">
        <f t="shared" si="0"/>
        <v>36</v>
      </c>
    </row>
    <row r="36" spans="2:20" ht="23.1" customHeight="1" x14ac:dyDescent="0.25">
      <c r="B36" s="24" t="s">
        <v>63</v>
      </c>
      <c r="C36" s="50">
        <v>1</v>
      </c>
      <c r="D36" s="50">
        <v>2</v>
      </c>
      <c r="E36" s="50">
        <f>'[1]RD116 MCC'!I80</f>
        <v>5</v>
      </c>
      <c r="F36" s="50">
        <v>1</v>
      </c>
      <c r="G36" s="50">
        <v>0</v>
      </c>
      <c r="H36" s="50">
        <v>0</v>
      </c>
      <c r="I36" s="50">
        <v>0</v>
      </c>
      <c r="J36" s="50">
        <v>6</v>
      </c>
      <c r="K36" s="50">
        <v>0</v>
      </c>
      <c r="L36" s="50">
        <v>4</v>
      </c>
      <c r="M36" s="50">
        <v>48</v>
      </c>
      <c r="N36" s="50">
        <v>0</v>
      </c>
      <c r="O36" s="15">
        <f t="shared" si="6"/>
        <v>19</v>
      </c>
      <c r="P36" s="15">
        <f t="shared" si="0"/>
        <v>67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f>'[1]RD116 MCC'!I81</f>
        <v>3</v>
      </c>
      <c r="F37" s="50">
        <v>2</v>
      </c>
      <c r="G37" s="50">
        <v>0</v>
      </c>
      <c r="H37" s="50">
        <v>1</v>
      </c>
      <c r="I37" s="50">
        <v>0</v>
      </c>
      <c r="J37" s="50">
        <v>1</v>
      </c>
      <c r="K37" s="50">
        <v>0</v>
      </c>
      <c r="L37" s="50">
        <v>2</v>
      </c>
      <c r="M37" s="50">
        <v>41</v>
      </c>
      <c r="N37" s="50">
        <v>0</v>
      </c>
      <c r="O37" s="15">
        <f t="shared" si="6"/>
        <v>11</v>
      </c>
      <c r="P37" s="15">
        <f t="shared" si="0"/>
        <v>52</v>
      </c>
    </row>
    <row r="38" spans="2:20" ht="23.1" customHeight="1" x14ac:dyDescent="0.25">
      <c r="B38" s="24" t="s">
        <v>65</v>
      </c>
      <c r="C38" s="50">
        <v>2</v>
      </c>
      <c r="D38" s="50">
        <v>4</v>
      </c>
      <c r="E38" s="50">
        <f>'[1]RD116 MCC'!I82</f>
        <v>8</v>
      </c>
      <c r="F38" s="50">
        <v>2</v>
      </c>
      <c r="G38" s="50">
        <v>0</v>
      </c>
      <c r="H38" s="50">
        <v>1</v>
      </c>
      <c r="I38" s="50">
        <v>0</v>
      </c>
      <c r="J38" s="50">
        <v>2</v>
      </c>
      <c r="K38" s="50">
        <v>0</v>
      </c>
      <c r="L38" s="50">
        <v>1</v>
      </c>
      <c r="M38" s="50">
        <v>30</v>
      </c>
      <c r="N38" s="50">
        <v>0</v>
      </c>
      <c r="O38" s="15">
        <f t="shared" si="6"/>
        <v>20</v>
      </c>
      <c r="P38" s="15">
        <f t="shared" si="0"/>
        <v>50</v>
      </c>
    </row>
    <row r="39" spans="2:20" ht="23.1" customHeight="1" x14ac:dyDescent="0.25">
      <c r="B39" s="24" t="s">
        <v>66</v>
      </c>
      <c r="C39" s="50">
        <v>2</v>
      </c>
      <c r="D39" s="50">
        <v>2</v>
      </c>
      <c r="E39" s="50">
        <f>'[1]RD116 MCC'!I83</f>
        <v>4</v>
      </c>
      <c r="F39" s="50">
        <v>1</v>
      </c>
      <c r="G39" s="50">
        <v>1</v>
      </c>
      <c r="H39" s="50">
        <v>0</v>
      </c>
      <c r="I39" s="50">
        <v>1</v>
      </c>
      <c r="J39" s="50">
        <v>2</v>
      </c>
      <c r="K39" s="50">
        <v>0</v>
      </c>
      <c r="L39" s="50">
        <v>1</v>
      </c>
      <c r="M39" s="50">
        <v>45</v>
      </c>
      <c r="N39" s="50">
        <v>0</v>
      </c>
      <c r="O39" s="15">
        <f t="shared" si="6"/>
        <v>14</v>
      </c>
      <c r="P39" s="15">
        <f t="shared" si="0"/>
        <v>59</v>
      </c>
    </row>
    <row r="40" spans="2:20" ht="23.1" customHeight="1" x14ac:dyDescent="0.25">
      <c r="B40" s="24" t="s">
        <v>67</v>
      </c>
      <c r="C40" s="50">
        <v>6</v>
      </c>
      <c r="D40" s="50">
        <v>2</v>
      </c>
      <c r="E40" s="50">
        <f>'[1]RD116 MCC'!I84</f>
        <v>5</v>
      </c>
      <c r="F40" s="50">
        <v>1</v>
      </c>
      <c r="G40" s="50">
        <v>0</v>
      </c>
      <c r="H40" s="50">
        <v>2</v>
      </c>
      <c r="I40" s="50">
        <v>6</v>
      </c>
      <c r="J40" s="50">
        <v>0</v>
      </c>
      <c r="K40" s="50">
        <v>0</v>
      </c>
      <c r="L40" s="50">
        <v>1</v>
      </c>
      <c r="M40" s="50">
        <v>15</v>
      </c>
      <c r="N40" s="50">
        <v>0</v>
      </c>
      <c r="O40" s="15">
        <f t="shared" si="6"/>
        <v>23</v>
      </c>
      <c r="P40" s="15">
        <f t="shared" si="0"/>
        <v>38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f>'[1]RD116 MCC'!I85</f>
        <v>2</v>
      </c>
      <c r="F41" s="50">
        <v>0</v>
      </c>
      <c r="G41" s="50">
        <v>2</v>
      </c>
      <c r="H41" s="50">
        <v>0</v>
      </c>
      <c r="I41" s="50">
        <v>2</v>
      </c>
      <c r="J41" s="50">
        <v>0</v>
      </c>
      <c r="K41" s="50">
        <v>0</v>
      </c>
      <c r="L41" s="50">
        <v>1</v>
      </c>
      <c r="M41" s="50">
        <v>40</v>
      </c>
      <c r="N41" s="50">
        <v>0</v>
      </c>
      <c r="O41" s="15">
        <f t="shared" si="6"/>
        <v>9</v>
      </c>
      <c r="P41" s="15">
        <f t="shared" si="0"/>
        <v>49</v>
      </c>
    </row>
    <row r="42" spans="2:20" ht="23.1" customHeight="1" x14ac:dyDescent="0.25">
      <c r="B42" s="24" t="s">
        <v>69</v>
      </c>
      <c r="C42" s="50">
        <v>5</v>
      </c>
      <c r="D42" s="50">
        <v>3</v>
      </c>
      <c r="E42" s="50">
        <f>'[1]RD116 MCC'!I86</f>
        <v>6</v>
      </c>
      <c r="F42" s="50">
        <v>1</v>
      </c>
      <c r="G42" s="50">
        <v>1</v>
      </c>
      <c r="H42" s="50">
        <v>0</v>
      </c>
      <c r="I42" s="50">
        <v>2</v>
      </c>
      <c r="J42" s="50">
        <v>1</v>
      </c>
      <c r="K42" s="50">
        <v>0</v>
      </c>
      <c r="L42" s="50">
        <v>1</v>
      </c>
      <c r="M42" s="50">
        <v>40</v>
      </c>
      <c r="N42" s="50">
        <v>0</v>
      </c>
      <c r="O42" s="15">
        <f t="shared" si="6"/>
        <v>20</v>
      </c>
      <c r="P42" s="15">
        <f t="shared" si="0"/>
        <v>60</v>
      </c>
    </row>
    <row r="43" spans="2:20" ht="23.1" customHeight="1" x14ac:dyDescent="0.25">
      <c r="B43" s="23" t="s">
        <v>70</v>
      </c>
      <c r="C43" s="50">
        <v>1</v>
      </c>
      <c r="D43" s="50">
        <v>9</v>
      </c>
      <c r="E43" s="50">
        <f>'[1]RD116 MCC'!I87</f>
        <v>18</v>
      </c>
      <c r="F43" s="50">
        <v>7</v>
      </c>
      <c r="G43" s="50">
        <v>2</v>
      </c>
      <c r="H43" s="50">
        <v>0</v>
      </c>
      <c r="I43" s="50">
        <v>1</v>
      </c>
      <c r="J43" s="50">
        <v>0</v>
      </c>
      <c r="K43" s="50">
        <v>0</v>
      </c>
      <c r="L43" s="50">
        <v>2</v>
      </c>
      <c r="M43" s="50">
        <v>50</v>
      </c>
      <c r="N43" s="50">
        <v>0</v>
      </c>
      <c r="O43" s="15">
        <f t="shared" si="6"/>
        <v>40</v>
      </c>
      <c r="P43" s="15">
        <f t="shared" si="0"/>
        <v>90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f>'[1]RD116 MCC'!I88</f>
        <v>3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88</v>
      </c>
      <c r="N44" s="50">
        <v>0</v>
      </c>
      <c r="O44" s="15">
        <f t="shared" si="6"/>
        <v>5</v>
      </c>
      <c r="P44" s="15">
        <f t="shared" si="0"/>
        <v>93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f>'[1]RD116 MCC'!I89</f>
        <v>1</v>
      </c>
      <c r="F45" s="50">
        <v>3</v>
      </c>
      <c r="G45" s="50">
        <v>0</v>
      </c>
      <c r="H45" s="50">
        <v>1</v>
      </c>
      <c r="I45" s="50">
        <v>2</v>
      </c>
      <c r="J45" s="50">
        <v>3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6"/>
        <v>13</v>
      </c>
      <c r="P45" s="15">
        <f t="shared" si="0"/>
        <v>53</v>
      </c>
    </row>
    <row r="46" spans="2:20" ht="23.1" customHeight="1" x14ac:dyDescent="0.25">
      <c r="B46" s="24" t="s">
        <v>73</v>
      </c>
      <c r="C46" s="50">
        <v>3</v>
      </c>
      <c r="D46" s="50">
        <v>2</v>
      </c>
      <c r="E46" s="50">
        <f>'[1]RD116 MCC'!I90</f>
        <v>4</v>
      </c>
      <c r="F46" s="50">
        <v>3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1</v>
      </c>
      <c r="M46" s="50">
        <v>40</v>
      </c>
      <c r="N46" s="50">
        <v>0</v>
      </c>
      <c r="O46" s="15">
        <f t="shared" si="6"/>
        <v>17</v>
      </c>
      <c r="P46" s="15">
        <f t="shared" si="0"/>
        <v>57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3</v>
      </c>
      <c r="E47" s="50">
        <f>'[1]RD116 MCC'!I91</f>
        <v>6</v>
      </c>
      <c r="F47" s="50">
        <v>1</v>
      </c>
      <c r="G47" s="50">
        <v>1</v>
      </c>
      <c r="H47" s="50">
        <v>2</v>
      </c>
      <c r="I47" s="50">
        <v>7</v>
      </c>
      <c r="J47" s="50">
        <v>1</v>
      </c>
      <c r="K47" s="50">
        <v>0</v>
      </c>
      <c r="L47" s="50">
        <v>4</v>
      </c>
      <c r="M47" s="50">
        <v>60</v>
      </c>
      <c r="N47" s="50">
        <v>0</v>
      </c>
      <c r="O47" s="15">
        <f t="shared" si="6"/>
        <v>29</v>
      </c>
      <c r="P47" s="15">
        <f t="shared" si="0"/>
        <v>89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2</v>
      </c>
      <c r="E48" s="50">
        <f>'[1]RD116 MCC'!I92</f>
        <v>4</v>
      </c>
      <c r="F48" s="50">
        <v>2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2</v>
      </c>
      <c r="M48" s="50">
        <v>74</v>
      </c>
      <c r="N48" s="50">
        <v>0</v>
      </c>
      <c r="O48" s="15">
        <f t="shared" si="6"/>
        <v>14</v>
      </c>
      <c r="P48" s="15">
        <f t="shared" si="0"/>
        <v>88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1</v>
      </c>
      <c r="E49" s="50">
        <f>'[1]RD116 MCC'!I93</f>
        <v>2</v>
      </c>
      <c r="F49" s="50">
        <v>3</v>
      </c>
      <c r="G49" s="50">
        <v>2</v>
      </c>
      <c r="H49" s="50">
        <v>1</v>
      </c>
      <c r="I49" s="50">
        <v>1</v>
      </c>
      <c r="J49" s="50">
        <v>2</v>
      </c>
      <c r="K49" s="50">
        <v>0</v>
      </c>
      <c r="L49" s="50">
        <v>5</v>
      </c>
      <c r="M49" s="50">
        <v>30</v>
      </c>
      <c r="N49" s="50">
        <v>0</v>
      </c>
      <c r="O49" s="15">
        <f t="shared" si="6"/>
        <v>19</v>
      </c>
      <c r="P49" s="15">
        <f t="shared" si="0"/>
        <v>49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2</v>
      </c>
      <c r="E50" s="50">
        <f>'[1]RD116 MCC'!I94</f>
        <v>5</v>
      </c>
      <c r="F50" s="50">
        <v>8</v>
      </c>
      <c r="G50" s="50">
        <v>0</v>
      </c>
      <c r="H50" s="50">
        <v>3</v>
      </c>
      <c r="I50" s="50">
        <v>1</v>
      </c>
      <c r="J50" s="50">
        <v>3</v>
      </c>
      <c r="K50" s="50">
        <v>1</v>
      </c>
      <c r="L50" s="50">
        <v>2</v>
      </c>
      <c r="M50" s="50">
        <v>48</v>
      </c>
      <c r="N50" s="50">
        <v>0</v>
      </c>
      <c r="O50" s="15">
        <f t="shared" si="6"/>
        <v>27</v>
      </c>
      <c r="P50" s="15">
        <f t="shared" si="0"/>
        <v>75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4</v>
      </c>
      <c r="E51" s="50">
        <f>'[1]RD116 MCC'!I95</f>
        <v>8</v>
      </c>
      <c r="F51" s="50">
        <v>3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1</v>
      </c>
      <c r="M51" s="50">
        <v>56</v>
      </c>
      <c r="N51" s="50">
        <v>0</v>
      </c>
      <c r="O51" s="15">
        <f t="shared" si="6"/>
        <v>22</v>
      </c>
      <c r="P51" s="15">
        <f t="shared" si="0"/>
        <v>78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1</v>
      </c>
      <c r="E52" s="50">
        <f>'[1]RD116 MCC'!I96</f>
        <v>3</v>
      </c>
      <c r="F52" s="50">
        <v>2</v>
      </c>
      <c r="G52" s="50">
        <v>0</v>
      </c>
      <c r="H52" s="50">
        <v>0</v>
      </c>
      <c r="I52" s="50">
        <v>1</v>
      </c>
      <c r="J52" s="50">
        <v>3</v>
      </c>
      <c r="K52" s="50">
        <v>1</v>
      </c>
      <c r="L52" s="50">
        <v>6</v>
      </c>
      <c r="M52" s="50">
        <v>75</v>
      </c>
      <c r="N52" s="50">
        <v>0</v>
      </c>
      <c r="O52" s="15">
        <f t="shared" si="6"/>
        <v>24</v>
      </c>
      <c r="P52" s="15">
        <f t="shared" si="0"/>
        <v>99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1</v>
      </c>
      <c r="E53" s="50">
        <f>'[1]RD116 MCC'!I97</f>
        <v>3</v>
      </c>
      <c r="F53" s="50">
        <v>1</v>
      </c>
      <c r="G53" s="50">
        <v>0</v>
      </c>
      <c r="H53" s="50">
        <v>0</v>
      </c>
      <c r="I53" s="50">
        <v>0</v>
      </c>
      <c r="J53" s="50">
        <v>4</v>
      </c>
      <c r="K53" s="50">
        <v>1</v>
      </c>
      <c r="L53" s="50">
        <v>4</v>
      </c>
      <c r="M53" s="50">
        <v>60</v>
      </c>
      <c r="N53" s="50">
        <v>0</v>
      </c>
      <c r="O53" s="15">
        <f t="shared" si="6"/>
        <v>17</v>
      </c>
      <c r="P53" s="15">
        <f t="shared" si="0"/>
        <v>77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2</v>
      </c>
      <c r="E54" s="50">
        <f>'[1]RD116 MCC'!I98</f>
        <v>4</v>
      </c>
      <c r="F54" s="50">
        <v>2</v>
      </c>
      <c r="G54" s="50">
        <v>3</v>
      </c>
      <c r="H54" s="50">
        <v>3</v>
      </c>
      <c r="I54" s="50">
        <v>2</v>
      </c>
      <c r="J54" s="50">
        <v>2</v>
      </c>
      <c r="K54" s="50">
        <v>0</v>
      </c>
      <c r="L54" s="50">
        <v>6</v>
      </c>
      <c r="M54" s="50">
        <v>30</v>
      </c>
      <c r="N54" s="50">
        <v>0</v>
      </c>
      <c r="O54" s="15">
        <f t="shared" si="6"/>
        <v>28</v>
      </c>
      <c r="P54" s="15">
        <f t="shared" si="0"/>
        <v>58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f>'[1]RD116 MCC'!I99</f>
        <v>3</v>
      </c>
      <c r="F55" s="50">
        <v>5</v>
      </c>
      <c r="G55" s="50">
        <v>0</v>
      </c>
      <c r="H55" s="50">
        <v>0</v>
      </c>
      <c r="I55" s="50">
        <v>2</v>
      </c>
      <c r="J55" s="50">
        <v>0</v>
      </c>
      <c r="K55" s="50">
        <v>1</v>
      </c>
      <c r="L55" s="50">
        <v>6</v>
      </c>
      <c r="M55" s="50">
        <v>35</v>
      </c>
      <c r="N55" s="50">
        <v>0</v>
      </c>
      <c r="O55" s="15">
        <f t="shared" si="6"/>
        <v>20</v>
      </c>
      <c r="P55" s="15">
        <f t="shared" si="0"/>
        <v>55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2</v>
      </c>
      <c r="E56" s="50">
        <f>'[1]RD116 MCC'!I100</f>
        <v>5</v>
      </c>
      <c r="F56" s="50">
        <v>0</v>
      </c>
      <c r="G56" s="50">
        <v>1</v>
      </c>
      <c r="H56" s="50">
        <v>1</v>
      </c>
      <c r="I56" s="50">
        <v>0</v>
      </c>
      <c r="J56" s="50">
        <v>0</v>
      </c>
      <c r="K56" s="50">
        <v>0</v>
      </c>
      <c r="L56" s="50">
        <v>3</v>
      </c>
      <c r="M56" s="50">
        <v>48</v>
      </c>
      <c r="N56" s="50">
        <v>0</v>
      </c>
      <c r="O56" s="15">
        <f t="shared" si="6"/>
        <v>16</v>
      </c>
      <c r="P56" s="15">
        <f t="shared" si="0"/>
        <v>64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f>'[1]RD116 MCC'!I101</f>
        <v>1</v>
      </c>
      <c r="F57" s="50">
        <v>1</v>
      </c>
      <c r="G57" s="50">
        <v>0</v>
      </c>
      <c r="H57" s="50">
        <v>0</v>
      </c>
      <c r="I57" s="50">
        <v>2</v>
      </c>
      <c r="J57" s="50">
        <v>2</v>
      </c>
      <c r="K57" s="50">
        <v>0</v>
      </c>
      <c r="L57" s="50">
        <v>3</v>
      </c>
      <c r="M57" s="50">
        <v>70</v>
      </c>
      <c r="N57" s="50">
        <v>0</v>
      </c>
      <c r="O57" s="15">
        <f t="shared" si="6"/>
        <v>11</v>
      </c>
      <c r="P57" s="15">
        <f t="shared" si="0"/>
        <v>81</v>
      </c>
      <c r="R57" s="8"/>
      <c r="T57"/>
    </row>
    <row r="58" spans="2:20" ht="23.1" customHeight="1" x14ac:dyDescent="0.25">
      <c r="B58" s="26" t="s">
        <v>18</v>
      </c>
      <c r="C58" s="16">
        <f t="shared" ref="C58:P58" si="22">SUM(C10:C57)</f>
        <v>190</v>
      </c>
      <c r="D58" s="16">
        <f t="shared" si="22"/>
        <v>114</v>
      </c>
      <c r="E58" s="16">
        <f t="shared" si="22"/>
        <v>255</v>
      </c>
      <c r="F58" s="16">
        <f t="shared" si="22"/>
        <v>92</v>
      </c>
      <c r="G58" s="16">
        <f t="shared" si="22"/>
        <v>21</v>
      </c>
      <c r="H58" s="16">
        <f t="shared" si="22"/>
        <v>28</v>
      </c>
      <c r="I58" s="16">
        <f t="shared" si="22"/>
        <v>77</v>
      </c>
      <c r="J58" s="16">
        <f t="shared" si="22"/>
        <v>75</v>
      </c>
      <c r="K58" s="16">
        <f t="shared" si="22"/>
        <v>11</v>
      </c>
      <c r="L58" s="16">
        <f t="shared" si="22"/>
        <v>112</v>
      </c>
      <c r="M58" s="16">
        <f t="shared" si="22"/>
        <v>2293</v>
      </c>
      <c r="N58" s="16">
        <f t="shared" si="22"/>
        <v>0</v>
      </c>
      <c r="O58" s="16">
        <f t="shared" si="22"/>
        <v>975</v>
      </c>
      <c r="P58" s="16">
        <f t="shared" si="22"/>
        <v>3268</v>
      </c>
      <c r="R58" s="8"/>
      <c r="T58"/>
    </row>
    <row r="59" spans="2:20" ht="23.1" customHeight="1" x14ac:dyDescent="0.25">
      <c r="B59" s="26" t="s">
        <v>93</v>
      </c>
      <c r="C59" s="43">
        <f t="shared" ref="C59:N59" si="23">C58/$P$58</f>
        <v>5.8139534883720929E-2</v>
      </c>
      <c r="D59" s="43">
        <f t="shared" si="23"/>
        <v>3.4883720930232558E-2</v>
      </c>
      <c r="E59" s="43">
        <f t="shared" si="23"/>
        <v>7.8029375764993886E-2</v>
      </c>
      <c r="F59" s="43">
        <f t="shared" si="23"/>
        <v>2.8151774785801713E-2</v>
      </c>
      <c r="G59" s="43">
        <f t="shared" si="23"/>
        <v>6.4259485924112606E-3</v>
      </c>
      <c r="H59" s="43">
        <f t="shared" si="23"/>
        <v>8.5679314565483469E-3</v>
      </c>
      <c r="I59" s="43">
        <f t="shared" si="23"/>
        <v>2.3561811505507957E-2</v>
      </c>
      <c r="J59" s="43">
        <f t="shared" si="23"/>
        <v>2.2949816401468787E-2</v>
      </c>
      <c r="K59" s="43">
        <f t="shared" si="23"/>
        <v>3.3659730722154224E-3</v>
      </c>
      <c r="L59" s="43">
        <f t="shared" si="23"/>
        <v>3.4271725826193387E-2</v>
      </c>
      <c r="M59" s="43">
        <f t="shared" si="23"/>
        <v>0.7016523867809058</v>
      </c>
      <c r="N59" s="43">
        <f t="shared" si="23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0.19487179487179487</v>
      </c>
      <c r="D60" s="44">
        <f t="shared" ref="D60:N60" si="24">D58/$O$58</f>
        <v>0.11692307692307692</v>
      </c>
      <c r="E60" s="44">
        <f t="shared" si="24"/>
        <v>0.26153846153846155</v>
      </c>
      <c r="F60" s="44">
        <f t="shared" si="24"/>
        <v>9.4358974358974362E-2</v>
      </c>
      <c r="G60" s="44">
        <f t="shared" si="24"/>
        <v>2.1538461538461538E-2</v>
      </c>
      <c r="H60" s="44">
        <f t="shared" si="24"/>
        <v>2.8717948717948718E-2</v>
      </c>
      <c r="I60" s="44">
        <f t="shared" si="24"/>
        <v>7.8974358974358977E-2</v>
      </c>
      <c r="J60" s="44">
        <f t="shared" si="24"/>
        <v>7.6923076923076927E-2</v>
      </c>
      <c r="K60" s="44">
        <f t="shared" si="24"/>
        <v>1.1282051282051283E-2</v>
      </c>
      <c r="L60" s="44">
        <f t="shared" si="24"/>
        <v>0.11487179487179487</v>
      </c>
      <c r="M60" s="44"/>
      <c r="N60" s="44">
        <f t="shared" si="24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" zoomScale="60" workbookViewId="0">
      <selection activeCell="P57" sqref="P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GULU-KARUMA'!D5</f>
        <v>2.08.19</v>
      </c>
      <c r="E5" s="3"/>
      <c r="F5" s="41" t="s">
        <v>1</v>
      </c>
      <c r="G5" s="66" t="str">
        <f>'01.08 GULU-KARUMA'!G5:H5</f>
        <v>xxx</v>
      </c>
      <c r="H5" s="67"/>
      <c r="I5" s="14"/>
      <c r="J5" s="2" t="s">
        <v>5</v>
      </c>
      <c r="K5" s="66" t="str">
        <f>'01.08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KARUMA-GULU'!D6:E6</f>
        <v xml:space="preserve">KARUMA </v>
      </c>
      <c r="E6" s="67"/>
      <c r="F6" s="2" t="s">
        <v>2</v>
      </c>
      <c r="G6" s="66" t="str">
        <f>'01.08 KARUMA-GULU'!G6:H6</f>
        <v>GULU</v>
      </c>
      <c r="H6" s="67"/>
      <c r="J6" s="2" t="s">
        <v>21</v>
      </c>
      <c r="K6" s="66" t="str">
        <f>'01.08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3</v>
      </c>
      <c r="F10" s="50">
        <v>0</v>
      </c>
      <c r="G10" s="50">
        <v>0</v>
      </c>
      <c r="H10" s="50">
        <v>0</v>
      </c>
      <c r="I10" s="50">
        <f>'[1]RD116 MCC'!O390</f>
        <v>0</v>
      </c>
      <c r="J10" s="50">
        <v>0</v>
      </c>
      <c r="K10" s="50">
        <v>0</v>
      </c>
      <c r="L10" s="50">
        <v>1</v>
      </c>
      <c r="M10" s="50">
        <v>86</v>
      </c>
      <c r="N10" s="50">
        <v>0</v>
      </c>
      <c r="O10" s="15">
        <f>SUM(C10:L10,N10)</f>
        <v>11</v>
      </c>
      <c r="P10" s="15">
        <f t="shared" ref="P10:P57" si="0">SUM(C10:N10)</f>
        <v>97</v>
      </c>
      <c r="R10" s="1" t="s">
        <v>6</v>
      </c>
      <c r="S10" s="17">
        <f t="shared" ref="S10:AF10" si="1">SUM(C10:C13)</f>
        <v>29</v>
      </c>
      <c r="T10" s="17">
        <f t="shared" si="1"/>
        <v>5</v>
      </c>
      <c r="U10" s="17">
        <f t="shared" si="1"/>
        <v>13</v>
      </c>
      <c r="V10" s="17">
        <f t="shared" si="1"/>
        <v>3</v>
      </c>
      <c r="W10" s="17">
        <f t="shared" si="1"/>
        <v>0</v>
      </c>
      <c r="X10" s="17">
        <f t="shared" si="1"/>
        <v>0</v>
      </c>
      <c r="Y10" s="17">
        <f t="shared" si="1"/>
        <v>5</v>
      </c>
      <c r="Z10" s="17">
        <f t="shared" si="1"/>
        <v>3</v>
      </c>
      <c r="AA10" s="17">
        <f t="shared" si="1"/>
        <v>0</v>
      </c>
      <c r="AB10" s="17">
        <f t="shared" si="1"/>
        <v>10</v>
      </c>
      <c r="AC10" s="17">
        <f t="shared" si="1"/>
        <v>392</v>
      </c>
      <c r="AD10" s="17">
        <f t="shared" si="1"/>
        <v>0</v>
      </c>
      <c r="AE10" s="31">
        <f t="shared" si="1"/>
        <v>68</v>
      </c>
      <c r="AF10" s="31">
        <f t="shared" si="1"/>
        <v>460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2</v>
      </c>
      <c r="E11" s="50">
        <v>5</v>
      </c>
      <c r="F11" s="50">
        <v>0</v>
      </c>
      <c r="G11" s="50">
        <v>0</v>
      </c>
      <c r="H11" s="50">
        <v>0</v>
      </c>
      <c r="I11" s="50">
        <f>'[1]RD116 MCC'!O391</f>
        <v>1</v>
      </c>
      <c r="J11" s="50">
        <v>0</v>
      </c>
      <c r="K11" s="50">
        <v>0</v>
      </c>
      <c r="L11" s="50">
        <v>4</v>
      </c>
      <c r="M11" s="50">
        <v>125</v>
      </c>
      <c r="N11" s="50">
        <v>0</v>
      </c>
      <c r="O11" s="15">
        <f t="shared" ref="O11:O57" si="2">SUM(C11:L11,N11)</f>
        <v>23</v>
      </c>
      <c r="P11" s="15">
        <f t="shared" si="0"/>
        <v>148</v>
      </c>
      <c r="R11" s="1" t="s">
        <v>7</v>
      </c>
      <c r="S11" s="17">
        <f t="shared" ref="S11:AF11" si="3">SUM(C14:C17)</f>
        <v>53</v>
      </c>
      <c r="T11" s="17">
        <f t="shared" si="3"/>
        <v>5</v>
      </c>
      <c r="U11" s="17">
        <f t="shared" si="3"/>
        <v>12</v>
      </c>
      <c r="V11" s="17">
        <f t="shared" si="3"/>
        <v>3</v>
      </c>
      <c r="W11" s="17">
        <f t="shared" si="3"/>
        <v>1</v>
      </c>
      <c r="X11" s="17">
        <f t="shared" si="3"/>
        <v>1</v>
      </c>
      <c r="Y11" s="17">
        <f t="shared" si="3"/>
        <v>6</v>
      </c>
      <c r="Z11" s="17">
        <f t="shared" si="3"/>
        <v>2</v>
      </c>
      <c r="AA11" s="17">
        <f t="shared" si="3"/>
        <v>1</v>
      </c>
      <c r="AB11" s="17">
        <f t="shared" si="3"/>
        <v>9</v>
      </c>
      <c r="AC11" s="17">
        <f t="shared" si="3"/>
        <v>321</v>
      </c>
      <c r="AD11" s="17">
        <f t="shared" si="3"/>
        <v>0</v>
      </c>
      <c r="AE11" s="31">
        <f t="shared" si="3"/>
        <v>93</v>
      </c>
      <c r="AF11" s="31">
        <f t="shared" si="3"/>
        <v>414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2</v>
      </c>
      <c r="F12" s="50">
        <v>3</v>
      </c>
      <c r="G12" s="50">
        <v>0</v>
      </c>
      <c r="H12" s="50">
        <v>0</v>
      </c>
      <c r="I12" s="50">
        <f>'[1]RD116 MCC'!O392</f>
        <v>3</v>
      </c>
      <c r="J12" s="50">
        <v>1</v>
      </c>
      <c r="K12" s="50">
        <v>0</v>
      </c>
      <c r="L12" s="50">
        <v>4</v>
      </c>
      <c r="M12" s="50">
        <v>89</v>
      </c>
      <c r="N12" s="50">
        <v>0</v>
      </c>
      <c r="O12" s="15">
        <f t="shared" si="2"/>
        <v>19</v>
      </c>
      <c r="P12" s="15">
        <f t="shared" si="0"/>
        <v>108</v>
      </c>
      <c r="R12" s="1" t="s">
        <v>8</v>
      </c>
      <c r="S12" s="17">
        <f t="shared" ref="S12:AF12" si="4">SUM(C18:C21)</f>
        <v>25</v>
      </c>
      <c r="T12" s="17">
        <f t="shared" si="4"/>
        <v>8</v>
      </c>
      <c r="U12" s="17">
        <f t="shared" si="4"/>
        <v>19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1</v>
      </c>
      <c r="AA12" s="17">
        <f t="shared" si="4"/>
        <v>1</v>
      </c>
      <c r="AB12" s="17">
        <f t="shared" si="4"/>
        <v>8</v>
      </c>
      <c r="AC12" s="17">
        <f t="shared" si="4"/>
        <v>260</v>
      </c>
      <c r="AD12" s="17">
        <f t="shared" si="4"/>
        <v>0</v>
      </c>
      <c r="AE12" s="31">
        <f t="shared" si="4"/>
        <v>74</v>
      </c>
      <c r="AF12" s="31">
        <f t="shared" si="4"/>
        <v>334</v>
      </c>
    </row>
    <row r="13" spans="2:32" ht="23.1" customHeight="1" x14ac:dyDescent="0.25">
      <c r="B13" s="23" t="s">
        <v>40</v>
      </c>
      <c r="C13" s="50">
        <v>7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f>'[1]RD116 MCC'!O393</f>
        <v>1</v>
      </c>
      <c r="J13" s="50">
        <v>2</v>
      </c>
      <c r="K13" s="50">
        <v>0</v>
      </c>
      <c r="L13" s="50">
        <v>1</v>
      </c>
      <c r="M13" s="50">
        <v>92</v>
      </c>
      <c r="N13" s="50">
        <v>0</v>
      </c>
      <c r="O13" s="15">
        <f t="shared" si="2"/>
        <v>15</v>
      </c>
      <c r="P13" s="15">
        <f t="shared" si="0"/>
        <v>107</v>
      </c>
      <c r="R13" s="1" t="s">
        <v>9</v>
      </c>
      <c r="S13" s="17">
        <f t="shared" ref="S13:AF13" si="5">SUM(C22:C25)</f>
        <v>19</v>
      </c>
      <c r="T13" s="17">
        <f t="shared" si="5"/>
        <v>7</v>
      </c>
      <c r="U13" s="17">
        <f t="shared" si="5"/>
        <v>15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2</v>
      </c>
      <c r="AA13" s="17">
        <f t="shared" si="5"/>
        <v>1</v>
      </c>
      <c r="AB13" s="17">
        <f t="shared" si="5"/>
        <v>6</v>
      </c>
      <c r="AC13" s="17">
        <f t="shared" si="5"/>
        <v>211</v>
      </c>
      <c r="AD13" s="17">
        <f t="shared" si="5"/>
        <v>0</v>
      </c>
      <c r="AE13" s="31">
        <f t="shared" si="5"/>
        <v>62</v>
      </c>
      <c r="AF13" s="31">
        <f t="shared" si="5"/>
        <v>273</v>
      </c>
    </row>
    <row r="14" spans="2:32" ht="23.1" customHeight="1" x14ac:dyDescent="0.25">
      <c r="B14" s="23" t="s">
        <v>41</v>
      </c>
      <c r="C14" s="50">
        <v>9</v>
      </c>
      <c r="D14" s="50">
        <v>1</v>
      </c>
      <c r="E14" s="50">
        <v>3</v>
      </c>
      <c r="F14" s="50">
        <v>1</v>
      </c>
      <c r="G14" s="50">
        <v>1</v>
      </c>
      <c r="H14" s="50">
        <v>0</v>
      </c>
      <c r="I14" s="50">
        <f>'[1]RD116 MCC'!O394</f>
        <v>2</v>
      </c>
      <c r="J14" s="50">
        <v>1</v>
      </c>
      <c r="K14" s="50">
        <v>0</v>
      </c>
      <c r="L14" s="50">
        <v>4</v>
      </c>
      <c r="M14" s="50">
        <v>86</v>
      </c>
      <c r="N14" s="50">
        <v>0</v>
      </c>
      <c r="O14" s="15">
        <f t="shared" si="2"/>
        <v>22</v>
      </c>
      <c r="P14" s="15">
        <f t="shared" si="0"/>
        <v>108</v>
      </c>
      <c r="R14" s="1" t="s">
        <v>10</v>
      </c>
      <c r="S14" s="17">
        <f t="shared" ref="S14:AF14" si="6">SUM(C26:C29)</f>
        <v>22</v>
      </c>
      <c r="T14" s="17">
        <f t="shared" si="6"/>
        <v>7</v>
      </c>
      <c r="U14" s="17">
        <f t="shared" si="6"/>
        <v>16</v>
      </c>
      <c r="V14" s="17">
        <f t="shared" si="6"/>
        <v>1</v>
      </c>
      <c r="W14" s="17">
        <f t="shared" si="6"/>
        <v>2</v>
      </c>
      <c r="X14" s="17">
        <f t="shared" si="6"/>
        <v>2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193</v>
      </c>
      <c r="AD14" s="17">
        <f t="shared" si="6"/>
        <v>0</v>
      </c>
      <c r="AE14" s="31">
        <f t="shared" si="6"/>
        <v>58</v>
      </c>
      <c r="AF14" s="31">
        <f t="shared" si="6"/>
        <v>251</v>
      </c>
    </row>
    <row r="15" spans="2:32" ht="23.1" customHeight="1" x14ac:dyDescent="0.25">
      <c r="B15" s="23" t="s">
        <v>42</v>
      </c>
      <c r="C15" s="50">
        <v>12</v>
      </c>
      <c r="D15" s="50">
        <v>1</v>
      </c>
      <c r="E15" s="50">
        <v>3</v>
      </c>
      <c r="F15" s="50">
        <v>1</v>
      </c>
      <c r="G15" s="50">
        <v>0</v>
      </c>
      <c r="H15" s="50">
        <v>0</v>
      </c>
      <c r="I15" s="50">
        <f>'[1]RD116 MCC'!O395</f>
        <v>1</v>
      </c>
      <c r="J15" s="50">
        <v>0</v>
      </c>
      <c r="K15" s="50">
        <v>0</v>
      </c>
      <c r="L15" s="50">
        <v>2</v>
      </c>
      <c r="M15" s="50">
        <v>68</v>
      </c>
      <c r="N15" s="50">
        <v>0</v>
      </c>
      <c r="O15" s="15">
        <f t="shared" si="2"/>
        <v>20</v>
      </c>
      <c r="P15" s="15">
        <f t="shared" si="0"/>
        <v>88</v>
      </c>
      <c r="R15" s="1" t="s">
        <v>11</v>
      </c>
      <c r="S15" s="17">
        <f t="shared" ref="S15:AF15" si="7">SUM(C30:C33)</f>
        <v>29</v>
      </c>
      <c r="T15" s="17">
        <f t="shared" si="7"/>
        <v>9</v>
      </c>
      <c r="U15" s="17">
        <f t="shared" si="7"/>
        <v>18</v>
      </c>
      <c r="V15" s="17">
        <f t="shared" si="7"/>
        <v>4</v>
      </c>
      <c r="W15" s="17">
        <f t="shared" si="7"/>
        <v>0</v>
      </c>
      <c r="X15" s="17">
        <f t="shared" si="7"/>
        <v>2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255</v>
      </c>
      <c r="AD15" s="17">
        <f t="shared" si="7"/>
        <v>0</v>
      </c>
      <c r="AE15" s="31">
        <f t="shared" si="7"/>
        <v>72</v>
      </c>
      <c r="AF15" s="31">
        <f t="shared" si="7"/>
        <v>327</v>
      </c>
    </row>
    <row r="16" spans="2:32" ht="23.1" customHeight="1" x14ac:dyDescent="0.25">
      <c r="B16" s="23" t="s">
        <v>43</v>
      </c>
      <c r="C16" s="50">
        <v>18</v>
      </c>
      <c r="D16" s="50">
        <v>2</v>
      </c>
      <c r="E16" s="50">
        <v>4</v>
      </c>
      <c r="F16" s="50">
        <v>1</v>
      </c>
      <c r="G16" s="50">
        <v>0</v>
      </c>
      <c r="H16" s="50">
        <v>1</v>
      </c>
      <c r="I16" s="50">
        <f>'[1]RD116 MCC'!O396</f>
        <v>1</v>
      </c>
      <c r="J16" s="50">
        <v>1</v>
      </c>
      <c r="K16" s="50">
        <v>0</v>
      </c>
      <c r="L16" s="50">
        <v>1</v>
      </c>
      <c r="M16" s="50">
        <v>87</v>
      </c>
      <c r="N16" s="50">
        <v>0</v>
      </c>
      <c r="O16" s="15">
        <f t="shared" si="2"/>
        <v>29</v>
      </c>
      <c r="P16" s="15">
        <f t="shared" si="0"/>
        <v>116</v>
      </c>
      <c r="R16" s="1" t="s">
        <v>12</v>
      </c>
      <c r="S16" s="17">
        <f t="shared" ref="S16:AF16" si="8">SUM(C34:C37)</f>
        <v>26</v>
      </c>
      <c r="T16" s="17">
        <f t="shared" si="8"/>
        <v>11</v>
      </c>
      <c r="U16" s="17">
        <f t="shared" si="8"/>
        <v>23</v>
      </c>
      <c r="V16" s="17">
        <f t="shared" si="8"/>
        <v>6</v>
      </c>
      <c r="W16" s="17">
        <f t="shared" si="8"/>
        <v>1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0</v>
      </c>
      <c r="AB16" s="17">
        <f t="shared" si="8"/>
        <v>5</v>
      </c>
      <c r="AC16" s="17">
        <f t="shared" si="8"/>
        <v>212</v>
      </c>
      <c r="AD16" s="17">
        <f t="shared" si="8"/>
        <v>0</v>
      </c>
      <c r="AE16" s="31">
        <f t="shared" si="8"/>
        <v>80</v>
      </c>
      <c r="AF16" s="31">
        <f t="shared" si="8"/>
        <v>292</v>
      </c>
    </row>
    <row r="17" spans="2:32" ht="23.1" customHeight="1" x14ac:dyDescent="0.25">
      <c r="B17" s="23" t="s">
        <v>44</v>
      </c>
      <c r="C17" s="50">
        <v>14</v>
      </c>
      <c r="D17" s="50">
        <v>1</v>
      </c>
      <c r="E17" s="50">
        <v>2</v>
      </c>
      <c r="F17" s="50">
        <v>0</v>
      </c>
      <c r="G17" s="50">
        <v>0</v>
      </c>
      <c r="H17" s="50">
        <v>0</v>
      </c>
      <c r="I17" s="50">
        <f>'[1]RD116 MCC'!O397</f>
        <v>2</v>
      </c>
      <c r="J17" s="50">
        <v>0</v>
      </c>
      <c r="K17" s="50">
        <v>1</v>
      </c>
      <c r="L17" s="50">
        <v>2</v>
      </c>
      <c r="M17" s="50">
        <v>80</v>
      </c>
      <c r="N17" s="50">
        <v>0</v>
      </c>
      <c r="O17" s="15">
        <f t="shared" si="2"/>
        <v>22</v>
      </c>
      <c r="P17" s="15">
        <f t="shared" si="0"/>
        <v>102</v>
      </c>
      <c r="R17" s="1" t="s">
        <v>13</v>
      </c>
      <c r="S17" s="17">
        <f t="shared" ref="S17:AF17" si="9">SUM(C38:C41)</f>
        <v>14</v>
      </c>
      <c r="T17" s="17">
        <f t="shared" si="9"/>
        <v>9</v>
      </c>
      <c r="U17" s="17">
        <f t="shared" si="9"/>
        <v>20</v>
      </c>
      <c r="V17" s="17">
        <f t="shared" si="9"/>
        <v>1</v>
      </c>
      <c r="W17" s="17">
        <f t="shared" si="9"/>
        <v>0</v>
      </c>
      <c r="X17" s="17">
        <f t="shared" si="9"/>
        <v>2</v>
      </c>
      <c r="Y17" s="17">
        <f t="shared" si="9"/>
        <v>4</v>
      </c>
      <c r="Z17" s="17">
        <f t="shared" si="9"/>
        <v>1</v>
      </c>
      <c r="AA17" s="17">
        <f t="shared" si="9"/>
        <v>2</v>
      </c>
      <c r="AB17" s="17">
        <f t="shared" si="9"/>
        <v>1</v>
      </c>
      <c r="AC17" s="17">
        <f t="shared" si="9"/>
        <v>196</v>
      </c>
      <c r="AD17" s="17">
        <f t="shared" si="9"/>
        <v>0</v>
      </c>
      <c r="AE17" s="31">
        <f t="shared" si="9"/>
        <v>54</v>
      </c>
      <c r="AF17" s="31">
        <f t="shared" si="9"/>
        <v>250</v>
      </c>
    </row>
    <row r="18" spans="2:32" ht="23.1" customHeight="1" x14ac:dyDescent="0.25">
      <c r="B18" s="23" t="s">
        <v>45</v>
      </c>
      <c r="C18" s="50">
        <v>6</v>
      </c>
      <c r="D18" s="50">
        <v>2</v>
      </c>
      <c r="E18" s="50">
        <v>4</v>
      </c>
      <c r="F18" s="50">
        <v>0</v>
      </c>
      <c r="G18" s="50">
        <v>0</v>
      </c>
      <c r="H18" s="50">
        <v>0</v>
      </c>
      <c r="I18" s="50">
        <f>'[1]RD116 MCC'!O398</f>
        <v>1</v>
      </c>
      <c r="J18" s="50">
        <v>0</v>
      </c>
      <c r="K18" s="50">
        <v>1</v>
      </c>
      <c r="L18" s="50">
        <v>2</v>
      </c>
      <c r="M18" s="50">
        <v>68</v>
      </c>
      <c r="N18" s="50">
        <v>0</v>
      </c>
      <c r="O18" s="15">
        <f t="shared" si="2"/>
        <v>16</v>
      </c>
      <c r="P18" s="15">
        <f t="shared" si="0"/>
        <v>84</v>
      </c>
      <c r="R18" s="1" t="s">
        <v>14</v>
      </c>
      <c r="S18" s="17">
        <f t="shared" ref="S18:AF18" si="10">SUM(C42:C45)</f>
        <v>30</v>
      </c>
      <c r="T18" s="17">
        <f t="shared" si="10"/>
        <v>9</v>
      </c>
      <c r="U18" s="17">
        <f t="shared" si="10"/>
        <v>18</v>
      </c>
      <c r="V18" s="17">
        <f t="shared" si="10"/>
        <v>0</v>
      </c>
      <c r="W18" s="17">
        <f t="shared" si="10"/>
        <v>0</v>
      </c>
      <c r="X18" s="17">
        <f t="shared" si="10"/>
        <v>3</v>
      </c>
      <c r="Y18" s="17">
        <f t="shared" si="10"/>
        <v>8</v>
      </c>
      <c r="Z18" s="17">
        <f t="shared" si="10"/>
        <v>3</v>
      </c>
      <c r="AA18" s="17">
        <f t="shared" si="10"/>
        <v>2</v>
      </c>
      <c r="AB18" s="17">
        <f t="shared" si="10"/>
        <v>3</v>
      </c>
      <c r="AC18" s="17">
        <f t="shared" si="10"/>
        <v>212</v>
      </c>
      <c r="AD18" s="17">
        <f t="shared" si="10"/>
        <v>0</v>
      </c>
      <c r="AE18" s="31">
        <f t="shared" si="10"/>
        <v>76</v>
      </c>
      <c r="AF18" s="31">
        <f t="shared" si="10"/>
        <v>288</v>
      </c>
    </row>
    <row r="19" spans="2:32" ht="23.1" customHeight="1" x14ac:dyDescent="0.25">
      <c r="B19" s="23" t="s">
        <v>46</v>
      </c>
      <c r="C19" s="50">
        <v>8</v>
      </c>
      <c r="D19" s="50">
        <v>2</v>
      </c>
      <c r="E19" s="50">
        <v>5</v>
      </c>
      <c r="F19" s="50">
        <v>1</v>
      </c>
      <c r="G19" s="50">
        <v>0</v>
      </c>
      <c r="H19" s="50">
        <v>0</v>
      </c>
      <c r="I19" s="50">
        <f>'[1]RD116 MCC'!O399</f>
        <v>1</v>
      </c>
      <c r="J19" s="50">
        <v>0</v>
      </c>
      <c r="K19" s="50">
        <v>0</v>
      </c>
      <c r="L19" s="50">
        <v>3</v>
      </c>
      <c r="M19" s="50">
        <v>50</v>
      </c>
      <c r="N19" s="50">
        <v>0</v>
      </c>
      <c r="O19" s="15">
        <f t="shared" si="2"/>
        <v>20</v>
      </c>
      <c r="P19" s="15">
        <f t="shared" si="0"/>
        <v>70</v>
      </c>
      <c r="R19" s="1" t="s">
        <v>15</v>
      </c>
      <c r="S19" s="17">
        <f t="shared" ref="S19:AF19" si="11">SUM(C46:C49)</f>
        <v>48</v>
      </c>
      <c r="T19" s="17">
        <f t="shared" si="11"/>
        <v>11</v>
      </c>
      <c r="U19" s="17">
        <f t="shared" si="11"/>
        <v>23</v>
      </c>
      <c r="V19" s="17">
        <f t="shared" si="11"/>
        <v>1</v>
      </c>
      <c r="W19" s="17">
        <f t="shared" si="11"/>
        <v>0</v>
      </c>
      <c r="X19" s="17">
        <f t="shared" si="11"/>
        <v>2</v>
      </c>
      <c r="Y19" s="17">
        <f t="shared" si="11"/>
        <v>8</v>
      </c>
      <c r="Z19" s="17">
        <f t="shared" si="11"/>
        <v>2</v>
      </c>
      <c r="AA19" s="17">
        <f t="shared" si="11"/>
        <v>0</v>
      </c>
      <c r="AB19" s="17">
        <f t="shared" si="11"/>
        <v>5</v>
      </c>
      <c r="AC19" s="17">
        <f t="shared" si="11"/>
        <v>311</v>
      </c>
      <c r="AD19" s="17">
        <f t="shared" si="11"/>
        <v>0</v>
      </c>
      <c r="AE19" s="31">
        <f t="shared" si="11"/>
        <v>100</v>
      </c>
      <c r="AF19" s="31">
        <f t="shared" si="11"/>
        <v>411</v>
      </c>
    </row>
    <row r="20" spans="2:32" ht="23.1" customHeight="1" x14ac:dyDescent="0.25">
      <c r="B20" s="23" t="s">
        <v>47</v>
      </c>
      <c r="C20" s="50">
        <v>6</v>
      </c>
      <c r="D20" s="50">
        <v>2</v>
      </c>
      <c r="E20" s="50">
        <v>5</v>
      </c>
      <c r="F20" s="50">
        <v>2</v>
      </c>
      <c r="G20" s="50">
        <v>0</v>
      </c>
      <c r="H20" s="50">
        <v>0</v>
      </c>
      <c r="I20" s="50">
        <f>'[1]RD116 MCC'!O400</f>
        <v>3</v>
      </c>
      <c r="J20" s="50">
        <v>0</v>
      </c>
      <c r="K20" s="50">
        <v>0</v>
      </c>
      <c r="L20" s="50">
        <v>3</v>
      </c>
      <c r="M20" s="50">
        <v>80</v>
      </c>
      <c r="N20" s="50">
        <v>0</v>
      </c>
      <c r="O20" s="15">
        <f t="shared" si="2"/>
        <v>21</v>
      </c>
      <c r="P20" s="15">
        <f t="shared" si="0"/>
        <v>101</v>
      </c>
      <c r="R20" s="1" t="s">
        <v>16</v>
      </c>
      <c r="S20" s="17">
        <f t="shared" ref="S20:AF20" si="12">SUM(C50:C53)</f>
        <v>30</v>
      </c>
      <c r="T20" s="17">
        <f t="shared" si="12"/>
        <v>12</v>
      </c>
      <c r="U20" s="17">
        <f t="shared" si="12"/>
        <v>26</v>
      </c>
      <c r="V20" s="17">
        <f t="shared" si="12"/>
        <v>4</v>
      </c>
      <c r="W20" s="17">
        <f t="shared" si="12"/>
        <v>0</v>
      </c>
      <c r="X20" s="17">
        <f t="shared" si="12"/>
        <v>2</v>
      </c>
      <c r="Y20" s="17">
        <f t="shared" si="12"/>
        <v>11</v>
      </c>
      <c r="Z20" s="17">
        <f t="shared" si="12"/>
        <v>1</v>
      </c>
      <c r="AA20" s="17">
        <f t="shared" si="12"/>
        <v>1</v>
      </c>
      <c r="AB20" s="17">
        <f t="shared" si="12"/>
        <v>3</v>
      </c>
      <c r="AC20" s="17">
        <f t="shared" si="12"/>
        <v>325</v>
      </c>
      <c r="AD20" s="17">
        <f t="shared" si="12"/>
        <v>0</v>
      </c>
      <c r="AE20" s="31">
        <f t="shared" si="12"/>
        <v>90</v>
      </c>
      <c r="AF20" s="31">
        <f t="shared" si="12"/>
        <v>415</v>
      </c>
    </row>
    <row r="21" spans="2:32" ht="23.1" customHeight="1" x14ac:dyDescent="0.25">
      <c r="B21" s="23" t="s">
        <v>48</v>
      </c>
      <c r="C21" s="50">
        <v>5</v>
      </c>
      <c r="D21" s="50">
        <v>2</v>
      </c>
      <c r="E21" s="50">
        <v>5</v>
      </c>
      <c r="F21" s="50">
        <v>1</v>
      </c>
      <c r="G21" s="50">
        <v>0</v>
      </c>
      <c r="H21" s="50">
        <v>0</v>
      </c>
      <c r="I21" s="50">
        <f>'[1]RD116 MCC'!O401</f>
        <v>3</v>
      </c>
      <c r="J21" s="50">
        <v>1</v>
      </c>
      <c r="K21" s="50">
        <v>0</v>
      </c>
      <c r="L21" s="50">
        <v>0</v>
      </c>
      <c r="M21" s="50">
        <v>62</v>
      </c>
      <c r="N21" s="50">
        <v>0</v>
      </c>
      <c r="O21" s="15">
        <f t="shared" si="2"/>
        <v>17</v>
      </c>
      <c r="P21" s="15">
        <f t="shared" si="0"/>
        <v>79</v>
      </c>
      <c r="R21" s="36" t="s">
        <v>20</v>
      </c>
      <c r="S21" s="34">
        <f t="shared" ref="S21:AF21" si="13">SUM(C54:C57)</f>
        <v>36</v>
      </c>
      <c r="T21" s="17">
        <f t="shared" si="13"/>
        <v>10</v>
      </c>
      <c r="U21" s="17">
        <f t="shared" si="13"/>
        <v>21</v>
      </c>
      <c r="V21" s="17">
        <f t="shared" si="13"/>
        <v>5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329</v>
      </c>
      <c r="AD21" s="17">
        <f t="shared" si="13"/>
        <v>0</v>
      </c>
      <c r="AE21" s="31">
        <f t="shared" si="13"/>
        <v>84</v>
      </c>
      <c r="AF21" s="31">
        <f t="shared" si="13"/>
        <v>413</v>
      </c>
    </row>
    <row r="22" spans="2:32" ht="23.1" customHeight="1" x14ac:dyDescent="0.25">
      <c r="B22" s="23" t="s">
        <v>49</v>
      </c>
      <c r="C22" s="50">
        <v>7</v>
      </c>
      <c r="D22" s="50">
        <v>2</v>
      </c>
      <c r="E22" s="50">
        <v>5</v>
      </c>
      <c r="F22" s="50">
        <v>1</v>
      </c>
      <c r="G22" s="50">
        <v>0</v>
      </c>
      <c r="H22" s="50">
        <v>0</v>
      </c>
      <c r="I22" s="50">
        <f>'[1]RD116 MCC'!O402</f>
        <v>2</v>
      </c>
      <c r="J22" s="50">
        <v>1</v>
      </c>
      <c r="K22" s="50">
        <v>1</v>
      </c>
      <c r="L22" s="50">
        <v>1</v>
      </c>
      <c r="M22" s="50">
        <v>67</v>
      </c>
      <c r="N22" s="50">
        <v>0</v>
      </c>
      <c r="O22" s="15">
        <f t="shared" si="2"/>
        <v>20</v>
      </c>
      <c r="P22" s="15">
        <f t="shared" si="0"/>
        <v>87</v>
      </c>
      <c r="R22" s="38" t="s">
        <v>90</v>
      </c>
      <c r="S22" s="39">
        <f>MAX(S10:S12)</f>
        <v>53</v>
      </c>
      <c r="T22" s="39">
        <f t="shared" ref="T22:AF22" si="14">MAX(T10:T12)</f>
        <v>8</v>
      </c>
      <c r="U22" s="39">
        <f t="shared" si="14"/>
        <v>19</v>
      </c>
      <c r="V22" s="39">
        <f t="shared" si="14"/>
        <v>4</v>
      </c>
      <c r="W22" s="39">
        <f t="shared" si="14"/>
        <v>1</v>
      </c>
      <c r="X22" s="39">
        <f t="shared" si="14"/>
        <v>1</v>
      </c>
      <c r="Y22" s="39">
        <f t="shared" si="14"/>
        <v>8</v>
      </c>
      <c r="Z22" s="39">
        <f t="shared" si="14"/>
        <v>3</v>
      </c>
      <c r="AA22" s="39">
        <f t="shared" si="14"/>
        <v>1</v>
      </c>
      <c r="AB22" s="39">
        <f t="shared" si="14"/>
        <v>10</v>
      </c>
      <c r="AC22" s="39">
        <f t="shared" si="14"/>
        <v>392</v>
      </c>
      <c r="AD22" s="39">
        <f t="shared" si="14"/>
        <v>0</v>
      </c>
      <c r="AE22" s="40">
        <f t="shared" si="14"/>
        <v>93</v>
      </c>
      <c r="AF22" s="40">
        <f t="shared" si="14"/>
        <v>460</v>
      </c>
    </row>
    <row r="23" spans="2:32" ht="23.1" customHeight="1" x14ac:dyDescent="0.25">
      <c r="B23" s="23" t="s">
        <v>50</v>
      </c>
      <c r="C23" s="50">
        <v>5</v>
      </c>
      <c r="D23" s="50">
        <v>3</v>
      </c>
      <c r="E23" s="50">
        <v>6</v>
      </c>
      <c r="F23" s="50">
        <v>1</v>
      </c>
      <c r="G23" s="50">
        <v>0</v>
      </c>
      <c r="H23" s="50">
        <v>0</v>
      </c>
      <c r="I23" s="50">
        <f>'[1]RD116 MCC'!O403</f>
        <v>2</v>
      </c>
      <c r="J23" s="50">
        <v>1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2"/>
        <v>18</v>
      </c>
      <c r="P23" s="15">
        <f t="shared" si="0"/>
        <v>78</v>
      </c>
      <c r="R23" s="38" t="s">
        <v>91</v>
      </c>
      <c r="S23" s="39">
        <f>MAX(S13:S18)</f>
        <v>30</v>
      </c>
      <c r="T23" s="39">
        <f t="shared" ref="T23:AF23" si="15">MAX(T13:T18)</f>
        <v>11</v>
      </c>
      <c r="U23" s="39">
        <f t="shared" si="15"/>
        <v>23</v>
      </c>
      <c r="V23" s="39">
        <f t="shared" si="15"/>
        <v>6</v>
      </c>
      <c r="W23" s="39">
        <f t="shared" si="15"/>
        <v>2</v>
      </c>
      <c r="X23" s="39">
        <f t="shared" si="15"/>
        <v>3</v>
      </c>
      <c r="Y23" s="39">
        <f t="shared" si="15"/>
        <v>10</v>
      </c>
      <c r="Z23" s="39">
        <f t="shared" si="15"/>
        <v>3</v>
      </c>
      <c r="AA23" s="39">
        <f t="shared" si="15"/>
        <v>2</v>
      </c>
      <c r="AB23" s="39">
        <f t="shared" si="15"/>
        <v>6</v>
      </c>
      <c r="AC23" s="39">
        <f t="shared" si="15"/>
        <v>255</v>
      </c>
      <c r="AD23" s="39">
        <f t="shared" si="15"/>
        <v>0</v>
      </c>
      <c r="AE23" s="40">
        <f t="shared" si="15"/>
        <v>80</v>
      </c>
      <c r="AF23" s="40">
        <f t="shared" si="15"/>
        <v>327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f>'[1]RD116 MCC'!O404</f>
        <v>5</v>
      </c>
      <c r="J24" s="50">
        <v>0</v>
      </c>
      <c r="K24" s="50">
        <v>0</v>
      </c>
      <c r="L24" s="50">
        <v>4</v>
      </c>
      <c r="M24" s="50">
        <v>45</v>
      </c>
      <c r="N24" s="50">
        <v>0</v>
      </c>
      <c r="O24" s="15">
        <f t="shared" si="2"/>
        <v>14</v>
      </c>
      <c r="P24" s="15">
        <f t="shared" si="0"/>
        <v>59</v>
      </c>
      <c r="R24" s="38" t="s">
        <v>92</v>
      </c>
      <c r="S24" s="39">
        <f>MAX(S19:S21)</f>
        <v>48</v>
      </c>
      <c r="T24" s="39">
        <f t="shared" ref="T24:AF24" si="16">MAX(T19:T21)</f>
        <v>12</v>
      </c>
      <c r="U24" s="39">
        <f t="shared" si="16"/>
        <v>26</v>
      </c>
      <c r="V24" s="39">
        <f t="shared" si="16"/>
        <v>5</v>
      </c>
      <c r="W24" s="39">
        <f t="shared" si="16"/>
        <v>1</v>
      </c>
      <c r="X24" s="39">
        <f t="shared" si="16"/>
        <v>2</v>
      </c>
      <c r="Y24" s="39">
        <f t="shared" si="16"/>
        <v>11</v>
      </c>
      <c r="Z24" s="39">
        <f t="shared" si="16"/>
        <v>2</v>
      </c>
      <c r="AA24" s="39">
        <f t="shared" si="16"/>
        <v>1</v>
      </c>
      <c r="AB24" s="39">
        <f t="shared" si="16"/>
        <v>5</v>
      </c>
      <c r="AC24" s="39">
        <f t="shared" si="16"/>
        <v>329</v>
      </c>
      <c r="AD24" s="39">
        <f t="shared" si="16"/>
        <v>0</v>
      </c>
      <c r="AE24" s="40">
        <f t="shared" si="16"/>
        <v>100</v>
      </c>
      <c r="AF24" s="40">
        <f t="shared" si="16"/>
        <v>415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f>'[1]RD116 MCC'!O405</f>
        <v>1</v>
      </c>
      <c r="J25" s="50">
        <v>0</v>
      </c>
      <c r="K25" s="50">
        <v>0</v>
      </c>
      <c r="L25" s="50">
        <v>1</v>
      </c>
      <c r="M25" s="50">
        <v>39</v>
      </c>
      <c r="N25" s="50">
        <v>0</v>
      </c>
      <c r="O25" s="15">
        <f t="shared" si="2"/>
        <v>10</v>
      </c>
      <c r="P25" s="15">
        <f t="shared" si="0"/>
        <v>49</v>
      </c>
      <c r="R25" s="37" t="s">
        <v>85</v>
      </c>
      <c r="S25" s="35">
        <f t="shared" ref="S25:AF25" si="17">SUM(S10:S12)</f>
        <v>107</v>
      </c>
      <c r="T25" s="16">
        <f t="shared" si="17"/>
        <v>18</v>
      </c>
      <c r="U25" s="16">
        <f t="shared" si="17"/>
        <v>44</v>
      </c>
      <c r="V25" s="16">
        <f t="shared" si="17"/>
        <v>10</v>
      </c>
      <c r="W25" s="16">
        <f t="shared" si="17"/>
        <v>1</v>
      </c>
      <c r="X25" s="16">
        <f t="shared" si="17"/>
        <v>1</v>
      </c>
      <c r="Y25" s="16">
        <f t="shared" si="17"/>
        <v>19</v>
      </c>
      <c r="Z25" s="16">
        <f t="shared" si="17"/>
        <v>6</v>
      </c>
      <c r="AA25" s="16">
        <f t="shared" si="17"/>
        <v>2</v>
      </c>
      <c r="AB25" s="16">
        <f t="shared" si="17"/>
        <v>27</v>
      </c>
      <c r="AC25" s="16">
        <f t="shared" si="17"/>
        <v>973</v>
      </c>
      <c r="AD25" s="16">
        <f t="shared" si="17"/>
        <v>0</v>
      </c>
      <c r="AE25" s="32">
        <f t="shared" si="17"/>
        <v>235</v>
      </c>
      <c r="AF25" s="32">
        <f t="shared" si="17"/>
        <v>1208</v>
      </c>
    </row>
    <row r="26" spans="2:32" ht="23.1" customHeight="1" x14ac:dyDescent="0.25">
      <c r="B26" s="23" t="s">
        <v>53</v>
      </c>
      <c r="C26" s="50">
        <v>2</v>
      </c>
      <c r="D26" s="50">
        <v>2</v>
      </c>
      <c r="E26" s="50">
        <v>5</v>
      </c>
      <c r="F26" s="50">
        <v>0</v>
      </c>
      <c r="G26" s="50">
        <v>0</v>
      </c>
      <c r="H26" s="50">
        <v>1</v>
      </c>
      <c r="I26" s="50">
        <f>'[1]RD116 MCC'!O406</f>
        <v>1</v>
      </c>
      <c r="J26" s="50">
        <v>0</v>
      </c>
      <c r="K26" s="50">
        <v>0</v>
      </c>
      <c r="L26" s="50">
        <v>1</v>
      </c>
      <c r="M26" s="50">
        <v>47</v>
      </c>
      <c r="N26" s="50">
        <v>0</v>
      </c>
      <c r="O26" s="15">
        <f t="shared" si="2"/>
        <v>12</v>
      </c>
      <c r="P26" s="15">
        <f t="shared" si="0"/>
        <v>59</v>
      </c>
      <c r="R26" s="28" t="s">
        <v>86</v>
      </c>
      <c r="S26" s="16">
        <f t="shared" ref="S26:AF26" si="18">SUM(S13:S18)</f>
        <v>140</v>
      </c>
      <c r="T26" s="16">
        <f t="shared" si="18"/>
        <v>52</v>
      </c>
      <c r="U26" s="16">
        <f t="shared" si="18"/>
        <v>110</v>
      </c>
      <c r="V26" s="16">
        <f t="shared" si="18"/>
        <v>14</v>
      </c>
      <c r="W26" s="16">
        <f t="shared" si="18"/>
        <v>3</v>
      </c>
      <c r="X26" s="16">
        <f t="shared" si="18"/>
        <v>9</v>
      </c>
      <c r="Y26" s="16">
        <f t="shared" si="18"/>
        <v>38</v>
      </c>
      <c r="Z26" s="16">
        <f t="shared" si="18"/>
        <v>9</v>
      </c>
      <c r="AA26" s="16">
        <f t="shared" si="18"/>
        <v>5</v>
      </c>
      <c r="AB26" s="16">
        <f t="shared" si="18"/>
        <v>22</v>
      </c>
      <c r="AC26" s="16">
        <f t="shared" si="18"/>
        <v>1279</v>
      </c>
      <c r="AD26" s="16">
        <f t="shared" si="18"/>
        <v>0</v>
      </c>
      <c r="AE26" s="32">
        <f t="shared" si="18"/>
        <v>402</v>
      </c>
      <c r="AF26" s="32">
        <f t="shared" si="18"/>
        <v>1681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0</v>
      </c>
      <c r="F27" s="50">
        <v>0</v>
      </c>
      <c r="G27" s="50">
        <v>1</v>
      </c>
      <c r="H27" s="50">
        <v>0</v>
      </c>
      <c r="I27" s="50">
        <f>'[1]RD116 MCC'!O407</f>
        <v>0</v>
      </c>
      <c r="J27" s="50">
        <v>0</v>
      </c>
      <c r="K27" s="50">
        <v>0</v>
      </c>
      <c r="L27" s="50">
        <v>0</v>
      </c>
      <c r="M27" s="50">
        <v>41</v>
      </c>
      <c r="N27" s="50">
        <v>0</v>
      </c>
      <c r="O27" s="15">
        <f t="shared" si="2"/>
        <v>6</v>
      </c>
      <c r="P27" s="15">
        <f t="shared" si="0"/>
        <v>47</v>
      </c>
      <c r="R27" s="29" t="s">
        <v>87</v>
      </c>
      <c r="S27" s="16">
        <f t="shared" ref="S27:AF27" si="19">SUM(S19:S21)</f>
        <v>114</v>
      </c>
      <c r="T27" s="16">
        <f t="shared" si="19"/>
        <v>33</v>
      </c>
      <c r="U27" s="16">
        <f t="shared" si="19"/>
        <v>70</v>
      </c>
      <c r="V27" s="16">
        <f t="shared" si="19"/>
        <v>10</v>
      </c>
      <c r="W27" s="16">
        <f t="shared" si="19"/>
        <v>1</v>
      </c>
      <c r="X27" s="16">
        <f t="shared" si="19"/>
        <v>4</v>
      </c>
      <c r="Y27" s="16">
        <f t="shared" si="19"/>
        <v>26</v>
      </c>
      <c r="Z27" s="16">
        <f t="shared" si="19"/>
        <v>3</v>
      </c>
      <c r="AA27" s="16">
        <f t="shared" si="19"/>
        <v>1</v>
      </c>
      <c r="AB27" s="16">
        <f t="shared" si="19"/>
        <v>12</v>
      </c>
      <c r="AC27" s="16">
        <f t="shared" si="19"/>
        <v>965</v>
      </c>
      <c r="AD27" s="16">
        <f t="shared" si="19"/>
        <v>0</v>
      </c>
      <c r="AE27" s="32">
        <f t="shared" si="19"/>
        <v>274</v>
      </c>
      <c r="AF27" s="32">
        <f t="shared" si="19"/>
        <v>1239</v>
      </c>
    </row>
    <row r="28" spans="2:32" ht="23.1" customHeight="1" x14ac:dyDescent="0.25">
      <c r="B28" s="23" t="s">
        <v>55</v>
      </c>
      <c r="C28" s="50">
        <v>9</v>
      </c>
      <c r="D28" s="50">
        <v>2</v>
      </c>
      <c r="E28" s="50">
        <v>5</v>
      </c>
      <c r="F28" s="50">
        <v>1</v>
      </c>
      <c r="G28" s="50">
        <v>1</v>
      </c>
      <c r="H28" s="50">
        <v>0</v>
      </c>
      <c r="I28" s="50">
        <f>'[1]RD116 MCC'!O408</f>
        <v>3</v>
      </c>
      <c r="J28" s="50">
        <v>0</v>
      </c>
      <c r="K28" s="50">
        <v>0</v>
      </c>
      <c r="L28" s="50">
        <v>0</v>
      </c>
      <c r="M28" s="50">
        <v>60</v>
      </c>
      <c r="N28" s="50">
        <v>0</v>
      </c>
      <c r="O28" s="15">
        <f t="shared" si="2"/>
        <v>21</v>
      </c>
      <c r="P28" s="15">
        <f t="shared" si="0"/>
        <v>81</v>
      </c>
      <c r="R28" s="5" t="s">
        <v>17</v>
      </c>
      <c r="S28" s="16">
        <f t="shared" ref="S28:AF28" si="20">SUM(S10:S21)</f>
        <v>361</v>
      </c>
      <c r="T28" s="16">
        <f t="shared" si="20"/>
        <v>103</v>
      </c>
      <c r="U28" s="16">
        <f t="shared" si="20"/>
        <v>224</v>
      </c>
      <c r="V28" s="16">
        <f t="shared" si="20"/>
        <v>34</v>
      </c>
      <c r="W28" s="16">
        <f t="shared" si="20"/>
        <v>5</v>
      </c>
      <c r="X28" s="16">
        <f t="shared" si="20"/>
        <v>14</v>
      </c>
      <c r="Y28" s="16">
        <f t="shared" si="20"/>
        <v>83</v>
      </c>
      <c r="Z28" s="16">
        <f t="shared" si="20"/>
        <v>18</v>
      </c>
      <c r="AA28" s="16">
        <f t="shared" si="20"/>
        <v>8</v>
      </c>
      <c r="AB28" s="16">
        <f t="shared" si="20"/>
        <v>61</v>
      </c>
      <c r="AC28" s="16">
        <f t="shared" si="20"/>
        <v>3217</v>
      </c>
      <c r="AD28" s="16">
        <f t="shared" si="20"/>
        <v>0</v>
      </c>
      <c r="AE28" s="32">
        <f t="shared" si="20"/>
        <v>911</v>
      </c>
      <c r="AF28" s="32">
        <f t="shared" si="20"/>
        <v>4128</v>
      </c>
    </row>
    <row r="29" spans="2:32" ht="23.1" customHeight="1" x14ac:dyDescent="0.25">
      <c r="B29" s="23" t="s">
        <v>56</v>
      </c>
      <c r="C29" s="50">
        <v>6</v>
      </c>
      <c r="D29" s="50">
        <v>3</v>
      </c>
      <c r="E29" s="50">
        <v>6</v>
      </c>
      <c r="F29" s="50">
        <v>0</v>
      </c>
      <c r="G29" s="50">
        <v>0</v>
      </c>
      <c r="H29" s="50">
        <v>1</v>
      </c>
      <c r="I29" s="50">
        <f>'[1]RD116 MCC'!O409</f>
        <v>1</v>
      </c>
      <c r="J29" s="50">
        <v>0</v>
      </c>
      <c r="K29" s="50">
        <v>0</v>
      </c>
      <c r="L29" s="50">
        <v>2</v>
      </c>
      <c r="M29" s="50">
        <v>45</v>
      </c>
      <c r="N29" s="50">
        <v>0</v>
      </c>
      <c r="O29" s="15">
        <f t="shared" si="2"/>
        <v>19</v>
      </c>
      <c r="P29" s="15">
        <f t="shared" si="0"/>
        <v>64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3</v>
      </c>
      <c r="E30" s="50">
        <v>6</v>
      </c>
      <c r="F30" s="50">
        <v>3</v>
      </c>
      <c r="G30" s="50">
        <v>0</v>
      </c>
      <c r="H30" s="50">
        <v>1</v>
      </c>
      <c r="I30" s="50">
        <f>'[1]RD116 MCC'!O410</f>
        <v>0</v>
      </c>
      <c r="J30" s="50">
        <v>1</v>
      </c>
      <c r="K30" s="50">
        <v>0</v>
      </c>
      <c r="L30" s="50">
        <v>1</v>
      </c>
      <c r="M30" s="50">
        <v>70</v>
      </c>
      <c r="N30" s="50">
        <v>0</v>
      </c>
      <c r="O30" s="15">
        <f t="shared" si="2"/>
        <v>23</v>
      </c>
      <c r="P30" s="15">
        <f t="shared" si="0"/>
        <v>93</v>
      </c>
    </row>
    <row r="31" spans="2:32" ht="23.1" customHeight="1" x14ac:dyDescent="0.25">
      <c r="B31" s="24" t="s">
        <v>58</v>
      </c>
      <c r="C31" s="50">
        <v>7</v>
      </c>
      <c r="D31" s="50">
        <v>2</v>
      </c>
      <c r="E31" s="50">
        <v>4</v>
      </c>
      <c r="F31" s="50">
        <v>1</v>
      </c>
      <c r="G31" s="50">
        <v>0</v>
      </c>
      <c r="H31" s="50">
        <v>1</v>
      </c>
      <c r="I31" s="50">
        <f>'[1]RD116 MCC'!O411</f>
        <v>2</v>
      </c>
      <c r="J31" s="50">
        <v>0</v>
      </c>
      <c r="K31" s="50">
        <v>0</v>
      </c>
      <c r="L31" s="50">
        <v>2</v>
      </c>
      <c r="M31" s="50">
        <v>63</v>
      </c>
      <c r="N31" s="50">
        <v>0</v>
      </c>
      <c r="O31" s="15">
        <f t="shared" si="2"/>
        <v>19</v>
      </c>
      <c r="P31" s="15">
        <f t="shared" si="0"/>
        <v>82</v>
      </c>
    </row>
    <row r="32" spans="2:32" ht="23.1" customHeight="1" x14ac:dyDescent="0.25">
      <c r="B32" s="24" t="s">
        <v>59</v>
      </c>
      <c r="C32" s="50">
        <v>7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f>'[1]RD116 MCC'!O412</f>
        <v>1</v>
      </c>
      <c r="J32" s="50">
        <v>0</v>
      </c>
      <c r="K32" s="50">
        <v>0</v>
      </c>
      <c r="L32" s="50">
        <v>1</v>
      </c>
      <c r="M32" s="50">
        <v>67</v>
      </c>
      <c r="N32" s="50">
        <v>0</v>
      </c>
      <c r="O32" s="15">
        <f t="shared" si="2"/>
        <v>12</v>
      </c>
      <c r="P32" s="15">
        <f t="shared" si="0"/>
        <v>79</v>
      </c>
    </row>
    <row r="33" spans="2:20" ht="23.1" customHeight="1" x14ac:dyDescent="0.25">
      <c r="B33" s="23" t="s">
        <v>60</v>
      </c>
      <c r="C33" s="50">
        <v>7</v>
      </c>
      <c r="D33" s="50">
        <v>3</v>
      </c>
      <c r="E33" s="50">
        <v>6</v>
      </c>
      <c r="F33" s="50">
        <v>0</v>
      </c>
      <c r="G33" s="50">
        <v>0</v>
      </c>
      <c r="H33" s="50">
        <v>0</v>
      </c>
      <c r="I33" s="50">
        <f>'[1]RD116 MCC'!O413</f>
        <v>2</v>
      </c>
      <c r="J33" s="50">
        <v>0</v>
      </c>
      <c r="K33" s="50">
        <v>0</v>
      </c>
      <c r="L33" s="50">
        <v>0</v>
      </c>
      <c r="M33" s="50">
        <v>55</v>
      </c>
      <c r="N33" s="50">
        <v>0</v>
      </c>
      <c r="O33" s="15">
        <f t="shared" si="2"/>
        <v>18</v>
      </c>
      <c r="P33" s="15">
        <f t="shared" si="0"/>
        <v>73</v>
      </c>
    </row>
    <row r="34" spans="2:20" ht="23.1" customHeight="1" x14ac:dyDescent="0.25">
      <c r="B34" s="24" t="s">
        <v>61</v>
      </c>
      <c r="C34" s="50">
        <v>8</v>
      </c>
      <c r="D34" s="50">
        <v>5</v>
      </c>
      <c r="E34" s="50">
        <v>10</v>
      </c>
      <c r="F34" s="50">
        <v>1</v>
      </c>
      <c r="G34" s="50">
        <v>0</v>
      </c>
      <c r="H34" s="50">
        <v>0</v>
      </c>
      <c r="I34" s="50">
        <f>'[1]RD116 MCC'!O414</f>
        <v>3</v>
      </c>
      <c r="J34" s="50">
        <v>1</v>
      </c>
      <c r="K34" s="50">
        <v>0</v>
      </c>
      <c r="L34" s="50">
        <v>3</v>
      </c>
      <c r="M34" s="50">
        <v>52</v>
      </c>
      <c r="N34" s="50">
        <v>0</v>
      </c>
      <c r="O34" s="15">
        <f t="shared" si="2"/>
        <v>31</v>
      </c>
      <c r="P34" s="15">
        <f t="shared" si="0"/>
        <v>83</v>
      </c>
    </row>
    <row r="35" spans="2:20" ht="23.1" customHeight="1" x14ac:dyDescent="0.25">
      <c r="B35" s="24" t="s">
        <v>62</v>
      </c>
      <c r="C35" s="50">
        <v>5</v>
      </c>
      <c r="D35" s="50">
        <v>3</v>
      </c>
      <c r="E35" s="50">
        <v>6</v>
      </c>
      <c r="F35" s="50">
        <v>1</v>
      </c>
      <c r="G35" s="50">
        <v>0</v>
      </c>
      <c r="H35" s="50">
        <v>0</v>
      </c>
      <c r="I35" s="50">
        <f>'[1]RD116 MCC'!O415</f>
        <v>1</v>
      </c>
      <c r="J35" s="50">
        <v>0</v>
      </c>
      <c r="K35" s="50">
        <v>0</v>
      </c>
      <c r="L35" s="50">
        <v>2</v>
      </c>
      <c r="M35" s="50">
        <v>45</v>
      </c>
      <c r="N35" s="50">
        <v>0</v>
      </c>
      <c r="O35" s="15">
        <f t="shared" si="2"/>
        <v>18</v>
      </c>
      <c r="P35" s="15">
        <f t="shared" si="0"/>
        <v>63</v>
      </c>
    </row>
    <row r="36" spans="2:20" ht="23.1" customHeight="1" x14ac:dyDescent="0.25">
      <c r="B36" s="24" t="s">
        <v>63</v>
      </c>
      <c r="C36" s="50">
        <v>9</v>
      </c>
      <c r="D36" s="50">
        <v>1</v>
      </c>
      <c r="E36" s="50">
        <v>2</v>
      </c>
      <c r="F36" s="50">
        <v>3</v>
      </c>
      <c r="G36" s="50">
        <v>0</v>
      </c>
      <c r="H36" s="50">
        <v>0</v>
      </c>
      <c r="I36" s="50">
        <f>'[1]RD116 MCC'!O416</f>
        <v>0</v>
      </c>
      <c r="J36" s="50">
        <v>1</v>
      </c>
      <c r="K36" s="50">
        <v>0</v>
      </c>
      <c r="L36" s="50">
        <v>0</v>
      </c>
      <c r="M36" s="50">
        <v>59</v>
      </c>
      <c r="N36" s="50">
        <v>0</v>
      </c>
      <c r="O36" s="15">
        <f t="shared" si="2"/>
        <v>16</v>
      </c>
      <c r="P36" s="15">
        <f t="shared" si="0"/>
        <v>75</v>
      </c>
    </row>
    <row r="37" spans="2:20" ht="23.1" customHeight="1" x14ac:dyDescent="0.25">
      <c r="B37" s="23" t="s">
        <v>64</v>
      </c>
      <c r="C37" s="50">
        <v>4</v>
      </c>
      <c r="D37" s="50">
        <v>2</v>
      </c>
      <c r="E37" s="50">
        <v>5</v>
      </c>
      <c r="F37" s="50">
        <v>1</v>
      </c>
      <c r="G37" s="50">
        <v>1</v>
      </c>
      <c r="H37" s="50">
        <v>0</v>
      </c>
      <c r="I37" s="50">
        <f>'[1]RD116 MCC'!O417</f>
        <v>2</v>
      </c>
      <c r="J37" s="50">
        <v>0</v>
      </c>
      <c r="K37" s="50">
        <v>0</v>
      </c>
      <c r="L37" s="50">
        <v>0</v>
      </c>
      <c r="M37" s="50">
        <v>56</v>
      </c>
      <c r="N37" s="50">
        <v>0</v>
      </c>
      <c r="O37" s="15">
        <f t="shared" si="2"/>
        <v>15</v>
      </c>
      <c r="P37" s="15">
        <f t="shared" si="0"/>
        <v>71</v>
      </c>
    </row>
    <row r="38" spans="2:20" ht="23.1" customHeight="1" x14ac:dyDescent="0.25">
      <c r="B38" s="24" t="s">
        <v>65</v>
      </c>
      <c r="C38" s="50">
        <v>4</v>
      </c>
      <c r="D38" s="50">
        <v>2</v>
      </c>
      <c r="E38" s="50">
        <v>4</v>
      </c>
      <c r="F38" s="50">
        <v>0</v>
      </c>
      <c r="G38" s="50">
        <v>0</v>
      </c>
      <c r="H38" s="50">
        <v>1</v>
      </c>
      <c r="I38" s="50">
        <f>'[1]RD116 MCC'!O418</f>
        <v>0</v>
      </c>
      <c r="J38" s="50">
        <v>0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2"/>
        <v>11</v>
      </c>
      <c r="P38" s="15">
        <f t="shared" si="0"/>
        <v>61</v>
      </c>
    </row>
    <row r="39" spans="2:20" ht="23.1" customHeight="1" x14ac:dyDescent="0.25">
      <c r="B39" s="24" t="s">
        <v>66</v>
      </c>
      <c r="C39" s="50">
        <v>5</v>
      </c>
      <c r="D39" s="50">
        <v>1</v>
      </c>
      <c r="E39" s="50">
        <v>3</v>
      </c>
      <c r="F39" s="50">
        <v>0</v>
      </c>
      <c r="G39" s="50">
        <v>0</v>
      </c>
      <c r="H39" s="50">
        <v>0</v>
      </c>
      <c r="I39" s="50">
        <f>'[1]RD116 MCC'!O419</f>
        <v>0</v>
      </c>
      <c r="J39" s="50">
        <v>0</v>
      </c>
      <c r="K39" s="50">
        <v>0</v>
      </c>
      <c r="L39" s="50">
        <v>1</v>
      </c>
      <c r="M39" s="50">
        <v>62</v>
      </c>
      <c r="N39" s="50">
        <v>0</v>
      </c>
      <c r="O39" s="15">
        <f t="shared" si="2"/>
        <v>10</v>
      </c>
      <c r="P39" s="15">
        <f t="shared" si="0"/>
        <v>72</v>
      </c>
    </row>
    <row r="40" spans="2:20" ht="23.1" customHeight="1" x14ac:dyDescent="0.25">
      <c r="B40" s="24" t="s">
        <v>67</v>
      </c>
      <c r="C40" s="50">
        <v>2</v>
      </c>
      <c r="D40" s="50">
        <v>1</v>
      </c>
      <c r="E40" s="50">
        <v>3</v>
      </c>
      <c r="F40" s="50">
        <v>1</v>
      </c>
      <c r="G40" s="50">
        <v>0</v>
      </c>
      <c r="H40" s="50">
        <v>1</v>
      </c>
      <c r="I40" s="50">
        <f>'[1]RD116 MCC'!O420</f>
        <v>2</v>
      </c>
      <c r="J40" s="50">
        <v>0</v>
      </c>
      <c r="K40" s="50">
        <v>2</v>
      </c>
      <c r="L40" s="50">
        <v>0</v>
      </c>
      <c r="M40" s="50">
        <v>52</v>
      </c>
      <c r="N40" s="50">
        <v>0</v>
      </c>
      <c r="O40" s="15">
        <f t="shared" si="2"/>
        <v>12</v>
      </c>
      <c r="P40" s="15">
        <f t="shared" si="0"/>
        <v>64</v>
      </c>
    </row>
    <row r="41" spans="2:20" ht="23.1" customHeight="1" x14ac:dyDescent="0.25">
      <c r="B41" s="23" t="s">
        <v>68</v>
      </c>
      <c r="C41" s="50">
        <v>3</v>
      </c>
      <c r="D41" s="50">
        <v>5</v>
      </c>
      <c r="E41" s="50">
        <v>10</v>
      </c>
      <c r="F41" s="50">
        <v>0</v>
      </c>
      <c r="G41" s="50">
        <v>0</v>
      </c>
      <c r="H41" s="50">
        <v>0</v>
      </c>
      <c r="I41" s="50">
        <f>'[1]RD116 MCC'!O421</f>
        <v>2</v>
      </c>
      <c r="J41" s="50">
        <v>1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2"/>
        <v>21</v>
      </c>
      <c r="P41" s="15">
        <f t="shared" si="0"/>
        <v>53</v>
      </c>
    </row>
    <row r="42" spans="2:20" ht="23.1" customHeight="1" x14ac:dyDescent="0.25">
      <c r="B42" s="24" t="s">
        <v>69</v>
      </c>
      <c r="C42" s="50">
        <v>7</v>
      </c>
      <c r="D42" s="50">
        <v>1</v>
      </c>
      <c r="E42" s="50">
        <v>2</v>
      </c>
      <c r="F42" s="50">
        <v>0</v>
      </c>
      <c r="G42" s="50">
        <v>0</v>
      </c>
      <c r="H42" s="50">
        <v>2</v>
      </c>
      <c r="I42" s="50">
        <f>'[1]RD116 MCC'!O422</f>
        <v>4</v>
      </c>
      <c r="J42" s="50">
        <v>2</v>
      </c>
      <c r="K42" s="50">
        <v>1</v>
      </c>
      <c r="L42" s="50">
        <v>1</v>
      </c>
      <c r="M42" s="50">
        <v>50</v>
      </c>
      <c r="N42" s="50">
        <v>0</v>
      </c>
      <c r="O42" s="15">
        <f t="shared" si="2"/>
        <v>20</v>
      </c>
      <c r="P42" s="15">
        <f t="shared" si="0"/>
        <v>70</v>
      </c>
    </row>
    <row r="43" spans="2:20" ht="23.1" customHeight="1" x14ac:dyDescent="0.25">
      <c r="B43" s="23" t="s">
        <v>70</v>
      </c>
      <c r="C43" s="50">
        <v>8</v>
      </c>
      <c r="D43" s="50">
        <v>1</v>
      </c>
      <c r="E43" s="50">
        <v>2</v>
      </c>
      <c r="F43" s="50">
        <v>0</v>
      </c>
      <c r="G43" s="50">
        <v>0</v>
      </c>
      <c r="H43" s="50">
        <v>0</v>
      </c>
      <c r="I43" s="50">
        <f>'[1]RD116 MCC'!O423</f>
        <v>2</v>
      </c>
      <c r="J43" s="50">
        <v>0</v>
      </c>
      <c r="K43" s="50">
        <v>0</v>
      </c>
      <c r="L43" s="50">
        <v>0</v>
      </c>
      <c r="M43" s="50">
        <v>47</v>
      </c>
      <c r="N43" s="50">
        <v>0</v>
      </c>
      <c r="O43" s="15">
        <f t="shared" si="2"/>
        <v>13</v>
      </c>
      <c r="P43" s="15">
        <f t="shared" si="0"/>
        <v>60</v>
      </c>
    </row>
    <row r="44" spans="2:20" ht="23.1" customHeight="1" x14ac:dyDescent="0.25">
      <c r="B44" s="25" t="s">
        <v>71</v>
      </c>
      <c r="C44" s="50">
        <v>5</v>
      </c>
      <c r="D44" s="50">
        <v>2</v>
      </c>
      <c r="E44" s="50">
        <v>4</v>
      </c>
      <c r="F44" s="50">
        <v>0</v>
      </c>
      <c r="G44" s="50">
        <v>0</v>
      </c>
      <c r="H44" s="50">
        <v>0</v>
      </c>
      <c r="I44" s="50">
        <f>'[1]RD116 MCC'!O424</f>
        <v>0</v>
      </c>
      <c r="J44" s="50">
        <v>1</v>
      </c>
      <c r="K44" s="50">
        <v>1</v>
      </c>
      <c r="L44" s="50">
        <v>1</v>
      </c>
      <c r="M44" s="50">
        <v>57</v>
      </c>
      <c r="N44" s="50">
        <v>0</v>
      </c>
      <c r="O44" s="15">
        <f t="shared" si="2"/>
        <v>14</v>
      </c>
      <c r="P44" s="15">
        <f t="shared" si="0"/>
        <v>71</v>
      </c>
    </row>
    <row r="45" spans="2:20" ht="23.1" customHeight="1" x14ac:dyDescent="0.25">
      <c r="B45" s="23" t="s">
        <v>72</v>
      </c>
      <c r="C45" s="50">
        <v>10</v>
      </c>
      <c r="D45" s="50">
        <v>5</v>
      </c>
      <c r="E45" s="50">
        <v>10</v>
      </c>
      <c r="F45" s="50">
        <v>0</v>
      </c>
      <c r="G45" s="50">
        <v>0</v>
      </c>
      <c r="H45" s="50">
        <v>1</v>
      </c>
      <c r="I45" s="50">
        <f>'[1]RD116 MCC'!O425</f>
        <v>2</v>
      </c>
      <c r="J45" s="50">
        <v>0</v>
      </c>
      <c r="K45" s="50">
        <v>0</v>
      </c>
      <c r="L45" s="50">
        <v>1</v>
      </c>
      <c r="M45" s="50">
        <v>58</v>
      </c>
      <c r="N45" s="50">
        <v>0</v>
      </c>
      <c r="O45" s="15">
        <f t="shared" si="2"/>
        <v>29</v>
      </c>
      <c r="P45" s="15">
        <f t="shared" si="0"/>
        <v>87</v>
      </c>
    </row>
    <row r="46" spans="2:20" ht="23.1" customHeight="1" x14ac:dyDescent="0.25">
      <c r="B46" s="24" t="s">
        <v>73</v>
      </c>
      <c r="C46" s="50">
        <v>21</v>
      </c>
      <c r="D46" s="50">
        <v>2</v>
      </c>
      <c r="E46" s="50">
        <v>4</v>
      </c>
      <c r="F46" s="50">
        <v>0</v>
      </c>
      <c r="G46" s="50">
        <v>0</v>
      </c>
      <c r="H46" s="50">
        <v>1</v>
      </c>
      <c r="I46" s="50">
        <f>'[1]RD116 MCC'!O426</f>
        <v>1</v>
      </c>
      <c r="J46" s="50">
        <v>1</v>
      </c>
      <c r="K46" s="50">
        <v>0</v>
      </c>
      <c r="L46" s="50">
        <v>0</v>
      </c>
      <c r="M46" s="50">
        <v>74</v>
      </c>
      <c r="N46" s="50">
        <v>0</v>
      </c>
      <c r="O46" s="15">
        <f t="shared" si="2"/>
        <v>30</v>
      </c>
      <c r="P46" s="15">
        <f t="shared" si="0"/>
        <v>104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3</v>
      </c>
      <c r="E47" s="50">
        <v>6</v>
      </c>
      <c r="F47" s="50">
        <v>0</v>
      </c>
      <c r="G47" s="50">
        <v>0</v>
      </c>
      <c r="H47" s="50">
        <v>1</v>
      </c>
      <c r="I47" s="50">
        <f>'[1]RD116 MCC'!O427</f>
        <v>1</v>
      </c>
      <c r="J47" s="50">
        <v>0</v>
      </c>
      <c r="K47" s="50">
        <v>0</v>
      </c>
      <c r="L47" s="50">
        <v>3</v>
      </c>
      <c r="M47" s="50">
        <v>75</v>
      </c>
      <c r="N47" s="50">
        <v>0</v>
      </c>
      <c r="O47" s="15">
        <f t="shared" si="2"/>
        <v>20</v>
      </c>
      <c r="P47" s="15">
        <f t="shared" si="0"/>
        <v>95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2</v>
      </c>
      <c r="E48" s="50">
        <v>5</v>
      </c>
      <c r="F48" s="50">
        <v>1</v>
      </c>
      <c r="G48" s="50">
        <v>0</v>
      </c>
      <c r="H48" s="50">
        <v>0</v>
      </c>
      <c r="I48" s="50">
        <f>'[1]RD116 MCC'!O428</f>
        <v>1</v>
      </c>
      <c r="J48" s="50">
        <v>0</v>
      </c>
      <c r="K48" s="50">
        <v>0</v>
      </c>
      <c r="L48" s="50">
        <v>0</v>
      </c>
      <c r="M48" s="50">
        <v>79</v>
      </c>
      <c r="N48" s="50">
        <v>0</v>
      </c>
      <c r="O48" s="15">
        <f t="shared" si="2"/>
        <v>18</v>
      </c>
      <c r="P48" s="15">
        <f t="shared" si="0"/>
        <v>97</v>
      </c>
      <c r="R48" s="8"/>
      <c r="T48"/>
    </row>
    <row r="49" spans="2:20" ht="23.1" customHeight="1" x14ac:dyDescent="0.25">
      <c r="B49" s="23" t="s">
        <v>76</v>
      </c>
      <c r="C49" s="50">
        <v>12</v>
      </c>
      <c r="D49" s="50">
        <v>4</v>
      </c>
      <c r="E49" s="50">
        <v>8</v>
      </c>
      <c r="F49" s="50">
        <v>0</v>
      </c>
      <c r="G49" s="50">
        <v>0</v>
      </c>
      <c r="H49" s="50">
        <v>0</v>
      </c>
      <c r="I49" s="50">
        <f>'[1]RD116 MCC'!O429</f>
        <v>5</v>
      </c>
      <c r="J49" s="50">
        <v>1</v>
      </c>
      <c r="K49" s="50">
        <v>0</v>
      </c>
      <c r="L49" s="50">
        <v>2</v>
      </c>
      <c r="M49" s="50">
        <v>83</v>
      </c>
      <c r="N49" s="50">
        <v>0</v>
      </c>
      <c r="O49" s="15">
        <f t="shared" si="2"/>
        <v>32</v>
      </c>
      <c r="P49" s="15">
        <f t="shared" si="0"/>
        <v>115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3</v>
      </c>
      <c r="E50" s="50">
        <v>7</v>
      </c>
      <c r="F50" s="50">
        <v>0</v>
      </c>
      <c r="G50" s="50">
        <v>0</v>
      </c>
      <c r="H50" s="50">
        <v>0</v>
      </c>
      <c r="I50" s="50">
        <f>'[1]RD116 MCC'!O430</f>
        <v>4</v>
      </c>
      <c r="J50" s="50">
        <v>0</v>
      </c>
      <c r="K50" s="50">
        <v>1</v>
      </c>
      <c r="L50" s="50">
        <v>1</v>
      </c>
      <c r="M50" s="50">
        <v>79</v>
      </c>
      <c r="N50" s="50">
        <v>0</v>
      </c>
      <c r="O50" s="15">
        <f t="shared" si="2"/>
        <v>23</v>
      </c>
      <c r="P50" s="15">
        <f t="shared" si="0"/>
        <v>102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2</v>
      </c>
      <c r="E51" s="50">
        <v>5</v>
      </c>
      <c r="F51" s="50">
        <v>0</v>
      </c>
      <c r="G51" s="50">
        <v>0</v>
      </c>
      <c r="H51" s="50">
        <v>1</v>
      </c>
      <c r="I51" s="50">
        <f>'[1]RD116 MCC'!O431</f>
        <v>2</v>
      </c>
      <c r="J51" s="50">
        <v>0</v>
      </c>
      <c r="K51" s="50">
        <v>0</v>
      </c>
      <c r="L51" s="50">
        <v>0</v>
      </c>
      <c r="M51" s="50">
        <v>60</v>
      </c>
      <c r="N51" s="50">
        <v>0</v>
      </c>
      <c r="O51" s="15">
        <f t="shared" si="2"/>
        <v>16</v>
      </c>
      <c r="P51" s="15">
        <f t="shared" si="0"/>
        <v>76</v>
      </c>
      <c r="R51" s="8"/>
      <c r="T51"/>
    </row>
    <row r="52" spans="2:20" ht="23.1" customHeight="1" x14ac:dyDescent="0.25">
      <c r="B52" s="24" t="s">
        <v>79</v>
      </c>
      <c r="C52" s="50">
        <v>9</v>
      </c>
      <c r="D52" s="50">
        <v>3</v>
      </c>
      <c r="E52" s="50">
        <v>6</v>
      </c>
      <c r="F52" s="50">
        <v>1</v>
      </c>
      <c r="G52" s="50">
        <v>0</v>
      </c>
      <c r="H52" s="50">
        <v>1</v>
      </c>
      <c r="I52" s="50">
        <f>'[1]RD116 MCC'!O432</f>
        <v>2</v>
      </c>
      <c r="J52" s="50">
        <v>1</v>
      </c>
      <c r="K52" s="50">
        <v>0</v>
      </c>
      <c r="L52" s="50">
        <v>0</v>
      </c>
      <c r="M52" s="50">
        <v>106</v>
      </c>
      <c r="N52" s="50">
        <v>0</v>
      </c>
      <c r="O52" s="15">
        <f t="shared" si="2"/>
        <v>23</v>
      </c>
      <c r="P52" s="15">
        <f t="shared" si="0"/>
        <v>129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4</v>
      </c>
      <c r="E53" s="50">
        <v>8</v>
      </c>
      <c r="F53" s="50">
        <v>3</v>
      </c>
      <c r="G53" s="50">
        <v>0</v>
      </c>
      <c r="H53" s="50">
        <v>0</v>
      </c>
      <c r="I53" s="50">
        <f>'[1]RD116 MCC'!O433</f>
        <v>3</v>
      </c>
      <c r="J53" s="50">
        <v>0</v>
      </c>
      <c r="K53" s="50">
        <v>0</v>
      </c>
      <c r="L53" s="50">
        <v>2</v>
      </c>
      <c r="M53" s="50">
        <v>80</v>
      </c>
      <c r="N53" s="50">
        <v>0</v>
      </c>
      <c r="O53" s="15">
        <f t="shared" si="2"/>
        <v>28</v>
      </c>
      <c r="P53" s="15">
        <f t="shared" si="0"/>
        <v>108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2</v>
      </c>
      <c r="E54" s="50">
        <v>4</v>
      </c>
      <c r="F54" s="50">
        <v>1</v>
      </c>
      <c r="G54" s="50">
        <v>1</v>
      </c>
      <c r="H54" s="50">
        <v>0</v>
      </c>
      <c r="I54" s="50">
        <f>'[1]RD116 MCC'!O434</f>
        <v>1</v>
      </c>
      <c r="J54" s="50">
        <v>0</v>
      </c>
      <c r="K54" s="50">
        <v>0</v>
      </c>
      <c r="L54" s="50">
        <v>1</v>
      </c>
      <c r="M54" s="50">
        <v>85</v>
      </c>
      <c r="N54" s="50">
        <v>0</v>
      </c>
      <c r="O54" s="15">
        <f t="shared" si="2"/>
        <v>19</v>
      </c>
      <c r="P54" s="15">
        <f t="shared" si="0"/>
        <v>104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3</v>
      </c>
      <c r="E55" s="50">
        <v>7</v>
      </c>
      <c r="F55" s="50">
        <v>0</v>
      </c>
      <c r="G55" s="50">
        <v>0</v>
      </c>
      <c r="H55" s="50">
        <v>0</v>
      </c>
      <c r="I55" s="50">
        <f>'[1]RD116 MCC'!O435</f>
        <v>1</v>
      </c>
      <c r="J55" s="50">
        <v>0</v>
      </c>
      <c r="K55" s="50">
        <v>0</v>
      </c>
      <c r="L55" s="50">
        <v>0</v>
      </c>
      <c r="M55" s="50">
        <v>86</v>
      </c>
      <c r="N55" s="50">
        <v>0</v>
      </c>
      <c r="O55" s="15">
        <f t="shared" si="2"/>
        <v>14</v>
      </c>
      <c r="P55" s="15">
        <f t="shared" si="0"/>
        <v>100</v>
      </c>
      <c r="R55" s="8"/>
      <c r="T55"/>
    </row>
    <row r="56" spans="2:20" ht="23.1" customHeight="1" x14ac:dyDescent="0.25">
      <c r="B56" s="23" t="s">
        <v>83</v>
      </c>
      <c r="C56" s="50">
        <v>10</v>
      </c>
      <c r="D56" s="50">
        <v>3</v>
      </c>
      <c r="E56" s="50">
        <v>6</v>
      </c>
      <c r="F56" s="50">
        <v>3</v>
      </c>
      <c r="G56" s="50">
        <v>0</v>
      </c>
      <c r="H56" s="50">
        <v>0</v>
      </c>
      <c r="I56" s="50">
        <f>'[1]RD116 MCC'!O436</f>
        <v>4</v>
      </c>
      <c r="J56" s="50">
        <v>0</v>
      </c>
      <c r="K56" s="50">
        <v>0</v>
      </c>
      <c r="L56" s="50">
        <v>2</v>
      </c>
      <c r="M56" s="50">
        <v>80</v>
      </c>
      <c r="N56" s="50">
        <v>0</v>
      </c>
      <c r="O56" s="15">
        <f t="shared" si="2"/>
        <v>28</v>
      </c>
      <c r="P56" s="15">
        <f t="shared" si="0"/>
        <v>108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2</v>
      </c>
      <c r="E57" s="50">
        <v>4</v>
      </c>
      <c r="F57" s="50">
        <v>1</v>
      </c>
      <c r="G57" s="50">
        <v>0</v>
      </c>
      <c r="H57" s="50">
        <v>0</v>
      </c>
      <c r="I57" s="50">
        <f>'[1]RD116 MCC'!O437</f>
        <v>1</v>
      </c>
      <c r="J57" s="50">
        <v>0</v>
      </c>
      <c r="K57" s="50">
        <v>0</v>
      </c>
      <c r="L57" s="50">
        <v>1</v>
      </c>
      <c r="M57" s="50">
        <v>78</v>
      </c>
      <c r="N57" s="50">
        <v>0</v>
      </c>
      <c r="O57" s="15">
        <f t="shared" si="2"/>
        <v>23</v>
      </c>
      <c r="P57" s="15">
        <f t="shared" si="0"/>
        <v>101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361</v>
      </c>
      <c r="D58" s="16">
        <f t="shared" si="21"/>
        <v>103</v>
      </c>
      <c r="E58" s="16">
        <f t="shared" si="21"/>
        <v>224</v>
      </c>
      <c r="F58" s="16">
        <f t="shared" si="21"/>
        <v>34</v>
      </c>
      <c r="G58" s="16">
        <f t="shared" si="21"/>
        <v>5</v>
      </c>
      <c r="H58" s="16">
        <f t="shared" si="21"/>
        <v>14</v>
      </c>
      <c r="I58" s="16">
        <f t="shared" si="21"/>
        <v>83</v>
      </c>
      <c r="J58" s="16">
        <f t="shared" si="21"/>
        <v>18</v>
      </c>
      <c r="K58" s="16">
        <f t="shared" si="21"/>
        <v>8</v>
      </c>
      <c r="L58" s="16">
        <f t="shared" si="21"/>
        <v>61</v>
      </c>
      <c r="M58" s="16">
        <f t="shared" si="21"/>
        <v>3217</v>
      </c>
      <c r="N58" s="16">
        <f t="shared" si="21"/>
        <v>0</v>
      </c>
      <c r="O58" s="16">
        <f t="shared" si="21"/>
        <v>911</v>
      </c>
      <c r="P58" s="16">
        <f t="shared" si="21"/>
        <v>4128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8.7451550387596902E-2</v>
      </c>
      <c r="D59" s="43">
        <f t="shared" si="22"/>
        <v>2.4951550387596898E-2</v>
      </c>
      <c r="E59" s="43">
        <f t="shared" si="22"/>
        <v>5.4263565891472867E-2</v>
      </c>
      <c r="F59" s="43">
        <f t="shared" si="22"/>
        <v>8.2364341085271325E-3</v>
      </c>
      <c r="G59" s="43">
        <f t="shared" si="22"/>
        <v>1.2112403100775194E-3</v>
      </c>
      <c r="H59" s="43">
        <f t="shared" si="22"/>
        <v>3.3914728682170542E-3</v>
      </c>
      <c r="I59" s="43">
        <f t="shared" si="22"/>
        <v>2.0106589147286823E-2</v>
      </c>
      <c r="J59" s="43">
        <f t="shared" si="22"/>
        <v>4.3604651162790697E-3</v>
      </c>
      <c r="K59" s="43">
        <f t="shared" si="22"/>
        <v>1.937984496124031E-3</v>
      </c>
      <c r="L59" s="43">
        <f t="shared" si="22"/>
        <v>1.4777131782945737E-2</v>
      </c>
      <c r="M59" s="43">
        <f t="shared" si="22"/>
        <v>0.77931201550387597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0.39626783754116357</v>
      </c>
      <c r="D60" s="44">
        <f t="shared" ref="D60:N60" si="23">D58/$O$58</f>
        <v>0.11306256860592755</v>
      </c>
      <c r="E60" s="44">
        <f t="shared" si="23"/>
        <v>0.24588364434687157</v>
      </c>
      <c r="F60" s="44">
        <f t="shared" si="23"/>
        <v>3.7321624588364431E-2</v>
      </c>
      <c r="G60" s="44">
        <f t="shared" si="23"/>
        <v>5.4884742041712408E-3</v>
      </c>
      <c r="H60" s="44">
        <f t="shared" si="23"/>
        <v>1.5367727771679473E-2</v>
      </c>
      <c r="I60" s="44">
        <f t="shared" si="23"/>
        <v>9.110867178924259E-2</v>
      </c>
      <c r="J60" s="44">
        <f t="shared" si="23"/>
        <v>1.9758507135016465E-2</v>
      </c>
      <c r="K60" s="44">
        <f t="shared" si="23"/>
        <v>8.7815587266739849E-3</v>
      </c>
      <c r="L60" s="44">
        <f t="shared" si="23"/>
        <v>6.6959385290889128E-2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88" zoomScale="60" workbookViewId="0">
      <selection activeCell="M58" sqref="M58: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'06.08 KARUMA-GULU'!G5:H5</f>
        <v>xxx</v>
      </c>
      <c r="H5" s="67"/>
      <c r="I5" s="14"/>
      <c r="J5" s="2" t="s">
        <v>5</v>
      </c>
      <c r="K5" s="66" t="str">
        <f>'06.08 KARUMA-GULU'!K5:L5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GULU-KARUMA'!D6:E6</f>
        <v>GULU</v>
      </c>
      <c r="E6" s="67"/>
      <c r="F6" s="2" t="s">
        <v>2</v>
      </c>
      <c r="G6" s="66" t="str">
        <f>'01.08 GULU-KARUMA'!G6:H6</f>
        <v>KARUMA</v>
      </c>
      <c r="H6" s="67"/>
      <c r="J6" s="2" t="s">
        <v>21</v>
      </c>
      <c r="K6" s="66" t="str">
        <f>'06.08 KARUMA-GULU'!K6:L6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f>'[1]RD116 MCC'!H246</f>
        <v>2</v>
      </c>
      <c r="D10" s="50">
        <v>0</v>
      </c>
      <c r="E10" s="50">
        <v>0</v>
      </c>
      <c r="F10" s="50">
        <v>3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1</v>
      </c>
      <c r="M10" s="50">
        <v>21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28</v>
      </c>
      <c r="R10" s="1" t="s">
        <v>6</v>
      </c>
      <c r="S10" s="17">
        <f t="shared" ref="S10:AF10" si="2">SUM(C10:C13)</f>
        <v>9</v>
      </c>
      <c r="T10" s="17">
        <f t="shared" si="2"/>
        <v>3</v>
      </c>
      <c r="U10" s="17">
        <f>SUM(E10:E13)</f>
        <v>9</v>
      </c>
      <c r="V10" s="17">
        <f t="shared" si="2"/>
        <v>6</v>
      </c>
      <c r="W10" s="17">
        <f t="shared" si="2"/>
        <v>0</v>
      </c>
      <c r="X10" s="17">
        <f t="shared" si="2"/>
        <v>3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169</v>
      </c>
      <c r="AD10" s="17">
        <f t="shared" si="2"/>
        <v>0</v>
      </c>
      <c r="AE10" s="31">
        <f t="shared" si="2"/>
        <v>34</v>
      </c>
      <c r="AF10" s="31">
        <f t="shared" si="2"/>
        <v>203</v>
      </c>
    </row>
    <row r="11" spans="2:32" s="6" customFormat="1" ht="23.1" customHeight="1" x14ac:dyDescent="0.25">
      <c r="B11" s="45" t="s">
        <v>38</v>
      </c>
      <c r="C11" s="50">
        <f>'[1]RD116 MCC'!H247</f>
        <v>2</v>
      </c>
      <c r="D11" s="50">
        <v>1</v>
      </c>
      <c r="E11" s="50">
        <v>3</v>
      </c>
      <c r="F11" s="50">
        <v>0</v>
      </c>
      <c r="G11" s="50">
        <v>0</v>
      </c>
      <c r="H11" s="50">
        <v>1</v>
      </c>
      <c r="I11" s="50">
        <v>0</v>
      </c>
      <c r="J11" s="50">
        <v>1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8</v>
      </c>
      <c r="P11" s="15">
        <f t="shared" si="1"/>
        <v>43</v>
      </c>
      <c r="R11" s="1" t="s">
        <v>7</v>
      </c>
      <c r="S11" s="17">
        <f t="shared" ref="S11:AF11" si="3">SUM(C14:C17)</f>
        <v>12</v>
      </c>
      <c r="T11" s="17">
        <f t="shared" si="3"/>
        <v>12</v>
      </c>
      <c r="U11" s="17">
        <f t="shared" si="3"/>
        <v>27</v>
      </c>
      <c r="V11" s="17">
        <f t="shared" si="3"/>
        <v>2</v>
      </c>
      <c r="W11" s="17">
        <f t="shared" si="3"/>
        <v>1</v>
      </c>
      <c r="X11" s="17">
        <f t="shared" si="3"/>
        <v>3</v>
      </c>
      <c r="Y11" s="17">
        <f t="shared" si="3"/>
        <v>12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280</v>
      </c>
      <c r="AD11" s="17">
        <f t="shared" si="3"/>
        <v>0</v>
      </c>
      <c r="AE11" s="31">
        <f t="shared" si="3"/>
        <v>71</v>
      </c>
      <c r="AF11" s="31">
        <f t="shared" si="3"/>
        <v>351</v>
      </c>
    </row>
    <row r="12" spans="2:32" ht="23.1" customHeight="1" x14ac:dyDescent="0.25">
      <c r="B12" s="45" t="s">
        <v>39</v>
      </c>
      <c r="C12" s="50">
        <f>'[1]RD116 MCC'!H248</f>
        <v>2</v>
      </c>
      <c r="D12" s="50">
        <v>0</v>
      </c>
      <c r="E12" s="50">
        <v>1</v>
      </c>
      <c r="F12" s="50">
        <v>1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48</v>
      </c>
      <c r="N12" s="50">
        <v>0</v>
      </c>
      <c r="O12" s="15">
        <f t="shared" si="0"/>
        <v>6</v>
      </c>
      <c r="P12" s="15">
        <f t="shared" si="1"/>
        <v>54</v>
      </c>
      <c r="R12" s="1" t="s">
        <v>8</v>
      </c>
      <c r="S12" s="17">
        <f t="shared" ref="S12:AF12" si="4">SUM(C18:C21)</f>
        <v>18</v>
      </c>
      <c r="T12" s="17">
        <f t="shared" si="4"/>
        <v>7</v>
      </c>
      <c r="U12" s="17">
        <f t="shared" si="4"/>
        <v>17</v>
      </c>
      <c r="V12" s="17">
        <f t="shared" si="4"/>
        <v>6</v>
      </c>
      <c r="W12" s="17">
        <f t="shared" si="4"/>
        <v>1</v>
      </c>
      <c r="X12" s="17">
        <f t="shared" si="4"/>
        <v>2</v>
      </c>
      <c r="Y12" s="17">
        <f t="shared" si="4"/>
        <v>15</v>
      </c>
      <c r="Z12" s="17">
        <f t="shared" si="4"/>
        <v>1</v>
      </c>
      <c r="AA12" s="17">
        <f t="shared" si="4"/>
        <v>1</v>
      </c>
      <c r="AB12" s="17">
        <f t="shared" si="4"/>
        <v>6</v>
      </c>
      <c r="AC12" s="17">
        <f t="shared" si="4"/>
        <v>233</v>
      </c>
      <c r="AD12" s="17">
        <f t="shared" si="4"/>
        <v>0</v>
      </c>
      <c r="AE12" s="31">
        <f t="shared" si="4"/>
        <v>74</v>
      </c>
      <c r="AF12" s="31">
        <f t="shared" si="4"/>
        <v>307</v>
      </c>
    </row>
    <row r="13" spans="2:32" ht="23.1" customHeight="1" x14ac:dyDescent="0.25">
      <c r="B13" s="45" t="s">
        <v>40</v>
      </c>
      <c r="C13" s="50">
        <f>'[1]RD116 MCC'!H249</f>
        <v>3</v>
      </c>
      <c r="D13" s="50">
        <v>2</v>
      </c>
      <c r="E13" s="50">
        <v>5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65</v>
      </c>
      <c r="N13" s="50">
        <v>0</v>
      </c>
      <c r="O13" s="15">
        <f t="shared" si="0"/>
        <v>13</v>
      </c>
      <c r="P13" s="15">
        <f t="shared" si="1"/>
        <v>78</v>
      </c>
      <c r="R13" s="1" t="s">
        <v>9</v>
      </c>
      <c r="S13" s="17">
        <f t="shared" ref="S13:AF13" si="5">SUM(C22:C25)</f>
        <v>16</v>
      </c>
      <c r="T13" s="17">
        <f t="shared" si="5"/>
        <v>7</v>
      </c>
      <c r="U13" s="17">
        <f t="shared" si="5"/>
        <v>17</v>
      </c>
      <c r="V13" s="17">
        <f t="shared" si="5"/>
        <v>4</v>
      </c>
      <c r="W13" s="17">
        <f t="shared" si="5"/>
        <v>0</v>
      </c>
      <c r="X13" s="17">
        <f t="shared" si="5"/>
        <v>3</v>
      </c>
      <c r="Y13" s="17">
        <f t="shared" si="5"/>
        <v>14</v>
      </c>
      <c r="Z13" s="17">
        <f t="shared" si="5"/>
        <v>1</v>
      </c>
      <c r="AA13" s="17">
        <f t="shared" si="5"/>
        <v>1</v>
      </c>
      <c r="AB13" s="17">
        <f t="shared" si="5"/>
        <v>8</v>
      </c>
      <c r="AC13" s="17">
        <f t="shared" si="5"/>
        <v>227</v>
      </c>
      <c r="AD13" s="17">
        <f t="shared" si="5"/>
        <v>1</v>
      </c>
      <c r="AE13" s="31">
        <f t="shared" si="5"/>
        <v>72</v>
      </c>
      <c r="AF13" s="31">
        <f t="shared" si="5"/>
        <v>299</v>
      </c>
    </row>
    <row r="14" spans="2:32" ht="23.1" customHeight="1" x14ac:dyDescent="0.25">
      <c r="B14" s="45" t="s">
        <v>41</v>
      </c>
      <c r="C14" s="50">
        <f>'[1]RD116 MCC'!H250</f>
        <v>5</v>
      </c>
      <c r="D14" s="50">
        <v>2</v>
      </c>
      <c r="E14" s="50">
        <v>5</v>
      </c>
      <c r="F14" s="50">
        <v>0</v>
      </c>
      <c r="G14" s="50">
        <v>0</v>
      </c>
      <c r="H14" s="50">
        <v>1</v>
      </c>
      <c r="I14" s="50">
        <v>1</v>
      </c>
      <c r="J14" s="50">
        <v>0</v>
      </c>
      <c r="K14" s="50">
        <v>0</v>
      </c>
      <c r="L14" s="50">
        <v>1</v>
      </c>
      <c r="M14" s="50">
        <v>70</v>
      </c>
      <c r="N14" s="50">
        <v>0</v>
      </c>
      <c r="O14" s="15">
        <f t="shared" si="0"/>
        <v>15</v>
      </c>
      <c r="P14" s="15">
        <f t="shared" si="1"/>
        <v>85</v>
      </c>
      <c r="R14" s="1" t="s">
        <v>10</v>
      </c>
      <c r="S14" s="17">
        <f t="shared" ref="S14:AF14" si="6">SUM(C26:C29)</f>
        <v>14</v>
      </c>
      <c r="T14" s="17">
        <f t="shared" si="6"/>
        <v>12</v>
      </c>
      <c r="U14" s="17">
        <f t="shared" si="6"/>
        <v>27</v>
      </c>
      <c r="V14" s="17">
        <f t="shared" si="6"/>
        <v>6</v>
      </c>
      <c r="W14" s="17">
        <f t="shared" si="6"/>
        <v>0</v>
      </c>
      <c r="X14" s="17">
        <f t="shared" si="6"/>
        <v>2</v>
      </c>
      <c r="Y14" s="17">
        <f t="shared" si="6"/>
        <v>21</v>
      </c>
      <c r="Z14" s="17">
        <f t="shared" si="6"/>
        <v>0</v>
      </c>
      <c r="AA14" s="17">
        <f t="shared" si="6"/>
        <v>0</v>
      </c>
      <c r="AB14" s="17">
        <f t="shared" si="6"/>
        <v>7</v>
      </c>
      <c r="AC14" s="17">
        <f t="shared" si="6"/>
        <v>210</v>
      </c>
      <c r="AD14" s="17">
        <f t="shared" si="6"/>
        <v>0</v>
      </c>
      <c r="AE14" s="31">
        <f t="shared" si="6"/>
        <v>89</v>
      </c>
      <c r="AF14" s="31">
        <f t="shared" si="6"/>
        <v>299</v>
      </c>
    </row>
    <row r="15" spans="2:32" ht="23.1" customHeight="1" x14ac:dyDescent="0.25">
      <c r="B15" s="45" t="s">
        <v>42</v>
      </c>
      <c r="C15" s="50">
        <f>'[1]RD116 MCC'!H251</f>
        <v>2</v>
      </c>
      <c r="D15" s="50">
        <v>2</v>
      </c>
      <c r="E15" s="50">
        <v>4</v>
      </c>
      <c r="F15" s="50">
        <v>0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84</v>
      </c>
      <c r="N15" s="50">
        <v>0</v>
      </c>
      <c r="O15" s="15">
        <f t="shared" si="0"/>
        <v>13</v>
      </c>
      <c r="P15" s="15">
        <f t="shared" si="1"/>
        <v>97</v>
      </c>
      <c r="R15" s="1" t="s">
        <v>11</v>
      </c>
      <c r="S15" s="17">
        <f t="shared" ref="S15:AF15" si="7">SUM(C30:C33)</f>
        <v>14</v>
      </c>
      <c r="T15" s="17">
        <f t="shared" si="7"/>
        <v>13</v>
      </c>
      <c r="U15" s="17">
        <f t="shared" si="7"/>
        <v>28</v>
      </c>
      <c r="V15" s="17">
        <f t="shared" si="7"/>
        <v>4</v>
      </c>
      <c r="W15" s="17">
        <f t="shared" si="7"/>
        <v>0</v>
      </c>
      <c r="X15" s="17">
        <f t="shared" si="7"/>
        <v>1</v>
      </c>
      <c r="Y15" s="17">
        <f t="shared" si="7"/>
        <v>10</v>
      </c>
      <c r="Z15" s="17">
        <f t="shared" si="7"/>
        <v>2</v>
      </c>
      <c r="AA15" s="17">
        <f t="shared" si="7"/>
        <v>1</v>
      </c>
      <c r="AB15" s="17">
        <f t="shared" si="7"/>
        <v>4</v>
      </c>
      <c r="AC15" s="17">
        <f t="shared" si="7"/>
        <v>233</v>
      </c>
      <c r="AD15" s="17">
        <f t="shared" si="7"/>
        <v>1</v>
      </c>
      <c r="AE15" s="31">
        <f t="shared" si="7"/>
        <v>78</v>
      </c>
      <c r="AF15" s="31">
        <f t="shared" si="7"/>
        <v>311</v>
      </c>
    </row>
    <row r="16" spans="2:32" ht="23.1" customHeight="1" x14ac:dyDescent="0.25">
      <c r="B16" s="45" t="s">
        <v>43</v>
      </c>
      <c r="C16" s="50">
        <f>'[1]RD116 MCC'!H252</f>
        <v>3</v>
      </c>
      <c r="D16" s="50">
        <v>3</v>
      </c>
      <c r="E16" s="50">
        <v>7</v>
      </c>
      <c r="F16" s="50">
        <v>2</v>
      </c>
      <c r="G16" s="50">
        <v>1</v>
      </c>
      <c r="H16" s="50">
        <v>1</v>
      </c>
      <c r="I16" s="50">
        <v>4</v>
      </c>
      <c r="J16" s="50">
        <v>0</v>
      </c>
      <c r="K16" s="50">
        <v>0</v>
      </c>
      <c r="L16" s="50">
        <v>0</v>
      </c>
      <c r="M16" s="50">
        <v>74</v>
      </c>
      <c r="N16" s="50">
        <v>0</v>
      </c>
      <c r="O16" s="15">
        <f t="shared" si="0"/>
        <v>21</v>
      </c>
      <c r="P16" s="15">
        <f t="shared" si="1"/>
        <v>95</v>
      </c>
      <c r="R16" s="1" t="s">
        <v>12</v>
      </c>
      <c r="S16" s="17">
        <f t="shared" ref="S16:AF16" si="8">SUM(C34:C37)</f>
        <v>24</v>
      </c>
      <c r="T16" s="17">
        <f t="shared" si="8"/>
        <v>15</v>
      </c>
      <c r="U16" s="17">
        <f t="shared" si="8"/>
        <v>33</v>
      </c>
      <c r="V16" s="17">
        <f t="shared" si="8"/>
        <v>7</v>
      </c>
      <c r="W16" s="17">
        <f t="shared" si="8"/>
        <v>0</v>
      </c>
      <c r="X16" s="17">
        <f t="shared" si="8"/>
        <v>3</v>
      </c>
      <c r="Y16" s="17">
        <f t="shared" si="8"/>
        <v>16</v>
      </c>
      <c r="Z16" s="17">
        <f t="shared" si="8"/>
        <v>0</v>
      </c>
      <c r="AA16" s="17">
        <f t="shared" si="8"/>
        <v>1</v>
      </c>
      <c r="AB16" s="17">
        <f t="shared" si="8"/>
        <v>9</v>
      </c>
      <c r="AC16" s="17">
        <f t="shared" si="8"/>
        <v>210</v>
      </c>
      <c r="AD16" s="17">
        <f t="shared" si="8"/>
        <v>0</v>
      </c>
      <c r="AE16" s="31">
        <f t="shared" si="8"/>
        <v>108</v>
      </c>
      <c r="AF16" s="31">
        <f t="shared" si="8"/>
        <v>318</v>
      </c>
    </row>
    <row r="17" spans="2:32" ht="23.1" customHeight="1" x14ac:dyDescent="0.25">
      <c r="B17" s="45" t="s">
        <v>44</v>
      </c>
      <c r="C17" s="50">
        <f>'[1]RD116 MCC'!H253</f>
        <v>2</v>
      </c>
      <c r="D17" s="50">
        <v>5</v>
      </c>
      <c r="E17" s="50">
        <v>11</v>
      </c>
      <c r="F17" s="50">
        <v>0</v>
      </c>
      <c r="G17" s="50">
        <v>0</v>
      </c>
      <c r="H17" s="50">
        <v>1</v>
      </c>
      <c r="I17" s="50">
        <v>3</v>
      </c>
      <c r="J17" s="50">
        <v>0</v>
      </c>
      <c r="K17" s="50">
        <v>0</v>
      </c>
      <c r="L17" s="50">
        <v>0</v>
      </c>
      <c r="M17" s="50">
        <v>52</v>
      </c>
      <c r="N17" s="50">
        <v>0</v>
      </c>
      <c r="O17" s="15">
        <f t="shared" si="0"/>
        <v>22</v>
      </c>
      <c r="P17" s="15">
        <f t="shared" si="1"/>
        <v>74</v>
      </c>
      <c r="R17" s="1" t="s">
        <v>13</v>
      </c>
      <c r="S17" s="17">
        <f t="shared" ref="S17:AF17" si="9">SUM(C38:C41)</f>
        <v>15</v>
      </c>
      <c r="T17" s="17">
        <f t="shared" si="9"/>
        <v>12</v>
      </c>
      <c r="U17" s="17">
        <f t="shared" si="9"/>
        <v>27</v>
      </c>
      <c r="V17" s="17">
        <f t="shared" si="9"/>
        <v>8</v>
      </c>
      <c r="W17" s="17">
        <f t="shared" si="9"/>
        <v>0</v>
      </c>
      <c r="X17" s="17">
        <f t="shared" si="9"/>
        <v>3</v>
      </c>
      <c r="Y17" s="17">
        <f t="shared" si="9"/>
        <v>18</v>
      </c>
      <c r="Z17" s="17">
        <f t="shared" si="9"/>
        <v>2</v>
      </c>
      <c r="AA17" s="17">
        <f t="shared" si="9"/>
        <v>0</v>
      </c>
      <c r="AB17" s="17">
        <f t="shared" si="9"/>
        <v>11</v>
      </c>
      <c r="AC17" s="17">
        <f t="shared" si="9"/>
        <v>197</v>
      </c>
      <c r="AD17" s="17">
        <f t="shared" si="9"/>
        <v>0</v>
      </c>
      <c r="AE17" s="31">
        <f t="shared" si="9"/>
        <v>96</v>
      </c>
      <c r="AF17" s="31">
        <f t="shared" si="9"/>
        <v>293</v>
      </c>
    </row>
    <row r="18" spans="2:32" ht="23.1" customHeight="1" x14ac:dyDescent="0.25">
      <c r="B18" s="45" t="s">
        <v>45</v>
      </c>
      <c r="C18" s="50">
        <f>'[1]RD116 MCC'!H254</f>
        <v>7</v>
      </c>
      <c r="D18" s="50">
        <v>1</v>
      </c>
      <c r="E18" s="50">
        <v>3</v>
      </c>
      <c r="F18" s="50">
        <v>1</v>
      </c>
      <c r="G18" s="50">
        <v>1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69</v>
      </c>
      <c r="N18" s="50">
        <v>0</v>
      </c>
      <c r="O18" s="15">
        <f t="shared" si="0"/>
        <v>17</v>
      </c>
      <c r="P18" s="15">
        <f t="shared" si="1"/>
        <v>86</v>
      </c>
      <c r="R18" s="1" t="s">
        <v>14</v>
      </c>
      <c r="S18" s="17">
        <f t="shared" ref="S18:AF18" si="10">SUM(C42:C45)</f>
        <v>22</v>
      </c>
      <c r="T18" s="17">
        <f t="shared" si="10"/>
        <v>5</v>
      </c>
      <c r="U18" s="17">
        <f t="shared" si="10"/>
        <v>11</v>
      </c>
      <c r="V18" s="17">
        <f t="shared" si="10"/>
        <v>4</v>
      </c>
      <c r="W18" s="17">
        <f t="shared" si="10"/>
        <v>0</v>
      </c>
      <c r="X18" s="17">
        <f t="shared" si="10"/>
        <v>4</v>
      </c>
      <c r="Y18" s="17">
        <f t="shared" si="10"/>
        <v>14</v>
      </c>
      <c r="Z18" s="17">
        <f t="shared" si="10"/>
        <v>0</v>
      </c>
      <c r="AA18" s="17">
        <f t="shared" si="10"/>
        <v>0</v>
      </c>
      <c r="AB18" s="17">
        <f t="shared" si="10"/>
        <v>13</v>
      </c>
      <c r="AC18" s="17">
        <f t="shared" si="10"/>
        <v>219</v>
      </c>
      <c r="AD18" s="17">
        <f t="shared" si="10"/>
        <v>0</v>
      </c>
      <c r="AE18" s="31">
        <f t="shared" si="10"/>
        <v>73</v>
      </c>
      <c r="AF18" s="31">
        <f t="shared" si="10"/>
        <v>292</v>
      </c>
    </row>
    <row r="19" spans="2:32" ht="23.1" customHeight="1" x14ac:dyDescent="0.25">
      <c r="B19" s="45" t="s">
        <v>46</v>
      </c>
      <c r="C19" s="50">
        <f>'[1]RD116 MCC'!H255</f>
        <v>2</v>
      </c>
      <c r="D19" s="50">
        <v>3</v>
      </c>
      <c r="E19" s="50">
        <v>7</v>
      </c>
      <c r="F19" s="50">
        <v>3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46</v>
      </c>
      <c r="N19" s="50">
        <v>0</v>
      </c>
      <c r="O19" s="15">
        <f t="shared" si="0"/>
        <v>19</v>
      </c>
      <c r="P19" s="15">
        <f t="shared" si="1"/>
        <v>65</v>
      </c>
      <c r="R19" s="1" t="s">
        <v>15</v>
      </c>
      <c r="S19" s="17">
        <f t="shared" ref="S19:AF19" si="11">SUM(C46:C49)</f>
        <v>23</v>
      </c>
      <c r="T19" s="17">
        <f t="shared" si="11"/>
        <v>13</v>
      </c>
      <c r="U19" s="17">
        <f t="shared" si="11"/>
        <v>27</v>
      </c>
      <c r="V19" s="17">
        <f t="shared" si="11"/>
        <v>1</v>
      </c>
      <c r="W19" s="17">
        <f t="shared" si="11"/>
        <v>0</v>
      </c>
      <c r="X19" s="17">
        <f t="shared" si="11"/>
        <v>3</v>
      </c>
      <c r="Y19" s="17">
        <f t="shared" si="11"/>
        <v>8</v>
      </c>
      <c r="Z19" s="17">
        <f t="shared" si="11"/>
        <v>0</v>
      </c>
      <c r="AA19" s="17">
        <f t="shared" si="11"/>
        <v>1</v>
      </c>
      <c r="AB19" s="17">
        <f t="shared" si="11"/>
        <v>4</v>
      </c>
      <c r="AC19" s="17">
        <f t="shared" si="11"/>
        <v>244</v>
      </c>
      <c r="AD19" s="17">
        <f t="shared" si="11"/>
        <v>0</v>
      </c>
      <c r="AE19" s="31">
        <f t="shared" si="11"/>
        <v>80</v>
      </c>
      <c r="AF19" s="31">
        <f t="shared" si="11"/>
        <v>324</v>
      </c>
    </row>
    <row r="20" spans="2:32" ht="23.1" customHeight="1" x14ac:dyDescent="0.25">
      <c r="B20" s="45" t="s">
        <v>47</v>
      </c>
      <c r="C20" s="50">
        <f>'[1]RD116 MCC'!H256</f>
        <v>5</v>
      </c>
      <c r="D20" s="50">
        <v>0</v>
      </c>
      <c r="E20" s="50">
        <v>1</v>
      </c>
      <c r="F20" s="50">
        <v>2</v>
      </c>
      <c r="G20" s="50">
        <v>0</v>
      </c>
      <c r="H20" s="50">
        <v>1</v>
      </c>
      <c r="I20" s="50">
        <v>4</v>
      </c>
      <c r="J20" s="50">
        <v>0</v>
      </c>
      <c r="K20" s="50">
        <v>1</v>
      </c>
      <c r="L20" s="50">
        <v>3</v>
      </c>
      <c r="M20" s="50">
        <v>53</v>
      </c>
      <c r="N20" s="50">
        <v>0</v>
      </c>
      <c r="O20" s="15">
        <f t="shared" si="0"/>
        <v>17</v>
      </c>
      <c r="P20" s="15">
        <f t="shared" si="1"/>
        <v>70</v>
      </c>
      <c r="R20" s="1" t="s">
        <v>16</v>
      </c>
      <c r="S20" s="17">
        <f t="shared" ref="S20:AF20" si="12">SUM(C50:C53)</f>
        <v>21</v>
      </c>
      <c r="T20" s="17">
        <f t="shared" si="12"/>
        <v>10</v>
      </c>
      <c r="U20" s="17">
        <f t="shared" si="12"/>
        <v>22</v>
      </c>
      <c r="V20" s="17">
        <f t="shared" si="12"/>
        <v>5</v>
      </c>
      <c r="W20" s="17">
        <f t="shared" si="12"/>
        <v>0</v>
      </c>
      <c r="X20" s="17">
        <f t="shared" si="12"/>
        <v>2</v>
      </c>
      <c r="Y20" s="17">
        <f t="shared" si="12"/>
        <v>15</v>
      </c>
      <c r="Z20" s="17">
        <f t="shared" si="12"/>
        <v>4</v>
      </c>
      <c r="AA20" s="17">
        <f t="shared" si="12"/>
        <v>0</v>
      </c>
      <c r="AB20" s="17">
        <f t="shared" si="12"/>
        <v>6</v>
      </c>
      <c r="AC20" s="17">
        <f t="shared" si="12"/>
        <v>258</v>
      </c>
      <c r="AD20" s="17">
        <f t="shared" si="12"/>
        <v>0</v>
      </c>
      <c r="AE20" s="31">
        <f t="shared" si="12"/>
        <v>85</v>
      </c>
      <c r="AF20" s="31">
        <f t="shared" si="12"/>
        <v>343</v>
      </c>
    </row>
    <row r="21" spans="2:32" ht="23.1" customHeight="1" x14ac:dyDescent="0.25">
      <c r="B21" s="45" t="s">
        <v>48</v>
      </c>
      <c r="C21" s="50">
        <f>'[1]RD116 MCC'!H257</f>
        <v>4</v>
      </c>
      <c r="D21" s="50">
        <v>3</v>
      </c>
      <c r="E21" s="50">
        <v>6</v>
      </c>
      <c r="F21" s="50">
        <v>0</v>
      </c>
      <c r="G21" s="50">
        <v>0</v>
      </c>
      <c r="H21" s="50">
        <v>1</v>
      </c>
      <c r="I21" s="50">
        <v>3</v>
      </c>
      <c r="J21" s="50">
        <v>1</v>
      </c>
      <c r="K21" s="50">
        <v>0</v>
      </c>
      <c r="L21" s="50">
        <v>3</v>
      </c>
      <c r="M21" s="50">
        <v>65</v>
      </c>
      <c r="N21" s="50">
        <v>0</v>
      </c>
      <c r="O21" s="15">
        <f t="shared" si="0"/>
        <v>21</v>
      </c>
      <c r="P21" s="15">
        <f t="shared" si="1"/>
        <v>86</v>
      </c>
      <c r="R21" s="36" t="s">
        <v>20</v>
      </c>
      <c r="S21" s="34">
        <f t="shared" ref="S21:AF21" si="13">SUM(C54:C57)</f>
        <v>18</v>
      </c>
      <c r="T21" s="17">
        <f t="shared" si="13"/>
        <v>4</v>
      </c>
      <c r="U21" s="17">
        <f t="shared" si="13"/>
        <v>9</v>
      </c>
      <c r="V21" s="17">
        <f t="shared" si="13"/>
        <v>3</v>
      </c>
      <c r="W21" s="17">
        <f t="shared" si="13"/>
        <v>1</v>
      </c>
      <c r="X21" s="17">
        <f t="shared" si="13"/>
        <v>3</v>
      </c>
      <c r="Y21" s="17">
        <f t="shared" si="13"/>
        <v>10</v>
      </c>
      <c r="Z21" s="17">
        <f t="shared" si="13"/>
        <v>2</v>
      </c>
      <c r="AA21" s="17">
        <f t="shared" si="13"/>
        <v>0</v>
      </c>
      <c r="AB21" s="17">
        <f t="shared" si="13"/>
        <v>3</v>
      </c>
      <c r="AC21" s="17">
        <f t="shared" si="13"/>
        <v>218</v>
      </c>
      <c r="AD21" s="17">
        <f t="shared" si="13"/>
        <v>0</v>
      </c>
      <c r="AE21" s="31">
        <f t="shared" si="13"/>
        <v>53</v>
      </c>
      <c r="AF21" s="31">
        <f t="shared" si="13"/>
        <v>271</v>
      </c>
    </row>
    <row r="22" spans="2:32" ht="23.1" customHeight="1" x14ac:dyDescent="0.25">
      <c r="B22" s="45" t="s">
        <v>49</v>
      </c>
      <c r="C22" s="50">
        <f>'[1]RD116 MCC'!H258</f>
        <v>7</v>
      </c>
      <c r="D22" s="50">
        <v>3</v>
      </c>
      <c r="E22" s="50">
        <v>6</v>
      </c>
      <c r="F22" s="50">
        <v>1</v>
      </c>
      <c r="G22" s="50">
        <v>0</v>
      </c>
      <c r="H22" s="50">
        <v>0</v>
      </c>
      <c r="I22" s="50">
        <v>6</v>
      </c>
      <c r="J22" s="50">
        <v>1</v>
      </c>
      <c r="K22" s="50">
        <v>0</v>
      </c>
      <c r="L22" s="50">
        <v>3</v>
      </c>
      <c r="M22" s="50">
        <v>57</v>
      </c>
      <c r="N22" s="50">
        <v>0</v>
      </c>
      <c r="O22" s="15">
        <f t="shared" si="0"/>
        <v>27</v>
      </c>
      <c r="P22" s="15">
        <f t="shared" si="1"/>
        <v>84</v>
      </c>
      <c r="R22" s="36" t="s">
        <v>146</v>
      </c>
      <c r="S22" s="34">
        <f>SUM(C58:C61)</f>
        <v>6</v>
      </c>
      <c r="T22" s="34">
        <f t="shared" ref="T22:AF22" si="14">SUM(D58:D61)</f>
        <v>6</v>
      </c>
      <c r="U22" s="34">
        <f t="shared" si="14"/>
        <v>14</v>
      </c>
      <c r="V22" s="34">
        <f t="shared" si="14"/>
        <v>3</v>
      </c>
      <c r="W22" s="34">
        <f t="shared" si="14"/>
        <v>0</v>
      </c>
      <c r="X22" s="34">
        <f t="shared" si="14"/>
        <v>3</v>
      </c>
      <c r="Y22" s="34">
        <f t="shared" si="14"/>
        <v>5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195</v>
      </c>
      <c r="AD22" s="34">
        <f t="shared" si="14"/>
        <v>0</v>
      </c>
      <c r="AE22" s="31">
        <f t="shared" si="14"/>
        <v>38</v>
      </c>
      <c r="AF22" s="31">
        <f t="shared" si="14"/>
        <v>233</v>
      </c>
    </row>
    <row r="23" spans="2:32" ht="23.1" customHeight="1" x14ac:dyDescent="0.25">
      <c r="B23" s="45" t="s">
        <v>50</v>
      </c>
      <c r="C23" s="50">
        <f>'[1]RD116 MCC'!H259</f>
        <v>2</v>
      </c>
      <c r="D23" s="50">
        <v>1</v>
      </c>
      <c r="E23" s="50">
        <v>3</v>
      </c>
      <c r="F23" s="50">
        <v>1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1</v>
      </c>
      <c r="M23" s="50">
        <v>61</v>
      </c>
      <c r="N23" s="50">
        <v>0</v>
      </c>
      <c r="O23" s="15">
        <f t="shared" si="0"/>
        <v>11</v>
      </c>
      <c r="P23" s="15">
        <f t="shared" si="1"/>
        <v>72</v>
      </c>
      <c r="R23" s="36" t="s">
        <v>147</v>
      </c>
      <c r="S23" s="34">
        <f>SUM(C62:C65)</f>
        <v>11</v>
      </c>
      <c r="T23" s="34">
        <f t="shared" ref="T23:AF23" si="15">SUM(D62:D65)</f>
        <v>15</v>
      </c>
      <c r="U23" s="34">
        <f t="shared" si="15"/>
        <v>33</v>
      </c>
      <c r="V23" s="34">
        <f t="shared" si="15"/>
        <v>2</v>
      </c>
      <c r="W23" s="34">
        <f t="shared" si="15"/>
        <v>0</v>
      </c>
      <c r="X23" s="34">
        <f t="shared" si="15"/>
        <v>2</v>
      </c>
      <c r="Y23" s="34">
        <f t="shared" si="15"/>
        <v>9</v>
      </c>
      <c r="Z23" s="34">
        <f t="shared" si="15"/>
        <v>0</v>
      </c>
      <c r="AA23" s="34">
        <f t="shared" si="15"/>
        <v>0</v>
      </c>
      <c r="AB23" s="34">
        <f t="shared" si="15"/>
        <v>1</v>
      </c>
      <c r="AC23" s="34">
        <f t="shared" si="15"/>
        <v>171</v>
      </c>
      <c r="AD23" s="34">
        <f t="shared" si="15"/>
        <v>0</v>
      </c>
      <c r="AE23" s="31">
        <f t="shared" si="15"/>
        <v>73</v>
      </c>
      <c r="AF23" s="31">
        <f t="shared" si="15"/>
        <v>244</v>
      </c>
    </row>
    <row r="24" spans="2:32" ht="23.1" customHeight="1" x14ac:dyDescent="0.25">
      <c r="B24" s="45" t="s">
        <v>51</v>
      </c>
      <c r="C24" s="50">
        <f>'[1]RD116 MCC'!H260</f>
        <v>4</v>
      </c>
      <c r="D24" s="50">
        <v>3</v>
      </c>
      <c r="E24" s="50">
        <v>7</v>
      </c>
      <c r="F24" s="50">
        <v>2</v>
      </c>
      <c r="G24" s="50">
        <v>0</v>
      </c>
      <c r="H24" s="50">
        <v>1</v>
      </c>
      <c r="I24" s="50">
        <v>3</v>
      </c>
      <c r="J24" s="50">
        <v>0</v>
      </c>
      <c r="K24" s="50">
        <v>0</v>
      </c>
      <c r="L24" s="50">
        <v>3</v>
      </c>
      <c r="M24" s="50">
        <v>57</v>
      </c>
      <c r="N24" s="50">
        <v>1</v>
      </c>
      <c r="O24" s="15">
        <f t="shared" si="0"/>
        <v>24</v>
      </c>
      <c r="P24" s="15">
        <f t="shared" si="1"/>
        <v>81</v>
      </c>
      <c r="R24" s="36" t="s">
        <v>148</v>
      </c>
      <c r="S24" s="34">
        <f>SUM(C66:C69)</f>
        <v>22</v>
      </c>
      <c r="T24" s="34">
        <f t="shared" ref="T24:AF24" si="16">SUM(D66:D69)</f>
        <v>12</v>
      </c>
      <c r="U24" s="34">
        <f t="shared" si="16"/>
        <v>27</v>
      </c>
      <c r="V24" s="34">
        <f t="shared" si="16"/>
        <v>9</v>
      </c>
      <c r="W24" s="34">
        <f t="shared" si="16"/>
        <v>1</v>
      </c>
      <c r="X24" s="34">
        <f t="shared" si="16"/>
        <v>1</v>
      </c>
      <c r="Y24" s="34">
        <f t="shared" si="16"/>
        <v>19</v>
      </c>
      <c r="Z24" s="34">
        <f t="shared" si="16"/>
        <v>0</v>
      </c>
      <c r="AA24" s="34">
        <f t="shared" si="16"/>
        <v>0</v>
      </c>
      <c r="AB24" s="34">
        <f t="shared" si="16"/>
        <v>3</v>
      </c>
      <c r="AC24" s="34">
        <f t="shared" si="16"/>
        <v>168</v>
      </c>
      <c r="AD24" s="34">
        <f t="shared" si="16"/>
        <v>0</v>
      </c>
      <c r="AE24" s="31">
        <f t="shared" si="16"/>
        <v>94</v>
      </c>
      <c r="AF24" s="31">
        <f t="shared" si="16"/>
        <v>262</v>
      </c>
    </row>
    <row r="25" spans="2:32" ht="23.1" customHeight="1" x14ac:dyDescent="0.25">
      <c r="B25" s="45" t="s">
        <v>52</v>
      </c>
      <c r="C25" s="50">
        <f>'[1]RD116 MCC'!H261</f>
        <v>3</v>
      </c>
      <c r="D25" s="50">
        <v>0</v>
      </c>
      <c r="E25" s="50">
        <v>1</v>
      </c>
      <c r="F25" s="50">
        <v>0</v>
      </c>
      <c r="G25" s="50">
        <v>0</v>
      </c>
      <c r="H25" s="50">
        <v>1</v>
      </c>
      <c r="I25" s="50">
        <v>3</v>
      </c>
      <c r="J25" s="50">
        <v>0</v>
      </c>
      <c r="K25" s="50">
        <v>1</v>
      </c>
      <c r="L25" s="50">
        <v>1</v>
      </c>
      <c r="M25" s="50">
        <v>52</v>
      </c>
      <c r="N25" s="50">
        <v>0</v>
      </c>
      <c r="O25" s="15">
        <f t="shared" si="0"/>
        <v>10</v>
      </c>
      <c r="P25" s="15">
        <f t="shared" si="1"/>
        <v>62</v>
      </c>
      <c r="R25" s="36" t="s">
        <v>149</v>
      </c>
      <c r="S25" s="34">
        <f>SUM(C70:C73)</f>
        <v>23</v>
      </c>
      <c r="T25" s="34">
        <f t="shared" ref="T25:AF25" si="17">SUM(D70:D73)</f>
        <v>7</v>
      </c>
      <c r="U25" s="34">
        <f t="shared" si="17"/>
        <v>17</v>
      </c>
      <c r="V25" s="34">
        <f t="shared" si="17"/>
        <v>7</v>
      </c>
      <c r="W25" s="34">
        <f t="shared" si="17"/>
        <v>0</v>
      </c>
      <c r="X25" s="34">
        <f t="shared" si="17"/>
        <v>3</v>
      </c>
      <c r="Y25" s="34">
        <f t="shared" si="17"/>
        <v>13</v>
      </c>
      <c r="Z25" s="34">
        <f t="shared" si="17"/>
        <v>0</v>
      </c>
      <c r="AA25" s="34">
        <f t="shared" si="17"/>
        <v>0</v>
      </c>
      <c r="AB25" s="34">
        <f t="shared" si="17"/>
        <v>7</v>
      </c>
      <c r="AC25" s="34">
        <f t="shared" si="17"/>
        <v>104</v>
      </c>
      <c r="AD25" s="34">
        <f t="shared" si="17"/>
        <v>1</v>
      </c>
      <c r="AE25" s="31">
        <f t="shared" si="17"/>
        <v>78</v>
      </c>
      <c r="AF25" s="31">
        <f t="shared" si="17"/>
        <v>182</v>
      </c>
    </row>
    <row r="26" spans="2:32" ht="23.1" customHeight="1" x14ac:dyDescent="0.25">
      <c r="B26" s="45" t="s">
        <v>53</v>
      </c>
      <c r="C26" s="50">
        <f>'[1]RD116 MCC'!H262</f>
        <v>5</v>
      </c>
      <c r="D26" s="50">
        <v>3</v>
      </c>
      <c r="E26" s="50">
        <v>7</v>
      </c>
      <c r="F26" s="50">
        <v>0</v>
      </c>
      <c r="G26" s="50">
        <v>0</v>
      </c>
      <c r="H26" s="50">
        <v>0</v>
      </c>
      <c r="I26" s="50">
        <v>5</v>
      </c>
      <c r="J26" s="50">
        <v>0</v>
      </c>
      <c r="K26" s="50">
        <v>0</v>
      </c>
      <c r="L26" s="50">
        <v>4</v>
      </c>
      <c r="M26" s="50">
        <v>52</v>
      </c>
      <c r="N26" s="50">
        <v>0</v>
      </c>
      <c r="O26" s="15">
        <f t="shared" si="0"/>
        <v>24</v>
      </c>
      <c r="P26" s="15">
        <f t="shared" si="1"/>
        <v>76</v>
      </c>
      <c r="R26" s="36" t="s">
        <v>150</v>
      </c>
      <c r="S26" s="34">
        <f>SUM(C74:C77)</f>
        <v>21</v>
      </c>
      <c r="T26" s="34">
        <f t="shared" ref="T26:AF26" si="18">SUM(D74:D77)</f>
        <v>13</v>
      </c>
      <c r="U26" s="34">
        <f t="shared" si="18"/>
        <v>28</v>
      </c>
      <c r="V26" s="34">
        <f t="shared" si="18"/>
        <v>4</v>
      </c>
      <c r="W26" s="34">
        <f t="shared" si="18"/>
        <v>0</v>
      </c>
      <c r="X26" s="34">
        <f t="shared" si="18"/>
        <v>2</v>
      </c>
      <c r="Y26" s="34">
        <f t="shared" si="18"/>
        <v>16</v>
      </c>
      <c r="Z26" s="34">
        <f t="shared" si="18"/>
        <v>0</v>
      </c>
      <c r="AA26" s="34">
        <f t="shared" si="18"/>
        <v>1</v>
      </c>
      <c r="AB26" s="34">
        <f t="shared" si="18"/>
        <v>15</v>
      </c>
      <c r="AC26" s="34">
        <f t="shared" si="18"/>
        <v>64</v>
      </c>
      <c r="AD26" s="34">
        <f t="shared" si="18"/>
        <v>0</v>
      </c>
      <c r="AE26" s="31">
        <f t="shared" si="18"/>
        <v>100</v>
      </c>
      <c r="AF26" s="31">
        <f t="shared" si="18"/>
        <v>164</v>
      </c>
    </row>
    <row r="27" spans="2:32" ht="23.1" customHeight="1" x14ac:dyDescent="0.25">
      <c r="B27" s="45" t="s">
        <v>54</v>
      </c>
      <c r="C27" s="50">
        <f>'[1]RD116 MCC'!H263</f>
        <v>3</v>
      </c>
      <c r="D27" s="50">
        <v>3</v>
      </c>
      <c r="E27" s="50">
        <v>7</v>
      </c>
      <c r="F27" s="50">
        <v>2</v>
      </c>
      <c r="G27" s="50">
        <v>0</v>
      </c>
      <c r="H27" s="50">
        <v>1</v>
      </c>
      <c r="I27" s="50">
        <v>6</v>
      </c>
      <c r="J27" s="50">
        <v>0</v>
      </c>
      <c r="K27" s="50">
        <v>0</v>
      </c>
      <c r="L27" s="50">
        <v>0</v>
      </c>
      <c r="M27" s="50">
        <v>57</v>
      </c>
      <c r="N27" s="50">
        <v>0</v>
      </c>
      <c r="O27" s="15">
        <f t="shared" si="0"/>
        <v>22</v>
      </c>
      <c r="P27" s="15">
        <f t="shared" si="1"/>
        <v>79</v>
      </c>
      <c r="R27" s="36" t="s">
        <v>151</v>
      </c>
      <c r="S27" s="34">
        <f>SUM(C78:C81)</f>
        <v>19</v>
      </c>
      <c r="T27" s="34">
        <f t="shared" ref="T27:AF27" si="19">SUM(D78:D81)</f>
        <v>10</v>
      </c>
      <c r="U27" s="34">
        <f t="shared" si="19"/>
        <v>20</v>
      </c>
      <c r="V27" s="34">
        <f t="shared" si="19"/>
        <v>3</v>
      </c>
      <c r="W27" s="34">
        <f t="shared" si="19"/>
        <v>1</v>
      </c>
      <c r="X27" s="34">
        <f t="shared" si="19"/>
        <v>2</v>
      </c>
      <c r="Y27" s="34">
        <f t="shared" si="19"/>
        <v>14</v>
      </c>
      <c r="Z27" s="34">
        <f t="shared" si="19"/>
        <v>2</v>
      </c>
      <c r="AA27" s="34">
        <f t="shared" si="19"/>
        <v>0</v>
      </c>
      <c r="AB27" s="34">
        <f t="shared" si="19"/>
        <v>16</v>
      </c>
      <c r="AC27" s="34">
        <f t="shared" si="19"/>
        <v>55</v>
      </c>
      <c r="AD27" s="34">
        <f t="shared" si="19"/>
        <v>1</v>
      </c>
      <c r="AE27" s="31">
        <f t="shared" si="19"/>
        <v>88</v>
      </c>
      <c r="AF27" s="31">
        <f t="shared" si="19"/>
        <v>143</v>
      </c>
    </row>
    <row r="28" spans="2:32" ht="23.1" customHeight="1" x14ac:dyDescent="0.25">
      <c r="B28" s="45" t="s">
        <v>55</v>
      </c>
      <c r="C28" s="50">
        <f>'[1]RD116 MCC'!H264</f>
        <v>2</v>
      </c>
      <c r="D28" s="50">
        <v>4</v>
      </c>
      <c r="E28" s="50">
        <v>8</v>
      </c>
      <c r="F28" s="50">
        <v>3</v>
      </c>
      <c r="G28" s="50">
        <v>0</v>
      </c>
      <c r="H28" s="50">
        <v>0</v>
      </c>
      <c r="I28" s="50">
        <v>6</v>
      </c>
      <c r="J28" s="50">
        <v>0</v>
      </c>
      <c r="K28" s="50">
        <v>0</v>
      </c>
      <c r="L28" s="50">
        <v>2</v>
      </c>
      <c r="M28" s="50">
        <v>58</v>
      </c>
      <c r="N28" s="50">
        <v>0</v>
      </c>
      <c r="O28" s="15">
        <f t="shared" si="0"/>
        <v>25</v>
      </c>
      <c r="P28" s="15">
        <f t="shared" si="1"/>
        <v>83</v>
      </c>
      <c r="R28" s="36" t="s">
        <v>152</v>
      </c>
      <c r="S28" s="34">
        <f>SUM(C82:C85)</f>
        <v>14</v>
      </c>
      <c r="T28" s="34">
        <f t="shared" ref="T28:AF28" si="20">SUM(D82:D85)</f>
        <v>12</v>
      </c>
      <c r="U28" s="34">
        <f t="shared" si="20"/>
        <v>27</v>
      </c>
      <c r="V28" s="34">
        <f t="shared" si="20"/>
        <v>3</v>
      </c>
      <c r="W28" s="34">
        <f t="shared" si="20"/>
        <v>0</v>
      </c>
      <c r="X28" s="34">
        <f t="shared" si="20"/>
        <v>2</v>
      </c>
      <c r="Y28" s="34">
        <f t="shared" si="20"/>
        <v>18</v>
      </c>
      <c r="Z28" s="34">
        <f t="shared" si="20"/>
        <v>1</v>
      </c>
      <c r="AA28" s="34">
        <f t="shared" si="20"/>
        <v>0</v>
      </c>
      <c r="AB28" s="34">
        <f t="shared" si="20"/>
        <v>19</v>
      </c>
      <c r="AC28" s="34">
        <f t="shared" si="20"/>
        <v>26</v>
      </c>
      <c r="AD28" s="34">
        <f t="shared" si="20"/>
        <v>0</v>
      </c>
      <c r="AE28" s="31">
        <f t="shared" si="20"/>
        <v>96</v>
      </c>
      <c r="AF28" s="31">
        <f t="shared" si="20"/>
        <v>122</v>
      </c>
    </row>
    <row r="29" spans="2:32" ht="23.1" customHeight="1" x14ac:dyDescent="0.25">
      <c r="B29" s="45" t="s">
        <v>56</v>
      </c>
      <c r="C29" s="50">
        <f>'[1]RD116 MCC'!H265</f>
        <v>4</v>
      </c>
      <c r="D29" s="50">
        <v>2</v>
      </c>
      <c r="E29" s="50">
        <v>5</v>
      </c>
      <c r="F29" s="50">
        <v>1</v>
      </c>
      <c r="G29" s="50">
        <v>0</v>
      </c>
      <c r="H29" s="50">
        <v>1</v>
      </c>
      <c r="I29" s="50">
        <v>4</v>
      </c>
      <c r="J29" s="50">
        <v>0</v>
      </c>
      <c r="K29" s="50">
        <v>0</v>
      </c>
      <c r="L29" s="50">
        <v>1</v>
      </c>
      <c r="M29" s="50">
        <v>43</v>
      </c>
      <c r="N29" s="50">
        <v>0</v>
      </c>
      <c r="O29" s="15">
        <f t="shared" si="0"/>
        <v>18</v>
      </c>
      <c r="P29" s="15">
        <f t="shared" si="1"/>
        <v>61</v>
      </c>
      <c r="R29" s="36" t="s">
        <v>153</v>
      </c>
      <c r="S29" s="34">
        <f>SUM(C86:C89)</f>
        <v>18</v>
      </c>
      <c r="T29" s="34">
        <f t="shared" ref="T29:AF29" si="21">SUM(D86:D89)</f>
        <v>9</v>
      </c>
      <c r="U29" s="34">
        <f t="shared" si="21"/>
        <v>19</v>
      </c>
      <c r="V29" s="34">
        <f t="shared" si="21"/>
        <v>5</v>
      </c>
      <c r="W29" s="34">
        <f t="shared" si="21"/>
        <v>0</v>
      </c>
      <c r="X29" s="34">
        <f t="shared" si="21"/>
        <v>2</v>
      </c>
      <c r="Y29" s="34">
        <f t="shared" si="21"/>
        <v>16</v>
      </c>
      <c r="Z29" s="34">
        <f t="shared" si="21"/>
        <v>3</v>
      </c>
      <c r="AA29" s="34">
        <f t="shared" si="21"/>
        <v>0</v>
      </c>
      <c r="AB29" s="34">
        <f t="shared" si="21"/>
        <v>12</v>
      </c>
      <c r="AC29" s="34">
        <f t="shared" si="21"/>
        <v>3</v>
      </c>
      <c r="AD29" s="34">
        <f t="shared" si="21"/>
        <v>0</v>
      </c>
      <c r="AE29" s="31">
        <f t="shared" si="21"/>
        <v>84</v>
      </c>
      <c r="AF29" s="31">
        <f t="shared" si="21"/>
        <v>87</v>
      </c>
    </row>
    <row r="30" spans="2:32" ht="23.1" customHeight="1" x14ac:dyDescent="0.25">
      <c r="B30" s="45" t="s">
        <v>57</v>
      </c>
      <c r="C30" s="50">
        <f>'[1]RD116 MCC'!H266</f>
        <v>6</v>
      </c>
      <c r="D30" s="50">
        <v>2</v>
      </c>
      <c r="E30" s="50">
        <v>5</v>
      </c>
      <c r="F30" s="50">
        <v>1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1</v>
      </c>
      <c r="M30" s="50">
        <v>61</v>
      </c>
      <c r="N30" s="50">
        <v>0</v>
      </c>
      <c r="O30" s="15">
        <f t="shared" si="0"/>
        <v>20</v>
      </c>
      <c r="P30" s="15">
        <f t="shared" si="1"/>
        <v>81</v>
      </c>
      <c r="R30" s="36" t="s">
        <v>154</v>
      </c>
      <c r="S30" s="34">
        <f>SUM(C90:C93)</f>
        <v>16</v>
      </c>
      <c r="T30" s="34">
        <f t="shared" ref="T30:AF30" si="22">SUM(D90:D93)</f>
        <v>10</v>
      </c>
      <c r="U30" s="34">
        <f t="shared" si="22"/>
        <v>21</v>
      </c>
      <c r="V30" s="34">
        <f t="shared" si="22"/>
        <v>5</v>
      </c>
      <c r="W30" s="34">
        <f t="shared" si="22"/>
        <v>0</v>
      </c>
      <c r="X30" s="34">
        <f t="shared" si="22"/>
        <v>2</v>
      </c>
      <c r="Y30" s="34">
        <f t="shared" si="22"/>
        <v>16</v>
      </c>
      <c r="Z30" s="34">
        <f t="shared" si="22"/>
        <v>2</v>
      </c>
      <c r="AA30" s="34">
        <f t="shared" si="22"/>
        <v>0</v>
      </c>
      <c r="AB30" s="34">
        <f t="shared" si="22"/>
        <v>11</v>
      </c>
      <c r="AC30" s="34">
        <f t="shared" si="22"/>
        <v>8</v>
      </c>
      <c r="AD30" s="34">
        <f t="shared" si="22"/>
        <v>4</v>
      </c>
      <c r="AE30" s="31">
        <f t="shared" si="22"/>
        <v>87</v>
      </c>
      <c r="AF30" s="31">
        <f t="shared" si="22"/>
        <v>95</v>
      </c>
    </row>
    <row r="31" spans="2:32" ht="23.1" customHeight="1" x14ac:dyDescent="0.25">
      <c r="B31" s="46" t="s">
        <v>58</v>
      </c>
      <c r="C31" s="50">
        <f>'[1]RD116 MCC'!H267</f>
        <v>1</v>
      </c>
      <c r="D31" s="50">
        <v>2</v>
      </c>
      <c r="E31" s="50">
        <v>4</v>
      </c>
      <c r="F31" s="50">
        <v>1</v>
      </c>
      <c r="G31" s="50">
        <v>0</v>
      </c>
      <c r="H31" s="50">
        <v>1</v>
      </c>
      <c r="I31" s="50">
        <v>4</v>
      </c>
      <c r="J31" s="50">
        <v>0</v>
      </c>
      <c r="K31" s="50">
        <v>1</v>
      </c>
      <c r="L31" s="50">
        <v>0</v>
      </c>
      <c r="M31" s="50">
        <v>62</v>
      </c>
      <c r="N31" s="50">
        <v>0</v>
      </c>
      <c r="O31" s="15">
        <f t="shared" si="0"/>
        <v>14</v>
      </c>
      <c r="P31" s="15">
        <f t="shared" si="1"/>
        <v>76</v>
      </c>
      <c r="R31" s="36" t="s">
        <v>155</v>
      </c>
      <c r="S31" s="34">
        <f>SUM(C94:C97)</f>
        <v>30</v>
      </c>
      <c r="T31" s="34">
        <f t="shared" ref="T31:AF31" si="23">SUM(D94:D97)</f>
        <v>7</v>
      </c>
      <c r="U31" s="34">
        <f t="shared" si="23"/>
        <v>15</v>
      </c>
      <c r="V31" s="34">
        <f t="shared" si="23"/>
        <v>5</v>
      </c>
      <c r="W31" s="34">
        <f t="shared" si="23"/>
        <v>0</v>
      </c>
      <c r="X31" s="34">
        <f t="shared" si="23"/>
        <v>3</v>
      </c>
      <c r="Y31" s="34">
        <f t="shared" si="23"/>
        <v>25</v>
      </c>
      <c r="Z31" s="34">
        <f t="shared" si="23"/>
        <v>3</v>
      </c>
      <c r="AA31" s="34">
        <f t="shared" si="23"/>
        <v>0</v>
      </c>
      <c r="AB31" s="34">
        <f t="shared" si="23"/>
        <v>14</v>
      </c>
      <c r="AC31" s="34">
        <f t="shared" si="23"/>
        <v>0</v>
      </c>
      <c r="AD31" s="34">
        <f t="shared" si="23"/>
        <v>0</v>
      </c>
      <c r="AE31" s="31">
        <f t="shared" si="23"/>
        <v>102</v>
      </c>
      <c r="AF31" s="31">
        <f t="shared" si="23"/>
        <v>102</v>
      </c>
    </row>
    <row r="32" spans="2:32" ht="23.1" customHeight="1" x14ac:dyDescent="0.25">
      <c r="B32" s="46" t="s">
        <v>59</v>
      </c>
      <c r="C32" s="50">
        <f>'[1]RD116 MCC'!H268</f>
        <v>4</v>
      </c>
      <c r="D32" s="50">
        <v>5</v>
      </c>
      <c r="E32" s="50">
        <v>10</v>
      </c>
      <c r="F32" s="50">
        <v>0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1</v>
      </c>
      <c r="M32" s="50">
        <v>50</v>
      </c>
      <c r="N32" s="50">
        <v>0</v>
      </c>
      <c r="O32" s="15">
        <f t="shared" si="0"/>
        <v>22</v>
      </c>
      <c r="P32" s="15">
        <f t="shared" si="1"/>
        <v>72</v>
      </c>
      <c r="R32" s="33" t="s">
        <v>156</v>
      </c>
      <c r="S32" s="34">
        <f>SUM(C98:C101)</f>
        <v>24</v>
      </c>
      <c r="T32" s="34">
        <f t="shared" ref="T32:AF32" si="24">SUM(D98:D101)</f>
        <v>10</v>
      </c>
      <c r="U32" s="34">
        <f t="shared" si="24"/>
        <v>22</v>
      </c>
      <c r="V32" s="34">
        <f t="shared" si="24"/>
        <v>8</v>
      </c>
      <c r="W32" s="34">
        <f t="shared" si="24"/>
        <v>2</v>
      </c>
      <c r="X32" s="34">
        <f t="shared" si="24"/>
        <v>5</v>
      </c>
      <c r="Y32" s="34">
        <f t="shared" si="24"/>
        <v>14</v>
      </c>
      <c r="Z32" s="34">
        <f t="shared" si="24"/>
        <v>0</v>
      </c>
      <c r="AA32" s="34">
        <f t="shared" si="24"/>
        <v>1</v>
      </c>
      <c r="AB32" s="34">
        <f t="shared" si="24"/>
        <v>5</v>
      </c>
      <c r="AC32" s="34">
        <f t="shared" si="24"/>
        <v>7</v>
      </c>
      <c r="AD32" s="34">
        <f t="shared" si="24"/>
        <v>0</v>
      </c>
      <c r="AE32" s="31">
        <f t="shared" si="24"/>
        <v>91</v>
      </c>
      <c r="AF32" s="31">
        <f t="shared" si="24"/>
        <v>98</v>
      </c>
    </row>
    <row r="33" spans="2:32" ht="23.1" customHeight="1" x14ac:dyDescent="0.25">
      <c r="B33" s="45" t="s">
        <v>60</v>
      </c>
      <c r="C33" s="50">
        <f>'[1]RD116 MCC'!H269</f>
        <v>3</v>
      </c>
      <c r="D33" s="50">
        <v>4</v>
      </c>
      <c r="E33" s="50">
        <v>9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2</v>
      </c>
      <c r="M33" s="50">
        <v>60</v>
      </c>
      <c r="N33" s="50">
        <v>1</v>
      </c>
      <c r="O33" s="15">
        <f t="shared" si="0"/>
        <v>22</v>
      </c>
      <c r="P33" s="15">
        <f t="shared" si="1"/>
        <v>82</v>
      </c>
      <c r="R33" s="33" t="s">
        <v>157</v>
      </c>
      <c r="S33" s="34">
        <f>SUM(C102:C105)</f>
        <v>20</v>
      </c>
      <c r="T33" s="34">
        <f t="shared" ref="T33:AF33" si="25">SUM(D102:D105)</f>
        <v>11</v>
      </c>
      <c r="U33" s="34">
        <f t="shared" si="25"/>
        <v>24</v>
      </c>
      <c r="V33" s="34">
        <f t="shared" si="25"/>
        <v>11</v>
      </c>
      <c r="W33" s="34">
        <f t="shared" si="25"/>
        <v>1</v>
      </c>
      <c r="X33" s="34">
        <f t="shared" si="25"/>
        <v>1</v>
      </c>
      <c r="Y33" s="34">
        <f t="shared" si="25"/>
        <v>14</v>
      </c>
      <c r="Z33" s="34">
        <f t="shared" si="25"/>
        <v>1</v>
      </c>
      <c r="AA33" s="34">
        <f t="shared" si="25"/>
        <v>0</v>
      </c>
      <c r="AB33" s="34">
        <f t="shared" si="25"/>
        <v>6</v>
      </c>
      <c r="AC33" s="34">
        <f t="shared" si="25"/>
        <v>30</v>
      </c>
      <c r="AD33" s="34">
        <f t="shared" si="25"/>
        <v>0</v>
      </c>
      <c r="AE33" s="31">
        <f t="shared" si="25"/>
        <v>89</v>
      </c>
      <c r="AF33" s="31">
        <f t="shared" si="25"/>
        <v>119</v>
      </c>
    </row>
    <row r="34" spans="2:32" ht="23.1" customHeight="1" x14ac:dyDescent="0.25">
      <c r="B34" s="46" t="s">
        <v>61</v>
      </c>
      <c r="C34" s="50">
        <f>'[1]RD116 MCC'!H270</f>
        <v>7</v>
      </c>
      <c r="D34" s="50">
        <v>3</v>
      </c>
      <c r="E34" s="50">
        <v>7</v>
      </c>
      <c r="F34" s="50">
        <v>2</v>
      </c>
      <c r="G34" s="50">
        <v>0</v>
      </c>
      <c r="H34" s="50">
        <v>1</v>
      </c>
      <c r="I34" s="50">
        <v>4</v>
      </c>
      <c r="J34" s="50">
        <v>0</v>
      </c>
      <c r="K34" s="50">
        <v>0</v>
      </c>
      <c r="L34" s="50">
        <v>5</v>
      </c>
      <c r="M34" s="50">
        <v>55</v>
      </c>
      <c r="N34" s="50">
        <v>0</v>
      </c>
      <c r="O34" s="15">
        <f t="shared" si="0"/>
        <v>29</v>
      </c>
      <c r="P34" s="15">
        <f t="shared" si="1"/>
        <v>84</v>
      </c>
      <c r="R34" s="38" t="s">
        <v>90</v>
      </c>
      <c r="S34" s="39">
        <f t="shared" ref="S34:AF34" si="26">MAX(S10:S12)</f>
        <v>18</v>
      </c>
      <c r="T34" s="39">
        <f t="shared" si="26"/>
        <v>12</v>
      </c>
      <c r="U34" s="39">
        <f t="shared" si="26"/>
        <v>27</v>
      </c>
      <c r="V34" s="39">
        <f t="shared" si="26"/>
        <v>6</v>
      </c>
      <c r="W34" s="39">
        <f t="shared" si="26"/>
        <v>1</v>
      </c>
      <c r="X34" s="39">
        <f t="shared" si="26"/>
        <v>3</v>
      </c>
      <c r="Y34" s="39">
        <f t="shared" si="26"/>
        <v>15</v>
      </c>
      <c r="Z34" s="39">
        <f t="shared" si="26"/>
        <v>1</v>
      </c>
      <c r="AA34" s="39">
        <f t="shared" si="26"/>
        <v>1</v>
      </c>
      <c r="AB34" s="39">
        <f t="shared" si="26"/>
        <v>6</v>
      </c>
      <c r="AC34" s="39">
        <f t="shared" si="26"/>
        <v>280</v>
      </c>
      <c r="AD34" s="39">
        <f t="shared" si="26"/>
        <v>0</v>
      </c>
      <c r="AE34" s="40">
        <f t="shared" si="26"/>
        <v>74</v>
      </c>
      <c r="AF34" s="40">
        <f t="shared" si="26"/>
        <v>351</v>
      </c>
    </row>
    <row r="35" spans="2:32" ht="23.1" customHeight="1" x14ac:dyDescent="0.25">
      <c r="B35" s="46" t="s">
        <v>62</v>
      </c>
      <c r="C35" s="50">
        <f>'[1]RD116 MCC'!H271</f>
        <v>7</v>
      </c>
      <c r="D35" s="50">
        <v>4</v>
      </c>
      <c r="E35" s="50">
        <v>8</v>
      </c>
      <c r="F35" s="50">
        <v>3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1</v>
      </c>
      <c r="M35" s="50">
        <v>74</v>
      </c>
      <c r="N35" s="50">
        <v>0</v>
      </c>
      <c r="O35" s="15">
        <f t="shared" si="0"/>
        <v>27</v>
      </c>
      <c r="P35" s="15">
        <f t="shared" si="1"/>
        <v>101</v>
      </c>
      <c r="R35" s="38" t="s">
        <v>91</v>
      </c>
      <c r="S35" s="39">
        <f t="shared" ref="S35:AF35" si="27">MAX(S13:S18)</f>
        <v>24</v>
      </c>
      <c r="T35" s="39">
        <f t="shared" si="27"/>
        <v>15</v>
      </c>
      <c r="U35" s="39">
        <f t="shared" si="27"/>
        <v>33</v>
      </c>
      <c r="V35" s="39">
        <f t="shared" si="27"/>
        <v>8</v>
      </c>
      <c r="W35" s="39">
        <f t="shared" si="27"/>
        <v>0</v>
      </c>
      <c r="X35" s="39">
        <f t="shared" si="27"/>
        <v>4</v>
      </c>
      <c r="Y35" s="39">
        <f t="shared" si="27"/>
        <v>21</v>
      </c>
      <c r="Z35" s="39">
        <f t="shared" si="27"/>
        <v>2</v>
      </c>
      <c r="AA35" s="39">
        <f t="shared" si="27"/>
        <v>1</v>
      </c>
      <c r="AB35" s="39">
        <f t="shared" si="27"/>
        <v>13</v>
      </c>
      <c r="AC35" s="39">
        <f t="shared" si="27"/>
        <v>233</v>
      </c>
      <c r="AD35" s="39">
        <f t="shared" si="27"/>
        <v>1</v>
      </c>
      <c r="AE35" s="40">
        <f t="shared" si="27"/>
        <v>108</v>
      </c>
      <c r="AF35" s="40">
        <f t="shared" si="27"/>
        <v>318</v>
      </c>
    </row>
    <row r="36" spans="2:32" ht="23.1" customHeight="1" x14ac:dyDescent="0.25">
      <c r="B36" s="46" t="s">
        <v>63</v>
      </c>
      <c r="C36" s="50">
        <f>'[1]RD116 MCC'!H272</f>
        <v>7</v>
      </c>
      <c r="D36" s="50">
        <v>4</v>
      </c>
      <c r="E36" s="50">
        <v>9</v>
      </c>
      <c r="F36" s="50">
        <v>2</v>
      </c>
      <c r="G36" s="50">
        <v>0</v>
      </c>
      <c r="H36" s="50">
        <v>1</v>
      </c>
      <c r="I36" s="50">
        <v>4</v>
      </c>
      <c r="J36" s="50">
        <v>0</v>
      </c>
      <c r="K36" s="50">
        <v>0</v>
      </c>
      <c r="L36" s="50">
        <v>0</v>
      </c>
      <c r="M36" s="50">
        <v>44</v>
      </c>
      <c r="N36" s="50">
        <v>0</v>
      </c>
      <c r="O36" s="15">
        <f t="shared" si="0"/>
        <v>27</v>
      </c>
      <c r="P36" s="15">
        <f t="shared" si="1"/>
        <v>71</v>
      </c>
      <c r="R36" s="38" t="s">
        <v>92</v>
      </c>
      <c r="S36" s="39">
        <f t="shared" ref="S36:AF36" si="28">MAX(S19:S21)</f>
        <v>23</v>
      </c>
      <c r="T36" s="39">
        <f t="shared" si="28"/>
        <v>13</v>
      </c>
      <c r="U36" s="39">
        <f t="shared" si="28"/>
        <v>27</v>
      </c>
      <c r="V36" s="39">
        <f t="shared" si="28"/>
        <v>5</v>
      </c>
      <c r="W36" s="39">
        <f t="shared" si="28"/>
        <v>1</v>
      </c>
      <c r="X36" s="39">
        <f t="shared" si="28"/>
        <v>3</v>
      </c>
      <c r="Y36" s="39">
        <f t="shared" si="28"/>
        <v>15</v>
      </c>
      <c r="Z36" s="39">
        <f t="shared" si="28"/>
        <v>4</v>
      </c>
      <c r="AA36" s="39">
        <f t="shared" si="28"/>
        <v>1</v>
      </c>
      <c r="AB36" s="39">
        <f t="shared" si="28"/>
        <v>6</v>
      </c>
      <c r="AC36" s="39">
        <f t="shared" si="28"/>
        <v>258</v>
      </c>
      <c r="AD36" s="39">
        <f t="shared" si="28"/>
        <v>0</v>
      </c>
      <c r="AE36" s="40">
        <f t="shared" si="28"/>
        <v>85</v>
      </c>
      <c r="AF36" s="40">
        <f t="shared" si="28"/>
        <v>343</v>
      </c>
    </row>
    <row r="37" spans="2:32" ht="23.1" customHeight="1" x14ac:dyDescent="0.25">
      <c r="B37" s="45" t="s">
        <v>64</v>
      </c>
      <c r="C37" s="50">
        <f>'[1]RD116 MCC'!H273</f>
        <v>3</v>
      </c>
      <c r="D37" s="50">
        <v>4</v>
      </c>
      <c r="E37" s="50">
        <v>9</v>
      </c>
      <c r="F37" s="50">
        <v>0</v>
      </c>
      <c r="G37" s="50">
        <v>0</v>
      </c>
      <c r="H37" s="50">
        <v>1</v>
      </c>
      <c r="I37" s="50">
        <v>4</v>
      </c>
      <c r="J37" s="50">
        <v>0</v>
      </c>
      <c r="K37" s="50">
        <v>1</v>
      </c>
      <c r="L37" s="50">
        <v>3</v>
      </c>
      <c r="M37" s="50">
        <v>37</v>
      </c>
      <c r="N37" s="50">
        <v>0</v>
      </c>
      <c r="O37" s="15">
        <f t="shared" si="0"/>
        <v>25</v>
      </c>
      <c r="P37" s="15">
        <f t="shared" si="1"/>
        <v>62</v>
      </c>
      <c r="R37" s="37" t="s">
        <v>85</v>
      </c>
      <c r="S37" s="35">
        <f t="shared" ref="S37:AF37" si="29">SUM(S10:S12)</f>
        <v>39</v>
      </c>
      <c r="T37" s="16">
        <f t="shared" si="29"/>
        <v>22</v>
      </c>
      <c r="U37" s="16">
        <f t="shared" si="29"/>
        <v>53</v>
      </c>
      <c r="V37" s="16">
        <f t="shared" si="29"/>
        <v>14</v>
      </c>
      <c r="W37" s="16">
        <f t="shared" si="29"/>
        <v>2</v>
      </c>
      <c r="X37" s="16">
        <f t="shared" si="29"/>
        <v>8</v>
      </c>
      <c r="Y37" s="16">
        <f t="shared" si="29"/>
        <v>28</v>
      </c>
      <c r="Z37" s="16">
        <f t="shared" si="29"/>
        <v>3</v>
      </c>
      <c r="AA37" s="16">
        <f t="shared" si="29"/>
        <v>1</v>
      </c>
      <c r="AB37" s="16">
        <f t="shared" si="29"/>
        <v>9</v>
      </c>
      <c r="AC37" s="16">
        <f t="shared" si="29"/>
        <v>682</v>
      </c>
      <c r="AD37" s="16">
        <f t="shared" si="29"/>
        <v>0</v>
      </c>
      <c r="AE37" s="32">
        <f t="shared" si="29"/>
        <v>179</v>
      </c>
      <c r="AF37" s="32">
        <f t="shared" si="29"/>
        <v>861</v>
      </c>
    </row>
    <row r="38" spans="2:32" ht="23.1" customHeight="1" x14ac:dyDescent="0.25">
      <c r="B38" s="46" t="s">
        <v>65</v>
      </c>
      <c r="C38" s="50">
        <f>'[1]RD116 MCC'!H274</f>
        <v>3</v>
      </c>
      <c r="D38" s="50">
        <v>4</v>
      </c>
      <c r="E38" s="50">
        <v>8</v>
      </c>
      <c r="F38" s="50">
        <v>0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2</v>
      </c>
      <c r="M38" s="50">
        <v>40</v>
      </c>
      <c r="N38" s="50">
        <v>0</v>
      </c>
      <c r="O38" s="15">
        <f t="shared" si="0"/>
        <v>21</v>
      </c>
      <c r="P38" s="15">
        <f t="shared" si="1"/>
        <v>61</v>
      </c>
      <c r="R38" s="28" t="s">
        <v>86</v>
      </c>
      <c r="S38" s="16">
        <f t="shared" ref="S38:AF38" si="30">SUM(S13:S18)</f>
        <v>105</v>
      </c>
      <c r="T38" s="16">
        <f t="shared" si="30"/>
        <v>64</v>
      </c>
      <c r="U38" s="16">
        <f t="shared" si="30"/>
        <v>143</v>
      </c>
      <c r="V38" s="16">
        <f t="shared" si="30"/>
        <v>33</v>
      </c>
      <c r="W38" s="16">
        <f t="shared" si="30"/>
        <v>0</v>
      </c>
      <c r="X38" s="16">
        <f t="shared" si="30"/>
        <v>16</v>
      </c>
      <c r="Y38" s="16">
        <f t="shared" si="30"/>
        <v>93</v>
      </c>
      <c r="Z38" s="16">
        <f t="shared" si="30"/>
        <v>5</v>
      </c>
      <c r="AA38" s="16">
        <f t="shared" si="30"/>
        <v>3</v>
      </c>
      <c r="AB38" s="16">
        <f t="shared" si="30"/>
        <v>52</v>
      </c>
      <c r="AC38" s="16">
        <f t="shared" si="30"/>
        <v>1296</v>
      </c>
      <c r="AD38" s="16">
        <f t="shared" si="30"/>
        <v>2</v>
      </c>
      <c r="AE38" s="32">
        <f t="shared" si="30"/>
        <v>516</v>
      </c>
      <c r="AF38" s="32">
        <f t="shared" si="30"/>
        <v>1812</v>
      </c>
    </row>
    <row r="39" spans="2:32" ht="23.1" customHeight="1" x14ac:dyDescent="0.25">
      <c r="B39" s="46" t="s">
        <v>66</v>
      </c>
      <c r="C39" s="50">
        <f>'[1]RD116 MCC'!H275</f>
        <v>2</v>
      </c>
      <c r="D39" s="50">
        <v>2</v>
      </c>
      <c r="E39" s="50">
        <v>5</v>
      </c>
      <c r="F39" s="50">
        <v>3</v>
      </c>
      <c r="G39" s="50">
        <v>0</v>
      </c>
      <c r="H39" s="50">
        <v>2</v>
      </c>
      <c r="I39" s="50">
        <v>1</v>
      </c>
      <c r="J39" s="50">
        <v>0</v>
      </c>
      <c r="K39" s="50">
        <v>0</v>
      </c>
      <c r="L39" s="50">
        <v>3</v>
      </c>
      <c r="M39" s="50">
        <v>60</v>
      </c>
      <c r="N39" s="50">
        <v>0</v>
      </c>
      <c r="O39" s="15">
        <f t="shared" si="0"/>
        <v>18</v>
      </c>
      <c r="P39" s="15">
        <f t="shared" si="1"/>
        <v>78</v>
      </c>
      <c r="R39" s="29" t="s">
        <v>87</v>
      </c>
      <c r="S39" s="16">
        <f t="shared" ref="S39:AF39" si="31">SUM(S19:S21)</f>
        <v>62</v>
      </c>
      <c r="T39" s="16">
        <f t="shared" si="31"/>
        <v>27</v>
      </c>
      <c r="U39" s="16">
        <f t="shared" si="31"/>
        <v>58</v>
      </c>
      <c r="V39" s="16">
        <f t="shared" si="31"/>
        <v>9</v>
      </c>
      <c r="W39" s="16">
        <f t="shared" si="31"/>
        <v>1</v>
      </c>
      <c r="X39" s="16">
        <f t="shared" si="31"/>
        <v>8</v>
      </c>
      <c r="Y39" s="16">
        <f t="shared" si="31"/>
        <v>33</v>
      </c>
      <c r="Z39" s="16">
        <f t="shared" si="31"/>
        <v>6</v>
      </c>
      <c r="AA39" s="16">
        <f t="shared" si="31"/>
        <v>1</v>
      </c>
      <c r="AB39" s="16">
        <f t="shared" si="31"/>
        <v>13</v>
      </c>
      <c r="AC39" s="16">
        <f t="shared" si="31"/>
        <v>720</v>
      </c>
      <c r="AD39" s="16">
        <f t="shared" si="31"/>
        <v>0</v>
      </c>
      <c r="AE39" s="32">
        <f t="shared" si="31"/>
        <v>218</v>
      </c>
      <c r="AF39" s="32">
        <f t="shared" si="31"/>
        <v>938</v>
      </c>
    </row>
    <row r="40" spans="2:32" ht="23.1" customHeight="1" x14ac:dyDescent="0.25">
      <c r="B40" s="46" t="s">
        <v>67</v>
      </c>
      <c r="C40" s="50">
        <f>'[1]RD116 MCC'!H276</f>
        <v>3</v>
      </c>
      <c r="D40" s="50">
        <v>3</v>
      </c>
      <c r="E40" s="50">
        <v>7</v>
      </c>
      <c r="F40" s="50">
        <v>4</v>
      </c>
      <c r="G40" s="50">
        <v>0</v>
      </c>
      <c r="H40" s="50">
        <v>0</v>
      </c>
      <c r="I40" s="50">
        <v>6</v>
      </c>
      <c r="J40" s="50">
        <v>0</v>
      </c>
      <c r="K40" s="50">
        <v>0</v>
      </c>
      <c r="L40" s="50">
        <v>4</v>
      </c>
      <c r="M40" s="50">
        <v>57</v>
      </c>
      <c r="N40" s="50">
        <v>0</v>
      </c>
      <c r="O40" s="15">
        <f t="shared" si="0"/>
        <v>27</v>
      </c>
      <c r="P40" s="15">
        <f t="shared" si="1"/>
        <v>84</v>
      </c>
      <c r="R40" s="5" t="s">
        <v>17</v>
      </c>
      <c r="S40" s="16">
        <f t="shared" ref="S40:AF40" si="32">SUM(S10:S21)</f>
        <v>206</v>
      </c>
      <c r="T40" s="16">
        <f t="shared" si="32"/>
        <v>113</v>
      </c>
      <c r="U40" s="16">
        <f t="shared" si="32"/>
        <v>254</v>
      </c>
      <c r="V40" s="16">
        <f t="shared" si="32"/>
        <v>56</v>
      </c>
      <c r="W40" s="16">
        <f t="shared" si="32"/>
        <v>3</v>
      </c>
      <c r="X40" s="16">
        <f t="shared" si="32"/>
        <v>32</v>
      </c>
      <c r="Y40" s="16">
        <f t="shared" si="32"/>
        <v>154</v>
      </c>
      <c r="Z40" s="16">
        <f t="shared" si="32"/>
        <v>14</v>
      </c>
      <c r="AA40" s="16">
        <f t="shared" si="32"/>
        <v>5</v>
      </c>
      <c r="AB40" s="16">
        <f t="shared" si="32"/>
        <v>74</v>
      </c>
      <c r="AC40" s="16">
        <f t="shared" si="32"/>
        <v>2698</v>
      </c>
      <c r="AD40" s="16">
        <f t="shared" si="32"/>
        <v>2</v>
      </c>
      <c r="AE40" s="32">
        <f t="shared" si="32"/>
        <v>913</v>
      </c>
      <c r="AF40" s="32">
        <f t="shared" si="32"/>
        <v>3611</v>
      </c>
    </row>
    <row r="41" spans="2:32" ht="23.1" customHeight="1" x14ac:dyDescent="0.25">
      <c r="B41" s="45" t="s">
        <v>68</v>
      </c>
      <c r="C41" s="50">
        <f>'[1]RD116 MCC'!H277</f>
        <v>7</v>
      </c>
      <c r="D41" s="50">
        <v>3</v>
      </c>
      <c r="E41" s="50">
        <v>7</v>
      </c>
      <c r="F41" s="50">
        <v>1</v>
      </c>
      <c r="G41" s="50">
        <v>0</v>
      </c>
      <c r="H41" s="50">
        <v>1</v>
      </c>
      <c r="I41" s="50">
        <v>7</v>
      </c>
      <c r="J41" s="50">
        <v>2</v>
      </c>
      <c r="K41" s="50">
        <v>0</v>
      </c>
      <c r="L41" s="50">
        <v>2</v>
      </c>
      <c r="M41" s="50">
        <v>40</v>
      </c>
      <c r="N41" s="50">
        <v>0</v>
      </c>
      <c r="O41" s="15">
        <f t="shared" si="0"/>
        <v>30</v>
      </c>
      <c r="P41" s="15">
        <f t="shared" si="1"/>
        <v>70</v>
      </c>
      <c r="R41" s="5" t="s">
        <v>159</v>
      </c>
      <c r="S41" s="16">
        <f>SUM(S10:S33)</f>
        <v>430</v>
      </c>
      <c r="T41" s="16">
        <f t="shared" ref="T41:AF41" si="33">SUM(T10:T33)</f>
        <v>235</v>
      </c>
      <c r="U41" s="16">
        <f t="shared" si="33"/>
        <v>521</v>
      </c>
      <c r="V41" s="16">
        <f t="shared" si="33"/>
        <v>121</v>
      </c>
      <c r="W41" s="16">
        <f t="shared" si="33"/>
        <v>8</v>
      </c>
      <c r="X41" s="16">
        <f t="shared" si="33"/>
        <v>60</v>
      </c>
      <c r="Y41" s="16">
        <f t="shared" si="33"/>
        <v>333</v>
      </c>
      <c r="Z41" s="16">
        <f t="shared" si="33"/>
        <v>27</v>
      </c>
      <c r="AA41" s="16">
        <f t="shared" si="33"/>
        <v>7</v>
      </c>
      <c r="AB41" s="16">
        <f t="shared" si="33"/>
        <v>183</v>
      </c>
      <c r="AC41" s="16">
        <f t="shared" si="33"/>
        <v>3529</v>
      </c>
      <c r="AD41" s="16">
        <f t="shared" si="33"/>
        <v>8</v>
      </c>
      <c r="AE41" s="32">
        <f t="shared" si="33"/>
        <v>1933</v>
      </c>
      <c r="AF41" s="32">
        <f t="shared" si="33"/>
        <v>5462</v>
      </c>
    </row>
    <row r="42" spans="2:32" ht="23.1" customHeight="1" x14ac:dyDescent="0.25">
      <c r="B42" s="46" t="s">
        <v>69</v>
      </c>
      <c r="C42" s="50">
        <f>'[1]RD116 MCC'!H278</f>
        <v>3</v>
      </c>
      <c r="D42" s="50">
        <v>2</v>
      </c>
      <c r="E42" s="50">
        <v>4</v>
      </c>
      <c r="F42" s="50">
        <v>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5</v>
      </c>
      <c r="M42" s="50">
        <v>53</v>
      </c>
      <c r="N42" s="50">
        <v>0</v>
      </c>
      <c r="O42" s="15">
        <f t="shared" si="0"/>
        <v>17</v>
      </c>
      <c r="P42" s="15">
        <f t="shared" si="1"/>
        <v>70</v>
      </c>
      <c r="R42" s="5" t="s">
        <v>160</v>
      </c>
      <c r="S42" s="48">
        <f>S41/S40</f>
        <v>2.087378640776699</v>
      </c>
      <c r="T42" s="48">
        <f t="shared" ref="T42:AF42" si="34">T41/T40</f>
        <v>2.0796460176991149</v>
      </c>
      <c r="U42" s="48">
        <f t="shared" si="34"/>
        <v>2.0511811023622046</v>
      </c>
      <c r="V42" s="48">
        <f t="shared" si="34"/>
        <v>2.1607142857142856</v>
      </c>
      <c r="W42" s="48">
        <f t="shared" si="34"/>
        <v>2.6666666666666665</v>
      </c>
      <c r="X42" s="48">
        <f t="shared" si="34"/>
        <v>1.875</v>
      </c>
      <c r="Y42" s="48">
        <f t="shared" si="34"/>
        <v>2.1623376623376624</v>
      </c>
      <c r="Z42" s="48">
        <f t="shared" si="34"/>
        <v>1.9285714285714286</v>
      </c>
      <c r="AA42" s="48">
        <f t="shared" si="34"/>
        <v>1.4</v>
      </c>
      <c r="AB42" s="48">
        <f t="shared" si="34"/>
        <v>2.4729729729729728</v>
      </c>
      <c r="AC42" s="48">
        <f t="shared" si="34"/>
        <v>1.3080059303187546</v>
      </c>
      <c r="AD42" s="48">
        <f t="shared" si="34"/>
        <v>4</v>
      </c>
      <c r="AE42" s="48">
        <f t="shared" si="34"/>
        <v>2.1171960569550929</v>
      </c>
      <c r="AF42" s="48">
        <f t="shared" si="34"/>
        <v>1.5126003877042371</v>
      </c>
    </row>
    <row r="43" spans="2:32" ht="23.1" customHeight="1" x14ac:dyDescent="0.25">
      <c r="B43" s="45" t="s">
        <v>70</v>
      </c>
      <c r="C43" s="50">
        <f>'[1]RD116 MCC'!H279</f>
        <v>9</v>
      </c>
      <c r="D43" s="50">
        <v>1</v>
      </c>
      <c r="E43" s="50">
        <v>2</v>
      </c>
      <c r="F43" s="50">
        <v>0</v>
      </c>
      <c r="G43" s="50">
        <v>0</v>
      </c>
      <c r="H43" s="50">
        <v>1</v>
      </c>
      <c r="I43" s="50">
        <v>3</v>
      </c>
      <c r="J43" s="50">
        <v>0</v>
      </c>
      <c r="K43" s="50">
        <v>0</v>
      </c>
      <c r="L43" s="50">
        <v>2</v>
      </c>
      <c r="M43" s="50">
        <v>57</v>
      </c>
      <c r="N43" s="50">
        <v>0</v>
      </c>
      <c r="O43" s="15">
        <f t="shared" si="0"/>
        <v>18</v>
      </c>
      <c r="P43" s="15">
        <f t="shared" si="1"/>
        <v>75</v>
      </c>
    </row>
    <row r="44" spans="2:32" ht="23.1" customHeight="1" x14ac:dyDescent="0.25">
      <c r="B44" s="47" t="s">
        <v>71</v>
      </c>
      <c r="C44" s="50">
        <f>'[1]RD116 MCC'!H280</f>
        <v>6</v>
      </c>
      <c r="D44" s="50">
        <v>1</v>
      </c>
      <c r="E44" s="50">
        <v>2</v>
      </c>
      <c r="F44" s="50">
        <v>2</v>
      </c>
      <c r="G44" s="50">
        <v>0</v>
      </c>
      <c r="H44" s="50">
        <v>1</v>
      </c>
      <c r="I44" s="50">
        <v>0</v>
      </c>
      <c r="J44" s="50">
        <v>0</v>
      </c>
      <c r="K44" s="50">
        <v>0</v>
      </c>
      <c r="L44" s="50">
        <v>2</v>
      </c>
      <c r="M44" s="50">
        <v>46</v>
      </c>
      <c r="N44" s="50">
        <v>0</v>
      </c>
      <c r="O44" s="15">
        <f t="shared" si="0"/>
        <v>14</v>
      </c>
      <c r="P44" s="15">
        <f t="shared" si="1"/>
        <v>60</v>
      </c>
    </row>
    <row r="45" spans="2:32" ht="23.1" customHeight="1" x14ac:dyDescent="0.25">
      <c r="B45" s="45" t="s">
        <v>72</v>
      </c>
      <c r="C45" s="50">
        <f>'[1]RD116 MCC'!H281</f>
        <v>4</v>
      </c>
      <c r="D45" s="50">
        <v>1</v>
      </c>
      <c r="E45" s="50">
        <v>3</v>
      </c>
      <c r="F45" s="50">
        <v>2</v>
      </c>
      <c r="G45" s="50">
        <v>0</v>
      </c>
      <c r="H45" s="50">
        <v>2</v>
      </c>
      <c r="I45" s="50">
        <v>8</v>
      </c>
      <c r="J45" s="50">
        <v>0</v>
      </c>
      <c r="K45" s="50">
        <v>0</v>
      </c>
      <c r="L45" s="50">
        <v>4</v>
      </c>
      <c r="M45" s="50">
        <v>63</v>
      </c>
      <c r="N45" s="50">
        <v>0</v>
      </c>
      <c r="O45" s="15">
        <f t="shared" si="0"/>
        <v>24</v>
      </c>
      <c r="P45" s="15">
        <f t="shared" si="1"/>
        <v>87</v>
      </c>
    </row>
    <row r="46" spans="2:32" ht="23.1" customHeight="1" x14ac:dyDescent="0.25">
      <c r="B46" s="46" t="s">
        <v>73</v>
      </c>
      <c r="C46" s="50">
        <f>'[1]RD116 MCC'!H282</f>
        <v>10</v>
      </c>
      <c r="D46" s="50">
        <v>4</v>
      </c>
      <c r="E46" s="50">
        <v>8</v>
      </c>
      <c r="F46" s="50">
        <v>1</v>
      </c>
      <c r="G46" s="50">
        <v>0</v>
      </c>
      <c r="H46" s="50">
        <v>2</v>
      </c>
      <c r="I46" s="50">
        <v>3</v>
      </c>
      <c r="J46" s="50">
        <v>0</v>
      </c>
      <c r="K46" s="50">
        <v>1</v>
      </c>
      <c r="L46" s="50">
        <v>3</v>
      </c>
      <c r="M46" s="50">
        <v>61</v>
      </c>
      <c r="N46" s="50">
        <v>0</v>
      </c>
      <c r="O46" s="15">
        <f t="shared" si="0"/>
        <v>32</v>
      </c>
      <c r="P46" s="15">
        <f t="shared" si="1"/>
        <v>93</v>
      </c>
      <c r="R46" s="8"/>
      <c r="T46"/>
    </row>
    <row r="47" spans="2:32" ht="23.1" customHeight="1" x14ac:dyDescent="0.25">
      <c r="B47" s="46" t="s">
        <v>74</v>
      </c>
      <c r="C47" s="50">
        <f>'[1]RD116 MCC'!H283</f>
        <v>5</v>
      </c>
      <c r="D47" s="50">
        <v>4</v>
      </c>
      <c r="E47" s="50">
        <v>8</v>
      </c>
      <c r="F47" s="50">
        <v>0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0</v>
      </c>
      <c r="M47" s="50">
        <v>61</v>
      </c>
      <c r="N47" s="50">
        <v>0</v>
      </c>
      <c r="O47" s="15">
        <f t="shared" si="0"/>
        <v>20</v>
      </c>
      <c r="P47" s="15">
        <f t="shared" si="1"/>
        <v>81</v>
      </c>
      <c r="R47" s="8"/>
      <c r="T47"/>
    </row>
    <row r="48" spans="2:32" ht="23.1" customHeight="1" x14ac:dyDescent="0.25">
      <c r="B48" s="46" t="s">
        <v>75</v>
      </c>
      <c r="C48" s="50">
        <f>'[1]RD116 MCC'!H284</f>
        <v>3</v>
      </c>
      <c r="D48" s="50">
        <v>5</v>
      </c>
      <c r="E48" s="50">
        <v>10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57</v>
      </c>
      <c r="N48" s="50">
        <v>0</v>
      </c>
      <c r="O48" s="15">
        <f t="shared" si="0"/>
        <v>19</v>
      </c>
      <c r="P48" s="15">
        <f t="shared" si="1"/>
        <v>76</v>
      </c>
      <c r="R48" s="8"/>
      <c r="T48"/>
    </row>
    <row r="49" spans="2:20" ht="23.1" customHeight="1" x14ac:dyDescent="0.25">
      <c r="B49" s="45" t="s">
        <v>76</v>
      </c>
      <c r="C49" s="50">
        <f>'[1]RD116 MCC'!H285</f>
        <v>5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65</v>
      </c>
      <c r="N49" s="50">
        <v>0</v>
      </c>
      <c r="O49" s="15">
        <f t="shared" si="0"/>
        <v>9</v>
      </c>
      <c r="P49" s="15">
        <f t="shared" si="1"/>
        <v>74</v>
      </c>
      <c r="R49" s="8"/>
      <c r="T49"/>
    </row>
    <row r="50" spans="2:20" ht="23.1" customHeight="1" x14ac:dyDescent="0.25">
      <c r="B50" s="46" t="s">
        <v>77</v>
      </c>
      <c r="C50" s="50">
        <f>'[1]RD116 MCC'!H286</f>
        <v>4</v>
      </c>
      <c r="D50" s="50">
        <v>2</v>
      </c>
      <c r="E50" s="50">
        <v>4</v>
      </c>
      <c r="F50" s="50">
        <v>2</v>
      </c>
      <c r="G50" s="50">
        <v>0</v>
      </c>
      <c r="H50" s="50">
        <v>2</v>
      </c>
      <c r="I50" s="50">
        <v>2</v>
      </c>
      <c r="J50" s="50">
        <v>1</v>
      </c>
      <c r="K50" s="50">
        <v>0</v>
      </c>
      <c r="L50" s="50">
        <v>1</v>
      </c>
      <c r="M50" s="50">
        <v>68</v>
      </c>
      <c r="N50" s="50">
        <v>0</v>
      </c>
      <c r="O50" s="15">
        <f t="shared" si="0"/>
        <v>18</v>
      </c>
      <c r="P50" s="15">
        <f t="shared" si="1"/>
        <v>86</v>
      </c>
      <c r="R50" s="8"/>
      <c r="T50"/>
    </row>
    <row r="51" spans="2:20" ht="23.1" customHeight="1" x14ac:dyDescent="0.25">
      <c r="B51" s="46" t="s">
        <v>78</v>
      </c>
      <c r="C51" s="50">
        <f>'[1]RD116 MCC'!H287</f>
        <v>3</v>
      </c>
      <c r="D51" s="50">
        <v>4</v>
      </c>
      <c r="E51" s="50">
        <v>8</v>
      </c>
      <c r="F51" s="50">
        <v>0</v>
      </c>
      <c r="G51" s="50">
        <v>0</v>
      </c>
      <c r="H51" s="50">
        <v>0</v>
      </c>
      <c r="I51" s="50">
        <v>4</v>
      </c>
      <c r="J51" s="50">
        <v>1</v>
      </c>
      <c r="K51" s="50">
        <v>0</v>
      </c>
      <c r="L51" s="50">
        <v>3</v>
      </c>
      <c r="M51" s="50">
        <v>78</v>
      </c>
      <c r="N51" s="50">
        <v>0</v>
      </c>
      <c r="O51" s="15">
        <f t="shared" si="0"/>
        <v>23</v>
      </c>
      <c r="P51" s="15">
        <f t="shared" si="1"/>
        <v>101</v>
      </c>
      <c r="R51" s="8"/>
      <c r="T51"/>
    </row>
    <row r="52" spans="2:20" ht="23.1" customHeight="1" x14ac:dyDescent="0.25">
      <c r="B52" s="46" t="s">
        <v>79</v>
      </c>
      <c r="C52" s="50">
        <f>'[1]RD116 MCC'!H288</f>
        <v>6</v>
      </c>
      <c r="D52" s="50">
        <v>3</v>
      </c>
      <c r="E52" s="50">
        <v>7</v>
      </c>
      <c r="F52" s="50">
        <v>3</v>
      </c>
      <c r="G52" s="50">
        <v>0</v>
      </c>
      <c r="H52" s="50">
        <v>0</v>
      </c>
      <c r="I52" s="50">
        <v>5</v>
      </c>
      <c r="J52" s="50">
        <v>0</v>
      </c>
      <c r="K52" s="50">
        <v>0</v>
      </c>
      <c r="L52" s="50">
        <v>2</v>
      </c>
      <c r="M52" s="50">
        <v>42</v>
      </c>
      <c r="N52" s="50">
        <v>0</v>
      </c>
      <c r="O52" s="15">
        <f t="shared" si="0"/>
        <v>26</v>
      </c>
      <c r="P52" s="15">
        <f t="shared" si="1"/>
        <v>68</v>
      </c>
      <c r="R52" s="8"/>
      <c r="T52"/>
    </row>
    <row r="53" spans="2:20" ht="23.1" customHeight="1" x14ac:dyDescent="0.25">
      <c r="B53" s="45" t="s">
        <v>80</v>
      </c>
      <c r="C53" s="50">
        <f>'[1]RD116 MCC'!H289</f>
        <v>8</v>
      </c>
      <c r="D53" s="50">
        <v>1</v>
      </c>
      <c r="E53" s="50">
        <v>3</v>
      </c>
      <c r="F53" s="50">
        <v>0</v>
      </c>
      <c r="G53" s="50">
        <v>0</v>
      </c>
      <c r="H53" s="50">
        <v>0</v>
      </c>
      <c r="I53" s="50">
        <v>4</v>
      </c>
      <c r="J53" s="50">
        <v>2</v>
      </c>
      <c r="K53" s="50">
        <v>0</v>
      </c>
      <c r="L53" s="50">
        <v>0</v>
      </c>
      <c r="M53" s="50">
        <v>70</v>
      </c>
      <c r="N53" s="50">
        <v>0</v>
      </c>
      <c r="O53" s="15">
        <f t="shared" si="0"/>
        <v>18</v>
      </c>
      <c r="P53" s="15">
        <f t="shared" si="1"/>
        <v>88</v>
      </c>
      <c r="R53" s="8"/>
      <c r="T53"/>
    </row>
    <row r="54" spans="2:20" ht="23.1" customHeight="1" x14ac:dyDescent="0.25">
      <c r="B54" s="45" t="s">
        <v>81</v>
      </c>
      <c r="C54" s="50">
        <f>'[1]RD116 MCC'!H290</f>
        <v>7</v>
      </c>
      <c r="D54" s="50">
        <v>2</v>
      </c>
      <c r="E54" s="50">
        <v>4</v>
      </c>
      <c r="F54" s="50">
        <v>2</v>
      </c>
      <c r="G54" s="50">
        <v>0</v>
      </c>
      <c r="H54" s="50">
        <v>0</v>
      </c>
      <c r="I54" s="50">
        <v>6</v>
      </c>
      <c r="J54" s="50">
        <v>0</v>
      </c>
      <c r="K54" s="50">
        <v>0</v>
      </c>
      <c r="L54" s="50">
        <v>1</v>
      </c>
      <c r="M54" s="50">
        <v>45</v>
      </c>
      <c r="N54" s="50">
        <v>0</v>
      </c>
      <c r="O54" s="15">
        <f t="shared" si="0"/>
        <v>22</v>
      </c>
      <c r="P54" s="15">
        <f t="shared" si="1"/>
        <v>67</v>
      </c>
      <c r="R54" s="8"/>
      <c r="T54"/>
    </row>
    <row r="55" spans="2:20" ht="23.1" customHeight="1" x14ac:dyDescent="0.25">
      <c r="B55" s="45" t="s">
        <v>82</v>
      </c>
      <c r="C55" s="50">
        <f>'[1]RD116 MCC'!H291</f>
        <v>3</v>
      </c>
      <c r="D55" s="50">
        <v>0</v>
      </c>
      <c r="E55" s="50">
        <v>0</v>
      </c>
      <c r="F55" s="50">
        <v>0</v>
      </c>
      <c r="G55" s="50">
        <v>1</v>
      </c>
      <c r="H55" s="50">
        <v>1</v>
      </c>
      <c r="I55" s="50">
        <v>1</v>
      </c>
      <c r="J55" s="50">
        <v>0</v>
      </c>
      <c r="K55" s="50">
        <v>0</v>
      </c>
      <c r="L55" s="50">
        <v>0</v>
      </c>
      <c r="M55" s="50">
        <v>55</v>
      </c>
      <c r="N55" s="50">
        <v>0</v>
      </c>
      <c r="O55" s="15">
        <f t="shared" si="0"/>
        <v>6</v>
      </c>
      <c r="P55" s="15">
        <f t="shared" si="1"/>
        <v>61</v>
      </c>
      <c r="R55" s="8"/>
      <c r="T55"/>
    </row>
    <row r="56" spans="2:20" ht="23.1" customHeight="1" x14ac:dyDescent="0.25">
      <c r="B56" s="45" t="s">
        <v>83</v>
      </c>
      <c r="C56" s="50">
        <f>'[1]RD116 MCC'!H292</f>
        <v>3</v>
      </c>
      <c r="D56" s="50">
        <v>1</v>
      </c>
      <c r="E56" s="50">
        <v>2</v>
      </c>
      <c r="F56" s="50">
        <v>0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2</v>
      </c>
      <c r="M56" s="50">
        <v>49</v>
      </c>
      <c r="N56" s="50">
        <v>0</v>
      </c>
      <c r="O56" s="15">
        <f t="shared" si="0"/>
        <v>12</v>
      </c>
      <c r="P56" s="15">
        <f t="shared" si="1"/>
        <v>61</v>
      </c>
      <c r="R56" s="8"/>
      <c r="T56"/>
    </row>
    <row r="57" spans="2:20" ht="23.1" customHeight="1" x14ac:dyDescent="0.25">
      <c r="B57" s="45" t="s">
        <v>84</v>
      </c>
      <c r="C57" s="50">
        <f>'[1]RD116 MCC'!H293</f>
        <v>5</v>
      </c>
      <c r="D57" s="50">
        <v>1</v>
      </c>
      <c r="E57" s="50">
        <v>3</v>
      </c>
      <c r="F57" s="50">
        <v>1</v>
      </c>
      <c r="G57" s="50">
        <v>0</v>
      </c>
      <c r="H57" s="50">
        <v>2</v>
      </c>
      <c r="I57" s="50">
        <v>1</v>
      </c>
      <c r="J57" s="50">
        <v>0</v>
      </c>
      <c r="K57" s="50">
        <v>0</v>
      </c>
      <c r="L57" s="50">
        <v>0</v>
      </c>
      <c r="M57" s="50">
        <v>69</v>
      </c>
      <c r="N57" s="50">
        <v>0</v>
      </c>
      <c r="O57" s="15">
        <f t="shared" si="0"/>
        <v>13</v>
      </c>
      <c r="P57" s="15">
        <f t="shared" si="1"/>
        <v>82</v>
      </c>
      <c r="R57" s="8"/>
      <c r="T57"/>
    </row>
    <row r="58" spans="2:20" ht="23.1" customHeight="1" x14ac:dyDescent="0.25">
      <c r="B58" s="45" t="s">
        <v>99</v>
      </c>
      <c r="C58" s="50">
        <f>'[1]RD116 MCC'!H294</f>
        <v>1</v>
      </c>
      <c r="D58" s="50">
        <v>0</v>
      </c>
      <c r="E58" s="50">
        <v>0</v>
      </c>
      <c r="F58" s="50">
        <v>0</v>
      </c>
      <c r="G58" s="50">
        <v>0</v>
      </c>
      <c r="H58" s="50">
        <v>1</v>
      </c>
      <c r="I58" s="50">
        <v>0</v>
      </c>
      <c r="J58" s="50">
        <v>1</v>
      </c>
      <c r="K58" s="50">
        <v>0</v>
      </c>
      <c r="L58" s="50">
        <v>0</v>
      </c>
      <c r="M58" s="50">
        <v>55</v>
      </c>
      <c r="N58" s="50">
        <v>0</v>
      </c>
      <c r="O58" s="15">
        <f t="shared" ref="O58:O105" si="35">SUM(C58:L58,N58)</f>
        <v>3</v>
      </c>
      <c r="P58" s="15">
        <f t="shared" ref="P58:P105" si="36">SUM(C58:N58)</f>
        <v>58</v>
      </c>
      <c r="R58" s="8"/>
      <c r="T58"/>
    </row>
    <row r="59" spans="2:20" ht="23.1" customHeight="1" x14ac:dyDescent="0.25">
      <c r="B59" s="45" t="s">
        <v>100</v>
      </c>
      <c r="C59" s="50">
        <f>'[1]RD116 MCC'!H295</f>
        <v>1</v>
      </c>
      <c r="D59" s="50">
        <v>1</v>
      </c>
      <c r="E59" s="50">
        <v>2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57</v>
      </c>
      <c r="N59" s="50">
        <v>0</v>
      </c>
      <c r="O59" s="15">
        <f t="shared" si="35"/>
        <v>5</v>
      </c>
      <c r="P59" s="15">
        <f t="shared" si="36"/>
        <v>62</v>
      </c>
      <c r="R59" s="8"/>
      <c r="T59"/>
    </row>
    <row r="60" spans="2:20" ht="23.1" customHeight="1" x14ac:dyDescent="0.25">
      <c r="B60" s="45" t="s">
        <v>101</v>
      </c>
      <c r="C60" s="50">
        <f>'[1]RD116 MCC'!H296</f>
        <v>1</v>
      </c>
      <c r="D60" s="50">
        <v>2</v>
      </c>
      <c r="E60" s="50">
        <v>5</v>
      </c>
      <c r="F60" s="50">
        <v>1</v>
      </c>
      <c r="G60" s="50">
        <v>0</v>
      </c>
      <c r="H60" s="50">
        <v>2</v>
      </c>
      <c r="I60" s="50">
        <v>1</v>
      </c>
      <c r="J60" s="50">
        <v>0</v>
      </c>
      <c r="K60" s="50">
        <v>0</v>
      </c>
      <c r="L60" s="50">
        <v>0</v>
      </c>
      <c r="M60" s="50">
        <v>42</v>
      </c>
      <c r="N60" s="50">
        <v>0</v>
      </c>
      <c r="O60" s="15">
        <f t="shared" si="35"/>
        <v>12</v>
      </c>
      <c r="P60" s="15">
        <f t="shared" si="36"/>
        <v>54</v>
      </c>
      <c r="R60" s="8"/>
      <c r="T60"/>
    </row>
    <row r="61" spans="2:20" ht="23.1" customHeight="1" x14ac:dyDescent="0.25">
      <c r="B61" s="45" t="s">
        <v>102</v>
      </c>
      <c r="C61" s="50">
        <f>'[1]RD116 MCC'!H297</f>
        <v>3</v>
      </c>
      <c r="D61" s="50">
        <v>3</v>
      </c>
      <c r="E61" s="50">
        <v>7</v>
      </c>
      <c r="F61" s="50">
        <v>2</v>
      </c>
      <c r="G61" s="50">
        <v>0</v>
      </c>
      <c r="H61" s="50">
        <v>0</v>
      </c>
      <c r="I61" s="50">
        <v>3</v>
      </c>
      <c r="J61" s="50">
        <v>0</v>
      </c>
      <c r="K61" s="50">
        <v>0</v>
      </c>
      <c r="L61" s="50">
        <v>0</v>
      </c>
      <c r="M61" s="50">
        <v>41</v>
      </c>
      <c r="N61" s="50">
        <v>0</v>
      </c>
      <c r="O61" s="15">
        <f t="shared" si="35"/>
        <v>18</v>
      </c>
      <c r="P61" s="15">
        <f t="shared" si="36"/>
        <v>59</v>
      </c>
      <c r="R61" s="8"/>
      <c r="T61"/>
    </row>
    <row r="62" spans="2:20" ht="23.1" customHeight="1" x14ac:dyDescent="0.25">
      <c r="B62" s="45" t="s">
        <v>107</v>
      </c>
      <c r="C62" s="50">
        <f>'[1]RD116 MCC'!H298</f>
        <v>2</v>
      </c>
      <c r="D62" s="50">
        <v>5</v>
      </c>
      <c r="E62" s="50">
        <v>11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45</v>
      </c>
      <c r="N62" s="50">
        <v>0</v>
      </c>
      <c r="O62" s="15">
        <f t="shared" si="35"/>
        <v>19</v>
      </c>
      <c r="P62" s="15">
        <f t="shared" si="36"/>
        <v>64</v>
      </c>
      <c r="R62" s="8"/>
      <c r="T62"/>
    </row>
    <row r="63" spans="2:20" ht="23.1" customHeight="1" x14ac:dyDescent="0.25">
      <c r="B63" s="45" t="s">
        <v>108</v>
      </c>
      <c r="C63" s="50">
        <f>'[1]RD116 MCC'!H299</f>
        <v>4</v>
      </c>
      <c r="D63" s="50">
        <v>2</v>
      </c>
      <c r="E63" s="50">
        <v>4</v>
      </c>
      <c r="F63" s="50">
        <v>1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43</v>
      </c>
      <c r="N63" s="50">
        <v>0</v>
      </c>
      <c r="O63" s="15">
        <f t="shared" si="35"/>
        <v>12</v>
      </c>
      <c r="P63" s="15">
        <f t="shared" si="36"/>
        <v>55</v>
      </c>
      <c r="R63" s="8"/>
      <c r="T63"/>
    </row>
    <row r="64" spans="2:20" ht="23.1" customHeight="1" x14ac:dyDescent="0.25">
      <c r="B64" s="45" t="s">
        <v>109</v>
      </c>
      <c r="C64" s="50">
        <f>'[1]RD116 MCC'!H300</f>
        <v>2</v>
      </c>
      <c r="D64" s="50">
        <v>3</v>
      </c>
      <c r="E64" s="50">
        <v>7</v>
      </c>
      <c r="F64" s="50">
        <v>1</v>
      </c>
      <c r="G64" s="50">
        <v>0</v>
      </c>
      <c r="H64" s="50">
        <v>2</v>
      </c>
      <c r="I64" s="50">
        <v>6</v>
      </c>
      <c r="J64" s="50">
        <v>0</v>
      </c>
      <c r="K64" s="50">
        <v>0</v>
      </c>
      <c r="L64" s="50">
        <v>1</v>
      </c>
      <c r="M64" s="50">
        <v>41</v>
      </c>
      <c r="N64" s="50">
        <v>0</v>
      </c>
      <c r="O64" s="15">
        <f t="shared" si="35"/>
        <v>22</v>
      </c>
      <c r="P64" s="15">
        <f t="shared" si="36"/>
        <v>63</v>
      </c>
      <c r="R64" s="8"/>
      <c r="T64"/>
    </row>
    <row r="65" spans="2:20" ht="23.1" customHeight="1" x14ac:dyDescent="0.25">
      <c r="B65" s="45" t="s">
        <v>158</v>
      </c>
      <c r="C65" s="50">
        <f>'[1]RD116 MCC'!H301</f>
        <v>3</v>
      </c>
      <c r="D65" s="50">
        <v>5</v>
      </c>
      <c r="E65" s="50">
        <v>11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42</v>
      </c>
      <c r="N65" s="50">
        <v>0</v>
      </c>
      <c r="O65" s="15">
        <f t="shared" si="35"/>
        <v>20</v>
      </c>
      <c r="P65" s="15">
        <f t="shared" si="36"/>
        <v>62</v>
      </c>
      <c r="R65" s="8"/>
      <c r="T65"/>
    </row>
    <row r="66" spans="2:20" ht="23.1" customHeight="1" x14ac:dyDescent="0.25">
      <c r="B66" s="45" t="s">
        <v>103</v>
      </c>
      <c r="C66" s="50">
        <f>'[1]RD116 MCC'!H302</f>
        <v>10</v>
      </c>
      <c r="D66" s="50">
        <v>4</v>
      </c>
      <c r="E66" s="50">
        <v>9</v>
      </c>
      <c r="F66" s="50">
        <v>1</v>
      </c>
      <c r="G66" s="50">
        <v>0</v>
      </c>
      <c r="H66" s="50">
        <v>0</v>
      </c>
      <c r="I66" s="50">
        <v>4</v>
      </c>
      <c r="J66" s="50">
        <v>0</v>
      </c>
      <c r="K66" s="50">
        <v>0</v>
      </c>
      <c r="L66" s="50">
        <v>0</v>
      </c>
      <c r="M66" s="50">
        <v>43</v>
      </c>
      <c r="N66" s="50">
        <v>0</v>
      </c>
      <c r="O66" s="15">
        <f t="shared" si="35"/>
        <v>28</v>
      </c>
      <c r="P66" s="15">
        <f t="shared" si="36"/>
        <v>71</v>
      </c>
      <c r="R66" s="8"/>
      <c r="T66"/>
    </row>
    <row r="67" spans="2:20" ht="23.1" customHeight="1" x14ac:dyDescent="0.25">
      <c r="B67" s="45" t="s">
        <v>104</v>
      </c>
      <c r="C67" s="50">
        <f>'[1]RD116 MCC'!H303</f>
        <v>5</v>
      </c>
      <c r="D67" s="50">
        <v>1</v>
      </c>
      <c r="E67" s="50">
        <v>3</v>
      </c>
      <c r="F67" s="50">
        <v>5</v>
      </c>
      <c r="G67" s="50">
        <v>0</v>
      </c>
      <c r="H67" s="50">
        <v>0</v>
      </c>
      <c r="I67" s="50">
        <v>4</v>
      </c>
      <c r="J67" s="50">
        <v>0</v>
      </c>
      <c r="K67" s="50">
        <v>0</v>
      </c>
      <c r="L67" s="50">
        <v>1</v>
      </c>
      <c r="M67" s="50">
        <v>43</v>
      </c>
      <c r="N67" s="50">
        <v>0</v>
      </c>
      <c r="O67" s="15">
        <f t="shared" si="35"/>
        <v>19</v>
      </c>
      <c r="P67" s="15">
        <f t="shared" si="36"/>
        <v>62</v>
      </c>
      <c r="R67" s="8"/>
      <c r="T67"/>
    </row>
    <row r="68" spans="2:20" ht="23.1" customHeight="1" x14ac:dyDescent="0.25">
      <c r="B68" s="45" t="s">
        <v>105</v>
      </c>
      <c r="C68" s="50">
        <f>'[1]RD116 MCC'!H304</f>
        <v>5</v>
      </c>
      <c r="D68" s="50">
        <v>5</v>
      </c>
      <c r="E68" s="50">
        <v>10</v>
      </c>
      <c r="F68" s="50">
        <v>3</v>
      </c>
      <c r="G68" s="50">
        <v>1</v>
      </c>
      <c r="H68" s="50">
        <v>1</v>
      </c>
      <c r="I68" s="50">
        <v>7</v>
      </c>
      <c r="J68" s="50">
        <v>0</v>
      </c>
      <c r="K68" s="50">
        <v>0</v>
      </c>
      <c r="L68" s="50">
        <v>1</v>
      </c>
      <c r="M68" s="50">
        <v>44</v>
      </c>
      <c r="N68" s="50">
        <v>0</v>
      </c>
      <c r="O68" s="15">
        <f t="shared" si="35"/>
        <v>33</v>
      </c>
      <c r="P68" s="15">
        <f t="shared" si="36"/>
        <v>77</v>
      </c>
      <c r="R68" s="8"/>
      <c r="T68"/>
    </row>
    <row r="69" spans="2:20" ht="23.1" customHeight="1" x14ac:dyDescent="0.25">
      <c r="B69" s="45" t="s">
        <v>106</v>
      </c>
      <c r="C69" s="50">
        <f>'[1]RD116 MCC'!H305</f>
        <v>2</v>
      </c>
      <c r="D69" s="50">
        <v>2</v>
      </c>
      <c r="E69" s="50">
        <v>5</v>
      </c>
      <c r="F69" s="50">
        <v>0</v>
      </c>
      <c r="G69" s="50">
        <v>0</v>
      </c>
      <c r="H69" s="50">
        <v>0</v>
      </c>
      <c r="I69" s="50">
        <v>4</v>
      </c>
      <c r="J69" s="50">
        <v>0</v>
      </c>
      <c r="K69" s="50">
        <v>0</v>
      </c>
      <c r="L69" s="50">
        <v>1</v>
      </c>
      <c r="M69" s="50">
        <v>38</v>
      </c>
      <c r="N69" s="50">
        <v>0</v>
      </c>
      <c r="O69" s="15">
        <f t="shared" si="35"/>
        <v>14</v>
      </c>
      <c r="P69" s="15">
        <f t="shared" si="36"/>
        <v>52</v>
      </c>
      <c r="R69" s="8"/>
      <c r="T69"/>
    </row>
    <row r="70" spans="2:20" ht="23.1" customHeight="1" x14ac:dyDescent="0.25">
      <c r="B70" s="45" t="s">
        <v>110</v>
      </c>
      <c r="C70" s="50">
        <f>'[1]RD116 MCC'!H306</f>
        <v>7</v>
      </c>
      <c r="D70" s="50">
        <v>2</v>
      </c>
      <c r="E70" s="50">
        <v>5</v>
      </c>
      <c r="F70" s="50">
        <v>1</v>
      </c>
      <c r="G70" s="50">
        <v>0</v>
      </c>
      <c r="H70" s="50">
        <v>1</v>
      </c>
      <c r="I70" s="50">
        <v>4</v>
      </c>
      <c r="J70" s="50">
        <v>0</v>
      </c>
      <c r="K70" s="50">
        <v>0</v>
      </c>
      <c r="L70" s="50">
        <v>1</v>
      </c>
      <c r="M70" s="50">
        <v>25</v>
      </c>
      <c r="N70" s="50">
        <v>0</v>
      </c>
      <c r="O70" s="15">
        <f t="shared" si="35"/>
        <v>21</v>
      </c>
      <c r="P70" s="15">
        <f t="shared" si="36"/>
        <v>46</v>
      </c>
      <c r="R70" s="8"/>
      <c r="T70"/>
    </row>
    <row r="71" spans="2:20" ht="23.1" customHeight="1" x14ac:dyDescent="0.25">
      <c r="B71" s="45" t="s">
        <v>111</v>
      </c>
      <c r="C71" s="50">
        <f>'[1]RD116 MCC'!H307</f>
        <v>4</v>
      </c>
      <c r="D71" s="50">
        <v>2</v>
      </c>
      <c r="E71" s="50">
        <v>5</v>
      </c>
      <c r="F71" s="50">
        <v>3</v>
      </c>
      <c r="G71" s="50">
        <v>0</v>
      </c>
      <c r="H71" s="50">
        <v>1</v>
      </c>
      <c r="I71" s="50">
        <v>2</v>
      </c>
      <c r="J71" s="50">
        <v>0</v>
      </c>
      <c r="K71" s="50">
        <v>0</v>
      </c>
      <c r="L71" s="50">
        <v>3</v>
      </c>
      <c r="M71" s="50">
        <v>28</v>
      </c>
      <c r="N71" s="50">
        <v>0</v>
      </c>
      <c r="O71" s="15">
        <f t="shared" si="35"/>
        <v>20</v>
      </c>
      <c r="P71" s="15">
        <f t="shared" si="36"/>
        <v>48</v>
      </c>
      <c r="R71" s="8"/>
      <c r="T71"/>
    </row>
    <row r="72" spans="2:20" ht="23.1" customHeight="1" x14ac:dyDescent="0.25">
      <c r="B72" s="45" t="s">
        <v>112</v>
      </c>
      <c r="C72" s="50">
        <f>'[1]RD116 MCC'!H308</f>
        <v>5</v>
      </c>
      <c r="D72" s="50">
        <v>1</v>
      </c>
      <c r="E72" s="50">
        <v>3</v>
      </c>
      <c r="F72" s="50">
        <v>0</v>
      </c>
      <c r="G72" s="50">
        <v>0</v>
      </c>
      <c r="H72" s="50">
        <v>0</v>
      </c>
      <c r="I72" s="50">
        <v>5</v>
      </c>
      <c r="J72" s="50">
        <v>0</v>
      </c>
      <c r="K72" s="50">
        <v>0</v>
      </c>
      <c r="L72" s="50">
        <v>1</v>
      </c>
      <c r="M72" s="50">
        <v>26</v>
      </c>
      <c r="N72" s="50">
        <v>1</v>
      </c>
      <c r="O72" s="15">
        <f t="shared" si="35"/>
        <v>16</v>
      </c>
      <c r="P72" s="15">
        <f t="shared" si="36"/>
        <v>42</v>
      </c>
      <c r="R72" s="8"/>
      <c r="T72"/>
    </row>
    <row r="73" spans="2:20" ht="23.1" customHeight="1" x14ac:dyDescent="0.25">
      <c r="B73" s="45" t="s">
        <v>113</v>
      </c>
      <c r="C73" s="50">
        <f>'[1]RD116 MCC'!H309</f>
        <v>7</v>
      </c>
      <c r="D73" s="50">
        <v>2</v>
      </c>
      <c r="E73" s="50">
        <v>4</v>
      </c>
      <c r="F73" s="50">
        <v>3</v>
      </c>
      <c r="G73" s="50">
        <v>0</v>
      </c>
      <c r="H73" s="50">
        <v>1</v>
      </c>
      <c r="I73" s="50">
        <v>2</v>
      </c>
      <c r="J73" s="50">
        <v>0</v>
      </c>
      <c r="K73" s="50">
        <v>0</v>
      </c>
      <c r="L73" s="50">
        <v>2</v>
      </c>
      <c r="M73" s="50">
        <v>25</v>
      </c>
      <c r="N73" s="50">
        <v>0</v>
      </c>
      <c r="O73" s="15">
        <f t="shared" si="35"/>
        <v>21</v>
      </c>
      <c r="P73" s="15">
        <f t="shared" si="36"/>
        <v>46</v>
      </c>
      <c r="R73" s="8"/>
      <c r="T73"/>
    </row>
    <row r="74" spans="2:20" ht="23.1" customHeight="1" x14ac:dyDescent="0.25">
      <c r="B74" s="45" t="s">
        <v>114</v>
      </c>
      <c r="C74" s="50">
        <f>'[1]RD116 MCC'!H310</f>
        <v>6</v>
      </c>
      <c r="D74" s="50">
        <v>2</v>
      </c>
      <c r="E74" s="50">
        <v>5</v>
      </c>
      <c r="F74" s="50">
        <v>3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1</v>
      </c>
      <c r="M74" s="50">
        <v>21</v>
      </c>
      <c r="N74" s="50">
        <v>0</v>
      </c>
      <c r="O74" s="15">
        <f t="shared" si="35"/>
        <v>20</v>
      </c>
      <c r="P74" s="15">
        <f t="shared" si="36"/>
        <v>41</v>
      </c>
      <c r="R74" s="8"/>
      <c r="T74"/>
    </row>
    <row r="75" spans="2:20" ht="23.1" customHeight="1" x14ac:dyDescent="0.25">
      <c r="B75" s="45" t="s">
        <v>115</v>
      </c>
      <c r="C75" s="50">
        <f>'[1]RD116 MCC'!H311</f>
        <v>4</v>
      </c>
      <c r="D75" s="50">
        <v>5</v>
      </c>
      <c r="E75" s="50">
        <v>10</v>
      </c>
      <c r="F75" s="50">
        <v>0</v>
      </c>
      <c r="G75" s="50">
        <v>0</v>
      </c>
      <c r="H75" s="50">
        <v>1</v>
      </c>
      <c r="I75" s="50">
        <v>3</v>
      </c>
      <c r="J75" s="50">
        <v>0</v>
      </c>
      <c r="K75" s="50">
        <v>0</v>
      </c>
      <c r="L75" s="50">
        <v>2</v>
      </c>
      <c r="M75" s="50">
        <v>15</v>
      </c>
      <c r="N75" s="50">
        <v>0</v>
      </c>
      <c r="O75" s="15">
        <f t="shared" si="35"/>
        <v>25</v>
      </c>
      <c r="P75" s="15">
        <f t="shared" si="36"/>
        <v>40</v>
      </c>
      <c r="R75" s="8"/>
      <c r="T75"/>
    </row>
    <row r="76" spans="2:20" ht="23.1" customHeight="1" x14ac:dyDescent="0.25">
      <c r="B76" s="45" t="s">
        <v>116</v>
      </c>
      <c r="C76" s="50">
        <f>'[1]RD116 MCC'!H312</f>
        <v>7</v>
      </c>
      <c r="D76" s="50">
        <v>2</v>
      </c>
      <c r="E76" s="50">
        <v>5</v>
      </c>
      <c r="F76" s="50">
        <v>0</v>
      </c>
      <c r="G76" s="50">
        <v>0</v>
      </c>
      <c r="H76" s="50">
        <v>0</v>
      </c>
      <c r="I76" s="50">
        <v>5</v>
      </c>
      <c r="J76" s="50">
        <v>0</v>
      </c>
      <c r="K76" s="50">
        <v>1</v>
      </c>
      <c r="L76" s="50">
        <v>6</v>
      </c>
      <c r="M76" s="50">
        <v>13</v>
      </c>
      <c r="N76" s="50">
        <v>0</v>
      </c>
      <c r="O76" s="15">
        <f t="shared" si="35"/>
        <v>26</v>
      </c>
      <c r="P76" s="15">
        <f t="shared" si="36"/>
        <v>39</v>
      </c>
      <c r="R76" s="8"/>
      <c r="T76"/>
    </row>
    <row r="77" spans="2:20" ht="23.1" customHeight="1" x14ac:dyDescent="0.25">
      <c r="B77" s="45" t="s">
        <v>117</v>
      </c>
      <c r="C77" s="50">
        <f>'[1]RD116 MCC'!H313</f>
        <v>4</v>
      </c>
      <c r="D77" s="50">
        <v>4</v>
      </c>
      <c r="E77" s="50">
        <v>8</v>
      </c>
      <c r="F77" s="50">
        <v>1</v>
      </c>
      <c r="G77" s="50">
        <v>0</v>
      </c>
      <c r="H77" s="50">
        <v>1</v>
      </c>
      <c r="I77" s="50">
        <v>5</v>
      </c>
      <c r="J77" s="50">
        <v>0</v>
      </c>
      <c r="K77" s="50">
        <v>0</v>
      </c>
      <c r="L77" s="50">
        <v>6</v>
      </c>
      <c r="M77" s="50">
        <v>15</v>
      </c>
      <c r="N77" s="50">
        <v>0</v>
      </c>
      <c r="O77" s="15">
        <f t="shared" si="35"/>
        <v>29</v>
      </c>
      <c r="P77" s="15">
        <f t="shared" si="36"/>
        <v>44</v>
      </c>
      <c r="R77" s="8"/>
      <c r="T77"/>
    </row>
    <row r="78" spans="2:20" ht="23.1" customHeight="1" x14ac:dyDescent="0.25">
      <c r="B78" s="46" t="s">
        <v>118</v>
      </c>
      <c r="C78" s="50">
        <f>'[1]RD116 MCC'!H314</f>
        <v>6</v>
      </c>
      <c r="D78" s="50">
        <v>3</v>
      </c>
      <c r="E78" s="50">
        <v>6</v>
      </c>
      <c r="F78" s="50">
        <v>1</v>
      </c>
      <c r="G78" s="50">
        <v>0</v>
      </c>
      <c r="H78" s="50">
        <v>0</v>
      </c>
      <c r="I78" s="50">
        <v>6</v>
      </c>
      <c r="J78" s="50">
        <v>1</v>
      </c>
      <c r="K78" s="50">
        <v>0</v>
      </c>
      <c r="L78" s="50">
        <v>5</v>
      </c>
      <c r="M78" s="50">
        <v>14</v>
      </c>
      <c r="N78" s="50">
        <v>1</v>
      </c>
      <c r="O78" s="15">
        <f t="shared" si="35"/>
        <v>29</v>
      </c>
      <c r="P78" s="15">
        <f t="shared" si="36"/>
        <v>43</v>
      </c>
      <c r="R78" s="8"/>
      <c r="T78"/>
    </row>
    <row r="79" spans="2:20" ht="23.1" customHeight="1" x14ac:dyDescent="0.25">
      <c r="B79" s="45" t="s">
        <v>119</v>
      </c>
      <c r="C79" s="50">
        <f>'[1]RD116 MCC'!H315</f>
        <v>3</v>
      </c>
      <c r="D79" s="50">
        <v>1</v>
      </c>
      <c r="E79" s="50">
        <v>2</v>
      </c>
      <c r="F79" s="50">
        <v>0</v>
      </c>
      <c r="G79" s="50">
        <v>1</v>
      </c>
      <c r="H79" s="50">
        <v>0</v>
      </c>
      <c r="I79" s="50">
        <v>3</v>
      </c>
      <c r="J79" s="50">
        <v>0</v>
      </c>
      <c r="K79" s="50">
        <v>0</v>
      </c>
      <c r="L79" s="50">
        <v>5</v>
      </c>
      <c r="M79" s="50">
        <v>16</v>
      </c>
      <c r="N79" s="50">
        <v>0</v>
      </c>
      <c r="O79" s="15">
        <f t="shared" si="35"/>
        <v>15</v>
      </c>
      <c r="P79" s="15">
        <f t="shared" si="36"/>
        <v>31</v>
      </c>
      <c r="R79" s="8"/>
      <c r="T79"/>
    </row>
    <row r="80" spans="2:20" ht="23.1" customHeight="1" x14ac:dyDescent="0.25">
      <c r="B80" s="47" t="s">
        <v>120</v>
      </c>
      <c r="C80" s="50">
        <f>'[1]RD116 MCC'!H316</f>
        <v>4</v>
      </c>
      <c r="D80" s="50">
        <v>3</v>
      </c>
      <c r="E80" s="50">
        <v>6</v>
      </c>
      <c r="F80" s="50">
        <v>0</v>
      </c>
      <c r="G80" s="50">
        <v>0</v>
      </c>
      <c r="H80" s="50">
        <v>0</v>
      </c>
      <c r="I80" s="50">
        <v>4</v>
      </c>
      <c r="J80" s="50">
        <v>0</v>
      </c>
      <c r="K80" s="50">
        <v>0</v>
      </c>
      <c r="L80" s="50">
        <v>1</v>
      </c>
      <c r="M80" s="50">
        <v>10</v>
      </c>
      <c r="N80" s="50">
        <v>0</v>
      </c>
      <c r="O80" s="15">
        <f t="shared" si="35"/>
        <v>18</v>
      </c>
      <c r="P80" s="15">
        <f t="shared" si="36"/>
        <v>28</v>
      </c>
      <c r="R80" s="8"/>
      <c r="T80"/>
    </row>
    <row r="81" spans="2:20" ht="23.1" customHeight="1" x14ac:dyDescent="0.25">
      <c r="B81" s="45" t="s">
        <v>121</v>
      </c>
      <c r="C81" s="50">
        <f>'[1]RD116 MCC'!H317</f>
        <v>6</v>
      </c>
      <c r="D81" s="50">
        <v>3</v>
      </c>
      <c r="E81" s="50">
        <v>6</v>
      </c>
      <c r="F81" s="50">
        <v>2</v>
      </c>
      <c r="G81" s="50">
        <v>0</v>
      </c>
      <c r="H81" s="50">
        <v>2</v>
      </c>
      <c r="I81" s="50">
        <v>1</v>
      </c>
      <c r="J81" s="50">
        <v>1</v>
      </c>
      <c r="K81" s="50">
        <v>0</v>
      </c>
      <c r="L81" s="50">
        <v>5</v>
      </c>
      <c r="M81" s="50">
        <v>15</v>
      </c>
      <c r="N81" s="50">
        <v>0</v>
      </c>
      <c r="O81" s="15">
        <f t="shared" si="35"/>
        <v>26</v>
      </c>
      <c r="P81" s="15">
        <f t="shared" si="36"/>
        <v>41</v>
      </c>
      <c r="R81" s="8"/>
      <c r="T81"/>
    </row>
    <row r="82" spans="2:20" ht="23.1" customHeight="1" x14ac:dyDescent="0.25">
      <c r="B82" s="46" t="s">
        <v>122</v>
      </c>
      <c r="C82" s="50">
        <f>'[1]RD116 MCC'!H318</f>
        <v>2</v>
      </c>
      <c r="D82" s="50">
        <v>0</v>
      </c>
      <c r="E82" s="50">
        <v>1</v>
      </c>
      <c r="F82" s="50">
        <v>1</v>
      </c>
      <c r="G82" s="50">
        <v>0</v>
      </c>
      <c r="H82" s="50">
        <v>1</v>
      </c>
      <c r="I82" s="50">
        <v>5</v>
      </c>
      <c r="J82" s="50">
        <v>0</v>
      </c>
      <c r="K82" s="50">
        <v>0</v>
      </c>
      <c r="L82" s="50">
        <v>10</v>
      </c>
      <c r="M82" s="50">
        <v>10</v>
      </c>
      <c r="N82" s="50">
        <v>0</v>
      </c>
      <c r="O82" s="15">
        <f t="shared" si="35"/>
        <v>20</v>
      </c>
      <c r="P82" s="15">
        <f t="shared" si="36"/>
        <v>30</v>
      </c>
      <c r="R82" s="8"/>
      <c r="T82"/>
    </row>
    <row r="83" spans="2:20" ht="23.1" customHeight="1" x14ac:dyDescent="0.25">
      <c r="B83" s="45" t="s">
        <v>123</v>
      </c>
      <c r="C83" s="50">
        <f>'[1]RD116 MCC'!H319</f>
        <v>4</v>
      </c>
      <c r="D83" s="50">
        <v>3</v>
      </c>
      <c r="E83" s="50">
        <v>7</v>
      </c>
      <c r="F83" s="50">
        <v>0</v>
      </c>
      <c r="G83" s="50">
        <v>0</v>
      </c>
      <c r="H83" s="50">
        <v>0</v>
      </c>
      <c r="I83" s="50">
        <v>4</v>
      </c>
      <c r="J83" s="50">
        <v>1</v>
      </c>
      <c r="K83" s="50">
        <v>0</v>
      </c>
      <c r="L83" s="50">
        <v>3</v>
      </c>
      <c r="M83" s="50">
        <v>9</v>
      </c>
      <c r="N83" s="50">
        <v>0</v>
      </c>
      <c r="O83" s="15">
        <f t="shared" si="35"/>
        <v>22</v>
      </c>
      <c r="P83" s="15">
        <f t="shared" si="36"/>
        <v>31</v>
      </c>
      <c r="R83" s="8"/>
      <c r="T83"/>
    </row>
    <row r="84" spans="2:20" ht="23.1" customHeight="1" x14ac:dyDescent="0.25">
      <c r="B84" s="47" t="s">
        <v>124</v>
      </c>
      <c r="C84" s="50">
        <f>'[1]RD116 MCC'!H320</f>
        <v>4</v>
      </c>
      <c r="D84" s="50">
        <v>5</v>
      </c>
      <c r="E84" s="50">
        <v>10</v>
      </c>
      <c r="F84" s="50">
        <v>1</v>
      </c>
      <c r="G84" s="50">
        <v>0</v>
      </c>
      <c r="H84" s="50">
        <v>0</v>
      </c>
      <c r="I84" s="50">
        <v>4</v>
      </c>
      <c r="J84" s="50">
        <v>0</v>
      </c>
      <c r="K84" s="50">
        <v>0</v>
      </c>
      <c r="L84" s="50">
        <v>4</v>
      </c>
      <c r="M84" s="50">
        <v>5</v>
      </c>
      <c r="N84" s="50">
        <v>0</v>
      </c>
      <c r="O84" s="15">
        <f t="shared" si="35"/>
        <v>28</v>
      </c>
      <c r="P84" s="15">
        <f t="shared" si="36"/>
        <v>33</v>
      </c>
      <c r="R84" s="8"/>
      <c r="T84"/>
    </row>
    <row r="85" spans="2:20" ht="23.1" customHeight="1" x14ac:dyDescent="0.25">
      <c r="B85" s="45" t="s">
        <v>125</v>
      </c>
      <c r="C85" s="50">
        <f>'[1]RD116 MCC'!H321</f>
        <v>4</v>
      </c>
      <c r="D85" s="50">
        <v>4</v>
      </c>
      <c r="E85" s="50">
        <v>9</v>
      </c>
      <c r="F85" s="50">
        <v>1</v>
      </c>
      <c r="G85" s="50">
        <v>0</v>
      </c>
      <c r="H85" s="50">
        <v>1</v>
      </c>
      <c r="I85" s="50">
        <v>5</v>
      </c>
      <c r="J85" s="50">
        <v>0</v>
      </c>
      <c r="K85" s="50">
        <v>0</v>
      </c>
      <c r="L85" s="50">
        <v>2</v>
      </c>
      <c r="M85" s="50">
        <v>2</v>
      </c>
      <c r="N85" s="50">
        <v>0</v>
      </c>
      <c r="O85" s="15">
        <f t="shared" si="35"/>
        <v>26</v>
      </c>
      <c r="P85" s="15">
        <f t="shared" si="36"/>
        <v>28</v>
      </c>
      <c r="R85" s="8"/>
      <c r="T85"/>
    </row>
    <row r="86" spans="2:20" ht="23.1" customHeight="1" x14ac:dyDescent="0.25">
      <c r="B86" s="46" t="s">
        <v>126</v>
      </c>
      <c r="C86" s="50">
        <f>'[1]RD116 MCC'!H322</f>
        <v>1</v>
      </c>
      <c r="D86" s="50">
        <v>1</v>
      </c>
      <c r="E86" s="50">
        <v>2</v>
      </c>
      <c r="F86" s="50">
        <v>1</v>
      </c>
      <c r="G86" s="50">
        <v>0</v>
      </c>
      <c r="H86" s="50">
        <v>2</v>
      </c>
      <c r="I86" s="50">
        <v>7</v>
      </c>
      <c r="J86" s="50">
        <v>1</v>
      </c>
      <c r="K86" s="50">
        <v>0</v>
      </c>
      <c r="L86" s="50">
        <v>4</v>
      </c>
      <c r="M86" s="50">
        <v>0</v>
      </c>
      <c r="N86" s="50">
        <v>0</v>
      </c>
      <c r="O86" s="15">
        <f t="shared" si="35"/>
        <v>19</v>
      </c>
      <c r="P86" s="15">
        <f t="shared" si="36"/>
        <v>19</v>
      </c>
      <c r="R86" s="8"/>
      <c r="T86"/>
    </row>
    <row r="87" spans="2:20" ht="23.1" customHeight="1" x14ac:dyDescent="0.25">
      <c r="B87" s="45" t="s">
        <v>127</v>
      </c>
      <c r="C87" s="50">
        <f>'[1]RD116 MCC'!H323</f>
        <v>4</v>
      </c>
      <c r="D87" s="50">
        <v>2</v>
      </c>
      <c r="E87" s="50">
        <v>4</v>
      </c>
      <c r="F87" s="50">
        <v>1</v>
      </c>
      <c r="G87" s="50">
        <v>0</v>
      </c>
      <c r="H87" s="50">
        <v>0</v>
      </c>
      <c r="I87" s="50">
        <v>3</v>
      </c>
      <c r="J87" s="50">
        <v>1</v>
      </c>
      <c r="K87" s="50">
        <v>0</v>
      </c>
      <c r="L87" s="50">
        <v>3</v>
      </c>
      <c r="M87" s="50">
        <v>1</v>
      </c>
      <c r="N87" s="50">
        <v>0</v>
      </c>
      <c r="O87" s="15">
        <f t="shared" si="35"/>
        <v>18</v>
      </c>
      <c r="P87" s="15">
        <f t="shared" si="36"/>
        <v>19</v>
      </c>
      <c r="R87" s="8"/>
      <c r="T87"/>
    </row>
    <row r="88" spans="2:20" ht="23.1" customHeight="1" x14ac:dyDescent="0.25">
      <c r="B88" s="47" t="s">
        <v>128</v>
      </c>
      <c r="C88" s="50">
        <f>'[1]RD116 MCC'!H324</f>
        <v>6</v>
      </c>
      <c r="D88" s="50">
        <v>4</v>
      </c>
      <c r="E88" s="50">
        <v>9</v>
      </c>
      <c r="F88" s="50">
        <v>2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2</v>
      </c>
      <c r="M88" s="50">
        <v>2</v>
      </c>
      <c r="N88" s="50">
        <v>0</v>
      </c>
      <c r="O88" s="15">
        <f t="shared" si="35"/>
        <v>24</v>
      </c>
      <c r="P88" s="15">
        <f t="shared" si="36"/>
        <v>26</v>
      </c>
      <c r="R88" s="8"/>
      <c r="T88"/>
    </row>
    <row r="89" spans="2:20" ht="23.1" customHeight="1" x14ac:dyDescent="0.25">
      <c r="B89" s="45" t="s">
        <v>129</v>
      </c>
      <c r="C89" s="50">
        <f>'[1]RD116 MCC'!H325</f>
        <v>7</v>
      </c>
      <c r="D89" s="50">
        <v>2</v>
      </c>
      <c r="E89" s="50">
        <v>4</v>
      </c>
      <c r="F89" s="50">
        <v>1</v>
      </c>
      <c r="G89" s="50">
        <v>0</v>
      </c>
      <c r="H89" s="50">
        <v>0</v>
      </c>
      <c r="I89" s="50">
        <v>5</v>
      </c>
      <c r="J89" s="50">
        <v>1</v>
      </c>
      <c r="K89" s="50">
        <v>0</v>
      </c>
      <c r="L89" s="50">
        <v>3</v>
      </c>
      <c r="M89" s="50">
        <v>0</v>
      </c>
      <c r="N89" s="50">
        <v>0</v>
      </c>
      <c r="O89" s="15">
        <f t="shared" si="35"/>
        <v>23</v>
      </c>
      <c r="P89" s="15">
        <f t="shared" si="36"/>
        <v>23</v>
      </c>
      <c r="R89" s="8"/>
      <c r="T89"/>
    </row>
    <row r="90" spans="2:20" ht="23.1" customHeight="1" x14ac:dyDescent="0.25">
      <c r="B90" s="46" t="s">
        <v>130</v>
      </c>
      <c r="C90" s="50">
        <f>'[1]RD116 MCC'!H326</f>
        <v>2</v>
      </c>
      <c r="D90" s="50">
        <v>1</v>
      </c>
      <c r="E90" s="50">
        <v>3</v>
      </c>
      <c r="F90" s="50">
        <v>0</v>
      </c>
      <c r="G90" s="50">
        <v>0</v>
      </c>
      <c r="H90" s="50">
        <v>2</v>
      </c>
      <c r="I90" s="50">
        <v>6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14</v>
      </c>
      <c r="P90" s="15">
        <f t="shared" si="36"/>
        <v>17</v>
      </c>
      <c r="R90" s="8"/>
      <c r="T90"/>
    </row>
    <row r="91" spans="2:20" ht="23.1" customHeight="1" x14ac:dyDescent="0.25">
      <c r="B91" s="45" t="s">
        <v>131</v>
      </c>
      <c r="C91" s="50">
        <f>'[1]RD116 MCC'!H327</f>
        <v>6</v>
      </c>
      <c r="D91" s="50">
        <v>5</v>
      </c>
      <c r="E91" s="50">
        <v>10</v>
      </c>
      <c r="F91" s="50">
        <v>1</v>
      </c>
      <c r="G91" s="50">
        <v>0</v>
      </c>
      <c r="H91" s="50">
        <v>0</v>
      </c>
      <c r="I91" s="50">
        <v>4</v>
      </c>
      <c r="J91" s="50">
        <v>1</v>
      </c>
      <c r="K91" s="50">
        <v>0</v>
      </c>
      <c r="L91" s="50">
        <v>3</v>
      </c>
      <c r="M91" s="50">
        <v>3</v>
      </c>
      <c r="N91" s="50">
        <v>4</v>
      </c>
      <c r="O91" s="15">
        <f t="shared" si="35"/>
        <v>34</v>
      </c>
      <c r="P91" s="15">
        <f t="shared" si="36"/>
        <v>37</v>
      </c>
      <c r="R91" s="8"/>
      <c r="T91"/>
    </row>
    <row r="92" spans="2:20" ht="23.1" customHeight="1" x14ac:dyDescent="0.25">
      <c r="B92" s="47" t="s">
        <v>132</v>
      </c>
      <c r="C92" s="50">
        <f>'[1]RD116 MCC'!H328</f>
        <v>3</v>
      </c>
      <c r="D92" s="50">
        <v>1</v>
      </c>
      <c r="E92" s="50">
        <v>2</v>
      </c>
      <c r="F92" s="50">
        <v>1</v>
      </c>
      <c r="G92" s="50">
        <v>0</v>
      </c>
      <c r="H92" s="50">
        <v>0</v>
      </c>
      <c r="I92" s="50">
        <v>4</v>
      </c>
      <c r="J92" s="50">
        <v>1</v>
      </c>
      <c r="K92" s="50">
        <v>0</v>
      </c>
      <c r="L92" s="50">
        <v>3</v>
      </c>
      <c r="M92" s="50">
        <v>2</v>
      </c>
      <c r="N92" s="50">
        <v>0</v>
      </c>
      <c r="O92" s="15">
        <f t="shared" si="35"/>
        <v>15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f>'[1]RD116 MCC'!H329</f>
        <v>5</v>
      </c>
      <c r="D93" s="50">
        <v>3</v>
      </c>
      <c r="E93" s="50">
        <v>6</v>
      </c>
      <c r="F93" s="50">
        <v>3</v>
      </c>
      <c r="G93" s="50">
        <v>0</v>
      </c>
      <c r="H93" s="50">
        <v>0</v>
      </c>
      <c r="I93" s="50">
        <v>2</v>
      </c>
      <c r="J93" s="50">
        <v>0</v>
      </c>
      <c r="K93" s="50">
        <v>0</v>
      </c>
      <c r="L93" s="50">
        <v>5</v>
      </c>
      <c r="M93" s="50">
        <v>0</v>
      </c>
      <c r="N93" s="50">
        <v>0</v>
      </c>
      <c r="O93" s="15">
        <f t="shared" si="35"/>
        <v>24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f>'[1]RD116 MCC'!H330</f>
        <v>4</v>
      </c>
      <c r="D94" s="50">
        <v>1</v>
      </c>
      <c r="E94" s="50">
        <v>3</v>
      </c>
      <c r="F94" s="50">
        <v>3</v>
      </c>
      <c r="G94" s="50">
        <v>0</v>
      </c>
      <c r="H94" s="50">
        <v>1</v>
      </c>
      <c r="I94" s="50">
        <v>6</v>
      </c>
      <c r="J94" s="50">
        <v>0</v>
      </c>
      <c r="K94" s="50">
        <v>0</v>
      </c>
      <c r="L94" s="50">
        <v>7</v>
      </c>
      <c r="M94" s="50">
        <v>0</v>
      </c>
      <c r="N94" s="50">
        <v>0</v>
      </c>
      <c r="O94" s="15">
        <f t="shared" si="35"/>
        <v>25</v>
      </c>
      <c r="P94" s="15">
        <f t="shared" si="36"/>
        <v>25</v>
      </c>
      <c r="R94" s="8"/>
      <c r="T94"/>
    </row>
    <row r="95" spans="2:20" ht="23.1" customHeight="1" x14ac:dyDescent="0.25">
      <c r="B95" s="45" t="s">
        <v>135</v>
      </c>
      <c r="C95" s="50">
        <f>'[1]RD116 MCC'!H331</f>
        <v>7</v>
      </c>
      <c r="D95" s="50">
        <v>0</v>
      </c>
      <c r="E95" s="50">
        <v>0</v>
      </c>
      <c r="F95" s="50">
        <v>1</v>
      </c>
      <c r="G95" s="50">
        <v>0</v>
      </c>
      <c r="H95" s="50">
        <v>1</v>
      </c>
      <c r="I95" s="50">
        <v>6</v>
      </c>
      <c r="J95" s="50">
        <v>2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17</v>
      </c>
      <c r="P95" s="15">
        <f t="shared" si="36"/>
        <v>17</v>
      </c>
      <c r="R95" s="8"/>
      <c r="T95"/>
    </row>
    <row r="96" spans="2:20" ht="23.1" customHeight="1" x14ac:dyDescent="0.25">
      <c r="B96" s="47" t="s">
        <v>136</v>
      </c>
      <c r="C96" s="50">
        <f>'[1]RD116 MCC'!H332</f>
        <v>6</v>
      </c>
      <c r="D96" s="50">
        <v>3</v>
      </c>
      <c r="E96" s="50">
        <v>6</v>
      </c>
      <c r="F96" s="50">
        <v>1</v>
      </c>
      <c r="G96" s="50">
        <v>0</v>
      </c>
      <c r="H96" s="50">
        <v>0</v>
      </c>
      <c r="I96" s="50">
        <v>8</v>
      </c>
      <c r="J96" s="50">
        <v>1</v>
      </c>
      <c r="K96" s="50">
        <v>0</v>
      </c>
      <c r="L96" s="50">
        <v>5</v>
      </c>
      <c r="M96" s="50">
        <v>0</v>
      </c>
      <c r="N96" s="50">
        <v>0</v>
      </c>
      <c r="O96" s="15">
        <f t="shared" si="35"/>
        <v>30</v>
      </c>
      <c r="P96" s="15">
        <f t="shared" si="36"/>
        <v>30</v>
      </c>
      <c r="R96" s="8"/>
      <c r="T96"/>
    </row>
    <row r="97" spans="2:20" ht="23.1" customHeight="1" x14ac:dyDescent="0.25">
      <c r="B97" s="45" t="s">
        <v>137</v>
      </c>
      <c r="C97" s="50">
        <f>'[1]RD116 MCC'!H333</f>
        <v>13</v>
      </c>
      <c r="D97" s="50">
        <v>3</v>
      </c>
      <c r="E97" s="50">
        <v>6</v>
      </c>
      <c r="F97" s="50">
        <v>0</v>
      </c>
      <c r="G97" s="50">
        <v>0</v>
      </c>
      <c r="H97" s="50">
        <v>1</v>
      </c>
      <c r="I97" s="50">
        <v>5</v>
      </c>
      <c r="J97" s="50">
        <v>0</v>
      </c>
      <c r="K97" s="50">
        <v>0</v>
      </c>
      <c r="L97" s="50">
        <v>2</v>
      </c>
      <c r="M97" s="50">
        <v>0</v>
      </c>
      <c r="N97" s="50">
        <v>0</v>
      </c>
      <c r="O97" s="15">
        <f t="shared" si="35"/>
        <v>30</v>
      </c>
      <c r="P97" s="15">
        <f t="shared" si="36"/>
        <v>30</v>
      </c>
      <c r="R97" s="8"/>
      <c r="T97"/>
    </row>
    <row r="98" spans="2:20" ht="23.1" customHeight="1" x14ac:dyDescent="0.25">
      <c r="B98" s="46" t="s">
        <v>138</v>
      </c>
      <c r="C98" s="50">
        <f>'[1]RD116 MCC'!H334</f>
        <v>4</v>
      </c>
      <c r="D98" s="50">
        <v>5</v>
      </c>
      <c r="E98" s="50">
        <v>11</v>
      </c>
      <c r="F98" s="50">
        <v>3</v>
      </c>
      <c r="G98" s="50">
        <v>0</v>
      </c>
      <c r="H98" s="50">
        <v>0</v>
      </c>
      <c r="I98" s="50">
        <v>2</v>
      </c>
      <c r="J98" s="50">
        <v>0</v>
      </c>
      <c r="K98" s="50">
        <v>1</v>
      </c>
      <c r="L98" s="50">
        <v>1</v>
      </c>
      <c r="M98" s="50">
        <v>0</v>
      </c>
      <c r="N98" s="50">
        <v>0</v>
      </c>
      <c r="O98" s="15">
        <f t="shared" si="35"/>
        <v>27</v>
      </c>
      <c r="P98" s="15">
        <f t="shared" si="36"/>
        <v>27</v>
      </c>
      <c r="R98" s="8"/>
      <c r="T98"/>
    </row>
    <row r="99" spans="2:20" ht="23.1" customHeight="1" x14ac:dyDescent="0.25">
      <c r="B99" s="45" t="s">
        <v>139</v>
      </c>
      <c r="C99" s="50">
        <f>'[1]RD116 MCC'!H335</f>
        <v>8</v>
      </c>
      <c r="D99" s="50">
        <v>2</v>
      </c>
      <c r="E99" s="50">
        <v>5</v>
      </c>
      <c r="F99" s="50">
        <v>3</v>
      </c>
      <c r="G99" s="50">
        <v>1</v>
      </c>
      <c r="H99" s="50">
        <v>0</v>
      </c>
      <c r="I99" s="50">
        <v>3</v>
      </c>
      <c r="J99" s="50">
        <v>0</v>
      </c>
      <c r="K99" s="50">
        <v>0</v>
      </c>
      <c r="L99" s="50">
        <v>2</v>
      </c>
      <c r="M99" s="50">
        <v>0</v>
      </c>
      <c r="N99" s="50">
        <v>0</v>
      </c>
      <c r="O99" s="15">
        <f t="shared" si="35"/>
        <v>24</v>
      </c>
      <c r="P99" s="15">
        <f t="shared" si="36"/>
        <v>24</v>
      </c>
      <c r="R99" s="8"/>
      <c r="T99"/>
    </row>
    <row r="100" spans="2:20" ht="23.1" customHeight="1" x14ac:dyDescent="0.25">
      <c r="B100" s="47" t="s">
        <v>140</v>
      </c>
      <c r="C100" s="50">
        <f>'[1]RD116 MCC'!H336</f>
        <v>7</v>
      </c>
      <c r="D100" s="50">
        <v>1</v>
      </c>
      <c r="E100" s="50">
        <v>2</v>
      </c>
      <c r="F100" s="50">
        <v>0</v>
      </c>
      <c r="G100" s="50">
        <v>1</v>
      </c>
      <c r="H100" s="50">
        <v>3</v>
      </c>
      <c r="I100" s="50">
        <v>4</v>
      </c>
      <c r="J100" s="50">
        <v>0</v>
      </c>
      <c r="K100" s="50">
        <v>0</v>
      </c>
      <c r="L100" s="50">
        <v>2</v>
      </c>
      <c r="M100" s="50">
        <v>2</v>
      </c>
      <c r="N100" s="50">
        <v>0</v>
      </c>
      <c r="O100" s="15">
        <f t="shared" si="35"/>
        <v>20</v>
      </c>
      <c r="P100" s="15">
        <f t="shared" si="36"/>
        <v>22</v>
      </c>
      <c r="R100" s="8"/>
      <c r="T100"/>
    </row>
    <row r="101" spans="2:20" ht="23.1" customHeight="1" x14ac:dyDescent="0.25">
      <c r="B101" s="45" t="s">
        <v>141</v>
      </c>
      <c r="C101" s="50">
        <f>'[1]RD116 MCC'!H337</f>
        <v>5</v>
      </c>
      <c r="D101" s="50">
        <v>2</v>
      </c>
      <c r="E101" s="50">
        <v>4</v>
      </c>
      <c r="F101" s="50">
        <v>2</v>
      </c>
      <c r="G101" s="50">
        <v>0</v>
      </c>
      <c r="H101" s="50">
        <v>2</v>
      </c>
      <c r="I101" s="50">
        <v>5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5">
        <f t="shared" si="35"/>
        <v>20</v>
      </c>
      <c r="P101" s="15">
        <f t="shared" si="36"/>
        <v>25</v>
      </c>
      <c r="R101" s="8"/>
      <c r="T101"/>
    </row>
    <row r="102" spans="2:20" ht="23.1" customHeight="1" x14ac:dyDescent="0.25">
      <c r="B102" s="46" t="s">
        <v>142</v>
      </c>
      <c r="C102" s="50">
        <f>'[1]RD116 MCC'!H338</f>
        <v>4</v>
      </c>
      <c r="D102" s="50">
        <v>5</v>
      </c>
      <c r="E102" s="50">
        <v>10</v>
      </c>
      <c r="F102" s="50">
        <v>3</v>
      </c>
      <c r="G102" s="50">
        <v>1</v>
      </c>
      <c r="H102" s="50">
        <v>0</v>
      </c>
      <c r="I102" s="50">
        <v>3</v>
      </c>
      <c r="J102" s="50">
        <v>1</v>
      </c>
      <c r="K102" s="50">
        <v>0</v>
      </c>
      <c r="L102" s="50">
        <v>2</v>
      </c>
      <c r="M102" s="50">
        <v>7</v>
      </c>
      <c r="N102" s="50">
        <v>0</v>
      </c>
      <c r="O102" s="15">
        <f t="shared" si="35"/>
        <v>29</v>
      </c>
      <c r="P102" s="15">
        <f t="shared" si="36"/>
        <v>36</v>
      </c>
      <c r="R102" s="8"/>
      <c r="T102"/>
    </row>
    <row r="103" spans="2:20" ht="23.1" customHeight="1" x14ac:dyDescent="0.25">
      <c r="B103" s="45" t="s">
        <v>143</v>
      </c>
      <c r="C103" s="50">
        <f>'[1]RD116 MCC'!H339</f>
        <v>7</v>
      </c>
      <c r="D103" s="50">
        <v>2</v>
      </c>
      <c r="E103" s="50">
        <v>4</v>
      </c>
      <c r="F103" s="50">
        <v>3</v>
      </c>
      <c r="G103" s="50">
        <v>0</v>
      </c>
      <c r="H103" s="50">
        <v>0</v>
      </c>
      <c r="I103" s="50">
        <v>5</v>
      </c>
      <c r="J103" s="50">
        <v>0</v>
      </c>
      <c r="K103" s="50">
        <v>0</v>
      </c>
      <c r="L103" s="50">
        <v>1</v>
      </c>
      <c r="M103" s="50">
        <v>6</v>
      </c>
      <c r="N103" s="50">
        <v>0</v>
      </c>
      <c r="O103" s="15">
        <f t="shared" si="35"/>
        <v>22</v>
      </c>
      <c r="P103" s="15">
        <f t="shared" si="36"/>
        <v>28</v>
      </c>
      <c r="R103" s="8"/>
      <c r="T103"/>
    </row>
    <row r="104" spans="2:20" ht="23.1" customHeight="1" x14ac:dyDescent="0.25">
      <c r="B104" s="47" t="s">
        <v>144</v>
      </c>
      <c r="C104" s="50">
        <f>'[1]RD116 MCC'!H340</f>
        <v>7</v>
      </c>
      <c r="D104" s="50">
        <v>3</v>
      </c>
      <c r="E104" s="50">
        <v>7</v>
      </c>
      <c r="F104" s="50">
        <v>2</v>
      </c>
      <c r="G104" s="50">
        <v>0</v>
      </c>
      <c r="H104" s="50">
        <v>0</v>
      </c>
      <c r="I104" s="50">
        <v>4</v>
      </c>
      <c r="J104" s="50">
        <v>0</v>
      </c>
      <c r="K104" s="50">
        <v>0</v>
      </c>
      <c r="L104" s="50">
        <v>2</v>
      </c>
      <c r="M104" s="50">
        <v>8</v>
      </c>
      <c r="N104" s="50">
        <v>0</v>
      </c>
      <c r="O104" s="15">
        <f t="shared" si="35"/>
        <v>25</v>
      </c>
      <c r="P104" s="15">
        <f t="shared" si="36"/>
        <v>33</v>
      </c>
      <c r="R104" s="8"/>
      <c r="T104"/>
    </row>
    <row r="105" spans="2:20" ht="23.1" customHeight="1" x14ac:dyDescent="0.25">
      <c r="B105" s="45" t="s">
        <v>145</v>
      </c>
      <c r="C105" s="50">
        <f>'[1]RD116 MCC'!H341</f>
        <v>2</v>
      </c>
      <c r="D105" s="50">
        <v>1</v>
      </c>
      <c r="E105" s="50">
        <v>3</v>
      </c>
      <c r="F105" s="50">
        <v>3</v>
      </c>
      <c r="G105" s="50">
        <v>0</v>
      </c>
      <c r="H105" s="50">
        <v>1</v>
      </c>
      <c r="I105" s="50">
        <v>2</v>
      </c>
      <c r="J105" s="50">
        <v>0</v>
      </c>
      <c r="K105" s="50">
        <v>0</v>
      </c>
      <c r="L105" s="50">
        <v>1</v>
      </c>
      <c r="M105" s="50">
        <v>9</v>
      </c>
      <c r="N105" s="50">
        <v>0</v>
      </c>
      <c r="O105" s="15">
        <f t="shared" si="35"/>
        <v>13</v>
      </c>
      <c r="P105" s="15">
        <f t="shared" si="36"/>
        <v>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430</v>
      </c>
      <c r="D106" s="16">
        <f t="shared" ref="D106:P106" si="37">SUM(D10:D105)</f>
        <v>235</v>
      </c>
      <c r="E106" s="16">
        <f>SUM(E10:E105)</f>
        <v>521</v>
      </c>
      <c r="F106" s="16">
        <f t="shared" si="37"/>
        <v>121</v>
      </c>
      <c r="G106" s="16">
        <f t="shared" si="37"/>
        <v>8</v>
      </c>
      <c r="H106" s="16">
        <f t="shared" si="37"/>
        <v>60</v>
      </c>
      <c r="I106" s="16">
        <f t="shared" si="37"/>
        <v>333</v>
      </c>
      <c r="J106" s="16">
        <f t="shared" si="37"/>
        <v>27</v>
      </c>
      <c r="K106" s="16">
        <f t="shared" si="37"/>
        <v>7</v>
      </c>
      <c r="L106" s="16">
        <f t="shared" si="37"/>
        <v>183</v>
      </c>
      <c r="M106" s="16">
        <f t="shared" si="37"/>
        <v>3529</v>
      </c>
      <c r="N106" s="16">
        <f t="shared" si="37"/>
        <v>8</v>
      </c>
      <c r="O106" s="16">
        <f t="shared" si="37"/>
        <v>1933</v>
      </c>
      <c r="P106" s="16">
        <f t="shared" si="37"/>
        <v>5462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7.8725741486634929E-2</v>
      </c>
      <c r="D107" s="43">
        <f t="shared" si="38"/>
        <v>4.302453313804467E-2</v>
      </c>
      <c r="E107" s="43">
        <f t="shared" si="38"/>
        <v>9.5386305382643727E-2</v>
      </c>
      <c r="F107" s="43">
        <f t="shared" si="38"/>
        <v>2.2153057488099596E-2</v>
      </c>
      <c r="G107" s="43">
        <f t="shared" si="38"/>
        <v>1.4646649578908824E-3</v>
      </c>
      <c r="H107" s="43">
        <f t="shared" si="38"/>
        <v>1.0984987184181618E-2</v>
      </c>
      <c r="I107" s="43">
        <f t="shared" si="38"/>
        <v>6.0966678872207983E-2</v>
      </c>
      <c r="J107" s="43">
        <f t="shared" si="38"/>
        <v>4.9432442328817281E-3</v>
      </c>
      <c r="K107" s="43">
        <f t="shared" si="38"/>
        <v>1.2815818381545221E-3</v>
      </c>
      <c r="L107" s="43">
        <f t="shared" si="38"/>
        <v>3.3504210911753936E-2</v>
      </c>
      <c r="M107" s="43">
        <f t="shared" si="38"/>
        <v>0.64610032954961549</v>
      </c>
      <c r="N107" s="43">
        <f t="shared" si="38"/>
        <v>1.4646649578908824E-3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0.22245214692188309</v>
      </c>
      <c r="D108" s="44">
        <f t="shared" ref="D108:N108" si="39">D106/$O$106</f>
        <v>0.12157268494568028</v>
      </c>
      <c r="E108" s="44">
        <f t="shared" si="39"/>
        <v>0.26952922917744437</v>
      </c>
      <c r="F108" s="44">
        <f t="shared" si="39"/>
        <v>6.2596999482669433E-2</v>
      </c>
      <c r="G108" s="44">
        <f t="shared" si="39"/>
        <v>4.1386445938954991E-3</v>
      </c>
      <c r="H108" s="44">
        <f t="shared" si="39"/>
        <v>3.1039834454216243E-2</v>
      </c>
      <c r="I108" s="44">
        <f t="shared" si="39"/>
        <v>0.17227108122090015</v>
      </c>
      <c r="J108" s="44">
        <f t="shared" si="39"/>
        <v>1.3967925504397309E-2</v>
      </c>
      <c r="K108" s="44">
        <f t="shared" si="39"/>
        <v>3.6213140196585617E-3</v>
      </c>
      <c r="L108" s="44">
        <f t="shared" si="39"/>
        <v>9.4671495085359547E-2</v>
      </c>
      <c r="M108" s="44"/>
      <c r="N108" s="44">
        <f t="shared" si="39"/>
        <v>4.1386445938954991E-3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76" zoomScale="60" workbookViewId="0">
      <selection activeCell="M83" sqref="L83:M8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 08 GULU-KARUMA-24HRS'!D5</f>
        <v>5.08.19</v>
      </c>
      <c r="E5" s="3"/>
      <c r="F5" s="41" t="s">
        <v>1</v>
      </c>
      <c r="G5" s="66" t="str">
        <f>'03. 08 GULU-KARUMA-24HRS'!G5:H5</f>
        <v>xxx</v>
      </c>
      <c r="H5" s="67"/>
      <c r="I5" s="14"/>
      <c r="J5" s="2" t="s">
        <v>5</v>
      </c>
      <c r="K5" s="66" t="str">
        <f>'03. 08 GULU-KARUMA-24HRS'!K5:L5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KARUMA-GULU'!D6:E6</f>
        <v xml:space="preserve">KARUMA </v>
      </c>
      <c r="E6" s="67"/>
      <c r="F6" s="2" t="s">
        <v>2</v>
      </c>
      <c r="G6" s="66" t="str">
        <f>'02.08 KARUMA-GULU'!G6:H6</f>
        <v>GULU</v>
      </c>
      <c r="H6" s="67"/>
      <c r="J6" s="2" t="s">
        <v>21</v>
      </c>
      <c r="K6" s="66" t="str">
        <f>'03. 08 GULU-KARUMA-24HRS'!K6:L6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2</v>
      </c>
      <c r="M10" s="50">
        <v>33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35</v>
      </c>
      <c r="R10" s="1" t="s">
        <v>6</v>
      </c>
      <c r="S10" s="17">
        <f t="shared" ref="S10:AF10" si="2">SUM(C10:C13)</f>
        <v>14</v>
      </c>
      <c r="T10" s="17">
        <f t="shared" si="2"/>
        <v>3</v>
      </c>
      <c r="U10" s="17">
        <f t="shared" si="2"/>
        <v>8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0</v>
      </c>
      <c r="AB10" s="17">
        <f t="shared" si="2"/>
        <v>6</v>
      </c>
      <c r="AC10" s="17">
        <f t="shared" si="2"/>
        <v>168</v>
      </c>
      <c r="AD10" s="17">
        <f t="shared" si="2"/>
        <v>0</v>
      </c>
      <c r="AE10" s="31">
        <f t="shared" si="2"/>
        <v>37</v>
      </c>
      <c r="AF10" s="31">
        <f t="shared" si="2"/>
        <v>205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20</v>
      </c>
      <c r="N11" s="50">
        <v>0</v>
      </c>
      <c r="O11" s="15">
        <f t="shared" si="0"/>
        <v>6</v>
      </c>
      <c r="P11" s="15">
        <f t="shared" si="1"/>
        <v>26</v>
      </c>
      <c r="R11" s="1" t="s">
        <v>7</v>
      </c>
      <c r="S11" s="17">
        <f t="shared" ref="S11:AF11" si="3">SUM(C14:C17)</f>
        <v>10</v>
      </c>
      <c r="T11" s="17">
        <f t="shared" si="3"/>
        <v>8</v>
      </c>
      <c r="U11" s="17">
        <f t="shared" si="3"/>
        <v>18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4</v>
      </c>
      <c r="AA11" s="17">
        <f t="shared" si="3"/>
        <v>0</v>
      </c>
      <c r="AB11" s="17">
        <f t="shared" si="3"/>
        <v>6</v>
      </c>
      <c r="AC11" s="17">
        <f t="shared" si="3"/>
        <v>184</v>
      </c>
      <c r="AD11" s="17">
        <f t="shared" si="3"/>
        <v>0</v>
      </c>
      <c r="AE11" s="31">
        <f t="shared" si="3"/>
        <v>61</v>
      </c>
      <c r="AF11" s="31">
        <f t="shared" si="3"/>
        <v>245</v>
      </c>
    </row>
    <row r="12" spans="2:32" ht="23.1" customHeight="1" x14ac:dyDescent="0.25">
      <c r="B12" s="45" t="s">
        <v>39</v>
      </c>
      <c r="C12" s="50">
        <v>4</v>
      </c>
      <c r="D12" s="50">
        <v>2</v>
      </c>
      <c r="E12" s="50">
        <v>4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2</v>
      </c>
      <c r="M12" s="50">
        <v>65</v>
      </c>
      <c r="N12" s="50">
        <v>0</v>
      </c>
      <c r="O12" s="15">
        <f t="shared" si="0"/>
        <v>14</v>
      </c>
      <c r="P12" s="15">
        <f t="shared" si="1"/>
        <v>79</v>
      </c>
      <c r="R12" s="1" t="s">
        <v>8</v>
      </c>
      <c r="S12" s="17">
        <f t="shared" ref="S12:AF12" si="4">SUM(C18:C21)</f>
        <v>6</v>
      </c>
      <c r="T12" s="17">
        <f t="shared" si="4"/>
        <v>6</v>
      </c>
      <c r="U12" s="17">
        <f t="shared" si="4"/>
        <v>13</v>
      </c>
      <c r="V12" s="17">
        <f t="shared" si="4"/>
        <v>7</v>
      </c>
      <c r="W12" s="17">
        <f t="shared" si="4"/>
        <v>0</v>
      </c>
      <c r="X12" s="17">
        <f t="shared" si="4"/>
        <v>1</v>
      </c>
      <c r="Y12" s="17">
        <f t="shared" si="4"/>
        <v>4</v>
      </c>
      <c r="Z12" s="17">
        <f t="shared" si="4"/>
        <v>9</v>
      </c>
      <c r="AA12" s="17">
        <f t="shared" si="4"/>
        <v>1</v>
      </c>
      <c r="AB12" s="17">
        <f t="shared" si="4"/>
        <v>3</v>
      </c>
      <c r="AC12" s="17">
        <f t="shared" si="4"/>
        <v>160</v>
      </c>
      <c r="AD12" s="17">
        <f t="shared" si="4"/>
        <v>0</v>
      </c>
      <c r="AE12" s="31">
        <f t="shared" si="4"/>
        <v>50</v>
      </c>
      <c r="AF12" s="31">
        <f t="shared" si="4"/>
        <v>210</v>
      </c>
    </row>
    <row r="13" spans="2:32" ht="23.1" customHeight="1" x14ac:dyDescent="0.25">
      <c r="B13" s="45" t="s">
        <v>40</v>
      </c>
      <c r="C13" s="50">
        <v>7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2</v>
      </c>
      <c r="M13" s="50">
        <v>50</v>
      </c>
      <c r="N13" s="50">
        <v>0</v>
      </c>
      <c r="O13" s="15">
        <f t="shared" si="0"/>
        <v>15</v>
      </c>
      <c r="P13" s="15">
        <f t="shared" si="1"/>
        <v>65</v>
      </c>
      <c r="R13" s="1" t="s">
        <v>9</v>
      </c>
      <c r="S13" s="17">
        <f t="shared" ref="S13:AF13" si="5">SUM(C22:C25)</f>
        <v>10</v>
      </c>
      <c r="T13" s="17">
        <f t="shared" si="5"/>
        <v>6</v>
      </c>
      <c r="U13" s="17">
        <f t="shared" si="5"/>
        <v>14</v>
      </c>
      <c r="V13" s="17">
        <f t="shared" si="5"/>
        <v>4</v>
      </c>
      <c r="W13" s="17">
        <f t="shared" si="5"/>
        <v>0</v>
      </c>
      <c r="X13" s="17">
        <f t="shared" si="5"/>
        <v>2</v>
      </c>
      <c r="Y13" s="17">
        <f t="shared" si="5"/>
        <v>8</v>
      </c>
      <c r="Z13" s="17">
        <f t="shared" si="5"/>
        <v>3</v>
      </c>
      <c r="AA13" s="17">
        <f t="shared" si="5"/>
        <v>0</v>
      </c>
      <c r="AB13" s="17">
        <f t="shared" si="5"/>
        <v>4</v>
      </c>
      <c r="AC13" s="17">
        <f t="shared" si="5"/>
        <v>70</v>
      </c>
      <c r="AD13" s="17">
        <f t="shared" si="5"/>
        <v>0</v>
      </c>
      <c r="AE13" s="31">
        <f t="shared" si="5"/>
        <v>51</v>
      </c>
      <c r="AF13" s="31">
        <f t="shared" si="5"/>
        <v>121</v>
      </c>
    </row>
    <row r="14" spans="2:32" ht="23.1" customHeight="1" x14ac:dyDescent="0.25">
      <c r="B14" s="45" t="s">
        <v>41</v>
      </c>
      <c r="C14" s="50">
        <v>4</v>
      </c>
      <c r="D14" s="50">
        <v>3</v>
      </c>
      <c r="E14" s="50">
        <v>6</v>
      </c>
      <c r="F14" s="50">
        <v>4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2</v>
      </c>
      <c r="M14" s="50">
        <v>48</v>
      </c>
      <c r="N14" s="50">
        <v>0</v>
      </c>
      <c r="O14" s="15">
        <f t="shared" si="0"/>
        <v>21</v>
      </c>
      <c r="P14" s="15">
        <f t="shared" si="1"/>
        <v>69</v>
      </c>
      <c r="R14" s="1" t="s">
        <v>10</v>
      </c>
      <c r="S14" s="17">
        <f t="shared" ref="S14:AF14" si="6">SUM(C26:C29)</f>
        <v>11</v>
      </c>
      <c r="T14" s="17">
        <f t="shared" si="6"/>
        <v>7</v>
      </c>
      <c r="U14" s="17">
        <f t="shared" si="6"/>
        <v>16</v>
      </c>
      <c r="V14" s="17">
        <f t="shared" si="6"/>
        <v>8</v>
      </c>
      <c r="W14" s="17">
        <f t="shared" si="6"/>
        <v>0</v>
      </c>
      <c r="X14" s="17">
        <f t="shared" si="6"/>
        <v>2</v>
      </c>
      <c r="Y14" s="17">
        <f t="shared" si="6"/>
        <v>12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106</v>
      </c>
      <c r="AD14" s="17">
        <f t="shared" si="6"/>
        <v>0</v>
      </c>
      <c r="AE14" s="31">
        <f t="shared" si="6"/>
        <v>58</v>
      </c>
      <c r="AF14" s="31">
        <f t="shared" si="6"/>
        <v>164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3</v>
      </c>
      <c r="F15" s="50">
        <v>0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2</v>
      </c>
      <c r="M15" s="50">
        <v>60</v>
      </c>
      <c r="N15" s="50">
        <v>0</v>
      </c>
      <c r="O15" s="15">
        <f t="shared" si="0"/>
        <v>11</v>
      </c>
      <c r="P15" s="15">
        <f t="shared" si="1"/>
        <v>71</v>
      </c>
      <c r="R15" s="1" t="s">
        <v>11</v>
      </c>
      <c r="S15" s="17">
        <f t="shared" ref="S15:AF15" si="7">SUM(C30:C33)</f>
        <v>19</v>
      </c>
      <c r="T15" s="17">
        <f t="shared" si="7"/>
        <v>7</v>
      </c>
      <c r="U15" s="17">
        <f t="shared" si="7"/>
        <v>15</v>
      </c>
      <c r="V15" s="17">
        <f t="shared" si="7"/>
        <v>5</v>
      </c>
      <c r="W15" s="17">
        <f t="shared" si="7"/>
        <v>0</v>
      </c>
      <c r="X15" s="17">
        <f t="shared" si="7"/>
        <v>3</v>
      </c>
      <c r="Y15" s="17">
        <f t="shared" si="7"/>
        <v>10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192</v>
      </c>
      <c r="AD15" s="17">
        <f t="shared" si="7"/>
        <v>0</v>
      </c>
      <c r="AE15" s="31">
        <f t="shared" si="7"/>
        <v>60</v>
      </c>
      <c r="AF15" s="31">
        <f t="shared" si="7"/>
        <v>252</v>
      </c>
    </row>
    <row r="16" spans="2:32" ht="23.1" customHeight="1" x14ac:dyDescent="0.25">
      <c r="B16" s="45" t="s">
        <v>43</v>
      </c>
      <c r="C16" s="50">
        <v>3</v>
      </c>
      <c r="D16" s="50">
        <v>2</v>
      </c>
      <c r="E16" s="50">
        <v>5</v>
      </c>
      <c r="F16" s="50">
        <v>2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2</v>
      </c>
      <c r="M16" s="50">
        <v>42</v>
      </c>
      <c r="N16" s="50">
        <v>0</v>
      </c>
      <c r="O16" s="15">
        <f t="shared" si="0"/>
        <v>17</v>
      </c>
      <c r="P16" s="15">
        <f t="shared" si="1"/>
        <v>59</v>
      </c>
      <c r="R16" s="1" t="s">
        <v>12</v>
      </c>
      <c r="S16" s="17">
        <f t="shared" ref="S16:AF16" si="8">SUM(C34:C37)</f>
        <v>16</v>
      </c>
      <c r="T16" s="17">
        <f t="shared" si="8"/>
        <v>8</v>
      </c>
      <c r="U16" s="17">
        <f t="shared" si="8"/>
        <v>18</v>
      </c>
      <c r="V16" s="17">
        <f t="shared" si="8"/>
        <v>5</v>
      </c>
      <c r="W16" s="17">
        <f t="shared" si="8"/>
        <v>0</v>
      </c>
      <c r="X16" s="17">
        <f t="shared" si="8"/>
        <v>1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5</v>
      </c>
      <c r="AC16" s="17">
        <f t="shared" si="8"/>
        <v>240</v>
      </c>
      <c r="AD16" s="17">
        <f t="shared" si="8"/>
        <v>0</v>
      </c>
      <c r="AE16" s="31">
        <f t="shared" si="8"/>
        <v>58</v>
      </c>
      <c r="AF16" s="31">
        <f t="shared" si="8"/>
        <v>298</v>
      </c>
    </row>
    <row r="17" spans="2:32" ht="23.1" customHeight="1" x14ac:dyDescent="0.25">
      <c r="B17" s="45" t="s">
        <v>44</v>
      </c>
      <c r="C17" s="50">
        <v>2</v>
      </c>
      <c r="D17" s="50">
        <v>2</v>
      </c>
      <c r="E17" s="50">
        <v>4</v>
      </c>
      <c r="F17" s="50">
        <v>0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34</v>
      </c>
      <c r="N17" s="50">
        <v>0</v>
      </c>
      <c r="O17" s="15">
        <f t="shared" si="0"/>
        <v>12</v>
      </c>
      <c r="P17" s="15">
        <f t="shared" si="1"/>
        <v>46</v>
      </c>
      <c r="R17" s="1" t="s">
        <v>13</v>
      </c>
      <c r="S17" s="17">
        <f t="shared" ref="S17:AF17" si="9">SUM(C38:C41)</f>
        <v>18</v>
      </c>
      <c r="T17" s="17">
        <f t="shared" si="9"/>
        <v>8</v>
      </c>
      <c r="U17" s="17">
        <f t="shared" si="9"/>
        <v>19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3</v>
      </c>
      <c r="AA17" s="17">
        <f t="shared" si="9"/>
        <v>0</v>
      </c>
      <c r="AB17" s="17">
        <f t="shared" si="9"/>
        <v>5</v>
      </c>
      <c r="AC17" s="17">
        <f t="shared" si="9"/>
        <v>173</v>
      </c>
      <c r="AD17" s="17">
        <f t="shared" si="9"/>
        <v>1</v>
      </c>
      <c r="AE17" s="31">
        <f t="shared" si="9"/>
        <v>79</v>
      </c>
      <c r="AF17" s="31">
        <f t="shared" si="9"/>
        <v>252</v>
      </c>
    </row>
    <row r="18" spans="2:32" ht="23.1" customHeight="1" x14ac:dyDescent="0.25">
      <c r="B18" s="45" t="s">
        <v>45</v>
      </c>
      <c r="C18" s="50">
        <v>1</v>
      </c>
      <c r="D18" s="50">
        <v>1</v>
      </c>
      <c r="E18" s="50">
        <v>3</v>
      </c>
      <c r="F18" s="50">
        <v>2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1</v>
      </c>
      <c r="M18" s="50">
        <v>58</v>
      </c>
      <c r="N18" s="50">
        <v>0</v>
      </c>
      <c r="O18" s="15">
        <f t="shared" si="0"/>
        <v>10</v>
      </c>
      <c r="P18" s="15">
        <f t="shared" si="1"/>
        <v>68</v>
      </c>
      <c r="R18" s="1" t="s">
        <v>14</v>
      </c>
      <c r="S18" s="17">
        <f t="shared" ref="S18:AF18" si="10">SUM(C42:C45)</f>
        <v>7</v>
      </c>
      <c r="T18" s="17">
        <f t="shared" si="10"/>
        <v>1</v>
      </c>
      <c r="U18" s="17">
        <f t="shared" si="10"/>
        <v>6</v>
      </c>
      <c r="V18" s="17">
        <f t="shared" si="10"/>
        <v>3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4</v>
      </c>
      <c r="AC18" s="17">
        <f t="shared" si="10"/>
        <v>225</v>
      </c>
      <c r="AD18" s="17">
        <f t="shared" si="10"/>
        <v>0</v>
      </c>
      <c r="AE18" s="31">
        <f t="shared" si="10"/>
        <v>27</v>
      </c>
      <c r="AF18" s="31">
        <f t="shared" si="10"/>
        <v>252</v>
      </c>
    </row>
    <row r="19" spans="2:32" ht="23.1" customHeight="1" x14ac:dyDescent="0.25">
      <c r="B19" s="45" t="s">
        <v>46</v>
      </c>
      <c r="C19" s="50">
        <v>1</v>
      </c>
      <c r="D19" s="50">
        <v>1</v>
      </c>
      <c r="E19" s="50">
        <v>2</v>
      </c>
      <c r="F19" s="50">
        <v>3</v>
      </c>
      <c r="G19" s="50">
        <v>0</v>
      </c>
      <c r="H19" s="50">
        <v>1</v>
      </c>
      <c r="I19" s="50">
        <v>1</v>
      </c>
      <c r="J19" s="50">
        <v>3</v>
      </c>
      <c r="K19" s="50">
        <v>0</v>
      </c>
      <c r="L19" s="50">
        <v>0</v>
      </c>
      <c r="M19" s="50">
        <v>35</v>
      </c>
      <c r="N19" s="50">
        <v>0</v>
      </c>
      <c r="O19" s="15">
        <f t="shared" si="0"/>
        <v>12</v>
      </c>
      <c r="P19" s="15">
        <f t="shared" si="1"/>
        <v>47</v>
      </c>
      <c r="R19" s="1" t="s">
        <v>15</v>
      </c>
      <c r="S19" s="17">
        <f t="shared" ref="S19:AF19" si="11">SUM(C46:C49)</f>
        <v>30</v>
      </c>
      <c r="T19" s="17">
        <f t="shared" si="11"/>
        <v>8</v>
      </c>
      <c r="U19" s="17">
        <f t="shared" si="11"/>
        <v>18</v>
      </c>
      <c r="V19" s="17">
        <f t="shared" si="11"/>
        <v>11</v>
      </c>
      <c r="W19" s="17">
        <f t="shared" si="11"/>
        <v>1</v>
      </c>
      <c r="X19" s="17">
        <f t="shared" si="11"/>
        <v>3</v>
      </c>
      <c r="Y19" s="17">
        <f t="shared" si="11"/>
        <v>7</v>
      </c>
      <c r="Z19" s="17">
        <f t="shared" si="11"/>
        <v>0</v>
      </c>
      <c r="AA19" s="17">
        <f t="shared" si="11"/>
        <v>1</v>
      </c>
      <c r="AB19" s="17">
        <f t="shared" si="11"/>
        <v>8</v>
      </c>
      <c r="AC19" s="17">
        <f t="shared" si="11"/>
        <v>273</v>
      </c>
      <c r="AD19" s="17">
        <f t="shared" si="11"/>
        <v>1</v>
      </c>
      <c r="AE19" s="31">
        <f t="shared" si="11"/>
        <v>88</v>
      </c>
      <c r="AF19" s="31">
        <f t="shared" si="11"/>
        <v>361</v>
      </c>
    </row>
    <row r="20" spans="2:32" ht="23.1" customHeight="1" x14ac:dyDescent="0.25">
      <c r="B20" s="45" t="s">
        <v>47</v>
      </c>
      <c r="C20" s="50">
        <v>1</v>
      </c>
      <c r="D20" s="50">
        <v>1</v>
      </c>
      <c r="E20" s="50">
        <v>2</v>
      </c>
      <c r="F20" s="50">
        <v>2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1</v>
      </c>
      <c r="M20" s="50">
        <v>30</v>
      </c>
      <c r="N20" s="50">
        <v>0</v>
      </c>
      <c r="O20" s="15">
        <f t="shared" si="0"/>
        <v>10</v>
      </c>
      <c r="P20" s="15">
        <f t="shared" si="1"/>
        <v>40</v>
      </c>
      <c r="R20" s="1" t="s">
        <v>16</v>
      </c>
      <c r="S20" s="17">
        <f t="shared" ref="S20:AF20" si="12">SUM(C50:C53)</f>
        <v>22</v>
      </c>
      <c r="T20" s="17">
        <f t="shared" si="12"/>
        <v>7</v>
      </c>
      <c r="U20" s="17">
        <f t="shared" si="12"/>
        <v>15</v>
      </c>
      <c r="V20" s="17">
        <f t="shared" si="12"/>
        <v>7</v>
      </c>
      <c r="W20" s="17">
        <f t="shared" si="12"/>
        <v>4</v>
      </c>
      <c r="X20" s="17">
        <f t="shared" si="12"/>
        <v>5</v>
      </c>
      <c r="Y20" s="17">
        <f t="shared" si="12"/>
        <v>8</v>
      </c>
      <c r="Z20" s="17">
        <f t="shared" si="12"/>
        <v>2</v>
      </c>
      <c r="AA20" s="17">
        <f t="shared" si="12"/>
        <v>0</v>
      </c>
      <c r="AB20" s="17">
        <f t="shared" si="12"/>
        <v>13</v>
      </c>
      <c r="AC20" s="17">
        <f t="shared" si="12"/>
        <v>275</v>
      </c>
      <c r="AD20" s="17">
        <f t="shared" si="12"/>
        <v>0</v>
      </c>
      <c r="AE20" s="31">
        <f t="shared" si="12"/>
        <v>83</v>
      </c>
      <c r="AF20" s="31">
        <f t="shared" si="12"/>
        <v>358</v>
      </c>
    </row>
    <row r="21" spans="2:32" ht="23.1" customHeight="1" x14ac:dyDescent="0.25">
      <c r="B21" s="45" t="s">
        <v>48</v>
      </c>
      <c r="C21" s="50">
        <v>3</v>
      </c>
      <c r="D21" s="50">
        <v>3</v>
      </c>
      <c r="E21" s="50">
        <v>6</v>
      </c>
      <c r="F21" s="50">
        <v>0</v>
      </c>
      <c r="G21" s="50">
        <v>0</v>
      </c>
      <c r="H21" s="50">
        <v>0</v>
      </c>
      <c r="I21" s="50">
        <v>2</v>
      </c>
      <c r="J21" s="50">
        <v>2</v>
      </c>
      <c r="K21" s="50">
        <v>1</v>
      </c>
      <c r="L21" s="50">
        <v>1</v>
      </c>
      <c r="M21" s="50">
        <v>37</v>
      </c>
      <c r="N21" s="50">
        <v>0</v>
      </c>
      <c r="O21" s="15">
        <f t="shared" si="0"/>
        <v>18</v>
      </c>
      <c r="P21" s="15">
        <f t="shared" si="1"/>
        <v>55</v>
      </c>
      <c r="R21" s="36" t="s">
        <v>20</v>
      </c>
      <c r="S21" s="34">
        <f t="shared" ref="S21:AF21" si="13">SUM(C54:C57)</f>
        <v>18</v>
      </c>
      <c r="T21" s="17">
        <f t="shared" si="13"/>
        <v>3</v>
      </c>
      <c r="U21" s="17">
        <f t="shared" si="13"/>
        <v>8</v>
      </c>
      <c r="V21" s="17">
        <f t="shared" si="13"/>
        <v>0</v>
      </c>
      <c r="W21" s="17">
        <f t="shared" si="13"/>
        <v>3</v>
      </c>
      <c r="X21" s="17">
        <f t="shared" si="13"/>
        <v>5</v>
      </c>
      <c r="Y21" s="17">
        <f t="shared" si="13"/>
        <v>11</v>
      </c>
      <c r="Z21" s="17">
        <f t="shared" si="13"/>
        <v>6</v>
      </c>
      <c r="AA21" s="17">
        <f t="shared" si="13"/>
        <v>0</v>
      </c>
      <c r="AB21" s="17">
        <f t="shared" si="13"/>
        <v>9</v>
      </c>
      <c r="AC21" s="17">
        <f t="shared" si="13"/>
        <v>257</v>
      </c>
      <c r="AD21" s="17">
        <f t="shared" si="13"/>
        <v>0</v>
      </c>
      <c r="AE21" s="31">
        <f t="shared" si="13"/>
        <v>63</v>
      </c>
      <c r="AF21" s="31">
        <f t="shared" si="13"/>
        <v>320</v>
      </c>
    </row>
    <row r="22" spans="2:32" ht="23.1" customHeight="1" x14ac:dyDescent="0.25">
      <c r="B22" s="45" t="s">
        <v>49</v>
      </c>
      <c r="C22" s="50">
        <v>5</v>
      </c>
      <c r="D22" s="50">
        <v>3</v>
      </c>
      <c r="E22" s="50">
        <v>7</v>
      </c>
      <c r="F22" s="50">
        <v>2</v>
      </c>
      <c r="G22" s="50">
        <v>0</v>
      </c>
      <c r="H22" s="50">
        <v>1</v>
      </c>
      <c r="I22" s="50">
        <v>3</v>
      </c>
      <c r="J22" s="50">
        <v>0</v>
      </c>
      <c r="K22" s="50">
        <v>0</v>
      </c>
      <c r="L22" s="50">
        <v>1</v>
      </c>
      <c r="M22" s="50">
        <v>30</v>
      </c>
      <c r="N22" s="50">
        <v>0</v>
      </c>
      <c r="O22" s="15">
        <f t="shared" si="0"/>
        <v>22</v>
      </c>
      <c r="P22" s="15">
        <f t="shared" si="1"/>
        <v>52</v>
      </c>
      <c r="R22" s="36" t="s">
        <v>146</v>
      </c>
      <c r="S22" s="34">
        <f>SUM(C58:C61)</f>
        <v>8</v>
      </c>
      <c r="T22" s="34">
        <f t="shared" ref="T22:AF22" si="14">SUM(D58:D61)</f>
        <v>6</v>
      </c>
      <c r="U22" s="34">
        <f t="shared" si="14"/>
        <v>14</v>
      </c>
      <c r="V22" s="34">
        <f t="shared" si="14"/>
        <v>7</v>
      </c>
      <c r="W22" s="34">
        <f t="shared" si="14"/>
        <v>1</v>
      </c>
      <c r="X22" s="34">
        <f t="shared" si="14"/>
        <v>4</v>
      </c>
      <c r="Y22" s="34">
        <f t="shared" si="14"/>
        <v>4</v>
      </c>
      <c r="Z22" s="34">
        <f t="shared" si="14"/>
        <v>6</v>
      </c>
      <c r="AA22" s="34">
        <f t="shared" si="14"/>
        <v>2</v>
      </c>
      <c r="AB22" s="34">
        <f t="shared" si="14"/>
        <v>10</v>
      </c>
      <c r="AC22" s="34">
        <f t="shared" si="14"/>
        <v>195</v>
      </c>
      <c r="AD22" s="34">
        <f t="shared" si="14"/>
        <v>0</v>
      </c>
      <c r="AE22" s="31">
        <f t="shared" si="14"/>
        <v>62</v>
      </c>
      <c r="AF22" s="31">
        <f t="shared" si="14"/>
        <v>257</v>
      </c>
    </row>
    <row r="23" spans="2:32" ht="23.1" customHeight="1" x14ac:dyDescent="0.25">
      <c r="B23" s="45" t="s">
        <v>50</v>
      </c>
      <c r="C23" s="50">
        <v>1</v>
      </c>
      <c r="D23" s="50">
        <v>1</v>
      </c>
      <c r="E23" s="50">
        <v>3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7</v>
      </c>
      <c r="P23" s="15">
        <f t="shared" si="1"/>
        <v>21</v>
      </c>
      <c r="R23" s="36" t="s">
        <v>147</v>
      </c>
      <c r="S23" s="34">
        <f>SUM(C62:C65)</f>
        <v>13</v>
      </c>
      <c r="T23" s="34">
        <f t="shared" ref="T23:AF23" si="15">SUM(D62:D65)</f>
        <v>6</v>
      </c>
      <c r="U23" s="34">
        <f t="shared" si="15"/>
        <v>15</v>
      </c>
      <c r="V23" s="34">
        <f t="shared" si="15"/>
        <v>8</v>
      </c>
      <c r="W23" s="34">
        <f t="shared" si="15"/>
        <v>1</v>
      </c>
      <c r="X23" s="34">
        <f t="shared" si="15"/>
        <v>0</v>
      </c>
      <c r="Y23" s="34">
        <f t="shared" si="15"/>
        <v>1</v>
      </c>
      <c r="Z23" s="34">
        <f t="shared" si="15"/>
        <v>3</v>
      </c>
      <c r="AA23" s="34">
        <f t="shared" si="15"/>
        <v>0</v>
      </c>
      <c r="AB23" s="34">
        <f t="shared" si="15"/>
        <v>9</v>
      </c>
      <c r="AC23" s="34">
        <f t="shared" si="15"/>
        <v>171</v>
      </c>
      <c r="AD23" s="34">
        <f t="shared" si="15"/>
        <v>0</v>
      </c>
      <c r="AE23" s="31">
        <f t="shared" si="15"/>
        <v>56</v>
      </c>
      <c r="AF23" s="31">
        <f t="shared" si="15"/>
        <v>227</v>
      </c>
    </row>
    <row r="24" spans="2:32" ht="23.1" customHeight="1" x14ac:dyDescent="0.25">
      <c r="B24" s="45" t="s">
        <v>51</v>
      </c>
      <c r="C24" s="50">
        <v>2</v>
      </c>
      <c r="D24" s="50">
        <v>2</v>
      </c>
      <c r="E24" s="50">
        <v>4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11</v>
      </c>
      <c r="N24" s="50">
        <v>0</v>
      </c>
      <c r="O24" s="15">
        <f t="shared" si="0"/>
        <v>13</v>
      </c>
      <c r="P24" s="15">
        <f t="shared" si="1"/>
        <v>24</v>
      </c>
      <c r="R24" s="36" t="s">
        <v>148</v>
      </c>
      <c r="S24" s="34">
        <f>SUM(C66:C69)</f>
        <v>15</v>
      </c>
      <c r="T24" s="34">
        <f t="shared" ref="T24:AF24" si="16">SUM(D66:D69)</f>
        <v>8</v>
      </c>
      <c r="U24" s="34">
        <f t="shared" si="16"/>
        <v>17</v>
      </c>
      <c r="V24" s="34">
        <f t="shared" si="16"/>
        <v>4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5</v>
      </c>
      <c r="AA24" s="34">
        <f t="shared" si="16"/>
        <v>0</v>
      </c>
      <c r="AB24" s="34">
        <f t="shared" si="16"/>
        <v>2</v>
      </c>
      <c r="AC24" s="34">
        <f t="shared" si="16"/>
        <v>168</v>
      </c>
      <c r="AD24" s="34">
        <f t="shared" si="16"/>
        <v>0</v>
      </c>
      <c r="AE24" s="31">
        <f t="shared" si="16"/>
        <v>58</v>
      </c>
      <c r="AF24" s="31">
        <f t="shared" si="16"/>
        <v>226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1</v>
      </c>
      <c r="I25" s="50">
        <v>2</v>
      </c>
      <c r="J25" s="50">
        <v>2</v>
      </c>
      <c r="K25" s="50">
        <v>0</v>
      </c>
      <c r="L25" s="50">
        <v>2</v>
      </c>
      <c r="M25" s="50">
        <v>15</v>
      </c>
      <c r="N25" s="50">
        <v>0</v>
      </c>
      <c r="O25" s="15">
        <f t="shared" si="0"/>
        <v>9</v>
      </c>
      <c r="P25" s="15">
        <f t="shared" si="1"/>
        <v>24</v>
      </c>
      <c r="R25" s="36" t="s">
        <v>149</v>
      </c>
      <c r="S25" s="34">
        <f>SUM(C70:C73)</f>
        <v>12</v>
      </c>
      <c r="T25" s="34">
        <f t="shared" ref="T25:AF25" si="17">SUM(D70:D73)</f>
        <v>9</v>
      </c>
      <c r="U25" s="34">
        <f t="shared" si="17"/>
        <v>20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13</v>
      </c>
      <c r="Z25" s="34">
        <f t="shared" si="17"/>
        <v>4</v>
      </c>
      <c r="AA25" s="34">
        <f t="shared" si="17"/>
        <v>0</v>
      </c>
      <c r="AB25" s="34">
        <f t="shared" si="17"/>
        <v>5</v>
      </c>
      <c r="AC25" s="34">
        <f t="shared" si="17"/>
        <v>104</v>
      </c>
      <c r="AD25" s="34">
        <f t="shared" si="17"/>
        <v>0</v>
      </c>
      <c r="AE25" s="31">
        <f t="shared" si="17"/>
        <v>68</v>
      </c>
      <c r="AF25" s="31">
        <f t="shared" si="17"/>
        <v>172</v>
      </c>
    </row>
    <row r="26" spans="2:32" ht="23.1" customHeight="1" x14ac:dyDescent="0.25">
      <c r="B26" s="45" t="s">
        <v>53</v>
      </c>
      <c r="C26" s="50">
        <v>2</v>
      </c>
      <c r="D26" s="50">
        <v>1</v>
      </c>
      <c r="E26" s="50">
        <v>3</v>
      </c>
      <c r="F26" s="50">
        <v>4</v>
      </c>
      <c r="G26" s="50">
        <v>0</v>
      </c>
      <c r="H26" s="50">
        <v>1</v>
      </c>
      <c r="I26" s="50">
        <v>5</v>
      </c>
      <c r="J26" s="50">
        <v>0</v>
      </c>
      <c r="K26" s="50">
        <v>0</v>
      </c>
      <c r="L26" s="50">
        <v>0</v>
      </c>
      <c r="M26" s="50">
        <v>29</v>
      </c>
      <c r="N26" s="50">
        <v>0</v>
      </c>
      <c r="O26" s="15">
        <f t="shared" si="0"/>
        <v>16</v>
      </c>
      <c r="P26" s="15">
        <f t="shared" si="1"/>
        <v>45</v>
      </c>
      <c r="R26" s="36" t="s">
        <v>150</v>
      </c>
      <c r="S26" s="34">
        <f>SUM(C74:C77)</f>
        <v>11</v>
      </c>
      <c r="T26" s="34">
        <f t="shared" ref="T26:AF26" si="18">SUM(D74:D77)</f>
        <v>9</v>
      </c>
      <c r="U26" s="34">
        <f t="shared" si="18"/>
        <v>20</v>
      </c>
      <c r="V26" s="34">
        <f t="shared" si="18"/>
        <v>7</v>
      </c>
      <c r="W26" s="34">
        <f t="shared" si="18"/>
        <v>0</v>
      </c>
      <c r="X26" s="34">
        <f t="shared" si="18"/>
        <v>1</v>
      </c>
      <c r="Y26" s="34">
        <f t="shared" si="18"/>
        <v>9</v>
      </c>
      <c r="Z26" s="34">
        <f t="shared" si="18"/>
        <v>3</v>
      </c>
      <c r="AA26" s="34">
        <f t="shared" si="18"/>
        <v>0</v>
      </c>
      <c r="AB26" s="34">
        <f t="shared" si="18"/>
        <v>3</v>
      </c>
      <c r="AC26" s="34">
        <f t="shared" si="18"/>
        <v>61</v>
      </c>
      <c r="AD26" s="34">
        <f t="shared" si="18"/>
        <v>0</v>
      </c>
      <c r="AE26" s="31">
        <f t="shared" si="18"/>
        <v>63</v>
      </c>
      <c r="AF26" s="31">
        <f t="shared" si="18"/>
        <v>124</v>
      </c>
    </row>
    <row r="27" spans="2:32" ht="23.1" customHeight="1" x14ac:dyDescent="0.25">
      <c r="B27" s="45" t="s">
        <v>54</v>
      </c>
      <c r="C27" s="50">
        <v>2</v>
      </c>
      <c r="D27" s="50">
        <v>1</v>
      </c>
      <c r="E27" s="50">
        <v>3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23</v>
      </c>
      <c r="N27" s="50">
        <v>0</v>
      </c>
      <c r="O27" s="15">
        <f t="shared" si="0"/>
        <v>8</v>
      </c>
      <c r="P27" s="15">
        <f t="shared" si="1"/>
        <v>31</v>
      </c>
      <c r="R27" s="36" t="s">
        <v>151</v>
      </c>
      <c r="S27" s="34">
        <f>SUM(C78:C81)</f>
        <v>15</v>
      </c>
      <c r="T27" s="34">
        <f t="shared" ref="T27:AF27" si="19">SUM(D78:D81)</f>
        <v>7</v>
      </c>
      <c r="U27" s="34">
        <f t="shared" si="19"/>
        <v>15</v>
      </c>
      <c r="V27" s="34">
        <f t="shared" si="19"/>
        <v>4</v>
      </c>
      <c r="W27" s="34">
        <f t="shared" si="19"/>
        <v>0</v>
      </c>
      <c r="X27" s="34">
        <f t="shared" si="19"/>
        <v>1</v>
      </c>
      <c r="Y27" s="34">
        <f t="shared" si="19"/>
        <v>9</v>
      </c>
      <c r="Z27" s="34">
        <f t="shared" si="19"/>
        <v>1</v>
      </c>
      <c r="AA27" s="34">
        <f t="shared" si="19"/>
        <v>0</v>
      </c>
      <c r="AB27" s="34">
        <f t="shared" si="19"/>
        <v>2</v>
      </c>
      <c r="AC27" s="34">
        <f t="shared" si="19"/>
        <v>56</v>
      </c>
      <c r="AD27" s="34">
        <f t="shared" si="19"/>
        <v>0</v>
      </c>
      <c r="AE27" s="31">
        <f t="shared" si="19"/>
        <v>54</v>
      </c>
      <c r="AF27" s="31">
        <f t="shared" si="19"/>
        <v>110</v>
      </c>
    </row>
    <row r="28" spans="2:32" ht="23.1" customHeight="1" x14ac:dyDescent="0.25">
      <c r="B28" s="45" t="s">
        <v>55</v>
      </c>
      <c r="C28" s="50">
        <v>2</v>
      </c>
      <c r="D28" s="50">
        <v>2</v>
      </c>
      <c r="E28" s="50">
        <v>4</v>
      </c>
      <c r="F28" s="50">
        <v>0</v>
      </c>
      <c r="G28" s="50">
        <v>0</v>
      </c>
      <c r="H28" s="50">
        <v>1</v>
      </c>
      <c r="I28" s="50">
        <v>2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11</v>
      </c>
      <c r="P28" s="15">
        <f t="shared" si="1"/>
        <v>25</v>
      </c>
      <c r="R28" s="36" t="s">
        <v>152</v>
      </c>
      <c r="S28" s="34">
        <f>SUM(C82:C85)</f>
        <v>11</v>
      </c>
      <c r="T28" s="34">
        <f t="shared" ref="T28:AF28" si="20">SUM(D82:D85)</f>
        <v>6</v>
      </c>
      <c r="U28" s="34">
        <f t="shared" si="20"/>
        <v>14</v>
      </c>
      <c r="V28" s="34">
        <f t="shared" si="20"/>
        <v>5</v>
      </c>
      <c r="W28" s="34">
        <f t="shared" si="20"/>
        <v>1</v>
      </c>
      <c r="X28" s="34">
        <f t="shared" si="20"/>
        <v>2</v>
      </c>
      <c r="Y28" s="34">
        <f t="shared" si="20"/>
        <v>6</v>
      </c>
      <c r="Z28" s="34">
        <f t="shared" si="20"/>
        <v>1</v>
      </c>
      <c r="AA28" s="34">
        <f t="shared" si="20"/>
        <v>0</v>
      </c>
      <c r="AB28" s="34">
        <f t="shared" si="20"/>
        <v>8</v>
      </c>
      <c r="AC28" s="34">
        <f t="shared" si="20"/>
        <v>24</v>
      </c>
      <c r="AD28" s="34">
        <f t="shared" si="20"/>
        <v>0</v>
      </c>
      <c r="AE28" s="31">
        <f t="shared" si="20"/>
        <v>54</v>
      </c>
      <c r="AF28" s="31">
        <f t="shared" si="20"/>
        <v>78</v>
      </c>
    </row>
    <row r="29" spans="2:32" ht="23.1" customHeight="1" x14ac:dyDescent="0.25">
      <c r="B29" s="45" t="s">
        <v>56</v>
      </c>
      <c r="C29" s="50">
        <v>5</v>
      </c>
      <c r="D29" s="50">
        <v>3</v>
      </c>
      <c r="E29" s="50">
        <v>6</v>
      </c>
      <c r="F29" s="50">
        <v>4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23</v>
      </c>
      <c r="P29" s="15">
        <f t="shared" si="1"/>
        <v>63</v>
      </c>
      <c r="R29" s="36" t="s">
        <v>153</v>
      </c>
      <c r="S29" s="34">
        <f>SUM(C86:C89)</f>
        <v>8</v>
      </c>
      <c r="T29" s="34">
        <f t="shared" ref="T29:AF29" si="21">SUM(D86:D89)</f>
        <v>5</v>
      </c>
      <c r="U29" s="34">
        <f t="shared" si="21"/>
        <v>12</v>
      </c>
      <c r="V29" s="34">
        <f t="shared" si="21"/>
        <v>10</v>
      </c>
      <c r="W29" s="34">
        <f t="shared" si="21"/>
        <v>0</v>
      </c>
      <c r="X29" s="34">
        <f t="shared" si="21"/>
        <v>2</v>
      </c>
      <c r="Y29" s="34">
        <f t="shared" si="21"/>
        <v>9</v>
      </c>
      <c r="Z29" s="34">
        <f t="shared" si="21"/>
        <v>4</v>
      </c>
      <c r="AA29" s="34">
        <f t="shared" si="21"/>
        <v>1</v>
      </c>
      <c r="AB29" s="34">
        <f t="shared" si="21"/>
        <v>4</v>
      </c>
      <c r="AC29" s="34">
        <f t="shared" si="21"/>
        <v>3</v>
      </c>
      <c r="AD29" s="34">
        <f t="shared" si="21"/>
        <v>0</v>
      </c>
      <c r="AE29" s="31">
        <f t="shared" si="21"/>
        <v>55</v>
      </c>
      <c r="AF29" s="31">
        <f t="shared" si="21"/>
        <v>58</v>
      </c>
    </row>
    <row r="30" spans="2:32" ht="23.1" customHeight="1" x14ac:dyDescent="0.25">
      <c r="B30" s="45" t="s">
        <v>57</v>
      </c>
      <c r="C30" s="50">
        <v>6</v>
      </c>
      <c r="D30" s="50">
        <v>2</v>
      </c>
      <c r="E30" s="50">
        <v>4</v>
      </c>
      <c r="F30" s="50">
        <v>2</v>
      </c>
      <c r="G30" s="50">
        <v>0</v>
      </c>
      <c r="H30" s="50">
        <v>2</v>
      </c>
      <c r="I30" s="50">
        <v>7</v>
      </c>
      <c r="J30" s="50">
        <v>0</v>
      </c>
      <c r="K30" s="50">
        <v>0</v>
      </c>
      <c r="L30" s="50">
        <v>0</v>
      </c>
      <c r="M30" s="50">
        <v>42</v>
      </c>
      <c r="N30" s="50">
        <v>0</v>
      </c>
      <c r="O30" s="15">
        <f t="shared" si="0"/>
        <v>23</v>
      </c>
      <c r="P30" s="15">
        <f t="shared" si="1"/>
        <v>65</v>
      </c>
      <c r="R30" s="36" t="s">
        <v>154</v>
      </c>
      <c r="S30" s="34">
        <f>SUM(C90:C93)</f>
        <v>16</v>
      </c>
      <c r="T30" s="34">
        <f t="shared" ref="T30:AF30" si="22">SUM(D90:D93)</f>
        <v>13</v>
      </c>
      <c r="U30" s="34">
        <f t="shared" si="22"/>
        <v>28</v>
      </c>
      <c r="V30" s="34">
        <f t="shared" si="22"/>
        <v>2</v>
      </c>
      <c r="W30" s="34">
        <f t="shared" si="22"/>
        <v>0</v>
      </c>
      <c r="X30" s="34">
        <f t="shared" si="22"/>
        <v>1</v>
      </c>
      <c r="Y30" s="34">
        <f t="shared" si="22"/>
        <v>12</v>
      </c>
      <c r="Z30" s="34">
        <f t="shared" si="22"/>
        <v>1</v>
      </c>
      <c r="AA30" s="34">
        <f t="shared" si="22"/>
        <v>0</v>
      </c>
      <c r="AB30" s="34">
        <f t="shared" si="22"/>
        <v>3</v>
      </c>
      <c r="AC30" s="34">
        <f t="shared" si="22"/>
        <v>8</v>
      </c>
      <c r="AD30" s="34">
        <f t="shared" si="22"/>
        <v>0</v>
      </c>
      <c r="AE30" s="31">
        <f t="shared" si="22"/>
        <v>76</v>
      </c>
      <c r="AF30" s="31">
        <f t="shared" si="22"/>
        <v>84</v>
      </c>
    </row>
    <row r="31" spans="2:32" ht="23.1" customHeight="1" x14ac:dyDescent="0.25">
      <c r="B31" s="46" t="s">
        <v>58</v>
      </c>
      <c r="C31" s="50">
        <v>3</v>
      </c>
      <c r="D31" s="50">
        <v>1</v>
      </c>
      <c r="E31" s="50">
        <v>2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50</v>
      </c>
      <c r="N31" s="50">
        <v>0</v>
      </c>
      <c r="O31" s="15">
        <f t="shared" si="0"/>
        <v>7</v>
      </c>
      <c r="P31" s="15">
        <f t="shared" si="1"/>
        <v>57</v>
      </c>
      <c r="R31" s="36" t="s">
        <v>155</v>
      </c>
      <c r="S31" s="34">
        <f>SUM(C94:C97)</f>
        <v>11</v>
      </c>
      <c r="T31" s="34">
        <f t="shared" ref="T31:AF31" si="23">SUM(D94:D97)</f>
        <v>11</v>
      </c>
      <c r="U31" s="34">
        <f t="shared" si="23"/>
        <v>24</v>
      </c>
      <c r="V31" s="34">
        <f t="shared" si="23"/>
        <v>15</v>
      </c>
      <c r="W31" s="34">
        <f t="shared" si="23"/>
        <v>0</v>
      </c>
      <c r="X31" s="34">
        <f t="shared" si="23"/>
        <v>1</v>
      </c>
      <c r="Y31" s="34">
        <f t="shared" si="23"/>
        <v>17</v>
      </c>
      <c r="Z31" s="34">
        <f t="shared" si="23"/>
        <v>1</v>
      </c>
      <c r="AA31" s="34">
        <f t="shared" si="23"/>
        <v>0</v>
      </c>
      <c r="AB31" s="34">
        <f t="shared" si="23"/>
        <v>1</v>
      </c>
      <c r="AC31" s="34">
        <f t="shared" si="23"/>
        <v>0</v>
      </c>
      <c r="AD31" s="34">
        <f t="shared" si="23"/>
        <v>0</v>
      </c>
      <c r="AE31" s="31">
        <f t="shared" si="23"/>
        <v>81</v>
      </c>
      <c r="AF31" s="31">
        <f t="shared" si="23"/>
        <v>81</v>
      </c>
    </row>
    <row r="32" spans="2:32" ht="23.1" customHeight="1" x14ac:dyDescent="0.25">
      <c r="B32" s="46" t="s">
        <v>59</v>
      </c>
      <c r="C32" s="50">
        <v>8</v>
      </c>
      <c r="D32" s="50">
        <v>3</v>
      </c>
      <c r="E32" s="50">
        <v>7</v>
      </c>
      <c r="F32" s="50">
        <v>1</v>
      </c>
      <c r="G32" s="50">
        <v>0</v>
      </c>
      <c r="H32" s="50">
        <v>1</v>
      </c>
      <c r="I32" s="50">
        <v>2</v>
      </c>
      <c r="J32" s="50">
        <v>0</v>
      </c>
      <c r="K32" s="50">
        <v>0</v>
      </c>
      <c r="L32" s="50">
        <v>1</v>
      </c>
      <c r="M32" s="50">
        <v>40</v>
      </c>
      <c r="N32" s="50">
        <v>0</v>
      </c>
      <c r="O32" s="15">
        <f t="shared" si="0"/>
        <v>23</v>
      </c>
      <c r="P32" s="15">
        <f t="shared" si="1"/>
        <v>63</v>
      </c>
      <c r="R32" s="33" t="s">
        <v>156</v>
      </c>
      <c r="S32" s="34">
        <f>SUM(C98:C101)</f>
        <v>12</v>
      </c>
      <c r="T32" s="34">
        <f t="shared" ref="T32:AF32" si="24">SUM(D98:D101)</f>
        <v>21</v>
      </c>
      <c r="U32" s="34">
        <f t="shared" si="24"/>
        <v>45</v>
      </c>
      <c r="V32" s="34">
        <f t="shared" si="24"/>
        <v>6</v>
      </c>
      <c r="W32" s="34">
        <f t="shared" si="24"/>
        <v>0</v>
      </c>
      <c r="X32" s="34">
        <f t="shared" si="24"/>
        <v>2</v>
      </c>
      <c r="Y32" s="34">
        <f t="shared" si="24"/>
        <v>14</v>
      </c>
      <c r="Z32" s="34">
        <f t="shared" si="24"/>
        <v>1</v>
      </c>
      <c r="AA32" s="34">
        <f t="shared" si="24"/>
        <v>0</v>
      </c>
      <c r="AB32" s="34">
        <f t="shared" si="24"/>
        <v>6</v>
      </c>
      <c r="AC32" s="34">
        <f t="shared" si="24"/>
        <v>7</v>
      </c>
      <c r="AD32" s="34">
        <f t="shared" si="24"/>
        <v>0</v>
      </c>
      <c r="AE32" s="31">
        <f t="shared" si="24"/>
        <v>107</v>
      </c>
      <c r="AF32" s="31">
        <f t="shared" si="24"/>
        <v>114</v>
      </c>
    </row>
    <row r="33" spans="2:32" ht="23.1" customHeight="1" x14ac:dyDescent="0.25">
      <c r="B33" s="45" t="s">
        <v>60</v>
      </c>
      <c r="C33" s="50">
        <v>2</v>
      </c>
      <c r="D33" s="50">
        <v>1</v>
      </c>
      <c r="E33" s="50">
        <v>2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60</v>
      </c>
      <c r="N33" s="50">
        <v>0</v>
      </c>
      <c r="O33" s="15">
        <f t="shared" si="0"/>
        <v>7</v>
      </c>
      <c r="P33" s="15">
        <f t="shared" si="1"/>
        <v>67</v>
      </c>
      <c r="R33" s="33" t="s">
        <v>157</v>
      </c>
      <c r="S33" s="34">
        <f>SUM(C102:C105)</f>
        <v>20</v>
      </c>
      <c r="T33" s="34">
        <f t="shared" ref="T33:AF33" si="25">SUM(D102:D105)</f>
        <v>13</v>
      </c>
      <c r="U33" s="34">
        <f t="shared" si="25"/>
        <v>27</v>
      </c>
      <c r="V33" s="34">
        <f t="shared" si="25"/>
        <v>19</v>
      </c>
      <c r="W33" s="34">
        <f t="shared" si="25"/>
        <v>1</v>
      </c>
      <c r="X33" s="34">
        <f t="shared" si="25"/>
        <v>5</v>
      </c>
      <c r="Y33" s="34">
        <f t="shared" si="25"/>
        <v>15</v>
      </c>
      <c r="Z33" s="34">
        <f t="shared" si="25"/>
        <v>0</v>
      </c>
      <c r="AA33" s="34">
        <f t="shared" si="25"/>
        <v>0</v>
      </c>
      <c r="AB33" s="34">
        <f t="shared" si="25"/>
        <v>12</v>
      </c>
      <c r="AC33" s="34">
        <f t="shared" si="25"/>
        <v>30</v>
      </c>
      <c r="AD33" s="34">
        <f t="shared" si="25"/>
        <v>0</v>
      </c>
      <c r="AE33" s="31">
        <f t="shared" si="25"/>
        <v>112</v>
      </c>
      <c r="AF33" s="31">
        <f t="shared" si="25"/>
        <v>142</v>
      </c>
    </row>
    <row r="34" spans="2:32" ht="23.1" customHeight="1" x14ac:dyDescent="0.25">
      <c r="B34" s="46" t="s">
        <v>61</v>
      </c>
      <c r="C34" s="50">
        <v>1</v>
      </c>
      <c r="D34" s="50">
        <v>1</v>
      </c>
      <c r="E34" s="50">
        <v>3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2</v>
      </c>
      <c r="M34" s="50">
        <v>35</v>
      </c>
      <c r="N34" s="50">
        <v>0</v>
      </c>
      <c r="O34" s="15">
        <f t="shared" si="0"/>
        <v>10</v>
      </c>
      <c r="P34" s="15">
        <f t="shared" si="1"/>
        <v>45</v>
      </c>
      <c r="R34" s="38" t="s">
        <v>90</v>
      </c>
      <c r="S34" s="39">
        <f t="shared" ref="S34:AF34" si="26">MAX(S10:S12)</f>
        <v>14</v>
      </c>
      <c r="T34" s="39">
        <f t="shared" si="26"/>
        <v>8</v>
      </c>
      <c r="U34" s="39">
        <f t="shared" si="26"/>
        <v>18</v>
      </c>
      <c r="V34" s="39">
        <f t="shared" si="26"/>
        <v>7</v>
      </c>
      <c r="W34" s="39">
        <f t="shared" si="26"/>
        <v>0</v>
      </c>
      <c r="X34" s="39">
        <f t="shared" si="26"/>
        <v>1</v>
      </c>
      <c r="Y34" s="39">
        <f t="shared" si="26"/>
        <v>9</v>
      </c>
      <c r="Z34" s="39">
        <f t="shared" si="26"/>
        <v>9</v>
      </c>
      <c r="AA34" s="39">
        <f t="shared" si="26"/>
        <v>1</v>
      </c>
      <c r="AB34" s="39">
        <f t="shared" si="26"/>
        <v>6</v>
      </c>
      <c r="AC34" s="39">
        <f t="shared" si="26"/>
        <v>184</v>
      </c>
      <c r="AD34" s="39">
        <f t="shared" si="26"/>
        <v>0</v>
      </c>
      <c r="AE34" s="40">
        <f t="shared" si="26"/>
        <v>61</v>
      </c>
      <c r="AF34" s="40">
        <f t="shared" si="26"/>
        <v>245</v>
      </c>
    </row>
    <row r="35" spans="2:32" ht="23.1" customHeight="1" x14ac:dyDescent="0.25">
      <c r="B35" s="46" t="s">
        <v>62</v>
      </c>
      <c r="C35" s="50">
        <v>2</v>
      </c>
      <c r="D35" s="50">
        <v>1</v>
      </c>
      <c r="E35" s="50">
        <v>3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65</v>
      </c>
      <c r="N35" s="50">
        <v>0</v>
      </c>
      <c r="O35" s="15">
        <f t="shared" si="0"/>
        <v>10</v>
      </c>
      <c r="P35" s="15">
        <f t="shared" si="1"/>
        <v>75</v>
      </c>
      <c r="R35" s="38" t="s">
        <v>91</v>
      </c>
      <c r="S35" s="39">
        <f t="shared" ref="S35:AF35" si="27">MAX(S13:S18)</f>
        <v>19</v>
      </c>
      <c r="T35" s="39">
        <f t="shared" si="27"/>
        <v>8</v>
      </c>
      <c r="U35" s="39">
        <f t="shared" si="27"/>
        <v>19</v>
      </c>
      <c r="V35" s="39">
        <f t="shared" si="27"/>
        <v>15</v>
      </c>
      <c r="W35" s="39">
        <f t="shared" si="27"/>
        <v>0</v>
      </c>
      <c r="X35" s="39">
        <f t="shared" si="27"/>
        <v>3</v>
      </c>
      <c r="Y35" s="39">
        <f t="shared" si="27"/>
        <v>12</v>
      </c>
      <c r="Z35" s="39">
        <f t="shared" si="27"/>
        <v>3</v>
      </c>
      <c r="AA35" s="39">
        <f t="shared" si="27"/>
        <v>0</v>
      </c>
      <c r="AB35" s="39">
        <f t="shared" si="27"/>
        <v>5</v>
      </c>
      <c r="AC35" s="39">
        <f t="shared" si="27"/>
        <v>240</v>
      </c>
      <c r="AD35" s="39">
        <f t="shared" si="27"/>
        <v>1</v>
      </c>
      <c r="AE35" s="40">
        <f t="shared" si="27"/>
        <v>79</v>
      </c>
      <c r="AF35" s="40">
        <f t="shared" si="27"/>
        <v>298</v>
      </c>
    </row>
    <row r="36" spans="2:32" ht="23.1" customHeight="1" x14ac:dyDescent="0.25">
      <c r="B36" s="46" t="s">
        <v>63</v>
      </c>
      <c r="C36" s="50">
        <v>6</v>
      </c>
      <c r="D36" s="50">
        <v>1</v>
      </c>
      <c r="E36" s="50">
        <v>2</v>
      </c>
      <c r="F36" s="50">
        <v>0</v>
      </c>
      <c r="G36" s="50">
        <v>0</v>
      </c>
      <c r="H36" s="50">
        <v>1</v>
      </c>
      <c r="I36" s="50">
        <v>1</v>
      </c>
      <c r="J36" s="50">
        <v>0</v>
      </c>
      <c r="K36" s="50">
        <v>0</v>
      </c>
      <c r="L36" s="50">
        <v>2</v>
      </c>
      <c r="M36" s="50">
        <v>75</v>
      </c>
      <c r="N36" s="50">
        <v>0</v>
      </c>
      <c r="O36" s="15">
        <f t="shared" si="0"/>
        <v>13</v>
      </c>
      <c r="P36" s="15">
        <f t="shared" si="1"/>
        <v>88</v>
      </c>
      <c r="R36" s="38" t="s">
        <v>92</v>
      </c>
      <c r="S36" s="39">
        <f t="shared" ref="S36:AF36" si="28">MAX(S19:S21)</f>
        <v>30</v>
      </c>
      <c r="T36" s="39">
        <f t="shared" si="28"/>
        <v>8</v>
      </c>
      <c r="U36" s="39">
        <f t="shared" si="28"/>
        <v>18</v>
      </c>
      <c r="V36" s="39">
        <f t="shared" si="28"/>
        <v>11</v>
      </c>
      <c r="W36" s="39">
        <f t="shared" si="28"/>
        <v>4</v>
      </c>
      <c r="X36" s="39">
        <f t="shared" si="28"/>
        <v>5</v>
      </c>
      <c r="Y36" s="39">
        <f t="shared" si="28"/>
        <v>11</v>
      </c>
      <c r="Z36" s="39">
        <f t="shared" si="28"/>
        <v>6</v>
      </c>
      <c r="AA36" s="39">
        <f t="shared" si="28"/>
        <v>1</v>
      </c>
      <c r="AB36" s="39">
        <f t="shared" si="28"/>
        <v>13</v>
      </c>
      <c r="AC36" s="39">
        <f t="shared" si="28"/>
        <v>275</v>
      </c>
      <c r="AD36" s="39">
        <f t="shared" si="28"/>
        <v>1</v>
      </c>
      <c r="AE36" s="40">
        <f t="shared" si="28"/>
        <v>88</v>
      </c>
      <c r="AF36" s="40">
        <f t="shared" si="28"/>
        <v>361</v>
      </c>
    </row>
    <row r="37" spans="2:32" ht="23.1" customHeight="1" x14ac:dyDescent="0.25">
      <c r="B37" s="45" t="s">
        <v>64</v>
      </c>
      <c r="C37" s="50">
        <v>7</v>
      </c>
      <c r="D37" s="50">
        <v>5</v>
      </c>
      <c r="E37" s="50">
        <v>10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65</v>
      </c>
      <c r="N37" s="50">
        <v>0</v>
      </c>
      <c r="O37" s="15">
        <f t="shared" si="0"/>
        <v>25</v>
      </c>
      <c r="P37" s="15">
        <f t="shared" si="1"/>
        <v>90</v>
      </c>
      <c r="R37" s="37" t="s">
        <v>85</v>
      </c>
      <c r="S37" s="35">
        <f t="shared" ref="S37:AF37" si="29">SUM(S10:S12)</f>
        <v>30</v>
      </c>
      <c r="T37" s="16">
        <f t="shared" si="29"/>
        <v>17</v>
      </c>
      <c r="U37" s="16">
        <f t="shared" si="29"/>
        <v>39</v>
      </c>
      <c r="V37" s="16">
        <f t="shared" si="29"/>
        <v>13</v>
      </c>
      <c r="W37" s="16">
        <f t="shared" si="29"/>
        <v>0</v>
      </c>
      <c r="X37" s="16">
        <f t="shared" si="29"/>
        <v>1</v>
      </c>
      <c r="Y37" s="16">
        <f t="shared" si="29"/>
        <v>16</v>
      </c>
      <c r="Z37" s="16">
        <f t="shared" si="29"/>
        <v>16</v>
      </c>
      <c r="AA37" s="16">
        <f t="shared" si="29"/>
        <v>1</v>
      </c>
      <c r="AB37" s="16">
        <f t="shared" si="29"/>
        <v>15</v>
      </c>
      <c r="AC37" s="16">
        <f t="shared" si="29"/>
        <v>512</v>
      </c>
      <c r="AD37" s="16">
        <f t="shared" si="29"/>
        <v>0</v>
      </c>
      <c r="AE37" s="32">
        <f t="shared" si="29"/>
        <v>148</v>
      </c>
      <c r="AF37" s="32">
        <f t="shared" si="29"/>
        <v>660</v>
      </c>
    </row>
    <row r="38" spans="2:32" ht="23.1" customHeight="1" x14ac:dyDescent="0.25">
      <c r="B38" s="46" t="s">
        <v>65</v>
      </c>
      <c r="C38" s="50">
        <v>3</v>
      </c>
      <c r="D38" s="50">
        <v>2</v>
      </c>
      <c r="E38" s="50">
        <v>5</v>
      </c>
      <c r="F38" s="50">
        <v>4</v>
      </c>
      <c r="G38" s="50">
        <v>0</v>
      </c>
      <c r="H38" s="50">
        <v>0</v>
      </c>
      <c r="I38" s="50">
        <v>4</v>
      </c>
      <c r="J38" s="50">
        <v>1</v>
      </c>
      <c r="K38" s="50">
        <v>0</v>
      </c>
      <c r="L38" s="50">
        <v>1</v>
      </c>
      <c r="M38" s="50">
        <v>51</v>
      </c>
      <c r="N38" s="50">
        <v>0</v>
      </c>
      <c r="O38" s="15">
        <f t="shared" si="0"/>
        <v>20</v>
      </c>
      <c r="P38" s="15">
        <f t="shared" si="1"/>
        <v>71</v>
      </c>
      <c r="R38" s="28" t="s">
        <v>86</v>
      </c>
      <c r="S38" s="16">
        <f t="shared" ref="S38:AF38" si="30">SUM(S13:S18)</f>
        <v>81</v>
      </c>
      <c r="T38" s="16">
        <f t="shared" si="30"/>
        <v>37</v>
      </c>
      <c r="U38" s="16">
        <f t="shared" si="30"/>
        <v>88</v>
      </c>
      <c r="V38" s="16">
        <f t="shared" si="30"/>
        <v>40</v>
      </c>
      <c r="W38" s="16">
        <f t="shared" si="30"/>
        <v>0</v>
      </c>
      <c r="X38" s="16">
        <f t="shared" si="30"/>
        <v>9</v>
      </c>
      <c r="Y38" s="16">
        <f t="shared" si="30"/>
        <v>50</v>
      </c>
      <c r="Z38" s="16">
        <f t="shared" si="30"/>
        <v>8</v>
      </c>
      <c r="AA38" s="16">
        <f t="shared" si="30"/>
        <v>0</v>
      </c>
      <c r="AB38" s="16">
        <f t="shared" si="30"/>
        <v>19</v>
      </c>
      <c r="AC38" s="16">
        <f t="shared" si="30"/>
        <v>1006</v>
      </c>
      <c r="AD38" s="16">
        <f t="shared" si="30"/>
        <v>1</v>
      </c>
      <c r="AE38" s="32">
        <f t="shared" si="30"/>
        <v>333</v>
      </c>
      <c r="AF38" s="32">
        <f t="shared" si="30"/>
        <v>1339</v>
      </c>
    </row>
    <row r="39" spans="2:32" ht="23.1" customHeight="1" x14ac:dyDescent="0.25">
      <c r="B39" s="46" t="s">
        <v>66</v>
      </c>
      <c r="C39" s="50">
        <v>5</v>
      </c>
      <c r="D39" s="50">
        <v>3</v>
      </c>
      <c r="E39" s="50">
        <v>6</v>
      </c>
      <c r="F39" s="50">
        <v>2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2</v>
      </c>
      <c r="M39" s="50">
        <v>45</v>
      </c>
      <c r="N39" s="50">
        <v>1</v>
      </c>
      <c r="O39" s="15">
        <f t="shared" si="0"/>
        <v>21</v>
      </c>
      <c r="P39" s="15">
        <f t="shared" si="1"/>
        <v>66</v>
      </c>
      <c r="R39" s="29" t="s">
        <v>87</v>
      </c>
      <c r="S39" s="16">
        <f t="shared" ref="S39:AF39" si="31">SUM(S19:S21)</f>
        <v>70</v>
      </c>
      <c r="T39" s="16">
        <f t="shared" si="31"/>
        <v>18</v>
      </c>
      <c r="U39" s="16">
        <f t="shared" si="31"/>
        <v>41</v>
      </c>
      <c r="V39" s="16">
        <f t="shared" si="31"/>
        <v>18</v>
      </c>
      <c r="W39" s="16">
        <f t="shared" si="31"/>
        <v>8</v>
      </c>
      <c r="X39" s="16">
        <f t="shared" si="31"/>
        <v>13</v>
      </c>
      <c r="Y39" s="16">
        <f t="shared" si="31"/>
        <v>26</v>
      </c>
      <c r="Z39" s="16">
        <f t="shared" si="31"/>
        <v>8</v>
      </c>
      <c r="AA39" s="16">
        <f t="shared" si="31"/>
        <v>1</v>
      </c>
      <c r="AB39" s="16">
        <f t="shared" si="31"/>
        <v>30</v>
      </c>
      <c r="AC39" s="16">
        <f t="shared" si="31"/>
        <v>805</v>
      </c>
      <c r="AD39" s="16">
        <f t="shared" si="31"/>
        <v>1</v>
      </c>
      <c r="AE39" s="32">
        <f t="shared" si="31"/>
        <v>234</v>
      </c>
      <c r="AF39" s="32">
        <f t="shared" si="31"/>
        <v>1039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1</v>
      </c>
      <c r="F40" s="50">
        <v>6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1</v>
      </c>
      <c r="M40" s="50">
        <v>32</v>
      </c>
      <c r="N40" s="50">
        <v>0</v>
      </c>
      <c r="O40" s="15">
        <f t="shared" si="0"/>
        <v>13</v>
      </c>
      <c r="P40" s="15">
        <f t="shared" si="1"/>
        <v>45</v>
      </c>
      <c r="R40" s="5" t="s">
        <v>17</v>
      </c>
      <c r="S40" s="16">
        <f t="shared" ref="S40:AF40" si="32">SUM(S10:S21)</f>
        <v>181</v>
      </c>
      <c r="T40" s="16">
        <f t="shared" si="32"/>
        <v>72</v>
      </c>
      <c r="U40" s="16">
        <f t="shared" si="32"/>
        <v>168</v>
      </c>
      <c r="V40" s="16">
        <f t="shared" si="32"/>
        <v>71</v>
      </c>
      <c r="W40" s="16">
        <f t="shared" si="32"/>
        <v>8</v>
      </c>
      <c r="X40" s="16">
        <f t="shared" si="32"/>
        <v>23</v>
      </c>
      <c r="Y40" s="16">
        <f t="shared" si="32"/>
        <v>92</v>
      </c>
      <c r="Z40" s="16">
        <f t="shared" si="32"/>
        <v>32</v>
      </c>
      <c r="AA40" s="16">
        <f t="shared" si="32"/>
        <v>2</v>
      </c>
      <c r="AB40" s="16">
        <f t="shared" si="32"/>
        <v>64</v>
      </c>
      <c r="AC40" s="16">
        <f t="shared" si="32"/>
        <v>2323</v>
      </c>
      <c r="AD40" s="16">
        <f t="shared" si="32"/>
        <v>2</v>
      </c>
      <c r="AE40" s="32">
        <f t="shared" si="32"/>
        <v>715</v>
      </c>
      <c r="AF40" s="32">
        <f t="shared" si="32"/>
        <v>3038</v>
      </c>
    </row>
    <row r="41" spans="2:32" ht="23.1" customHeight="1" x14ac:dyDescent="0.25">
      <c r="B41" s="45" t="s">
        <v>68</v>
      </c>
      <c r="C41" s="50">
        <v>8</v>
      </c>
      <c r="D41" s="50">
        <v>3</v>
      </c>
      <c r="E41" s="50">
        <v>7</v>
      </c>
      <c r="F41" s="50">
        <v>3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1</v>
      </c>
      <c r="M41" s="50">
        <v>45</v>
      </c>
      <c r="N41" s="50">
        <v>0</v>
      </c>
      <c r="O41" s="15">
        <f t="shared" si="0"/>
        <v>25</v>
      </c>
      <c r="P41" s="15">
        <f t="shared" si="1"/>
        <v>70</v>
      </c>
      <c r="R41" s="5" t="s">
        <v>159</v>
      </c>
      <c r="S41" s="16">
        <f>SUM(S10:S33)</f>
        <v>333</v>
      </c>
      <c r="T41" s="16">
        <f t="shared" ref="T41:AF41" si="33">SUM(T10:T33)</f>
        <v>186</v>
      </c>
      <c r="U41" s="16">
        <f t="shared" si="33"/>
        <v>419</v>
      </c>
      <c r="V41" s="16">
        <f t="shared" si="33"/>
        <v>163</v>
      </c>
      <c r="W41" s="16">
        <f t="shared" si="33"/>
        <v>12</v>
      </c>
      <c r="X41" s="16">
        <f t="shared" si="33"/>
        <v>42</v>
      </c>
      <c r="Y41" s="16">
        <f t="shared" si="33"/>
        <v>208</v>
      </c>
      <c r="Z41" s="16">
        <f t="shared" si="33"/>
        <v>62</v>
      </c>
      <c r="AA41" s="16">
        <f t="shared" si="33"/>
        <v>5</v>
      </c>
      <c r="AB41" s="16">
        <f t="shared" si="33"/>
        <v>129</v>
      </c>
      <c r="AC41" s="16">
        <f t="shared" si="33"/>
        <v>3150</v>
      </c>
      <c r="AD41" s="16">
        <f t="shared" si="33"/>
        <v>2</v>
      </c>
      <c r="AE41" s="32">
        <f t="shared" si="33"/>
        <v>1561</v>
      </c>
      <c r="AF41" s="32">
        <f t="shared" si="33"/>
        <v>4711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1</v>
      </c>
      <c r="F42" s="50">
        <v>0</v>
      </c>
      <c r="G42" s="50">
        <v>0</v>
      </c>
      <c r="H42" s="50">
        <v>1</v>
      </c>
      <c r="I42" s="50">
        <v>1</v>
      </c>
      <c r="J42" s="50">
        <v>0</v>
      </c>
      <c r="K42" s="50">
        <v>0</v>
      </c>
      <c r="L42" s="50">
        <v>2</v>
      </c>
      <c r="M42" s="50">
        <v>50</v>
      </c>
      <c r="N42" s="50">
        <v>0</v>
      </c>
      <c r="O42" s="15">
        <f t="shared" si="0"/>
        <v>7</v>
      </c>
      <c r="P42" s="15">
        <f t="shared" si="1"/>
        <v>57</v>
      </c>
      <c r="R42" s="5" t="s">
        <v>160</v>
      </c>
      <c r="S42" s="48">
        <f>S41/S40</f>
        <v>1.839779005524862</v>
      </c>
      <c r="T42" s="48">
        <f t="shared" ref="T42:AF42" si="34">T41/T40</f>
        <v>2.5833333333333335</v>
      </c>
      <c r="U42" s="48">
        <f t="shared" si="34"/>
        <v>2.4940476190476191</v>
      </c>
      <c r="V42" s="48">
        <f t="shared" si="34"/>
        <v>2.295774647887324</v>
      </c>
      <c r="W42" s="48">
        <f t="shared" si="34"/>
        <v>1.5</v>
      </c>
      <c r="X42" s="48">
        <f t="shared" si="34"/>
        <v>1.826086956521739</v>
      </c>
      <c r="Y42" s="48">
        <f t="shared" si="34"/>
        <v>2.2608695652173911</v>
      </c>
      <c r="Z42" s="48">
        <f t="shared" si="34"/>
        <v>1.9375</v>
      </c>
      <c r="AA42" s="48">
        <f t="shared" si="34"/>
        <v>2.5</v>
      </c>
      <c r="AB42" s="48">
        <f t="shared" si="34"/>
        <v>2.015625</v>
      </c>
      <c r="AC42" s="48">
        <f t="shared" si="34"/>
        <v>1.3560051657339647</v>
      </c>
      <c r="AD42" s="48">
        <f t="shared" si="34"/>
        <v>1</v>
      </c>
      <c r="AE42" s="48">
        <f t="shared" si="34"/>
        <v>2.1832167832167833</v>
      </c>
      <c r="AF42" s="48">
        <f t="shared" si="34"/>
        <v>1.5506912442396312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1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4</v>
      </c>
      <c r="P43" s="15">
        <f t="shared" si="1"/>
        <v>69</v>
      </c>
    </row>
    <row r="44" spans="2:32" ht="23.1" customHeight="1" x14ac:dyDescent="0.25">
      <c r="B44" s="47" t="s">
        <v>71</v>
      </c>
      <c r="C44" s="50">
        <v>2</v>
      </c>
      <c r="D44" s="50">
        <v>1</v>
      </c>
      <c r="E44" s="50">
        <v>3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61</v>
      </c>
      <c r="N44" s="50">
        <v>0</v>
      </c>
      <c r="O44" s="15">
        <f t="shared" si="0"/>
        <v>9</v>
      </c>
      <c r="P44" s="15">
        <f t="shared" si="1"/>
        <v>70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49</v>
      </c>
      <c r="N45" s="50">
        <v>0</v>
      </c>
      <c r="O45" s="15">
        <f t="shared" si="0"/>
        <v>7</v>
      </c>
      <c r="P45" s="15">
        <f t="shared" si="1"/>
        <v>56</v>
      </c>
    </row>
    <row r="46" spans="2:32" ht="23.1" customHeight="1" x14ac:dyDescent="0.25">
      <c r="B46" s="46" t="s">
        <v>73</v>
      </c>
      <c r="C46" s="50">
        <v>3</v>
      </c>
      <c r="D46" s="50">
        <v>2</v>
      </c>
      <c r="E46" s="50">
        <v>4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2</v>
      </c>
      <c r="M46" s="50">
        <v>52</v>
      </c>
      <c r="N46" s="50">
        <v>1</v>
      </c>
      <c r="O46" s="15">
        <f t="shared" si="0"/>
        <v>13</v>
      </c>
      <c r="P46" s="15">
        <f t="shared" si="1"/>
        <v>65</v>
      </c>
      <c r="R46" s="8"/>
      <c r="T46"/>
    </row>
    <row r="47" spans="2:32" ht="23.1" customHeight="1" x14ac:dyDescent="0.25">
      <c r="B47" s="46" t="s">
        <v>74</v>
      </c>
      <c r="C47" s="50">
        <v>14</v>
      </c>
      <c r="D47" s="50">
        <v>4</v>
      </c>
      <c r="E47" s="50">
        <v>8</v>
      </c>
      <c r="F47" s="50">
        <v>4</v>
      </c>
      <c r="G47" s="50">
        <v>1</v>
      </c>
      <c r="H47" s="50">
        <v>1</v>
      </c>
      <c r="I47" s="50">
        <v>1</v>
      </c>
      <c r="J47" s="50">
        <v>0</v>
      </c>
      <c r="K47" s="50">
        <v>1</v>
      </c>
      <c r="L47" s="50">
        <v>4</v>
      </c>
      <c r="M47" s="50">
        <v>75</v>
      </c>
      <c r="N47" s="50">
        <v>0</v>
      </c>
      <c r="O47" s="15">
        <f t="shared" si="0"/>
        <v>38</v>
      </c>
      <c r="P47" s="15">
        <f t="shared" si="1"/>
        <v>113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1</v>
      </c>
      <c r="E48" s="50">
        <v>3</v>
      </c>
      <c r="F48" s="50">
        <v>5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70</v>
      </c>
      <c r="N48" s="50">
        <v>0</v>
      </c>
      <c r="O48" s="15">
        <f t="shared" si="0"/>
        <v>19</v>
      </c>
      <c r="P48" s="15">
        <f t="shared" si="1"/>
        <v>89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1</v>
      </c>
      <c r="E49" s="50">
        <v>3</v>
      </c>
      <c r="F49" s="50">
        <v>2</v>
      </c>
      <c r="G49" s="50">
        <v>0</v>
      </c>
      <c r="H49" s="50">
        <v>2</v>
      </c>
      <c r="I49" s="50">
        <v>3</v>
      </c>
      <c r="J49" s="50">
        <v>0</v>
      </c>
      <c r="K49" s="50">
        <v>0</v>
      </c>
      <c r="L49" s="50">
        <v>1</v>
      </c>
      <c r="M49" s="50">
        <v>76</v>
      </c>
      <c r="N49" s="50">
        <v>0</v>
      </c>
      <c r="O49" s="15">
        <f t="shared" si="0"/>
        <v>18</v>
      </c>
      <c r="P49" s="15">
        <f t="shared" si="1"/>
        <v>94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1</v>
      </c>
      <c r="E50" s="50">
        <v>2</v>
      </c>
      <c r="F50" s="50">
        <v>3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1</v>
      </c>
      <c r="M50" s="50">
        <v>62</v>
      </c>
      <c r="N50" s="50">
        <v>0</v>
      </c>
      <c r="O50" s="15">
        <f t="shared" si="0"/>
        <v>15</v>
      </c>
      <c r="P50" s="15">
        <f t="shared" si="1"/>
        <v>77</v>
      </c>
      <c r="R50" s="8"/>
      <c r="T50"/>
    </row>
    <row r="51" spans="2:20" ht="23.1" customHeight="1" x14ac:dyDescent="0.25">
      <c r="B51" s="46" t="s">
        <v>78</v>
      </c>
      <c r="C51" s="50">
        <v>14</v>
      </c>
      <c r="D51" s="50">
        <v>3</v>
      </c>
      <c r="E51" s="50">
        <v>7</v>
      </c>
      <c r="F51" s="50">
        <v>3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3</v>
      </c>
      <c r="M51" s="50">
        <v>75</v>
      </c>
      <c r="N51" s="50">
        <v>0</v>
      </c>
      <c r="O51" s="15">
        <f t="shared" si="0"/>
        <v>31</v>
      </c>
      <c r="P51" s="15">
        <f t="shared" si="1"/>
        <v>106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2</v>
      </c>
      <c r="E52" s="50">
        <v>4</v>
      </c>
      <c r="F52" s="50">
        <v>1</v>
      </c>
      <c r="G52" s="50">
        <v>1</v>
      </c>
      <c r="H52" s="50">
        <v>2</v>
      </c>
      <c r="I52" s="50">
        <v>1</v>
      </c>
      <c r="J52" s="50">
        <v>0</v>
      </c>
      <c r="K52" s="50">
        <v>0</v>
      </c>
      <c r="L52" s="50">
        <v>6</v>
      </c>
      <c r="M52" s="50">
        <v>78</v>
      </c>
      <c r="N52" s="50">
        <v>0</v>
      </c>
      <c r="O52" s="15">
        <f t="shared" si="0"/>
        <v>20</v>
      </c>
      <c r="P52" s="15">
        <f t="shared" si="1"/>
        <v>98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2</v>
      </c>
      <c r="F53" s="50">
        <v>0</v>
      </c>
      <c r="G53" s="50">
        <v>1</v>
      </c>
      <c r="H53" s="50">
        <v>3</v>
      </c>
      <c r="I53" s="50">
        <v>5</v>
      </c>
      <c r="J53" s="50">
        <v>2</v>
      </c>
      <c r="K53" s="50">
        <v>0</v>
      </c>
      <c r="L53" s="50">
        <v>3</v>
      </c>
      <c r="M53" s="50">
        <v>60</v>
      </c>
      <c r="N53" s="50">
        <v>0</v>
      </c>
      <c r="O53" s="15">
        <f t="shared" si="0"/>
        <v>17</v>
      </c>
      <c r="P53" s="15">
        <f t="shared" si="1"/>
        <v>77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3</v>
      </c>
      <c r="M54" s="50">
        <v>75</v>
      </c>
      <c r="N54" s="50">
        <v>0</v>
      </c>
      <c r="O54" s="15">
        <f t="shared" si="0"/>
        <v>9</v>
      </c>
      <c r="P54" s="15">
        <f t="shared" si="1"/>
        <v>84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2</v>
      </c>
      <c r="E55" s="50">
        <v>5</v>
      </c>
      <c r="F55" s="50">
        <v>0</v>
      </c>
      <c r="G55" s="50">
        <v>2</v>
      </c>
      <c r="H55" s="50">
        <v>3</v>
      </c>
      <c r="I55" s="50">
        <v>4</v>
      </c>
      <c r="J55" s="50">
        <v>3</v>
      </c>
      <c r="K55" s="50">
        <v>0</v>
      </c>
      <c r="L55" s="50">
        <v>3</v>
      </c>
      <c r="M55" s="50">
        <v>70</v>
      </c>
      <c r="N55" s="50">
        <v>0</v>
      </c>
      <c r="O55" s="15">
        <f t="shared" si="0"/>
        <v>22</v>
      </c>
      <c r="P55" s="15">
        <f t="shared" si="1"/>
        <v>92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1</v>
      </c>
      <c r="E56" s="50">
        <v>3</v>
      </c>
      <c r="F56" s="50">
        <v>0</v>
      </c>
      <c r="G56" s="50">
        <v>0</v>
      </c>
      <c r="H56" s="50">
        <v>2</v>
      </c>
      <c r="I56" s="50">
        <v>1</v>
      </c>
      <c r="J56" s="50">
        <v>1</v>
      </c>
      <c r="K56" s="50">
        <v>0</v>
      </c>
      <c r="L56" s="50">
        <v>2</v>
      </c>
      <c r="M56" s="50">
        <v>57</v>
      </c>
      <c r="N56" s="50">
        <v>0</v>
      </c>
      <c r="O56" s="15">
        <f t="shared" si="0"/>
        <v>10</v>
      </c>
      <c r="P56" s="15">
        <f t="shared" si="1"/>
        <v>67</v>
      </c>
      <c r="R56" s="8"/>
      <c r="T56"/>
    </row>
    <row r="57" spans="2:20" ht="23.1" customHeight="1" x14ac:dyDescent="0.25">
      <c r="B57" s="45" t="s">
        <v>84</v>
      </c>
      <c r="C57" s="50">
        <v>15</v>
      </c>
      <c r="D57" s="50">
        <v>0</v>
      </c>
      <c r="E57" s="50">
        <v>0</v>
      </c>
      <c r="F57" s="50">
        <v>0</v>
      </c>
      <c r="G57" s="50">
        <v>1</v>
      </c>
      <c r="H57" s="50">
        <v>0</v>
      </c>
      <c r="I57" s="50">
        <v>5</v>
      </c>
      <c r="J57" s="50">
        <v>0</v>
      </c>
      <c r="K57" s="50">
        <v>0</v>
      </c>
      <c r="L57" s="50">
        <v>1</v>
      </c>
      <c r="M57" s="50">
        <v>55</v>
      </c>
      <c r="N57" s="50">
        <v>0</v>
      </c>
      <c r="O57" s="15">
        <f t="shared" si="0"/>
        <v>22</v>
      </c>
      <c r="P57" s="15">
        <f t="shared" si="1"/>
        <v>77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2</v>
      </c>
      <c r="E58" s="50">
        <v>5</v>
      </c>
      <c r="F58" s="50">
        <v>4</v>
      </c>
      <c r="G58" s="50">
        <v>1</v>
      </c>
      <c r="H58" s="50">
        <v>3</v>
      </c>
      <c r="I58" s="50">
        <v>4</v>
      </c>
      <c r="J58" s="50">
        <v>1</v>
      </c>
      <c r="K58" s="50">
        <v>1</v>
      </c>
      <c r="L58" s="50">
        <v>3</v>
      </c>
      <c r="M58" s="50">
        <v>55</v>
      </c>
      <c r="N58" s="50">
        <v>0</v>
      </c>
      <c r="O58" s="15">
        <f t="shared" si="0"/>
        <v>28</v>
      </c>
      <c r="P58" s="15">
        <f t="shared" si="1"/>
        <v>83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2</v>
      </c>
      <c r="E59" s="50">
        <v>5</v>
      </c>
      <c r="F59" s="50">
        <v>2</v>
      </c>
      <c r="G59" s="50">
        <v>0</v>
      </c>
      <c r="H59" s="50">
        <v>0</v>
      </c>
      <c r="I59" s="50">
        <v>0</v>
      </c>
      <c r="J59" s="50">
        <v>1</v>
      </c>
      <c r="K59" s="50">
        <v>1</v>
      </c>
      <c r="L59" s="50">
        <v>4</v>
      </c>
      <c r="M59" s="50">
        <v>57</v>
      </c>
      <c r="N59" s="50">
        <v>0</v>
      </c>
      <c r="O59" s="15">
        <f t="shared" si="0"/>
        <v>18</v>
      </c>
      <c r="P59" s="15">
        <f t="shared" si="1"/>
        <v>75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1</v>
      </c>
      <c r="E60" s="50">
        <v>2</v>
      </c>
      <c r="F60" s="50">
        <v>0</v>
      </c>
      <c r="G60" s="50">
        <v>0</v>
      </c>
      <c r="H60" s="50">
        <v>1</v>
      </c>
      <c r="I60" s="50">
        <v>0</v>
      </c>
      <c r="J60" s="50">
        <v>1</v>
      </c>
      <c r="K60" s="50">
        <v>0</v>
      </c>
      <c r="L60" s="50">
        <v>1</v>
      </c>
      <c r="M60" s="50">
        <v>42</v>
      </c>
      <c r="N60" s="50">
        <v>0</v>
      </c>
      <c r="O60" s="15">
        <f t="shared" si="0"/>
        <v>6</v>
      </c>
      <c r="P60" s="15">
        <f t="shared" si="1"/>
        <v>48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1</v>
      </c>
      <c r="E61" s="50">
        <v>2</v>
      </c>
      <c r="F61" s="50">
        <v>1</v>
      </c>
      <c r="G61" s="50">
        <v>0</v>
      </c>
      <c r="H61" s="50">
        <v>0</v>
      </c>
      <c r="I61" s="50">
        <v>0</v>
      </c>
      <c r="J61" s="50">
        <v>3</v>
      </c>
      <c r="K61" s="50">
        <v>0</v>
      </c>
      <c r="L61" s="50">
        <v>2</v>
      </c>
      <c r="M61" s="50">
        <v>41</v>
      </c>
      <c r="N61" s="50">
        <v>0</v>
      </c>
      <c r="O61" s="15">
        <f t="shared" si="0"/>
        <v>10</v>
      </c>
      <c r="P61" s="15">
        <f t="shared" si="1"/>
        <v>51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1</v>
      </c>
      <c r="E62" s="50">
        <v>3</v>
      </c>
      <c r="F62" s="50">
        <v>5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1</v>
      </c>
      <c r="M62" s="50">
        <v>45</v>
      </c>
      <c r="N62" s="50">
        <v>0</v>
      </c>
      <c r="O62" s="15">
        <f t="shared" si="0"/>
        <v>12</v>
      </c>
      <c r="P62" s="15">
        <f t="shared" si="1"/>
        <v>57</v>
      </c>
      <c r="R62" s="8"/>
      <c r="T62"/>
    </row>
    <row r="63" spans="2:20" ht="23.1" customHeight="1" x14ac:dyDescent="0.25">
      <c r="B63" s="45" t="s">
        <v>108</v>
      </c>
      <c r="C63" s="50">
        <v>3</v>
      </c>
      <c r="D63" s="50">
        <v>2</v>
      </c>
      <c r="E63" s="50">
        <v>5</v>
      </c>
      <c r="F63" s="50">
        <v>0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4</v>
      </c>
      <c r="M63" s="50">
        <v>43</v>
      </c>
      <c r="N63" s="50">
        <v>0</v>
      </c>
      <c r="O63" s="15">
        <f t="shared" si="0"/>
        <v>15</v>
      </c>
      <c r="P63" s="15">
        <f t="shared" si="1"/>
        <v>58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1</v>
      </c>
      <c r="E64" s="50">
        <v>3</v>
      </c>
      <c r="F64" s="50">
        <v>2</v>
      </c>
      <c r="G64" s="50">
        <v>1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41</v>
      </c>
      <c r="N64" s="50">
        <v>0</v>
      </c>
      <c r="O64" s="15">
        <f t="shared" si="0"/>
        <v>13</v>
      </c>
      <c r="P64" s="15">
        <f t="shared" si="1"/>
        <v>54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2</v>
      </c>
      <c r="E65" s="50">
        <v>4</v>
      </c>
      <c r="F65" s="50">
        <v>1</v>
      </c>
      <c r="G65" s="50">
        <v>0</v>
      </c>
      <c r="H65" s="50">
        <v>0</v>
      </c>
      <c r="I65" s="50">
        <v>1</v>
      </c>
      <c r="J65" s="50">
        <v>2</v>
      </c>
      <c r="K65" s="50">
        <v>0</v>
      </c>
      <c r="L65" s="50">
        <v>3</v>
      </c>
      <c r="M65" s="50">
        <v>42</v>
      </c>
      <c r="N65" s="50">
        <v>0</v>
      </c>
      <c r="O65" s="15">
        <f t="shared" si="0"/>
        <v>16</v>
      </c>
      <c r="P65" s="15">
        <f t="shared" si="1"/>
        <v>58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4</v>
      </c>
      <c r="F66" s="50">
        <v>1</v>
      </c>
      <c r="G66" s="50">
        <v>0</v>
      </c>
      <c r="H66" s="50">
        <v>0</v>
      </c>
      <c r="I66" s="50">
        <v>3</v>
      </c>
      <c r="J66" s="50">
        <v>2</v>
      </c>
      <c r="K66" s="50">
        <v>0</v>
      </c>
      <c r="L66" s="50">
        <v>0</v>
      </c>
      <c r="M66" s="50">
        <v>43</v>
      </c>
      <c r="N66" s="50">
        <v>0</v>
      </c>
      <c r="O66" s="15">
        <f t="shared" si="0"/>
        <v>15</v>
      </c>
      <c r="P66" s="15">
        <f t="shared" si="1"/>
        <v>58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2</v>
      </c>
      <c r="E67" s="50">
        <v>4</v>
      </c>
      <c r="F67" s="50">
        <v>1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1</v>
      </c>
      <c r="M67" s="50">
        <v>43</v>
      </c>
      <c r="N67" s="50">
        <v>0</v>
      </c>
      <c r="O67" s="15">
        <f t="shared" si="0"/>
        <v>12</v>
      </c>
      <c r="P67" s="15">
        <f t="shared" si="1"/>
        <v>55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2</v>
      </c>
      <c r="E68" s="50">
        <v>4</v>
      </c>
      <c r="F68" s="50">
        <v>0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1</v>
      </c>
      <c r="M68" s="50">
        <v>44</v>
      </c>
      <c r="N68" s="50">
        <v>0</v>
      </c>
      <c r="O68" s="15">
        <f t="shared" si="0"/>
        <v>16</v>
      </c>
      <c r="P68" s="15">
        <f t="shared" si="1"/>
        <v>60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2</v>
      </c>
      <c r="E69" s="50">
        <v>5</v>
      </c>
      <c r="F69" s="50">
        <v>2</v>
      </c>
      <c r="G69" s="50">
        <v>0</v>
      </c>
      <c r="H69" s="50">
        <v>0</v>
      </c>
      <c r="I69" s="50">
        <v>0</v>
      </c>
      <c r="J69" s="50">
        <v>3</v>
      </c>
      <c r="K69" s="50">
        <v>0</v>
      </c>
      <c r="L69" s="50">
        <v>0</v>
      </c>
      <c r="M69" s="50">
        <v>38</v>
      </c>
      <c r="N69" s="50">
        <v>0</v>
      </c>
      <c r="O69" s="15">
        <f t="shared" si="0"/>
        <v>15</v>
      </c>
      <c r="P69" s="15">
        <f t="shared" si="1"/>
        <v>53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2</v>
      </c>
      <c r="E70" s="50">
        <v>5</v>
      </c>
      <c r="F70" s="50">
        <v>2</v>
      </c>
      <c r="G70" s="50">
        <v>0</v>
      </c>
      <c r="H70" s="50">
        <v>0</v>
      </c>
      <c r="I70" s="50">
        <v>3</v>
      </c>
      <c r="J70" s="50">
        <v>1</v>
      </c>
      <c r="K70" s="50">
        <v>0</v>
      </c>
      <c r="L70" s="50">
        <v>0</v>
      </c>
      <c r="M70" s="50">
        <v>25</v>
      </c>
      <c r="N70" s="50">
        <v>0</v>
      </c>
      <c r="O70" s="15">
        <f t="shared" si="0"/>
        <v>16</v>
      </c>
      <c r="P70" s="15">
        <f t="shared" si="1"/>
        <v>41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3</v>
      </c>
      <c r="E71" s="50">
        <v>7</v>
      </c>
      <c r="F71" s="50">
        <v>1</v>
      </c>
      <c r="G71" s="50">
        <v>0</v>
      </c>
      <c r="H71" s="50">
        <v>0</v>
      </c>
      <c r="I71" s="50">
        <v>3</v>
      </c>
      <c r="J71" s="50">
        <v>3</v>
      </c>
      <c r="K71" s="50">
        <v>0</v>
      </c>
      <c r="L71" s="50">
        <v>2</v>
      </c>
      <c r="M71" s="50">
        <v>28</v>
      </c>
      <c r="N71" s="50">
        <v>0</v>
      </c>
      <c r="O71" s="15">
        <f t="shared" si="0"/>
        <v>22</v>
      </c>
      <c r="P71" s="15">
        <f t="shared" si="1"/>
        <v>50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1</v>
      </c>
      <c r="E72" s="50">
        <v>2</v>
      </c>
      <c r="F72" s="50">
        <v>2</v>
      </c>
      <c r="G72" s="50">
        <v>0</v>
      </c>
      <c r="H72" s="50">
        <v>0</v>
      </c>
      <c r="I72" s="50">
        <v>4</v>
      </c>
      <c r="J72" s="50">
        <v>0</v>
      </c>
      <c r="K72" s="50">
        <v>0</v>
      </c>
      <c r="L72" s="50">
        <v>1</v>
      </c>
      <c r="M72" s="50">
        <v>26</v>
      </c>
      <c r="N72" s="50">
        <v>0</v>
      </c>
      <c r="O72" s="15">
        <f t="shared" si="0"/>
        <v>13</v>
      </c>
      <c r="P72" s="15">
        <f t="shared" si="1"/>
        <v>39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3</v>
      </c>
      <c r="E73" s="50">
        <v>6</v>
      </c>
      <c r="F73" s="50">
        <v>0</v>
      </c>
      <c r="G73" s="50">
        <v>0</v>
      </c>
      <c r="H73" s="50">
        <v>0</v>
      </c>
      <c r="I73" s="50">
        <v>3</v>
      </c>
      <c r="J73" s="50">
        <v>0</v>
      </c>
      <c r="K73" s="50">
        <v>0</v>
      </c>
      <c r="L73" s="50">
        <v>2</v>
      </c>
      <c r="M73" s="50">
        <v>25</v>
      </c>
      <c r="N73" s="50">
        <v>0</v>
      </c>
      <c r="O73" s="15">
        <f t="shared" si="0"/>
        <v>17</v>
      </c>
      <c r="P73" s="15">
        <f t="shared" si="1"/>
        <v>42</v>
      </c>
      <c r="R73" s="8"/>
      <c r="T73"/>
    </row>
    <row r="74" spans="2:20" ht="23.1" customHeight="1" x14ac:dyDescent="0.25">
      <c r="B74" s="45" t="s">
        <v>114</v>
      </c>
      <c r="C74" s="50">
        <v>6</v>
      </c>
      <c r="D74" s="50">
        <v>1</v>
      </c>
      <c r="E74" s="50">
        <v>2</v>
      </c>
      <c r="F74" s="50">
        <v>2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21</v>
      </c>
      <c r="N74" s="50">
        <v>0</v>
      </c>
      <c r="O74" s="15">
        <f t="shared" ref="O74:O105" si="35">SUM(C74:L74,N74)</f>
        <v>14</v>
      </c>
      <c r="P74" s="15">
        <f t="shared" ref="P74:P105" si="36">SUM(C74:N74)</f>
        <v>35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1</v>
      </c>
      <c r="E75" s="50">
        <v>3</v>
      </c>
      <c r="F75" s="50">
        <v>0</v>
      </c>
      <c r="G75" s="50">
        <v>0</v>
      </c>
      <c r="H75" s="50">
        <v>0</v>
      </c>
      <c r="I75" s="50">
        <v>3</v>
      </c>
      <c r="J75" s="50">
        <v>2</v>
      </c>
      <c r="K75" s="50">
        <v>0</v>
      </c>
      <c r="L75" s="50">
        <v>2</v>
      </c>
      <c r="M75" s="50">
        <v>15</v>
      </c>
      <c r="N75" s="50">
        <v>0</v>
      </c>
      <c r="O75" s="15">
        <f t="shared" si="35"/>
        <v>12</v>
      </c>
      <c r="P75" s="15">
        <f t="shared" si="36"/>
        <v>27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1</v>
      </c>
      <c r="E76" s="50">
        <v>2</v>
      </c>
      <c r="F76" s="50">
        <v>3</v>
      </c>
      <c r="G76" s="50">
        <v>0</v>
      </c>
      <c r="H76" s="50">
        <v>1</v>
      </c>
      <c r="I76" s="50">
        <v>1</v>
      </c>
      <c r="J76" s="50">
        <v>1</v>
      </c>
      <c r="K76" s="50">
        <v>0</v>
      </c>
      <c r="L76" s="50">
        <v>0</v>
      </c>
      <c r="M76" s="50">
        <v>13</v>
      </c>
      <c r="N76" s="50">
        <v>0</v>
      </c>
      <c r="O76" s="15">
        <f t="shared" si="35"/>
        <v>10</v>
      </c>
      <c r="P76" s="15">
        <f t="shared" si="36"/>
        <v>23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6</v>
      </c>
      <c r="E77" s="50">
        <v>13</v>
      </c>
      <c r="F77" s="50">
        <v>2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1</v>
      </c>
      <c r="M77" s="50">
        <v>12</v>
      </c>
      <c r="N77" s="50">
        <v>0</v>
      </c>
      <c r="O77" s="15">
        <f t="shared" si="35"/>
        <v>27</v>
      </c>
      <c r="P77" s="15">
        <f t="shared" si="36"/>
        <v>39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1</v>
      </c>
      <c r="E78" s="50">
        <v>3</v>
      </c>
      <c r="F78" s="50">
        <v>3</v>
      </c>
      <c r="G78" s="50">
        <v>0</v>
      </c>
      <c r="H78" s="50">
        <v>1</v>
      </c>
      <c r="I78" s="50">
        <v>3</v>
      </c>
      <c r="J78" s="50">
        <v>1</v>
      </c>
      <c r="K78" s="50">
        <v>0</v>
      </c>
      <c r="L78" s="50">
        <v>0</v>
      </c>
      <c r="M78" s="50">
        <v>14</v>
      </c>
      <c r="N78" s="50">
        <v>0</v>
      </c>
      <c r="O78" s="15">
        <f t="shared" si="35"/>
        <v>17</v>
      </c>
      <c r="P78" s="15">
        <f t="shared" si="36"/>
        <v>31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2</v>
      </c>
      <c r="E79" s="50">
        <v>4</v>
      </c>
      <c r="F79" s="50">
        <v>1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1</v>
      </c>
      <c r="M79" s="50">
        <v>16</v>
      </c>
      <c r="N79" s="50">
        <v>0</v>
      </c>
      <c r="O79" s="15">
        <f t="shared" si="35"/>
        <v>11</v>
      </c>
      <c r="P79" s="15">
        <f t="shared" si="36"/>
        <v>27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3</v>
      </c>
      <c r="E80" s="50">
        <v>6</v>
      </c>
      <c r="F80" s="50">
        <v>0</v>
      </c>
      <c r="G80" s="50">
        <v>0</v>
      </c>
      <c r="H80" s="50">
        <v>0</v>
      </c>
      <c r="I80" s="50">
        <v>3</v>
      </c>
      <c r="J80" s="50">
        <v>0</v>
      </c>
      <c r="K80" s="50">
        <v>0</v>
      </c>
      <c r="L80" s="50">
        <v>1</v>
      </c>
      <c r="M80" s="50">
        <v>11</v>
      </c>
      <c r="N80" s="50">
        <v>0</v>
      </c>
      <c r="O80" s="15">
        <f t="shared" si="35"/>
        <v>16</v>
      </c>
      <c r="P80" s="15">
        <f t="shared" si="36"/>
        <v>27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1</v>
      </c>
      <c r="E81" s="50">
        <v>2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15</v>
      </c>
      <c r="N81" s="50">
        <v>0</v>
      </c>
      <c r="O81" s="15">
        <f t="shared" si="35"/>
        <v>10</v>
      </c>
      <c r="P81" s="15">
        <f t="shared" si="36"/>
        <v>25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2</v>
      </c>
      <c r="E82" s="50">
        <v>4</v>
      </c>
      <c r="F82" s="50">
        <v>1</v>
      </c>
      <c r="G82" s="50">
        <v>0</v>
      </c>
      <c r="H82" s="50">
        <v>1</v>
      </c>
      <c r="I82" s="50">
        <v>3</v>
      </c>
      <c r="J82" s="50">
        <v>0</v>
      </c>
      <c r="K82" s="50">
        <v>0</v>
      </c>
      <c r="L82" s="50">
        <v>3</v>
      </c>
      <c r="M82" s="50">
        <v>8</v>
      </c>
      <c r="N82" s="50">
        <v>0</v>
      </c>
      <c r="O82" s="15">
        <f t="shared" si="35"/>
        <v>17</v>
      </c>
      <c r="P82" s="15">
        <f t="shared" si="36"/>
        <v>25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2</v>
      </c>
      <c r="M83" s="50">
        <v>9</v>
      </c>
      <c r="N83" s="50">
        <v>0</v>
      </c>
      <c r="O83" s="15">
        <f t="shared" si="35"/>
        <v>5</v>
      </c>
      <c r="P83" s="15">
        <f t="shared" si="36"/>
        <v>14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2</v>
      </c>
      <c r="E84" s="50">
        <v>5</v>
      </c>
      <c r="F84" s="50">
        <v>2</v>
      </c>
      <c r="G84" s="50">
        <v>1</v>
      </c>
      <c r="H84" s="50">
        <v>0</v>
      </c>
      <c r="I84" s="50">
        <v>1</v>
      </c>
      <c r="J84" s="50">
        <v>1</v>
      </c>
      <c r="K84" s="50">
        <v>0</v>
      </c>
      <c r="L84" s="50">
        <v>3</v>
      </c>
      <c r="M84" s="50">
        <v>5</v>
      </c>
      <c r="N84" s="50">
        <v>0</v>
      </c>
      <c r="O84" s="15">
        <f t="shared" si="35"/>
        <v>17</v>
      </c>
      <c r="P84" s="15">
        <f t="shared" si="36"/>
        <v>22</v>
      </c>
      <c r="R84" s="8"/>
      <c r="T84"/>
    </row>
    <row r="85" spans="2:20" ht="23.1" customHeight="1" x14ac:dyDescent="0.25">
      <c r="B85" s="45" t="s">
        <v>125</v>
      </c>
      <c r="C85" s="50">
        <v>5</v>
      </c>
      <c r="D85" s="50">
        <v>2</v>
      </c>
      <c r="E85" s="50">
        <v>4</v>
      </c>
      <c r="F85" s="50">
        <v>2</v>
      </c>
      <c r="G85" s="50">
        <v>0</v>
      </c>
      <c r="H85" s="50">
        <v>1</v>
      </c>
      <c r="I85" s="50">
        <v>1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15</v>
      </c>
      <c r="P85" s="15">
        <f t="shared" si="36"/>
        <v>17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1</v>
      </c>
      <c r="E86" s="50">
        <v>3</v>
      </c>
      <c r="F86" s="50">
        <v>3</v>
      </c>
      <c r="G86" s="50">
        <v>0</v>
      </c>
      <c r="H86" s="50">
        <v>0</v>
      </c>
      <c r="I86" s="50">
        <v>2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14</v>
      </c>
      <c r="P86" s="15">
        <f t="shared" si="36"/>
        <v>14</v>
      </c>
      <c r="R86" s="8"/>
      <c r="T86"/>
    </row>
    <row r="87" spans="2:20" ht="23.1" customHeight="1" x14ac:dyDescent="0.25">
      <c r="B87" s="45" t="s">
        <v>127</v>
      </c>
      <c r="C87" s="50">
        <v>3</v>
      </c>
      <c r="D87" s="50">
        <v>2</v>
      </c>
      <c r="E87" s="50">
        <v>4</v>
      </c>
      <c r="F87" s="50">
        <v>3</v>
      </c>
      <c r="G87" s="50">
        <v>0</v>
      </c>
      <c r="H87" s="50">
        <v>1</v>
      </c>
      <c r="I87" s="50">
        <v>3</v>
      </c>
      <c r="J87" s="50">
        <v>2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18</v>
      </c>
      <c r="P87" s="15">
        <f t="shared" si="36"/>
        <v>19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1</v>
      </c>
      <c r="E88" s="50">
        <v>3</v>
      </c>
      <c r="F88" s="50">
        <v>4</v>
      </c>
      <c r="G88" s="50">
        <v>0</v>
      </c>
      <c r="H88" s="50">
        <v>1</v>
      </c>
      <c r="I88" s="50">
        <v>1</v>
      </c>
      <c r="J88" s="50">
        <v>0</v>
      </c>
      <c r="K88" s="50">
        <v>1</v>
      </c>
      <c r="L88" s="50">
        <v>2</v>
      </c>
      <c r="M88" s="50">
        <v>2</v>
      </c>
      <c r="N88" s="50">
        <v>0</v>
      </c>
      <c r="O88" s="15">
        <f t="shared" si="35"/>
        <v>14</v>
      </c>
      <c r="P88" s="15">
        <f t="shared" si="36"/>
        <v>16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1</v>
      </c>
      <c r="E89" s="50">
        <v>2</v>
      </c>
      <c r="F89" s="50">
        <v>0</v>
      </c>
      <c r="G89" s="50">
        <v>0</v>
      </c>
      <c r="H89" s="50">
        <v>0</v>
      </c>
      <c r="I89" s="50">
        <v>3</v>
      </c>
      <c r="J89" s="50">
        <v>1</v>
      </c>
      <c r="K89" s="50">
        <v>0</v>
      </c>
      <c r="L89" s="50">
        <v>2</v>
      </c>
      <c r="M89" s="50">
        <v>0</v>
      </c>
      <c r="N89" s="50">
        <v>0</v>
      </c>
      <c r="O89" s="15">
        <f t="shared" si="35"/>
        <v>9</v>
      </c>
      <c r="P89" s="15">
        <f t="shared" si="36"/>
        <v>9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3</v>
      </c>
      <c r="E90" s="50">
        <v>6</v>
      </c>
      <c r="F90" s="50">
        <v>0</v>
      </c>
      <c r="G90" s="50">
        <v>0</v>
      </c>
      <c r="H90" s="50">
        <v>1</v>
      </c>
      <c r="I90" s="50">
        <v>1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13</v>
      </c>
      <c r="P90" s="15">
        <f t="shared" si="36"/>
        <v>16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2</v>
      </c>
      <c r="E91" s="50">
        <v>4</v>
      </c>
      <c r="F91" s="50">
        <v>2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12</v>
      </c>
      <c r="P91" s="15">
        <f t="shared" si="36"/>
        <v>15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4</v>
      </c>
      <c r="E92" s="50">
        <v>9</v>
      </c>
      <c r="F92" s="50">
        <v>0</v>
      </c>
      <c r="G92" s="50">
        <v>0</v>
      </c>
      <c r="H92" s="50">
        <v>0</v>
      </c>
      <c r="I92" s="50">
        <v>3</v>
      </c>
      <c r="J92" s="50">
        <v>0</v>
      </c>
      <c r="K92" s="50">
        <v>0</v>
      </c>
      <c r="L92" s="50">
        <v>2</v>
      </c>
      <c r="M92" s="50">
        <v>2</v>
      </c>
      <c r="N92" s="50">
        <v>0</v>
      </c>
      <c r="O92" s="15">
        <f t="shared" si="35"/>
        <v>24</v>
      </c>
      <c r="P92" s="15">
        <f t="shared" si="36"/>
        <v>26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4</v>
      </c>
      <c r="E93" s="50">
        <v>9</v>
      </c>
      <c r="F93" s="50">
        <v>0</v>
      </c>
      <c r="G93" s="50">
        <v>0</v>
      </c>
      <c r="H93" s="50">
        <v>0</v>
      </c>
      <c r="I93" s="50">
        <v>7</v>
      </c>
      <c r="J93" s="50">
        <v>1</v>
      </c>
      <c r="K93" s="50">
        <v>0</v>
      </c>
      <c r="L93" s="50">
        <v>1</v>
      </c>
      <c r="M93" s="50">
        <v>0</v>
      </c>
      <c r="N93" s="50">
        <v>0</v>
      </c>
      <c r="O93" s="15">
        <f t="shared" si="35"/>
        <v>27</v>
      </c>
      <c r="P93" s="15">
        <f t="shared" si="36"/>
        <v>27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6</v>
      </c>
      <c r="E94" s="50">
        <v>12</v>
      </c>
      <c r="F94" s="50">
        <v>6</v>
      </c>
      <c r="G94" s="50">
        <v>0</v>
      </c>
      <c r="H94" s="50">
        <v>1</v>
      </c>
      <c r="I94" s="50">
        <v>6</v>
      </c>
      <c r="J94" s="50">
        <v>0</v>
      </c>
      <c r="K94" s="50">
        <v>0</v>
      </c>
      <c r="L94" s="50">
        <v>1</v>
      </c>
      <c r="M94" s="50">
        <v>0</v>
      </c>
      <c r="N94" s="50">
        <v>0</v>
      </c>
      <c r="O94" s="15">
        <f t="shared" si="35"/>
        <v>35</v>
      </c>
      <c r="P94" s="15">
        <f t="shared" si="36"/>
        <v>35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1</v>
      </c>
      <c r="E95" s="50">
        <v>3</v>
      </c>
      <c r="F95" s="50">
        <v>0</v>
      </c>
      <c r="G95" s="50">
        <v>0</v>
      </c>
      <c r="H95" s="50">
        <v>0</v>
      </c>
      <c r="I95" s="50">
        <v>3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8</v>
      </c>
      <c r="P95" s="15">
        <f t="shared" si="36"/>
        <v>8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1</v>
      </c>
      <c r="E96" s="50">
        <v>2</v>
      </c>
      <c r="F96" s="50">
        <v>3</v>
      </c>
      <c r="G96" s="50">
        <v>0</v>
      </c>
      <c r="H96" s="50">
        <v>0</v>
      </c>
      <c r="I96" s="50">
        <v>5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14</v>
      </c>
      <c r="P96" s="15">
        <f t="shared" si="36"/>
        <v>14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3</v>
      </c>
      <c r="E97" s="50">
        <v>7</v>
      </c>
      <c r="F97" s="50">
        <v>6</v>
      </c>
      <c r="G97" s="50">
        <v>0</v>
      </c>
      <c r="H97" s="50">
        <v>0</v>
      </c>
      <c r="I97" s="50">
        <v>3</v>
      </c>
      <c r="J97" s="50">
        <v>1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24</v>
      </c>
      <c r="P97" s="15">
        <f t="shared" si="36"/>
        <v>24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6</v>
      </c>
      <c r="E98" s="50">
        <v>12</v>
      </c>
      <c r="F98" s="50">
        <v>1</v>
      </c>
      <c r="G98" s="50">
        <v>0</v>
      </c>
      <c r="H98" s="50">
        <v>1</v>
      </c>
      <c r="I98" s="50">
        <v>3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27</v>
      </c>
      <c r="P98" s="15">
        <f t="shared" si="36"/>
        <v>27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6</v>
      </c>
      <c r="E99" s="50">
        <v>13</v>
      </c>
      <c r="F99" s="50">
        <v>1</v>
      </c>
      <c r="G99" s="50">
        <v>0</v>
      </c>
      <c r="H99" s="50">
        <v>0</v>
      </c>
      <c r="I99" s="50">
        <v>2</v>
      </c>
      <c r="J99" s="50">
        <v>1</v>
      </c>
      <c r="K99" s="50">
        <v>0</v>
      </c>
      <c r="L99" s="50">
        <v>3</v>
      </c>
      <c r="M99" s="50">
        <v>0</v>
      </c>
      <c r="N99" s="50">
        <v>0</v>
      </c>
      <c r="O99" s="15">
        <f t="shared" si="35"/>
        <v>29</v>
      </c>
      <c r="P99" s="15">
        <f t="shared" si="36"/>
        <v>29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4</v>
      </c>
      <c r="E100" s="50">
        <v>9</v>
      </c>
      <c r="F100" s="50">
        <v>3</v>
      </c>
      <c r="G100" s="50">
        <v>0</v>
      </c>
      <c r="H100" s="50">
        <v>1</v>
      </c>
      <c r="I100" s="50">
        <v>7</v>
      </c>
      <c r="J100" s="50">
        <v>0</v>
      </c>
      <c r="K100" s="50">
        <v>0</v>
      </c>
      <c r="L100" s="50">
        <v>2</v>
      </c>
      <c r="M100" s="50">
        <v>2</v>
      </c>
      <c r="N100" s="50">
        <v>0</v>
      </c>
      <c r="O100" s="15">
        <f t="shared" si="35"/>
        <v>30</v>
      </c>
      <c r="P100" s="15">
        <f t="shared" si="36"/>
        <v>32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5</v>
      </c>
      <c r="E101" s="50">
        <v>11</v>
      </c>
      <c r="F101" s="50">
        <v>1</v>
      </c>
      <c r="G101" s="50">
        <v>0</v>
      </c>
      <c r="H101" s="50">
        <v>0</v>
      </c>
      <c r="I101" s="50">
        <v>2</v>
      </c>
      <c r="J101" s="50">
        <v>0</v>
      </c>
      <c r="K101" s="50">
        <v>0</v>
      </c>
      <c r="L101" s="50">
        <v>1</v>
      </c>
      <c r="M101" s="50">
        <v>5</v>
      </c>
      <c r="N101" s="50">
        <v>0</v>
      </c>
      <c r="O101" s="15">
        <f t="shared" si="35"/>
        <v>21</v>
      </c>
      <c r="P101" s="15">
        <f t="shared" si="36"/>
        <v>26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4</v>
      </c>
      <c r="E102" s="50">
        <v>8</v>
      </c>
      <c r="F102" s="50">
        <v>2</v>
      </c>
      <c r="G102" s="50">
        <v>0</v>
      </c>
      <c r="H102" s="50">
        <v>3</v>
      </c>
      <c r="I102" s="50">
        <v>1</v>
      </c>
      <c r="J102" s="50">
        <v>0</v>
      </c>
      <c r="K102" s="50">
        <v>0</v>
      </c>
      <c r="L102" s="50">
        <v>1</v>
      </c>
      <c r="M102" s="50">
        <v>7</v>
      </c>
      <c r="N102" s="50">
        <v>0</v>
      </c>
      <c r="O102" s="15">
        <f t="shared" si="35"/>
        <v>23</v>
      </c>
      <c r="P102" s="15">
        <f t="shared" si="36"/>
        <v>30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3</v>
      </c>
      <c r="E103" s="50">
        <v>7</v>
      </c>
      <c r="F103" s="50">
        <v>2</v>
      </c>
      <c r="G103" s="50">
        <v>1</v>
      </c>
      <c r="H103" s="50">
        <v>1</v>
      </c>
      <c r="I103" s="50">
        <v>4</v>
      </c>
      <c r="J103" s="50">
        <v>0</v>
      </c>
      <c r="K103" s="50">
        <v>0</v>
      </c>
      <c r="L103" s="50">
        <v>4</v>
      </c>
      <c r="M103" s="50">
        <v>6</v>
      </c>
      <c r="N103" s="50">
        <v>0</v>
      </c>
      <c r="O103" s="15">
        <f t="shared" si="35"/>
        <v>25</v>
      </c>
      <c r="P103" s="15">
        <f t="shared" si="36"/>
        <v>31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3</v>
      </c>
      <c r="E104" s="50">
        <v>6</v>
      </c>
      <c r="F104" s="50">
        <v>6</v>
      </c>
      <c r="G104" s="50">
        <v>0</v>
      </c>
      <c r="H104" s="50">
        <v>0</v>
      </c>
      <c r="I104" s="50">
        <v>5</v>
      </c>
      <c r="J104" s="50">
        <v>0</v>
      </c>
      <c r="K104" s="50">
        <v>0</v>
      </c>
      <c r="L104" s="50">
        <v>3</v>
      </c>
      <c r="M104" s="50">
        <v>8</v>
      </c>
      <c r="N104" s="50">
        <v>0</v>
      </c>
      <c r="O104" s="15">
        <f t="shared" si="35"/>
        <v>28</v>
      </c>
      <c r="P104" s="15">
        <f t="shared" si="36"/>
        <v>36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3</v>
      </c>
      <c r="E105" s="50">
        <v>6</v>
      </c>
      <c r="F105" s="50">
        <v>9</v>
      </c>
      <c r="G105" s="50">
        <v>0</v>
      </c>
      <c r="H105" s="50">
        <v>1</v>
      </c>
      <c r="I105" s="50">
        <v>5</v>
      </c>
      <c r="J105" s="50">
        <v>0</v>
      </c>
      <c r="K105" s="50">
        <v>0</v>
      </c>
      <c r="L105" s="50">
        <v>4</v>
      </c>
      <c r="M105" s="50">
        <v>9</v>
      </c>
      <c r="N105" s="50">
        <v>0</v>
      </c>
      <c r="O105" s="15">
        <f t="shared" si="35"/>
        <v>36</v>
      </c>
      <c r="P105" s="15">
        <f t="shared" si="36"/>
        <v>45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333</v>
      </c>
      <c r="D106" s="16">
        <f t="shared" ref="D106:P106" si="37">SUM(D10:D105)</f>
        <v>186</v>
      </c>
      <c r="E106" s="16">
        <f t="shared" si="37"/>
        <v>419</v>
      </c>
      <c r="F106" s="16">
        <f t="shared" si="37"/>
        <v>163</v>
      </c>
      <c r="G106" s="16">
        <f t="shared" si="37"/>
        <v>12</v>
      </c>
      <c r="H106" s="16">
        <f t="shared" si="37"/>
        <v>42</v>
      </c>
      <c r="I106" s="16">
        <f t="shared" si="37"/>
        <v>208</v>
      </c>
      <c r="J106" s="16">
        <f t="shared" si="37"/>
        <v>62</v>
      </c>
      <c r="K106" s="16">
        <f t="shared" si="37"/>
        <v>5</v>
      </c>
      <c r="L106" s="16">
        <f t="shared" si="37"/>
        <v>129</v>
      </c>
      <c r="M106" s="16">
        <f t="shared" si="37"/>
        <v>3150</v>
      </c>
      <c r="N106" s="16">
        <f t="shared" si="37"/>
        <v>2</v>
      </c>
      <c r="O106" s="16">
        <f t="shared" si="37"/>
        <v>1561</v>
      </c>
      <c r="P106" s="16">
        <f t="shared" si="37"/>
        <v>4711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7.0685629378051368E-2</v>
      </c>
      <c r="D107" s="43">
        <f t="shared" si="38"/>
        <v>3.9482063256208871E-2</v>
      </c>
      <c r="E107" s="43">
        <f t="shared" si="38"/>
        <v>8.894077690511569E-2</v>
      </c>
      <c r="F107" s="43">
        <f t="shared" si="38"/>
        <v>3.4599872638505627E-2</v>
      </c>
      <c r="G107" s="43">
        <f t="shared" si="38"/>
        <v>2.5472298874973467E-3</v>
      </c>
      <c r="H107" s="43">
        <f t="shared" si="38"/>
        <v>8.9153046062407128E-3</v>
      </c>
      <c r="I107" s="43">
        <f t="shared" si="38"/>
        <v>4.4151984716620678E-2</v>
      </c>
      <c r="J107" s="43">
        <f t="shared" si="38"/>
        <v>1.3160687752069624E-2</v>
      </c>
      <c r="K107" s="43">
        <f t="shared" si="38"/>
        <v>1.0613457864572277E-3</v>
      </c>
      <c r="L107" s="43">
        <f t="shared" si="38"/>
        <v>2.7382721290596476E-2</v>
      </c>
      <c r="M107" s="43">
        <f t="shared" si="38"/>
        <v>0.66864784546805345</v>
      </c>
      <c r="N107" s="43">
        <f t="shared" si="38"/>
        <v>4.2453831458289112E-4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0.21332479180012812</v>
      </c>
      <c r="D108" s="44">
        <f t="shared" ref="D108:N108" si="39">D106/$O$106</f>
        <v>0.11915438821268418</v>
      </c>
      <c r="E108" s="44">
        <f t="shared" si="39"/>
        <v>0.26841768097373481</v>
      </c>
      <c r="F108" s="44">
        <f t="shared" si="39"/>
        <v>0.10442024343369635</v>
      </c>
      <c r="G108" s="44">
        <f t="shared" si="39"/>
        <v>7.6873798846893021E-3</v>
      </c>
      <c r="H108" s="44">
        <f t="shared" si="39"/>
        <v>2.6905829596412557E-2</v>
      </c>
      <c r="I108" s="44">
        <f t="shared" si="39"/>
        <v>0.13324791800128122</v>
      </c>
      <c r="J108" s="44">
        <f t="shared" si="39"/>
        <v>3.9718129404228059E-2</v>
      </c>
      <c r="K108" s="44">
        <f t="shared" si="39"/>
        <v>3.2030749519538757E-3</v>
      </c>
      <c r="L108" s="44">
        <f t="shared" si="39"/>
        <v>8.2639333760409994E-2</v>
      </c>
      <c r="M108" s="44"/>
      <c r="N108" s="44">
        <f t="shared" si="39"/>
        <v>1.2812299807815502E-3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4" zoomScale="60" workbookViewId="0">
      <selection activeCell="I3" sqref="I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'01.08 GULU-KARUMA'!G5:H5</f>
        <v>xxx</v>
      </c>
      <c r="H5" s="67"/>
      <c r="I5" s="14"/>
      <c r="J5" s="2" t="s">
        <v>5</v>
      </c>
      <c r="K5" s="66" t="str">
        <f>'01.08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165</v>
      </c>
      <c r="E6" s="67"/>
      <c r="F6" s="2" t="s">
        <v>2</v>
      </c>
      <c r="G6" s="66" t="s">
        <v>164</v>
      </c>
      <c r="H6" s="67"/>
      <c r="J6" s="2" t="s">
        <v>21</v>
      </c>
      <c r="K6" s="66" t="str">
        <f>'01.08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3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f>'[1]RD116 MCC'!M150</f>
        <v>39</v>
      </c>
      <c r="N10" s="50">
        <f>'[1]RD116 MCC'!V150</f>
        <v>0</v>
      </c>
      <c r="O10" s="15">
        <f t="shared" ref="O10:O57" si="0">SUM(C10:L10,N10)</f>
        <v>6</v>
      </c>
      <c r="P10" s="15">
        <f t="shared" ref="P10:P57" si="1">SUM(C10:N10)</f>
        <v>45</v>
      </c>
      <c r="R10" s="1" t="s">
        <v>6</v>
      </c>
      <c r="S10" s="17">
        <f t="shared" ref="S10:AF10" si="2">SUM(C10:C13)</f>
        <v>6</v>
      </c>
      <c r="T10" s="17">
        <f t="shared" si="2"/>
        <v>4</v>
      </c>
      <c r="U10" s="17">
        <f t="shared" si="2"/>
        <v>12</v>
      </c>
      <c r="V10" s="17">
        <f t="shared" si="2"/>
        <v>6</v>
      </c>
      <c r="W10" s="17">
        <f t="shared" si="2"/>
        <v>0</v>
      </c>
      <c r="X10" s="17">
        <f t="shared" si="2"/>
        <v>2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1</v>
      </c>
      <c r="AC10" s="17">
        <f t="shared" si="2"/>
        <v>171</v>
      </c>
      <c r="AD10" s="17">
        <f t="shared" si="2"/>
        <v>0</v>
      </c>
      <c r="AE10" s="31">
        <f t="shared" si="2"/>
        <v>35</v>
      </c>
      <c r="AF10" s="31">
        <f t="shared" si="2"/>
        <v>206</v>
      </c>
    </row>
    <row r="11" spans="2:32" s="6" customFormat="1" ht="23.1" customHeight="1" x14ac:dyDescent="0.25">
      <c r="B11" s="23" t="s">
        <v>38</v>
      </c>
      <c r="C11" s="50">
        <v>3</v>
      </c>
      <c r="D11" s="50">
        <v>1</v>
      </c>
      <c r="E11" s="50">
        <v>3</v>
      </c>
      <c r="F11" s="50">
        <v>2</v>
      </c>
      <c r="G11" s="50">
        <v>0</v>
      </c>
      <c r="H11" s="50">
        <v>1</v>
      </c>
      <c r="I11" s="50">
        <v>2</v>
      </c>
      <c r="J11" s="50">
        <v>0</v>
      </c>
      <c r="K11" s="50">
        <v>0</v>
      </c>
      <c r="L11" s="50">
        <v>1</v>
      </c>
      <c r="M11" s="50">
        <f>'[1]RD116 MCC'!M151</f>
        <v>30</v>
      </c>
      <c r="N11" s="50">
        <f>'[1]RD116 MCC'!V151</f>
        <v>0</v>
      </c>
      <c r="O11" s="15">
        <f t="shared" si="0"/>
        <v>13</v>
      </c>
      <c r="P11" s="15">
        <f t="shared" si="1"/>
        <v>43</v>
      </c>
      <c r="R11" s="1" t="s">
        <v>7</v>
      </c>
      <c r="S11" s="17">
        <f t="shared" ref="S11:AF11" si="3">SUM(C14:C17)</f>
        <v>28</v>
      </c>
      <c r="T11" s="17">
        <f t="shared" si="3"/>
        <v>9</v>
      </c>
      <c r="U11" s="17">
        <f t="shared" si="3"/>
        <v>21</v>
      </c>
      <c r="V11" s="17">
        <f t="shared" si="3"/>
        <v>6</v>
      </c>
      <c r="W11" s="17">
        <f t="shared" si="3"/>
        <v>2</v>
      </c>
      <c r="X11" s="17">
        <f t="shared" si="3"/>
        <v>3</v>
      </c>
      <c r="Y11" s="17">
        <f t="shared" si="3"/>
        <v>7</v>
      </c>
      <c r="Z11" s="17">
        <f t="shared" si="3"/>
        <v>7</v>
      </c>
      <c r="AA11" s="17">
        <f t="shared" si="3"/>
        <v>0</v>
      </c>
      <c r="AB11" s="17">
        <f t="shared" si="3"/>
        <v>3</v>
      </c>
      <c r="AC11" s="17">
        <f t="shared" si="3"/>
        <v>244</v>
      </c>
      <c r="AD11" s="17">
        <f t="shared" si="3"/>
        <v>2</v>
      </c>
      <c r="AE11" s="31">
        <f t="shared" si="3"/>
        <v>88</v>
      </c>
      <c r="AF11" s="31">
        <f t="shared" si="3"/>
        <v>332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5</v>
      </c>
      <c r="F12" s="50">
        <v>1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f>'[1]RD116 MCC'!M152</f>
        <v>48</v>
      </c>
      <c r="N12" s="50">
        <f>'[1]RD116 MCC'!V152</f>
        <v>0</v>
      </c>
      <c r="O12" s="15">
        <f t="shared" si="0"/>
        <v>9</v>
      </c>
      <c r="P12" s="15">
        <f t="shared" si="1"/>
        <v>57</v>
      </c>
      <c r="R12" s="1" t="s">
        <v>8</v>
      </c>
      <c r="S12" s="17">
        <f t="shared" ref="S12:AF12" si="4">SUM(C18:C21)</f>
        <v>29</v>
      </c>
      <c r="T12" s="17">
        <f t="shared" si="4"/>
        <v>11</v>
      </c>
      <c r="U12" s="17">
        <f t="shared" si="4"/>
        <v>24</v>
      </c>
      <c r="V12" s="17">
        <f t="shared" si="4"/>
        <v>3</v>
      </c>
      <c r="W12" s="17">
        <f t="shared" si="4"/>
        <v>3</v>
      </c>
      <c r="X12" s="17">
        <f t="shared" si="4"/>
        <v>2</v>
      </c>
      <c r="Y12" s="17">
        <f t="shared" si="4"/>
        <v>13</v>
      </c>
      <c r="Z12" s="17">
        <f t="shared" si="4"/>
        <v>10</v>
      </c>
      <c r="AA12" s="17">
        <f t="shared" si="4"/>
        <v>1</v>
      </c>
      <c r="AB12" s="17">
        <f t="shared" si="4"/>
        <v>2</v>
      </c>
      <c r="AC12" s="17">
        <f t="shared" si="4"/>
        <v>256</v>
      </c>
      <c r="AD12" s="17">
        <f t="shared" si="4"/>
        <v>0</v>
      </c>
      <c r="AE12" s="31">
        <f t="shared" si="4"/>
        <v>98</v>
      </c>
      <c r="AF12" s="31">
        <f t="shared" si="4"/>
        <v>354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3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f>'[1]RD116 MCC'!M153</f>
        <v>54</v>
      </c>
      <c r="N13" s="50">
        <f>'[1]RD116 MCC'!V153</f>
        <v>0</v>
      </c>
      <c r="O13" s="15">
        <f t="shared" si="0"/>
        <v>7</v>
      </c>
      <c r="P13" s="15">
        <f t="shared" si="1"/>
        <v>61</v>
      </c>
      <c r="R13" s="1" t="s">
        <v>9</v>
      </c>
      <c r="S13" s="17">
        <f t="shared" ref="S13:AF13" si="5">SUM(C22:C25)</f>
        <v>20</v>
      </c>
      <c r="T13" s="17">
        <f t="shared" si="5"/>
        <v>9</v>
      </c>
      <c r="U13" s="17">
        <f t="shared" si="5"/>
        <v>21</v>
      </c>
      <c r="V13" s="17">
        <f t="shared" si="5"/>
        <v>5</v>
      </c>
      <c r="W13" s="17">
        <f t="shared" si="5"/>
        <v>0</v>
      </c>
      <c r="X13" s="17">
        <f t="shared" si="5"/>
        <v>2</v>
      </c>
      <c r="Y13" s="17">
        <f t="shared" si="5"/>
        <v>14</v>
      </c>
      <c r="Z13" s="17">
        <f t="shared" si="5"/>
        <v>9</v>
      </c>
      <c r="AA13" s="17">
        <f t="shared" si="5"/>
        <v>3</v>
      </c>
      <c r="AB13" s="17">
        <f t="shared" si="5"/>
        <v>14</v>
      </c>
      <c r="AC13" s="17">
        <f t="shared" si="5"/>
        <v>250</v>
      </c>
      <c r="AD13" s="17">
        <f t="shared" si="5"/>
        <v>0</v>
      </c>
      <c r="AE13" s="31">
        <f t="shared" si="5"/>
        <v>97</v>
      </c>
      <c r="AF13" s="31">
        <f t="shared" si="5"/>
        <v>347</v>
      </c>
    </row>
    <row r="14" spans="2:32" ht="23.1" customHeight="1" x14ac:dyDescent="0.25">
      <c r="B14" s="23" t="s">
        <v>41</v>
      </c>
      <c r="C14" s="50">
        <v>6</v>
      </c>
      <c r="D14" s="50">
        <v>3</v>
      </c>
      <c r="E14" s="50">
        <v>7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f>'[1]RD116 MCC'!M154</f>
        <v>62</v>
      </c>
      <c r="N14" s="50">
        <f>'[1]RD116 MCC'!V154</f>
        <v>1</v>
      </c>
      <c r="O14" s="15">
        <f t="shared" si="0"/>
        <v>19</v>
      </c>
      <c r="P14" s="15">
        <f t="shared" si="1"/>
        <v>81</v>
      </c>
      <c r="R14" s="1" t="s">
        <v>10</v>
      </c>
      <c r="S14" s="17">
        <f t="shared" ref="S14:AF14" si="6">SUM(C26:C29)</f>
        <v>33</v>
      </c>
      <c r="T14" s="17">
        <f t="shared" si="6"/>
        <v>13</v>
      </c>
      <c r="U14" s="17">
        <f t="shared" si="6"/>
        <v>30</v>
      </c>
      <c r="V14" s="17">
        <f t="shared" si="6"/>
        <v>6</v>
      </c>
      <c r="W14" s="17">
        <f t="shared" si="6"/>
        <v>0</v>
      </c>
      <c r="X14" s="17">
        <f t="shared" si="6"/>
        <v>4</v>
      </c>
      <c r="Y14" s="17">
        <f t="shared" si="6"/>
        <v>9</v>
      </c>
      <c r="Z14" s="17">
        <f t="shared" si="6"/>
        <v>11</v>
      </c>
      <c r="AA14" s="17">
        <f t="shared" si="6"/>
        <v>0</v>
      </c>
      <c r="AB14" s="17">
        <f t="shared" si="6"/>
        <v>14</v>
      </c>
      <c r="AC14" s="17">
        <f t="shared" si="6"/>
        <v>213</v>
      </c>
      <c r="AD14" s="17">
        <f t="shared" si="6"/>
        <v>0</v>
      </c>
      <c r="AE14" s="31">
        <f t="shared" si="6"/>
        <v>120</v>
      </c>
      <c r="AF14" s="31">
        <f t="shared" si="6"/>
        <v>333</v>
      </c>
    </row>
    <row r="15" spans="2:32" ht="23.1" customHeight="1" x14ac:dyDescent="0.25">
      <c r="B15" s="23" t="s">
        <v>42</v>
      </c>
      <c r="C15" s="50">
        <v>3</v>
      </c>
      <c r="D15" s="50">
        <v>2</v>
      </c>
      <c r="E15" s="50">
        <v>5</v>
      </c>
      <c r="F15" s="50">
        <v>1</v>
      </c>
      <c r="G15" s="50">
        <v>1</v>
      </c>
      <c r="H15" s="50">
        <v>2</v>
      </c>
      <c r="I15" s="50">
        <v>5</v>
      </c>
      <c r="J15" s="50">
        <v>2</v>
      </c>
      <c r="K15" s="50">
        <v>0</v>
      </c>
      <c r="L15" s="50">
        <v>0</v>
      </c>
      <c r="M15" s="50">
        <f>'[1]RD116 MCC'!M155</f>
        <v>73</v>
      </c>
      <c r="N15" s="50">
        <f>'[1]RD116 MCC'!V155</f>
        <v>1</v>
      </c>
      <c r="O15" s="15">
        <f t="shared" si="0"/>
        <v>22</v>
      </c>
      <c r="P15" s="15">
        <f t="shared" si="1"/>
        <v>95</v>
      </c>
      <c r="R15" s="1" t="s">
        <v>11</v>
      </c>
      <c r="S15" s="17">
        <f t="shared" ref="S15:AF15" si="7">SUM(C30:C33)</f>
        <v>29</v>
      </c>
      <c r="T15" s="17">
        <f t="shared" si="7"/>
        <v>11</v>
      </c>
      <c r="U15" s="17">
        <f t="shared" si="7"/>
        <v>23</v>
      </c>
      <c r="V15" s="17">
        <f t="shared" si="7"/>
        <v>3</v>
      </c>
      <c r="W15" s="17">
        <f t="shared" si="7"/>
        <v>0</v>
      </c>
      <c r="X15" s="17">
        <f t="shared" si="7"/>
        <v>1</v>
      </c>
      <c r="Y15" s="17">
        <f t="shared" si="7"/>
        <v>9</v>
      </c>
      <c r="Z15" s="17">
        <f t="shared" si="7"/>
        <v>4</v>
      </c>
      <c r="AA15" s="17">
        <f t="shared" si="7"/>
        <v>2</v>
      </c>
      <c r="AB15" s="17">
        <f t="shared" si="7"/>
        <v>19</v>
      </c>
      <c r="AC15" s="17">
        <f t="shared" si="7"/>
        <v>195</v>
      </c>
      <c r="AD15" s="17">
        <f t="shared" si="7"/>
        <v>0</v>
      </c>
      <c r="AE15" s="31">
        <f t="shared" si="7"/>
        <v>101</v>
      </c>
      <c r="AF15" s="31">
        <f t="shared" si="7"/>
        <v>296</v>
      </c>
    </row>
    <row r="16" spans="2:32" ht="23.1" customHeight="1" x14ac:dyDescent="0.25">
      <c r="B16" s="23" t="s">
        <v>43</v>
      </c>
      <c r="C16" s="50">
        <v>9</v>
      </c>
      <c r="D16" s="50">
        <v>2</v>
      </c>
      <c r="E16" s="50">
        <v>5</v>
      </c>
      <c r="F16" s="50">
        <v>3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2</v>
      </c>
      <c r="M16" s="50">
        <f>'[1]RD116 MCC'!M156</f>
        <v>55</v>
      </c>
      <c r="N16" s="50">
        <f>'[1]RD116 MCC'!V156</f>
        <v>0</v>
      </c>
      <c r="O16" s="15">
        <f t="shared" si="0"/>
        <v>23</v>
      </c>
      <c r="P16" s="15">
        <f t="shared" si="1"/>
        <v>78</v>
      </c>
      <c r="R16" s="1" t="s">
        <v>12</v>
      </c>
      <c r="S16" s="17">
        <f t="shared" ref="S16:AF16" si="8">SUM(C34:C37)</f>
        <v>28</v>
      </c>
      <c r="T16" s="17">
        <f t="shared" si="8"/>
        <v>5</v>
      </c>
      <c r="U16" s="17">
        <f t="shared" si="8"/>
        <v>12</v>
      </c>
      <c r="V16" s="17">
        <f t="shared" si="8"/>
        <v>4</v>
      </c>
      <c r="W16" s="17">
        <f t="shared" si="8"/>
        <v>0</v>
      </c>
      <c r="X16" s="17">
        <f t="shared" si="8"/>
        <v>1</v>
      </c>
      <c r="Y16" s="17">
        <f t="shared" si="8"/>
        <v>10</v>
      </c>
      <c r="Z16" s="17">
        <f t="shared" si="8"/>
        <v>4</v>
      </c>
      <c r="AA16" s="17">
        <f t="shared" si="8"/>
        <v>0</v>
      </c>
      <c r="AB16" s="17">
        <f t="shared" si="8"/>
        <v>11</v>
      </c>
      <c r="AC16" s="17">
        <f t="shared" si="8"/>
        <v>199</v>
      </c>
      <c r="AD16" s="17">
        <f t="shared" si="8"/>
        <v>0</v>
      </c>
      <c r="AE16" s="31">
        <f t="shared" si="8"/>
        <v>75</v>
      </c>
      <c r="AF16" s="31">
        <f t="shared" si="8"/>
        <v>274</v>
      </c>
    </row>
    <row r="17" spans="2:32" ht="23.1" customHeight="1" x14ac:dyDescent="0.25">
      <c r="B17" s="23" t="s">
        <v>44</v>
      </c>
      <c r="C17" s="50">
        <v>10</v>
      </c>
      <c r="D17" s="50">
        <v>2</v>
      </c>
      <c r="E17" s="50">
        <v>4</v>
      </c>
      <c r="F17" s="50">
        <v>1</v>
      </c>
      <c r="G17" s="50">
        <v>1</v>
      </c>
      <c r="H17" s="50">
        <v>1</v>
      </c>
      <c r="I17" s="50">
        <v>1</v>
      </c>
      <c r="J17" s="50">
        <v>3</v>
      </c>
      <c r="K17" s="50">
        <v>0</v>
      </c>
      <c r="L17" s="50">
        <v>1</v>
      </c>
      <c r="M17" s="50">
        <f>'[1]RD116 MCC'!M157</f>
        <v>54</v>
      </c>
      <c r="N17" s="50">
        <f>'[1]RD116 MCC'!V157</f>
        <v>0</v>
      </c>
      <c r="O17" s="15">
        <f t="shared" si="0"/>
        <v>24</v>
      </c>
      <c r="P17" s="15">
        <f t="shared" si="1"/>
        <v>78</v>
      </c>
      <c r="R17" s="1" t="s">
        <v>13</v>
      </c>
      <c r="S17" s="17">
        <f t="shared" ref="S17:AF17" si="9">SUM(C38:C41)</f>
        <v>23</v>
      </c>
      <c r="T17" s="17">
        <f t="shared" si="9"/>
        <v>6</v>
      </c>
      <c r="U17" s="17">
        <f t="shared" si="9"/>
        <v>15</v>
      </c>
      <c r="V17" s="17">
        <f t="shared" si="9"/>
        <v>3</v>
      </c>
      <c r="W17" s="17">
        <f t="shared" si="9"/>
        <v>0</v>
      </c>
      <c r="X17" s="17">
        <f t="shared" si="9"/>
        <v>3</v>
      </c>
      <c r="Y17" s="17">
        <f t="shared" si="9"/>
        <v>5</v>
      </c>
      <c r="Z17" s="17">
        <f t="shared" si="9"/>
        <v>4</v>
      </c>
      <c r="AA17" s="17">
        <f t="shared" si="9"/>
        <v>2</v>
      </c>
      <c r="AB17" s="17">
        <f t="shared" si="9"/>
        <v>10</v>
      </c>
      <c r="AC17" s="17">
        <f t="shared" si="9"/>
        <v>210</v>
      </c>
      <c r="AD17" s="17">
        <f t="shared" si="9"/>
        <v>0</v>
      </c>
      <c r="AE17" s="31">
        <f t="shared" si="9"/>
        <v>71</v>
      </c>
      <c r="AF17" s="31">
        <f t="shared" si="9"/>
        <v>281</v>
      </c>
    </row>
    <row r="18" spans="2:32" ht="23.1" customHeight="1" x14ac:dyDescent="0.25">
      <c r="B18" s="23" t="s">
        <v>45</v>
      </c>
      <c r="C18" s="50">
        <v>5</v>
      </c>
      <c r="D18" s="50">
        <v>3</v>
      </c>
      <c r="E18" s="50">
        <v>6</v>
      </c>
      <c r="F18" s="50">
        <v>0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f>'[1]RD116 MCC'!M158</f>
        <v>60</v>
      </c>
      <c r="N18" s="50">
        <f>'[1]RD116 MCC'!V158</f>
        <v>0</v>
      </c>
      <c r="O18" s="15">
        <f t="shared" si="0"/>
        <v>18</v>
      </c>
      <c r="P18" s="15">
        <f t="shared" si="1"/>
        <v>78</v>
      </c>
      <c r="R18" s="1" t="s">
        <v>14</v>
      </c>
      <c r="S18" s="17">
        <f t="shared" ref="S18:AF18" si="10">SUM(C42:C45)</f>
        <v>21</v>
      </c>
      <c r="T18" s="17">
        <f t="shared" si="10"/>
        <v>8</v>
      </c>
      <c r="U18" s="17">
        <f t="shared" si="10"/>
        <v>19</v>
      </c>
      <c r="V18" s="17">
        <f t="shared" si="10"/>
        <v>6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9</v>
      </c>
      <c r="AA18" s="17">
        <f t="shared" si="10"/>
        <v>3</v>
      </c>
      <c r="AB18" s="17">
        <f t="shared" si="10"/>
        <v>18</v>
      </c>
      <c r="AC18" s="17">
        <f t="shared" si="10"/>
        <v>185</v>
      </c>
      <c r="AD18" s="17">
        <f t="shared" si="10"/>
        <v>0</v>
      </c>
      <c r="AE18" s="31">
        <f t="shared" si="10"/>
        <v>91</v>
      </c>
      <c r="AF18" s="31">
        <f t="shared" si="10"/>
        <v>276</v>
      </c>
    </row>
    <row r="19" spans="2:32" ht="23.1" customHeight="1" x14ac:dyDescent="0.25">
      <c r="B19" s="23" t="s">
        <v>46</v>
      </c>
      <c r="C19" s="50">
        <v>10</v>
      </c>
      <c r="D19" s="50">
        <v>3</v>
      </c>
      <c r="E19" s="50">
        <v>7</v>
      </c>
      <c r="F19" s="50">
        <v>1</v>
      </c>
      <c r="G19" s="50">
        <v>1</v>
      </c>
      <c r="H19" s="50">
        <v>1</v>
      </c>
      <c r="I19" s="50">
        <v>4</v>
      </c>
      <c r="J19" s="50">
        <v>2</v>
      </c>
      <c r="K19" s="50">
        <v>1</v>
      </c>
      <c r="L19" s="50">
        <v>0</v>
      </c>
      <c r="M19" s="50">
        <f>'[1]RD116 MCC'!M159</f>
        <v>64</v>
      </c>
      <c r="N19" s="50">
        <f>'[1]RD116 MCC'!V159</f>
        <v>0</v>
      </c>
      <c r="O19" s="15">
        <f t="shared" si="0"/>
        <v>30</v>
      </c>
      <c r="P19" s="15">
        <f t="shared" si="1"/>
        <v>94</v>
      </c>
      <c r="R19" s="1" t="s">
        <v>15</v>
      </c>
      <c r="S19" s="17">
        <f t="shared" ref="S19:AF19" si="11">SUM(C46:C49)</f>
        <v>24</v>
      </c>
      <c r="T19" s="17">
        <f t="shared" si="11"/>
        <v>7</v>
      </c>
      <c r="U19" s="17">
        <f t="shared" si="11"/>
        <v>18</v>
      </c>
      <c r="V19" s="17">
        <f t="shared" si="11"/>
        <v>4</v>
      </c>
      <c r="W19" s="17">
        <f t="shared" si="11"/>
        <v>0</v>
      </c>
      <c r="X19" s="17">
        <f t="shared" si="11"/>
        <v>3</v>
      </c>
      <c r="Y19" s="17">
        <f t="shared" si="11"/>
        <v>10</v>
      </c>
      <c r="Z19" s="17">
        <f t="shared" si="11"/>
        <v>2</v>
      </c>
      <c r="AA19" s="17">
        <f t="shared" si="11"/>
        <v>1</v>
      </c>
      <c r="AB19" s="17">
        <f t="shared" si="11"/>
        <v>3</v>
      </c>
      <c r="AC19" s="17">
        <f t="shared" si="11"/>
        <v>189</v>
      </c>
      <c r="AD19" s="17">
        <f t="shared" si="11"/>
        <v>0</v>
      </c>
      <c r="AE19" s="31">
        <f t="shared" si="11"/>
        <v>72</v>
      </c>
      <c r="AF19" s="31">
        <f t="shared" si="11"/>
        <v>261</v>
      </c>
    </row>
    <row r="20" spans="2:32" ht="23.1" customHeight="1" x14ac:dyDescent="0.25">
      <c r="B20" s="23" t="s">
        <v>47</v>
      </c>
      <c r="C20" s="50">
        <v>7</v>
      </c>
      <c r="D20" s="50">
        <v>3</v>
      </c>
      <c r="E20" s="50">
        <v>7</v>
      </c>
      <c r="F20" s="50">
        <v>1</v>
      </c>
      <c r="G20" s="50">
        <v>2</v>
      </c>
      <c r="H20" s="50">
        <v>0</v>
      </c>
      <c r="I20" s="50">
        <v>3</v>
      </c>
      <c r="J20" s="50">
        <v>5</v>
      </c>
      <c r="K20" s="50">
        <v>0</v>
      </c>
      <c r="L20" s="50">
        <v>0</v>
      </c>
      <c r="M20" s="50">
        <f>'[1]RD116 MCC'!M160</f>
        <v>62</v>
      </c>
      <c r="N20" s="50">
        <f>'[1]RD116 MCC'!V160</f>
        <v>0</v>
      </c>
      <c r="O20" s="15">
        <f t="shared" si="0"/>
        <v>28</v>
      </c>
      <c r="P20" s="15">
        <f t="shared" si="1"/>
        <v>90</v>
      </c>
      <c r="R20" s="1" t="s">
        <v>16</v>
      </c>
      <c r="S20" s="17">
        <f t="shared" ref="S20:AF20" si="12">SUM(C50:C53)</f>
        <v>17</v>
      </c>
      <c r="T20" s="17">
        <f t="shared" si="12"/>
        <v>11</v>
      </c>
      <c r="U20" s="17">
        <f t="shared" si="12"/>
        <v>24</v>
      </c>
      <c r="V20" s="17">
        <f t="shared" si="12"/>
        <v>4</v>
      </c>
      <c r="W20" s="17">
        <f t="shared" si="12"/>
        <v>0</v>
      </c>
      <c r="X20" s="17">
        <f t="shared" si="12"/>
        <v>4</v>
      </c>
      <c r="Y20" s="17">
        <f t="shared" si="12"/>
        <v>6</v>
      </c>
      <c r="Z20" s="17">
        <f t="shared" si="12"/>
        <v>5</v>
      </c>
      <c r="AA20" s="17">
        <f t="shared" si="12"/>
        <v>1</v>
      </c>
      <c r="AB20" s="17">
        <f t="shared" si="12"/>
        <v>12</v>
      </c>
      <c r="AC20" s="17">
        <f t="shared" si="12"/>
        <v>176</v>
      </c>
      <c r="AD20" s="17">
        <f t="shared" si="12"/>
        <v>0</v>
      </c>
      <c r="AE20" s="31">
        <f t="shared" si="12"/>
        <v>84</v>
      </c>
      <c r="AF20" s="31">
        <f t="shared" si="12"/>
        <v>260</v>
      </c>
    </row>
    <row r="21" spans="2:32" ht="23.1" customHeight="1" x14ac:dyDescent="0.25">
      <c r="B21" s="23" t="s">
        <v>48</v>
      </c>
      <c r="C21" s="50">
        <v>7</v>
      </c>
      <c r="D21" s="50">
        <v>2</v>
      </c>
      <c r="E21" s="50">
        <v>4</v>
      </c>
      <c r="F21" s="50">
        <v>1</v>
      </c>
      <c r="G21" s="50">
        <v>0</v>
      </c>
      <c r="H21" s="50">
        <v>1</v>
      </c>
      <c r="I21" s="50">
        <v>3</v>
      </c>
      <c r="J21" s="50">
        <v>2</v>
      </c>
      <c r="K21" s="50">
        <v>0</v>
      </c>
      <c r="L21" s="50">
        <v>2</v>
      </c>
      <c r="M21" s="50">
        <f>'[1]RD116 MCC'!M161</f>
        <v>70</v>
      </c>
      <c r="N21" s="50">
        <f>'[1]RD116 MCC'!V161</f>
        <v>0</v>
      </c>
      <c r="O21" s="15">
        <f t="shared" si="0"/>
        <v>22</v>
      </c>
      <c r="P21" s="15">
        <f t="shared" si="1"/>
        <v>92</v>
      </c>
      <c r="R21" s="36" t="s">
        <v>20</v>
      </c>
      <c r="S21" s="34">
        <f t="shared" ref="S21:AF21" si="13">SUM(C54:C57)</f>
        <v>34</v>
      </c>
      <c r="T21" s="17">
        <f t="shared" si="13"/>
        <v>14</v>
      </c>
      <c r="U21" s="17">
        <f t="shared" si="13"/>
        <v>29</v>
      </c>
      <c r="V21" s="17">
        <f t="shared" si="13"/>
        <v>3</v>
      </c>
      <c r="W21" s="17">
        <f t="shared" si="13"/>
        <v>0</v>
      </c>
      <c r="X21" s="17">
        <f t="shared" si="13"/>
        <v>1</v>
      </c>
      <c r="Y21" s="17">
        <f t="shared" si="13"/>
        <v>6</v>
      </c>
      <c r="Z21" s="17">
        <f t="shared" si="13"/>
        <v>5</v>
      </c>
      <c r="AA21" s="17">
        <f t="shared" si="13"/>
        <v>3</v>
      </c>
      <c r="AB21" s="17">
        <f t="shared" si="13"/>
        <v>2</v>
      </c>
      <c r="AC21" s="17">
        <f t="shared" si="13"/>
        <v>228</v>
      </c>
      <c r="AD21" s="17">
        <f t="shared" si="13"/>
        <v>0</v>
      </c>
      <c r="AE21" s="31">
        <f t="shared" si="13"/>
        <v>97</v>
      </c>
      <c r="AF21" s="31">
        <f t="shared" si="13"/>
        <v>325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3</v>
      </c>
      <c r="F22" s="50">
        <v>2</v>
      </c>
      <c r="G22" s="50">
        <v>0</v>
      </c>
      <c r="H22" s="50">
        <v>0</v>
      </c>
      <c r="I22" s="50">
        <v>3</v>
      </c>
      <c r="J22" s="50">
        <v>5</v>
      </c>
      <c r="K22" s="50">
        <v>0</v>
      </c>
      <c r="L22" s="50">
        <v>2</v>
      </c>
      <c r="M22" s="50">
        <f>'[1]RD116 MCC'!M162</f>
        <v>58</v>
      </c>
      <c r="N22" s="50">
        <f>'[1]RD116 MCC'!V162</f>
        <v>0</v>
      </c>
      <c r="O22" s="15">
        <f t="shared" si="0"/>
        <v>19</v>
      </c>
      <c r="P22" s="15">
        <f t="shared" si="1"/>
        <v>77</v>
      </c>
      <c r="R22" s="38" t="s">
        <v>90</v>
      </c>
      <c r="S22" s="39">
        <f>MAX(S10:S12)</f>
        <v>29</v>
      </c>
      <c r="T22" s="39">
        <f t="shared" ref="T22:AF22" si="14">MAX(T10:T12)</f>
        <v>11</v>
      </c>
      <c r="U22" s="39">
        <f t="shared" si="14"/>
        <v>24</v>
      </c>
      <c r="V22" s="39">
        <f t="shared" si="14"/>
        <v>6</v>
      </c>
      <c r="W22" s="39">
        <f t="shared" si="14"/>
        <v>3</v>
      </c>
      <c r="X22" s="39">
        <f t="shared" si="14"/>
        <v>3</v>
      </c>
      <c r="Y22" s="39">
        <f t="shared" si="14"/>
        <v>13</v>
      </c>
      <c r="Z22" s="39">
        <f t="shared" si="14"/>
        <v>10</v>
      </c>
      <c r="AA22" s="39">
        <f t="shared" si="14"/>
        <v>1</v>
      </c>
      <c r="AB22" s="39">
        <f t="shared" si="14"/>
        <v>3</v>
      </c>
      <c r="AC22" s="39">
        <f t="shared" si="14"/>
        <v>256</v>
      </c>
      <c r="AD22" s="39">
        <f t="shared" si="14"/>
        <v>2</v>
      </c>
      <c r="AE22" s="40">
        <f t="shared" si="14"/>
        <v>98</v>
      </c>
      <c r="AF22" s="40">
        <f t="shared" si="14"/>
        <v>354</v>
      </c>
    </row>
    <row r="23" spans="2:32" ht="23.1" customHeight="1" x14ac:dyDescent="0.25">
      <c r="B23" s="23" t="s">
        <v>50</v>
      </c>
      <c r="C23" s="50">
        <v>4</v>
      </c>
      <c r="D23" s="50">
        <v>2</v>
      </c>
      <c r="E23" s="50">
        <v>5</v>
      </c>
      <c r="F23" s="50">
        <v>0</v>
      </c>
      <c r="G23" s="50">
        <v>0</v>
      </c>
      <c r="H23" s="50">
        <v>1</v>
      </c>
      <c r="I23" s="50">
        <v>4</v>
      </c>
      <c r="J23" s="50">
        <v>1</v>
      </c>
      <c r="K23" s="50">
        <v>0</v>
      </c>
      <c r="L23" s="50">
        <v>5</v>
      </c>
      <c r="M23" s="50">
        <f>'[1]RD116 MCC'!M163</f>
        <v>60</v>
      </c>
      <c r="N23" s="50">
        <f>'[1]RD116 MCC'!V163</f>
        <v>0</v>
      </c>
      <c r="O23" s="15">
        <f t="shared" si="0"/>
        <v>22</v>
      </c>
      <c r="P23" s="15">
        <f t="shared" si="1"/>
        <v>82</v>
      </c>
      <c r="R23" s="38" t="s">
        <v>91</v>
      </c>
      <c r="S23" s="39">
        <f>MAX(S13:S18)</f>
        <v>33</v>
      </c>
      <c r="T23" s="39">
        <f t="shared" ref="T23:AF23" si="15">MAX(T13:T18)</f>
        <v>13</v>
      </c>
      <c r="U23" s="39">
        <f t="shared" si="15"/>
        <v>30</v>
      </c>
      <c r="V23" s="39">
        <f t="shared" si="15"/>
        <v>6</v>
      </c>
      <c r="W23" s="39">
        <f t="shared" si="15"/>
        <v>0</v>
      </c>
      <c r="X23" s="39">
        <f t="shared" si="15"/>
        <v>4</v>
      </c>
      <c r="Y23" s="39">
        <f t="shared" si="15"/>
        <v>14</v>
      </c>
      <c r="Z23" s="39">
        <f t="shared" si="15"/>
        <v>11</v>
      </c>
      <c r="AA23" s="39">
        <f t="shared" si="15"/>
        <v>3</v>
      </c>
      <c r="AB23" s="39">
        <f t="shared" si="15"/>
        <v>19</v>
      </c>
      <c r="AC23" s="39">
        <f t="shared" si="15"/>
        <v>250</v>
      </c>
      <c r="AD23" s="39">
        <f t="shared" si="15"/>
        <v>0</v>
      </c>
      <c r="AE23" s="40">
        <f t="shared" si="15"/>
        <v>120</v>
      </c>
      <c r="AF23" s="40">
        <f t="shared" si="15"/>
        <v>347</v>
      </c>
    </row>
    <row r="24" spans="2:32" ht="23.1" customHeight="1" x14ac:dyDescent="0.25">
      <c r="B24" s="23" t="s">
        <v>51</v>
      </c>
      <c r="C24" s="50">
        <v>4</v>
      </c>
      <c r="D24" s="50">
        <v>3</v>
      </c>
      <c r="E24" s="50">
        <v>7</v>
      </c>
      <c r="F24" s="50">
        <v>2</v>
      </c>
      <c r="G24" s="50">
        <v>0</v>
      </c>
      <c r="H24" s="50">
        <v>0</v>
      </c>
      <c r="I24" s="50">
        <v>6</v>
      </c>
      <c r="J24" s="50">
        <v>3</v>
      </c>
      <c r="K24" s="50">
        <v>1</v>
      </c>
      <c r="L24" s="50">
        <v>3</v>
      </c>
      <c r="M24" s="50">
        <f>'[1]RD116 MCC'!M164</f>
        <v>62</v>
      </c>
      <c r="N24" s="50">
        <f>'[1]RD116 MCC'!V164</f>
        <v>0</v>
      </c>
      <c r="O24" s="15">
        <f t="shared" si="0"/>
        <v>29</v>
      </c>
      <c r="P24" s="15">
        <f t="shared" si="1"/>
        <v>91</v>
      </c>
      <c r="R24" s="38" t="s">
        <v>92</v>
      </c>
      <c r="S24" s="39">
        <f>MAX(S19:S21)</f>
        <v>34</v>
      </c>
      <c r="T24" s="39">
        <f t="shared" ref="T24:AF24" si="16">MAX(T19:T21)</f>
        <v>14</v>
      </c>
      <c r="U24" s="39">
        <f t="shared" si="16"/>
        <v>29</v>
      </c>
      <c r="V24" s="39">
        <f t="shared" si="16"/>
        <v>4</v>
      </c>
      <c r="W24" s="39">
        <f t="shared" si="16"/>
        <v>0</v>
      </c>
      <c r="X24" s="39">
        <f t="shared" si="16"/>
        <v>4</v>
      </c>
      <c r="Y24" s="39">
        <f t="shared" si="16"/>
        <v>10</v>
      </c>
      <c r="Z24" s="39">
        <f t="shared" si="16"/>
        <v>5</v>
      </c>
      <c r="AA24" s="39">
        <f t="shared" si="16"/>
        <v>3</v>
      </c>
      <c r="AB24" s="39">
        <f t="shared" si="16"/>
        <v>12</v>
      </c>
      <c r="AC24" s="39">
        <f t="shared" si="16"/>
        <v>228</v>
      </c>
      <c r="AD24" s="39">
        <f t="shared" si="16"/>
        <v>0</v>
      </c>
      <c r="AE24" s="40">
        <f t="shared" si="16"/>
        <v>97</v>
      </c>
      <c r="AF24" s="40">
        <f t="shared" si="16"/>
        <v>325</v>
      </c>
    </row>
    <row r="25" spans="2:32" ht="23.1" customHeight="1" x14ac:dyDescent="0.25">
      <c r="B25" s="23" t="s">
        <v>52</v>
      </c>
      <c r="C25" s="50">
        <v>9</v>
      </c>
      <c r="D25" s="50">
        <v>3</v>
      </c>
      <c r="E25" s="50">
        <v>6</v>
      </c>
      <c r="F25" s="50">
        <v>1</v>
      </c>
      <c r="G25" s="50">
        <v>0</v>
      </c>
      <c r="H25" s="50">
        <v>1</v>
      </c>
      <c r="I25" s="50">
        <v>1</v>
      </c>
      <c r="J25" s="50">
        <v>0</v>
      </c>
      <c r="K25" s="50">
        <v>2</v>
      </c>
      <c r="L25" s="50">
        <v>4</v>
      </c>
      <c r="M25" s="50">
        <f>'[1]RD116 MCC'!M165</f>
        <v>70</v>
      </c>
      <c r="N25" s="50">
        <f>'[1]RD116 MCC'!V165</f>
        <v>0</v>
      </c>
      <c r="O25" s="15">
        <f t="shared" si="0"/>
        <v>27</v>
      </c>
      <c r="P25" s="15">
        <f t="shared" si="1"/>
        <v>97</v>
      </c>
      <c r="R25" s="37" t="s">
        <v>85</v>
      </c>
      <c r="S25" s="35">
        <f t="shared" ref="S25:AF25" si="17">SUM(S10:S12)</f>
        <v>63</v>
      </c>
      <c r="T25" s="16">
        <f t="shared" si="17"/>
        <v>24</v>
      </c>
      <c r="U25" s="16">
        <f t="shared" si="17"/>
        <v>57</v>
      </c>
      <c r="V25" s="16">
        <f t="shared" si="17"/>
        <v>15</v>
      </c>
      <c r="W25" s="16">
        <f t="shared" si="17"/>
        <v>5</v>
      </c>
      <c r="X25" s="16">
        <f t="shared" si="17"/>
        <v>7</v>
      </c>
      <c r="Y25" s="16">
        <f t="shared" si="17"/>
        <v>24</v>
      </c>
      <c r="Z25" s="16">
        <f t="shared" si="17"/>
        <v>17</v>
      </c>
      <c r="AA25" s="16">
        <f t="shared" si="17"/>
        <v>1</v>
      </c>
      <c r="AB25" s="16">
        <f t="shared" si="17"/>
        <v>6</v>
      </c>
      <c r="AC25" s="16">
        <f t="shared" si="17"/>
        <v>671</v>
      </c>
      <c r="AD25" s="16">
        <f t="shared" si="17"/>
        <v>2</v>
      </c>
      <c r="AE25" s="32">
        <f t="shared" si="17"/>
        <v>221</v>
      </c>
      <c r="AF25" s="32">
        <f t="shared" si="17"/>
        <v>892</v>
      </c>
    </row>
    <row r="26" spans="2:32" ht="23.1" customHeight="1" x14ac:dyDescent="0.25">
      <c r="B26" s="23" t="s">
        <v>53</v>
      </c>
      <c r="C26" s="50">
        <v>12</v>
      </c>
      <c r="D26" s="50">
        <v>1</v>
      </c>
      <c r="E26" s="50">
        <v>3</v>
      </c>
      <c r="F26" s="50">
        <v>4</v>
      </c>
      <c r="G26" s="50">
        <v>0</v>
      </c>
      <c r="H26" s="50">
        <v>1</v>
      </c>
      <c r="I26" s="50">
        <v>3</v>
      </c>
      <c r="J26" s="50">
        <v>3</v>
      </c>
      <c r="K26" s="50">
        <v>0</v>
      </c>
      <c r="L26" s="50">
        <v>1</v>
      </c>
      <c r="M26" s="50">
        <f>'[1]RD116 MCC'!M166</f>
        <v>69</v>
      </c>
      <c r="N26" s="50">
        <f>'[1]RD116 MCC'!V166</f>
        <v>0</v>
      </c>
      <c r="O26" s="15">
        <f t="shared" si="0"/>
        <v>28</v>
      </c>
      <c r="P26" s="15">
        <f t="shared" si="1"/>
        <v>97</v>
      </c>
      <c r="R26" s="28" t="s">
        <v>86</v>
      </c>
      <c r="S26" s="16">
        <f t="shared" ref="S26:AF26" si="18">SUM(S13:S18)</f>
        <v>154</v>
      </c>
      <c r="T26" s="16">
        <f t="shared" si="18"/>
        <v>52</v>
      </c>
      <c r="U26" s="16">
        <f t="shared" si="18"/>
        <v>120</v>
      </c>
      <c r="V26" s="16">
        <f t="shared" si="18"/>
        <v>27</v>
      </c>
      <c r="W26" s="16">
        <f t="shared" si="18"/>
        <v>0</v>
      </c>
      <c r="X26" s="16">
        <f t="shared" si="18"/>
        <v>12</v>
      </c>
      <c r="Y26" s="16">
        <f t="shared" si="18"/>
        <v>53</v>
      </c>
      <c r="Z26" s="16">
        <f t="shared" si="18"/>
        <v>41</v>
      </c>
      <c r="AA26" s="16">
        <f t="shared" si="18"/>
        <v>10</v>
      </c>
      <c r="AB26" s="16">
        <f t="shared" si="18"/>
        <v>86</v>
      </c>
      <c r="AC26" s="16">
        <f t="shared" si="18"/>
        <v>1252</v>
      </c>
      <c r="AD26" s="16">
        <f t="shared" si="18"/>
        <v>0</v>
      </c>
      <c r="AE26" s="32">
        <f t="shared" si="18"/>
        <v>555</v>
      </c>
      <c r="AF26" s="32">
        <f t="shared" si="18"/>
        <v>1807</v>
      </c>
    </row>
    <row r="27" spans="2:32" ht="23.1" customHeight="1" x14ac:dyDescent="0.25">
      <c r="B27" s="23" t="s">
        <v>54</v>
      </c>
      <c r="C27" s="50">
        <v>6</v>
      </c>
      <c r="D27" s="50">
        <v>3</v>
      </c>
      <c r="E27" s="50">
        <v>7</v>
      </c>
      <c r="F27" s="50">
        <v>0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7</v>
      </c>
      <c r="M27" s="50">
        <f>'[1]RD116 MCC'!M167</f>
        <v>50</v>
      </c>
      <c r="N27" s="50">
        <f>'[1]RD116 MCC'!V167</f>
        <v>0</v>
      </c>
      <c r="O27" s="15">
        <f t="shared" si="0"/>
        <v>29</v>
      </c>
      <c r="P27" s="15">
        <f t="shared" si="1"/>
        <v>79</v>
      </c>
      <c r="R27" s="29" t="s">
        <v>87</v>
      </c>
      <c r="S27" s="16">
        <f t="shared" ref="S27:AF27" si="19">SUM(S19:S21)</f>
        <v>75</v>
      </c>
      <c r="T27" s="16">
        <f t="shared" si="19"/>
        <v>32</v>
      </c>
      <c r="U27" s="16">
        <f t="shared" si="19"/>
        <v>71</v>
      </c>
      <c r="V27" s="16">
        <f t="shared" si="19"/>
        <v>11</v>
      </c>
      <c r="W27" s="16">
        <f t="shared" si="19"/>
        <v>0</v>
      </c>
      <c r="X27" s="16">
        <f t="shared" si="19"/>
        <v>8</v>
      </c>
      <c r="Y27" s="16">
        <f t="shared" si="19"/>
        <v>22</v>
      </c>
      <c r="Z27" s="16">
        <f t="shared" si="19"/>
        <v>12</v>
      </c>
      <c r="AA27" s="16">
        <f t="shared" si="19"/>
        <v>5</v>
      </c>
      <c r="AB27" s="16">
        <f t="shared" si="19"/>
        <v>17</v>
      </c>
      <c r="AC27" s="16">
        <f t="shared" si="19"/>
        <v>593</v>
      </c>
      <c r="AD27" s="16">
        <f t="shared" si="19"/>
        <v>0</v>
      </c>
      <c r="AE27" s="32">
        <f t="shared" si="19"/>
        <v>253</v>
      </c>
      <c r="AF27" s="32">
        <f t="shared" si="19"/>
        <v>846</v>
      </c>
    </row>
    <row r="28" spans="2:32" ht="23.1" customHeight="1" x14ac:dyDescent="0.25">
      <c r="B28" s="23" t="s">
        <v>55</v>
      </c>
      <c r="C28" s="50">
        <v>6</v>
      </c>
      <c r="D28" s="50">
        <v>5</v>
      </c>
      <c r="E28" s="50">
        <v>11</v>
      </c>
      <c r="F28" s="50">
        <v>0</v>
      </c>
      <c r="G28" s="50">
        <v>0</v>
      </c>
      <c r="H28" s="50">
        <v>0</v>
      </c>
      <c r="I28" s="50">
        <v>2</v>
      </c>
      <c r="J28" s="50">
        <v>5</v>
      </c>
      <c r="K28" s="50">
        <v>0</v>
      </c>
      <c r="L28" s="50">
        <v>1</v>
      </c>
      <c r="M28" s="50">
        <f>'[1]RD116 MCC'!M168</f>
        <v>49</v>
      </c>
      <c r="N28" s="50">
        <f>'[1]RD116 MCC'!V168</f>
        <v>0</v>
      </c>
      <c r="O28" s="15">
        <f t="shared" si="0"/>
        <v>30</v>
      </c>
      <c r="P28" s="15">
        <f t="shared" si="1"/>
        <v>79</v>
      </c>
      <c r="R28" s="5" t="s">
        <v>17</v>
      </c>
      <c r="S28" s="16">
        <f t="shared" ref="S28:AF28" si="20">SUM(S10:S21)</f>
        <v>292</v>
      </c>
      <c r="T28" s="16">
        <f t="shared" si="20"/>
        <v>108</v>
      </c>
      <c r="U28" s="16">
        <f t="shared" si="20"/>
        <v>248</v>
      </c>
      <c r="V28" s="16">
        <f t="shared" si="20"/>
        <v>53</v>
      </c>
      <c r="W28" s="16">
        <f t="shared" si="20"/>
        <v>5</v>
      </c>
      <c r="X28" s="16">
        <f t="shared" si="20"/>
        <v>27</v>
      </c>
      <c r="Y28" s="16">
        <f t="shared" si="20"/>
        <v>99</v>
      </c>
      <c r="Z28" s="16">
        <f t="shared" si="20"/>
        <v>70</v>
      </c>
      <c r="AA28" s="16">
        <f t="shared" si="20"/>
        <v>16</v>
      </c>
      <c r="AB28" s="16">
        <f t="shared" si="20"/>
        <v>109</v>
      </c>
      <c r="AC28" s="16">
        <f t="shared" si="20"/>
        <v>2516</v>
      </c>
      <c r="AD28" s="16">
        <f t="shared" si="20"/>
        <v>2</v>
      </c>
      <c r="AE28" s="32">
        <f t="shared" si="20"/>
        <v>1029</v>
      </c>
      <c r="AF28" s="32">
        <f t="shared" si="20"/>
        <v>3545</v>
      </c>
    </row>
    <row r="29" spans="2:32" ht="23.1" customHeight="1" x14ac:dyDescent="0.25">
      <c r="B29" s="23" t="s">
        <v>56</v>
      </c>
      <c r="C29" s="50">
        <v>9</v>
      </c>
      <c r="D29" s="50">
        <v>4</v>
      </c>
      <c r="E29" s="50">
        <v>9</v>
      </c>
      <c r="F29" s="50">
        <v>2</v>
      </c>
      <c r="G29" s="50">
        <v>0</v>
      </c>
      <c r="H29" s="50">
        <v>3</v>
      </c>
      <c r="I29" s="50">
        <v>0</v>
      </c>
      <c r="J29" s="50">
        <v>1</v>
      </c>
      <c r="K29" s="50">
        <v>0</v>
      </c>
      <c r="L29" s="50">
        <v>5</v>
      </c>
      <c r="M29" s="50">
        <f>'[1]RD116 MCC'!M169</f>
        <v>45</v>
      </c>
      <c r="N29" s="50">
        <f>'[1]RD116 MCC'!V169</f>
        <v>0</v>
      </c>
      <c r="O29" s="15">
        <f t="shared" si="0"/>
        <v>33</v>
      </c>
      <c r="P29" s="15">
        <f t="shared" si="1"/>
        <v>78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2</v>
      </c>
      <c r="E30" s="50">
        <v>5</v>
      </c>
      <c r="F30" s="50">
        <v>2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2</v>
      </c>
      <c r="M30" s="50">
        <f>'[1]RD116 MCC'!M170</f>
        <v>54</v>
      </c>
      <c r="N30" s="50">
        <f>'[1]RD116 MCC'!V170</f>
        <v>0</v>
      </c>
      <c r="O30" s="15">
        <f t="shared" si="0"/>
        <v>19</v>
      </c>
      <c r="P30" s="15">
        <f t="shared" si="1"/>
        <v>73</v>
      </c>
    </row>
    <row r="31" spans="2:32" ht="23.1" customHeight="1" x14ac:dyDescent="0.25">
      <c r="B31" s="24" t="s">
        <v>58</v>
      </c>
      <c r="C31" s="50">
        <v>6</v>
      </c>
      <c r="D31" s="50">
        <v>3</v>
      </c>
      <c r="E31" s="50">
        <v>6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1</v>
      </c>
      <c r="L31" s="50">
        <v>9</v>
      </c>
      <c r="M31" s="50">
        <f>'[1]RD116 MCC'!M171</f>
        <v>42</v>
      </c>
      <c r="N31" s="50">
        <f>'[1]RD116 MCC'!V171</f>
        <v>0</v>
      </c>
      <c r="O31" s="15">
        <f t="shared" si="0"/>
        <v>29</v>
      </c>
      <c r="P31" s="15">
        <f t="shared" si="1"/>
        <v>71</v>
      </c>
    </row>
    <row r="32" spans="2:32" ht="23.1" customHeight="1" x14ac:dyDescent="0.25">
      <c r="B32" s="24" t="s">
        <v>59</v>
      </c>
      <c r="C32" s="50">
        <v>10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4</v>
      </c>
      <c r="J32" s="50">
        <v>0</v>
      </c>
      <c r="K32" s="50">
        <v>1</v>
      </c>
      <c r="L32" s="50">
        <v>5</v>
      </c>
      <c r="M32" s="50">
        <f>'[1]RD116 MCC'!M172</f>
        <v>42</v>
      </c>
      <c r="N32" s="50">
        <f>'[1]RD116 MCC'!V172</f>
        <v>0</v>
      </c>
      <c r="O32" s="15">
        <f t="shared" si="0"/>
        <v>23</v>
      </c>
      <c r="P32" s="15">
        <f t="shared" si="1"/>
        <v>65</v>
      </c>
    </row>
    <row r="33" spans="2:20" ht="23.1" customHeight="1" x14ac:dyDescent="0.25">
      <c r="B33" s="23" t="s">
        <v>60</v>
      </c>
      <c r="C33" s="50">
        <v>9</v>
      </c>
      <c r="D33" s="50">
        <v>5</v>
      </c>
      <c r="E33" s="50">
        <v>10</v>
      </c>
      <c r="F33" s="50">
        <v>0</v>
      </c>
      <c r="G33" s="50">
        <v>0</v>
      </c>
      <c r="H33" s="50">
        <v>1</v>
      </c>
      <c r="I33" s="50">
        <v>2</v>
      </c>
      <c r="J33" s="50">
        <v>0</v>
      </c>
      <c r="K33" s="50">
        <v>0</v>
      </c>
      <c r="L33" s="50">
        <v>3</v>
      </c>
      <c r="M33" s="50">
        <f>'[1]RD116 MCC'!M173</f>
        <v>57</v>
      </c>
      <c r="N33" s="50">
        <f>'[1]RD116 MCC'!V173</f>
        <v>0</v>
      </c>
      <c r="O33" s="15">
        <f t="shared" si="0"/>
        <v>30</v>
      </c>
      <c r="P33" s="15">
        <f t="shared" si="1"/>
        <v>87</v>
      </c>
    </row>
    <row r="34" spans="2:20" ht="23.1" customHeight="1" x14ac:dyDescent="0.25">
      <c r="B34" s="24" t="s">
        <v>61</v>
      </c>
      <c r="C34" s="50">
        <v>8</v>
      </c>
      <c r="D34" s="50">
        <v>1</v>
      </c>
      <c r="E34" s="50">
        <v>3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f>'[1]RD116 MCC'!M174</f>
        <v>59</v>
      </c>
      <c r="N34" s="50">
        <f>'[1]RD116 MCC'!V174</f>
        <v>0</v>
      </c>
      <c r="O34" s="15">
        <f t="shared" si="0"/>
        <v>13</v>
      </c>
      <c r="P34" s="15">
        <f t="shared" si="1"/>
        <v>72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1</v>
      </c>
      <c r="F35" s="50">
        <v>2</v>
      </c>
      <c r="G35" s="50">
        <v>0</v>
      </c>
      <c r="H35" s="50">
        <v>1</v>
      </c>
      <c r="I35" s="50">
        <v>2</v>
      </c>
      <c r="J35" s="50">
        <v>1</v>
      </c>
      <c r="K35" s="50">
        <v>0</v>
      </c>
      <c r="L35" s="50">
        <v>2</v>
      </c>
      <c r="M35" s="50">
        <f>'[1]RD116 MCC'!M175</f>
        <v>50</v>
      </c>
      <c r="N35" s="50">
        <f>'[1]RD116 MCC'!V175</f>
        <v>0</v>
      </c>
      <c r="O35" s="15">
        <f t="shared" si="0"/>
        <v>14</v>
      </c>
      <c r="P35" s="15">
        <f t="shared" si="1"/>
        <v>64</v>
      </c>
    </row>
    <row r="36" spans="2:20" ht="23.1" customHeight="1" x14ac:dyDescent="0.25">
      <c r="B36" s="24" t="s">
        <v>63</v>
      </c>
      <c r="C36" s="50">
        <v>7</v>
      </c>
      <c r="D36" s="50">
        <v>3</v>
      </c>
      <c r="E36" s="50">
        <v>6</v>
      </c>
      <c r="F36" s="50">
        <v>1</v>
      </c>
      <c r="G36" s="50">
        <v>0</v>
      </c>
      <c r="H36" s="50">
        <v>0</v>
      </c>
      <c r="I36" s="50">
        <v>3</v>
      </c>
      <c r="J36" s="50">
        <v>3</v>
      </c>
      <c r="K36" s="50">
        <v>0</v>
      </c>
      <c r="L36" s="50">
        <v>2</v>
      </c>
      <c r="M36" s="50">
        <f>'[1]RD116 MCC'!M176</f>
        <v>51</v>
      </c>
      <c r="N36" s="50">
        <f>'[1]RD116 MCC'!V176</f>
        <v>0</v>
      </c>
      <c r="O36" s="15">
        <f t="shared" si="0"/>
        <v>25</v>
      </c>
      <c r="P36" s="15">
        <f t="shared" si="1"/>
        <v>76</v>
      </c>
    </row>
    <row r="37" spans="2:20" ht="23.1" customHeight="1" x14ac:dyDescent="0.25">
      <c r="B37" s="23" t="s">
        <v>64</v>
      </c>
      <c r="C37" s="50">
        <v>8</v>
      </c>
      <c r="D37" s="50">
        <v>1</v>
      </c>
      <c r="E37" s="50">
        <v>2</v>
      </c>
      <c r="F37" s="50">
        <v>1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7</v>
      </c>
      <c r="M37" s="50">
        <f>'[1]RD116 MCC'!M177</f>
        <v>39</v>
      </c>
      <c r="N37" s="50">
        <f>'[1]RD116 MCC'!V177</f>
        <v>0</v>
      </c>
      <c r="O37" s="15">
        <f t="shared" si="0"/>
        <v>23</v>
      </c>
      <c r="P37" s="15">
        <f t="shared" si="1"/>
        <v>62</v>
      </c>
    </row>
    <row r="38" spans="2:20" ht="23.1" customHeight="1" x14ac:dyDescent="0.25">
      <c r="B38" s="24" t="s">
        <v>65</v>
      </c>
      <c r="C38" s="50">
        <v>6</v>
      </c>
      <c r="D38" s="50">
        <v>2</v>
      </c>
      <c r="E38" s="50">
        <v>5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2</v>
      </c>
      <c r="M38" s="50">
        <f>'[1]RD116 MCC'!M178</f>
        <v>46</v>
      </c>
      <c r="N38" s="50">
        <f>'[1]RD116 MCC'!V178</f>
        <v>0</v>
      </c>
      <c r="O38" s="15">
        <f t="shared" si="0"/>
        <v>19</v>
      </c>
      <c r="P38" s="15">
        <f t="shared" si="1"/>
        <v>65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3</v>
      </c>
      <c r="F39" s="50">
        <v>0</v>
      </c>
      <c r="G39" s="50">
        <v>0</v>
      </c>
      <c r="H39" s="50">
        <v>1</v>
      </c>
      <c r="I39" s="50">
        <v>1</v>
      </c>
      <c r="J39" s="50">
        <v>1</v>
      </c>
      <c r="K39" s="50">
        <v>0</v>
      </c>
      <c r="L39" s="50">
        <v>5</v>
      </c>
      <c r="M39" s="50">
        <f>'[1]RD116 MCC'!M179</f>
        <v>38</v>
      </c>
      <c r="N39" s="50">
        <f>'[1]RD116 MCC'!V179</f>
        <v>0</v>
      </c>
      <c r="O39" s="15">
        <f t="shared" si="0"/>
        <v>18</v>
      </c>
      <c r="P39" s="15">
        <f t="shared" si="1"/>
        <v>56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2</v>
      </c>
      <c r="F40" s="50">
        <v>1</v>
      </c>
      <c r="G40" s="50">
        <v>0</v>
      </c>
      <c r="H40" s="50">
        <v>2</v>
      </c>
      <c r="I40" s="50">
        <v>1</v>
      </c>
      <c r="J40" s="50">
        <v>1</v>
      </c>
      <c r="K40" s="50">
        <v>0</v>
      </c>
      <c r="L40" s="50">
        <v>1</v>
      </c>
      <c r="M40" s="50">
        <f>'[1]RD116 MCC'!M180</f>
        <v>55</v>
      </c>
      <c r="N40" s="50">
        <f>'[1]RD116 MCC'!V180</f>
        <v>0</v>
      </c>
      <c r="O40" s="15">
        <f t="shared" si="0"/>
        <v>13</v>
      </c>
      <c r="P40" s="15">
        <f t="shared" si="1"/>
        <v>68</v>
      </c>
    </row>
    <row r="41" spans="2:20" ht="23.1" customHeight="1" x14ac:dyDescent="0.25">
      <c r="B41" s="23" t="s">
        <v>68</v>
      </c>
      <c r="C41" s="50">
        <v>7</v>
      </c>
      <c r="D41" s="50">
        <v>2</v>
      </c>
      <c r="E41" s="50">
        <v>5</v>
      </c>
      <c r="F41" s="50">
        <v>1</v>
      </c>
      <c r="G41" s="50">
        <v>0</v>
      </c>
      <c r="H41" s="50">
        <v>0</v>
      </c>
      <c r="I41" s="50">
        <v>1</v>
      </c>
      <c r="J41" s="50">
        <v>2</v>
      </c>
      <c r="K41" s="50">
        <v>1</v>
      </c>
      <c r="L41" s="50">
        <v>2</v>
      </c>
      <c r="M41" s="50">
        <f>'[1]RD116 MCC'!M181</f>
        <v>71</v>
      </c>
      <c r="N41" s="50">
        <f>'[1]RD116 MCC'!V181</f>
        <v>0</v>
      </c>
      <c r="O41" s="15">
        <f t="shared" si="0"/>
        <v>21</v>
      </c>
      <c r="P41" s="15">
        <f t="shared" si="1"/>
        <v>92</v>
      </c>
    </row>
    <row r="42" spans="2:20" ht="23.1" customHeight="1" x14ac:dyDescent="0.25">
      <c r="B42" s="24" t="s">
        <v>69</v>
      </c>
      <c r="C42" s="50">
        <v>8</v>
      </c>
      <c r="D42" s="50">
        <v>2</v>
      </c>
      <c r="E42" s="50">
        <v>5</v>
      </c>
      <c r="F42" s="50">
        <v>0</v>
      </c>
      <c r="G42" s="50">
        <v>0</v>
      </c>
      <c r="H42" s="50">
        <v>0</v>
      </c>
      <c r="I42" s="50">
        <v>3</v>
      </c>
      <c r="J42" s="50">
        <v>3</v>
      </c>
      <c r="K42" s="50">
        <v>1</v>
      </c>
      <c r="L42" s="50">
        <v>4</v>
      </c>
      <c r="M42" s="50">
        <f>'[1]RD116 MCC'!M182</f>
        <v>56</v>
      </c>
      <c r="N42" s="50">
        <f>'[1]RD116 MCC'!V182</f>
        <v>0</v>
      </c>
      <c r="O42" s="15">
        <f t="shared" si="0"/>
        <v>26</v>
      </c>
      <c r="P42" s="15">
        <f t="shared" si="1"/>
        <v>82</v>
      </c>
    </row>
    <row r="43" spans="2:20" ht="23.1" customHeight="1" x14ac:dyDescent="0.25">
      <c r="B43" s="23" t="s">
        <v>70</v>
      </c>
      <c r="C43" s="50">
        <v>7</v>
      </c>
      <c r="D43" s="50">
        <v>1</v>
      </c>
      <c r="E43" s="50">
        <v>3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1</v>
      </c>
      <c r="L43" s="50">
        <v>4</v>
      </c>
      <c r="M43" s="50">
        <f>'[1]RD116 MCC'!M183</f>
        <v>33</v>
      </c>
      <c r="N43" s="50">
        <f>'[1]RD116 MCC'!V183</f>
        <v>0</v>
      </c>
      <c r="O43" s="15">
        <f t="shared" si="0"/>
        <v>17</v>
      </c>
      <c r="P43" s="15">
        <f t="shared" si="1"/>
        <v>50</v>
      </c>
    </row>
    <row r="44" spans="2:20" ht="23.1" customHeight="1" x14ac:dyDescent="0.25">
      <c r="B44" s="25" t="s">
        <v>71</v>
      </c>
      <c r="C44" s="50">
        <v>5</v>
      </c>
      <c r="D44" s="50">
        <v>2</v>
      </c>
      <c r="E44" s="50">
        <v>5</v>
      </c>
      <c r="F44" s="50">
        <v>5</v>
      </c>
      <c r="G44" s="50">
        <v>0</v>
      </c>
      <c r="H44" s="50">
        <v>0</v>
      </c>
      <c r="I44" s="50">
        <v>3</v>
      </c>
      <c r="J44" s="50">
        <v>3</v>
      </c>
      <c r="K44" s="50">
        <v>1</v>
      </c>
      <c r="L44" s="50">
        <v>6</v>
      </c>
      <c r="M44" s="50">
        <f>'[1]RD116 MCC'!M184</f>
        <v>52</v>
      </c>
      <c r="N44" s="50">
        <f>'[1]RD116 MCC'!V184</f>
        <v>0</v>
      </c>
      <c r="O44" s="15">
        <f t="shared" si="0"/>
        <v>30</v>
      </c>
      <c r="P44" s="15">
        <f t="shared" si="1"/>
        <v>82</v>
      </c>
    </row>
    <row r="45" spans="2:20" ht="23.1" customHeight="1" x14ac:dyDescent="0.25">
      <c r="B45" s="23" t="s">
        <v>72</v>
      </c>
      <c r="C45" s="50">
        <v>1</v>
      </c>
      <c r="D45" s="50">
        <v>3</v>
      </c>
      <c r="E45" s="50">
        <v>6</v>
      </c>
      <c r="F45" s="50">
        <v>1</v>
      </c>
      <c r="G45" s="50">
        <v>0</v>
      </c>
      <c r="H45" s="50">
        <v>0</v>
      </c>
      <c r="I45" s="50">
        <v>0</v>
      </c>
      <c r="J45" s="50">
        <v>3</v>
      </c>
      <c r="K45" s="50">
        <v>0</v>
      </c>
      <c r="L45" s="50">
        <v>4</v>
      </c>
      <c r="M45" s="50">
        <f>'[1]RD116 MCC'!M185</f>
        <v>44</v>
      </c>
      <c r="N45" s="50">
        <f>'[1]RD116 MCC'!V185</f>
        <v>0</v>
      </c>
      <c r="O45" s="15">
        <f t="shared" si="0"/>
        <v>18</v>
      </c>
      <c r="P45" s="15">
        <f t="shared" si="1"/>
        <v>62</v>
      </c>
    </row>
    <row r="46" spans="2:20" ht="23.1" customHeight="1" x14ac:dyDescent="0.25">
      <c r="B46" s="24" t="s">
        <v>73</v>
      </c>
      <c r="C46" s="50">
        <v>9</v>
      </c>
      <c r="D46" s="50">
        <v>3</v>
      </c>
      <c r="E46" s="50">
        <v>7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3</v>
      </c>
      <c r="M46" s="50">
        <f>'[1]RD116 MCC'!M186</f>
        <v>51</v>
      </c>
      <c r="N46" s="50">
        <f>'[1]RD116 MCC'!V186</f>
        <v>0</v>
      </c>
      <c r="O46" s="15">
        <f t="shared" si="0"/>
        <v>25</v>
      </c>
      <c r="P46" s="15">
        <f t="shared" si="1"/>
        <v>76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1</v>
      </c>
      <c r="E47" s="50">
        <v>3</v>
      </c>
      <c r="F47" s="50">
        <v>1</v>
      </c>
      <c r="G47" s="50">
        <v>0</v>
      </c>
      <c r="H47" s="50">
        <v>1</v>
      </c>
      <c r="I47" s="50">
        <v>4</v>
      </c>
      <c r="J47" s="50">
        <v>0</v>
      </c>
      <c r="K47" s="50">
        <v>0</v>
      </c>
      <c r="L47" s="50">
        <v>0</v>
      </c>
      <c r="M47" s="50">
        <f>'[1]RD116 MCC'!M187</f>
        <v>44</v>
      </c>
      <c r="N47" s="50">
        <f>'[1]RD116 MCC'!V187</f>
        <v>0</v>
      </c>
      <c r="O47" s="15">
        <f t="shared" si="0"/>
        <v>13</v>
      </c>
      <c r="P47" s="15">
        <f t="shared" si="1"/>
        <v>57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2</v>
      </c>
      <c r="E48" s="50">
        <v>5</v>
      </c>
      <c r="F48" s="50">
        <v>0</v>
      </c>
      <c r="G48" s="50">
        <v>0</v>
      </c>
      <c r="H48" s="50">
        <v>1</v>
      </c>
      <c r="I48" s="50">
        <v>3</v>
      </c>
      <c r="J48" s="50">
        <v>0</v>
      </c>
      <c r="K48" s="50">
        <v>0</v>
      </c>
      <c r="L48" s="50">
        <v>0</v>
      </c>
      <c r="M48" s="50">
        <f>'[1]RD116 MCC'!M188</f>
        <v>52</v>
      </c>
      <c r="N48" s="50">
        <f>'[1]RD116 MCC'!V188</f>
        <v>0</v>
      </c>
      <c r="O48" s="15">
        <f t="shared" si="0"/>
        <v>17</v>
      </c>
      <c r="P48" s="15">
        <f t="shared" si="1"/>
        <v>69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1</v>
      </c>
      <c r="E49" s="50">
        <v>3</v>
      </c>
      <c r="F49" s="50">
        <v>2</v>
      </c>
      <c r="G49" s="50">
        <v>0</v>
      </c>
      <c r="H49" s="50">
        <v>1</v>
      </c>
      <c r="I49" s="50">
        <v>2</v>
      </c>
      <c r="J49" s="50">
        <v>2</v>
      </c>
      <c r="K49" s="50">
        <v>0</v>
      </c>
      <c r="L49" s="50">
        <v>0</v>
      </c>
      <c r="M49" s="50">
        <f>'[1]RD116 MCC'!M189</f>
        <v>42</v>
      </c>
      <c r="N49" s="50">
        <f>'[1]RD116 MCC'!V189</f>
        <v>0</v>
      </c>
      <c r="O49" s="15">
        <f t="shared" si="0"/>
        <v>17</v>
      </c>
      <c r="P49" s="15">
        <f t="shared" si="1"/>
        <v>59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4</v>
      </c>
      <c r="M50" s="50">
        <f>'[1]RD116 MCC'!M190</f>
        <v>35</v>
      </c>
      <c r="N50" s="50">
        <f>'[1]RD116 MCC'!V190</f>
        <v>0</v>
      </c>
      <c r="O50" s="15">
        <f t="shared" si="0"/>
        <v>13</v>
      </c>
      <c r="P50" s="15">
        <f t="shared" si="1"/>
        <v>48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3</v>
      </c>
      <c r="E51" s="50">
        <v>7</v>
      </c>
      <c r="F51" s="50">
        <v>1</v>
      </c>
      <c r="G51" s="50">
        <v>0</v>
      </c>
      <c r="H51" s="50">
        <v>3</v>
      </c>
      <c r="I51" s="50">
        <v>0</v>
      </c>
      <c r="J51" s="50">
        <v>3</v>
      </c>
      <c r="K51" s="50">
        <v>0</v>
      </c>
      <c r="L51" s="50">
        <v>4</v>
      </c>
      <c r="M51" s="50">
        <f>'[1]RD116 MCC'!M191</f>
        <v>61</v>
      </c>
      <c r="N51" s="50">
        <f>'[1]RD116 MCC'!V191</f>
        <v>0</v>
      </c>
      <c r="O51" s="15">
        <f t="shared" si="0"/>
        <v>27</v>
      </c>
      <c r="P51" s="15">
        <f t="shared" si="1"/>
        <v>88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4</v>
      </c>
      <c r="E52" s="50">
        <v>9</v>
      </c>
      <c r="F52" s="50">
        <v>2</v>
      </c>
      <c r="G52" s="50">
        <v>0</v>
      </c>
      <c r="H52" s="50">
        <v>0</v>
      </c>
      <c r="I52" s="50">
        <v>3</v>
      </c>
      <c r="J52" s="50">
        <v>0</v>
      </c>
      <c r="K52" s="50">
        <v>1</v>
      </c>
      <c r="L52" s="50">
        <v>1</v>
      </c>
      <c r="M52" s="50">
        <f>'[1]RD116 MCC'!M192</f>
        <v>45</v>
      </c>
      <c r="N52" s="50">
        <f>'[1]RD116 MCC'!V192</f>
        <v>0</v>
      </c>
      <c r="O52" s="15">
        <f t="shared" si="0"/>
        <v>20</v>
      </c>
      <c r="P52" s="15">
        <f t="shared" si="1"/>
        <v>65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3</v>
      </c>
      <c r="E53" s="50">
        <v>6</v>
      </c>
      <c r="F53" s="50">
        <v>1</v>
      </c>
      <c r="G53" s="50">
        <v>0</v>
      </c>
      <c r="H53" s="50">
        <v>1</v>
      </c>
      <c r="I53" s="50">
        <v>1</v>
      </c>
      <c r="J53" s="50">
        <v>1</v>
      </c>
      <c r="K53" s="50">
        <v>0</v>
      </c>
      <c r="L53" s="50">
        <v>3</v>
      </c>
      <c r="M53" s="50">
        <f>'[1]RD116 MCC'!M193</f>
        <v>35</v>
      </c>
      <c r="N53" s="50">
        <f>'[1]RD116 MCC'!V193</f>
        <v>0</v>
      </c>
      <c r="O53" s="15">
        <f t="shared" si="0"/>
        <v>24</v>
      </c>
      <c r="P53" s="15">
        <f t="shared" si="1"/>
        <v>59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4</v>
      </c>
      <c r="E54" s="50">
        <v>8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1</v>
      </c>
      <c r="M54" s="50">
        <f>'[1]RD116 MCC'!M194</f>
        <v>43</v>
      </c>
      <c r="N54" s="50">
        <f>'[1]RD116 MCC'!V194</f>
        <v>0</v>
      </c>
      <c r="O54" s="15">
        <f t="shared" si="0"/>
        <v>23</v>
      </c>
      <c r="P54" s="15">
        <f t="shared" si="1"/>
        <v>66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2</v>
      </c>
      <c r="E55" s="50">
        <v>5</v>
      </c>
      <c r="F55" s="50">
        <v>1</v>
      </c>
      <c r="G55" s="50">
        <v>0</v>
      </c>
      <c r="H55" s="50">
        <v>0</v>
      </c>
      <c r="I55" s="50">
        <v>4</v>
      </c>
      <c r="J55" s="50">
        <v>2</v>
      </c>
      <c r="K55" s="50">
        <v>1</v>
      </c>
      <c r="L55" s="50">
        <v>0</v>
      </c>
      <c r="M55" s="50">
        <f>'[1]RD116 MCC'!M195</f>
        <v>58</v>
      </c>
      <c r="N55" s="50">
        <f>'[1]RD116 MCC'!V195</f>
        <v>0</v>
      </c>
      <c r="O55" s="15">
        <f t="shared" si="0"/>
        <v>21</v>
      </c>
      <c r="P55" s="15">
        <f t="shared" si="1"/>
        <v>79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4</v>
      </c>
      <c r="E56" s="50">
        <v>8</v>
      </c>
      <c r="F56" s="50">
        <v>0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f>'[1]RD116 MCC'!M196</f>
        <v>79</v>
      </c>
      <c r="N56" s="50">
        <f>'[1]RD116 MCC'!V196</f>
        <v>0</v>
      </c>
      <c r="O56" s="15">
        <f t="shared" si="0"/>
        <v>27</v>
      </c>
      <c r="P56" s="15">
        <f t="shared" si="1"/>
        <v>106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4</v>
      </c>
      <c r="E57" s="50">
        <v>8</v>
      </c>
      <c r="F57" s="50">
        <v>2</v>
      </c>
      <c r="G57" s="50">
        <v>0</v>
      </c>
      <c r="H57" s="50">
        <v>1</v>
      </c>
      <c r="I57" s="50">
        <v>1</v>
      </c>
      <c r="J57" s="50">
        <v>0</v>
      </c>
      <c r="K57" s="50">
        <v>2</v>
      </c>
      <c r="L57" s="50">
        <v>1</v>
      </c>
      <c r="M57" s="50">
        <f>'[1]RD116 MCC'!M197</f>
        <v>48</v>
      </c>
      <c r="N57" s="50">
        <f>'[1]RD116 MCC'!V197</f>
        <v>0</v>
      </c>
      <c r="O57" s="15">
        <f t="shared" si="0"/>
        <v>26</v>
      </c>
      <c r="P57" s="15">
        <f t="shared" si="1"/>
        <v>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292</v>
      </c>
      <c r="D58" s="16">
        <f t="shared" si="21"/>
        <v>108</v>
      </c>
      <c r="E58" s="16">
        <f t="shared" si="21"/>
        <v>248</v>
      </c>
      <c r="F58" s="16">
        <f t="shared" si="21"/>
        <v>53</v>
      </c>
      <c r="G58" s="16">
        <f t="shared" si="21"/>
        <v>5</v>
      </c>
      <c r="H58" s="16">
        <f t="shared" si="21"/>
        <v>27</v>
      </c>
      <c r="I58" s="16">
        <f t="shared" si="21"/>
        <v>99</v>
      </c>
      <c r="J58" s="16">
        <f t="shared" si="21"/>
        <v>70</v>
      </c>
      <c r="K58" s="16">
        <f t="shared" si="21"/>
        <v>16</v>
      </c>
      <c r="L58" s="16">
        <f t="shared" si="21"/>
        <v>109</v>
      </c>
      <c r="M58" s="16">
        <f t="shared" si="21"/>
        <v>2516</v>
      </c>
      <c r="N58" s="16">
        <f t="shared" si="21"/>
        <v>2</v>
      </c>
      <c r="O58" s="16">
        <f t="shared" si="21"/>
        <v>1029</v>
      </c>
      <c r="P58" s="16">
        <f t="shared" si="21"/>
        <v>3545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8.2369534555712276E-2</v>
      </c>
      <c r="D59" s="43">
        <f t="shared" si="22"/>
        <v>3.0465444287729196E-2</v>
      </c>
      <c r="E59" s="43">
        <f t="shared" si="22"/>
        <v>6.9957686882933703E-2</v>
      </c>
      <c r="F59" s="43">
        <f t="shared" si="22"/>
        <v>1.4950634696755994E-2</v>
      </c>
      <c r="G59" s="43">
        <f t="shared" si="22"/>
        <v>1.4104372355430183E-3</v>
      </c>
      <c r="H59" s="43">
        <f t="shared" si="22"/>
        <v>7.616361071932299E-3</v>
      </c>
      <c r="I59" s="43">
        <f t="shared" si="22"/>
        <v>2.7926657263751764E-2</v>
      </c>
      <c r="J59" s="43">
        <f t="shared" si="22"/>
        <v>1.9746121297602257E-2</v>
      </c>
      <c r="K59" s="43">
        <f t="shared" si="22"/>
        <v>4.5133991537376584E-3</v>
      </c>
      <c r="L59" s="43">
        <f t="shared" si="22"/>
        <v>3.07475317348378E-2</v>
      </c>
      <c r="M59" s="43">
        <f t="shared" si="22"/>
        <v>0.70973201692524679</v>
      </c>
      <c r="N59" s="43">
        <f t="shared" si="22"/>
        <v>5.641748942172073E-4</v>
      </c>
      <c r="R59" s="8"/>
      <c r="T59"/>
    </row>
    <row r="60" spans="2:20" ht="23.1" customHeight="1" x14ac:dyDescent="0.25">
      <c r="B60" s="42" t="s">
        <v>94</v>
      </c>
      <c r="C60" s="44">
        <f>C58/$O$58</f>
        <v>0.28377065111758987</v>
      </c>
      <c r="D60" s="44">
        <f t="shared" ref="D60:N60" si="23">D58/$O$58</f>
        <v>0.10495626822157435</v>
      </c>
      <c r="E60" s="44">
        <f t="shared" si="23"/>
        <v>0.24101068999028183</v>
      </c>
      <c r="F60" s="44">
        <f t="shared" si="23"/>
        <v>5.1506316812439258E-2</v>
      </c>
      <c r="G60" s="44">
        <f t="shared" si="23"/>
        <v>4.859086491739553E-3</v>
      </c>
      <c r="H60" s="44">
        <f t="shared" si="23"/>
        <v>2.6239067055393587E-2</v>
      </c>
      <c r="I60" s="44">
        <f t="shared" si="23"/>
        <v>9.6209912536443148E-2</v>
      </c>
      <c r="J60" s="44">
        <f t="shared" si="23"/>
        <v>6.8027210884353748E-2</v>
      </c>
      <c r="K60" s="44">
        <f t="shared" si="23"/>
        <v>1.5549076773566569E-2</v>
      </c>
      <c r="L60" s="44">
        <f t="shared" si="23"/>
        <v>0.10592808551992225</v>
      </c>
      <c r="M60" s="44"/>
      <c r="N60" s="44">
        <f t="shared" si="23"/>
        <v>1.9436345966958211E-3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N16" sqref="N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GULU-KARUMA'!D5</f>
        <v>3.08.19</v>
      </c>
      <c r="E5" s="3"/>
      <c r="F5" s="41" t="s">
        <v>1</v>
      </c>
      <c r="G5" s="66" t="str">
        <f>'01.08 GULU-KARUMA'!G5:H5</f>
        <v>xxx</v>
      </c>
      <c r="H5" s="67"/>
      <c r="I5" s="14"/>
      <c r="J5" s="2" t="s">
        <v>5</v>
      </c>
      <c r="K5" s="66" t="str">
        <f>'01.08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164</v>
      </c>
      <c r="E6" s="67"/>
      <c r="F6" s="2" t="s">
        <v>2</v>
      </c>
      <c r="G6" s="66" t="s">
        <v>165</v>
      </c>
      <c r="H6" s="67"/>
      <c r="J6" s="2" t="s">
        <v>21</v>
      </c>
      <c r="K6" s="66" t="str">
        <f>'01.08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1</v>
      </c>
      <c r="E10" s="50">
        <v>3</v>
      </c>
      <c r="F10" s="50">
        <f>'[1]RD116 MCC'!J486</f>
        <v>1</v>
      </c>
      <c r="G10" s="50">
        <v>0</v>
      </c>
      <c r="H10" s="50">
        <v>0</v>
      </c>
      <c r="I10" s="50">
        <f>'[1]RD116 MCC'!O486</f>
        <v>2</v>
      </c>
      <c r="J10" s="50">
        <v>0</v>
      </c>
      <c r="K10" s="50">
        <v>0</v>
      </c>
      <c r="L10" s="50">
        <f>'[1]RD116 MCC'!R486+'[1]RD116 MCC'!S486+'[1]RD116 MCC'!T486+'[1]RD116 MCC'!U486</f>
        <v>1</v>
      </c>
      <c r="M10" s="50">
        <v>72</v>
      </c>
      <c r="N10" s="50">
        <f>'[1]RD116 MCC'!V486</f>
        <v>0</v>
      </c>
      <c r="O10" s="15">
        <f>SUM(C10:L10,N10)</f>
        <v>13</v>
      </c>
      <c r="P10" s="15">
        <f t="shared" ref="P10:P57" si="0">SUM(C10:N10)</f>
        <v>85</v>
      </c>
      <c r="R10" s="1" t="s">
        <v>6</v>
      </c>
      <c r="S10" s="17">
        <f t="shared" ref="S10:AF10" si="1">SUM(C10:C13)</f>
        <v>16</v>
      </c>
      <c r="T10" s="17">
        <f t="shared" si="1"/>
        <v>4</v>
      </c>
      <c r="U10" s="17">
        <f t="shared" si="1"/>
        <v>9</v>
      </c>
      <c r="V10" s="17">
        <f t="shared" si="1"/>
        <v>3</v>
      </c>
      <c r="W10" s="17">
        <f t="shared" si="1"/>
        <v>0</v>
      </c>
      <c r="X10" s="17">
        <f t="shared" si="1"/>
        <v>0</v>
      </c>
      <c r="Y10" s="17">
        <f t="shared" si="1"/>
        <v>8</v>
      </c>
      <c r="Z10" s="17">
        <f t="shared" si="1"/>
        <v>1</v>
      </c>
      <c r="AA10" s="17">
        <f t="shared" si="1"/>
        <v>0</v>
      </c>
      <c r="AB10" s="17">
        <f t="shared" si="1"/>
        <v>16</v>
      </c>
      <c r="AC10" s="17">
        <f t="shared" si="1"/>
        <v>243</v>
      </c>
      <c r="AD10" s="17">
        <f t="shared" si="1"/>
        <v>0</v>
      </c>
      <c r="AE10" s="31">
        <f t="shared" si="1"/>
        <v>57</v>
      </c>
      <c r="AF10" s="31">
        <f t="shared" si="1"/>
        <v>300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2</v>
      </c>
      <c r="F11" s="50">
        <f>'[1]RD116 MCC'!J487</f>
        <v>0</v>
      </c>
      <c r="G11" s="50">
        <v>0</v>
      </c>
      <c r="H11" s="50">
        <v>0</v>
      </c>
      <c r="I11" s="50">
        <f>'[1]RD116 MCC'!O487</f>
        <v>0</v>
      </c>
      <c r="J11" s="50">
        <v>1</v>
      </c>
      <c r="K11" s="50">
        <v>0</v>
      </c>
      <c r="L11" s="50">
        <f>'[1]RD116 MCC'!R487+'[1]RD116 MCC'!S487+'[1]RD116 MCC'!T487+'[1]RD116 MCC'!U487</f>
        <v>10</v>
      </c>
      <c r="M11" s="50">
        <v>55</v>
      </c>
      <c r="N11" s="50">
        <f>'[1]RD116 MCC'!V487</f>
        <v>0</v>
      </c>
      <c r="O11" s="15">
        <f t="shared" ref="O11:O57" si="2">SUM(C11:L11,N11)</f>
        <v>16</v>
      </c>
      <c r="P11" s="15">
        <f t="shared" si="0"/>
        <v>71</v>
      </c>
      <c r="R11" s="1" t="s">
        <v>7</v>
      </c>
      <c r="S11" s="17">
        <f t="shared" ref="S11:AF11" si="3">SUM(C14:C17)</f>
        <v>44</v>
      </c>
      <c r="T11" s="17">
        <f t="shared" si="3"/>
        <v>3</v>
      </c>
      <c r="U11" s="17">
        <f t="shared" si="3"/>
        <v>10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12</v>
      </c>
      <c r="Z11" s="17">
        <f t="shared" si="3"/>
        <v>1</v>
      </c>
      <c r="AA11" s="17">
        <f t="shared" si="3"/>
        <v>0</v>
      </c>
      <c r="AB11" s="17">
        <f t="shared" si="3"/>
        <v>13</v>
      </c>
      <c r="AC11" s="17">
        <f t="shared" si="3"/>
        <v>279</v>
      </c>
      <c r="AD11" s="17">
        <f t="shared" si="3"/>
        <v>0</v>
      </c>
      <c r="AE11" s="31">
        <f t="shared" si="3"/>
        <v>86</v>
      </c>
      <c r="AF11" s="31">
        <f t="shared" si="3"/>
        <v>365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2</v>
      </c>
      <c r="F12" s="50">
        <f>'[1]RD116 MCC'!J488</f>
        <v>1</v>
      </c>
      <c r="G12" s="50">
        <v>0</v>
      </c>
      <c r="H12" s="50">
        <v>0</v>
      </c>
      <c r="I12" s="50">
        <f>'[1]RD116 MCC'!O488</f>
        <v>4</v>
      </c>
      <c r="J12" s="50">
        <v>0</v>
      </c>
      <c r="K12" s="50">
        <v>0</v>
      </c>
      <c r="L12" s="50">
        <f>'[1]RD116 MCC'!R488+'[1]RD116 MCC'!S488+'[1]RD116 MCC'!T488+'[1]RD116 MCC'!U488</f>
        <v>1</v>
      </c>
      <c r="M12" s="50">
        <v>47</v>
      </c>
      <c r="N12" s="50">
        <f>'[1]RD116 MCC'!V488</f>
        <v>0</v>
      </c>
      <c r="O12" s="15">
        <f t="shared" si="2"/>
        <v>14</v>
      </c>
      <c r="P12" s="15">
        <f t="shared" si="0"/>
        <v>61</v>
      </c>
      <c r="R12" s="1" t="s">
        <v>8</v>
      </c>
      <c r="S12" s="17">
        <f t="shared" ref="S12:AF12" si="4">SUM(C18:C21)</f>
        <v>38</v>
      </c>
      <c r="T12" s="17">
        <f t="shared" si="4"/>
        <v>6</v>
      </c>
      <c r="U12" s="17">
        <f t="shared" si="4"/>
        <v>14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0</v>
      </c>
      <c r="AA12" s="17">
        <f t="shared" si="4"/>
        <v>0</v>
      </c>
      <c r="AB12" s="17">
        <f t="shared" si="4"/>
        <v>5</v>
      </c>
      <c r="AC12" s="17">
        <f t="shared" si="4"/>
        <v>358</v>
      </c>
      <c r="AD12" s="17">
        <f t="shared" si="4"/>
        <v>1</v>
      </c>
      <c r="AE12" s="31">
        <f t="shared" si="4"/>
        <v>75</v>
      </c>
      <c r="AF12" s="31">
        <f t="shared" si="4"/>
        <v>433</v>
      </c>
    </row>
    <row r="13" spans="2:32" ht="23.1" customHeight="1" x14ac:dyDescent="0.25">
      <c r="B13" s="23" t="s">
        <v>40</v>
      </c>
      <c r="C13" s="50">
        <v>4</v>
      </c>
      <c r="D13" s="50">
        <v>1</v>
      </c>
      <c r="E13" s="50">
        <v>2</v>
      </c>
      <c r="F13" s="50">
        <f>'[1]RD116 MCC'!J489</f>
        <v>1</v>
      </c>
      <c r="G13" s="50">
        <v>0</v>
      </c>
      <c r="H13" s="50">
        <v>0</v>
      </c>
      <c r="I13" s="50">
        <f>'[1]RD116 MCC'!O489</f>
        <v>2</v>
      </c>
      <c r="J13" s="50">
        <v>0</v>
      </c>
      <c r="K13" s="50">
        <v>0</v>
      </c>
      <c r="L13" s="50">
        <f>'[1]RD116 MCC'!R489+'[1]RD116 MCC'!S489+'[1]RD116 MCC'!T489+'[1]RD116 MCC'!U489</f>
        <v>4</v>
      </c>
      <c r="M13" s="50">
        <v>69</v>
      </c>
      <c r="N13" s="50">
        <f>'[1]RD116 MCC'!V489</f>
        <v>0</v>
      </c>
      <c r="O13" s="15">
        <f t="shared" si="2"/>
        <v>14</v>
      </c>
      <c r="P13" s="15">
        <f t="shared" si="0"/>
        <v>83</v>
      </c>
      <c r="R13" s="1" t="s">
        <v>9</v>
      </c>
      <c r="S13" s="17">
        <f t="shared" ref="S13:AF13" si="5">SUM(C22:C25)</f>
        <v>36</v>
      </c>
      <c r="T13" s="17">
        <f t="shared" si="5"/>
        <v>10</v>
      </c>
      <c r="U13" s="17">
        <f t="shared" si="5"/>
        <v>22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2</v>
      </c>
      <c r="AB13" s="17">
        <f t="shared" si="5"/>
        <v>5</v>
      </c>
      <c r="AC13" s="17">
        <f t="shared" si="5"/>
        <v>297</v>
      </c>
      <c r="AD13" s="17">
        <f t="shared" si="5"/>
        <v>0</v>
      </c>
      <c r="AE13" s="31">
        <f t="shared" si="5"/>
        <v>84</v>
      </c>
      <c r="AF13" s="31">
        <f t="shared" si="5"/>
        <v>381</v>
      </c>
    </row>
    <row r="14" spans="2:32" ht="23.1" customHeight="1" x14ac:dyDescent="0.25">
      <c r="B14" s="23" t="s">
        <v>41</v>
      </c>
      <c r="C14" s="50">
        <v>11</v>
      </c>
      <c r="D14" s="50">
        <v>1</v>
      </c>
      <c r="E14" s="50">
        <v>3</v>
      </c>
      <c r="F14" s="50">
        <f>'[1]RD116 MCC'!J490</f>
        <v>0</v>
      </c>
      <c r="G14" s="50">
        <v>0</v>
      </c>
      <c r="H14" s="50">
        <v>0</v>
      </c>
      <c r="I14" s="50">
        <f>'[1]RD116 MCC'!O490</f>
        <v>4</v>
      </c>
      <c r="J14" s="50">
        <v>0</v>
      </c>
      <c r="K14" s="50">
        <v>0</v>
      </c>
      <c r="L14" s="50">
        <f>'[1]RD116 MCC'!R490+'[1]RD116 MCC'!S490+'[1]RD116 MCC'!T490+'[1]RD116 MCC'!U490</f>
        <v>1</v>
      </c>
      <c r="M14" s="50">
        <v>62</v>
      </c>
      <c r="N14" s="50">
        <f>'[1]RD116 MCC'!V490</f>
        <v>0</v>
      </c>
      <c r="O14" s="15">
        <f t="shared" si="2"/>
        <v>20</v>
      </c>
      <c r="P14" s="15">
        <f t="shared" si="0"/>
        <v>82</v>
      </c>
      <c r="R14" s="1" t="s">
        <v>10</v>
      </c>
      <c r="S14" s="17">
        <f t="shared" ref="S14:AF14" si="6">SUM(C26:C29)</f>
        <v>48</v>
      </c>
      <c r="T14" s="17">
        <f t="shared" si="6"/>
        <v>8</v>
      </c>
      <c r="U14" s="17">
        <f t="shared" si="6"/>
        <v>18</v>
      </c>
      <c r="V14" s="17">
        <f t="shared" si="6"/>
        <v>3</v>
      </c>
      <c r="W14" s="17">
        <f t="shared" si="6"/>
        <v>0</v>
      </c>
      <c r="X14" s="17">
        <f t="shared" si="6"/>
        <v>2</v>
      </c>
      <c r="Y14" s="17">
        <f t="shared" si="6"/>
        <v>6</v>
      </c>
      <c r="Z14" s="17">
        <f t="shared" si="6"/>
        <v>2</v>
      </c>
      <c r="AA14" s="17">
        <f t="shared" si="6"/>
        <v>0</v>
      </c>
      <c r="AB14" s="17">
        <f t="shared" si="6"/>
        <v>8</v>
      </c>
      <c r="AC14" s="17">
        <f t="shared" si="6"/>
        <v>225</v>
      </c>
      <c r="AD14" s="17">
        <f t="shared" si="6"/>
        <v>0</v>
      </c>
      <c r="AE14" s="31">
        <f t="shared" si="6"/>
        <v>95</v>
      </c>
      <c r="AF14" s="31">
        <f t="shared" si="6"/>
        <v>320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1</v>
      </c>
      <c r="F15" s="50">
        <f>'[1]RD116 MCC'!J491</f>
        <v>1</v>
      </c>
      <c r="G15" s="50">
        <v>0</v>
      </c>
      <c r="H15" s="50">
        <v>0</v>
      </c>
      <c r="I15" s="50">
        <f>'[1]RD116 MCC'!O491</f>
        <v>3</v>
      </c>
      <c r="J15" s="50">
        <v>0</v>
      </c>
      <c r="K15" s="50">
        <v>0</v>
      </c>
      <c r="L15" s="50">
        <f>'[1]RD116 MCC'!R491+'[1]RD116 MCC'!S491+'[1]RD116 MCC'!T491+'[1]RD116 MCC'!U491</f>
        <v>1</v>
      </c>
      <c r="M15" s="50">
        <v>52</v>
      </c>
      <c r="N15" s="50">
        <f>'[1]RD116 MCC'!V491</f>
        <v>0</v>
      </c>
      <c r="O15" s="15">
        <f t="shared" si="2"/>
        <v>11</v>
      </c>
      <c r="P15" s="15">
        <f t="shared" si="0"/>
        <v>63</v>
      </c>
      <c r="R15" s="1" t="s">
        <v>11</v>
      </c>
      <c r="S15" s="17">
        <f t="shared" ref="S15:AF15" si="7">SUM(C30:C33)</f>
        <v>39</v>
      </c>
      <c r="T15" s="17">
        <f t="shared" si="7"/>
        <v>6</v>
      </c>
      <c r="U15" s="17">
        <f t="shared" si="7"/>
        <v>15</v>
      </c>
      <c r="V15" s="17">
        <f t="shared" si="7"/>
        <v>2</v>
      </c>
      <c r="W15" s="17">
        <f t="shared" si="7"/>
        <v>1</v>
      </c>
      <c r="X15" s="17">
        <f t="shared" si="7"/>
        <v>2</v>
      </c>
      <c r="Y15" s="17">
        <f t="shared" si="7"/>
        <v>11</v>
      </c>
      <c r="Z15" s="17">
        <f t="shared" si="7"/>
        <v>2</v>
      </c>
      <c r="AA15" s="17">
        <f t="shared" si="7"/>
        <v>0</v>
      </c>
      <c r="AB15" s="17">
        <f t="shared" si="7"/>
        <v>2</v>
      </c>
      <c r="AC15" s="17">
        <f t="shared" si="7"/>
        <v>238</v>
      </c>
      <c r="AD15" s="17">
        <f t="shared" si="7"/>
        <v>0</v>
      </c>
      <c r="AE15" s="31">
        <f t="shared" si="7"/>
        <v>80</v>
      </c>
      <c r="AF15" s="31">
        <f t="shared" si="7"/>
        <v>318</v>
      </c>
    </row>
    <row r="16" spans="2:32" ht="23.1" customHeight="1" x14ac:dyDescent="0.25">
      <c r="B16" s="23" t="s">
        <v>43</v>
      </c>
      <c r="C16" s="50">
        <v>18</v>
      </c>
      <c r="D16" s="50">
        <v>1</v>
      </c>
      <c r="E16" s="50">
        <v>3</v>
      </c>
      <c r="F16" s="50">
        <f>'[1]RD116 MCC'!J492</f>
        <v>0</v>
      </c>
      <c r="G16" s="50">
        <v>0</v>
      </c>
      <c r="H16" s="50">
        <v>0</v>
      </c>
      <c r="I16" s="50">
        <f>'[1]RD116 MCC'!O492</f>
        <v>1</v>
      </c>
      <c r="J16" s="50">
        <v>0</v>
      </c>
      <c r="K16" s="50">
        <v>0</v>
      </c>
      <c r="L16" s="50">
        <f>'[1]RD116 MCC'!R492+'[1]RD116 MCC'!S492+'[1]RD116 MCC'!T492+'[1]RD116 MCC'!U492</f>
        <v>6</v>
      </c>
      <c r="M16" s="50">
        <v>83</v>
      </c>
      <c r="N16" s="50">
        <f>'[1]RD116 MCC'!V492</f>
        <v>0</v>
      </c>
      <c r="O16" s="15">
        <f t="shared" si="2"/>
        <v>29</v>
      </c>
      <c r="P16" s="15">
        <f t="shared" si="0"/>
        <v>112</v>
      </c>
      <c r="R16" s="1" t="s">
        <v>12</v>
      </c>
      <c r="S16" s="17">
        <f t="shared" ref="S16:AF16" si="8">SUM(C34:C37)</f>
        <v>33</v>
      </c>
      <c r="T16" s="17">
        <f t="shared" si="8"/>
        <v>10</v>
      </c>
      <c r="U16" s="17">
        <f t="shared" si="8"/>
        <v>20</v>
      </c>
      <c r="V16" s="17">
        <f t="shared" si="8"/>
        <v>6</v>
      </c>
      <c r="W16" s="17">
        <f t="shared" si="8"/>
        <v>0</v>
      </c>
      <c r="X16" s="17">
        <f t="shared" si="8"/>
        <v>1</v>
      </c>
      <c r="Y16" s="17">
        <f t="shared" si="8"/>
        <v>12</v>
      </c>
      <c r="Z16" s="17">
        <f t="shared" si="8"/>
        <v>1</v>
      </c>
      <c r="AA16" s="17">
        <f t="shared" si="8"/>
        <v>2</v>
      </c>
      <c r="AB16" s="17">
        <f t="shared" si="8"/>
        <v>6</v>
      </c>
      <c r="AC16" s="17">
        <f t="shared" si="8"/>
        <v>247</v>
      </c>
      <c r="AD16" s="17">
        <f t="shared" si="8"/>
        <v>0</v>
      </c>
      <c r="AE16" s="31">
        <f t="shared" si="8"/>
        <v>91</v>
      </c>
      <c r="AF16" s="31">
        <f t="shared" si="8"/>
        <v>338</v>
      </c>
    </row>
    <row r="17" spans="2:32" ht="23.1" customHeight="1" x14ac:dyDescent="0.25">
      <c r="B17" s="23" t="s">
        <v>44</v>
      </c>
      <c r="C17" s="50">
        <v>10</v>
      </c>
      <c r="D17" s="50">
        <v>1</v>
      </c>
      <c r="E17" s="50">
        <v>3</v>
      </c>
      <c r="F17" s="50">
        <f>'[1]RD116 MCC'!J493</f>
        <v>2</v>
      </c>
      <c r="G17" s="50">
        <v>0</v>
      </c>
      <c r="H17" s="50">
        <v>0</v>
      </c>
      <c r="I17" s="50">
        <f>'[1]RD116 MCC'!O493</f>
        <v>4</v>
      </c>
      <c r="J17" s="50">
        <v>1</v>
      </c>
      <c r="K17" s="50">
        <v>0</v>
      </c>
      <c r="L17" s="50">
        <f>'[1]RD116 MCC'!R493+'[1]RD116 MCC'!S493+'[1]RD116 MCC'!T493+'[1]RD116 MCC'!U493</f>
        <v>5</v>
      </c>
      <c r="M17" s="50">
        <v>82</v>
      </c>
      <c r="N17" s="50">
        <f>'[1]RD116 MCC'!V493</f>
        <v>0</v>
      </c>
      <c r="O17" s="15">
        <f t="shared" si="2"/>
        <v>26</v>
      </c>
      <c r="P17" s="15">
        <f t="shared" si="0"/>
        <v>108</v>
      </c>
      <c r="R17" s="1" t="s">
        <v>13</v>
      </c>
      <c r="S17" s="17">
        <f t="shared" ref="S17:AF17" si="9">SUM(C38:C41)</f>
        <v>29</v>
      </c>
      <c r="T17" s="17">
        <f t="shared" si="9"/>
        <v>11</v>
      </c>
      <c r="U17" s="17">
        <f t="shared" si="9"/>
        <v>23</v>
      </c>
      <c r="V17" s="17">
        <f t="shared" si="9"/>
        <v>4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0</v>
      </c>
      <c r="AA17" s="17">
        <f t="shared" si="9"/>
        <v>3</v>
      </c>
      <c r="AB17" s="17">
        <f t="shared" si="9"/>
        <v>3</v>
      </c>
      <c r="AC17" s="17">
        <f t="shared" si="9"/>
        <v>221</v>
      </c>
      <c r="AD17" s="17">
        <f t="shared" si="9"/>
        <v>0</v>
      </c>
      <c r="AE17" s="31">
        <f t="shared" si="9"/>
        <v>75</v>
      </c>
      <c r="AF17" s="31">
        <f t="shared" si="9"/>
        <v>296</v>
      </c>
    </row>
    <row r="18" spans="2:32" ht="23.1" customHeight="1" x14ac:dyDescent="0.25">
      <c r="B18" s="23" t="s">
        <v>45</v>
      </c>
      <c r="C18" s="50">
        <v>12</v>
      </c>
      <c r="D18" s="50">
        <v>2</v>
      </c>
      <c r="E18" s="50">
        <v>5</v>
      </c>
      <c r="F18" s="50">
        <f>'[1]RD116 MCC'!J494</f>
        <v>1</v>
      </c>
      <c r="G18" s="50">
        <v>0</v>
      </c>
      <c r="H18" s="50">
        <v>0</v>
      </c>
      <c r="I18" s="50">
        <f>'[1]RD116 MCC'!O494</f>
        <v>3</v>
      </c>
      <c r="J18" s="50">
        <v>0</v>
      </c>
      <c r="K18" s="50">
        <v>0</v>
      </c>
      <c r="L18" s="50">
        <f>'[1]RD116 MCC'!R494+'[1]RD116 MCC'!S494+'[1]RD116 MCC'!T494+'[1]RD116 MCC'!U494</f>
        <v>3</v>
      </c>
      <c r="M18" s="50">
        <v>87</v>
      </c>
      <c r="N18" s="50">
        <f>'[1]RD116 MCC'!V494</f>
        <v>0</v>
      </c>
      <c r="O18" s="15">
        <f t="shared" si="2"/>
        <v>26</v>
      </c>
      <c r="P18" s="15">
        <f t="shared" si="0"/>
        <v>113</v>
      </c>
      <c r="R18" s="1" t="s">
        <v>14</v>
      </c>
      <c r="S18" s="17">
        <f t="shared" ref="S18:AF18" si="10">SUM(C42:C45)</f>
        <v>35</v>
      </c>
      <c r="T18" s="17">
        <f t="shared" si="10"/>
        <v>10</v>
      </c>
      <c r="U18" s="17">
        <f t="shared" si="10"/>
        <v>22</v>
      </c>
      <c r="V18" s="17">
        <f t="shared" si="10"/>
        <v>4</v>
      </c>
      <c r="W18" s="17">
        <f t="shared" si="10"/>
        <v>1</v>
      </c>
      <c r="X18" s="17">
        <f t="shared" si="10"/>
        <v>2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221</v>
      </c>
      <c r="AD18" s="17">
        <f t="shared" si="10"/>
        <v>1</v>
      </c>
      <c r="AE18" s="31">
        <f t="shared" si="10"/>
        <v>83</v>
      </c>
      <c r="AF18" s="31">
        <f t="shared" si="10"/>
        <v>304</v>
      </c>
    </row>
    <row r="19" spans="2:32" ht="23.1" customHeight="1" x14ac:dyDescent="0.25">
      <c r="B19" s="23" t="s">
        <v>46</v>
      </c>
      <c r="C19" s="50">
        <v>11</v>
      </c>
      <c r="D19" s="50">
        <v>0</v>
      </c>
      <c r="E19" s="50">
        <v>0</v>
      </c>
      <c r="F19" s="50">
        <f>'[1]RD116 MCC'!J495</f>
        <v>0</v>
      </c>
      <c r="G19" s="50">
        <v>0</v>
      </c>
      <c r="H19" s="50">
        <v>0</v>
      </c>
      <c r="I19" s="50">
        <f>'[1]RD116 MCC'!O495</f>
        <v>3</v>
      </c>
      <c r="J19" s="50">
        <v>0</v>
      </c>
      <c r="K19" s="50">
        <v>0</v>
      </c>
      <c r="L19" s="50">
        <f>'[1]RD116 MCC'!R495+'[1]RD116 MCC'!S495+'[1]RD116 MCC'!T495+'[1]RD116 MCC'!U495</f>
        <v>0</v>
      </c>
      <c r="M19" s="50">
        <v>89</v>
      </c>
      <c r="N19" s="50">
        <f>'[1]RD116 MCC'!V495</f>
        <v>0</v>
      </c>
      <c r="O19" s="15">
        <f t="shared" si="2"/>
        <v>14</v>
      </c>
      <c r="P19" s="15">
        <f t="shared" si="0"/>
        <v>103</v>
      </c>
      <c r="R19" s="1" t="s">
        <v>15</v>
      </c>
      <c r="S19" s="17">
        <f t="shared" ref="S19:AF19" si="11">SUM(C46:C49)</f>
        <v>33</v>
      </c>
      <c r="T19" s="17">
        <f t="shared" si="11"/>
        <v>6</v>
      </c>
      <c r="U19" s="17">
        <f t="shared" si="11"/>
        <v>15</v>
      </c>
      <c r="V19" s="17">
        <f t="shared" si="11"/>
        <v>4</v>
      </c>
      <c r="W19" s="17">
        <f t="shared" si="11"/>
        <v>0</v>
      </c>
      <c r="X19" s="17">
        <f t="shared" si="11"/>
        <v>2</v>
      </c>
      <c r="Y19" s="17">
        <f t="shared" si="11"/>
        <v>8</v>
      </c>
      <c r="Z19" s="17">
        <f t="shared" si="11"/>
        <v>2</v>
      </c>
      <c r="AA19" s="17">
        <f t="shared" si="11"/>
        <v>1</v>
      </c>
      <c r="AB19" s="17">
        <f t="shared" si="11"/>
        <v>2</v>
      </c>
      <c r="AC19" s="17">
        <f t="shared" si="11"/>
        <v>273</v>
      </c>
      <c r="AD19" s="17">
        <f t="shared" si="11"/>
        <v>1</v>
      </c>
      <c r="AE19" s="31">
        <f t="shared" si="11"/>
        <v>74</v>
      </c>
      <c r="AF19" s="31">
        <f t="shared" si="11"/>
        <v>347</v>
      </c>
    </row>
    <row r="20" spans="2:32" ht="23.1" customHeight="1" x14ac:dyDescent="0.25">
      <c r="B20" s="23" t="s">
        <v>47</v>
      </c>
      <c r="C20" s="50">
        <v>5</v>
      </c>
      <c r="D20" s="50">
        <v>2</v>
      </c>
      <c r="E20" s="50">
        <v>4</v>
      </c>
      <c r="F20" s="50">
        <f>'[1]RD116 MCC'!J496</f>
        <v>0</v>
      </c>
      <c r="G20" s="50">
        <v>0</v>
      </c>
      <c r="H20" s="50">
        <v>0</v>
      </c>
      <c r="I20" s="50">
        <f>'[1]RD116 MCC'!O496</f>
        <v>1</v>
      </c>
      <c r="J20" s="50">
        <v>0</v>
      </c>
      <c r="K20" s="50">
        <v>0</v>
      </c>
      <c r="L20" s="50">
        <f>'[1]RD116 MCC'!R496+'[1]RD116 MCC'!S496+'[1]RD116 MCC'!T496+'[1]RD116 MCC'!U496</f>
        <v>2</v>
      </c>
      <c r="M20" s="50">
        <v>94</v>
      </c>
      <c r="N20" s="50">
        <f>'[1]RD116 MCC'!V496</f>
        <v>1</v>
      </c>
      <c r="O20" s="15">
        <f t="shared" si="2"/>
        <v>15</v>
      </c>
      <c r="P20" s="15">
        <f t="shared" si="0"/>
        <v>109</v>
      </c>
      <c r="R20" s="1" t="s">
        <v>16</v>
      </c>
      <c r="S20" s="17">
        <f t="shared" ref="S20:AF20" si="12">SUM(C50:C53)</f>
        <v>50</v>
      </c>
      <c r="T20" s="17">
        <f t="shared" si="12"/>
        <v>8</v>
      </c>
      <c r="U20" s="17">
        <f t="shared" si="12"/>
        <v>17</v>
      </c>
      <c r="V20" s="17">
        <f t="shared" si="12"/>
        <v>4</v>
      </c>
      <c r="W20" s="17">
        <f t="shared" si="12"/>
        <v>1</v>
      </c>
      <c r="X20" s="17">
        <f t="shared" si="12"/>
        <v>4</v>
      </c>
      <c r="Y20" s="17">
        <f t="shared" si="12"/>
        <v>8</v>
      </c>
      <c r="Z20" s="17">
        <f t="shared" si="12"/>
        <v>2</v>
      </c>
      <c r="AA20" s="17">
        <f t="shared" si="12"/>
        <v>0</v>
      </c>
      <c r="AB20" s="17">
        <f t="shared" si="12"/>
        <v>4</v>
      </c>
      <c r="AC20" s="17">
        <f t="shared" si="12"/>
        <v>341</v>
      </c>
      <c r="AD20" s="17">
        <f t="shared" si="12"/>
        <v>0</v>
      </c>
      <c r="AE20" s="31">
        <f t="shared" si="12"/>
        <v>98</v>
      </c>
      <c r="AF20" s="31">
        <f t="shared" si="12"/>
        <v>439</v>
      </c>
    </row>
    <row r="21" spans="2:32" ht="23.1" customHeight="1" x14ac:dyDescent="0.25">
      <c r="B21" s="23" t="s">
        <v>48</v>
      </c>
      <c r="C21" s="50">
        <v>10</v>
      </c>
      <c r="D21" s="50">
        <v>2</v>
      </c>
      <c r="E21" s="50">
        <v>5</v>
      </c>
      <c r="F21" s="50">
        <f>'[1]RD116 MCC'!J497</f>
        <v>2</v>
      </c>
      <c r="G21" s="50">
        <v>0</v>
      </c>
      <c r="H21" s="50">
        <v>0</v>
      </c>
      <c r="I21" s="50">
        <f>'[1]RD116 MCC'!O497</f>
        <v>1</v>
      </c>
      <c r="J21" s="50">
        <v>0</v>
      </c>
      <c r="K21" s="50">
        <v>0</v>
      </c>
      <c r="L21" s="50">
        <f>'[1]RD116 MCC'!R497+'[1]RD116 MCC'!S497+'[1]RD116 MCC'!T497+'[1]RD116 MCC'!U497</f>
        <v>0</v>
      </c>
      <c r="M21" s="50">
        <v>88</v>
      </c>
      <c r="N21" s="50">
        <f>'[1]RD116 MCC'!V497</f>
        <v>0</v>
      </c>
      <c r="O21" s="15">
        <f t="shared" si="2"/>
        <v>20</v>
      </c>
      <c r="P21" s="15">
        <f t="shared" si="0"/>
        <v>108</v>
      </c>
      <c r="R21" s="36" t="s">
        <v>20</v>
      </c>
      <c r="S21" s="34">
        <f t="shared" ref="S21:AF21" si="13">SUM(C54:C57)</f>
        <v>51</v>
      </c>
      <c r="T21" s="17">
        <f t="shared" si="13"/>
        <v>11</v>
      </c>
      <c r="U21" s="17">
        <f t="shared" si="13"/>
        <v>23</v>
      </c>
      <c r="V21" s="17">
        <f t="shared" si="13"/>
        <v>1</v>
      </c>
      <c r="W21" s="17">
        <f t="shared" si="13"/>
        <v>2</v>
      </c>
      <c r="X21" s="17">
        <f t="shared" si="13"/>
        <v>0</v>
      </c>
      <c r="Y21" s="17">
        <f t="shared" si="13"/>
        <v>9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244</v>
      </c>
      <c r="AD21" s="17">
        <f t="shared" si="13"/>
        <v>0</v>
      </c>
      <c r="AE21" s="31">
        <f t="shared" si="13"/>
        <v>105</v>
      </c>
      <c r="AF21" s="31">
        <f t="shared" si="13"/>
        <v>349</v>
      </c>
    </row>
    <row r="22" spans="2:32" ht="23.1" customHeight="1" x14ac:dyDescent="0.25">
      <c r="B22" s="23" t="s">
        <v>49</v>
      </c>
      <c r="C22" s="50">
        <v>9</v>
      </c>
      <c r="D22" s="50">
        <v>2</v>
      </c>
      <c r="E22" s="50">
        <v>4</v>
      </c>
      <c r="F22" s="50">
        <f>'[1]RD116 MCC'!J498</f>
        <v>1</v>
      </c>
      <c r="G22" s="50">
        <v>0</v>
      </c>
      <c r="H22" s="50">
        <v>0</v>
      </c>
      <c r="I22" s="50">
        <f>'[1]RD116 MCC'!O498</f>
        <v>1</v>
      </c>
      <c r="J22" s="50">
        <v>0</v>
      </c>
      <c r="K22" s="50">
        <v>1</v>
      </c>
      <c r="L22" s="50">
        <f>'[1]RD116 MCC'!R498+'[1]RD116 MCC'!S498+'[1]RD116 MCC'!T498+'[1]RD116 MCC'!U498</f>
        <v>2</v>
      </c>
      <c r="M22" s="50">
        <v>66</v>
      </c>
      <c r="N22" s="50">
        <f>'[1]RD116 MCC'!V498</f>
        <v>0</v>
      </c>
      <c r="O22" s="15">
        <f t="shared" si="2"/>
        <v>20</v>
      </c>
      <c r="P22" s="15">
        <f t="shared" si="0"/>
        <v>86</v>
      </c>
      <c r="R22" s="38" t="s">
        <v>90</v>
      </c>
      <c r="S22" s="39">
        <f>MAX(S10:S12)</f>
        <v>44</v>
      </c>
      <c r="T22" s="39">
        <f t="shared" ref="T22:AF22" si="14">MAX(T10:T12)</f>
        <v>6</v>
      </c>
      <c r="U22" s="39">
        <f t="shared" si="14"/>
        <v>14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12</v>
      </c>
      <c r="Z22" s="39">
        <f t="shared" si="14"/>
        <v>1</v>
      </c>
      <c r="AA22" s="39">
        <f t="shared" si="14"/>
        <v>0</v>
      </c>
      <c r="AB22" s="39">
        <f t="shared" si="14"/>
        <v>16</v>
      </c>
      <c r="AC22" s="39">
        <f t="shared" si="14"/>
        <v>358</v>
      </c>
      <c r="AD22" s="39">
        <f t="shared" si="14"/>
        <v>1</v>
      </c>
      <c r="AE22" s="40">
        <f t="shared" si="14"/>
        <v>86</v>
      </c>
      <c r="AF22" s="40">
        <f t="shared" si="14"/>
        <v>433</v>
      </c>
    </row>
    <row r="23" spans="2:32" ht="23.1" customHeight="1" x14ac:dyDescent="0.25">
      <c r="B23" s="23" t="s">
        <v>50</v>
      </c>
      <c r="C23" s="50">
        <v>13</v>
      </c>
      <c r="D23" s="50">
        <v>4</v>
      </c>
      <c r="E23" s="50">
        <v>9</v>
      </c>
      <c r="F23" s="50">
        <f>'[1]RD116 MCC'!J499</f>
        <v>1</v>
      </c>
      <c r="G23" s="50">
        <v>0</v>
      </c>
      <c r="H23" s="50">
        <v>0</v>
      </c>
      <c r="I23" s="50">
        <f>'[1]RD116 MCC'!O499</f>
        <v>0</v>
      </c>
      <c r="J23" s="50">
        <v>0</v>
      </c>
      <c r="K23" s="50">
        <v>1</v>
      </c>
      <c r="L23" s="50">
        <f>'[1]RD116 MCC'!R499+'[1]RD116 MCC'!S499+'[1]RD116 MCC'!T499+'[1]RD116 MCC'!U499</f>
        <v>0</v>
      </c>
      <c r="M23" s="50">
        <v>90</v>
      </c>
      <c r="N23" s="50">
        <f>'[1]RD116 MCC'!V499</f>
        <v>0</v>
      </c>
      <c r="O23" s="15">
        <f t="shared" si="2"/>
        <v>28</v>
      </c>
      <c r="P23" s="15">
        <f t="shared" si="0"/>
        <v>118</v>
      </c>
      <c r="R23" s="38" t="s">
        <v>91</v>
      </c>
      <c r="S23" s="39">
        <f>MAX(S13:S18)</f>
        <v>48</v>
      </c>
      <c r="T23" s="39">
        <f t="shared" ref="T23:AF23" si="15">MAX(T13:T18)</f>
        <v>11</v>
      </c>
      <c r="U23" s="39">
        <f t="shared" si="15"/>
        <v>23</v>
      </c>
      <c r="V23" s="39">
        <f t="shared" si="15"/>
        <v>7</v>
      </c>
      <c r="W23" s="39">
        <f t="shared" si="15"/>
        <v>1</v>
      </c>
      <c r="X23" s="39">
        <f t="shared" si="15"/>
        <v>2</v>
      </c>
      <c r="Y23" s="39">
        <f t="shared" si="15"/>
        <v>12</v>
      </c>
      <c r="Z23" s="39">
        <f t="shared" si="15"/>
        <v>2</v>
      </c>
      <c r="AA23" s="39">
        <f t="shared" si="15"/>
        <v>3</v>
      </c>
      <c r="AB23" s="39">
        <f t="shared" si="15"/>
        <v>8</v>
      </c>
      <c r="AC23" s="39">
        <f t="shared" si="15"/>
        <v>297</v>
      </c>
      <c r="AD23" s="39">
        <f t="shared" si="15"/>
        <v>1</v>
      </c>
      <c r="AE23" s="40">
        <f t="shared" si="15"/>
        <v>95</v>
      </c>
      <c r="AF23" s="40">
        <f t="shared" si="15"/>
        <v>381</v>
      </c>
    </row>
    <row r="24" spans="2:32" ht="23.1" customHeight="1" x14ac:dyDescent="0.25">
      <c r="B24" s="23" t="s">
        <v>51</v>
      </c>
      <c r="C24" s="50">
        <v>8</v>
      </c>
      <c r="D24" s="50">
        <v>2</v>
      </c>
      <c r="E24" s="50">
        <v>4</v>
      </c>
      <c r="F24" s="50">
        <f>'[1]RD116 MCC'!J500</f>
        <v>2</v>
      </c>
      <c r="G24" s="50">
        <v>0</v>
      </c>
      <c r="H24" s="50">
        <v>0</v>
      </c>
      <c r="I24" s="50">
        <f>'[1]RD116 MCC'!O500</f>
        <v>1</v>
      </c>
      <c r="J24" s="50">
        <v>0</v>
      </c>
      <c r="K24" s="50">
        <v>0</v>
      </c>
      <c r="L24" s="50">
        <f>'[1]RD116 MCC'!R500+'[1]RD116 MCC'!S500+'[1]RD116 MCC'!T500+'[1]RD116 MCC'!U500</f>
        <v>1</v>
      </c>
      <c r="M24" s="50">
        <v>85</v>
      </c>
      <c r="N24" s="50">
        <f>'[1]RD116 MCC'!V500</f>
        <v>0</v>
      </c>
      <c r="O24" s="15">
        <f t="shared" si="2"/>
        <v>18</v>
      </c>
      <c r="P24" s="15">
        <f t="shared" si="0"/>
        <v>103</v>
      </c>
      <c r="R24" s="38" t="s">
        <v>92</v>
      </c>
      <c r="S24" s="39">
        <f>MAX(S19:S21)</f>
        <v>51</v>
      </c>
      <c r="T24" s="39">
        <f t="shared" ref="T24:AF24" si="16">MAX(T19:T21)</f>
        <v>11</v>
      </c>
      <c r="U24" s="39">
        <f t="shared" si="16"/>
        <v>23</v>
      </c>
      <c r="V24" s="39">
        <f t="shared" si="16"/>
        <v>4</v>
      </c>
      <c r="W24" s="39">
        <f t="shared" si="16"/>
        <v>2</v>
      </c>
      <c r="X24" s="39">
        <f t="shared" si="16"/>
        <v>4</v>
      </c>
      <c r="Y24" s="39">
        <f t="shared" si="16"/>
        <v>9</v>
      </c>
      <c r="Z24" s="39">
        <f t="shared" si="16"/>
        <v>2</v>
      </c>
      <c r="AA24" s="39">
        <f t="shared" si="16"/>
        <v>1</v>
      </c>
      <c r="AB24" s="39">
        <f t="shared" si="16"/>
        <v>8</v>
      </c>
      <c r="AC24" s="39">
        <f t="shared" si="16"/>
        <v>341</v>
      </c>
      <c r="AD24" s="39">
        <f t="shared" si="16"/>
        <v>1</v>
      </c>
      <c r="AE24" s="40">
        <f t="shared" si="16"/>
        <v>105</v>
      </c>
      <c r="AF24" s="40">
        <f t="shared" si="16"/>
        <v>439</v>
      </c>
    </row>
    <row r="25" spans="2:32" ht="23.1" customHeight="1" x14ac:dyDescent="0.25">
      <c r="B25" s="23" t="s">
        <v>52</v>
      </c>
      <c r="C25" s="50">
        <v>6</v>
      </c>
      <c r="D25" s="50">
        <v>2</v>
      </c>
      <c r="E25" s="50">
        <v>5</v>
      </c>
      <c r="F25" s="50">
        <f>'[1]RD116 MCC'!J501</f>
        <v>3</v>
      </c>
      <c r="G25" s="50">
        <v>0</v>
      </c>
      <c r="H25" s="50">
        <v>0</v>
      </c>
      <c r="I25" s="50">
        <f>'[1]RD116 MCC'!O501</f>
        <v>0</v>
      </c>
      <c r="J25" s="50">
        <v>0</v>
      </c>
      <c r="K25" s="50">
        <v>0</v>
      </c>
      <c r="L25" s="50">
        <f>'[1]RD116 MCC'!R501+'[1]RD116 MCC'!S501+'[1]RD116 MCC'!T501+'[1]RD116 MCC'!U501</f>
        <v>2</v>
      </c>
      <c r="M25" s="50">
        <v>56</v>
      </c>
      <c r="N25" s="50">
        <f>'[1]RD116 MCC'!V501</f>
        <v>0</v>
      </c>
      <c r="O25" s="15">
        <f t="shared" si="2"/>
        <v>18</v>
      </c>
      <c r="P25" s="15">
        <f t="shared" si="0"/>
        <v>74</v>
      </c>
      <c r="R25" s="37" t="s">
        <v>85</v>
      </c>
      <c r="S25" s="35">
        <f t="shared" ref="S25:AF25" si="17">SUM(S10:S12)</f>
        <v>98</v>
      </c>
      <c r="T25" s="16">
        <f t="shared" si="17"/>
        <v>13</v>
      </c>
      <c r="U25" s="16">
        <f t="shared" si="17"/>
        <v>33</v>
      </c>
      <c r="V25" s="16">
        <f t="shared" si="17"/>
        <v>9</v>
      </c>
      <c r="W25" s="16">
        <f t="shared" si="17"/>
        <v>0</v>
      </c>
      <c r="X25" s="16">
        <f t="shared" si="17"/>
        <v>0</v>
      </c>
      <c r="Y25" s="16">
        <f t="shared" si="17"/>
        <v>28</v>
      </c>
      <c r="Z25" s="16">
        <f t="shared" si="17"/>
        <v>2</v>
      </c>
      <c r="AA25" s="16">
        <f t="shared" si="17"/>
        <v>0</v>
      </c>
      <c r="AB25" s="16">
        <f t="shared" si="17"/>
        <v>34</v>
      </c>
      <c r="AC25" s="16">
        <f t="shared" si="17"/>
        <v>880</v>
      </c>
      <c r="AD25" s="16">
        <f t="shared" si="17"/>
        <v>1</v>
      </c>
      <c r="AE25" s="32">
        <f t="shared" si="17"/>
        <v>218</v>
      </c>
      <c r="AF25" s="32">
        <f t="shared" si="17"/>
        <v>1098</v>
      </c>
    </row>
    <row r="26" spans="2:32" ht="23.1" customHeight="1" x14ac:dyDescent="0.25">
      <c r="B26" s="23" t="s">
        <v>53</v>
      </c>
      <c r="C26" s="50">
        <v>13</v>
      </c>
      <c r="D26" s="50">
        <v>1</v>
      </c>
      <c r="E26" s="50">
        <v>3</v>
      </c>
      <c r="F26" s="50">
        <f>'[1]RD116 MCC'!J502</f>
        <v>1</v>
      </c>
      <c r="G26" s="50">
        <v>0</v>
      </c>
      <c r="H26" s="50">
        <v>1</v>
      </c>
      <c r="I26" s="50">
        <f>'[1]RD116 MCC'!O502</f>
        <v>2</v>
      </c>
      <c r="J26" s="50">
        <v>0</v>
      </c>
      <c r="K26" s="50">
        <v>0</v>
      </c>
      <c r="L26" s="50">
        <f>'[1]RD116 MCC'!R502+'[1]RD116 MCC'!S502+'[1]RD116 MCC'!T502+'[1]RD116 MCC'!U502</f>
        <v>0</v>
      </c>
      <c r="M26" s="50">
        <v>42</v>
      </c>
      <c r="N26" s="50">
        <f>'[1]RD116 MCC'!V502</f>
        <v>0</v>
      </c>
      <c r="O26" s="15">
        <f t="shared" si="2"/>
        <v>21</v>
      </c>
      <c r="P26" s="15">
        <f t="shared" si="0"/>
        <v>63</v>
      </c>
      <c r="R26" s="28" t="s">
        <v>86</v>
      </c>
      <c r="S26" s="16">
        <f t="shared" ref="S26:AF26" si="18">SUM(S13:S18)</f>
        <v>220</v>
      </c>
      <c r="T26" s="16">
        <f t="shared" si="18"/>
        <v>55</v>
      </c>
      <c r="U26" s="16">
        <f t="shared" si="18"/>
        <v>120</v>
      </c>
      <c r="V26" s="16">
        <f t="shared" si="18"/>
        <v>26</v>
      </c>
      <c r="W26" s="16">
        <f t="shared" si="18"/>
        <v>2</v>
      </c>
      <c r="X26" s="16">
        <f t="shared" si="18"/>
        <v>8</v>
      </c>
      <c r="Y26" s="16">
        <f t="shared" si="18"/>
        <v>39</v>
      </c>
      <c r="Z26" s="16">
        <f t="shared" si="18"/>
        <v>5</v>
      </c>
      <c r="AA26" s="16">
        <f t="shared" si="18"/>
        <v>7</v>
      </c>
      <c r="AB26" s="16">
        <f t="shared" si="18"/>
        <v>25</v>
      </c>
      <c r="AC26" s="16">
        <f t="shared" si="18"/>
        <v>1449</v>
      </c>
      <c r="AD26" s="16">
        <f t="shared" si="18"/>
        <v>1</v>
      </c>
      <c r="AE26" s="32">
        <f t="shared" si="18"/>
        <v>508</v>
      </c>
      <c r="AF26" s="32">
        <f t="shared" si="18"/>
        <v>1957</v>
      </c>
    </row>
    <row r="27" spans="2:32" ht="23.1" customHeight="1" x14ac:dyDescent="0.25">
      <c r="B27" s="23" t="s">
        <v>54</v>
      </c>
      <c r="C27" s="50">
        <v>11</v>
      </c>
      <c r="D27" s="50">
        <v>3</v>
      </c>
      <c r="E27" s="50">
        <v>6</v>
      </c>
      <c r="F27" s="50">
        <f>'[1]RD116 MCC'!J503</f>
        <v>0</v>
      </c>
      <c r="G27" s="50">
        <v>0</v>
      </c>
      <c r="H27" s="50">
        <v>1</v>
      </c>
      <c r="I27" s="50">
        <f>'[1]RD116 MCC'!O503</f>
        <v>0</v>
      </c>
      <c r="J27" s="50">
        <v>0</v>
      </c>
      <c r="K27" s="50">
        <v>0</v>
      </c>
      <c r="L27" s="50">
        <f>'[1]RD116 MCC'!R503+'[1]RD116 MCC'!S503+'[1]RD116 MCC'!T503+'[1]RD116 MCC'!U503</f>
        <v>0</v>
      </c>
      <c r="M27" s="50">
        <v>50</v>
      </c>
      <c r="N27" s="50">
        <f>'[1]RD116 MCC'!V503</f>
        <v>0</v>
      </c>
      <c r="O27" s="15">
        <f t="shared" si="2"/>
        <v>21</v>
      </c>
      <c r="P27" s="15">
        <f t="shared" si="0"/>
        <v>71</v>
      </c>
      <c r="R27" s="29" t="s">
        <v>87</v>
      </c>
      <c r="S27" s="16">
        <f t="shared" ref="S27:AF27" si="19">SUM(S19:S21)</f>
        <v>134</v>
      </c>
      <c r="T27" s="16">
        <f t="shared" si="19"/>
        <v>25</v>
      </c>
      <c r="U27" s="16">
        <f t="shared" si="19"/>
        <v>55</v>
      </c>
      <c r="V27" s="16">
        <f t="shared" si="19"/>
        <v>9</v>
      </c>
      <c r="W27" s="16">
        <f t="shared" si="19"/>
        <v>3</v>
      </c>
      <c r="X27" s="16">
        <f t="shared" si="19"/>
        <v>6</v>
      </c>
      <c r="Y27" s="16">
        <f t="shared" si="19"/>
        <v>25</v>
      </c>
      <c r="Z27" s="16">
        <f t="shared" si="19"/>
        <v>4</v>
      </c>
      <c r="AA27" s="16">
        <f t="shared" si="19"/>
        <v>1</v>
      </c>
      <c r="AB27" s="16">
        <f t="shared" si="19"/>
        <v>14</v>
      </c>
      <c r="AC27" s="16">
        <f t="shared" si="19"/>
        <v>858</v>
      </c>
      <c r="AD27" s="16">
        <f t="shared" si="19"/>
        <v>1</v>
      </c>
      <c r="AE27" s="32">
        <f t="shared" si="19"/>
        <v>277</v>
      </c>
      <c r="AF27" s="32">
        <f t="shared" si="19"/>
        <v>1135</v>
      </c>
    </row>
    <row r="28" spans="2:32" ht="23.1" customHeight="1" x14ac:dyDescent="0.25">
      <c r="B28" s="23" t="s">
        <v>55</v>
      </c>
      <c r="C28" s="50">
        <v>17</v>
      </c>
      <c r="D28" s="50">
        <v>1</v>
      </c>
      <c r="E28" s="50">
        <v>2</v>
      </c>
      <c r="F28" s="50">
        <f>'[1]RD116 MCC'!J504</f>
        <v>1</v>
      </c>
      <c r="G28" s="50">
        <v>0</v>
      </c>
      <c r="H28" s="50">
        <v>0</v>
      </c>
      <c r="I28" s="50">
        <f>'[1]RD116 MCC'!O504</f>
        <v>3</v>
      </c>
      <c r="J28" s="50">
        <v>1</v>
      </c>
      <c r="K28" s="50">
        <v>0</v>
      </c>
      <c r="L28" s="50">
        <f>'[1]RD116 MCC'!R504+'[1]RD116 MCC'!S504+'[1]RD116 MCC'!T504+'[1]RD116 MCC'!U504</f>
        <v>4</v>
      </c>
      <c r="M28" s="50">
        <v>76</v>
      </c>
      <c r="N28" s="50">
        <f>'[1]RD116 MCC'!V504</f>
        <v>0</v>
      </c>
      <c r="O28" s="15">
        <f t="shared" si="2"/>
        <v>29</v>
      </c>
      <c r="P28" s="15">
        <f t="shared" si="0"/>
        <v>105</v>
      </c>
      <c r="R28" s="5" t="s">
        <v>17</v>
      </c>
      <c r="S28" s="16">
        <f t="shared" ref="S28:AF28" si="20">SUM(S10:S21)</f>
        <v>452</v>
      </c>
      <c r="T28" s="16">
        <f t="shared" si="20"/>
        <v>93</v>
      </c>
      <c r="U28" s="16">
        <f t="shared" si="20"/>
        <v>208</v>
      </c>
      <c r="V28" s="16">
        <f t="shared" si="20"/>
        <v>44</v>
      </c>
      <c r="W28" s="16">
        <f t="shared" si="20"/>
        <v>5</v>
      </c>
      <c r="X28" s="16">
        <f t="shared" si="20"/>
        <v>14</v>
      </c>
      <c r="Y28" s="16">
        <f t="shared" si="20"/>
        <v>92</v>
      </c>
      <c r="Z28" s="16">
        <f t="shared" si="20"/>
        <v>11</v>
      </c>
      <c r="AA28" s="16">
        <f t="shared" si="20"/>
        <v>8</v>
      </c>
      <c r="AB28" s="16">
        <f t="shared" si="20"/>
        <v>73</v>
      </c>
      <c r="AC28" s="16">
        <f t="shared" si="20"/>
        <v>3187</v>
      </c>
      <c r="AD28" s="16">
        <f t="shared" si="20"/>
        <v>3</v>
      </c>
      <c r="AE28" s="32">
        <f t="shared" si="20"/>
        <v>1003</v>
      </c>
      <c r="AF28" s="32">
        <f t="shared" si="20"/>
        <v>4190</v>
      </c>
    </row>
    <row r="29" spans="2:32" ht="23.1" customHeight="1" x14ac:dyDescent="0.25">
      <c r="B29" s="23" t="s">
        <v>56</v>
      </c>
      <c r="C29" s="50">
        <v>7</v>
      </c>
      <c r="D29" s="50">
        <v>3</v>
      </c>
      <c r="E29" s="50">
        <v>7</v>
      </c>
      <c r="F29" s="50">
        <f>'[1]RD116 MCC'!J505</f>
        <v>1</v>
      </c>
      <c r="G29" s="50">
        <v>0</v>
      </c>
      <c r="H29" s="50">
        <v>0</v>
      </c>
      <c r="I29" s="50">
        <f>'[1]RD116 MCC'!O505</f>
        <v>1</v>
      </c>
      <c r="J29" s="50">
        <v>1</v>
      </c>
      <c r="K29" s="50">
        <v>0</v>
      </c>
      <c r="L29" s="50">
        <f>'[1]RD116 MCC'!R505+'[1]RD116 MCC'!S505+'[1]RD116 MCC'!T505+'[1]RD116 MCC'!U505</f>
        <v>4</v>
      </c>
      <c r="M29" s="50">
        <v>57</v>
      </c>
      <c r="N29" s="50">
        <f>'[1]RD116 MCC'!V505</f>
        <v>0</v>
      </c>
      <c r="O29" s="15">
        <f t="shared" si="2"/>
        <v>24</v>
      </c>
      <c r="P29" s="15">
        <f t="shared" si="0"/>
        <v>81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3</v>
      </c>
      <c r="F30" s="50">
        <f>'[1]RD116 MCC'!J506</f>
        <v>0</v>
      </c>
      <c r="G30" s="50">
        <v>1</v>
      </c>
      <c r="H30" s="50">
        <v>0</v>
      </c>
      <c r="I30" s="50">
        <f>'[1]RD116 MCC'!O506</f>
        <v>7</v>
      </c>
      <c r="J30" s="50">
        <v>0</v>
      </c>
      <c r="K30" s="50">
        <v>0</v>
      </c>
      <c r="L30" s="50">
        <f>'[1]RD116 MCC'!R506+'[1]RD116 MCC'!S506+'[1]RD116 MCC'!T506+'[1]RD116 MCC'!U506</f>
        <v>0</v>
      </c>
      <c r="M30" s="50">
        <v>55</v>
      </c>
      <c r="N30" s="50">
        <f>'[1]RD116 MCC'!V506</f>
        <v>0</v>
      </c>
      <c r="O30" s="15">
        <f t="shared" si="2"/>
        <v>18</v>
      </c>
      <c r="P30" s="15">
        <f t="shared" si="0"/>
        <v>73</v>
      </c>
    </row>
    <row r="31" spans="2:32" ht="23.1" customHeight="1" x14ac:dyDescent="0.25">
      <c r="B31" s="24" t="s">
        <v>58</v>
      </c>
      <c r="C31" s="50">
        <v>14</v>
      </c>
      <c r="D31" s="50">
        <v>1</v>
      </c>
      <c r="E31" s="50">
        <v>3</v>
      </c>
      <c r="F31" s="50">
        <f>'[1]RD116 MCC'!J507</f>
        <v>2</v>
      </c>
      <c r="G31" s="50">
        <v>0</v>
      </c>
      <c r="H31" s="50">
        <v>2</v>
      </c>
      <c r="I31" s="50">
        <f>'[1]RD116 MCC'!O507</f>
        <v>0</v>
      </c>
      <c r="J31" s="50">
        <v>1</v>
      </c>
      <c r="K31" s="50">
        <v>0</v>
      </c>
      <c r="L31" s="50">
        <f>'[1]RD116 MCC'!R507+'[1]RD116 MCC'!S507+'[1]RD116 MCC'!T507+'[1]RD116 MCC'!U507</f>
        <v>1</v>
      </c>
      <c r="M31" s="50">
        <v>53</v>
      </c>
      <c r="N31" s="50">
        <f>'[1]RD116 MCC'!V507</f>
        <v>0</v>
      </c>
      <c r="O31" s="15">
        <f t="shared" si="2"/>
        <v>24</v>
      </c>
      <c r="P31" s="15">
        <f t="shared" si="0"/>
        <v>77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5</v>
      </c>
      <c r="F32" s="50">
        <f>'[1]RD116 MCC'!J508</f>
        <v>0</v>
      </c>
      <c r="G32" s="50">
        <v>0</v>
      </c>
      <c r="H32" s="50">
        <v>0</v>
      </c>
      <c r="I32" s="50">
        <f>'[1]RD116 MCC'!O508</f>
        <v>2</v>
      </c>
      <c r="J32" s="50">
        <v>0</v>
      </c>
      <c r="K32" s="50">
        <v>0</v>
      </c>
      <c r="L32" s="50">
        <f>'[1]RD116 MCC'!R508+'[1]RD116 MCC'!S508+'[1]RD116 MCC'!T508+'[1]RD116 MCC'!U508</f>
        <v>1</v>
      </c>
      <c r="M32" s="50">
        <v>55</v>
      </c>
      <c r="N32" s="50">
        <f>'[1]RD116 MCC'!V508</f>
        <v>0</v>
      </c>
      <c r="O32" s="15">
        <f t="shared" si="2"/>
        <v>15</v>
      </c>
      <c r="P32" s="15">
        <f t="shared" si="0"/>
        <v>70</v>
      </c>
    </row>
    <row r="33" spans="2:20" ht="23.1" customHeight="1" x14ac:dyDescent="0.25">
      <c r="B33" s="23" t="s">
        <v>60</v>
      </c>
      <c r="C33" s="50">
        <v>14</v>
      </c>
      <c r="D33" s="50">
        <v>2</v>
      </c>
      <c r="E33" s="50">
        <v>4</v>
      </c>
      <c r="F33" s="50">
        <f>'[1]RD116 MCC'!J509</f>
        <v>0</v>
      </c>
      <c r="G33" s="50">
        <v>0</v>
      </c>
      <c r="H33" s="50">
        <v>0</v>
      </c>
      <c r="I33" s="50">
        <f>'[1]RD116 MCC'!O509</f>
        <v>2</v>
      </c>
      <c r="J33" s="50">
        <v>1</v>
      </c>
      <c r="K33" s="50">
        <v>0</v>
      </c>
      <c r="L33" s="50">
        <f>'[1]RD116 MCC'!R509+'[1]RD116 MCC'!S509+'[1]RD116 MCC'!T509+'[1]RD116 MCC'!U509</f>
        <v>0</v>
      </c>
      <c r="M33" s="50">
        <v>75</v>
      </c>
      <c r="N33" s="50">
        <f>'[1]RD116 MCC'!V509</f>
        <v>0</v>
      </c>
      <c r="O33" s="15">
        <f t="shared" si="2"/>
        <v>23</v>
      </c>
      <c r="P33" s="15">
        <f t="shared" si="0"/>
        <v>98</v>
      </c>
    </row>
    <row r="34" spans="2:20" ht="23.1" customHeight="1" x14ac:dyDescent="0.25">
      <c r="B34" s="24" t="s">
        <v>61</v>
      </c>
      <c r="C34" s="50">
        <v>7</v>
      </c>
      <c r="D34" s="50">
        <v>2</v>
      </c>
      <c r="E34" s="50">
        <v>4</v>
      </c>
      <c r="F34" s="50">
        <f>'[1]RD116 MCC'!J510</f>
        <v>2</v>
      </c>
      <c r="G34" s="50">
        <v>0</v>
      </c>
      <c r="H34" s="50">
        <v>0</v>
      </c>
      <c r="I34" s="50">
        <f>'[1]RD116 MCC'!O510</f>
        <v>3</v>
      </c>
      <c r="J34" s="50">
        <v>0</v>
      </c>
      <c r="K34" s="50">
        <v>1</v>
      </c>
      <c r="L34" s="50">
        <f>'[1]RD116 MCC'!R510+'[1]RD116 MCC'!S510+'[1]RD116 MCC'!T510+'[1]RD116 MCC'!U510</f>
        <v>3</v>
      </c>
      <c r="M34" s="50">
        <v>88</v>
      </c>
      <c r="N34" s="50">
        <f>'[1]RD116 MCC'!V510</f>
        <v>0</v>
      </c>
      <c r="O34" s="15">
        <f t="shared" si="2"/>
        <v>22</v>
      </c>
      <c r="P34" s="15">
        <f t="shared" si="0"/>
        <v>110</v>
      </c>
    </row>
    <row r="35" spans="2:20" ht="23.1" customHeight="1" x14ac:dyDescent="0.25">
      <c r="B35" s="24" t="s">
        <v>62</v>
      </c>
      <c r="C35" s="50">
        <v>7</v>
      </c>
      <c r="D35" s="50">
        <v>2</v>
      </c>
      <c r="E35" s="50">
        <v>4</v>
      </c>
      <c r="F35" s="50">
        <f>'[1]RD116 MCC'!J511</f>
        <v>0</v>
      </c>
      <c r="G35" s="50">
        <v>0</v>
      </c>
      <c r="H35" s="50">
        <v>0</v>
      </c>
      <c r="I35" s="50">
        <f>'[1]RD116 MCC'!O511</f>
        <v>5</v>
      </c>
      <c r="J35" s="50">
        <v>0</v>
      </c>
      <c r="K35" s="50">
        <v>0</v>
      </c>
      <c r="L35" s="50">
        <f>'[1]RD116 MCC'!R511+'[1]RD116 MCC'!S511+'[1]RD116 MCC'!T511+'[1]RD116 MCC'!U511</f>
        <v>1</v>
      </c>
      <c r="M35" s="50">
        <v>55</v>
      </c>
      <c r="N35" s="50">
        <f>'[1]RD116 MCC'!V511</f>
        <v>0</v>
      </c>
      <c r="O35" s="15">
        <f t="shared" si="2"/>
        <v>19</v>
      </c>
      <c r="P35" s="15">
        <f t="shared" si="0"/>
        <v>74</v>
      </c>
    </row>
    <row r="36" spans="2:20" ht="23.1" customHeight="1" x14ac:dyDescent="0.25">
      <c r="B36" s="24" t="s">
        <v>63</v>
      </c>
      <c r="C36" s="50">
        <v>15</v>
      </c>
      <c r="D36" s="50">
        <v>5</v>
      </c>
      <c r="E36" s="50">
        <v>10</v>
      </c>
      <c r="F36" s="50">
        <f>'[1]RD116 MCC'!J512</f>
        <v>1</v>
      </c>
      <c r="G36" s="50">
        <v>0</v>
      </c>
      <c r="H36" s="50">
        <v>0</v>
      </c>
      <c r="I36" s="50">
        <f>'[1]RD116 MCC'!O512</f>
        <v>2</v>
      </c>
      <c r="J36" s="50">
        <v>0</v>
      </c>
      <c r="K36" s="50">
        <v>1</v>
      </c>
      <c r="L36" s="50">
        <f>'[1]RD116 MCC'!R512+'[1]RD116 MCC'!S512+'[1]RD116 MCC'!T512+'[1]RD116 MCC'!U512</f>
        <v>2</v>
      </c>
      <c r="M36" s="50">
        <v>54</v>
      </c>
      <c r="N36" s="50">
        <f>'[1]RD116 MCC'!V512</f>
        <v>0</v>
      </c>
      <c r="O36" s="15">
        <f t="shared" si="2"/>
        <v>36</v>
      </c>
      <c r="P36" s="15">
        <f t="shared" si="0"/>
        <v>90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2</v>
      </c>
      <c r="F37" s="50">
        <f>'[1]RD116 MCC'!J513</f>
        <v>3</v>
      </c>
      <c r="G37" s="50">
        <v>0</v>
      </c>
      <c r="H37" s="50">
        <v>1</v>
      </c>
      <c r="I37" s="50">
        <f>'[1]RD116 MCC'!O513</f>
        <v>2</v>
      </c>
      <c r="J37" s="50">
        <v>1</v>
      </c>
      <c r="K37" s="50">
        <v>0</v>
      </c>
      <c r="L37" s="50">
        <f>'[1]RD116 MCC'!R513+'[1]RD116 MCC'!S513+'[1]RD116 MCC'!T513+'[1]RD116 MCC'!U513</f>
        <v>0</v>
      </c>
      <c r="M37" s="50">
        <v>50</v>
      </c>
      <c r="N37" s="50">
        <f>'[1]RD116 MCC'!V513</f>
        <v>0</v>
      </c>
      <c r="O37" s="15">
        <f t="shared" si="2"/>
        <v>14</v>
      </c>
      <c r="P37" s="15">
        <f t="shared" si="0"/>
        <v>64</v>
      </c>
    </row>
    <row r="38" spans="2:20" ht="23.1" customHeight="1" x14ac:dyDescent="0.25">
      <c r="B38" s="24" t="s">
        <v>65</v>
      </c>
      <c r="C38" s="50">
        <v>8</v>
      </c>
      <c r="D38" s="50">
        <v>3</v>
      </c>
      <c r="E38" s="50">
        <v>6</v>
      </c>
      <c r="F38" s="50">
        <f>'[1]RD116 MCC'!J514</f>
        <v>1</v>
      </c>
      <c r="G38" s="50">
        <v>0</v>
      </c>
      <c r="H38" s="50">
        <v>1</v>
      </c>
      <c r="I38" s="50">
        <f>'[1]RD116 MCC'!O514</f>
        <v>0</v>
      </c>
      <c r="J38" s="50">
        <v>0</v>
      </c>
      <c r="K38" s="50">
        <v>1</v>
      </c>
      <c r="L38" s="50">
        <f>'[1]RD116 MCC'!R514+'[1]RD116 MCC'!S514+'[1]RD116 MCC'!T514+'[1]RD116 MCC'!U514</f>
        <v>0</v>
      </c>
      <c r="M38" s="50">
        <v>55</v>
      </c>
      <c r="N38" s="50">
        <f>'[1]RD116 MCC'!V514</f>
        <v>0</v>
      </c>
      <c r="O38" s="15">
        <f t="shared" si="2"/>
        <v>20</v>
      </c>
      <c r="P38" s="15">
        <f t="shared" si="0"/>
        <v>75</v>
      </c>
    </row>
    <row r="39" spans="2:20" ht="23.1" customHeight="1" x14ac:dyDescent="0.25">
      <c r="B39" s="24" t="s">
        <v>66</v>
      </c>
      <c r="C39" s="50">
        <v>7</v>
      </c>
      <c r="D39" s="50">
        <v>4</v>
      </c>
      <c r="E39" s="50">
        <v>8</v>
      </c>
      <c r="F39" s="50">
        <f>'[1]RD116 MCC'!J515</f>
        <v>1</v>
      </c>
      <c r="G39" s="50">
        <v>0</v>
      </c>
      <c r="H39" s="50">
        <v>0</v>
      </c>
      <c r="I39" s="50">
        <f>'[1]RD116 MCC'!O515</f>
        <v>0</v>
      </c>
      <c r="J39" s="50">
        <v>0</v>
      </c>
      <c r="K39" s="50">
        <v>1</v>
      </c>
      <c r="L39" s="50">
        <f>'[1]RD116 MCC'!R515+'[1]RD116 MCC'!S515+'[1]RD116 MCC'!T515+'[1]RD116 MCC'!U515</f>
        <v>0</v>
      </c>
      <c r="M39" s="50">
        <v>43</v>
      </c>
      <c r="N39" s="50">
        <f>'[1]RD116 MCC'!V515</f>
        <v>0</v>
      </c>
      <c r="O39" s="15">
        <f t="shared" si="2"/>
        <v>21</v>
      </c>
      <c r="P39" s="15">
        <f t="shared" si="0"/>
        <v>64</v>
      </c>
    </row>
    <row r="40" spans="2:20" ht="23.1" customHeight="1" x14ac:dyDescent="0.25">
      <c r="B40" s="24" t="s">
        <v>67</v>
      </c>
      <c r="C40" s="50">
        <v>7</v>
      </c>
      <c r="D40" s="50">
        <v>2</v>
      </c>
      <c r="E40" s="50">
        <v>4</v>
      </c>
      <c r="F40" s="50">
        <f>'[1]RD116 MCC'!J516</f>
        <v>1</v>
      </c>
      <c r="G40" s="50">
        <v>0</v>
      </c>
      <c r="H40" s="50">
        <v>0</v>
      </c>
      <c r="I40" s="50">
        <f>'[1]RD116 MCC'!O516</f>
        <v>1</v>
      </c>
      <c r="J40" s="50">
        <v>0</v>
      </c>
      <c r="K40" s="50">
        <v>1</v>
      </c>
      <c r="L40" s="50">
        <f>'[1]RD116 MCC'!R516+'[1]RD116 MCC'!S516+'[1]RD116 MCC'!T516+'[1]RD116 MCC'!U516</f>
        <v>2</v>
      </c>
      <c r="M40" s="50">
        <v>60</v>
      </c>
      <c r="N40" s="50">
        <f>'[1]RD116 MCC'!V516</f>
        <v>0</v>
      </c>
      <c r="O40" s="15">
        <f t="shared" si="2"/>
        <v>18</v>
      </c>
      <c r="P40" s="15">
        <f t="shared" si="0"/>
        <v>78</v>
      </c>
    </row>
    <row r="41" spans="2:20" ht="23.1" customHeight="1" x14ac:dyDescent="0.25">
      <c r="B41" s="23" t="s">
        <v>68</v>
      </c>
      <c r="C41" s="50">
        <v>7</v>
      </c>
      <c r="D41" s="50">
        <v>2</v>
      </c>
      <c r="E41" s="50">
        <v>5</v>
      </c>
      <c r="F41" s="50">
        <f>'[1]RD116 MCC'!J517</f>
        <v>1</v>
      </c>
      <c r="G41" s="50">
        <v>0</v>
      </c>
      <c r="H41" s="50">
        <v>0</v>
      </c>
      <c r="I41" s="50">
        <f>'[1]RD116 MCC'!O517</f>
        <v>0</v>
      </c>
      <c r="J41" s="50">
        <v>0</v>
      </c>
      <c r="K41" s="50">
        <v>0</v>
      </c>
      <c r="L41" s="50">
        <f>'[1]RD116 MCC'!R517+'[1]RD116 MCC'!S517+'[1]RD116 MCC'!T517+'[1]RD116 MCC'!U517</f>
        <v>1</v>
      </c>
      <c r="M41" s="50">
        <v>63</v>
      </c>
      <c r="N41" s="50">
        <f>'[1]RD116 MCC'!V517</f>
        <v>0</v>
      </c>
      <c r="O41" s="15">
        <f t="shared" si="2"/>
        <v>16</v>
      </c>
      <c r="P41" s="15">
        <f t="shared" si="0"/>
        <v>79</v>
      </c>
    </row>
    <row r="42" spans="2:20" ht="23.1" customHeight="1" x14ac:dyDescent="0.25">
      <c r="B42" s="24" t="s">
        <v>69</v>
      </c>
      <c r="C42" s="50">
        <v>10</v>
      </c>
      <c r="D42" s="50">
        <v>4</v>
      </c>
      <c r="E42" s="50">
        <v>8</v>
      </c>
      <c r="F42" s="50">
        <f>'[1]RD116 MCC'!J518</f>
        <v>1</v>
      </c>
      <c r="G42" s="50">
        <v>0</v>
      </c>
      <c r="H42" s="50">
        <v>0</v>
      </c>
      <c r="I42" s="50">
        <f>'[1]RD116 MCC'!O518</f>
        <v>3</v>
      </c>
      <c r="J42" s="50">
        <v>0</v>
      </c>
      <c r="K42" s="50">
        <v>0</v>
      </c>
      <c r="L42" s="50">
        <f>'[1]RD116 MCC'!R518+'[1]RD116 MCC'!S518+'[1]RD116 MCC'!T518+'[1]RD116 MCC'!U518</f>
        <v>0</v>
      </c>
      <c r="M42" s="50">
        <v>42</v>
      </c>
      <c r="N42" s="50">
        <f>'[1]RD116 MCC'!V518</f>
        <v>1</v>
      </c>
      <c r="O42" s="15">
        <f t="shared" si="2"/>
        <v>27</v>
      </c>
      <c r="P42" s="15">
        <f t="shared" si="0"/>
        <v>69</v>
      </c>
    </row>
    <row r="43" spans="2:20" ht="23.1" customHeight="1" x14ac:dyDescent="0.25">
      <c r="B43" s="23" t="s">
        <v>70</v>
      </c>
      <c r="C43" s="50">
        <v>9</v>
      </c>
      <c r="D43" s="50">
        <v>2</v>
      </c>
      <c r="E43" s="50">
        <v>5</v>
      </c>
      <c r="F43" s="50">
        <f>'[1]RD116 MCC'!J519</f>
        <v>0</v>
      </c>
      <c r="G43" s="50">
        <v>1</v>
      </c>
      <c r="H43" s="50">
        <v>1</v>
      </c>
      <c r="I43" s="50">
        <f>'[1]RD116 MCC'!O519</f>
        <v>3</v>
      </c>
      <c r="J43" s="50">
        <v>0</v>
      </c>
      <c r="K43" s="50">
        <v>0</v>
      </c>
      <c r="L43" s="50">
        <f>'[1]RD116 MCC'!R519+'[1]RD116 MCC'!S519+'[1]RD116 MCC'!T519+'[1]RD116 MCC'!U519</f>
        <v>0</v>
      </c>
      <c r="M43" s="50">
        <v>67</v>
      </c>
      <c r="N43" s="50">
        <f>'[1]RD116 MCC'!V519</f>
        <v>0</v>
      </c>
      <c r="O43" s="15">
        <f t="shared" si="2"/>
        <v>21</v>
      </c>
      <c r="P43" s="15">
        <f t="shared" si="0"/>
        <v>88</v>
      </c>
    </row>
    <row r="44" spans="2:20" ht="23.1" customHeight="1" x14ac:dyDescent="0.25">
      <c r="B44" s="25" t="s">
        <v>71</v>
      </c>
      <c r="C44" s="50">
        <v>8</v>
      </c>
      <c r="D44" s="50">
        <v>1</v>
      </c>
      <c r="E44" s="50">
        <v>3</v>
      </c>
      <c r="F44" s="50">
        <f>'[1]RD116 MCC'!J520</f>
        <v>2</v>
      </c>
      <c r="G44" s="50">
        <v>0</v>
      </c>
      <c r="H44" s="50">
        <v>1</v>
      </c>
      <c r="I44" s="50">
        <f>'[1]RD116 MCC'!O520</f>
        <v>0</v>
      </c>
      <c r="J44" s="50">
        <v>0</v>
      </c>
      <c r="K44" s="50">
        <v>0</v>
      </c>
      <c r="L44" s="50">
        <f>'[1]RD116 MCC'!R520+'[1]RD116 MCC'!S520+'[1]RD116 MCC'!T520+'[1]RD116 MCC'!U520</f>
        <v>0</v>
      </c>
      <c r="M44" s="50">
        <v>62</v>
      </c>
      <c r="N44" s="50">
        <f>'[1]RD116 MCC'!V520</f>
        <v>0</v>
      </c>
      <c r="O44" s="15">
        <f t="shared" si="2"/>
        <v>15</v>
      </c>
      <c r="P44" s="15">
        <f t="shared" si="0"/>
        <v>77</v>
      </c>
    </row>
    <row r="45" spans="2:20" ht="23.1" customHeight="1" x14ac:dyDescent="0.25">
      <c r="B45" s="23" t="s">
        <v>72</v>
      </c>
      <c r="C45" s="50">
        <v>8</v>
      </c>
      <c r="D45" s="50">
        <v>3</v>
      </c>
      <c r="E45" s="50">
        <v>6</v>
      </c>
      <c r="F45" s="50">
        <f>'[1]RD116 MCC'!J521</f>
        <v>1</v>
      </c>
      <c r="G45" s="50">
        <v>0</v>
      </c>
      <c r="H45" s="50">
        <v>0</v>
      </c>
      <c r="I45" s="50">
        <f>'[1]RD116 MCC'!O521</f>
        <v>1</v>
      </c>
      <c r="J45" s="50">
        <v>0</v>
      </c>
      <c r="K45" s="50">
        <v>0</v>
      </c>
      <c r="L45" s="50">
        <f>'[1]RD116 MCC'!R521+'[1]RD116 MCC'!S521+'[1]RD116 MCC'!T521+'[1]RD116 MCC'!U521</f>
        <v>1</v>
      </c>
      <c r="M45" s="50">
        <v>50</v>
      </c>
      <c r="N45" s="50">
        <f>'[1]RD116 MCC'!V521</f>
        <v>0</v>
      </c>
      <c r="O45" s="15">
        <f t="shared" si="2"/>
        <v>20</v>
      </c>
      <c r="P45" s="15">
        <f t="shared" si="0"/>
        <v>70</v>
      </c>
    </row>
    <row r="46" spans="2:20" ht="23.1" customHeight="1" x14ac:dyDescent="0.25">
      <c r="B46" s="24" t="s">
        <v>73</v>
      </c>
      <c r="C46" s="50">
        <v>5</v>
      </c>
      <c r="D46" s="50">
        <v>1</v>
      </c>
      <c r="E46" s="50">
        <v>2</v>
      </c>
      <c r="F46" s="50">
        <f>'[1]RD116 MCC'!J522</f>
        <v>1</v>
      </c>
      <c r="G46" s="50">
        <v>0</v>
      </c>
      <c r="H46" s="50">
        <v>0</v>
      </c>
      <c r="I46" s="50">
        <f>'[1]RD116 MCC'!O522</f>
        <v>3</v>
      </c>
      <c r="J46" s="50">
        <v>0</v>
      </c>
      <c r="K46" s="50">
        <v>0</v>
      </c>
      <c r="L46" s="50">
        <f>'[1]RD116 MCC'!R522+'[1]RD116 MCC'!S522+'[1]RD116 MCC'!T522+'[1]RD116 MCC'!U522</f>
        <v>0</v>
      </c>
      <c r="M46" s="50">
        <v>59</v>
      </c>
      <c r="N46" s="50">
        <f>'[1]RD116 MCC'!V522</f>
        <v>0</v>
      </c>
      <c r="O46" s="15">
        <f t="shared" si="2"/>
        <v>12</v>
      </c>
      <c r="P46" s="15">
        <f t="shared" si="0"/>
        <v>71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2</v>
      </c>
      <c r="E47" s="50">
        <v>5</v>
      </c>
      <c r="F47" s="50">
        <f>'[1]RD116 MCC'!J523</f>
        <v>0</v>
      </c>
      <c r="G47" s="50">
        <v>0</v>
      </c>
      <c r="H47" s="50">
        <v>1</v>
      </c>
      <c r="I47" s="50">
        <f>'[1]RD116 MCC'!O523</f>
        <v>3</v>
      </c>
      <c r="J47" s="50">
        <v>1</v>
      </c>
      <c r="K47" s="50">
        <v>1</v>
      </c>
      <c r="L47" s="50">
        <f>'[1]RD116 MCC'!R523+'[1]RD116 MCC'!S523+'[1]RD116 MCC'!T523+'[1]RD116 MCC'!U523</f>
        <v>2</v>
      </c>
      <c r="M47" s="50">
        <v>68</v>
      </c>
      <c r="N47" s="50">
        <f>'[1]RD116 MCC'!V523</f>
        <v>0</v>
      </c>
      <c r="O47" s="15">
        <f t="shared" si="2"/>
        <v>24</v>
      </c>
      <c r="P47" s="15">
        <f t="shared" si="0"/>
        <v>92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1</v>
      </c>
      <c r="F48" s="50">
        <f>'[1]RD116 MCC'!J524</f>
        <v>1</v>
      </c>
      <c r="G48" s="50">
        <v>0</v>
      </c>
      <c r="H48" s="50">
        <v>0</v>
      </c>
      <c r="I48" s="50">
        <f>'[1]RD116 MCC'!O524</f>
        <v>2</v>
      </c>
      <c r="J48" s="50">
        <v>1</v>
      </c>
      <c r="K48" s="50">
        <v>0</v>
      </c>
      <c r="L48" s="50">
        <f>'[1]RD116 MCC'!R524+'[1]RD116 MCC'!S524+'[1]RD116 MCC'!T524+'[1]RD116 MCC'!U524</f>
        <v>0</v>
      </c>
      <c r="M48" s="50">
        <v>72</v>
      </c>
      <c r="N48" s="50">
        <f>'[1]RD116 MCC'!V524</f>
        <v>0</v>
      </c>
      <c r="O48" s="15">
        <f t="shared" si="2"/>
        <v>8</v>
      </c>
      <c r="P48" s="15">
        <f t="shared" si="0"/>
        <v>80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3</v>
      </c>
      <c r="E49" s="50">
        <v>7</v>
      </c>
      <c r="F49" s="50">
        <f>'[1]RD116 MCC'!J525</f>
        <v>2</v>
      </c>
      <c r="G49" s="50">
        <v>0</v>
      </c>
      <c r="H49" s="50">
        <v>1</v>
      </c>
      <c r="I49" s="50">
        <f>'[1]RD116 MCC'!O525</f>
        <v>0</v>
      </c>
      <c r="J49" s="50">
        <v>0</v>
      </c>
      <c r="K49" s="50">
        <v>0</v>
      </c>
      <c r="L49" s="50">
        <f>'[1]RD116 MCC'!R525+'[1]RD116 MCC'!S525+'[1]RD116 MCC'!T525+'[1]RD116 MCC'!U525</f>
        <v>0</v>
      </c>
      <c r="M49" s="50">
        <v>74</v>
      </c>
      <c r="N49" s="50">
        <f>'[1]RD116 MCC'!V525</f>
        <v>1</v>
      </c>
      <c r="O49" s="15">
        <f t="shared" si="2"/>
        <v>30</v>
      </c>
      <c r="P49" s="15">
        <f t="shared" si="0"/>
        <v>104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0</v>
      </c>
      <c r="E50" s="50">
        <v>1</v>
      </c>
      <c r="F50" s="50">
        <f>'[1]RD116 MCC'!J526</f>
        <v>0</v>
      </c>
      <c r="G50" s="50">
        <v>1</v>
      </c>
      <c r="H50" s="50">
        <v>0</v>
      </c>
      <c r="I50" s="50">
        <f>'[1]RD116 MCC'!O526</f>
        <v>1</v>
      </c>
      <c r="J50" s="50">
        <v>0</v>
      </c>
      <c r="K50" s="50">
        <v>0</v>
      </c>
      <c r="L50" s="50">
        <f>'[1]RD116 MCC'!R526+'[1]RD116 MCC'!S526+'[1]RD116 MCC'!T526+'[1]RD116 MCC'!U526</f>
        <v>3</v>
      </c>
      <c r="M50" s="50">
        <v>77</v>
      </c>
      <c r="N50" s="50">
        <f>'[1]RD116 MCC'!V526</f>
        <v>0</v>
      </c>
      <c r="O50" s="15">
        <f t="shared" si="2"/>
        <v>16</v>
      </c>
      <c r="P50" s="15">
        <f t="shared" si="0"/>
        <v>93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0</v>
      </c>
      <c r="F51" s="50">
        <f>'[1]RD116 MCC'!J527</f>
        <v>3</v>
      </c>
      <c r="G51" s="50">
        <v>0</v>
      </c>
      <c r="H51" s="50">
        <v>1</v>
      </c>
      <c r="I51" s="50">
        <f>'[1]RD116 MCC'!O527</f>
        <v>5</v>
      </c>
      <c r="J51" s="50">
        <v>0</v>
      </c>
      <c r="K51" s="50">
        <v>0</v>
      </c>
      <c r="L51" s="50">
        <f>'[1]RD116 MCC'!R527+'[1]RD116 MCC'!S527+'[1]RD116 MCC'!T527+'[1]RD116 MCC'!U527</f>
        <v>0</v>
      </c>
      <c r="M51" s="50">
        <v>81</v>
      </c>
      <c r="N51" s="50">
        <f>'[1]RD116 MCC'!V527</f>
        <v>0</v>
      </c>
      <c r="O51" s="15">
        <f t="shared" si="2"/>
        <v>13</v>
      </c>
      <c r="P51" s="15">
        <f t="shared" si="0"/>
        <v>94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4</v>
      </c>
      <c r="E52" s="50">
        <v>8</v>
      </c>
      <c r="F52" s="50">
        <f>'[1]RD116 MCC'!J528</f>
        <v>1</v>
      </c>
      <c r="G52" s="50">
        <v>0</v>
      </c>
      <c r="H52" s="50">
        <v>1</v>
      </c>
      <c r="I52" s="50">
        <f>'[1]RD116 MCC'!O528</f>
        <v>1</v>
      </c>
      <c r="J52" s="50">
        <v>0</v>
      </c>
      <c r="K52" s="50">
        <v>0</v>
      </c>
      <c r="L52" s="50">
        <f>'[1]RD116 MCC'!R528+'[1]RD116 MCC'!S528+'[1]RD116 MCC'!T528+'[1]RD116 MCC'!U528</f>
        <v>1</v>
      </c>
      <c r="M52" s="50">
        <v>84</v>
      </c>
      <c r="N52" s="50">
        <f>'[1]RD116 MCC'!V528</f>
        <v>0</v>
      </c>
      <c r="O52" s="15">
        <f t="shared" si="2"/>
        <v>36</v>
      </c>
      <c r="P52" s="15">
        <f t="shared" si="0"/>
        <v>120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4</v>
      </c>
      <c r="E53" s="50">
        <v>8</v>
      </c>
      <c r="F53" s="50">
        <f>'[1]RD116 MCC'!J529</f>
        <v>0</v>
      </c>
      <c r="G53" s="50">
        <v>0</v>
      </c>
      <c r="H53" s="50">
        <v>2</v>
      </c>
      <c r="I53" s="50">
        <f>'[1]RD116 MCC'!O529</f>
        <v>1</v>
      </c>
      <c r="J53" s="50">
        <v>2</v>
      </c>
      <c r="K53" s="50">
        <v>0</v>
      </c>
      <c r="L53" s="50">
        <f>'[1]RD116 MCC'!R529+'[1]RD116 MCC'!S529+'[1]RD116 MCC'!T529+'[1]RD116 MCC'!U529</f>
        <v>0</v>
      </c>
      <c r="M53" s="50">
        <v>99</v>
      </c>
      <c r="N53" s="50">
        <f>'[1]RD116 MCC'!V529</f>
        <v>0</v>
      </c>
      <c r="O53" s="15">
        <f t="shared" si="2"/>
        <v>33</v>
      </c>
      <c r="P53" s="15">
        <f t="shared" si="0"/>
        <v>132</v>
      </c>
      <c r="R53" s="8"/>
      <c r="T53"/>
    </row>
    <row r="54" spans="2:20" ht="23.1" customHeight="1" x14ac:dyDescent="0.25">
      <c r="B54" s="23" t="s">
        <v>81</v>
      </c>
      <c r="C54" s="50">
        <v>19</v>
      </c>
      <c r="D54" s="50">
        <v>2</v>
      </c>
      <c r="E54" s="50">
        <v>4</v>
      </c>
      <c r="F54" s="50">
        <f>'[1]RD116 MCC'!J530</f>
        <v>0</v>
      </c>
      <c r="G54" s="50">
        <v>1</v>
      </c>
      <c r="H54" s="50">
        <v>0</v>
      </c>
      <c r="I54" s="50">
        <f>'[1]RD116 MCC'!O530</f>
        <v>3</v>
      </c>
      <c r="J54" s="50">
        <v>0</v>
      </c>
      <c r="K54" s="50">
        <v>0</v>
      </c>
      <c r="L54" s="50">
        <f>'[1]RD116 MCC'!R530+'[1]RD116 MCC'!S530+'[1]RD116 MCC'!T530+'[1]RD116 MCC'!U530</f>
        <v>4</v>
      </c>
      <c r="M54" s="50">
        <v>55</v>
      </c>
      <c r="N54" s="50">
        <f>'[1]RD116 MCC'!V530</f>
        <v>0</v>
      </c>
      <c r="O54" s="15">
        <f t="shared" si="2"/>
        <v>33</v>
      </c>
      <c r="P54" s="15">
        <f t="shared" si="0"/>
        <v>88</v>
      </c>
      <c r="R54" s="8"/>
      <c r="T54"/>
    </row>
    <row r="55" spans="2:20" ht="23.1" customHeight="1" x14ac:dyDescent="0.25">
      <c r="B55" s="23" t="s">
        <v>82</v>
      </c>
      <c r="C55" s="50">
        <v>14</v>
      </c>
      <c r="D55" s="50">
        <v>4</v>
      </c>
      <c r="E55" s="50">
        <v>9</v>
      </c>
      <c r="F55" s="50">
        <f>'[1]RD116 MCC'!J531</f>
        <v>0</v>
      </c>
      <c r="G55" s="50">
        <v>1</v>
      </c>
      <c r="H55" s="50">
        <v>0</v>
      </c>
      <c r="I55" s="50">
        <f>'[1]RD116 MCC'!O531</f>
        <v>2</v>
      </c>
      <c r="J55" s="50">
        <v>0</v>
      </c>
      <c r="K55" s="50">
        <v>0</v>
      </c>
      <c r="L55" s="50">
        <f>'[1]RD116 MCC'!R531+'[1]RD116 MCC'!S531+'[1]RD116 MCC'!T531+'[1]RD116 MCC'!U531</f>
        <v>2</v>
      </c>
      <c r="M55" s="50">
        <v>66</v>
      </c>
      <c r="N55" s="50">
        <f>'[1]RD116 MCC'!V531</f>
        <v>0</v>
      </c>
      <c r="O55" s="15">
        <f t="shared" si="2"/>
        <v>32</v>
      </c>
      <c r="P55" s="15">
        <f t="shared" si="0"/>
        <v>98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2</v>
      </c>
      <c r="E56" s="50">
        <v>4</v>
      </c>
      <c r="F56" s="50">
        <f>'[1]RD116 MCC'!J532</f>
        <v>1</v>
      </c>
      <c r="G56" s="50">
        <v>0</v>
      </c>
      <c r="H56" s="50">
        <v>0</v>
      </c>
      <c r="I56" s="50">
        <f>'[1]RD116 MCC'!O532</f>
        <v>3</v>
      </c>
      <c r="J56" s="50">
        <v>0</v>
      </c>
      <c r="K56" s="50">
        <v>0</v>
      </c>
      <c r="L56" s="50">
        <f>'[1]RD116 MCC'!R532+'[1]RD116 MCC'!S532+'[1]RD116 MCC'!T532+'[1]RD116 MCC'!U532</f>
        <v>0</v>
      </c>
      <c r="M56" s="50">
        <v>64</v>
      </c>
      <c r="N56" s="50">
        <f>'[1]RD116 MCC'!V532</f>
        <v>0</v>
      </c>
      <c r="O56" s="15">
        <f t="shared" si="2"/>
        <v>18</v>
      </c>
      <c r="P56" s="15">
        <f t="shared" si="0"/>
        <v>82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3</v>
      </c>
      <c r="E57" s="50">
        <v>6</v>
      </c>
      <c r="F57" s="50">
        <f>'[1]RD116 MCC'!J533</f>
        <v>0</v>
      </c>
      <c r="G57" s="50">
        <v>0</v>
      </c>
      <c r="H57" s="50">
        <v>0</v>
      </c>
      <c r="I57" s="50">
        <f>'[1]RD116 MCC'!O533</f>
        <v>1</v>
      </c>
      <c r="J57" s="50">
        <v>0</v>
      </c>
      <c r="K57" s="50">
        <v>0</v>
      </c>
      <c r="L57" s="50">
        <f>'[1]RD116 MCC'!R533+'[1]RD116 MCC'!S533+'[1]RD116 MCC'!T533+'[1]RD116 MCC'!U533</f>
        <v>2</v>
      </c>
      <c r="M57" s="50">
        <v>59</v>
      </c>
      <c r="N57" s="50">
        <f>'[1]RD116 MCC'!V533</f>
        <v>0</v>
      </c>
      <c r="O57" s="15">
        <f t="shared" si="2"/>
        <v>22</v>
      </c>
      <c r="P57" s="15">
        <f t="shared" si="0"/>
        <v>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452</v>
      </c>
      <c r="D58" s="16">
        <f t="shared" si="21"/>
        <v>93</v>
      </c>
      <c r="E58" s="16">
        <f t="shared" si="21"/>
        <v>208</v>
      </c>
      <c r="F58" s="16">
        <f t="shared" si="21"/>
        <v>44</v>
      </c>
      <c r="G58" s="16">
        <f t="shared" si="21"/>
        <v>5</v>
      </c>
      <c r="H58" s="16">
        <f t="shared" si="21"/>
        <v>14</v>
      </c>
      <c r="I58" s="16">
        <f t="shared" si="21"/>
        <v>92</v>
      </c>
      <c r="J58" s="16">
        <f t="shared" si="21"/>
        <v>11</v>
      </c>
      <c r="K58" s="16">
        <f t="shared" si="21"/>
        <v>8</v>
      </c>
      <c r="L58" s="16">
        <f t="shared" si="21"/>
        <v>73</v>
      </c>
      <c r="M58" s="16">
        <f t="shared" si="21"/>
        <v>3187</v>
      </c>
      <c r="N58" s="16">
        <f t="shared" si="21"/>
        <v>3</v>
      </c>
      <c r="O58" s="16">
        <f t="shared" si="21"/>
        <v>1003</v>
      </c>
      <c r="P58" s="16">
        <f t="shared" si="21"/>
        <v>4190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0.10787589498806682</v>
      </c>
      <c r="D59" s="43">
        <f t="shared" si="22"/>
        <v>2.2195704057279237E-2</v>
      </c>
      <c r="E59" s="43">
        <f t="shared" si="22"/>
        <v>4.9642004773269688E-2</v>
      </c>
      <c r="F59" s="43">
        <f t="shared" si="22"/>
        <v>1.0501193317422435E-2</v>
      </c>
      <c r="G59" s="43">
        <f t="shared" si="22"/>
        <v>1.1933174224343676E-3</v>
      </c>
      <c r="H59" s="43">
        <f t="shared" si="22"/>
        <v>3.3412887828162289E-3</v>
      </c>
      <c r="I59" s="43">
        <f t="shared" si="22"/>
        <v>2.1957040572792363E-2</v>
      </c>
      <c r="J59" s="43">
        <f t="shared" si="22"/>
        <v>2.6252983293556086E-3</v>
      </c>
      <c r="K59" s="43">
        <f t="shared" si="22"/>
        <v>1.9093078758949881E-3</v>
      </c>
      <c r="L59" s="43">
        <f t="shared" si="22"/>
        <v>1.7422434367541765E-2</v>
      </c>
      <c r="M59" s="43">
        <f t="shared" si="22"/>
        <v>0.76062052505966582</v>
      </c>
      <c r="N59" s="43">
        <f t="shared" si="22"/>
        <v>7.1599045346062051E-4</v>
      </c>
      <c r="R59" s="8"/>
      <c r="T59"/>
    </row>
    <row r="60" spans="2:20" ht="23.1" customHeight="1" x14ac:dyDescent="0.25">
      <c r="B60" s="42" t="s">
        <v>94</v>
      </c>
      <c r="C60" s="44">
        <f>C58/$O$58</f>
        <v>0.4506480558325025</v>
      </c>
      <c r="D60" s="44">
        <f t="shared" ref="D60:N60" si="23">D58/$O$58</f>
        <v>9.2721834496510475E-2</v>
      </c>
      <c r="E60" s="44">
        <f t="shared" si="23"/>
        <v>0.20737786640079761</v>
      </c>
      <c r="F60" s="44">
        <f t="shared" si="23"/>
        <v>4.3868394815553338E-2</v>
      </c>
      <c r="G60" s="44">
        <f t="shared" si="23"/>
        <v>4.9850448654037887E-3</v>
      </c>
      <c r="H60" s="44">
        <f t="shared" si="23"/>
        <v>1.3958125623130608E-2</v>
      </c>
      <c r="I60" s="44">
        <f t="shared" si="23"/>
        <v>9.1724825523429712E-2</v>
      </c>
      <c r="J60" s="44">
        <f t="shared" si="23"/>
        <v>1.0967098703888335E-2</v>
      </c>
      <c r="K60" s="44">
        <f t="shared" si="23"/>
        <v>7.9760717846460612E-3</v>
      </c>
      <c r="L60" s="44">
        <f t="shared" si="23"/>
        <v>7.278165503489531E-2</v>
      </c>
      <c r="M60" s="44"/>
      <c r="N60" s="44">
        <f t="shared" si="23"/>
        <v>2.9910269192422734E-3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90" zoomScale="60" workbookViewId="0">
      <selection activeCell="F103" sqref="F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'03.08 KARUMA-GULU-24HRS'!G5:H5</f>
        <v>xxx</v>
      </c>
      <c r="H5" s="67"/>
      <c r="I5" s="14"/>
      <c r="J5" s="2" t="s">
        <v>5</v>
      </c>
      <c r="K5" s="66" t="str">
        <f>'03.08 KARUMA-GULU-24HRS'!K5:L5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GULU-KARUMA'!D6:E6</f>
        <v>GULU</v>
      </c>
      <c r="E6" s="67"/>
      <c r="F6" s="2" t="s">
        <v>2</v>
      </c>
      <c r="G6" s="66" t="str">
        <f>'01.08 GULU-KARUMA'!G6:H6</f>
        <v>KARUMA</v>
      </c>
      <c r="H6" s="67"/>
      <c r="J6" s="2" t="s">
        <v>21</v>
      </c>
      <c r="K6" s="66" t="str">
        <f>'03.08 KARUMA-GULU-24HRS'!K6:L6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f>'[1]RD116 MCC'!O294</f>
        <v>0</v>
      </c>
      <c r="J10" s="50">
        <v>1</v>
      </c>
      <c r="K10" s="50">
        <v>0</v>
      </c>
      <c r="L10" s="50">
        <v>0</v>
      </c>
      <c r="M10" s="50">
        <v>48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51</v>
      </c>
      <c r="R10" s="1" t="s">
        <v>6</v>
      </c>
      <c r="S10" s="17">
        <f t="shared" ref="S10:AF10" si="2">SUM(C10:C13)</f>
        <v>6</v>
      </c>
      <c r="T10" s="17">
        <f t="shared" si="2"/>
        <v>6</v>
      </c>
      <c r="U10" s="17">
        <f t="shared" si="2"/>
        <v>14</v>
      </c>
      <c r="V10" s="17">
        <f t="shared" si="2"/>
        <v>3</v>
      </c>
      <c r="W10" s="17">
        <f t="shared" si="2"/>
        <v>0</v>
      </c>
      <c r="X10" s="17">
        <f t="shared" si="2"/>
        <v>3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204</v>
      </c>
      <c r="AD10" s="17">
        <f t="shared" si="2"/>
        <v>0</v>
      </c>
      <c r="AE10" s="31">
        <f t="shared" si="2"/>
        <v>38</v>
      </c>
      <c r="AF10" s="31">
        <f t="shared" si="2"/>
        <v>242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1</v>
      </c>
      <c r="E11" s="50">
        <v>2</v>
      </c>
      <c r="F11" s="50">
        <v>0</v>
      </c>
      <c r="G11" s="50">
        <v>0</v>
      </c>
      <c r="H11" s="50">
        <v>0</v>
      </c>
      <c r="I11" s="50">
        <f>'[1]RD116 MCC'!O295</f>
        <v>1</v>
      </c>
      <c r="J11" s="50">
        <v>0</v>
      </c>
      <c r="K11" s="50">
        <v>0</v>
      </c>
      <c r="L11" s="50">
        <v>0</v>
      </c>
      <c r="M11" s="50">
        <v>43</v>
      </c>
      <c r="N11" s="50">
        <v>0</v>
      </c>
      <c r="O11" s="15">
        <f t="shared" si="0"/>
        <v>5</v>
      </c>
      <c r="P11" s="15">
        <f t="shared" si="1"/>
        <v>48</v>
      </c>
      <c r="R11" s="1" t="s">
        <v>7</v>
      </c>
      <c r="S11" s="17">
        <f t="shared" ref="S11:AF11" si="3">SUM(C14:C17)</f>
        <v>11</v>
      </c>
      <c r="T11" s="17">
        <f t="shared" si="3"/>
        <v>15</v>
      </c>
      <c r="U11" s="17">
        <f t="shared" si="3"/>
        <v>33</v>
      </c>
      <c r="V11" s="17">
        <f t="shared" si="3"/>
        <v>2</v>
      </c>
      <c r="W11" s="17">
        <f t="shared" si="3"/>
        <v>0</v>
      </c>
      <c r="X11" s="17">
        <f t="shared" si="3"/>
        <v>2</v>
      </c>
      <c r="Y11" s="17">
        <f t="shared" si="3"/>
        <v>9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232</v>
      </c>
      <c r="AD11" s="17">
        <f t="shared" si="3"/>
        <v>0</v>
      </c>
      <c r="AE11" s="31">
        <f t="shared" si="3"/>
        <v>73</v>
      </c>
      <c r="AF11" s="31">
        <f t="shared" si="3"/>
        <v>305</v>
      </c>
    </row>
    <row r="12" spans="2:32" ht="23.1" customHeight="1" x14ac:dyDescent="0.25">
      <c r="B12" s="45" t="s">
        <v>39</v>
      </c>
      <c r="C12" s="50">
        <v>1</v>
      </c>
      <c r="D12" s="50">
        <v>2</v>
      </c>
      <c r="E12" s="50">
        <v>5</v>
      </c>
      <c r="F12" s="50">
        <v>1</v>
      </c>
      <c r="G12" s="50">
        <v>0</v>
      </c>
      <c r="H12" s="50">
        <v>2</v>
      </c>
      <c r="I12" s="50">
        <f>'[1]RD116 MCC'!O296</f>
        <v>1</v>
      </c>
      <c r="J12" s="50">
        <v>0</v>
      </c>
      <c r="K12" s="50">
        <v>0</v>
      </c>
      <c r="L12" s="50">
        <v>0</v>
      </c>
      <c r="M12" s="50">
        <v>50</v>
      </c>
      <c r="N12" s="50">
        <v>0</v>
      </c>
      <c r="O12" s="15">
        <f t="shared" si="0"/>
        <v>12</v>
      </c>
      <c r="P12" s="15">
        <f t="shared" si="1"/>
        <v>62</v>
      </c>
      <c r="R12" s="1" t="s">
        <v>8</v>
      </c>
      <c r="S12" s="17">
        <f t="shared" ref="S12:AF12" si="4">SUM(C18:C21)</f>
        <v>22</v>
      </c>
      <c r="T12" s="17">
        <f t="shared" si="4"/>
        <v>12</v>
      </c>
      <c r="U12" s="17">
        <f t="shared" si="4"/>
        <v>27</v>
      </c>
      <c r="V12" s="17">
        <f t="shared" si="4"/>
        <v>9</v>
      </c>
      <c r="W12" s="17">
        <f t="shared" si="4"/>
        <v>1</v>
      </c>
      <c r="X12" s="17">
        <f t="shared" si="4"/>
        <v>1</v>
      </c>
      <c r="Y12" s="17">
        <f t="shared" si="4"/>
        <v>19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208</v>
      </c>
      <c r="AD12" s="17">
        <f t="shared" si="4"/>
        <v>0</v>
      </c>
      <c r="AE12" s="31">
        <f t="shared" si="4"/>
        <v>94</v>
      </c>
      <c r="AF12" s="31">
        <f t="shared" si="4"/>
        <v>302</v>
      </c>
    </row>
    <row r="13" spans="2:32" ht="23.1" customHeight="1" x14ac:dyDescent="0.25">
      <c r="B13" s="45" t="s">
        <v>40</v>
      </c>
      <c r="C13" s="50">
        <v>3</v>
      </c>
      <c r="D13" s="50">
        <v>3</v>
      </c>
      <c r="E13" s="50">
        <v>7</v>
      </c>
      <c r="F13" s="50">
        <v>2</v>
      </c>
      <c r="G13" s="50">
        <v>0</v>
      </c>
      <c r="H13" s="50">
        <v>0</v>
      </c>
      <c r="I13" s="50">
        <f>'[1]RD116 MCC'!O297</f>
        <v>3</v>
      </c>
      <c r="J13" s="50">
        <v>0</v>
      </c>
      <c r="K13" s="50">
        <v>0</v>
      </c>
      <c r="L13" s="50">
        <v>0</v>
      </c>
      <c r="M13" s="50">
        <v>63</v>
      </c>
      <c r="N13" s="50">
        <v>0</v>
      </c>
      <c r="O13" s="15">
        <f t="shared" si="0"/>
        <v>18</v>
      </c>
      <c r="P13" s="15">
        <f t="shared" si="1"/>
        <v>81</v>
      </c>
      <c r="R13" s="1" t="s">
        <v>9</v>
      </c>
      <c r="S13" s="17">
        <f t="shared" ref="S13:AF13" si="5">SUM(C22:C25)</f>
        <v>23</v>
      </c>
      <c r="T13" s="17">
        <f t="shared" si="5"/>
        <v>7</v>
      </c>
      <c r="U13" s="17">
        <f t="shared" si="5"/>
        <v>17</v>
      </c>
      <c r="V13" s="17">
        <f t="shared" si="5"/>
        <v>7</v>
      </c>
      <c r="W13" s="17">
        <f t="shared" si="5"/>
        <v>0</v>
      </c>
      <c r="X13" s="17">
        <f t="shared" si="5"/>
        <v>3</v>
      </c>
      <c r="Y13" s="17">
        <f t="shared" si="5"/>
        <v>13</v>
      </c>
      <c r="Z13" s="17">
        <f t="shared" si="5"/>
        <v>0</v>
      </c>
      <c r="AA13" s="17">
        <f t="shared" si="5"/>
        <v>0</v>
      </c>
      <c r="AB13" s="17">
        <f t="shared" si="5"/>
        <v>7</v>
      </c>
      <c r="AC13" s="17">
        <f t="shared" si="5"/>
        <v>245</v>
      </c>
      <c r="AD13" s="17">
        <f t="shared" si="5"/>
        <v>1</v>
      </c>
      <c r="AE13" s="31">
        <f t="shared" si="5"/>
        <v>78</v>
      </c>
      <c r="AF13" s="31">
        <f t="shared" si="5"/>
        <v>323</v>
      </c>
    </row>
    <row r="14" spans="2:32" ht="23.1" customHeight="1" x14ac:dyDescent="0.25">
      <c r="B14" s="45" t="s">
        <v>41</v>
      </c>
      <c r="C14" s="50">
        <v>2</v>
      </c>
      <c r="D14" s="50">
        <v>5</v>
      </c>
      <c r="E14" s="50">
        <v>11</v>
      </c>
      <c r="F14" s="50">
        <v>0</v>
      </c>
      <c r="G14" s="50">
        <v>0</v>
      </c>
      <c r="H14" s="50">
        <v>0</v>
      </c>
      <c r="I14" s="50">
        <f>'[1]RD116 MCC'!O298</f>
        <v>1</v>
      </c>
      <c r="J14" s="50">
        <v>0</v>
      </c>
      <c r="K14" s="50">
        <v>0</v>
      </c>
      <c r="L14" s="50">
        <v>0</v>
      </c>
      <c r="M14" s="50">
        <v>62</v>
      </c>
      <c r="N14" s="50">
        <v>0</v>
      </c>
      <c r="O14" s="15">
        <f t="shared" si="0"/>
        <v>19</v>
      </c>
      <c r="P14" s="15">
        <f t="shared" si="1"/>
        <v>81</v>
      </c>
      <c r="R14" s="1" t="s">
        <v>10</v>
      </c>
      <c r="S14" s="17">
        <f t="shared" ref="S14:AF14" si="6">SUM(C26:C29)</f>
        <v>21</v>
      </c>
      <c r="T14" s="17">
        <f t="shared" si="6"/>
        <v>13</v>
      </c>
      <c r="U14" s="17">
        <f t="shared" si="6"/>
        <v>28</v>
      </c>
      <c r="V14" s="17">
        <f t="shared" si="6"/>
        <v>4</v>
      </c>
      <c r="W14" s="17">
        <f t="shared" si="6"/>
        <v>0</v>
      </c>
      <c r="X14" s="17">
        <f t="shared" si="6"/>
        <v>2</v>
      </c>
      <c r="Y14" s="17">
        <f t="shared" si="6"/>
        <v>16</v>
      </c>
      <c r="Z14" s="17">
        <f t="shared" si="6"/>
        <v>0</v>
      </c>
      <c r="AA14" s="17">
        <f t="shared" si="6"/>
        <v>1</v>
      </c>
      <c r="AB14" s="17">
        <f t="shared" si="6"/>
        <v>15</v>
      </c>
      <c r="AC14" s="17">
        <f t="shared" si="6"/>
        <v>196</v>
      </c>
      <c r="AD14" s="17">
        <f t="shared" si="6"/>
        <v>0</v>
      </c>
      <c r="AE14" s="31">
        <f t="shared" si="6"/>
        <v>100</v>
      </c>
      <c r="AF14" s="31">
        <f t="shared" si="6"/>
        <v>296</v>
      </c>
    </row>
    <row r="15" spans="2:32" ht="23.1" customHeight="1" x14ac:dyDescent="0.25">
      <c r="B15" s="45" t="s">
        <v>42</v>
      </c>
      <c r="C15" s="50">
        <v>4</v>
      </c>
      <c r="D15" s="50">
        <v>2</v>
      </c>
      <c r="E15" s="50">
        <v>4</v>
      </c>
      <c r="F15" s="50">
        <v>1</v>
      </c>
      <c r="G15" s="50">
        <v>0</v>
      </c>
      <c r="H15" s="50">
        <v>0</v>
      </c>
      <c r="I15" s="50">
        <f>'[1]RD116 MCC'!O299</f>
        <v>1</v>
      </c>
      <c r="J15" s="50">
        <v>0</v>
      </c>
      <c r="K15" s="50">
        <v>0</v>
      </c>
      <c r="L15" s="50">
        <v>0</v>
      </c>
      <c r="M15" s="50">
        <v>54</v>
      </c>
      <c r="N15" s="50">
        <v>0</v>
      </c>
      <c r="O15" s="15">
        <f t="shared" si="0"/>
        <v>12</v>
      </c>
      <c r="P15" s="15">
        <f t="shared" si="1"/>
        <v>66</v>
      </c>
      <c r="R15" s="1" t="s">
        <v>11</v>
      </c>
      <c r="S15" s="17">
        <f t="shared" ref="S15:AF15" si="7">SUM(C30:C33)</f>
        <v>19</v>
      </c>
      <c r="T15" s="17">
        <f t="shared" si="7"/>
        <v>10</v>
      </c>
      <c r="U15" s="17">
        <f t="shared" si="7"/>
        <v>20</v>
      </c>
      <c r="V15" s="17">
        <f t="shared" si="7"/>
        <v>3</v>
      </c>
      <c r="W15" s="17">
        <f t="shared" si="7"/>
        <v>1</v>
      </c>
      <c r="X15" s="17">
        <f t="shared" si="7"/>
        <v>2</v>
      </c>
      <c r="Y15" s="17">
        <f t="shared" si="7"/>
        <v>14</v>
      </c>
      <c r="Z15" s="17">
        <f t="shared" si="7"/>
        <v>2</v>
      </c>
      <c r="AA15" s="17">
        <f t="shared" si="7"/>
        <v>0</v>
      </c>
      <c r="AB15" s="17">
        <f t="shared" si="7"/>
        <v>16</v>
      </c>
      <c r="AC15" s="17">
        <f t="shared" si="7"/>
        <v>186</v>
      </c>
      <c r="AD15" s="17">
        <f t="shared" si="7"/>
        <v>1</v>
      </c>
      <c r="AE15" s="31">
        <f t="shared" si="7"/>
        <v>88</v>
      </c>
      <c r="AF15" s="31">
        <f t="shared" si="7"/>
        <v>274</v>
      </c>
    </row>
    <row r="16" spans="2:32" ht="23.1" customHeight="1" x14ac:dyDescent="0.25">
      <c r="B16" s="45" t="s">
        <v>43</v>
      </c>
      <c r="C16" s="50">
        <v>2</v>
      </c>
      <c r="D16" s="50">
        <v>3</v>
      </c>
      <c r="E16" s="50">
        <v>7</v>
      </c>
      <c r="F16" s="50">
        <v>1</v>
      </c>
      <c r="G16" s="50">
        <v>0</v>
      </c>
      <c r="H16" s="50">
        <v>2</v>
      </c>
      <c r="I16" s="50">
        <f>'[1]RD116 MCC'!O300</f>
        <v>6</v>
      </c>
      <c r="J16" s="50">
        <v>0</v>
      </c>
      <c r="K16" s="50">
        <v>0</v>
      </c>
      <c r="L16" s="50">
        <v>1</v>
      </c>
      <c r="M16" s="50">
        <v>56</v>
      </c>
      <c r="N16" s="50">
        <v>0</v>
      </c>
      <c r="O16" s="15">
        <f t="shared" si="0"/>
        <v>22</v>
      </c>
      <c r="P16" s="15">
        <f t="shared" si="1"/>
        <v>78</v>
      </c>
      <c r="R16" s="1" t="s">
        <v>12</v>
      </c>
      <c r="S16" s="17">
        <f t="shared" ref="S16:AF16" si="8">SUM(C34:C37)</f>
        <v>14</v>
      </c>
      <c r="T16" s="17">
        <f t="shared" si="8"/>
        <v>12</v>
      </c>
      <c r="U16" s="17">
        <f t="shared" si="8"/>
        <v>27</v>
      </c>
      <c r="V16" s="17">
        <f t="shared" si="8"/>
        <v>3</v>
      </c>
      <c r="W16" s="17">
        <f t="shared" si="8"/>
        <v>0</v>
      </c>
      <c r="X16" s="17">
        <f t="shared" si="8"/>
        <v>2</v>
      </c>
      <c r="Y16" s="17">
        <f t="shared" si="8"/>
        <v>18</v>
      </c>
      <c r="Z16" s="17">
        <f t="shared" si="8"/>
        <v>1</v>
      </c>
      <c r="AA16" s="17">
        <f t="shared" si="8"/>
        <v>0</v>
      </c>
      <c r="AB16" s="17">
        <f t="shared" si="8"/>
        <v>19</v>
      </c>
      <c r="AC16" s="17">
        <f t="shared" si="8"/>
        <v>220</v>
      </c>
      <c r="AD16" s="17">
        <f t="shared" si="8"/>
        <v>0</v>
      </c>
      <c r="AE16" s="31">
        <f t="shared" si="8"/>
        <v>96</v>
      </c>
      <c r="AF16" s="31">
        <f t="shared" si="8"/>
        <v>316</v>
      </c>
    </row>
    <row r="17" spans="2:32" ht="23.1" customHeight="1" x14ac:dyDescent="0.25">
      <c r="B17" s="45" t="s">
        <v>44</v>
      </c>
      <c r="C17" s="50">
        <v>3</v>
      </c>
      <c r="D17" s="50">
        <v>5</v>
      </c>
      <c r="E17" s="50">
        <v>11</v>
      </c>
      <c r="F17" s="50">
        <v>0</v>
      </c>
      <c r="G17" s="50">
        <v>0</v>
      </c>
      <c r="H17" s="50">
        <v>0</v>
      </c>
      <c r="I17" s="50">
        <f>'[1]RD116 MCC'!O301</f>
        <v>1</v>
      </c>
      <c r="J17" s="50">
        <v>0</v>
      </c>
      <c r="K17" s="50">
        <v>0</v>
      </c>
      <c r="L17" s="50">
        <v>0</v>
      </c>
      <c r="M17" s="50">
        <v>60</v>
      </c>
      <c r="N17" s="50">
        <v>0</v>
      </c>
      <c r="O17" s="15">
        <f t="shared" si="0"/>
        <v>20</v>
      </c>
      <c r="P17" s="15">
        <f t="shared" si="1"/>
        <v>80</v>
      </c>
      <c r="R17" s="1" t="s">
        <v>13</v>
      </c>
      <c r="S17" s="17">
        <f t="shared" ref="S17:AF17" si="9">SUM(C38:C41)</f>
        <v>18</v>
      </c>
      <c r="T17" s="17">
        <f t="shared" si="9"/>
        <v>9</v>
      </c>
      <c r="U17" s="17">
        <f t="shared" si="9"/>
        <v>19</v>
      </c>
      <c r="V17" s="17">
        <f t="shared" si="9"/>
        <v>5</v>
      </c>
      <c r="W17" s="17">
        <f t="shared" si="9"/>
        <v>0</v>
      </c>
      <c r="X17" s="17">
        <f t="shared" si="9"/>
        <v>2</v>
      </c>
      <c r="Y17" s="17">
        <f t="shared" si="9"/>
        <v>16</v>
      </c>
      <c r="Z17" s="17">
        <f t="shared" si="9"/>
        <v>3</v>
      </c>
      <c r="AA17" s="17">
        <f t="shared" si="9"/>
        <v>0</v>
      </c>
      <c r="AB17" s="17">
        <f t="shared" si="9"/>
        <v>12</v>
      </c>
      <c r="AC17" s="17">
        <f t="shared" si="9"/>
        <v>159</v>
      </c>
      <c r="AD17" s="17">
        <f t="shared" si="9"/>
        <v>0</v>
      </c>
      <c r="AE17" s="31">
        <f t="shared" si="9"/>
        <v>84</v>
      </c>
      <c r="AF17" s="31">
        <f t="shared" si="9"/>
        <v>243</v>
      </c>
    </row>
    <row r="18" spans="2:32" ht="23.1" customHeight="1" x14ac:dyDescent="0.25">
      <c r="B18" s="45" t="s">
        <v>45</v>
      </c>
      <c r="C18" s="50">
        <v>10</v>
      </c>
      <c r="D18" s="50">
        <v>4</v>
      </c>
      <c r="E18" s="50">
        <v>9</v>
      </c>
      <c r="F18" s="50">
        <v>1</v>
      </c>
      <c r="G18" s="50">
        <v>0</v>
      </c>
      <c r="H18" s="50">
        <v>0</v>
      </c>
      <c r="I18" s="50">
        <f>'[1]RD116 MCC'!O302</f>
        <v>4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28</v>
      </c>
      <c r="P18" s="15">
        <f t="shared" si="1"/>
        <v>78</v>
      </c>
      <c r="R18" s="1" t="s">
        <v>14</v>
      </c>
      <c r="S18" s="17">
        <f t="shared" ref="S18:AF18" si="10">SUM(C42:C45)</f>
        <v>16</v>
      </c>
      <c r="T18" s="17">
        <f t="shared" si="10"/>
        <v>10</v>
      </c>
      <c r="U18" s="17">
        <f t="shared" si="10"/>
        <v>21</v>
      </c>
      <c r="V18" s="17">
        <f t="shared" si="10"/>
        <v>5</v>
      </c>
      <c r="W18" s="17">
        <f t="shared" si="10"/>
        <v>0</v>
      </c>
      <c r="X18" s="17">
        <f t="shared" si="10"/>
        <v>2</v>
      </c>
      <c r="Y18" s="17">
        <f t="shared" si="10"/>
        <v>16</v>
      </c>
      <c r="Z18" s="17">
        <f t="shared" si="10"/>
        <v>2</v>
      </c>
      <c r="AA18" s="17">
        <f t="shared" si="10"/>
        <v>0</v>
      </c>
      <c r="AB18" s="17">
        <f t="shared" si="10"/>
        <v>11</v>
      </c>
      <c r="AC18" s="17">
        <f t="shared" si="10"/>
        <v>180</v>
      </c>
      <c r="AD18" s="17">
        <f t="shared" si="10"/>
        <v>4</v>
      </c>
      <c r="AE18" s="31">
        <f t="shared" si="10"/>
        <v>87</v>
      </c>
      <c r="AF18" s="31">
        <f t="shared" si="10"/>
        <v>267</v>
      </c>
    </row>
    <row r="19" spans="2:32" ht="23.1" customHeight="1" x14ac:dyDescent="0.25">
      <c r="B19" s="45" t="s">
        <v>46</v>
      </c>
      <c r="C19" s="50">
        <v>5</v>
      </c>
      <c r="D19" s="50">
        <v>1</v>
      </c>
      <c r="E19" s="50">
        <v>3</v>
      </c>
      <c r="F19" s="50">
        <v>5</v>
      </c>
      <c r="G19" s="50">
        <v>0</v>
      </c>
      <c r="H19" s="50">
        <v>0</v>
      </c>
      <c r="I19" s="50">
        <f>'[1]RD116 MCC'!O303</f>
        <v>4</v>
      </c>
      <c r="J19" s="50">
        <v>0</v>
      </c>
      <c r="K19" s="50">
        <v>0</v>
      </c>
      <c r="L19" s="50">
        <v>1</v>
      </c>
      <c r="M19" s="50">
        <v>39</v>
      </c>
      <c r="N19" s="50">
        <v>0</v>
      </c>
      <c r="O19" s="15">
        <f t="shared" si="0"/>
        <v>19</v>
      </c>
      <c r="P19" s="15">
        <f t="shared" si="1"/>
        <v>58</v>
      </c>
      <c r="R19" s="1" t="s">
        <v>15</v>
      </c>
      <c r="S19" s="17">
        <f t="shared" ref="S19:AF19" si="11">SUM(C46:C49)</f>
        <v>30</v>
      </c>
      <c r="T19" s="17">
        <f t="shared" si="11"/>
        <v>7</v>
      </c>
      <c r="U19" s="17">
        <f t="shared" si="11"/>
        <v>15</v>
      </c>
      <c r="V19" s="17">
        <f t="shared" si="11"/>
        <v>5</v>
      </c>
      <c r="W19" s="17">
        <f t="shared" si="11"/>
        <v>0</v>
      </c>
      <c r="X19" s="17">
        <f t="shared" si="11"/>
        <v>3</v>
      </c>
      <c r="Y19" s="17">
        <f t="shared" si="11"/>
        <v>25</v>
      </c>
      <c r="Z19" s="17">
        <f t="shared" si="11"/>
        <v>3</v>
      </c>
      <c r="AA19" s="17">
        <f t="shared" si="11"/>
        <v>0</v>
      </c>
      <c r="AB19" s="17">
        <f t="shared" si="11"/>
        <v>14</v>
      </c>
      <c r="AC19" s="17">
        <f t="shared" si="11"/>
        <v>216</v>
      </c>
      <c r="AD19" s="17">
        <f t="shared" si="11"/>
        <v>0</v>
      </c>
      <c r="AE19" s="31">
        <f t="shared" si="11"/>
        <v>102</v>
      </c>
      <c r="AF19" s="31">
        <f t="shared" si="11"/>
        <v>318</v>
      </c>
    </row>
    <row r="20" spans="2:32" ht="23.1" customHeight="1" x14ac:dyDescent="0.25">
      <c r="B20" s="45" t="s">
        <v>47</v>
      </c>
      <c r="C20" s="50">
        <v>5</v>
      </c>
      <c r="D20" s="50">
        <v>5</v>
      </c>
      <c r="E20" s="50">
        <v>10</v>
      </c>
      <c r="F20" s="50">
        <v>3</v>
      </c>
      <c r="G20" s="50">
        <v>1</v>
      </c>
      <c r="H20" s="50">
        <v>1</v>
      </c>
      <c r="I20" s="50">
        <f>'[1]RD116 MCC'!O304</f>
        <v>7</v>
      </c>
      <c r="J20" s="50">
        <v>0</v>
      </c>
      <c r="K20" s="50">
        <v>0</v>
      </c>
      <c r="L20" s="50">
        <v>1</v>
      </c>
      <c r="M20" s="50">
        <v>42</v>
      </c>
      <c r="N20" s="50">
        <v>0</v>
      </c>
      <c r="O20" s="15">
        <f t="shared" si="0"/>
        <v>33</v>
      </c>
      <c r="P20" s="15">
        <f t="shared" si="1"/>
        <v>75</v>
      </c>
      <c r="R20" s="1" t="s">
        <v>16</v>
      </c>
      <c r="S20" s="17">
        <f t="shared" ref="S20:AF20" si="12">SUM(C50:C53)</f>
        <v>24</v>
      </c>
      <c r="T20" s="17">
        <f t="shared" si="12"/>
        <v>10</v>
      </c>
      <c r="U20" s="17">
        <f t="shared" si="12"/>
        <v>22</v>
      </c>
      <c r="V20" s="17">
        <f t="shared" si="12"/>
        <v>8</v>
      </c>
      <c r="W20" s="17">
        <f t="shared" si="12"/>
        <v>2</v>
      </c>
      <c r="X20" s="17">
        <f t="shared" si="12"/>
        <v>5</v>
      </c>
      <c r="Y20" s="17">
        <f t="shared" si="12"/>
        <v>14</v>
      </c>
      <c r="Z20" s="17">
        <f t="shared" si="12"/>
        <v>0</v>
      </c>
      <c r="AA20" s="17">
        <f t="shared" si="12"/>
        <v>1</v>
      </c>
      <c r="AB20" s="17">
        <f t="shared" si="12"/>
        <v>5</v>
      </c>
      <c r="AC20" s="17">
        <f t="shared" si="12"/>
        <v>251</v>
      </c>
      <c r="AD20" s="17">
        <f t="shared" si="12"/>
        <v>0</v>
      </c>
      <c r="AE20" s="31">
        <f t="shared" si="12"/>
        <v>91</v>
      </c>
      <c r="AF20" s="31">
        <f t="shared" si="12"/>
        <v>342</v>
      </c>
    </row>
    <row r="21" spans="2:32" ht="23.1" customHeight="1" x14ac:dyDescent="0.25">
      <c r="B21" s="45" t="s">
        <v>48</v>
      </c>
      <c r="C21" s="50">
        <v>2</v>
      </c>
      <c r="D21" s="50">
        <v>2</v>
      </c>
      <c r="E21" s="50">
        <v>5</v>
      </c>
      <c r="F21" s="50">
        <v>0</v>
      </c>
      <c r="G21" s="50">
        <v>0</v>
      </c>
      <c r="H21" s="50">
        <v>0</v>
      </c>
      <c r="I21" s="50">
        <f>'[1]RD116 MCC'!O305</f>
        <v>4</v>
      </c>
      <c r="J21" s="50">
        <v>0</v>
      </c>
      <c r="K21" s="50">
        <v>0</v>
      </c>
      <c r="L21" s="50">
        <v>1</v>
      </c>
      <c r="M21" s="50">
        <v>77</v>
      </c>
      <c r="N21" s="50">
        <v>0</v>
      </c>
      <c r="O21" s="15">
        <f t="shared" si="0"/>
        <v>14</v>
      </c>
      <c r="P21" s="15">
        <f t="shared" si="1"/>
        <v>91</v>
      </c>
      <c r="R21" s="36" t="s">
        <v>20</v>
      </c>
      <c r="S21" s="34">
        <f t="shared" ref="S21:AF21" si="13">SUM(C54:C57)</f>
        <v>20</v>
      </c>
      <c r="T21" s="17">
        <f t="shared" si="13"/>
        <v>11</v>
      </c>
      <c r="U21" s="17">
        <f t="shared" si="13"/>
        <v>24</v>
      </c>
      <c r="V21" s="17">
        <f t="shared" si="13"/>
        <v>11</v>
      </c>
      <c r="W21" s="17">
        <f t="shared" si="13"/>
        <v>1</v>
      </c>
      <c r="X21" s="17">
        <f t="shared" si="13"/>
        <v>1</v>
      </c>
      <c r="Y21" s="17">
        <f t="shared" si="13"/>
        <v>14</v>
      </c>
      <c r="Z21" s="17">
        <f t="shared" si="13"/>
        <v>1</v>
      </c>
      <c r="AA21" s="17">
        <f t="shared" si="13"/>
        <v>0</v>
      </c>
      <c r="AB21" s="17">
        <f t="shared" si="13"/>
        <v>6</v>
      </c>
      <c r="AC21" s="17">
        <f t="shared" si="13"/>
        <v>271</v>
      </c>
      <c r="AD21" s="17">
        <f t="shared" si="13"/>
        <v>0</v>
      </c>
      <c r="AE21" s="31">
        <f t="shared" si="13"/>
        <v>89</v>
      </c>
      <c r="AF21" s="31">
        <f t="shared" si="13"/>
        <v>360</v>
      </c>
    </row>
    <row r="22" spans="2:32" ht="23.1" customHeight="1" x14ac:dyDescent="0.25">
      <c r="B22" s="45" t="s">
        <v>49</v>
      </c>
      <c r="C22" s="50">
        <v>7</v>
      </c>
      <c r="D22" s="50">
        <v>2</v>
      </c>
      <c r="E22" s="50">
        <v>5</v>
      </c>
      <c r="F22" s="50">
        <v>1</v>
      </c>
      <c r="G22" s="50">
        <v>0</v>
      </c>
      <c r="H22" s="50">
        <v>1</v>
      </c>
      <c r="I22" s="50">
        <f>'[1]RD116 MCC'!O306</f>
        <v>4</v>
      </c>
      <c r="J22" s="50">
        <v>0</v>
      </c>
      <c r="K22" s="50">
        <v>0</v>
      </c>
      <c r="L22" s="50">
        <v>1</v>
      </c>
      <c r="M22" s="50">
        <v>70</v>
      </c>
      <c r="N22" s="50">
        <v>0</v>
      </c>
      <c r="O22" s="15">
        <f t="shared" si="0"/>
        <v>21</v>
      </c>
      <c r="P22" s="15">
        <f t="shared" si="1"/>
        <v>91</v>
      </c>
      <c r="R22" s="36" t="s">
        <v>146</v>
      </c>
      <c r="S22" s="34">
        <f>SUM(C58:C61)</f>
        <v>19</v>
      </c>
      <c r="T22" s="34">
        <f t="shared" ref="T22:AF22" si="14">SUM(D58:D61)</f>
        <v>4</v>
      </c>
      <c r="U22" s="34">
        <f t="shared" si="14"/>
        <v>8</v>
      </c>
      <c r="V22" s="34">
        <f t="shared" si="14"/>
        <v>3</v>
      </c>
      <c r="W22" s="34">
        <f t="shared" si="14"/>
        <v>0</v>
      </c>
      <c r="X22" s="34">
        <f t="shared" si="14"/>
        <v>1</v>
      </c>
      <c r="Y22" s="34">
        <f t="shared" si="14"/>
        <v>9</v>
      </c>
      <c r="Z22" s="34">
        <f t="shared" si="14"/>
        <v>0</v>
      </c>
      <c r="AA22" s="34">
        <f t="shared" si="14"/>
        <v>0</v>
      </c>
      <c r="AB22" s="34">
        <f t="shared" si="14"/>
        <v>4</v>
      </c>
      <c r="AC22" s="34">
        <f t="shared" si="14"/>
        <v>265</v>
      </c>
      <c r="AD22" s="34">
        <f t="shared" si="14"/>
        <v>3</v>
      </c>
      <c r="AE22" s="31">
        <f t="shared" si="14"/>
        <v>51</v>
      </c>
      <c r="AF22" s="31">
        <f t="shared" si="14"/>
        <v>316</v>
      </c>
    </row>
    <row r="23" spans="2:32" ht="23.1" customHeight="1" x14ac:dyDescent="0.25">
      <c r="B23" s="45" t="s">
        <v>50</v>
      </c>
      <c r="C23" s="50">
        <v>4</v>
      </c>
      <c r="D23" s="50">
        <v>2</v>
      </c>
      <c r="E23" s="50">
        <v>5</v>
      </c>
      <c r="F23" s="50">
        <v>3</v>
      </c>
      <c r="G23" s="50">
        <v>0</v>
      </c>
      <c r="H23" s="50">
        <v>1</v>
      </c>
      <c r="I23" s="50">
        <f>'[1]RD116 MCC'!O307</f>
        <v>2</v>
      </c>
      <c r="J23" s="50">
        <v>0</v>
      </c>
      <c r="K23" s="50">
        <v>0</v>
      </c>
      <c r="L23" s="50">
        <v>3</v>
      </c>
      <c r="M23" s="50">
        <v>59</v>
      </c>
      <c r="N23" s="50">
        <v>0</v>
      </c>
      <c r="O23" s="15">
        <f t="shared" si="0"/>
        <v>20</v>
      </c>
      <c r="P23" s="15">
        <f t="shared" si="1"/>
        <v>79</v>
      </c>
      <c r="R23" s="36" t="s">
        <v>147</v>
      </c>
      <c r="S23" s="34">
        <f>SUM(C62:C65)</f>
        <v>45</v>
      </c>
      <c r="T23" s="34">
        <f t="shared" ref="T23:AF23" si="15">SUM(D62:D65)</f>
        <v>5</v>
      </c>
      <c r="U23" s="34">
        <f t="shared" si="15"/>
        <v>13</v>
      </c>
      <c r="V23" s="34">
        <f t="shared" si="15"/>
        <v>3</v>
      </c>
      <c r="W23" s="34">
        <f t="shared" si="15"/>
        <v>1</v>
      </c>
      <c r="X23" s="34">
        <f t="shared" si="15"/>
        <v>0</v>
      </c>
      <c r="Y23" s="34">
        <f t="shared" si="15"/>
        <v>6</v>
      </c>
      <c r="Z23" s="34">
        <f t="shared" si="15"/>
        <v>2</v>
      </c>
      <c r="AA23" s="34">
        <f t="shared" si="15"/>
        <v>1</v>
      </c>
      <c r="AB23" s="34">
        <f t="shared" si="15"/>
        <v>10</v>
      </c>
      <c r="AC23" s="34">
        <f t="shared" si="15"/>
        <v>171</v>
      </c>
      <c r="AD23" s="34">
        <f t="shared" si="15"/>
        <v>0</v>
      </c>
      <c r="AE23" s="31">
        <f t="shared" si="15"/>
        <v>86</v>
      </c>
      <c r="AF23" s="31">
        <f t="shared" si="15"/>
        <v>257</v>
      </c>
    </row>
    <row r="24" spans="2:32" ht="23.1" customHeight="1" x14ac:dyDescent="0.25">
      <c r="B24" s="45" t="s">
        <v>51</v>
      </c>
      <c r="C24" s="50">
        <v>5</v>
      </c>
      <c r="D24" s="50">
        <v>1</v>
      </c>
      <c r="E24" s="50">
        <v>3</v>
      </c>
      <c r="F24" s="50">
        <v>0</v>
      </c>
      <c r="G24" s="50">
        <v>0</v>
      </c>
      <c r="H24" s="50">
        <v>0</v>
      </c>
      <c r="I24" s="50">
        <f>'[1]RD116 MCC'!O308</f>
        <v>5</v>
      </c>
      <c r="J24" s="50">
        <v>0</v>
      </c>
      <c r="K24" s="50">
        <v>0</v>
      </c>
      <c r="L24" s="50">
        <v>1</v>
      </c>
      <c r="M24" s="50">
        <v>56</v>
      </c>
      <c r="N24" s="50">
        <v>1</v>
      </c>
      <c r="O24" s="15">
        <f t="shared" si="0"/>
        <v>16</v>
      </c>
      <c r="P24" s="15">
        <f t="shared" si="1"/>
        <v>72</v>
      </c>
      <c r="R24" s="36" t="s">
        <v>148</v>
      </c>
      <c r="S24" s="34">
        <f>SUM(C66:C69)</f>
        <v>47</v>
      </c>
      <c r="T24" s="34">
        <f t="shared" ref="T24:AF24" si="16">SUM(D66:D69)</f>
        <v>6</v>
      </c>
      <c r="U24" s="34">
        <f t="shared" si="16"/>
        <v>15</v>
      </c>
      <c r="V24" s="34">
        <f t="shared" si="16"/>
        <v>0</v>
      </c>
      <c r="W24" s="34">
        <f t="shared" si="16"/>
        <v>1</v>
      </c>
      <c r="X24" s="34">
        <f t="shared" si="16"/>
        <v>0</v>
      </c>
      <c r="Y24" s="34">
        <f t="shared" si="16"/>
        <v>6</v>
      </c>
      <c r="Z24" s="34">
        <f t="shared" si="16"/>
        <v>2</v>
      </c>
      <c r="AA24" s="34">
        <f t="shared" si="16"/>
        <v>0</v>
      </c>
      <c r="AB24" s="34">
        <f t="shared" si="16"/>
        <v>16</v>
      </c>
      <c r="AC24" s="34">
        <f t="shared" si="16"/>
        <v>168</v>
      </c>
      <c r="AD24" s="34">
        <f t="shared" si="16"/>
        <v>0</v>
      </c>
      <c r="AE24" s="31">
        <f t="shared" si="16"/>
        <v>93</v>
      </c>
      <c r="AF24" s="31">
        <f t="shared" si="16"/>
        <v>261</v>
      </c>
    </row>
    <row r="25" spans="2:32" ht="23.1" customHeight="1" x14ac:dyDescent="0.25">
      <c r="B25" s="45" t="s">
        <v>52</v>
      </c>
      <c r="C25" s="50">
        <v>7</v>
      </c>
      <c r="D25" s="50">
        <v>2</v>
      </c>
      <c r="E25" s="50">
        <v>4</v>
      </c>
      <c r="F25" s="50">
        <v>3</v>
      </c>
      <c r="G25" s="50">
        <v>0</v>
      </c>
      <c r="H25" s="50">
        <v>1</v>
      </c>
      <c r="I25" s="50">
        <f>'[1]RD116 MCC'!O309</f>
        <v>2</v>
      </c>
      <c r="J25" s="50">
        <v>0</v>
      </c>
      <c r="K25" s="50">
        <v>0</v>
      </c>
      <c r="L25" s="50">
        <v>2</v>
      </c>
      <c r="M25" s="50">
        <v>60</v>
      </c>
      <c r="N25" s="50">
        <v>0</v>
      </c>
      <c r="O25" s="15">
        <f t="shared" si="0"/>
        <v>21</v>
      </c>
      <c r="P25" s="15">
        <f t="shared" si="1"/>
        <v>81</v>
      </c>
      <c r="R25" s="36" t="s">
        <v>149</v>
      </c>
      <c r="S25" s="34">
        <f>SUM(C70:C73)</f>
        <v>33</v>
      </c>
      <c r="T25" s="34">
        <f t="shared" ref="T25:AF25" si="17">SUM(D70:D73)</f>
        <v>10</v>
      </c>
      <c r="U25" s="34">
        <f t="shared" si="17"/>
        <v>21</v>
      </c>
      <c r="V25" s="34">
        <f t="shared" si="17"/>
        <v>0</v>
      </c>
      <c r="W25" s="34">
        <f t="shared" si="17"/>
        <v>3</v>
      </c>
      <c r="X25" s="34">
        <f t="shared" si="17"/>
        <v>1</v>
      </c>
      <c r="Y25" s="34">
        <f t="shared" si="17"/>
        <v>7</v>
      </c>
      <c r="Z25" s="34">
        <f t="shared" si="17"/>
        <v>4</v>
      </c>
      <c r="AA25" s="34">
        <f t="shared" si="17"/>
        <v>0</v>
      </c>
      <c r="AB25" s="34">
        <f t="shared" si="17"/>
        <v>20</v>
      </c>
      <c r="AC25" s="34">
        <f t="shared" si="17"/>
        <v>104</v>
      </c>
      <c r="AD25" s="34">
        <f t="shared" si="17"/>
        <v>0</v>
      </c>
      <c r="AE25" s="31">
        <f t="shared" si="17"/>
        <v>99</v>
      </c>
      <c r="AF25" s="31">
        <f t="shared" si="17"/>
        <v>203</v>
      </c>
    </row>
    <row r="26" spans="2:32" ht="23.1" customHeight="1" x14ac:dyDescent="0.25">
      <c r="B26" s="45" t="s">
        <v>53</v>
      </c>
      <c r="C26" s="50">
        <v>6</v>
      </c>
      <c r="D26" s="50">
        <v>2</v>
      </c>
      <c r="E26" s="50">
        <v>5</v>
      </c>
      <c r="F26" s="50">
        <v>3</v>
      </c>
      <c r="G26" s="50">
        <v>0</v>
      </c>
      <c r="H26" s="50">
        <v>0</v>
      </c>
      <c r="I26" s="50">
        <f>'[1]RD116 MCC'!O310</f>
        <v>3</v>
      </c>
      <c r="J26" s="50">
        <v>0</v>
      </c>
      <c r="K26" s="50">
        <v>0</v>
      </c>
      <c r="L26" s="50">
        <v>1</v>
      </c>
      <c r="M26" s="50">
        <v>36</v>
      </c>
      <c r="N26" s="50">
        <v>0</v>
      </c>
      <c r="O26" s="15">
        <f t="shared" si="0"/>
        <v>20</v>
      </c>
      <c r="P26" s="15">
        <f t="shared" si="1"/>
        <v>56</v>
      </c>
      <c r="R26" s="36" t="s">
        <v>150</v>
      </c>
      <c r="S26" s="34">
        <f>SUM(C74:C77)</f>
        <v>25</v>
      </c>
      <c r="T26" s="34">
        <f t="shared" ref="T26:AF26" si="18">SUM(D74:D77)</f>
        <v>7</v>
      </c>
      <c r="U26" s="34">
        <f t="shared" si="18"/>
        <v>15</v>
      </c>
      <c r="V26" s="34">
        <f t="shared" si="18"/>
        <v>0</v>
      </c>
      <c r="W26" s="34">
        <f t="shared" si="18"/>
        <v>1</v>
      </c>
      <c r="X26" s="34">
        <f t="shared" si="18"/>
        <v>1</v>
      </c>
      <c r="Y26" s="34">
        <f t="shared" si="18"/>
        <v>7</v>
      </c>
      <c r="Z26" s="34">
        <f t="shared" si="18"/>
        <v>1</v>
      </c>
      <c r="AA26" s="34">
        <f t="shared" si="18"/>
        <v>0</v>
      </c>
      <c r="AB26" s="34">
        <f t="shared" si="18"/>
        <v>4</v>
      </c>
      <c r="AC26" s="34">
        <f t="shared" si="18"/>
        <v>64</v>
      </c>
      <c r="AD26" s="34">
        <f t="shared" si="18"/>
        <v>0</v>
      </c>
      <c r="AE26" s="31">
        <f t="shared" si="18"/>
        <v>61</v>
      </c>
      <c r="AF26" s="31">
        <f t="shared" si="18"/>
        <v>125</v>
      </c>
    </row>
    <row r="27" spans="2:32" ht="23.1" customHeight="1" x14ac:dyDescent="0.25">
      <c r="B27" s="45" t="s">
        <v>54</v>
      </c>
      <c r="C27" s="50">
        <v>4</v>
      </c>
      <c r="D27" s="50">
        <v>5</v>
      </c>
      <c r="E27" s="50">
        <v>10</v>
      </c>
      <c r="F27" s="50">
        <v>0</v>
      </c>
      <c r="G27" s="50">
        <v>0</v>
      </c>
      <c r="H27" s="50">
        <v>1</v>
      </c>
      <c r="I27" s="50">
        <f>'[1]RD116 MCC'!O311</f>
        <v>3</v>
      </c>
      <c r="J27" s="50">
        <v>0</v>
      </c>
      <c r="K27" s="50">
        <v>0</v>
      </c>
      <c r="L27" s="50">
        <v>2</v>
      </c>
      <c r="M27" s="50">
        <v>56</v>
      </c>
      <c r="N27" s="50">
        <v>0</v>
      </c>
      <c r="O27" s="15">
        <f t="shared" si="0"/>
        <v>25</v>
      </c>
      <c r="P27" s="15">
        <f t="shared" si="1"/>
        <v>81</v>
      </c>
      <c r="R27" s="36" t="s">
        <v>151</v>
      </c>
      <c r="S27" s="34">
        <f>SUM(C78:C81)</f>
        <v>31</v>
      </c>
      <c r="T27" s="34">
        <f t="shared" ref="T27:AF27" si="19">SUM(D78:D81)</f>
        <v>6</v>
      </c>
      <c r="U27" s="34">
        <f t="shared" si="19"/>
        <v>13</v>
      </c>
      <c r="V27" s="34">
        <f t="shared" si="19"/>
        <v>4</v>
      </c>
      <c r="W27" s="34">
        <f t="shared" si="19"/>
        <v>2</v>
      </c>
      <c r="X27" s="34">
        <f t="shared" si="19"/>
        <v>2</v>
      </c>
      <c r="Y27" s="34">
        <f t="shared" si="19"/>
        <v>7</v>
      </c>
      <c r="Z27" s="34">
        <f t="shared" si="19"/>
        <v>5</v>
      </c>
      <c r="AA27" s="34">
        <f t="shared" si="19"/>
        <v>0</v>
      </c>
      <c r="AB27" s="34">
        <f t="shared" si="19"/>
        <v>15</v>
      </c>
      <c r="AC27" s="34">
        <f t="shared" si="19"/>
        <v>55</v>
      </c>
      <c r="AD27" s="34">
        <f t="shared" si="19"/>
        <v>0</v>
      </c>
      <c r="AE27" s="31">
        <f t="shared" si="19"/>
        <v>85</v>
      </c>
      <c r="AF27" s="31">
        <f t="shared" si="19"/>
        <v>140</v>
      </c>
    </row>
    <row r="28" spans="2:32" ht="23.1" customHeight="1" x14ac:dyDescent="0.25">
      <c r="B28" s="45" t="s">
        <v>55</v>
      </c>
      <c r="C28" s="50">
        <v>7</v>
      </c>
      <c r="D28" s="50">
        <v>2</v>
      </c>
      <c r="E28" s="50">
        <v>5</v>
      </c>
      <c r="F28" s="50">
        <v>0</v>
      </c>
      <c r="G28" s="50">
        <v>0</v>
      </c>
      <c r="H28" s="50">
        <v>0</v>
      </c>
      <c r="I28" s="50">
        <f>'[1]RD116 MCC'!O312</f>
        <v>5</v>
      </c>
      <c r="J28" s="50">
        <v>0</v>
      </c>
      <c r="K28" s="50">
        <v>1</v>
      </c>
      <c r="L28" s="50">
        <v>6</v>
      </c>
      <c r="M28" s="50">
        <v>53</v>
      </c>
      <c r="N28" s="50">
        <v>0</v>
      </c>
      <c r="O28" s="15">
        <f t="shared" si="0"/>
        <v>26</v>
      </c>
      <c r="P28" s="15">
        <f t="shared" si="1"/>
        <v>79</v>
      </c>
      <c r="R28" s="36" t="s">
        <v>152</v>
      </c>
      <c r="S28" s="34">
        <f>SUM(C82:C85)</f>
        <v>21</v>
      </c>
      <c r="T28" s="34">
        <f t="shared" ref="T28:AF28" si="20">SUM(D82:D85)</f>
        <v>11</v>
      </c>
      <c r="U28" s="34">
        <f t="shared" si="20"/>
        <v>22</v>
      </c>
      <c r="V28" s="34">
        <f t="shared" si="20"/>
        <v>5</v>
      </c>
      <c r="W28" s="34">
        <f t="shared" si="20"/>
        <v>5</v>
      </c>
      <c r="X28" s="34">
        <f t="shared" si="20"/>
        <v>3</v>
      </c>
      <c r="Y28" s="34">
        <f t="shared" si="20"/>
        <v>6</v>
      </c>
      <c r="Z28" s="34">
        <f t="shared" si="20"/>
        <v>1</v>
      </c>
      <c r="AA28" s="34">
        <f t="shared" si="20"/>
        <v>0</v>
      </c>
      <c r="AB28" s="34">
        <f t="shared" si="20"/>
        <v>12</v>
      </c>
      <c r="AC28" s="34">
        <f t="shared" si="20"/>
        <v>26</v>
      </c>
      <c r="AD28" s="34">
        <f t="shared" si="20"/>
        <v>0</v>
      </c>
      <c r="AE28" s="31">
        <f t="shared" si="20"/>
        <v>86</v>
      </c>
      <c r="AF28" s="31">
        <f t="shared" si="20"/>
        <v>112</v>
      </c>
    </row>
    <row r="29" spans="2:32" ht="23.1" customHeight="1" x14ac:dyDescent="0.25">
      <c r="B29" s="45" t="s">
        <v>56</v>
      </c>
      <c r="C29" s="50">
        <v>4</v>
      </c>
      <c r="D29" s="50">
        <v>4</v>
      </c>
      <c r="E29" s="50">
        <v>8</v>
      </c>
      <c r="F29" s="50">
        <v>1</v>
      </c>
      <c r="G29" s="50">
        <v>0</v>
      </c>
      <c r="H29" s="50">
        <v>1</v>
      </c>
      <c r="I29" s="50">
        <f>'[1]RD116 MCC'!O313</f>
        <v>5</v>
      </c>
      <c r="J29" s="50">
        <v>0</v>
      </c>
      <c r="K29" s="50">
        <v>0</v>
      </c>
      <c r="L29" s="50">
        <v>6</v>
      </c>
      <c r="M29" s="50">
        <v>51</v>
      </c>
      <c r="N29" s="50">
        <v>0</v>
      </c>
      <c r="O29" s="15">
        <f t="shared" si="0"/>
        <v>29</v>
      </c>
      <c r="P29" s="15">
        <f t="shared" si="1"/>
        <v>80</v>
      </c>
      <c r="R29" s="36" t="s">
        <v>153</v>
      </c>
      <c r="S29" s="34">
        <f>SUM(C86:C89)</f>
        <v>24</v>
      </c>
      <c r="T29" s="34">
        <f t="shared" ref="T29:AF29" si="21">SUM(D86:D89)</f>
        <v>4</v>
      </c>
      <c r="U29" s="34">
        <f t="shared" si="21"/>
        <v>12</v>
      </c>
      <c r="V29" s="34">
        <f t="shared" si="21"/>
        <v>1</v>
      </c>
      <c r="W29" s="34">
        <f t="shared" si="21"/>
        <v>1</v>
      </c>
      <c r="X29" s="34">
        <f t="shared" si="21"/>
        <v>0</v>
      </c>
      <c r="Y29" s="34">
        <f t="shared" si="21"/>
        <v>9</v>
      </c>
      <c r="Z29" s="34">
        <f t="shared" si="21"/>
        <v>0</v>
      </c>
      <c r="AA29" s="34">
        <f t="shared" si="21"/>
        <v>0</v>
      </c>
      <c r="AB29" s="34">
        <f t="shared" si="21"/>
        <v>11</v>
      </c>
      <c r="AC29" s="34">
        <f t="shared" si="21"/>
        <v>3</v>
      </c>
      <c r="AD29" s="34">
        <f t="shared" si="21"/>
        <v>0</v>
      </c>
      <c r="AE29" s="31">
        <f t="shared" si="21"/>
        <v>62</v>
      </c>
      <c r="AF29" s="31">
        <f t="shared" si="21"/>
        <v>65</v>
      </c>
    </row>
    <row r="30" spans="2:32" ht="23.1" customHeight="1" x14ac:dyDescent="0.25">
      <c r="B30" s="45" t="s">
        <v>57</v>
      </c>
      <c r="C30" s="50">
        <v>6</v>
      </c>
      <c r="D30" s="50">
        <v>3</v>
      </c>
      <c r="E30" s="50">
        <v>6</v>
      </c>
      <c r="F30" s="50">
        <v>1</v>
      </c>
      <c r="G30" s="50">
        <v>0</v>
      </c>
      <c r="H30" s="50">
        <v>0</v>
      </c>
      <c r="I30" s="50">
        <f>'[1]RD116 MCC'!O314</f>
        <v>6</v>
      </c>
      <c r="J30" s="50">
        <v>1</v>
      </c>
      <c r="K30" s="50">
        <v>0</v>
      </c>
      <c r="L30" s="50">
        <v>5</v>
      </c>
      <c r="M30" s="50">
        <v>51</v>
      </c>
      <c r="N30" s="50">
        <v>1</v>
      </c>
      <c r="O30" s="15">
        <f t="shared" si="0"/>
        <v>29</v>
      </c>
      <c r="P30" s="15">
        <f t="shared" si="1"/>
        <v>80</v>
      </c>
      <c r="R30" s="36" t="s">
        <v>154</v>
      </c>
      <c r="S30" s="34">
        <f>SUM(C90:C93)</f>
        <v>36</v>
      </c>
      <c r="T30" s="34">
        <f t="shared" ref="T30:AF30" si="22">SUM(D90:D93)</f>
        <v>9</v>
      </c>
      <c r="U30" s="34">
        <f t="shared" si="22"/>
        <v>20</v>
      </c>
      <c r="V30" s="34">
        <f t="shared" si="22"/>
        <v>1</v>
      </c>
      <c r="W30" s="34">
        <f t="shared" si="22"/>
        <v>0</v>
      </c>
      <c r="X30" s="34">
        <f t="shared" si="22"/>
        <v>3</v>
      </c>
      <c r="Y30" s="34">
        <f t="shared" si="22"/>
        <v>9</v>
      </c>
      <c r="Z30" s="34">
        <f t="shared" si="22"/>
        <v>2</v>
      </c>
      <c r="AA30" s="34">
        <f t="shared" si="22"/>
        <v>2</v>
      </c>
      <c r="AB30" s="34">
        <f t="shared" si="22"/>
        <v>4</v>
      </c>
      <c r="AC30" s="34">
        <f t="shared" si="22"/>
        <v>8</v>
      </c>
      <c r="AD30" s="34">
        <f t="shared" si="22"/>
        <v>0</v>
      </c>
      <c r="AE30" s="31">
        <f t="shared" si="22"/>
        <v>86</v>
      </c>
      <c r="AF30" s="31">
        <f t="shared" si="22"/>
        <v>94</v>
      </c>
    </row>
    <row r="31" spans="2:32" ht="23.1" customHeight="1" x14ac:dyDescent="0.25">
      <c r="B31" s="46" t="s">
        <v>58</v>
      </c>
      <c r="C31" s="50">
        <v>3</v>
      </c>
      <c r="D31" s="50">
        <v>1</v>
      </c>
      <c r="E31" s="50">
        <v>2</v>
      </c>
      <c r="F31" s="50">
        <v>0</v>
      </c>
      <c r="G31" s="50">
        <v>1</v>
      </c>
      <c r="H31" s="50">
        <v>0</v>
      </c>
      <c r="I31" s="50">
        <f>'[1]RD116 MCC'!O315</f>
        <v>3</v>
      </c>
      <c r="J31" s="50">
        <v>0</v>
      </c>
      <c r="K31" s="50">
        <v>0</v>
      </c>
      <c r="L31" s="50">
        <v>5</v>
      </c>
      <c r="M31" s="50">
        <v>33</v>
      </c>
      <c r="N31" s="50">
        <v>0</v>
      </c>
      <c r="O31" s="15">
        <f t="shared" si="0"/>
        <v>15</v>
      </c>
      <c r="P31" s="15">
        <f t="shared" si="1"/>
        <v>48</v>
      </c>
      <c r="R31" s="36" t="s">
        <v>155</v>
      </c>
      <c r="S31" s="34">
        <f>SUM(C94:C97)</f>
        <v>28</v>
      </c>
      <c r="T31" s="34">
        <f t="shared" ref="T31:AF31" si="23">SUM(D94:D97)</f>
        <v>14</v>
      </c>
      <c r="U31" s="34">
        <f t="shared" si="23"/>
        <v>29</v>
      </c>
      <c r="V31" s="34">
        <f t="shared" si="23"/>
        <v>3</v>
      </c>
      <c r="W31" s="34">
        <f t="shared" si="23"/>
        <v>2</v>
      </c>
      <c r="X31" s="34">
        <f t="shared" si="23"/>
        <v>1</v>
      </c>
      <c r="Y31" s="34">
        <f t="shared" si="23"/>
        <v>8</v>
      </c>
      <c r="Z31" s="34">
        <f t="shared" si="23"/>
        <v>3</v>
      </c>
      <c r="AA31" s="34">
        <f t="shared" si="23"/>
        <v>0</v>
      </c>
      <c r="AB31" s="34">
        <f t="shared" si="23"/>
        <v>4</v>
      </c>
      <c r="AC31" s="34">
        <f t="shared" si="23"/>
        <v>0</v>
      </c>
      <c r="AD31" s="34">
        <f t="shared" si="23"/>
        <v>0</v>
      </c>
      <c r="AE31" s="31">
        <f t="shared" si="23"/>
        <v>92</v>
      </c>
      <c r="AF31" s="31">
        <f t="shared" si="23"/>
        <v>92</v>
      </c>
    </row>
    <row r="32" spans="2:32" ht="23.1" customHeight="1" x14ac:dyDescent="0.25">
      <c r="B32" s="46" t="s">
        <v>59</v>
      </c>
      <c r="C32" s="50">
        <v>4</v>
      </c>
      <c r="D32" s="50">
        <v>3</v>
      </c>
      <c r="E32" s="50">
        <v>6</v>
      </c>
      <c r="F32" s="50">
        <v>0</v>
      </c>
      <c r="G32" s="50">
        <v>0</v>
      </c>
      <c r="H32" s="50">
        <v>0</v>
      </c>
      <c r="I32" s="50">
        <f>'[1]RD116 MCC'!O316</f>
        <v>4</v>
      </c>
      <c r="J32" s="50">
        <v>0</v>
      </c>
      <c r="K32" s="50">
        <v>0</v>
      </c>
      <c r="L32" s="50">
        <v>1</v>
      </c>
      <c r="M32" s="50">
        <v>67</v>
      </c>
      <c r="N32" s="50">
        <v>0</v>
      </c>
      <c r="O32" s="15">
        <f t="shared" si="0"/>
        <v>18</v>
      </c>
      <c r="P32" s="15">
        <f t="shared" si="1"/>
        <v>85</v>
      </c>
      <c r="R32" s="33" t="s">
        <v>156</v>
      </c>
      <c r="S32" s="34">
        <f>SUM(C98:C101)</f>
        <v>32</v>
      </c>
      <c r="T32" s="34">
        <f t="shared" ref="T32:AF32" si="24">SUM(D98:D101)</f>
        <v>15</v>
      </c>
      <c r="U32" s="34">
        <f t="shared" si="24"/>
        <v>32</v>
      </c>
      <c r="V32" s="34">
        <f t="shared" si="24"/>
        <v>6</v>
      </c>
      <c r="W32" s="34">
        <f t="shared" si="24"/>
        <v>0</v>
      </c>
      <c r="X32" s="34">
        <f t="shared" si="24"/>
        <v>3</v>
      </c>
      <c r="Y32" s="34">
        <f t="shared" si="24"/>
        <v>7</v>
      </c>
      <c r="Z32" s="34">
        <f t="shared" si="24"/>
        <v>2</v>
      </c>
      <c r="AA32" s="34">
        <f t="shared" si="24"/>
        <v>2</v>
      </c>
      <c r="AB32" s="34">
        <f t="shared" si="24"/>
        <v>7</v>
      </c>
      <c r="AC32" s="34">
        <f t="shared" si="24"/>
        <v>5</v>
      </c>
      <c r="AD32" s="34">
        <f t="shared" si="24"/>
        <v>0</v>
      </c>
      <c r="AE32" s="31">
        <f t="shared" si="24"/>
        <v>106</v>
      </c>
      <c r="AF32" s="31">
        <f t="shared" si="24"/>
        <v>111</v>
      </c>
    </row>
    <row r="33" spans="2:32" ht="23.1" customHeight="1" x14ac:dyDescent="0.25">
      <c r="B33" s="45" t="s">
        <v>60</v>
      </c>
      <c r="C33" s="50">
        <v>6</v>
      </c>
      <c r="D33" s="50">
        <v>3</v>
      </c>
      <c r="E33" s="50">
        <v>6</v>
      </c>
      <c r="F33" s="50">
        <v>2</v>
      </c>
      <c r="G33" s="50">
        <v>0</v>
      </c>
      <c r="H33" s="50">
        <v>2</v>
      </c>
      <c r="I33" s="50">
        <f>'[1]RD116 MCC'!O317</f>
        <v>1</v>
      </c>
      <c r="J33" s="50">
        <v>1</v>
      </c>
      <c r="K33" s="50">
        <v>0</v>
      </c>
      <c r="L33" s="50">
        <v>5</v>
      </c>
      <c r="M33" s="50">
        <v>35</v>
      </c>
      <c r="N33" s="50">
        <v>0</v>
      </c>
      <c r="O33" s="15">
        <f t="shared" si="0"/>
        <v>26</v>
      </c>
      <c r="P33" s="15">
        <f t="shared" si="1"/>
        <v>61</v>
      </c>
      <c r="R33" s="33" t="s">
        <v>157</v>
      </c>
      <c r="S33" s="34">
        <f>SUM(C102:C105)</f>
        <v>44</v>
      </c>
      <c r="T33" s="34">
        <f t="shared" ref="T33:AF33" si="25">SUM(D102:D105)</f>
        <v>32</v>
      </c>
      <c r="U33" s="34">
        <f t="shared" si="25"/>
        <v>66</v>
      </c>
      <c r="V33" s="34">
        <f t="shared" si="25"/>
        <v>9</v>
      </c>
      <c r="W33" s="34">
        <f t="shared" si="25"/>
        <v>1</v>
      </c>
      <c r="X33" s="34">
        <f t="shared" si="25"/>
        <v>2</v>
      </c>
      <c r="Y33" s="34">
        <f t="shared" si="25"/>
        <v>9</v>
      </c>
      <c r="Z33" s="34">
        <f t="shared" si="25"/>
        <v>3</v>
      </c>
      <c r="AA33" s="34">
        <f t="shared" si="25"/>
        <v>2</v>
      </c>
      <c r="AB33" s="34">
        <f t="shared" si="25"/>
        <v>14</v>
      </c>
      <c r="AC33" s="34">
        <f t="shared" si="25"/>
        <v>24</v>
      </c>
      <c r="AD33" s="34">
        <f t="shared" si="25"/>
        <v>0</v>
      </c>
      <c r="AE33" s="31">
        <f t="shared" si="25"/>
        <v>182</v>
      </c>
      <c r="AF33" s="31">
        <f t="shared" si="25"/>
        <v>206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1</v>
      </c>
      <c r="F34" s="50">
        <v>1</v>
      </c>
      <c r="G34" s="50">
        <v>0</v>
      </c>
      <c r="H34" s="50">
        <v>1</v>
      </c>
      <c r="I34" s="50">
        <f>'[1]RD116 MCC'!O318</f>
        <v>5</v>
      </c>
      <c r="J34" s="50">
        <v>0</v>
      </c>
      <c r="K34" s="50">
        <v>0</v>
      </c>
      <c r="L34" s="50">
        <v>10</v>
      </c>
      <c r="M34" s="50">
        <v>51</v>
      </c>
      <c r="N34" s="50">
        <v>0</v>
      </c>
      <c r="O34" s="15">
        <f t="shared" si="0"/>
        <v>20</v>
      </c>
      <c r="P34" s="15">
        <f t="shared" si="1"/>
        <v>71</v>
      </c>
      <c r="R34" s="38" t="s">
        <v>90</v>
      </c>
      <c r="S34" s="39">
        <f t="shared" ref="S34:AF34" si="26">MAX(S10:S12)</f>
        <v>22</v>
      </c>
      <c r="T34" s="39">
        <f t="shared" si="26"/>
        <v>15</v>
      </c>
      <c r="U34" s="39">
        <f t="shared" si="26"/>
        <v>33</v>
      </c>
      <c r="V34" s="39">
        <f t="shared" si="26"/>
        <v>9</v>
      </c>
      <c r="W34" s="39">
        <f t="shared" si="26"/>
        <v>1</v>
      </c>
      <c r="X34" s="39">
        <f t="shared" si="26"/>
        <v>3</v>
      </c>
      <c r="Y34" s="39">
        <f t="shared" si="26"/>
        <v>19</v>
      </c>
      <c r="Z34" s="39">
        <f t="shared" si="26"/>
        <v>1</v>
      </c>
      <c r="AA34" s="39">
        <f t="shared" si="26"/>
        <v>0</v>
      </c>
      <c r="AB34" s="39">
        <f t="shared" si="26"/>
        <v>3</v>
      </c>
      <c r="AC34" s="39">
        <f t="shared" si="26"/>
        <v>232</v>
      </c>
      <c r="AD34" s="39">
        <f t="shared" si="26"/>
        <v>0</v>
      </c>
      <c r="AE34" s="40">
        <f t="shared" si="26"/>
        <v>94</v>
      </c>
      <c r="AF34" s="40">
        <f t="shared" si="26"/>
        <v>305</v>
      </c>
    </row>
    <row r="35" spans="2:32" ht="23.1" customHeight="1" x14ac:dyDescent="0.25">
      <c r="B35" s="46" t="s">
        <v>62</v>
      </c>
      <c r="C35" s="50">
        <v>4</v>
      </c>
      <c r="D35" s="50">
        <v>3</v>
      </c>
      <c r="E35" s="50">
        <v>7</v>
      </c>
      <c r="F35" s="50">
        <v>0</v>
      </c>
      <c r="G35" s="50">
        <v>0</v>
      </c>
      <c r="H35" s="50">
        <v>0</v>
      </c>
      <c r="I35" s="50">
        <f>'[1]RD116 MCC'!O319</f>
        <v>4</v>
      </c>
      <c r="J35" s="50">
        <v>1</v>
      </c>
      <c r="K35" s="50">
        <v>0</v>
      </c>
      <c r="L35" s="50">
        <v>3</v>
      </c>
      <c r="M35" s="50">
        <v>63</v>
      </c>
      <c r="N35" s="50">
        <v>0</v>
      </c>
      <c r="O35" s="15">
        <f t="shared" si="0"/>
        <v>22</v>
      </c>
      <c r="P35" s="15">
        <f t="shared" si="1"/>
        <v>85</v>
      </c>
      <c r="R35" s="38" t="s">
        <v>91</v>
      </c>
      <c r="S35" s="39">
        <f t="shared" ref="S35:AF35" si="27">MAX(S13:S18)</f>
        <v>23</v>
      </c>
      <c r="T35" s="39">
        <f t="shared" si="27"/>
        <v>13</v>
      </c>
      <c r="U35" s="39">
        <f t="shared" si="27"/>
        <v>28</v>
      </c>
      <c r="V35" s="39">
        <f t="shared" si="27"/>
        <v>7</v>
      </c>
      <c r="W35" s="39">
        <f t="shared" si="27"/>
        <v>1</v>
      </c>
      <c r="X35" s="39">
        <f t="shared" si="27"/>
        <v>3</v>
      </c>
      <c r="Y35" s="39">
        <f t="shared" si="27"/>
        <v>18</v>
      </c>
      <c r="Z35" s="39">
        <f t="shared" si="27"/>
        <v>3</v>
      </c>
      <c r="AA35" s="39">
        <f t="shared" si="27"/>
        <v>1</v>
      </c>
      <c r="AB35" s="39">
        <f t="shared" si="27"/>
        <v>19</v>
      </c>
      <c r="AC35" s="39">
        <f t="shared" si="27"/>
        <v>245</v>
      </c>
      <c r="AD35" s="39">
        <f t="shared" si="27"/>
        <v>4</v>
      </c>
      <c r="AE35" s="40">
        <f t="shared" si="27"/>
        <v>100</v>
      </c>
      <c r="AF35" s="40">
        <f t="shared" si="27"/>
        <v>323</v>
      </c>
    </row>
    <row r="36" spans="2:32" ht="23.1" customHeight="1" x14ac:dyDescent="0.25">
      <c r="B36" s="46" t="s">
        <v>63</v>
      </c>
      <c r="C36" s="50">
        <v>4</v>
      </c>
      <c r="D36" s="50">
        <v>5</v>
      </c>
      <c r="E36" s="50">
        <v>10</v>
      </c>
      <c r="F36" s="50">
        <v>1</v>
      </c>
      <c r="G36" s="50">
        <v>0</v>
      </c>
      <c r="H36" s="50">
        <v>0</v>
      </c>
      <c r="I36" s="50">
        <f>'[1]RD116 MCC'!O320</f>
        <v>4</v>
      </c>
      <c r="J36" s="50">
        <v>0</v>
      </c>
      <c r="K36" s="50">
        <v>0</v>
      </c>
      <c r="L36" s="50">
        <v>4</v>
      </c>
      <c r="M36" s="50">
        <v>62</v>
      </c>
      <c r="N36" s="50">
        <v>0</v>
      </c>
      <c r="O36" s="15">
        <f t="shared" si="0"/>
        <v>28</v>
      </c>
      <c r="P36" s="15">
        <f t="shared" si="1"/>
        <v>90</v>
      </c>
      <c r="R36" s="38" t="s">
        <v>92</v>
      </c>
      <c r="S36" s="39">
        <f t="shared" ref="S36:AF36" si="28">MAX(S19:S21)</f>
        <v>30</v>
      </c>
      <c r="T36" s="39">
        <f t="shared" si="28"/>
        <v>11</v>
      </c>
      <c r="U36" s="39">
        <f t="shared" si="28"/>
        <v>24</v>
      </c>
      <c r="V36" s="39">
        <f t="shared" si="28"/>
        <v>11</v>
      </c>
      <c r="W36" s="39">
        <f t="shared" si="28"/>
        <v>2</v>
      </c>
      <c r="X36" s="39">
        <f t="shared" si="28"/>
        <v>5</v>
      </c>
      <c r="Y36" s="39">
        <f t="shared" si="28"/>
        <v>25</v>
      </c>
      <c r="Z36" s="39">
        <f t="shared" si="28"/>
        <v>3</v>
      </c>
      <c r="AA36" s="39">
        <f t="shared" si="28"/>
        <v>1</v>
      </c>
      <c r="AB36" s="39">
        <f t="shared" si="28"/>
        <v>14</v>
      </c>
      <c r="AC36" s="39">
        <f t="shared" si="28"/>
        <v>271</v>
      </c>
      <c r="AD36" s="39">
        <f t="shared" si="28"/>
        <v>0</v>
      </c>
      <c r="AE36" s="40">
        <f t="shared" si="28"/>
        <v>102</v>
      </c>
      <c r="AF36" s="40">
        <f t="shared" si="28"/>
        <v>360</v>
      </c>
    </row>
    <row r="37" spans="2:32" ht="23.1" customHeight="1" x14ac:dyDescent="0.25">
      <c r="B37" s="45" t="s">
        <v>64</v>
      </c>
      <c r="C37" s="50">
        <v>4</v>
      </c>
      <c r="D37" s="50">
        <v>4</v>
      </c>
      <c r="E37" s="50">
        <v>9</v>
      </c>
      <c r="F37" s="50">
        <v>1</v>
      </c>
      <c r="G37" s="50">
        <v>0</v>
      </c>
      <c r="H37" s="50">
        <v>1</v>
      </c>
      <c r="I37" s="50">
        <f>'[1]RD116 MCC'!O321</f>
        <v>5</v>
      </c>
      <c r="J37" s="50">
        <v>0</v>
      </c>
      <c r="K37" s="50">
        <v>0</v>
      </c>
      <c r="L37" s="50">
        <v>2</v>
      </c>
      <c r="M37" s="50">
        <v>44</v>
      </c>
      <c r="N37" s="50">
        <v>0</v>
      </c>
      <c r="O37" s="15">
        <f t="shared" si="0"/>
        <v>26</v>
      </c>
      <c r="P37" s="15">
        <f t="shared" si="1"/>
        <v>70</v>
      </c>
      <c r="R37" s="37" t="s">
        <v>85</v>
      </c>
      <c r="S37" s="35">
        <f t="shared" ref="S37:AF37" si="29">SUM(S10:S12)</f>
        <v>39</v>
      </c>
      <c r="T37" s="16">
        <f t="shared" si="29"/>
        <v>33</v>
      </c>
      <c r="U37" s="16">
        <f t="shared" si="29"/>
        <v>74</v>
      </c>
      <c r="V37" s="16">
        <f t="shared" si="29"/>
        <v>14</v>
      </c>
      <c r="W37" s="16">
        <f t="shared" si="29"/>
        <v>1</v>
      </c>
      <c r="X37" s="16">
        <f t="shared" si="29"/>
        <v>6</v>
      </c>
      <c r="Y37" s="16">
        <f t="shared" si="29"/>
        <v>33</v>
      </c>
      <c r="Z37" s="16">
        <f t="shared" si="29"/>
        <v>1</v>
      </c>
      <c r="AA37" s="16">
        <f t="shared" si="29"/>
        <v>0</v>
      </c>
      <c r="AB37" s="16">
        <f t="shared" si="29"/>
        <v>4</v>
      </c>
      <c r="AC37" s="16">
        <f t="shared" si="29"/>
        <v>644</v>
      </c>
      <c r="AD37" s="16">
        <f t="shared" si="29"/>
        <v>0</v>
      </c>
      <c r="AE37" s="32">
        <f t="shared" si="29"/>
        <v>205</v>
      </c>
      <c r="AF37" s="32">
        <f t="shared" si="29"/>
        <v>849</v>
      </c>
    </row>
    <row r="38" spans="2:32" ht="23.1" customHeight="1" x14ac:dyDescent="0.25">
      <c r="B38" s="46" t="s">
        <v>65</v>
      </c>
      <c r="C38" s="50">
        <v>1</v>
      </c>
      <c r="D38" s="50">
        <v>1</v>
      </c>
      <c r="E38" s="50">
        <v>2</v>
      </c>
      <c r="F38" s="50">
        <v>1</v>
      </c>
      <c r="G38" s="50">
        <v>0</v>
      </c>
      <c r="H38" s="50">
        <v>2</v>
      </c>
      <c r="I38" s="50">
        <f>'[1]RD116 MCC'!O322</f>
        <v>7</v>
      </c>
      <c r="J38" s="50">
        <v>1</v>
      </c>
      <c r="K38" s="50">
        <v>0</v>
      </c>
      <c r="L38" s="50">
        <v>4</v>
      </c>
      <c r="M38" s="50">
        <v>39</v>
      </c>
      <c r="N38" s="50">
        <v>0</v>
      </c>
      <c r="O38" s="15">
        <f t="shared" si="0"/>
        <v>19</v>
      </c>
      <c r="P38" s="15">
        <f t="shared" si="1"/>
        <v>58</v>
      </c>
      <c r="R38" s="28" t="s">
        <v>86</v>
      </c>
      <c r="S38" s="16">
        <f t="shared" ref="S38:AF38" si="30">SUM(S13:S18)</f>
        <v>111</v>
      </c>
      <c r="T38" s="16">
        <f t="shared" si="30"/>
        <v>61</v>
      </c>
      <c r="U38" s="16">
        <f t="shared" si="30"/>
        <v>132</v>
      </c>
      <c r="V38" s="16">
        <f t="shared" si="30"/>
        <v>27</v>
      </c>
      <c r="W38" s="16">
        <f t="shared" si="30"/>
        <v>1</v>
      </c>
      <c r="X38" s="16">
        <f t="shared" si="30"/>
        <v>13</v>
      </c>
      <c r="Y38" s="16">
        <f t="shared" si="30"/>
        <v>93</v>
      </c>
      <c r="Z38" s="16">
        <f t="shared" si="30"/>
        <v>8</v>
      </c>
      <c r="AA38" s="16">
        <f t="shared" si="30"/>
        <v>1</v>
      </c>
      <c r="AB38" s="16">
        <f t="shared" si="30"/>
        <v>80</v>
      </c>
      <c r="AC38" s="16">
        <f t="shared" si="30"/>
        <v>1186</v>
      </c>
      <c r="AD38" s="16">
        <f t="shared" si="30"/>
        <v>6</v>
      </c>
      <c r="AE38" s="32">
        <f t="shared" si="30"/>
        <v>533</v>
      </c>
      <c r="AF38" s="32">
        <f t="shared" si="30"/>
        <v>1719</v>
      </c>
    </row>
    <row r="39" spans="2:32" ht="23.1" customHeight="1" x14ac:dyDescent="0.25">
      <c r="B39" s="46" t="s">
        <v>66</v>
      </c>
      <c r="C39" s="50">
        <v>4</v>
      </c>
      <c r="D39" s="50">
        <v>2</v>
      </c>
      <c r="E39" s="50">
        <v>4</v>
      </c>
      <c r="F39" s="50">
        <v>1</v>
      </c>
      <c r="G39" s="50">
        <v>0</v>
      </c>
      <c r="H39" s="50">
        <v>0</v>
      </c>
      <c r="I39" s="50">
        <f>'[1]RD116 MCC'!O323</f>
        <v>3</v>
      </c>
      <c r="J39" s="50">
        <v>1</v>
      </c>
      <c r="K39" s="50">
        <v>0</v>
      </c>
      <c r="L39" s="50">
        <v>3</v>
      </c>
      <c r="M39" s="50">
        <v>39</v>
      </c>
      <c r="N39" s="50">
        <v>0</v>
      </c>
      <c r="O39" s="15">
        <f t="shared" si="0"/>
        <v>18</v>
      </c>
      <c r="P39" s="15">
        <f t="shared" si="1"/>
        <v>57</v>
      </c>
      <c r="R39" s="29" t="s">
        <v>87</v>
      </c>
      <c r="S39" s="16">
        <f t="shared" ref="S39:AF39" si="31">SUM(S19:S21)</f>
        <v>74</v>
      </c>
      <c r="T39" s="16">
        <f t="shared" si="31"/>
        <v>28</v>
      </c>
      <c r="U39" s="16">
        <f t="shared" si="31"/>
        <v>61</v>
      </c>
      <c r="V39" s="16">
        <f t="shared" si="31"/>
        <v>24</v>
      </c>
      <c r="W39" s="16">
        <f t="shared" si="31"/>
        <v>3</v>
      </c>
      <c r="X39" s="16">
        <f t="shared" si="31"/>
        <v>9</v>
      </c>
      <c r="Y39" s="16">
        <f t="shared" si="31"/>
        <v>53</v>
      </c>
      <c r="Z39" s="16">
        <f t="shared" si="31"/>
        <v>4</v>
      </c>
      <c r="AA39" s="16">
        <f t="shared" si="31"/>
        <v>1</v>
      </c>
      <c r="AB39" s="16">
        <f t="shared" si="31"/>
        <v>25</v>
      </c>
      <c r="AC39" s="16">
        <f t="shared" si="31"/>
        <v>738</v>
      </c>
      <c r="AD39" s="16">
        <f t="shared" si="31"/>
        <v>0</v>
      </c>
      <c r="AE39" s="32">
        <f t="shared" si="31"/>
        <v>282</v>
      </c>
      <c r="AF39" s="32">
        <f t="shared" si="31"/>
        <v>1020</v>
      </c>
    </row>
    <row r="40" spans="2:32" ht="23.1" customHeight="1" x14ac:dyDescent="0.25">
      <c r="B40" s="46" t="s">
        <v>67</v>
      </c>
      <c r="C40" s="50">
        <v>6</v>
      </c>
      <c r="D40" s="50">
        <v>4</v>
      </c>
      <c r="E40" s="50">
        <v>9</v>
      </c>
      <c r="F40" s="50">
        <v>2</v>
      </c>
      <c r="G40" s="50">
        <v>0</v>
      </c>
      <c r="H40" s="50">
        <v>0</v>
      </c>
      <c r="I40" s="50">
        <f>'[1]RD116 MCC'!O324</f>
        <v>1</v>
      </c>
      <c r="J40" s="50">
        <v>0</v>
      </c>
      <c r="K40" s="50">
        <v>0</v>
      </c>
      <c r="L40" s="50">
        <v>2</v>
      </c>
      <c r="M40" s="50">
        <v>45</v>
      </c>
      <c r="N40" s="50">
        <v>0</v>
      </c>
      <c r="O40" s="15">
        <f t="shared" si="0"/>
        <v>24</v>
      </c>
      <c r="P40" s="15">
        <f t="shared" si="1"/>
        <v>69</v>
      </c>
      <c r="R40" s="5" t="s">
        <v>17</v>
      </c>
      <c r="S40" s="16">
        <f t="shared" ref="S40:AF40" si="32">SUM(S10:S21)</f>
        <v>224</v>
      </c>
      <c r="T40" s="16">
        <f t="shared" si="32"/>
        <v>122</v>
      </c>
      <c r="U40" s="16">
        <f t="shared" si="32"/>
        <v>267</v>
      </c>
      <c r="V40" s="16">
        <f t="shared" si="32"/>
        <v>65</v>
      </c>
      <c r="W40" s="16">
        <f t="shared" si="32"/>
        <v>5</v>
      </c>
      <c r="X40" s="16">
        <f t="shared" si="32"/>
        <v>28</v>
      </c>
      <c r="Y40" s="16">
        <f t="shared" si="32"/>
        <v>179</v>
      </c>
      <c r="Z40" s="16">
        <f t="shared" si="32"/>
        <v>13</v>
      </c>
      <c r="AA40" s="16">
        <f t="shared" si="32"/>
        <v>2</v>
      </c>
      <c r="AB40" s="16">
        <f t="shared" si="32"/>
        <v>109</v>
      </c>
      <c r="AC40" s="16">
        <f t="shared" si="32"/>
        <v>2568</v>
      </c>
      <c r="AD40" s="16">
        <f t="shared" si="32"/>
        <v>6</v>
      </c>
      <c r="AE40" s="32">
        <f t="shared" si="32"/>
        <v>1020</v>
      </c>
      <c r="AF40" s="32">
        <f t="shared" si="32"/>
        <v>3588</v>
      </c>
    </row>
    <row r="41" spans="2:32" ht="23.1" customHeight="1" x14ac:dyDescent="0.25">
      <c r="B41" s="45" t="s">
        <v>68</v>
      </c>
      <c r="C41" s="50">
        <v>7</v>
      </c>
      <c r="D41" s="50">
        <v>2</v>
      </c>
      <c r="E41" s="50">
        <v>4</v>
      </c>
      <c r="F41" s="50">
        <v>1</v>
      </c>
      <c r="G41" s="50">
        <v>0</v>
      </c>
      <c r="H41" s="50">
        <v>0</v>
      </c>
      <c r="I41" s="50">
        <f>'[1]RD116 MCC'!O325</f>
        <v>5</v>
      </c>
      <c r="J41" s="50">
        <v>1</v>
      </c>
      <c r="K41" s="50">
        <v>0</v>
      </c>
      <c r="L41" s="50">
        <v>3</v>
      </c>
      <c r="M41" s="50">
        <v>36</v>
      </c>
      <c r="N41" s="50">
        <v>0</v>
      </c>
      <c r="O41" s="15">
        <f t="shared" si="0"/>
        <v>23</v>
      </c>
      <c r="P41" s="15">
        <f t="shared" si="1"/>
        <v>59</v>
      </c>
      <c r="R41" s="5" t="s">
        <v>159</v>
      </c>
      <c r="S41" s="16">
        <f>SUM(S10:S33)</f>
        <v>609</v>
      </c>
      <c r="T41" s="16">
        <f t="shared" ref="T41:AF41" si="33">SUM(T10:T33)</f>
        <v>245</v>
      </c>
      <c r="U41" s="16">
        <f t="shared" si="33"/>
        <v>533</v>
      </c>
      <c r="V41" s="16">
        <f t="shared" si="33"/>
        <v>100</v>
      </c>
      <c r="W41" s="16">
        <f t="shared" si="33"/>
        <v>22</v>
      </c>
      <c r="X41" s="16">
        <f t="shared" si="33"/>
        <v>45</v>
      </c>
      <c r="Y41" s="16">
        <f t="shared" si="33"/>
        <v>269</v>
      </c>
      <c r="Z41" s="16">
        <f t="shared" si="33"/>
        <v>38</v>
      </c>
      <c r="AA41" s="16">
        <f t="shared" si="33"/>
        <v>9</v>
      </c>
      <c r="AB41" s="16">
        <f t="shared" si="33"/>
        <v>230</v>
      </c>
      <c r="AC41" s="16">
        <f t="shared" si="33"/>
        <v>3461</v>
      </c>
      <c r="AD41" s="16">
        <f t="shared" si="33"/>
        <v>9</v>
      </c>
      <c r="AE41" s="32">
        <f t="shared" si="33"/>
        <v>2109</v>
      </c>
      <c r="AF41" s="32">
        <f t="shared" si="33"/>
        <v>5570</v>
      </c>
    </row>
    <row r="42" spans="2:32" ht="23.1" customHeight="1" x14ac:dyDescent="0.25">
      <c r="B42" s="46" t="s">
        <v>69</v>
      </c>
      <c r="C42" s="50">
        <v>2</v>
      </c>
      <c r="D42" s="50">
        <v>1</v>
      </c>
      <c r="E42" s="50">
        <v>3</v>
      </c>
      <c r="F42" s="50">
        <v>0</v>
      </c>
      <c r="G42" s="50">
        <v>0</v>
      </c>
      <c r="H42" s="50">
        <v>2</v>
      </c>
      <c r="I42" s="50">
        <f>'[1]RD116 MCC'!O326</f>
        <v>6</v>
      </c>
      <c r="J42" s="50">
        <v>0</v>
      </c>
      <c r="K42" s="50">
        <v>0</v>
      </c>
      <c r="L42" s="50">
        <v>0</v>
      </c>
      <c r="M42" s="50">
        <v>57</v>
      </c>
      <c r="N42" s="50">
        <v>0</v>
      </c>
      <c r="O42" s="15">
        <f t="shared" si="0"/>
        <v>14</v>
      </c>
      <c r="P42" s="15">
        <f t="shared" si="1"/>
        <v>71</v>
      </c>
      <c r="R42" s="5" t="s">
        <v>160</v>
      </c>
      <c r="S42" s="48">
        <f>S41/S40</f>
        <v>2.71875</v>
      </c>
      <c r="T42" s="48">
        <f t="shared" ref="T42:AF42" si="34">T41/T40</f>
        <v>2.0081967213114753</v>
      </c>
      <c r="U42" s="48">
        <f t="shared" si="34"/>
        <v>1.9962546816479401</v>
      </c>
      <c r="V42" s="48">
        <f t="shared" si="34"/>
        <v>1.5384615384615385</v>
      </c>
      <c r="W42" s="48">
        <f t="shared" si="34"/>
        <v>4.4000000000000004</v>
      </c>
      <c r="X42" s="48">
        <f t="shared" si="34"/>
        <v>1.6071428571428572</v>
      </c>
      <c r="Y42" s="48">
        <f t="shared" si="34"/>
        <v>1.5027932960893855</v>
      </c>
      <c r="Z42" s="48">
        <f t="shared" si="34"/>
        <v>2.9230769230769229</v>
      </c>
      <c r="AA42" s="48">
        <f t="shared" si="34"/>
        <v>4.5</v>
      </c>
      <c r="AB42" s="48">
        <f t="shared" si="34"/>
        <v>2.1100917431192658</v>
      </c>
      <c r="AC42" s="48">
        <f t="shared" si="34"/>
        <v>1.3477414330218069</v>
      </c>
      <c r="AD42" s="48">
        <f t="shared" si="34"/>
        <v>1.5</v>
      </c>
      <c r="AE42" s="48">
        <f t="shared" si="34"/>
        <v>2.0676470588235296</v>
      </c>
      <c r="AF42" s="48">
        <f t="shared" si="34"/>
        <v>1.5523968784838349</v>
      </c>
    </row>
    <row r="43" spans="2:32" ht="23.1" customHeight="1" x14ac:dyDescent="0.25">
      <c r="B43" s="45" t="s">
        <v>70</v>
      </c>
      <c r="C43" s="50">
        <v>6</v>
      </c>
      <c r="D43" s="50">
        <v>5</v>
      </c>
      <c r="E43" s="50">
        <v>10</v>
      </c>
      <c r="F43" s="50">
        <v>1</v>
      </c>
      <c r="G43" s="50">
        <v>0</v>
      </c>
      <c r="H43" s="50">
        <v>0</v>
      </c>
      <c r="I43" s="50">
        <f>'[1]RD116 MCC'!O327</f>
        <v>4</v>
      </c>
      <c r="J43" s="50">
        <v>1</v>
      </c>
      <c r="K43" s="50">
        <v>0</v>
      </c>
      <c r="L43" s="50">
        <v>3</v>
      </c>
      <c r="M43" s="50">
        <v>47</v>
      </c>
      <c r="N43" s="50">
        <v>4</v>
      </c>
      <c r="O43" s="15">
        <f t="shared" si="0"/>
        <v>34</v>
      </c>
      <c r="P43" s="15">
        <f t="shared" si="1"/>
        <v>81</v>
      </c>
    </row>
    <row r="44" spans="2:32" ht="23.1" customHeight="1" x14ac:dyDescent="0.25">
      <c r="B44" s="47" t="s">
        <v>71</v>
      </c>
      <c r="C44" s="50">
        <v>3</v>
      </c>
      <c r="D44" s="50">
        <v>1</v>
      </c>
      <c r="E44" s="50">
        <v>2</v>
      </c>
      <c r="F44" s="50">
        <v>1</v>
      </c>
      <c r="G44" s="50">
        <v>0</v>
      </c>
      <c r="H44" s="50">
        <v>0</v>
      </c>
      <c r="I44" s="50">
        <f>'[1]RD116 MCC'!O328</f>
        <v>4</v>
      </c>
      <c r="J44" s="50">
        <v>1</v>
      </c>
      <c r="K44" s="50">
        <v>0</v>
      </c>
      <c r="L44" s="50">
        <v>3</v>
      </c>
      <c r="M44" s="50">
        <v>39</v>
      </c>
      <c r="N44" s="50">
        <v>0</v>
      </c>
      <c r="O44" s="15">
        <f t="shared" si="0"/>
        <v>15</v>
      </c>
      <c r="P44" s="15">
        <f t="shared" si="1"/>
        <v>54</v>
      </c>
    </row>
    <row r="45" spans="2:32" ht="23.1" customHeight="1" x14ac:dyDescent="0.25">
      <c r="B45" s="45" t="s">
        <v>72</v>
      </c>
      <c r="C45" s="50">
        <v>5</v>
      </c>
      <c r="D45" s="50">
        <v>3</v>
      </c>
      <c r="E45" s="50">
        <v>6</v>
      </c>
      <c r="F45" s="50">
        <v>3</v>
      </c>
      <c r="G45" s="50">
        <v>0</v>
      </c>
      <c r="H45" s="50">
        <v>0</v>
      </c>
      <c r="I45" s="50">
        <f>'[1]RD116 MCC'!O329</f>
        <v>2</v>
      </c>
      <c r="J45" s="50">
        <v>0</v>
      </c>
      <c r="K45" s="50">
        <v>0</v>
      </c>
      <c r="L45" s="50">
        <v>5</v>
      </c>
      <c r="M45" s="50">
        <v>37</v>
      </c>
      <c r="N45" s="50">
        <v>0</v>
      </c>
      <c r="O45" s="15">
        <f t="shared" si="0"/>
        <v>24</v>
      </c>
      <c r="P45" s="15">
        <f t="shared" si="1"/>
        <v>61</v>
      </c>
    </row>
    <row r="46" spans="2:32" ht="23.1" customHeight="1" x14ac:dyDescent="0.25">
      <c r="B46" s="46" t="s">
        <v>73</v>
      </c>
      <c r="C46" s="50">
        <v>4</v>
      </c>
      <c r="D46" s="50">
        <v>1</v>
      </c>
      <c r="E46" s="50">
        <v>3</v>
      </c>
      <c r="F46" s="50">
        <v>3</v>
      </c>
      <c r="G46" s="50">
        <v>0</v>
      </c>
      <c r="H46" s="50">
        <v>1</v>
      </c>
      <c r="I46" s="50">
        <f>'[1]RD116 MCC'!O330</f>
        <v>6</v>
      </c>
      <c r="J46" s="50">
        <v>0</v>
      </c>
      <c r="K46" s="50">
        <v>0</v>
      </c>
      <c r="L46" s="50">
        <v>7</v>
      </c>
      <c r="M46" s="50">
        <v>53</v>
      </c>
      <c r="N46" s="50">
        <v>0</v>
      </c>
      <c r="O46" s="15">
        <f t="shared" si="0"/>
        <v>25</v>
      </c>
      <c r="P46" s="15">
        <f t="shared" si="1"/>
        <v>78</v>
      </c>
      <c r="R46" s="8"/>
      <c r="T46"/>
    </row>
    <row r="47" spans="2:32" ht="23.1" customHeight="1" x14ac:dyDescent="0.25">
      <c r="B47" s="46" t="s">
        <v>74</v>
      </c>
      <c r="C47" s="50">
        <v>7</v>
      </c>
      <c r="D47" s="50">
        <v>0</v>
      </c>
      <c r="E47" s="50">
        <v>0</v>
      </c>
      <c r="F47" s="50">
        <v>1</v>
      </c>
      <c r="G47" s="50">
        <v>0</v>
      </c>
      <c r="H47" s="50">
        <v>1</v>
      </c>
      <c r="I47" s="50">
        <f>'[1]RD116 MCC'!O331</f>
        <v>6</v>
      </c>
      <c r="J47" s="50">
        <v>2</v>
      </c>
      <c r="K47" s="50">
        <v>0</v>
      </c>
      <c r="L47" s="50">
        <v>0</v>
      </c>
      <c r="M47" s="50">
        <v>50</v>
      </c>
      <c r="N47" s="50">
        <v>0</v>
      </c>
      <c r="O47" s="15">
        <f t="shared" si="0"/>
        <v>17</v>
      </c>
      <c r="P47" s="15">
        <f t="shared" si="1"/>
        <v>67</v>
      </c>
      <c r="R47" s="8"/>
      <c r="T47"/>
    </row>
    <row r="48" spans="2:32" ht="23.1" customHeight="1" x14ac:dyDescent="0.25">
      <c r="B48" s="46" t="s">
        <v>75</v>
      </c>
      <c r="C48" s="50">
        <v>6</v>
      </c>
      <c r="D48" s="50">
        <v>3</v>
      </c>
      <c r="E48" s="50">
        <v>6</v>
      </c>
      <c r="F48" s="50">
        <v>1</v>
      </c>
      <c r="G48" s="50">
        <v>0</v>
      </c>
      <c r="H48" s="50">
        <v>0</v>
      </c>
      <c r="I48" s="50">
        <f>'[1]RD116 MCC'!O332</f>
        <v>8</v>
      </c>
      <c r="J48" s="50">
        <v>1</v>
      </c>
      <c r="K48" s="50">
        <v>0</v>
      </c>
      <c r="L48" s="50">
        <v>5</v>
      </c>
      <c r="M48" s="50">
        <v>63</v>
      </c>
      <c r="N48" s="50">
        <v>0</v>
      </c>
      <c r="O48" s="15">
        <f t="shared" si="0"/>
        <v>30</v>
      </c>
      <c r="P48" s="15">
        <f t="shared" si="1"/>
        <v>93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3</v>
      </c>
      <c r="E49" s="50">
        <v>6</v>
      </c>
      <c r="F49" s="50">
        <v>0</v>
      </c>
      <c r="G49" s="50">
        <v>0</v>
      </c>
      <c r="H49" s="50">
        <v>1</v>
      </c>
      <c r="I49" s="50">
        <f>'[1]RD116 MCC'!O333</f>
        <v>5</v>
      </c>
      <c r="J49" s="50">
        <v>0</v>
      </c>
      <c r="K49" s="50">
        <v>0</v>
      </c>
      <c r="L49" s="50">
        <v>2</v>
      </c>
      <c r="M49" s="50">
        <v>50</v>
      </c>
      <c r="N49" s="50">
        <v>0</v>
      </c>
      <c r="O49" s="15">
        <f t="shared" si="0"/>
        <v>30</v>
      </c>
      <c r="P49" s="15">
        <f t="shared" si="1"/>
        <v>80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5</v>
      </c>
      <c r="E50" s="50">
        <v>11</v>
      </c>
      <c r="F50" s="50">
        <v>3</v>
      </c>
      <c r="G50" s="50">
        <v>0</v>
      </c>
      <c r="H50" s="50">
        <v>0</v>
      </c>
      <c r="I50" s="50">
        <f>'[1]RD116 MCC'!O334</f>
        <v>2</v>
      </c>
      <c r="J50" s="50">
        <v>0</v>
      </c>
      <c r="K50" s="50">
        <v>1</v>
      </c>
      <c r="L50" s="50">
        <v>1</v>
      </c>
      <c r="M50" s="50">
        <v>62</v>
      </c>
      <c r="N50" s="50">
        <v>0</v>
      </c>
      <c r="O50" s="15">
        <f t="shared" si="0"/>
        <v>27</v>
      </c>
      <c r="P50" s="15">
        <f t="shared" si="1"/>
        <v>89</v>
      </c>
      <c r="R50" s="8"/>
      <c r="T50"/>
    </row>
    <row r="51" spans="2:20" ht="23.1" customHeight="1" x14ac:dyDescent="0.25">
      <c r="B51" s="46" t="s">
        <v>78</v>
      </c>
      <c r="C51" s="50">
        <v>8</v>
      </c>
      <c r="D51" s="50">
        <v>2</v>
      </c>
      <c r="E51" s="50">
        <v>5</v>
      </c>
      <c r="F51" s="50">
        <v>3</v>
      </c>
      <c r="G51" s="50">
        <v>1</v>
      </c>
      <c r="H51" s="50">
        <v>0</v>
      </c>
      <c r="I51" s="50">
        <f>'[1]RD116 MCC'!O335</f>
        <v>3</v>
      </c>
      <c r="J51" s="50">
        <v>0</v>
      </c>
      <c r="K51" s="50">
        <v>0</v>
      </c>
      <c r="L51" s="50">
        <v>2</v>
      </c>
      <c r="M51" s="50">
        <v>61</v>
      </c>
      <c r="N51" s="50">
        <v>0</v>
      </c>
      <c r="O51" s="15">
        <f t="shared" si="0"/>
        <v>24</v>
      </c>
      <c r="P51" s="15">
        <f t="shared" si="1"/>
        <v>85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1</v>
      </c>
      <c r="E52" s="50">
        <v>2</v>
      </c>
      <c r="F52" s="50">
        <v>0</v>
      </c>
      <c r="G52" s="50">
        <v>1</v>
      </c>
      <c r="H52" s="50">
        <v>3</v>
      </c>
      <c r="I52" s="50">
        <f>'[1]RD116 MCC'!O336</f>
        <v>4</v>
      </c>
      <c r="J52" s="50">
        <v>0</v>
      </c>
      <c r="K52" s="50">
        <v>0</v>
      </c>
      <c r="L52" s="50">
        <v>2</v>
      </c>
      <c r="M52" s="50">
        <v>66</v>
      </c>
      <c r="N52" s="50">
        <v>0</v>
      </c>
      <c r="O52" s="15">
        <f t="shared" si="0"/>
        <v>20</v>
      </c>
      <c r="P52" s="15">
        <f t="shared" si="1"/>
        <v>86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2</v>
      </c>
      <c r="E53" s="50">
        <v>4</v>
      </c>
      <c r="F53" s="50">
        <v>2</v>
      </c>
      <c r="G53" s="50">
        <v>0</v>
      </c>
      <c r="H53" s="50">
        <v>2</v>
      </c>
      <c r="I53" s="50">
        <f>'[1]RD116 MCC'!O337</f>
        <v>5</v>
      </c>
      <c r="J53" s="50">
        <v>0</v>
      </c>
      <c r="K53" s="50">
        <v>0</v>
      </c>
      <c r="L53" s="50">
        <v>0</v>
      </c>
      <c r="M53" s="50">
        <v>62</v>
      </c>
      <c r="N53" s="50">
        <v>0</v>
      </c>
      <c r="O53" s="15">
        <f t="shared" si="0"/>
        <v>20</v>
      </c>
      <c r="P53" s="15">
        <f t="shared" si="1"/>
        <v>82</v>
      </c>
      <c r="R53" s="8"/>
      <c r="T53"/>
    </row>
    <row r="54" spans="2:20" ht="23.1" customHeight="1" x14ac:dyDescent="0.25">
      <c r="B54" s="45" t="s">
        <v>81</v>
      </c>
      <c r="C54" s="50">
        <v>4</v>
      </c>
      <c r="D54" s="50">
        <v>5</v>
      </c>
      <c r="E54" s="50">
        <v>10</v>
      </c>
      <c r="F54" s="50">
        <v>3</v>
      </c>
      <c r="G54" s="50">
        <v>1</v>
      </c>
      <c r="H54" s="50">
        <v>0</v>
      </c>
      <c r="I54" s="50">
        <f>'[1]RD116 MCC'!O338</f>
        <v>3</v>
      </c>
      <c r="J54" s="50">
        <v>1</v>
      </c>
      <c r="K54" s="50">
        <v>0</v>
      </c>
      <c r="L54" s="50">
        <v>2</v>
      </c>
      <c r="M54" s="50">
        <v>69</v>
      </c>
      <c r="N54" s="50">
        <v>0</v>
      </c>
      <c r="O54" s="15">
        <f t="shared" si="0"/>
        <v>29</v>
      </c>
      <c r="P54" s="15">
        <f t="shared" si="1"/>
        <v>98</v>
      </c>
      <c r="R54" s="8"/>
      <c r="T54"/>
    </row>
    <row r="55" spans="2:20" ht="23.1" customHeight="1" x14ac:dyDescent="0.25">
      <c r="B55" s="45" t="s">
        <v>82</v>
      </c>
      <c r="C55" s="50">
        <v>7</v>
      </c>
      <c r="D55" s="50">
        <v>2</v>
      </c>
      <c r="E55" s="50">
        <v>4</v>
      </c>
      <c r="F55" s="50">
        <v>3</v>
      </c>
      <c r="G55" s="50">
        <v>0</v>
      </c>
      <c r="H55" s="50">
        <v>0</v>
      </c>
      <c r="I55" s="50">
        <f>'[1]RD116 MCC'!O339</f>
        <v>5</v>
      </c>
      <c r="J55" s="50">
        <v>0</v>
      </c>
      <c r="K55" s="50">
        <v>0</v>
      </c>
      <c r="L55" s="50">
        <v>1</v>
      </c>
      <c r="M55" s="50">
        <v>63</v>
      </c>
      <c r="N55" s="50">
        <v>0</v>
      </c>
      <c r="O55" s="15">
        <f t="shared" si="0"/>
        <v>22</v>
      </c>
      <c r="P55" s="15">
        <f t="shared" si="1"/>
        <v>85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3</v>
      </c>
      <c r="E56" s="50">
        <v>7</v>
      </c>
      <c r="F56" s="50">
        <v>2</v>
      </c>
      <c r="G56" s="50">
        <v>0</v>
      </c>
      <c r="H56" s="50">
        <v>0</v>
      </c>
      <c r="I56" s="50">
        <f>'[1]RD116 MCC'!O340</f>
        <v>4</v>
      </c>
      <c r="J56" s="50">
        <v>0</v>
      </c>
      <c r="K56" s="50">
        <v>0</v>
      </c>
      <c r="L56" s="50">
        <v>2</v>
      </c>
      <c r="M56" s="50">
        <v>71</v>
      </c>
      <c r="N56" s="50">
        <v>0</v>
      </c>
      <c r="O56" s="15">
        <f t="shared" si="0"/>
        <v>25</v>
      </c>
      <c r="P56" s="15">
        <f t="shared" si="1"/>
        <v>96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1</v>
      </c>
      <c r="E57" s="50">
        <v>3</v>
      </c>
      <c r="F57" s="50">
        <v>3</v>
      </c>
      <c r="G57" s="50">
        <v>0</v>
      </c>
      <c r="H57" s="50">
        <v>1</v>
      </c>
      <c r="I57" s="50">
        <f>'[1]RD116 MCC'!O341</f>
        <v>2</v>
      </c>
      <c r="J57" s="50">
        <v>0</v>
      </c>
      <c r="K57" s="50">
        <v>0</v>
      </c>
      <c r="L57" s="50">
        <v>1</v>
      </c>
      <c r="M57" s="50">
        <v>68</v>
      </c>
      <c r="N57" s="50">
        <v>0</v>
      </c>
      <c r="O57" s="15">
        <f t="shared" si="0"/>
        <v>13</v>
      </c>
      <c r="P57" s="15">
        <f t="shared" si="1"/>
        <v>81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1</v>
      </c>
      <c r="E58" s="50">
        <v>2</v>
      </c>
      <c r="F58" s="50">
        <v>0</v>
      </c>
      <c r="G58" s="50">
        <v>0</v>
      </c>
      <c r="H58" s="50">
        <v>1</v>
      </c>
      <c r="I58" s="50">
        <f>'[1]RD116 MCC'!O342</f>
        <v>3</v>
      </c>
      <c r="J58" s="50">
        <v>0</v>
      </c>
      <c r="K58" s="50">
        <v>0</v>
      </c>
      <c r="L58" s="50">
        <v>2</v>
      </c>
      <c r="M58" s="50">
        <v>45</v>
      </c>
      <c r="N58" s="50">
        <v>3</v>
      </c>
      <c r="O58" s="15">
        <f t="shared" si="0"/>
        <v>16</v>
      </c>
      <c r="P58" s="15">
        <f t="shared" si="1"/>
        <v>61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0</v>
      </c>
      <c r="E59" s="50">
        <v>0</v>
      </c>
      <c r="F59" s="50">
        <v>3</v>
      </c>
      <c r="G59" s="50">
        <v>0</v>
      </c>
      <c r="H59" s="50">
        <v>0</v>
      </c>
      <c r="I59" s="50">
        <f>'[1]RD116 MCC'!O343</f>
        <v>1</v>
      </c>
      <c r="J59" s="50">
        <v>0</v>
      </c>
      <c r="K59" s="50">
        <v>0</v>
      </c>
      <c r="L59" s="50">
        <v>0</v>
      </c>
      <c r="M59" s="50">
        <v>67</v>
      </c>
      <c r="N59" s="50">
        <v>0</v>
      </c>
      <c r="O59" s="15">
        <f t="shared" si="0"/>
        <v>7</v>
      </c>
      <c r="P59" s="15">
        <f t="shared" si="1"/>
        <v>74</v>
      </c>
      <c r="R59" s="8"/>
      <c r="T59"/>
    </row>
    <row r="60" spans="2:20" ht="23.1" customHeight="1" x14ac:dyDescent="0.25">
      <c r="B60" s="45" t="s">
        <v>101</v>
      </c>
      <c r="C60" s="50">
        <v>7</v>
      </c>
      <c r="D60" s="50">
        <v>1</v>
      </c>
      <c r="E60" s="50">
        <v>2</v>
      </c>
      <c r="F60" s="50">
        <v>0</v>
      </c>
      <c r="G60" s="50">
        <v>0</v>
      </c>
      <c r="H60" s="50">
        <v>0</v>
      </c>
      <c r="I60" s="50">
        <f>'[1]RD116 MCC'!O344</f>
        <v>3</v>
      </c>
      <c r="J60" s="50">
        <v>0</v>
      </c>
      <c r="K60" s="50">
        <v>0</v>
      </c>
      <c r="L60" s="50">
        <v>1</v>
      </c>
      <c r="M60" s="50">
        <v>72</v>
      </c>
      <c r="N60" s="50">
        <v>0</v>
      </c>
      <c r="O60" s="15">
        <f t="shared" si="0"/>
        <v>14</v>
      </c>
      <c r="P60" s="15">
        <f t="shared" si="1"/>
        <v>86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2</v>
      </c>
      <c r="E61" s="50">
        <v>4</v>
      </c>
      <c r="F61" s="50">
        <v>0</v>
      </c>
      <c r="G61" s="50">
        <v>0</v>
      </c>
      <c r="H61" s="50">
        <v>0</v>
      </c>
      <c r="I61" s="50">
        <f>'[1]RD116 MCC'!O345</f>
        <v>2</v>
      </c>
      <c r="J61" s="50">
        <v>0</v>
      </c>
      <c r="K61" s="50">
        <v>0</v>
      </c>
      <c r="L61" s="50">
        <v>1</v>
      </c>
      <c r="M61" s="50">
        <v>81</v>
      </c>
      <c r="N61" s="50">
        <v>0</v>
      </c>
      <c r="O61" s="15">
        <f t="shared" si="0"/>
        <v>14</v>
      </c>
      <c r="P61" s="15">
        <f t="shared" si="1"/>
        <v>95</v>
      </c>
      <c r="R61" s="8"/>
      <c r="T61"/>
    </row>
    <row r="62" spans="2:20" ht="23.1" customHeight="1" x14ac:dyDescent="0.25">
      <c r="B62" s="45" t="s">
        <v>107</v>
      </c>
      <c r="C62" s="50">
        <v>11</v>
      </c>
      <c r="D62" s="50">
        <v>1</v>
      </c>
      <c r="E62" s="50">
        <v>3</v>
      </c>
      <c r="F62" s="50">
        <v>0</v>
      </c>
      <c r="G62" s="50">
        <v>0</v>
      </c>
      <c r="H62" s="50">
        <v>0</v>
      </c>
      <c r="I62" s="50">
        <f>'[1]RD116 MCC'!O346</f>
        <v>1</v>
      </c>
      <c r="J62" s="50">
        <v>0</v>
      </c>
      <c r="K62" s="50">
        <v>0</v>
      </c>
      <c r="L62" s="50">
        <v>1</v>
      </c>
      <c r="M62" s="50">
        <v>45</v>
      </c>
      <c r="N62" s="50">
        <v>0</v>
      </c>
      <c r="O62" s="15">
        <f t="shared" si="0"/>
        <v>17</v>
      </c>
      <c r="P62" s="15">
        <f t="shared" si="1"/>
        <v>62</v>
      </c>
      <c r="R62" s="8"/>
      <c r="T62"/>
    </row>
    <row r="63" spans="2:20" ht="23.1" customHeight="1" x14ac:dyDescent="0.25">
      <c r="B63" s="45" t="s">
        <v>108</v>
      </c>
      <c r="C63" s="50">
        <v>12</v>
      </c>
      <c r="D63" s="50">
        <v>3</v>
      </c>
      <c r="E63" s="50">
        <v>6</v>
      </c>
      <c r="F63" s="50">
        <v>0</v>
      </c>
      <c r="G63" s="50">
        <v>0</v>
      </c>
      <c r="H63" s="50">
        <v>0</v>
      </c>
      <c r="I63" s="50">
        <f>'[1]RD116 MCC'!O347</f>
        <v>1</v>
      </c>
      <c r="J63" s="50">
        <v>0</v>
      </c>
      <c r="K63" s="50">
        <v>0</v>
      </c>
      <c r="L63" s="50">
        <v>2</v>
      </c>
      <c r="M63" s="50">
        <v>43</v>
      </c>
      <c r="N63" s="50">
        <v>0</v>
      </c>
      <c r="O63" s="15">
        <f t="shared" si="0"/>
        <v>24</v>
      </c>
      <c r="P63" s="15">
        <f t="shared" si="1"/>
        <v>67</v>
      </c>
      <c r="R63" s="8"/>
      <c r="T63"/>
    </row>
    <row r="64" spans="2:20" ht="23.1" customHeight="1" x14ac:dyDescent="0.25">
      <c r="B64" s="45" t="s">
        <v>109</v>
      </c>
      <c r="C64" s="50">
        <v>18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f>'[1]RD116 MCC'!O348</f>
        <v>1</v>
      </c>
      <c r="J64" s="50">
        <v>0</v>
      </c>
      <c r="K64" s="50">
        <v>0</v>
      </c>
      <c r="L64" s="50">
        <v>3</v>
      </c>
      <c r="M64" s="50">
        <v>41</v>
      </c>
      <c r="N64" s="50">
        <v>0</v>
      </c>
      <c r="O64" s="15">
        <f t="shared" si="0"/>
        <v>23</v>
      </c>
      <c r="P64" s="15">
        <f t="shared" si="1"/>
        <v>64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1</v>
      </c>
      <c r="E65" s="50">
        <v>3</v>
      </c>
      <c r="F65" s="50">
        <v>3</v>
      </c>
      <c r="G65" s="50">
        <v>1</v>
      </c>
      <c r="H65" s="50">
        <v>0</v>
      </c>
      <c r="I65" s="50">
        <f>'[1]RD116 MCC'!O349</f>
        <v>3</v>
      </c>
      <c r="J65" s="50">
        <v>2</v>
      </c>
      <c r="K65" s="50">
        <v>1</v>
      </c>
      <c r="L65" s="50">
        <v>4</v>
      </c>
      <c r="M65" s="50">
        <v>42</v>
      </c>
      <c r="N65" s="50">
        <v>0</v>
      </c>
      <c r="O65" s="15">
        <f t="shared" si="0"/>
        <v>22</v>
      </c>
      <c r="P65" s="15">
        <f t="shared" si="1"/>
        <v>64</v>
      </c>
      <c r="R65" s="8"/>
      <c r="T65"/>
    </row>
    <row r="66" spans="2:20" ht="23.1" customHeight="1" x14ac:dyDescent="0.25">
      <c r="B66" s="45" t="s">
        <v>103</v>
      </c>
      <c r="C66" s="50">
        <v>10</v>
      </c>
      <c r="D66" s="50">
        <v>2</v>
      </c>
      <c r="E66" s="50">
        <v>4</v>
      </c>
      <c r="F66" s="50">
        <v>0</v>
      </c>
      <c r="G66" s="50">
        <v>0</v>
      </c>
      <c r="H66" s="50">
        <v>0</v>
      </c>
      <c r="I66" s="50">
        <f>'[1]RD116 MCC'!O350</f>
        <v>4</v>
      </c>
      <c r="J66" s="50">
        <v>0</v>
      </c>
      <c r="K66" s="50">
        <v>0</v>
      </c>
      <c r="L66" s="50">
        <v>4</v>
      </c>
      <c r="M66" s="50">
        <v>43</v>
      </c>
      <c r="N66" s="50">
        <v>0</v>
      </c>
      <c r="O66" s="15">
        <f t="shared" si="0"/>
        <v>24</v>
      </c>
      <c r="P66" s="15">
        <f t="shared" si="1"/>
        <v>67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2</v>
      </c>
      <c r="E67" s="50">
        <v>5</v>
      </c>
      <c r="F67" s="50">
        <v>0</v>
      </c>
      <c r="G67" s="50">
        <v>1</v>
      </c>
      <c r="H67" s="50">
        <v>0</v>
      </c>
      <c r="I67" s="50">
        <f>'[1]RD116 MCC'!O351</f>
        <v>1</v>
      </c>
      <c r="J67" s="50">
        <v>1</v>
      </c>
      <c r="K67" s="50">
        <v>0</v>
      </c>
      <c r="L67" s="50">
        <v>4</v>
      </c>
      <c r="M67" s="50">
        <v>43</v>
      </c>
      <c r="N67" s="50">
        <v>0</v>
      </c>
      <c r="O67" s="15">
        <f t="shared" si="0"/>
        <v>20</v>
      </c>
      <c r="P67" s="15">
        <f t="shared" si="1"/>
        <v>63</v>
      </c>
      <c r="R67" s="8"/>
      <c r="T67"/>
    </row>
    <row r="68" spans="2:20" ht="23.1" customHeight="1" x14ac:dyDescent="0.25">
      <c r="B68" s="45" t="s">
        <v>105</v>
      </c>
      <c r="C68" s="50">
        <v>15</v>
      </c>
      <c r="D68" s="50">
        <v>1</v>
      </c>
      <c r="E68" s="50">
        <v>3</v>
      </c>
      <c r="F68" s="50">
        <v>0</v>
      </c>
      <c r="G68" s="50">
        <v>0</v>
      </c>
      <c r="H68" s="50">
        <v>0</v>
      </c>
      <c r="I68" s="50">
        <f>'[1]RD116 MCC'!O352</f>
        <v>1</v>
      </c>
      <c r="J68" s="50">
        <v>0</v>
      </c>
      <c r="K68" s="50">
        <v>0</v>
      </c>
      <c r="L68" s="50">
        <v>4</v>
      </c>
      <c r="M68" s="50">
        <v>44</v>
      </c>
      <c r="N68" s="50">
        <v>0</v>
      </c>
      <c r="O68" s="15">
        <f t="shared" si="0"/>
        <v>24</v>
      </c>
      <c r="P68" s="15">
        <f t="shared" si="1"/>
        <v>68</v>
      </c>
      <c r="R68" s="8"/>
      <c r="T68"/>
    </row>
    <row r="69" spans="2:20" ht="23.1" customHeight="1" x14ac:dyDescent="0.25">
      <c r="B69" s="45" t="s">
        <v>106</v>
      </c>
      <c r="C69" s="50">
        <v>16</v>
      </c>
      <c r="D69" s="50">
        <v>1</v>
      </c>
      <c r="E69" s="50">
        <v>3</v>
      </c>
      <c r="F69" s="50">
        <v>0</v>
      </c>
      <c r="G69" s="50">
        <v>0</v>
      </c>
      <c r="H69" s="50">
        <v>0</v>
      </c>
      <c r="I69" s="50">
        <f>'[1]RD116 MCC'!O353</f>
        <v>0</v>
      </c>
      <c r="J69" s="50">
        <v>1</v>
      </c>
      <c r="K69" s="50">
        <v>0</v>
      </c>
      <c r="L69" s="50">
        <v>4</v>
      </c>
      <c r="M69" s="50">
        <v>38</v>
      </c>
      <c r="N69" s="50">
        <v>0</v>
      </c>
      <c r="O69" s="15">
        <f t="shared" si="0"/>
        <v>25</v>
      </c>
      <c r="P69" s="15">
        <f t="shared" si="1"/>
        <v>63</v>
      </c>
      <c r="R69" s="8"/>
      <c r="T69"/>
    </row>
    <row r="70" spans="2:20" ht="23.1" customHeight="1" x14ac:dyDescent="0.25">
      <c r="B70" s="45" t="s">
        <v>110</v>
      </c>
      <c r="C70" s="50">
        <v>10</v>
      </c>
      <c r="D70" s="50">
        <v>2</v>
      </c>
      <c r="E70" s="50">
        <v>4</v>
      </c>
      <c r="F70" s="50">
        <v>0</v>
      </c>
      <c r="G70" s="50">
        <v>1</v>
      </c>
      <c r="H70" s="50">
        <v>0</v>
      </c>
      <c r="I70" s="50">
        <f>'[1]RD116 MCC'!O354</f>
        <v>1</v>
      </c>
      <c r="J70" s="50">
        <v>0</v>
      </c>
      <c r="K70" s="50">
        <v>0</v>
      </c>
      <c r="L70" s="50">
        <v>4</v>
      </c>
      <c r="M70" s="50">
        <v>25</v>
      </c>
      <c r="N70" s="50">
        <v>0</v>
      </c>
      <c r="O70" s="15">
        <f t="shared" si="0"/>
        <v>22</v>
      </c>
      <c r="P70" s="15">
        <f t="shared" si="1"/>
        <v>47</v>
      </c>
      <c r="R70" s="8"/>
      <c r="T70"/>
    </row>
    <row r="71" spans="2:20" ht="23.1" customHeight="1" x14ac:dyDescent="0.25">
      <c r="B71" s="45" t="s">
        <v>111</v>
      </c>
      <c r="C71" s="50">
        <v>11</v>
      </c>
      <c r="D71" s="50">
        <v>2</v>
      </c>
      <c r="E71" s="50">
        <v>4</v>
      </c>
      <c r="F71" s="50">
        <v>0</v>
      </c>
      <c r="G71" s="50">
        <v>0</v>
      </c>
      <c r="H71" s="50">
        <v>1</v>
      </c>
      <c r="I71" s="50">
        <f>'[1]RD116 MCC'!O355</f>
        <v>1</v>
      </c>
      <c r="J71" s="50">
        <v>2</v>
      </c>
      <c r="K71" s="50">
        <v>0</v>
      </c>
      <c r="L71" s="50">
        <v>10</v>
      </c>
      <c r="M71" s="50">
        <v>28</v>
      </c>
      <c r="N71" s="50">
        <v>0</v>
      </c>
      <c r="O71" s="15">
        <f t="shared" si="0"/>
        <v>31</v>
      </c>
      <c r="P71" s="15">
        <f t="shared" si="1"/>
        <v>59</v>
      </c>
      <c r="R71" s="8"/>
      <c r="T71"/>
    </row>
    <row r="72" spans="2:20" ht="23.1" customHeight="1" x14ac:dyDescent="0.25">
      <c r="B72" s="45" t="s">
        <v>112</v>
      </c>
      <c r="C72" s="50">
        <v>9</v>
      </c>
      <c r="D72" s="50">
        <v>2</v>
      </c>
      <c r="E72" s="50">
        <v>5</v>
      </c>
      <c r="F72" s="50">
        <v>0</v>
      </c>
      <c r="G72" s="50">
        <v>1</v>
      </c>
      <c r="H72" s="50">
        <v>0</v>
      </c>
      <c r="I72" s="50">
        <f>'[1]RD116 MCC'!O356</f>
        <v>4</v>
      </c>
      <c r="J72" s="50">
        <v>2</v>
      </c>
      <c r="K72" s="50">
        <v>0</v>
      </c>
      <c r="L72" s="50">
        <v>4</v>
      </c>
      <c r="M72" s="50">
        <v>26</v>
      </c>
      <c r="N72" s="50">
        <v>0</v>
      </c>
      <c r="O72" s="15">
        <f t="shared" si="0"/>
        <v>27</v>
      </c>
      <c r="P72" s="15">
        <f t="shared" si="1"/>
        <v>53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4</v>
      </c>
      <c r="E73" s="50">
        <v>8</v>
      </c>
      <c r="F73" s="50">
        <v>0</v>
      </c>
      <c r="G73" s="50">
        <v>1</v>
      </c>
      <c r="H73" s="50">
        <v>0</v>
      </c>
      <c r="I73" s="50">
        <f>'[1]RD116 MCC'!O357</f>
        <v>1</v>
      </c>
      <c r="J73" s="50">
        <v>0</v>
      </c>
      <c r="K73" s="50">
        <v>0</v>
      </c>
      <c r="L73" s="50">
        <v>2</v>
      </c>
      <c r="M73" s="50">
        <v>25</v>
      </c>
      <c r="N73" s="50">
        <v>0</v>
      </c>
      <c r="O73" s="15">
        <f t="shared" si="0"/>
        <v>19</v>
      </c>
      <c r="P73" s="15">
        <f t="shared" si="1"/>
        <v>44</v>
      </c>
      <c r="R73" s="8"/>
      <c r="T73"/>
    </row>
    <row r="74" spans="2:20" ht="23.1" customHeight="1" x14ac:dyDescent="0.25">
      <c r="B74" s="45" t="s">
        <v>114</v>
      </c>
      <c r="C74" s="50">
        <v>7</v>
      </c>
      <c r="D74" s="50">
        <v>1</v>
      </c>
      <c r="E74" s="50">
        <v>2</v>
      </c>
      <c r="F74" s="50">
        <v>0</v>
      </c>
      <c r="G74" s="50">
        <v>0</v>
      </c>
      <c r="H74" s="50">
        <v>0</v>
      </c>
      <c r="I74" s="50">
        <f>'[1]RD116 MCC'!O358</f>
        <v>0</v>
      </c>
      <c r="J74" s="50">
        <v>0</v>
      </c>
      <c r="K74" s="50">
        <v>0</v>
      </c>
      <c r="L74" s="50">
        <v>1</v>
      </c>
      <c r="M74" s="50">
        <v>21</v>
      </c>
      <c r="N74" s="50">
        <v>0</v>
      </c>
      <c r="O74" s="15">
        <f t="shared" ref="O74:O105" si="35">SUM(C74:L74,N74)</f>
        <v>11</v>
      </c>
      <c r="P74" s="15">
        <f t="shared" ref="P74:P105" si="36">SUM(C74:N74)</f>
        <v>32</v>
      </c>
      <c r="R74" s="8"/>
      <c r="T74"/>
    </row>
    <row r="75" spans="2:20" ht="23.1" customHeight="1" x14ac:dyDescent="0.25">
      <c r="B75" s="45" t="s">
        <v>115</v>
      </c>
      <c r="C75" s="50">
        <v>8</v>
      </c>
      <c r="D75" s="50">
        <v>2</v>
      </c>
      <c r="E75" s="50">
        <v>4</v>
      </c>
      <c r="F75" s="50">
        <v>0</v>
      </c>
      <c r="G75" s="50">
        <v>0</v>
      </c>
      <c r="H75" s="50">
        <v>1</v>
      </c>
      <c r="I75" s="50">
        <f>'[1]RD116 MCC'!O359</f>
        <v>3</v>
      </c>
      <c r="J75" s="50">
        <v>0</v>
      </c>
      <c r="K75" s="50">
        <v>0</v>
      </c>
      <c r="L75" s="50">
        <v>0</v>
      </c>
      <c r="M75" s="50">
        <v>15</v>
      </c>
      <c r="N75" s="50">
        <v>0</v>
      </c>
      <c r="O75" s="15">
        <f t="shared" si="35"/>
        <v>18</v>
      </c>
      <c r="P75" s="15">
        <f t="shared" si="36"/>
        <v>33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2</v>
      </c>
      <c r="E76" s="50">
        <v>5</v>
      </c>
      <c r="F76" s="50">
        <v>0</v>
      </c>
      <c r="G76" s="50">
        <v>0</v>
      </c>
      <c r="H76" s="50">
        <v>0</v>
      </c>
      <c r="I76" s="50">
        <f>'[1]RD116 MCC'!O360</f>
        <v>1</v>
      </c>
      <c r="J76" s="50">
        <v>0</v>
      </c>
      <c r="K76" s="50">
        <v>0</v>
      </c>
      <c r="L76" s="50">
        <v>0</v>
      </c>
      <c r="M76" s="50">
        <v>13</v>
      </c>
      <c r="N76" s="50">
        <v>0</v>
      </c>
      <c r="O76" s="15">
        <f t="shared" si="35"/>
        <v>13</v>
      </c>
      <c r="P76" s="15">
        <f t="shared" si="36"/>
        <v>26</v>
      </c>
      <c r="R76" s="8"/>
      <c r="T76"/>
    </row>
    <row r="77" spans="2:20" ht="23.1" customHeight="1" x14ac:dyDescent="0.25">
      <c r="B77" s="45" t="s">
        <v>117</v>
      </c>
      <c r="C77" s="50">
        <v>5</v>
      </c>
      <c r="D77" s="50">
        <v>2</v>
      </c>
      <c r="E77" s="50">
        <v>4</v>
      </c>
      <c r="F77" s="50">
        <v>0</v>
      </c>
      <c r="G77" s="50">
        <v>1</v>
      </c>
      <c r="H77" s="50">
        <v>0</v>
      </c>
      <c r="I77" s="50">
        <f>'[1]RD116 MCC'!O361</f>
        <v>3</v>
      </c>
      <c r="J77" s="50">
        <v>1</v>
      </c>
      <c r="K77" s="50">
        <v>0</v>
      </c>
      <c r="L77" s="50">
        <v>3</v>
      </c>
      <c r="M77" s="50">
        <v>15</v>
      </c>
      <c r="N77" s="50">
        <v>0</v>
      </c>
      <c r="O77" s="15">
        <f t="shared" si="35"/>
        <v>19</v>
      </c>
      <c r="P77" s="15">
        <f t="shared" si="36"/>
        <v>34</v>
      </c>
      <c r="R77" s="8"/>
      <c r="T77"/>
    </row>
    <row r="78" spans="2:20" ht="23.1" customHeight="1" x14ac:dyDescent="0.25">
      <c r="B78" s="46" t="s">
        <v>118</v>
      </c>
      <c r="C78" s="50">
        <v>8</v>
      </c>
      <c r="D78" s="50">
        <v>2</v>
      </c>
      <c r="E78" s="50">
        <v>4</v>
      </c>
      <c r="F78" s="50">
        <v>0</v>
      </c>
      <c r="G78" s="50">
        <v>1</v>
      </c>
      <c r="H78" s="50">
        <v>1</v>
      </c>
      <c r="I78" s="50">
        <f>'[1]RD116 MCC'!O362</f>
        <v>2</v>
      </c>
      <c r="J78" s="50">
        <v>1</v>
      </c>
      <c r="K78" s="50">
        <v>0</v>
      </c>
      <c r="L78" s="50">
        <v>3</v>
      </c>
      <c r="M78" s="50">
        <v>14</v>
      </c>
      <c r="N78" s="50">
        <v>0</v>
      </c>
      <c r="O78" s="15">
        <f t="shared" si="35"/>
        <v>22</v>
      </c>
      <c r="P78" s="15">
        <f t="shared" si="36"/>
        <v>36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1</v>
      </c>
      <c r="E79" s="50">
        <v>2</v>
      </c>
      <c r="F79" s="50">
        <v>0</v>
      </c>
      <c r="G79" s="50">
        <v>1</v>
      </c>
      <c r="H79" s="50">
        <v>1</v>
      </c>
      <c r="I79" s="50">
        <f>'[1]RD116 MCC'!O363</f>
        <v>1</v>
      </c>
      <c r="J79" s="50">
        <v>2</v>
      </c>
      <c r="K79" s="50">
        <v>0</v>
      </c>
      <c r="L79" s="50">
        <v>5</v>
      </c>
      <c r="M79" s="50">
        <v>16</v>
      </c>
      <c r="N79" s="50">
        <v>0</v>
      </c>
      <c r="O79" s="15">
        <f t="shared" si="35"/>
        <v>21</v>
      </c>
      <c r="P79" s="15">
        <f t="shared" si="36"/>
        <v>37</v>
      </c>
      <c r="R79" s="8"/>
      <c r="T79"/>
    </row>
    <row r="80" spans="2:20" ht="23.1" customHeight="1" x14ac:dyDescent="0.25">
      <c r="B80" s="47" t="s">
        <v>120</v>
      </c>
      <c r="C80" s="50">
        <v>10</v>
      </c>
      <c r="D80" s="50">
        <v>2</v>
      </c>
      <c r="E80" s="50">
        <v>5</v>
      </c>
      <c r="F80" s="50">
        <v>3</v>
      </c>
      <c r="G80" s="50">
        <v>0</v>
      </c>
      <c r="H80" s="50">
        <v>0</v>
      </c>
      <c r="I80" s="50">
        <f>'[1]RD116 MCC'!O364</f>
        <v>1</v>
      </c>
      <c r="J80" s="50">
        <v>0</v>
      </c>
      <c r="K80" s="50">
        <v>0</v>
      </c>
      <c r="L80" s="50">
        <v>4</v>
      </c>
      <c r="M80" s="50">
        <v>10</v>
      </c>
      <c r="N80" s="50">
        <v>0</v>
      </c>
      <c r="O80" s="15">
        <f t="shared" si="35"/>
        <v>25</v>
      </c>
      <c r="P80" s="15">
        <f t="shared" si="36"/>
        <v>35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1</v>
      </c>
      <c r="E81" s="50">
        <v>2</v>
      </c>
      <c r="F81" s="50">
        <v>1</v>
      </c>
      <c r="G81" s="50">
        <v>0</v>
      </c>
      <c r="H81" s="50">
        <v>0</v>
      </c>
      <c r="I81" s="50">
        <f>'[1]RD116 MCC'!O365</f>
        <v>3</v>
      </c>
      <c r="J81" s="50">
        <v>2</v>
      </c>
      <c r="K81" s="50">
        <v>0</v>
      </c>
      <c r="L81" s="50">
        <v>3</v>
      </c>
      <c r="M81" s="50">
        <v>15</v>
      </c>
      <c r="N81" s="50">
        <v>0</v>
      </c>
      <c r="O81" s="15">
        <f t="shared" si="35"/>
        <v>17</v>
      </c>
      <c r="P81" s="15">
        <f t="shared" si="36"/>
        <v>32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3</v>
      </c>
      <c r="E82" s="50">
        <v>6</v>
      </c>
      <c r="F82" s="50">
        <v>0</v>
      </c>
      <c r="G82" s="50">
        <v>1</v>
      </c>
      <c r="H82" s="50">
        <v>0</v>
      </c>
      <c r="I82" s="50">
        <f>'[1]RD116 MCC'!O366</f>
        <v>3</v>
      </c>
      <c r="J82" s="50">
        <v>1</v>
      </c>
      <c r="K82" s="50">
        <v>0</v>
      </c>
      <c r="L82" s="50">
        <v>4</v>
      </c>
      <c r="M82" s="50">
        <v>10</v>
      </c>
      <c r="N82" s="50">
        <v>0</v>
      </c>
      <c r="O82" s="15">
        <f t="shared" si="35"/>
        <v>24</v>
      </c>
      <c r="P82" s="15">
        <f t="shared" si="36"/>
        <v>34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3</v>
      </c>
      <c r="E83" s="50">
        <v>6</v>
      </c>
      <c r="F83" s="50">
        <v>0</v>
      </c>
      <c r="G83" s="50">
        <v>3</v>
      </c>
      <c r="H83" s="50">
        <v>0</v>
      </c>
      <c r="I83" s="50">
        <f>'[1]RD116 MCC'!O367</f>
        <v>0</v>
      </c>
      <c r="J83" s="50">
        <v>0</v>
      </c>
      <c r="K83" s="50">
        <v>0</v>
      </c>
      <c r="L83" s="50">
        <v>2</v>
      </c>
      <c r="M83" s="50">
        <v>9</v>
      </c>
      <c r="N83" s="50">
        <v>0</v>
      </c>
      <c r="O83" s="15">
        <f t="shared" si="35"/>
        <v>19</v>
      </c>
      <c r="P83" s="15">
        <f t="shared" si="36"/>
        <v>28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2</v>
      </c>
      <c r="E84" s="50">
        <v>4</v>
      </c>
      <c r="F84" s="50">
        <v>3</v>
      </c>
      <c r="G84" s="50">
        <v>1</v>
      </c>
      <c r="H84" s="50">
        <v>3</v>
      </c>
      <c r="I84" s="50">
        <f>'[1]RD116 MCC'!O368</f>
        <v>1</v>
      </c>
      <c r="J84" s="50">
        <v>0</v>
      </c>
      <c r="K84" s="50">
        <v>0</v>
      </c>
      <c r="L84" s="50">
        <v>3</v>
      </c>
      <c r="M84" s="50">
        <v>5</v>
      </c>
      <c r="N84" s="50">
        <v>0</v>
      </c>
      <c r="O84" s="15">
        <f t="shared" si="35"/>
        <v>21</v>
      </c>
      <c r="P84" s="15">
        <f t="shared" si="36"/>
        <v>26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3</v>
      </c>
      <c r="E85" s="50">
        <v>6</v>
      </c>
      <c r="F85" s="50">
        <v>2</v>
      </c>
      <c r="G85" s="50">
        <v>0</v>
      </c>
      <c r="H85" s="50">
        <v>0</v>
      </c>
      <c r="I85" s="50">
        <f>'[1]RD116 MCC'!O369</f>
        <v>2</v>
      </c>
      <c r="J85" s="50">
        <v>0</v>
      </c>
      <c r="K85" s="50">
        <v>0</v>
      </c>
      <c r="L85" s="50">
        <v>3</v>
      </c>
      <c r="M85" s="50">
        <v>2</v>
      </c>
      <c r="N85" s="50">
        <v>0</v>
      </c>
      <c r="O85" s="15">
        <f t="shared" si="35"/>
        <v>22</v>
      </c>
      <c r="P85" s="15">
        <f t="shared" si="36"/>
        <v>24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f>'[1]RD116 MCC'!O370</f>
        <v>5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11</v>
      </c>
      <c r="P86" s="15">
        <f t="shared" si="36"/>
        <v>11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1</v>
      </c>
      <c r="G87" s="50">
        <v>0</v>
      </c>
      <c r="H87" s="50">
        <v>0</v>
      </c>
      <c r="I87" s="50">
        <f>'[1]RD116 MCC'!O371</f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2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3</v>
      </c>
      <c r="E88" s="50">
        <v>7</v>
      </c>
      <c r="F88" s="50">
        <v>0</v>
      </c>
      <c r="G88" s="50">
        <v>1</v>
      </c>
      <c r="H88" s="50">
        <v>0</v>
      </c>
      <c r="I88" s="50">
        <f>'[1]RD116 MCC'!O372</f>
        <v>1</v>
      </c>
      <c r="J88" s="50">
        <v>0</v>
      </c>
      <c r="K88" s="50">
        <v>0</v>
      </c>
      <c r="L88" s="50">
        <v>1</v>
      </c>
      <c r="M88" s="50">
        <v>2</v>
      </c>
      <c r="N88" s="50">
        <v>0</v>
      </c>
      <c r="O88" s="15">
        <f t="shared" si="35"/>
        <v>24</v>
      </c>
      <c r="P88" s="15">
        <f t="shared" si="36"/>
        <v>26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1</v>
      </c>
      <c r="E89" s="50">
        <v>3</v>
      </c>
      <c r="F89" s="50">
        <v>0</v>
      </c>
      <c r="G89" s="50">
        <v>0</v>
      </c>
      <c r="H89" s="50">
        <v>0</v>
      </c>
      <c r="I89" s="50">
        <f>'[1]RD116 MCC'!O373</f>
        <v>3</v>
      </c>
      <c r="J89" s="50">
        <v>0</v>
      </c>
      <c r="K89" s="50">
        <v>0</v>
      </c>
      <c r="L89" s="50">
        <v>10</v>
      </c>
      <c r="M89" s="50">
        <v>0</v>
      </c>
      <c r="N89" s="50">
        <v>0</v>
      </c>
      <c r="O89" s="15">
        <f t="shared" si="35"/>
        <v>25</v>
      </c>
      <c r="P89" s="15">
        <f t="shared" si="36"/>
        <v>25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2</v>
      </c>
      <c r="E90" s="50">
        <v>5</v>
      </c>
      <c r="F90" s="50">
        <v>0</v>
      </c>
      <c r="G90" s="50">
        <v>0</v>
      </c>
      <c r="H90" s="50">
        <v>1</v>
      </c>
      <c r="I90" s="50">
        <f>'[1]RD116 MCC'!O374</f>
        <v>2</v>
      </c>
      <c r="J90" s="50">
        <v>0</v>
      </c>
      <c r="K90" s="50">
        <v>1</v>
      </c>
      <c r="L90" s="50">
        <v>3</v>
      </c>
      <c r="M90" s="50">
        <v>3</v>
      </c>
      <c r="N90" s="50">
        <v>0</v>
      </c>
      <c r="O90" s="15">
        <f t="shared" si="35"/>
        <v>19</v>
      </c>
      <c r="P90" s="15">
        <f t="shared" si="36"/>
        <v>22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2</v>
      </c>
      <c r="E91" s="50">
        <v>4</v>
      </c>
      <c r="F91" s="50">
        <v>1</v>
      </c>
      <c r="G91" s="50">
        <v>0</v>
      </c>
      <c r="H91" s="50">
        <v>1</v>
      </c>
      <c r="I91" s="50">
        <f>'[1]RD116 MCC'!O375</f>
        <v>1</v>
      </c>
      <c r="J91" s="50">
        <v>1</v>
      </c>
      <c r="K91" s="50">
        <v>0</v>
      </c>
      <c r="L91" s="50">
        <v>1</v>
      </c>
      <c r="M91" s="50">
        <v>3</v>
      </c>
      <c r="N91" s="50">
        <v>0</v>
      </c>
      <c r="O91" s="15">
        <f t="shared" si="35"/>
        <v>16</v>
      </c>
      <c r="P91" s="15">
        <f t="shared" si="36"/>
        <v>19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2</v>
      </c>
      <c r="E92" s="50">
        <v>5</v>
      </c>
      <c r="F92" s="50">
        <v>0</v>
      </c>
      <c r="G92" s="50">
        <v>0</v>
      </c>
      <c r="H92" s="50">
        <v>1</v>
      </c>
      <c r="I92" s="50">
        <f>'[1]RD116 MCC'!O376</f>
        <v>4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22</v>
      </c>
      <c r="P92" s="15">
        <f t="shared" si="36"/>
        <v>24</v>
      </c>
      <c r="R92" s="8"/>
      <c r="T92"/>
    </row>
    <row r="93" spans="2:20" ht="23.1" customHeight="1" x14ac:dyDescent="0.25">
      <c r="B93" s="45" t="s">
        <v>133</v>
      </c>
      <c r="C93" s="50">
        <v>16</v>
      </c>
      <c r="D93" s="50">
        <v>3</v>
      </c>
      <c r="E93" s="50">
        <v>6</v>
      </c>
      <c r="F93" s="50">
        <v>0</v>
      </c>
      <c r="G93" s="50">
        <v>0</v>
      </c>
      <c r="H93" s="50">
        <v>0</v>
      </c>
      <c r="I93" s="50">
        <f>'[1]RD116 MCC'!O377</f>
        <v>2</v>
      </c>
      <c r="J93" s="50">
        <v>1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29</v>
      </c>
      <c r="P93" s="15">
        <f t="shared" si="36"/>
        <v>29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5</v>
      </c>
      <c r="E94" s="50">
        <v>10</v>
      </c>
      <c r="F94" s="50">
        <v>0</v>
      </c>
      <c r="G94" s="50">
        <v>1</v>
      </c>
      <c r="H94" s="50">
        <v>1</v>
      </c>
      <c r="I94" s="50">
        <f>'[1]RD116 MCC'!O378</f>
        <v>3</v>
      </c>
      <c r="J94" s="50">
        <v>0</v>
      </c>
      <c r="K94" s="50">
        <v>0</v>
      </c>
      <c r="L94" s="50">
        <v>1</v>
      </c>
      <c r="M94" s="50">
        <v>0</v>
      </c>
      <c r="N94" s="50">
        <v>0</v>
      </c>
      <c r="O94" s="15">
        <f t="shared" si="35"/>
        <v>33</v>
      </c>
      <c r="P94" s="15">
        <f t="shared" si="36"/>
        <v>33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4</v>
      </c>
      <c r="E95" s="50">
        <v>8</v>
      </c>
      <c r="F95" s="50">
        <v>1</v>
      </c>
      <c r="G95" s="50">
        <v>0</v>
      </c>
      <c r="H95" s="50">
        <v>0</v>
      </c>
      <c r="I95" s="50">
        <f>'[1]RD116 MCC'!O379</f>
        <v>1</v>
      </c>
      <c r="J95" s="50">
        <v>1</v>
      </c>
      <c r="K95" s="50">
        <v>0</v>
      </c>
      <c r="L95" s="50">
        <v>2</v>
      </c>
      <c r="M95" s="50">
        <v>0</v>
      </c>
      <c r="N95" s="50">
        <v>0</v>
      </c>
      <c r="O95" s="15">
        <f t="shared" si="35"/>
        <v>24</v>
      </c>
      <c r="P95" s="15">
        <f t="shared" si="36"/>
        <v>24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2</v>
      </c>
      <c r="E96" s="50">
        <v>5</v>
      </c>
      <c r="F96" s="50">
        <v>0</v>
      </c>
      <c r="G96" s="50">
        <v>1</v>
      </c>
      <c r="H96" s="50">
        <v>0</v>
      </c>
      <c r="I96" s="50">
        <f>'[1]RD116 MCC'!O380</f>
        <v>3</v>
      </c>
      <c r="J96" s="50">
        <v>1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17</v>
      </c>
      <c r="P96" s="15">
        <f t="shared" si="36"/>
        <v>17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3</v>
      </c>
      <c r="E97" s="50">
        <v>6</v>
      </c>
      <c r="F97" s="50">
        <v>2</v>
      </c>
      <c r="G97" s="50">
        <v>0</v>
      </c>
      <c r="H97" s="50">
        <v>0</v>
      </c>
      <c r="I97" s="50">
        <f>'[1]RD116 MCC'!O381</f>
        <v>1</v>
      </c>
      <c r="J97" s="50">
        <v>1</v>
      </c>
      <c r="K97" s="50">
        <v>0</v>
      </c>
      <c r="L97" s="50">
        <v>1</v>
      </c>
      <c r="M97" s="50">
        <v>0</v>
      </c>
      <c r="N97" s="50">
        <v>0</v>
      </c>
      <c r="O97" s="15">
        <f t="shared" si="35"/>
        <v>18</v>
      </c>
      <c r="P97" s="15">
        <f t="shared" si="36"/>
        <v>18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2</v>
      </c>
      <c r="E98" s="50">
        <v>5</v>
      </c>
      <c r="F98" s="50">
        <v>0</v>
      </c>
      <c r="G98" s="50">
        <v>0</v>
      </c>
      <c r="H98" s="50">
        <v>1</v>
      </c>
      <c r="I98" s="50">
        <f>'[1]RD116 MCC'!O382</f>
        <v>2</v>
      </c>
      <c r="J98" s="50">
        <v>1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17</v>
      </c>
      <c r="P98" s="15">
        <f t="shared" si="36"/>
        <v>17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3</v>
      </c>
      <c r="E99" s="50">
        <v>7</v>
      </c>
      <c r="F99" s="50">
        <v>1</v>
      </c>
      <c r="G99" s="50">
        <v>0</v>
      </c>
      <c r="H99" s="50">
        <v>1</v>
      </c>
      <c r="I99" s="50">
        <f>'[1]RD116 MCC'!O383</f>
        <v>4</v>
      </c>
      <c r="J99" s="50">
        <v>1</v>
      </c>
      <c r="K99" s="50">
        <v>1</v>
      </c>
      <c r="L99" s="50">
        <v>1</v>
      </c>
      <c r="M99" s="50">
        <v>0</v>
      </c>
      <c r="N99" s="50">
        <v>0</v>
      </c>
      <c r="O99" s="15">
        <f t="shared" si="35"/>
        <v>26</v>
      </c>
      <c r="P99" s="15">
        <f t="shared" si="36"/>
        <v>26</v>
      </c>
      <c r="R99" s="8"/>
      <c r="T99"/>
    </row>
    <row r="100" spans="2:20" ht="23.1" customHeight="1" x14ac:dyDescent="0.25">
      <c r="B100" s="47" t="s">
        <v>140</v>
      </c>
      <c r="C100" s="50">
        <v>11</v>
      </c>
      <c r="D100" s="50">
        <v>4</v>
      </c>
      <c r="E100" s="50">
        <v>8</v>
      </c>
      <c r="F100" s="50">
        <v>3</v>
      </c>
      <c r="G100" s="50">
        <v>0</v>
      </c>
      <c r="H100" s="50">
        <v>1</v>
      </c>
      <c r="I100" s="50">
        <f>'[1]RD116 MCC'!O384</f>
        <v>0</v>
      </c>
      <c r="J100" s="50">
        <v>0</v>
      </c>
      <c r="K100" s="50">
        <v>0</v>
      </c>
      <c r="L100" s="50">
        <v>4</v>
      </c>
      <c r="M100" s="50">
        <v>2</v>
      </c>
      <c r="N100" s="50">
        <v>0</v>
      </c>
      <c r="O100" s="15">
        <f t="shared" si="35"/>
        <v>31</v>
      </c>
      <c r="P100" s="15">
        <f t="shared" si="36"/>
        <v>33</v>
      </c>
      <c r="R100" s="8"/>
      <c r="T100"/>
    </row>
    <row r="101" spans="2:20" ht="23.1" customHeight="1" x14ac:dyDescent="0.25">
      <c r="B101" s="45" t="s">
        <v>141</v>
      </c>
      <c r="C101" s="50">
        <v>8</v>
      </c>
      <c r="D101" s="50">
        <v>6</v>
      </c>
      <c r="E101" s="50">
        <v>12</v>
      </c>
      <c r="F101" s="50">
        <v>2</v>
      </c>
      <c r="G101" s="50">
        <v>0</v>
      </c>
      <c r="H101" s="50">
        <v>0</v>
      </c>
      <c r="I101" s="50">
        <f>'[1]RD116 MCC'!O385</f>
        <v>1</v>
      </c>
      <c r="J101" s="50">
        <v>0</v>
      </c>
      <c r="K101" s="50">
        <v>1</v>
      </c>
      <c r="L101" s="50">
        <v>2</v>
      </c>
      <c r="M101" s="50">
        <v>3</v>
      </c>
      <c r="N101" s="50">
        <v>0</v>
      </c>
      <c r="O101" s="15">
        <f t="shared" si="35"/>
        <v>32</v>
      </c>
      <c r="P101" s="15">
        <f t="shared" si="36"/>
        <v>35</v>
      </c>
      <c r="R101" s="8"/>
      <c r="T101"/>
    </row>
    <row r="102" spans="2:20" ht="23.1" customHeight="1" x14ac:dyDescent="0.25">
      <c r="B102" s="46" t="s">
        <v>142</v>
      </c>
      <c r="C102" s="50">
        <v>11</v>
      </c>
      <c r="D102" s="50">
        <v>9</v>
      </c>
      <c r="E102" s="50">
        <v>19</v>
      </c>
      <c r="F102" s="50">
        <v>3</v>
      </c>
      <c r="G102" s="50">
        <v>0</v>
      </c>
      <c r="H102" s="50">
        <v>0</v>
      </c>
      <c r="I102" s="50">
        <f>'[1]RD116 MCC'!O386</f>
        <v>0</v>
      </c>
      <c r="J102" s="50">
        <v>0</v>
      </c>
      <c r="K102" s="50">
        <v>0</v>
      </c>
      <c r="L102" s="50">
        <v>6</v>
      </c>
      <c r="M102" s="50">
        <v>4</v>
      </c>
      <c r="N102" s="50">
        <v>0</v>
      </c>
      <c r="O102" s="15">
        <f t="shared" si="35"/>
        <v>48</v>
      </c>
      <c r="P102" s="15">
        <f t="shared" si="36"/>
        <v>52</v>
      </c>
      <c r="R102" s="8"/>
      <c r="T102"/>
    </row>
    <row r="103" spans="2:20" ht="23.1" customHeight="1" x14ac:dyDescent="0.25">
      <c r="B103" s="45" t="s">
        <v>143</v>
      </c>
      <c r="C103" s="50">
        <v>10</v>
      </c>
      <c r="D103" s="50">
        <v>4</v>
      </c>
      <c r="E103" s="50">
        <v>9</v>
      </c>
      <c r="F103" s="50">
        <v>2</v>
      </c>
      <c r="G103" s="50">
        <v>0</v>
      </c>
      <c r="H103" s="50">
        <v>1</v>
      </c>
      <c r="I103" s="50">
        <f>'[1]RD116 MCC'!O387</f>
        <v>5</v>
      </c>
      <c r="J103" s="50">
        <v>2</v>
      </c>
      <c r="K103" s="50">
        <v>2</v>
      </c>
      <c r="L103" s="50">
        <v>4</v>
      </c>
      <c r="M103" s="50">
        <v>6</v>
      </c>
      <c r="N103" s="50">
        <v>0</v>
      </c>
      <c r="O103" s="15">
        <f t="shared" si="35"/>
        <v>39</v>
      </c>
      <c r="P103" s="15">
        <f t="shared" si="36"/>
        <v>45</v>
      </c>
      <c r="R103" s="8"/>
      <c r="T103"/>
    </row>
    <row r="104" spans="2:20" ht="23.1" customHeight="1" x14ac:dyDescent="0.25">
      <c r="B104" s="47" t="s">
        <v>144</v>
      </c>
      <c r="C104" s="50">
        <v>11</v>
      </c>
      <c r="D104" s="50">
        <v>10</v>
      </c>
      <c r="E104" s="50">
        <v>20</v>
      </c>
      <c r="F104" s="50">
        <v>4</v>
      </c>
      <c r="G104" s="50">
        <v>1</v>
      </c>
      <c r="H104" s="50">
        <v>1</v>
      </c>
      <c r="I104" s="50">
        <f>'[1]RD116 MCC'!O388</f>
        <v>3</v>
      </c>
      <c r="J104" s="50">
        <v>0</v>
      </c>
      <c r="K104" s="50">
        <v>0</v>
      </c>
      <c r="L104" s="50">
        <v>4</v>
      </c>
      <c r="M104" s="50">
        <v>7</v>
      </c>
      <c r="N104" s="50">
        <v>0</v>
      </c>
      <c r="O104" s="15">
        <f t="shared" si="35"/>
        <v>54</v>
      </c>
      <c r="P104" s="15">
        <f t="shared" si="36"/>
        <v>61</v>
      </c>
      <c r="R104" s="8"/>
      <c r="T104"/>
    </row>
    <row r="105" spans="2:20" ht="23.1" customHeight="1" x14ac:dyDescent="0.25">
      <c r="B105" s="45" t="s">
        <v>145</v>
      </c>
      <c r="C105" s="50">
        <v>12</v>
      </c>
      <c r="D105" s="50">
        <v>9</v>
      </c>
      <c r="E105" s="50">
        <v>18</v>
      </c>
      <c r="F105" s="50">
        <v>0</v>
      </c>
      <c r="G105" s="50">
        <v>0</v>
      </c>
      <c r="H105" s="50">
        <v>0</v>
      </c>
      <c r="I105" s="50">
        <f>'[1]RD116 MCC'!O389</f>
        <v>1</v>
      </c>
      <c r="J105" s="50">
        <v>1</v>
      </c>
      <c r="K105" s="50">
        <v>0</v>
      </c>
      <c r="L105" s="50">
        <v>0</v>
      </c>
      <c r="M105" s="50">
        <v>7</v>
      </c>
      <c r="N105" s="50">
        <v>0</v>
      </c>
      <c r="O105" s="15">
        <f t="shared" si="35"/>
        <v>41</v>
      </c>
      <c r="P105" s="15">
        <f t="shared" si="36"/>
        <v>48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609</v>
      </c>
      <c r="D106" s="16">
        <f t="shared" ref="D106:P106" si="37">SUM(D10:D105)</f>
        <v>245</v>
      </c>
      <c r="E106" s="16">
        <f t="shared" si="37"/>
        <v>533</v>
      </c>
      <c r="F106" s="16">
        <f t="shared" si="37"/>
        <v>100</v>
      </c>
      <c r="G106" s="16">
        <f t="shared" si="37"/>
        <v>22</v>
      </c>
      <c r="H106" s="16">
        <f t="shared" si="37"/>
        <v>45</v>
      </c>
      <c r="I106" s="16">
        <f t="shared" si="37"/>
        <v>269</v>
      </c>
      <c r="J106" s="16">
        <f t="shared" si="37"/>
        <v>38</v>
      </c>
      <c r="K106" s="16">
        <f t="shared" si="37"/>
        <v>9</v>
      </c>
      <c r="L106" s="16">
        <f t="shared" si="37"/>
        <v>230</v>
      </c>
      <c r="M106" s="16">
        <f t="shared" si="37"/>
        <v>3461</v>
      </c>
      <c r="N106" s="16">
        <f t="shared" si="37"/>
        <v>9</v>
      </c>
      <c r="O106" s="16">
        <f t="shared" si="37"/>
        <v>2109</v>
      </c>
      <c r="P106" s="16">
        <f t="shared" si="37"/>
        <v>5570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0.10933572710951527</v>
      </c>
      <c r="D107" s="43">
        <f t="shared" si="38"/>
        <v>4.3985637342908439E-2</v>
      </c>
      <c r="E107" s="43">
        <f t="shared" si="38"/>
        <v>9.5691202872531425E-2</v>
      </c>
      <c r="F107" s="43">
        <f t="shared" si="38"/>
        <v>1.7953321364452424E-2</v>
      </c>
      <c r="G107" s="43">
        <f t="shared" si="38"/>
        <v>3.9497307001795335E-3</v>
      </c>
      <c r="H107" s="43">
        <f t="shared" si="38"/>
        <v>8.0789946140035901E-3</v>
      </c>
      <c r="I107" s="43">
        <f t="shared" si="38"/>
        <v>4.8294434470377019E-2</v>
      </c>
      <c r="J107" s="43">
        <f t="shared" si="38"/>
        <v>6.8222621184919211E-3</v>
      </c>
      <c r="K107" s="43">
        <f t="shared" si="38"/>
        <v>1.6157989228007181E-3</v>
      </c>
      <c r="L107" s="43">
        <f t="shared" si="38"/>
        <v>4.1292639138240578E-2</v>
      </c>
      <c r="M107" s="43">
        <f t="shared" si="38"/>
        <v>0.62136445242369842</v>
      </c>
      <c r="N107" s="43">
        <f t="shared" si="38"/>
        <v>1.6157989228007181E-3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0.28876244665718348</v>
      </c>
      <c r="D108" s="44">
        <f t="shared" ref="D108:N108" si="39">D106/$O$106</f>
        <v>0.1161688003793267</v>
      </c>
      <c r="E108" s="44">
        <f t="shared" si="39"/>
        <v>0.25272641062114748</v>
      </c>
      <c r="F108" s="44">
        <f t="shared" si="39"/>
        <v>4.7415836889521099E-2</v>
      </c>
      <c r="G108" s="44">
        <f t="shared" si="39"/>
        <v>1.0431484115694643E-2</v>
      </c>
      <c r="H108" s="44">
        <f t="shared" si="39"/>
        <v>2.1337126600284494E-2</v>
      </c>
      <c r="I108" s="44">
        <f t="shared" si="39"/>
        <v>0.12754860123281175</v>
      </c>
      <c r="J108" s="44">
        <f t="shared" si="39"/>
        <v>1.8018018018018018E-2</v>
      </c>
      <c r="K108" s="44">
        <f t="shared" si="39"/>
        <v>4.2674253200568994E-3</v>
      </c>
      <c r="L108" s="44">
        <f t="shared" si="39"/>
        <v>0.10905642484589853</v>
      </c>
      <c r="M108" s="44"/>
      <c r="N108" s="44">
        <f t="shared" si="39"/>
        <v>4.2674253200568994E-3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94" zoomScale="60" workbookViewId="0">
      <selection activeCell="L105" sqref="L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'05.08, GULU-KARUMA-24HRS'!D5</f>
        <v>6.08.19</v>
      </c>
      <c r="E5" s="3"/>
      <c r="F5" s="41" t="s">
        <v>1</v>
      </c>
      <c r="G5" s="66" t="str">
        <f>'05.08, GULU-KARUMA-24HRS'!G5:H5</f>
        <v>xxx</v>
      </c>
      <c r="H5" s="67"/>
      <c r="I5" s="14"/>
      <c r="J5" s="2" t="s">
        <v>5</v>
      </c>
      <c r="K5" s="66" t="str">
        <f>'05.08, GULU-KARUMA-24HRS'!K5:L5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KARUMA-GULU'!D6:E6</f>
        <v xml:space="preserve">KARUMA </v>
      </c>
      <c r="E6" s="67"/>
      <c r="F6" s="2" t="s">
        <v>2</v>
      </c>
      <c r="G6" s="66" t="str">
        <f>'01.08 KARUMA-GULU'!G6:H6</f>
        <v>GULU</v>
      </c>
      <c r="H6" s="67"/>
      <c r="J6" s="2" t="s">
        <v>21</v>
      </c>
      <c r="K6" s="66" t="str">
        <f>'05.08, GULU-KARUMA-24HRS'!K6:L6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0.84033613445378152</v>
      </c>
      <c r="D10" s="50">
        <v>0</v>
      </c>
      <c r="E10" s="50">
        <v>0</v>
      </c>
      <c r="F10" s="50">
        <v>0</v>
      </c>
      <c r="G10" s="50">
        <v>0</v>
      </c>
      <c r="H10" s="50">
        <v>0.84033613445378152</v>
      </c>
      <c r="I10" s="50">
        <v>0</v>
      </c>
      <c r="J10" s="50">
        <v>0.84033613445378152</v>
      </c>
      <c r="K10" s="50">
        <v>0</v>
      </c>
      <c r="L10" s="50">
        <v>0</v>
      </c>
      <c r="M10" s="50">
        <v>80</v>
      </c>
      <c r="N10" s="50">
        <v>0</v>
      </c>
      <c r="O10" s="15">
        <f t="shared" ref="O10:O73" si="0">SUM(C10:L10,N10)</f>
        <v>2.5210084033613445</v>
      </c>
      <c r="P10" s="15">
        <f t="shared" ref="P10:P73" si="1">SUM(C10:N10)</f>
        <v>82.52100840336135</v>
      </c>
      <c r="R10" s="1" t="s">
        <v>6</v>
      </c>
      <c r="S10" s="17">
        <f t="shared" ref="S10:AF10" si="2">SUM(C10:C13)</f>
        <v>5.0420168067226889</v>
      </c>
      <c r="T10" s="17">
        <f t="shared" si="2"/>
        <v>5.0420168067226889</v>
      </c>
      <c r="U10" s="17">
        <f t="shared" si="2"/>
        <v>11.764705882352942</v>
      </c>
      <c r="V10" s="17">
        <f t="shared" si="2"/>
        <v>2.5210084033613445</v>
      </c>
      <c r="W10" s="17">
        <f t="shared" si="2"/>
        <v>0</v>
      </c>
      <c r="X10" s="17">
        <f t="shared" si="2"/>
        <v>2.5210084033613445</v>
      </c>
      <c r="Y10" s="17">
        <f t="shared" si="2"/>
        <v>4.2016806722689077</v>
      </c>
      <c r="Z10" s="17">
        <f t="shared" si="2"/>
        <v>0.84033613445378152</v>
      </c>
      <c r="AA10" s="17">
        <f t="shared" si="2"/>
        <v>0</v>
      </c>
      <c r="AB10" s="17">
        <f t="shared" si="2"/>
        <v>0</v>
      </c>
      <c r="AC10" s="17">
        <f t="shared" si="2"/>
        <v>281</v>
      </c>
      <c r="AD10" s="17">
        <f t="shared" si="2"/>
        <v>0</v>
      </c>
      <c r="AE10" s="31">
        <f t="shared" si="2"/>
        <v>31.932773109243698</v>
      </c>
      <c r="AF10" s="31">
        <f t="shared" si="2"/>
        <v>312.93277310924373</v>
      </c>
    </row>
    <row r="11" spans="2:32" s="6" customFormat="1" ht="23.1" customHeight="1" x14ac:dyDescent="0.25">
      <c r="B11" s="45" t="s">
        <v>38</v>
      </c>
      <c r="C11" s="50">
        <v>0.84033613445378152</v>
      </c>
      <c r="D11" s="50">
        <v>0.84033613445378152</v>
      </c>
      <c r="E11" s="50">
        <v>1.680672268907563</v>
      </c>
      <c r="F11" s="50">
        <v>0</v>
      </c>
      <c r="G11" s="50">
        <v>0</v>
      </c>
      <c r="H11" s="50">
        <v>0</v>
      </c>
      <c r="I11" s="50">
        <v>0.84033613445378152</v>
      </c>
      <c r="J11" s="50">
        <v>0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4.2016806722689077</v>
      </c>
      <c r="P11" s="15">
        <f t="shared" si="1"/>
        <v>49.201680672268907</v>
      </c>
      <c r="R11" s="1" t="s">
        <v>7</v>
      </c>
      <c r="S11" s="17">
        <f t="shared" ref="S11:AF11" si="3">SUM(C14:C17)</f>
        <v>9.2436974789915958</v>
      </c>
      <c r="T11" s="17">
        <f t="shared" si="3"/>
        <v>12.605042016806724</v>
      </c>
      <c r="U11" s="17">
        <f t="shared" si="3"/>
        <v>27.731092436974791</v>
      </c>
      <c r="V11" s="17">
        <f t="shared" si="3"/>
        <v>1.680672268907563</v>
      </c>
      <c r="W11" s="17">
        <f t="shared" si="3"/>
        <v>0</v>
      </c>
      <c r="X11" s="17">
        <f t="shared" si="3"/>
        <v>1.680672268907563</v>
      </c>
      <c r="Y11" s="17">
        <f t="shared" si="3"/>
        <v>7.5630252100840334</v>
      </c>
      <c r="Z11" s="17">
        <f t="shared" si="3"/>
        <v>0</v>
      </c>
      <c r="AA11" s="17">
        <f t="shared" si="3"/>
        <v>0</v>
      </c>
      <c r="AB11" s="17">
        <f t="shared" si="3"/>
        <v>0.84033613445378152</v>
      </c>
      <c r="AC11" s="17">
        <f t="shared" si="3"/>
        <v>231</v>
      </c>
      <c r="AD11" s="17">
        <f t="shared" si="3"/>
        <v>0</v>
      </c>
      <c r="AE11" s="31">
        <f t="shared" si="3"/>
        <v>61.34453781512606</v>
      </c>
      <c r="AF11" s="31">
        <f t="shared" si="3"/>
        <v>292.34453781512605</v>
      </c>
    </row>
    <row r="12" spans="2:32" ht="23.1" customHeight="1" x14ac:dyDescent="0.25">
      <c r="B12" s="45" t="s">
        <v>39</v>
      </c>
      <c r="C12" s="50">
        <v>0.84033613445378152</v>
      </c>
      <c r="D12" s="50">
        <v>1.680672268907563</v>
      </c>
      <c r="E12" s="50">
        <v>4.2016806722689077</v>
      </c>
      <c r="F12" s="50">
        <v>0.84033613445378152</v>
      </c>
      <c r="G12" s="50">
        <v>0</v>
      </c>
      <c r="H12" s="50">
        <v>1.680672268907563</v>
      </c>
      <c r="I12" s="50">
        <v>0.84033613445378152</v>
      </c>
      <c r="J12" s="50">
        <v>0</v>
      </c>
      <c r="K12" s="50">
        <v>0</v>
      </c>
      <c r="L12" s="50">
        <v>0</v>
      </c>
      <c r="M12" s="50">
        <v>81</v>
      </c>
      <c r="N12" s="50">
        <v>0</v>
      </c>
      <c r="O12" s="15">
        <f t="shared" si="0"/>
        <v>10.084033613445378</v>
      </c>
      <c r="P12" s="15">
        <f t="shared" si="1"/>
        <v>91.084033613445371</v>
      </c>
      <c r="R12" s="1" t="s">
        <v>8</v>
      </c>
      <c r="S12" s="17">
        <f t="shared" ref="S12:AF12" si="4">SUM(C18:C21)</f>
        <v>18.487394957983195</v>
      </c>
      <c r="T12" s="17">
        <f t="shared" si="4"/>
        <v>10.084033613445378</v>
      </c>
      <c r="U12" s="17">
        <f t="shared" si="4"/>
        <v>22.689075630252098</v>
      </c>
      <c r="V12" s="17">
        <f t="shared" si="4"/>
        <v>7.5630252100840334</v>
      </c>
      <c r="W12" s="17">
        <f t="shared" si="4"/>
        <v>0.84033613445378152</v>
      </c>
      <c r="X12" s="17">
        <f t="shared" si="4"/>
        <v>0.84033613445378152</v>
      </c>
      <c r="Y12" s="17">
        <f t="shared" si="4"/>
        <v>15.966386554621851</v>
      </c>
      <c r="Z12" s="17">
        <f t="shared" si="4"/>
        <v>0</v>
      </c>
      <c r="AA12" s="17">
        <f t="shared" si="4"/>
        <v>0</v>
      </c>
      <c r="AB12" s="17">
        <f t="shared" si="4"/>
        <v>2.5210084033613445</v>
      </c>
      <c r="AC12" s="17">
        <f t="shared" si="4"/>
        <v>303.7</v>
      </c>
      <c r="AD12" s="17">
        <f t="shared" si="4"/>
        <v>0</v>
      </c>
      <c r="AE12" s="31">
        <f t="shared" si="4"/>
        <v>78.991596638655466</v>
      </c>
      <c r="AF12" s="31">
        <f t="shared" si="4"/>
        <v>382.69159663865548</v>
      </c>
    </row>
    <row r="13" spans="2:32" ht="23.1" customHeight="1" x14ac:dyDescent="0.25">
      <c r="B13" s="45" t="s">
        <v>40</v>
      </c>
      <c r="C13" s="50">
        <v>2.5210084033613445</v>
      </c>
      <c r="D13" s="50">
        <v>2.5210084033613445</v>
      </c>
      <c r="E13" s="50">
        <v>5.882352941176471</v>
      </c>
      <c r="F13" s="50">
        <v>1.680672268907563</v>
      </c>
      <c r="G13" s="50">
        <v>0</v>
      </c>
      <c r="H13" s="50">
        <v>0</v>
      </c>
      <c r="I13" s="50">
        <v>2.5210084033613445</v>
      </c>
      <c r="J13" s="50">
        <v>0</v>
      </c>
      <c r="K13" s="50">
        <v>0</v>
      </c>
      <c r="L13" s="50">
        <v>0</v>
      </c>
      <c r="M13" s="50">
        <v>75</v>
      </c>
      <c r="N13" s="50">
        <v>0</v>
      </c>
      <c r="O13" s="15">
        <f t="shared" si="0"/>
        <v>15.126050420168067</v>
      </c>
      <c r="P13" s="15">
        <f t="shared" si="1"/>
        <v>90.12605042016807</v>
      </c>
      <c r="R13" s="1" t="s">
        <v>9</v>
      </c>
      <c r="S13" s="17">
        <f t="shared" ref="S13:AF13" si="5">SUM(C22:C25)</f>
        <v>19.327731092436977</v>
      </c>
      <c r="T13" s="17">
        <f t="shared" si="5"/>
        <v>5.882352941176471</v>
      </c>
      <c r="U13" s="17">
        <f t="shared" si="5"/>
        <v>14.285714285714286</v>
      </c>
      <c r="V13" s="17">
        <f t="shared" si="5"/>
        <v>5.882352941176471</v>
      </c>
      <c r="W13" s="17">
        <f t="shared" si="5"/>
        <v>0</v>
      </c>
      <c r="X13" s="17">
        <f t="shared" si="5"/>
        <v>2.5210084033613445</v>
      </c>
      <c r="Y13" s="17">
        <f t="shared" si="5"/>
        <v>10.924369747899158</v>
      </c>
      <c r="Z13" s="17">
        <f t="shared" si="5"/>
        <v>0</v>
      </c>
      <c r="AA13" s="17">
        <f t="shared" si="5"/>
        <v>0</v>
      </c>
      <c r="AB13" s="17">
        <f t="shared" si="5"/>
        <v>5.882352941176471</v>
      </c>
      <c r="AC13" s="17">
        <f t="shared" si="5"/>
        <v>269.5</v>
      </c>
      <c r="AD13" s="17">
        <f t="shared" si="5"/>
        <v>0</v>
      </c>
      <c r="AE13" s="31">
        <f t="shared" si="5"/>
        <v>64.705882352941188</v>
      </c>
      <c r="AF13" s="31">
        <f t="shared" si="5"/>
        <v>334.20588235294122</v>
      </c>
    </row>
    <row r="14" spans="2:32" ht="23.1" customHeight="1" x14ac:dyDescent="0.25">
      <c r="B14" s="45" t="s">
        <v>41</v>
      </c>
      <c r="C14" s="50">
        <v>1.680672268907563</v>
      </c>
      <c r="D14" s="50">
        <v>4.2016806722689077</v>
      </c>
      <c r="E14" s="50">
        <v>9.2436974789915975</v>
      </c>
      <c r="F14" s="50">
        <v>0</v>
      </c>
      <c r="G14" s="50">
        <v>0</v>
      </c>
      <c r="H14" s="50">
        <v>0</v>
      </c>
      <c r="I14" s="50">
        <v>0.84033613445378152</v>
      </c>
      <c r="J14" s="50">
        <v>0</v>
      </c>
      <c r="K14" s="50">
        <v>0</v>
      </c>
      <c r="L14" s="50">
        <v>0</v>
      </c>
      <c r="M14" s="50">
        <v>45</v>
      </c>
      <c r="N14" s="50">
        <v>0</v>
      </c>
      <c r="O14" s="15">
        <f t="shared" si="0"/>
        <v>15.966386554621851</v>
      </c>
      <c r="P14" s="15">
        <f t="shared" si="1"/>
        <v>60.966386554621849</v>
      </c>
      <c r="R14" s="1" t="s">
        <v>10</v>
      </c>
      <c r="S14" s="17">
        <f t="shared" ref="S14:AF14" si="6">SUM(C26:C29)</f>
        <v>17.647058823529413</v>
      </c>
      <c r="T14" s="17">
        <f t="shared" si="6"/>
        <v>10.92436974789916</v>
      </c>
      <c r="U14" s="17">
        <f t="shared" si="6"/>
        <v>23.529411764705884</v>
      </c>
      <c r="V14" s="17">
        <f t="shared" si="6"/>
        <v>3.3613445378151261</v>
      </c>
      <c r="W14" s="17">
        <f t="shared" si="6"/>
        <v>0</v>
      </c>
      <c r="X14" s="17">
        <f t="shared" si="6"/>
        <v>1.680672268907563</v>
      </c>
      <c r="Y14" s="17">
        <f t="shared" si="6"/>
        <v>13.445378151260503</v>
      </c>
      <c r="Z14" s="17">
        <f t="shared" si="6"/>
        <v>0</v>
      </c>
      <c r="AA14" s="17">
        <f t="shared" si="6"/>
        <v>0.84033613445378152</v>
      </c>
      <c r="AB14" s="17">
        <f t="shared" si="6"/>
        <v>12.605042016806722</v>
      </c>
      <c r="AC14" s="17">
        <f t="shared" si="6"/>
        <v>215.60000000000002</v>
      </c>
      <c r="AD14" s="17">
        <f t="shared" si="6"/>
        <v>0</v>
      </c>
      <c r="AE14" s="31">
        <f t="shared" si="6"/>
        <v>84.033613445378165</v>
      </c>
      <c r="AF14" s="31">
        <f t="shared" si="6"/>
        <v>299.63361344537816</v>
      </c>
    </row>
    <row r="15" spans="2:32" ht="23.1" customHeight="1" x14ac:dyDescent="0.25">
      <c r="B15" s="45" t="s">
        <v>42</v>
      </c>
      <c r="C15" s="50">
        <v>3.3613445378151261</v>
      </c>
      <c r="D15" s="50">
        <v>1.680672268907563</v>
      </c>
      <c r="E15" s="50">
        <v>3.3613445378151261</v>
      </c>
      <c r="F15" s="50">
        <v>0.84033613445378152</v>
      </c>
      <c r="G15" s="50">
        <v>0</v>
      </c>
      <c r="H15" s="50">
        <v>0</v>
      </c>
      <c r="I15" s="50">
        <v>0.84033613445378152</v>
      </c>
      <c r="J15" s="50">
        <v>0</v>
      </c>
      <c r="K15" s="50">
        <v>0</v>
      </c>
      <c r="L15" s="50">
        <v>0</v>
      </c>
      <c r="M15" s="50">
        <v>70</v>
      </c>
      <c r="N15" s="50">
        <v>0</v>
      </c>
      <c r="O15" s="15">
        <f t="shared" si="0"/>
        <v>10.08403361344538</v>
      </c>
      <c r="P15" s="15">
        <f t="shared" si="1"/>
        <v>80.084033613445385</v>
      </c>
      <c r="R15" s="1" t="s">
        <v>11</v>
      </c>
      <c r="S15" s="17">
        <f t="shared" ref="S15:AF15" si="7">SUM(C30:C33)</f>
        <v>15.966386554621849</v>
      </c>
      <c r="T15" s="17">
        <f t="shared" si="7"/>
        <v>8.4033613445378155</v>
      </c>
      <c r="U15" s="17">
        <f t="shared" si="7"/>
        <v>16.806722689075631</v>
      </c>
      <c r="V15" s="17">
        <f t="shared" si="7"/>
        <v>2.5210084033613445</v>
      </c>
      <c r="W15" s="17">
        <f t="shared" si="7"/>
        <v>0.84033613445378152</v>
      </c>
      <c r="X15" s="17">
        <f t="shared" si="7"/>
        <v>1.680672268907563</v>
      </c>
      <c r="Y15" s="17">
        <f t="shared" si="7"/>
        <v>11.764705882352942</v>
      </c>
      <c r="Z15" s="17">
        <f t="shared" si="7"/>
        <v>1.680672268907563</v>
      </c>
      <c r="AA15" s="17">
        <f t="shared" si="7"/>
        <v>0</v>
      </c>
      <c r="AB15" s="17">
        <f t="shared" si="7"/>
        <v>13.445378151260506</v>
      </c>
      <c r="AC15" s="17">
        <f t="shared" si="7"/>
        <v>204.60000000000002</v>
      </c>
      <c r="AD15" s="17">
        <f t="shared" si="7"/>
        <v>0</v>
      </c>
      <c r="AE15" s="31">
        <f t="shared" si="7"/>
        <v>73.109243697478988</v>
      </c>
      <c r="AF15" s="31">
        <f t="shared" si="7"/>
        <v>277.709243697479</v>
      </c>
    </row>
    <row r="16" spans="2:32" ht="23.1" customHeight="1" x14ac:dyDescent="0.25">
      <c r="B16" s="45" t="s">
        <v>43</v>
      </c>
      <c r="C16" s="50">
        <v>1.680672268907563</v>
      </c>
      <c r="D16" s="50">
        <v>2.5210084033613445</v>
      </c>
      <c r="E16" s="50">
        <v>5.882352941176471</v>
      </c>
      <c r="F16" s="50">
        <v>0.84033613445378152</v>
      </c>
      <c r="G16" s="50">
        <v>0</v>
      </c>
      <c r="H16" s="50">
        <v>1.680672268907563</v>
      </c>
      <c r="I16" s="50">
        <v>5.0420168067226889</v>
      </c>
      <c r="J16" s="50">
        <v>0</v>
      </c>
      <c r="K16" s="50">
        <v>0</v>
      </c>
      <c r="L16" s="50">
        <v>0.84033613445378152</v>
      </c>
      <c r="M16" s="50">
        <v>46</v>
      </c>
      <c r="N16" s="50">
        <v>0</v>
      </c>
      <c r="O16" s="15">
        <f t="shared" si="0"/>
        <v>18.487394957983195</v>
      </c>
      <c r="P16" s="15">
        <f t="shared" si="1"/>
        <v>64.487394957983199</v>
      </c>
      <c r="R16" s="1" t="s">
        <v>12</v>
      </c>
      <c r="S16" s="17">
        <f t="shared" ref="S16:AF16" si="8">SUM(C34:C37)</f>
        <v>11.764705882352942</v>
      </c>
      <c r="T16" s="17">
        <f t="shared" si="8"/>
        <v>10.084033613445378</v>
      </c>
      <c r="U16" s="17">
        <f t="shared" si="8"/>
        <v>22.689075630252102</v>
      </c>
      <c r="V16" s="17">
        <f t="shared" si="8"/>
        <v>2.5210084033613445</v>
      </c>
      <c r="W16" s="17">
        <f t="shared" si="8"/>
        <v>0</v>
      </c>
      <c r="X16" s="17">
        <f t="shared" si="8"/>
        <v>1.680672268907563</v>
      </c>
      <c r="Y16" s="17">
        <f t="shared" si="8"/>
        <v>15.126050420168067</v>
      </c>
      <c r="Z16" s="17">
        <f t="shared" si="8"/>
        <v>0.84033613445378152</v>
      </c>
      <c r="AA16" s="17">
        <f t="shared" si="8"/>
        <v>0</v>
      </c>
      <c r="AB16" s="17">
        <f t="shared" si="8"/>
        <v>15.966386554621849</v>
      </c>
      <c r="AC16" s="17">
        <f t="shared" si="8"/>
        <v>242.00000000000003</v>
      </c>
      <c r="AD16" s="17">
        <f t="shared" si="8"/>
        <v>0</v>
      </c>
      <c r="AE16" s="31">
        <f t="shared" si="8"/>
        <v>80.672268907563037</v>
      </c>
      <c r="AF16" s="31">
        <f t="shared" si="8"/>
        <v>322.67226890756308</v>
      </c>
    </row>
    <row r="17" spans="2:32" ht="23.1" customHeight="1" x14ac:dyDescent="0.25">
      <c r="B17" s="45" t="s">
        <v>44</v>
      </c>
      <c r="C17" s="50">
        <v>2.5210084033613445</v>
      </c>
      <c r="D17" s="50">
        <v>4.2016806722689077</v>
      </c>
      <c r="E17" s="50">
        <v>9.2436974789915975</v>
      </c>
      <c r="F17" s="50">
        <v>0</v>
      </c>
      <c r="G17" s="50">
        <v>0</v>
      </c>
      <c r="H17" s="50">
        <v>0</v>
      </c>
      <c r="I17" s="50">
        <v>0.84033613445378152</v>
      </c>
      <c r="J17" s="50">
        <v>0</v>
      </c>
      <c r="K17" s="50">
        <v>0</v>
      </c>
      <c r="L17" s="50">
        <v>0</v>
      </c>
      <c r="M17" s="50">
        <v>70</v>
      </c>
      <c r="N17" s="50">
        <v>0</v>
      </c>
      <c r="O17" s="15">
        <f t="shared" si="0"/>
        <v>16.806722689075631</v>
      </c>
      <c r="P17" s="15">
        <f t="shared" si="1"/>
        <v>86.806722689075627</v>
      </c>
      <c r="R17" s="1" t="s">
        <v>13</v>
      </c>
      <c r="S17" s="17">
        <f t="shared" ref="S17:AF17" si="9">SUM(C38:C41)</f>
        <v>15.126050420168067</v>
      </c>
      <c r="T17" s="17">
        <f t="shared" si="9"/>
        <v>7.5630252100840343</v>
      </c>
      <c r="U17" s="17">
        <f t="shared" si="9"/>
        <v>15.966386554621851</v>
      </c>
      <c r="V17" s="17">
        <f t="shared" si="9"/>
        <v>4.2016806722689077</v>
      </c>
      <c r="W17" s="17">
        <f t="shared" si="9"/>
        <v>0</v>
      </c>
      <c r="X17" s="17">
        <f t="shared" si="9"/>
        <v>1.680672268907563</v>
      </c>
      <c r="Y17" s="17">
        <f t="shared" si="9"/>
        <v>13.445378151260506</v>
      </c>
      <c r="Z17" s="17">
        <f t="shared" si="9"/>
        <v>2.5210084033613445</v>
      </c>
      <c r="AA17" s="17">
        <f t="shared" si="9"/>
        <v>0</v>
      </c>
      <c r="AB17" s="17">
        <f t="shared" si="9"/>
        <v>10.084033613445378</v>
      </c>
      <c r="AC17" s="17">
        <f t="shared" si="9"/>
        <v>174.9</v>
      </c>
      <c r="AD17" s="17">
        <f t="shared" si="9"/>
        <v>0</v>
      </c>
      <c r="AE17" s="31">
        <f t="shared" si="9"/>
        <v>70.588235294117652</v>
      </c>
      <c r="AF17" s="31">
        <f t="shared" si="9"/>
        <v>245.48823529411769</v>
      </c>
    </row>
    <row r="18" spans="2:32" ht="23.1" customHeight="1" x14ac:dyDescent="0.25">
      <c r="B18" s="45" t="s">
        <v>45</v>
      </c>
      <c r="C18" s="50">
        <v>8.4033613445378155</v>
      </c>
      <c r="D18" s="50">
        <v>3.3613445378151261</v>
      </c>
      <c r="E18" s="50">
        <v>7.5630252100840343</v>
      </c>
      <c r="F18" s="50">
        <v>0.84033613445378152</v>
      </c>
      <c r="G18" s="50">
        <v>0</v>
      </c>
      <c r="H18" s="50">
        <v>0</v>
      </c>
      <c r="I18" s="50">
        <v>3.3613445378151261</v>
      </c>
      <c r="J18" s="50">
        <v>0</v>
      </c>
      <c r="K18" s="50">
        <v>0</v>
      </c>
      <c r="L18" s="50">
        <v>0</v>
      </c>
      <c r="M18" s="50">
        <v>67</v>
      </c>
      <c r="N18" s="50">
        <v>0</v>
      </c>
      <c r="O18" s="15">
        <f t="shared" si="0"/>
        <v>23.529411764705884</v>
      </c>
      <c r="P18" s="15">
        <f t="shared" si="1"/>
        <v>90.529411764705884</v>
      </c>
      <c r="R18" s="1" t="s">
        <v>14</v>
      </c>
      <c r="S18" s="17">
        <f t="shared" ref="S18:AF18" si="10">SUM(C42:C45)</f>
        <v>13.445378151260503</v>
      </c>
      <c r="T18" s="17">
        <f t="shared" si="10"/>
        <v>8.4033613445378137</v>
      </c>
      <c r="U18" s="17">
        <f t="shared" si="10"/>
        <v>17.647058823529413</v>
      </c>
      <c r="V18" s="17">
        <f t="shared" si="10"/>
        <v>4.2016806722689077</v>
      </c>
      <c r="W18" s="17">
        <f t="shared" si="10"/>
        <v>0</v>
      </c>
      <c r="X18" s="17">
        <f t="shared" si="10"/>
        <v>1.680672268907563</v>
      </c>
      <c r="Y18" s="17">
        <f t="shared" si="10"/>
        <v>13.445378151260504</v>
      </c>
      <c r="Z18" s="17">
        <f t="shared" si="10"/>
        <v>1.680672268907563</v>
      </c>
      <c r="AA18" s="17">
        <f t="shared" si="10"/>
        <v>0</v>
      </c>
      <c r="AB18" s="17">
        <f t="shared" si="10"/>
        <v>9.2436974789915958</v>
      </c>
      <c r="AC18" s="17">
        <f t="shared" si="10"/>
        <v>198</v>
      </c>
      <c r="AD18" s="17">
        <f t="shared" si="10"/>
        <v>0</v>
      </c>
      <c r="AE18" s="31">
        <f t="shared" si="10"/>
        <v>69.747899159663859</v>
      </c>
      <c r="AF18" s="31">
        <f t="shared" si="10"/>
        <v>267.74789915966392</v>
      </c>
    </row>
    <row r="19" spans="2:32" ht="23.1" customHeight="1" x14ac:dyDescent="0.25">
      <c r="B19" s="45" t="s">
        <v>46</v>
      </c>
      <c r="C19" s="50">
        <v>4.2016806722689077</v>
      </c>
      <c r="D19" s="50">
        <v>0.84033613445378152</v>
      </c>
      <c r="E19" s="50">
        <v>2.5210084033613445</v>
      </c>
      <c r="F19" s="50">
        <v>4.2016806722689077</v>
      </c>
      <c r="G19" s="50">
        <v>0</v>
      </c>
      <c r="H19" s="50">
        <v>0</v>
      </c>
      <c r="I19" s="50">
        <v>3.3613445378151261</v>
      </c>
      <c r="J19" s="50">
        <v>0</v>
      </c>
      <c r="K19" s="50">
        <v>0</v>
      </c>
      <c r="L19" s="50">
        <v>0.84033613445378152</v>
      </c>
      <c r="M19" s="50">
        <v>62</v>
      </c>
      <c r="N19" s="50">
        <v>0</v>
      </c>
      <c r="O19" s="15">
        <f t="shared" si="0"/>
        <v>15.966386554621851</v>
      </c>
      <c r="P19" s="15">
        <f t="shared" si="1"/>
        <v>77.966386554621849</v>
      </c>
      <c r="R19" s="1" t="s">
        <v>15</v>
      </c>
      <c r="S19" s="17">
        <f t="shared" ref="S19:AF19" si="11">SUM(C46:C49)</f>
        <v>25.210084033613448</v>
      </c>
      <c r="T19" s="17">
        <f t="shared" si="11"/>
        <v>5.882352941176471</v>
      </c>
      <c r="U19" s="17">
        <f t="shared" si="11"/>
        <v>12.605042016806722</v>
      </c>
      <c r="V19" s="17">
        <f t="shared" si="11"/>
        <v>4.2016806722689077</v>
      </c>
      <c r="W19" s="17">
        <f t="shared" si="11"/>
        <v>0</v>
      </c>
      <c r="X19" s="17">
        <f t="shared" si="11"/>
        <v>2.5210084033613445</v>
      </c>
      <c r="Y19" s="17">
        <f t="shared" si="11"/>
        <v>21.008403361344538</v>
      </c>
      <c r="Z19" s="17">
        <f t="shared" si="11"/>
        <v>2.5210084033613445</v>
      </c>
      <c r="AA19" s="17">
        <f t="shared" si="11"/>
        <v>0</v>
      </c>
      <c r="AB19" s="17">
        <f t="shared" si="11"/>
        <v>11.76470588235294</v>
      </c>
      <c r="AC19" s="17">
        <f t="shared" si="11"/>
        <v>237.60000000000002</v>
      </c>
      <c r="AD19" s="17">
        <f t="shared" si="11"/>
        <v>0</v>
      </c>
      <c r="AE19" s="31">
        <f t="shared" si="11"/>
        <v>85.714285714285708</v>
      </c>
      <c r="AF19" s="31">
        <f t="shared" si="11"/>
        <v>323.31428571428575</v>
      </c>
    </row>
    <row r="20" spans="2:32" ht="23.1" customHeight="1" x14ac:dyDescent="0.25">
      <c r="B20" s="45" t="s">
        <v>47</v>
      </c>
      <c r="C20" s="50">
        <v>4.2016806722689077</v>
      </c>
      <c r="D20" s="50">
        <v>4.2016806722689077</v>
      </c>
      <c r="E20" s="50">
        <v>8.4033613445378155</v>
      </c>
      <c r="F20" s="50">
        <v>2.5210084033613445</v>
      </c>
      <c r="G20" s="50">
        <v>0.84033613445378152</v>
      </c>
      <c r="H20" s="50">
        <v>0.84033613445378152</v>
      </c>
      <c r="I20" s="50">
        <v>5.882352941176471</v>
      </c>
      <c r="J20" s="50">
        <v>0</v>
      </c>
      <c r="K20" s="50">
        <v>0</v>
      </c>
      <c r="L20" s="50">
        <v>0.84033613445378152</v>
      </c>
      <c r="M20" s="50">
        <v>90</v>
      </c>
      <c r="N20" s="50">
        <v>0</v>
      </c>
      <c r="O20" s="15">
        <f t="shared" si="0"/>
        <v>27.731092436974794</v>
      </c>
      <c r="P20" s="15">
        <f t="shared" si="1"/>
        <v>117.73109243697479</v>
      </c>
      <c r="R20" s="1" t="s">
        <v>16</v>
      </c>
      <c r="S20" s="17">
        <f t="shared" ref="S20:AF20" si="12">SUM(C50:C53)</f>
        <v>20.168067226890756</v>
      </c>
      <c r="T20" s="17">
        <f t="shared" si="12"/>
        <v>8.4033613445378155</v>
      </c>
      <c r="U20" s="17">
        <f t="shared" si="12"/>
        <v>18.487394957983195</v>
      </c>
      <c r="V20" s="17">
        <f t="shared" si="12"/>
        <v>6.7226890756302522</v>
      </c>
      <c r="W20" s="17">
        <f t="shared" si="12"/>
        <v>1.680672268907563</v>
      </c>
      <c r="X20" s="17">
        <f t="shared" si="12"/>
        <v>4.2016806722689077</v>
      </c>
      <c r="Y20" s="17">
        <f t="shared" si="12"/>
        <v>11.764705882352942</v>
      </c>
      <c r="Z20" s="17">
        <f t="shared" si="12"/>
        <v>0</v>
      </c>
      <c r="AA20" s="17">
        <f t="shared" si="12"/>
        <v>0.84033613445378152</v>
      </c>
      <c r="AB20" s="17">
        <f t="shared" si="12"/>
        <v>4.2016806722689077</v>
      </c>
      <c r="AC20" s="17">
        <f t="shared" si="12"/>
        <v>276.10000000000002</v>
      </c>
      <c r="AD20" s="17">
        <f t="shared" si="12"/>
        <v>0</v>
      </c>
      <c r="AE20" s="31">
        <f t="shared" si="12"/>
        <v>76.470588235294116</v>
      </c>
      <c r="AF20" s="31">
        <f t="shared" si="12"/>
        <v>352.57058823529411</v>
      </c>
    </row>
    <row r="21" spans="2:32" ht="23.1" customHeight="1" x14ac:dyDescent="0.25">
      <c r="B21" s="45" t="s">
        <v>48</v>
      </c>
      <c r="C21" s="50">
        <v>1.680672268907563</v>
      </c>
      <c r="D21" s="50">
        <v>1.680672268907563</v>
      </c>
      <c r="E21" s="50">
        <v>4.2016806722689077</v>
      </c>
      <c r="F21" s="50">
        <v>0</v>
      </c>
      <c r="G21" s="50">
        <v>0</v>
      </c>
      <c r="H21" s="50">
        <v>0</v>
      </c>
      <c r="I21" s="50">
        <v>3.3613445378151261</v>
      </c>
      <c r="J21" s="50">
        <v>0</v>
      </c>
      <c r="K21" s="50">
        <v>0</v>
      </c>
      <c r="L21" s="50">
        <v>0.84033613445378152</v>
      </c>
      <c r="M21" s="50">
        <v>84.7</v>
      </c>
      <c r="N21" s="50">
        <v>0</v>
      </c>
      <c r="O21" s="15">
        <f t="shared" si="0"/>
        <v>11.764705882352942</v>
      </c>
      <c r="P21" s="15">
        <f t="shared" si="1"/>
        <v>96.464705882352945</v>
      </c>
      <c r="R21" s="36" t="s">
        <v>20</v>
      </c>
      <c r="S21" s="34">
        <f t="shared" ref="S21:AF21" si="13">SUM(C54:C57)</f>
        <v>16.806722689075631</v>
      </c>
      <c r="T21" s="17">
        <f t="shared" si="13"/>
        <v>9.2436974789915975</v>
      </c>
      <c r="U21" s="17">
        <f t="shared" si="13"/>
        <v>20.168067226890756</v>
      </c>
      <c r="V21" s="17">
        <f t="shared" si="13"/>
        <v>9.2436974789915958</v>
      </c>
      <c r="W21" s="17">
        <f t="shared" si="13"/>
        <v>0.84033613445378152</v>
      </c>
      <c r="X21" s="17">
        <f t="shared" si="13"/>
        <v>0.84033613445378152</v>
      </c>
      <c r="Y21" s="17">
        <f t="shared" si="13"/>
        <v>11.76470588235294</v>
      </c>
      <c r="Z21" s="17">
        <f t="shared" si="13"/>
        <v>0.84033613445378152</v>
      </c>
      <c r="AA21" s="17">
        <f t="shared" si="13"/>
        <v>0</v>
      </c>
      <c r="AB21" s="17">
        <f t="shared" si="13"/>
        <v>5.0420168067226889</v>
      </c>
      <c r="AC21" s="17">
        <f t="shared" si="13"/>
        <v>278.20000000000005</v>
      </c>
      <c r="AD21" s="17">
        <f t="shared" si="13"/>
        <v>0</v>
      </c>
      <c r="AE21" s="31">
        <f t="shared" si="13"/>
        <v>74.789915966386559</v>
      </c>
      <c r="AF21" s="31">
        <f t="shared" si="13"/>
        <v>352.98991596638655</v>
      </c>
    </row>
    <row r="22" spans="2:32" ht="23.1" customHeight="1" x14ac:dyDescent="0.25">
      <c r="B22" s="45" t="s">
        <v>49</v>
      </c>
      <c r="C22" s="50">
        <v>5.882352941176471</v>
      </c>
      <c r="D22" s="50">
        <v>1.680672268907563</v>
      </c>
      <c r="E22" s="50">
        <v>4.2016806722689077</v>
      </c>
      <c r="F22" s="50">
        <v>0.84033613445378152</v>
      </c>
      <c r="G22" s="50">
        <v>0</v>
      </c>
      <c r="H22" s="50">
        <v>0.84033613445378152</v>
      </c>
      <c r="I22" s="50">
        <v>3.3613445378151261</v>
      </c>
      <c r="J22" s="50">
        <v>0</v>
      </c>
      <c r="K22" s="50">
        <v>0</v>
      </c>
      <c r="L22" s="50">
        <v>0.84033613445378152</v>
      </c>
      <c r="M22" s="50">
        <v>77</v>
      </c>
      <c r="N22" s="50">
        <v>0</v>
      </c>
      <c r="O22" s="15">
        <f t="shared" si="0"/>
        <v>17.647058823529413</v>
      </c>
      <c r="P22" s="15">
        <f t="shared" si="1"/>
        <v>94.64705882352942</v>
      </c>
      <c r="R22" s="36" t="s">
        <v>146</v>
      </c>
      <c r="S22" s="34">
        <f>SUM(C58:C61)</f>
        <v>15.966386554621849</v>
      </c>
      <c r="T22" s="34">
        <f t="shared" ref="T22:AF22" si="14">SUM(D58:D61)</f>
        <v>3.3613445378151261</v>
      </c>
      <c r="U22" s="34">
        <f t="shared" si="14"/>
        <v>6.7226890756302522</v>
      </c>
      <c r="V22" s="34">
        <f t="shared" si="14"/>
        <v>2.5210084033613445</v>
      </c>
      <c r="W22" s="34">
        <f t="shared" si="14"/>
        <v>0</v>
      </c>
      <c r="X22" s="34">
        <f t="shared" si="14"/>
        <v>0.84033613445378152</v>
      </c>
      <c r="Y22" s="34">
        <f t="shared" si="14"/>
        <v>7.5630252100840343</v>
      </c>
      <c r="Z22" s="34">
        <f t="shared" si="14"/>
        <v>0</v>
      </c>
      <c r="AA22" s="34">
        <f t="shared" si="14"/>
        <v>0</v>
      </c>
      <c r="AB22" s="34">
        <f t="shared" si="14"/>
        <v>3.3613445378151261</v>
      </c>
      <c r="AC22" s="34">
        <f t="shared" si="14"/>
        <v>195</v>
      </c>
      <c r="AD22" s="34">
        <f t="shared" si="14"/>
        <v>0</v>
      </c>
      <c r="AE22" s="31">
        <f t="shared" si="14"/>
        <v>40.336134453781511</v>
      </c>
      <c r="AF22" s="31">
        <f t="shared" si="14"/>
        <v>235.33613445378148</v>
      </c>
    </row>
    <row r="23" spans="2:32" ht="23.1" customHeight="1" x14ac:dyDescent="0.25">
      <c r="B23" s="45" t="s">
        <v>50</v>
      </c>
      <c r="C23" s="50">
        <v>3.3613445378151261</v>
      </c>
      <c r="D23" s="50">
        <v>1.680672268907563</v>
      </c>
      <c r="E23" s="50">
        <v>4.2016806722689077</v>
      </c>
      <c r="F23" s="50">
        <v>2.5210084033613445</v>
      </c>
      <c r="G23" s="50">
        <v>0</v>
      </c>
      <c r="H23" s="50">
        <v>0.84033613445378152</v>
      </c>
      <c r="I23" s="50">
        <v>1.680672268907563</v>
      </c>
      <c r="J23" s="50">
        <v>0</v>
      </c>
      <c r="K23" s="50">
        <v>0</v>
      </c>
      <c r="L23" s="50">
        <v>2.5210084033613445</v>
      </c>
      <c r="M23" s="50">
        <v>64.900000000000006</v>
      </c>
      <c r="N23" s="50">
        <v>0</v>
      </c>
      <c r="O23" s="15">
        <f t="shared" si="0"/>
        <v>16.806722689075627</v>
      </c>
      <c r="P23" s="15">
        <f t="shared" si="1"/>
        <v>81.706722689075633</v>
      </c>
      <c r="R23" s="36" t="s">
        <v>147</v>
      </c>
      <c r="S23" s="34">
        <f>SUM(C62:C65)</f>
        <v>37.815126050420176</v>
      </c>
      <c r="T23" s="34">
        <f t="shared" ref="T23:AF23" si="15">SUM(D62:D65)</f>
        <v>4.2016806722689077</v>
      </c>
      <c r="U23" s="34">
        <f t="shared" si="15"/>
        <v>10.92436974789916</v>
      </c>
      <c r="V23" s="34">
        <f t="shared" si="15"/>
        <v>2.5210084033613445</v>
      </c>
      <c r="W23" s="34">
        <f t="shared" si="15"/>
        <v>0.84033613445378152</v>
      </c>
      <c r="X23" s="34">
        <f t="shared" si="15"/>
        <v>0</v>
      </c>
      <c r="Y23" s="34">
        <f t="shared" si="15"/>
        <v>5.0420168067226889</v>
      </c>
      <c r="Z23" s="34">
        <f t="shared" si="15"/>
        <v>1.680672268907563</v>
      </c>
      <c r="AA23" s="34">
        <f t="shared" si="15"/>
        <v>0.84033613445378152</v>
      </c>
      <c r="AB23" s="34">
        <f t="shared" si="15"/>
        <v>8.4033613445378155</v>
      </c>
      <c r="AC23" s="34">
        <f t="shared" si="15"/>
        <v>171</v>
      </c>
      <c r="AD23" s="34">
        <f t="shared" si="15"/>
        <v>0</v>
      </c>
      <c r="AE23" s="31">
        <f t="shared" si="15"/>
        <v>72.268907563025209</v>
      </c>
      <c r="AF23" s="31">
        <f t="shared" si="15"/>
        <v>243.26890756302521</v>
      </c>
    </row>
    <row r="24" spans="2:32" ht="23.1" customHeight="1" x14ac:dyDescent="0.25">
      <c r="B24" s="45" t="s">
        <v>51</v>
      </c>
      <c r="C24" s="50">
        <v>4.2016806722689077</v>
      </c>
      <c r="D24" s="50">
        <v>0.84033613445378152</v>
      </c>
      <c r="E24" s="50">
        <v>2.5210084033613445</v>
      </c>
      <c r="F24" s="50">
        <v>0</v>
      </c>
      <c r="G24" s="50">
        <v>0</v>
      </c>
      <c r="H24" s="50">
        <v>0</v>
      </c>
      <c r="I24" s="50">
        <v>4.2016806722689077</v>
      </c>
      <c r="J24" s="50">
        <v>0</v>
      </c>
      <c r="K24" s="50">
        <v>0</v>
      </c>
      <c r="L24" s="50">
        <v>0.84033613445378152</v>
      </c>
      <c r="M24" s="50">
        <v>61.600000000000009</v>
      </c>
      <c r="N24" s="50">
        <v>0</v>
      </c>
      <c r="O24" s="15">
        <f t="shared" si="0"/>
        <v>12.605042016806724</v>
      </c>
      <c r="P24" s="15">
        <f t="shared" si="1"/>
        <v>74.205042016806729</v>
      </c>
      <c r="R24" s="36" t="s">
        <v>148</v>
      </c>
      <c r="S24" s="34">
        <f>SUM(C66:C69)</f>
        <v>39.495798319327733</v>
      </c>
      <c r="T24" s="34">
        <f t="shared" ref="T24:AF24" si="16">SUM(D66:D69)</f>
        <v>5.0420168067226889</v>
      </c>
      <c r="U24" s="34">
        <f t="shared" si="16"/>
        <v>12.605042016806722</v>
      </c>
      <c r="V24" s="34">
        <f t="shared" si="16"/>
        <v>0</v>
      </c>
      <c r="W24" s="34">
        <f t="shared" si="16"/>
        <v>0.84033613445378152</v>
      </c>
      <c r="X24" s="34">
        <f t="shared" si="16"/>
        <v>0</v>
      </c>
      <c r="Y24" s="34">
        <f t="shared" si="16"/>
        <v>5.0420168067226889</v>
      </c>
      <c r="Z24" s="34">
        <f t="shared" si="16"/>
        <v>1.680672268907563</v>
      </c>
      <c r="AA24" s="34">
        <f t="shared" si="16"/>
        <v>0</v>
      </c>
      <c r="AB24" s="34">
        <f t="shared" si="16"/>
        <v>13.445378151260504</v>
      </c>
      <c r="AC24" s="34">
        <f t="shared" si="16"/>
        <v>168</v>
      </c>
      <c r="AD24" s="34">
        <f t="shared" si="16"/>
        <v>0</v>
      </c>
      <c r="AE24" s="31">
        <f t="shared" si="16"/>
        <v>78.151260504201673</v>
      </c>
      <c r="AF24" s="31">
        <f t="shared" si="16"/>
        <v>246.15126050420167</v>
      </c>
    </row>
    <row r="25" spans="2:32" ht="23.1" customHeight="1" x14ac:dyDescent="0.25">
      <c r="B25" s="45" t="s">
        <v>52</v>
      </c>
      <c r="C25" s="50">
        <v>5.882352941176471</v>
      </c>
      <c r="D25" s="50">
        <v>1.680672268907563</v>
      </c>
      <c r="E25" s="50">
        <v>3.3613445378151261</v>
      </c>
      <c r="F25" s="50">
        <v>2.5210084033613445</v>
      </c>
      <c r="G25" s="50">
        <v>0</v>
      </c>
      <c r="H25" s="50">
        <v>0.84033613445378152</v>
      </c>
      <c r="I25" s="50">
        <v>1.680672268907563</v>
      </c>
      <c r="J25" s="50">
        <v>0</v>
      </c>
      <c r="K25" s="50">
        <v>0</v>
      </c>
      <c r="L25" s="50">
        <v>1.680672268907563</v>
      </c>
      <c r="M25" s="50">
        <v>66</v>
      </c>
      <c r="N25" s="50">
        <v>0</v>
      </c>
      <c r="O25" s="15">
        <f t="shared" si="0"/>
        <v>17.647058823529413</v>
      </c>
      <c r="P25" s="15">
        <f t="shared" si="1"/>
        <v>83.64705882352942</v>
      </c>
      <c r="R25" s="36" t="s">
        <v>149</v>
      </c>
      <c r="S25" s="34">
        <f>SUM(C70:C73)</f>
        <v>27.731092436974791</v>
      </c>
      <c r="T25" s="34">
        <f t="shared" ref="T25:AF25" si="17">SUM(D70:D73)</f>
        <v>8.4033613445378155</v>
      </c>
      <c r="U25" s="34">
        <f t="shared" si="17"/>
        <v>17.647058823529413</v>
      </c>
      <c r="V25" s="34">
        <f t="shared" si="17"/>
        <v>0</v>
      </c>
      <c r="W25" s="34">
        <f t="shared" si="17"/>
        <v>2.5210084033613445</v>
      </c>
      <c r="X25" s="34">
        <f t="shared" si="17"/>
        <v>0.84033613445378152</v>
      </c>
      <c r="Y25" s="34">
        <f t="shared" si="17"/>
        <v>5.8823529411764701</v>
      </c>
      <c r="Z25" s="34">
        <f t="shared" si="17"/>
        <v>3.3613445378151261</v>
      </c>
      <c r="AA25" s="34">
        <f t="shared" si="17"/>
        <v>0</v>
      </c>
      <c r="AB25" s="34">
        <f t="shared" si="17"/>
        <v>16.806722689075631</v>
      </c>
      <c r="AC25" s="34">
        <f t="shared" si="17"/>
        <v>104</v>
      </c>
      <c r="AD25" s="34">
        <f t="shared" si="17"/>
        <v>0</v>
      </c>
      <c r="AE25" s="31">
        <f t="shared" si="17"/>
        <v>83.193277310924373</v>
      </c>
      <c r="AF25" s="31">
        <f t="shared" si="17"/>
        <v>187.19327731092437</v>
      </c>
    </row>
    <row r="26" spans="2:32" ht="23.1" customHeight="1" x14ac:dyDescent="0.25">
      <c r="B26" s="45" t="s">
        <v>53</v>
      </c>
      <c r="C26" s="50">
        <v>5.0420168067226889</v>
      </c>
      <c r="D26" s="50">
        <v>1.680672268907563</v>
      </c>
      <c r="E26" s="50">
        <v>4.2016806722689077</v>
      </c>
      <c r="F26" s="50">
        <v>2.5210084033613445</v>
      </c>
      <c r="G26" s="50">
        <v>0</v>
      </c>
      <c r="H26" s="50">
        <v>0</v>
      </c>
      <c r="I26" s="50">
        <v>2.5210084033613445</v>
      </c>
      <c r="J26" s="50">
        <v>0</v>
      </c>
      <c r="K26" s="50">
        <v>0</v>
      </c>
      <c r="L26" s="50">
        <v>0.84033613445378152</v>
      </c>
      <c r="M26" s="50">
        <v>39.6</v>
      </c>
      <c r="N26" s="50">
        <v>0</v>
      </c>
      <c r="O26" s="15">
        <f t="shared" si="0"/>
        <v>16.806722689075631</v>
      </c>
      <c r="P26" s="15">
        <f t="shared" si="1"/>
        <v>56.406722689075636</v>
      </c>
      <c r="R26" s="36" t="s">
        <v>150</v>
      </c>
      <c r="S26" s="34">
        <f>SUM(C74:C77)</f>
        <v>21.008403361344538</v>
      </c>
      <c r="T26" s="34">
        <f t="shared" ref="T26:AF26" si="18">SUM(D74:D77)</f>
        <v>5.882352941176471</v>
      </c>
      <c r="U26" s="34">
        <f t="shared" si="18"/>
        <v>12.605042016806722</v>
      </c>
      <c r="V26" s="34">
        <f t="shared" si="18"/>
        <v>0</v>
      </c>
      <c r="W26" s="34">
        <f t="shared" si="18"/>
        <v>0.84033613445378152</v>
      </c>
      <c r="X26" s="34">
        <f t="shared" si="18"/>
        <v>0.84033613445378152</v>
      </c>
      <c r="Y26" s="34">
        <f t="shared" si="18"/>
        <v>5.882352941176471</v>
      </c>
      <c r="Z26" s="34">
        <f t="shared" si="18"/>
        <v>0.84033613445378152</v>
      </c>
      <c r="AA26" s="34">
        <f t="shared" si="18"/>
        <v>0</v>
      </c>
      <c r="AB26" s="34">
        <f t="shared" si="18"/>
        <v>3.3613445378151261</v>
      </c>
      <c r="AC26" s="34">
        <f t="shared" si="18"/>
        <v>64</v>
      </c>
      <c r="AD26" s="34">
        <f t="shared" si="18"/>
        <v>0</v>
      </c>
      <c r="AE26" s="31">
        <f t="shared" si="18"/>
        <v>51.260504201680675</v>
      </c>
      <c r="AF26" s="31">
        <f t="shared" si="18"/>
        <v>115.26050420168067</v>
      </c>
    </row>
    <row r="27" spans="2:32" ht="23.1" customHeight="1" x14ac:dyDescent="0.25">
      <c r="B27" s="45" t="s">
        <v>54</v>
      </c>
      <c r="C27" s="50">
        <v>3.3613445378151261</v>
      </c>
      <c r="D27" s="50">
        <v>4.2016806722689077</v>
      </c>
      <c r="E27" s="50">
        <v>8.4033613445378155</v>
      </c>
      <c r="F27" s="50">
        <v>0</v>
      </c>
      <c r="G27" s="50">
        <v>0</v>
      </c>
      <c r="H27" s="50">
        <v>0.84033613445378152</v>
      </c>
      <c r="I27" s="50">
        <v>2.5210084033613445</v>
      </c>
      <c r="J27" s="50">
        <v>0</v>
      </c>
      <c r="K27" s="50">
        <v>0</v>
      </c>
      <c r="L27" s="50">
        <v>1.680672268907563</v>
      </c>
      <c r="M27" s="50">
        <v>61.600000000000009</v>
      </c>
      <c r="N27" s="50">
        <v>0</v>
      </c>
      <c r="O27" s="15">
        <f t="shared" si="0"/>
        <v>21.008403361344541</v>
      </c>
      <c r="P27" s="15">
        <f t="shared" si="1"/>
        <v>82.608403361344557</v>
      </c>
      <c r="R27" s="36" t="s">
        <v>151</v>
      </c>
      <c r="S27" s="34">
        <f>SUM(C78:C81)</f>
        <v>26.050420168067227</v>
      </c>
      <c r="T27" s="34">
        <f t="shared" ref="T27:AF27" si="19">SUM(D78:D81)</f>
        <v>5.0420168067226889</v>
      </c>
      <c r="U27" s="34">
        <f t="shared" si="19"/>
        <v>10.924369747899158</v>
      </c>
      <c r="V27" s="34">
        <f t="shared" si="19"/>
        <v>3.3613445378151261</v>
      </c>
      <c r="W27" s="34">
        <f t="shared" si="19"/>
        <v>1.680672268907563</v>
      </c>
      <c r="X27" s="34">
        <f t="shared" si="19"/>
        <v>1.680672268907563</v>
      </c>
      <c r="Y27" s="34">
        <f t="shared" si="19"/>
        <v>5.882352941176471</v>
      </c>
      <c r="Z27" s="34">
        <f t="shared" si="19"/>
        <v>4.2016806722689077</v>
      </c>
      <c r="AA27" s="34">
        <f t="shared" si="19"/>
        <v>0</v>
      </c>
      <c r="AB27" s="34">
        <f t="shared" si="19"/>
        <v>12.605042016806722</v>
      </c>
      <c r="AC27" s="34">
        <f t="shared" si="19"/>
        <v>50</v>
      </c>
      <c r="AD27" s="34">
        <f t="shared" si="19"/>
        <v>0</v>
      </c>
      <c r="AE27" s="31">
        <f t="shared" si="19"/>
        <v>71.428571428571416</v>
      </c>
      <c r="AF27" s="31">
        <f t="shared" si="19"/>
        <v>121.42857142857142</v>
      </c>
    </row>
    <row r="28" spans="2:32" ht="23.1" customHeight="1" x14ac:dyDescent="0.25">
      <c r="B28" s="45" t="s">
        <v>55</v>
      </c>
      <c r="C28" s="50">
        <v>5.882352941176471</v>
      </c>
      <c r="D28" s="50">
        <v>1.680672268907563</v>
      </c>
      <c r="E28" s="50">
        <v>4.2016806722689077</v>
      </c>
      <c r="F28" s="50">
        <v>0</v>
      </c>
      <c r="G28" s="50">
        <v>0</v>
      </c>
      <c r="H28" s="50">
        <v>0</v>
      </c>
      <c r="I28" s="50">
        <v>4.2016806722689077</v>
      </c>
      <c r="J28" s="50">
        <v>0</v>
      </c>
      <c r="K28" s="50">
        <v>0.84033613445378152</v>
      </c>
      <c r="L28" s="50">
        <v>5.0420168067226889</v>
      </c>
      <c r="M28" s="50">
        <v>58.300000000000004</v>
      </c>
      <c r="N28" s="50">
        <v>0</v>
      </c>
      <c r="O28" s="15">
        <f t="shared" si="0"/>
        <v>21.84873949579832</v>
      </c>
      <c r="P28" s="15">
        <f t="shared" si="1"/>
        <v>80.148739495798324</v>
      </c>
      <c r="R28" s="36" t="s">
        <v>152</v>
      </c>
      <c r="S28" s="34">
        <f>SUM(C82:C85)</f>
        <v>17.647058823529413</v>
      </c>
      <c r="T28" s="34">
        <f t="shared" ref="T28:AF28" si="20">SUM(D82:D85)</f>
        <v>9.2436974789915958</v>
      </c>
      <c r="U28" s="34">
        <f t="shared" si="20"/>
        <v>18.487394957983192</v>
      </c>
      <c r="V28" s="34">
        <f t="shared" si="20"/>
        <v>4.2016806722689077</v>
      </c>
      <c r="W28" s="34">
        <f t="shared" si="20"/>
        <v>4.2016806722689077</v>
      </c>
      <c r="X28" s="34">
        <f t="shared" si="20"/>
        <v>2.5210084033613445</v>
      </c>
      <c r="Y28" s="34">
        <f t="shared" si="20"/>
        <v>5.0420168067226889</v>
      </c>
      <c r="Z28" s="34">
        <f t="shared" si="20"/>
        <v>0.84033613445378152</v>
      </c>
      <c r="AA28" s="34">
        <f t="shared" si="20"/>
        <v>0</v>
      </c>
      <c r="AB28" s="34">
        <f t="shared" si="20"/>
        <v>10.084033613445378</v>
      </c>
      <c r="AC28" s="34">
        <f t="shared" si="20"/>
        <v>26</v>
      </c>
      <c r="AD28" s="34">
        <f t="shared" si="20"/>
        <v>0</v>
      </c>
      <c r="AE28" s="31">
        <f t="shared" si="20"/>
        <v>72.268907563025209</v>
      </c>
      <c r="AF28" s="31">
        <f t="shared" si="20"/>
        <v>98.268907563025209</v>
      </c>
    </row>
    <row r="29" spans="2:32" ht="23.1" customHeight="1" x14ac:dyDescent="0.25">
      <c r="B29" s="45" t="s">
        <v>56</v>
      </c>
      <c r="C29" s="50">
        <v>3.3613445378151261</v>
      </c>
      <c r="D29" s="50">
        <v>3.3613445378151261</v>
      </c>
      <c r="E29" s="50">
        <v>6.7226890756302522</v>
      </c>
      <c r="F29" s="50">
        <v>0.84033613445378152</v>
      </c>
      <c r="G29" s="50">
        <v>0</v>
      </c>
      <c r="H29" s="50">
        <v>0.84033613445378152</v>
      </c>
      <c r="I29" s="50">
        <v>4.2016806722689077</v>
      </c>
      <c r="J29" s="50">
        <v>0</v>
      </c>
      <c r="K29" s="50">
        <v>0</v>
      </c>
      <c r="L29" s="50">
        <v>5.0420168067226889</v>
      </c>
      <c r="M29" s="50">
        <v>56.1</v>
      </c>
      <c r="N29" s="50">
        <v>0</v>
      </c>
      <c r="O29" s="15">
        <f t="shared" si="0"/>
        <v>24.369747899159666</v>
      </c>
      <c r="P29" s="15">
        <f t="shared" si="1"/>
        <v>80.469747899159671</v>
      </c>
      <c r="R29" s="36" t="s">
        <v>153</v>
      </c>
      <c r="S29" s="34">
        <f>SUM(C86:C89)</f>
        <v>20.168067226890759</v>
      </c>
      <c r="T29" s="34">
        <f t="shared" ref="T29:AF29" si="21">SUM(D86:D89)</f>
        <v>3.3613445378151261</v>
      </c>
      <c r="U29" s="34">
        <f t="shared" si="21"/>
        <v>10.084033613445378</v>
      </c>
      <c r="V29" s="34">
        <f t="shared" si="21"/>
        <v>0.84033613445378152</v>
      </c>
      <c r="W29" s="34">
        <f t="shared" si="21"/>
        <v>0.84033613445378152</v>
      </c>
      <c r="X29" s="34">
        <f t="shared" si="21"/>
        <v>0</v>
      </c>
      <c r="Y29" s="34">
        <f t="shared" si="21"/>
        <v>7.5630252100840334</v>
      </c>
      <c r="Z29" s="34">
        <f t="shared" si="21"/>
        <v>0</v>
      </c>
      <c r="AA29" s="34">
        <f t="shared" si="21"/>
        <v>0</v>
      </c>
      <c r="AB29" s="34">
        <f t="shared" si="21"/>
        <v>9.2436974789915975</v>
      </c>
      <c r="AC29" s="34">
        <f t="shared" si="21"/>
        <v>3</v>
      </c>
      <c r="AD29" s="34">
        <f t="shared" si="21"/>
        <v>0</v>
      </c>
      <c r="AE29" s="31">
        <f t="shared" si="21"/>
        <v>52.100840336134453</v>
      </c>
      <c r="AF29" s="31">
        <f t="shared" si="21"/>
        <v>55.100840336134453</v>
      </c>
    </row>
    <row r="30" spans="2:32" ht="23.1" customHeight="1" x14ac:dyDescent="0.25">
      <c r="B30" s="45" t="s">
        <v>57</v>
      </c>
      <c r="C30" s="50">
        <v>5.0420168067226889</v>
      </c>
      <c r="D30" s="50">
        <v>2.5210084033613445</v>
      </c>
      <c r="E30" s="50">
        <v>5.0420168067226889</v>
      </c>
      <c r="F30" s="50">
        <v>0.84033613445378152</v>
      </c>
      <c r="G30" s="50">
        <v>0</v>
      </c>
      <c r="H30" s="50">
        <v>0</v>
      </c>
      <c r="I30" s="50">
        <v>5.0420168067226889</v>
      </c>
      <c r="J30" s="50">
        <v>0.84033613445378152</v>
      </c>
      <c r="K30" s="50">
        <v>0</v>
      </c>
      <c r="L30" s="50">
        <v>4.2016806722689077</v>
      </c>
      <c r="M30" s="50">
        <v>56.1</v>
      </c>
      <c r="N30" s="50">
        <v>0</v>
      </c>
      <c r="O30" s="15">
        <f t="shared" si="0"/>
        <v>23.52941176470588</v>
      </c>
      <c r="P30" s="15">
        <f t="shared" si="1"/>
        <v>79.629411764705878</v>
      </c>
      <c r="R30" s="36" t="s">
        <v>154</v>
      </c>
      <c r="S30" s="34">
        <f>SUM(C90:C93)</f>
        <v>30.252100840336134</v>
      </c>
      <c r="T30" s="34">
        <f t="shared" ref="T30:AF30" si="22">SUM(D90:D93)</f>
        <v>7.5630252100840334</v>
      </c>
      <c r="U30" s="34">
        <f t="shared" si="22"/>
        <v>16.806722689075631</v>
      </c>
      <c r="V30" s="34">
        <f t="shared" si="22"/>
        <v>0.84033613445378152</v>
      </c>
      <c r="W30" s="34">
        <f t="shared" si="22"/>
        <v>0</v>
      </c>
      <c r="X30" s="34">
        <f t="shared" si="22"/>
        <v>2.5210084033613445</v>
      </c>
      <c r="Y30" s="34">
        <f t="shared" si="22"/>
        <v>7.5630252100840343</v>
      </c>
      <c r="Z30" s="34">
        <f t="shared" si="22"/>
        <v>1.680672268907563</v>
      </c>
      <c r="AA30" s="34">
        <f t="shared" si="22"/>
        <v>1.680672268907563</v>
      </c>
      <c r="AB30" s="34">
        <f t="shared" si="22"/>
        <v>3.3613445378151261</v>
      </c>
      <c r="AC30" s="34">
        <f t="shared" si="22"/>
        <v>8</v>
      </c>
      <c r="AD30" s="34">
        <f t="shared" si="22"/>
        <v>0</v>
      </c>
      <c r="AE30" s="31">
        <f t="shared" si="22"/>
        <v>72.268907563025209</v>
      </c>
      <c r="AF30" s="31">
        <f t="shared" si="22"/>
        <v>80.268907563025209</v>
      </c>
    </row>
    <row r="31" spans="2:32" ht="23.1" customHeight="1" x14ac:dyDescent="0.25">
      <c r="B31" s="46" t="s">
        <v>58</v>
      </c>
      <c r="C31" s="50">
        <v>2.5210084033613445</v>
      </c>
      <c r="D31" s="50">
        <v>0.84033613445378152</v>
      </c>
      <c r="E31" s="50">
        <v>1.680672268907563</v>
      </c>
      <c r="F31" s="50">
        <v>0</v>
      </c>
      <c r="G31" s="50">
        <v>0.84033613445378152</v>
      </c>
      <c r="H31" s="50">
        <v>0</v>
      </c>
      <c r="I31" s="50">
        <v>2.5210084033613445</v>
      </c>
      <c r="J31" s="50">
        <v>0</v>
      </c>
      <c r="K31" s="50">
        <v>0</v>
      </c>
      <c r="L31" s="50">
        <v>4.2016806722689077</v>
      </c>
      <c r="M31" s="50">
        <v>36.300000000000004</v>
      </c>
      <c r="N31" s="50">
        <v>0</v>
      </c>
      <c r="O31" s="15">
        <f t="shared" si="0"/>
        <v>12.605042016806721</v>
      </c>
      <c r="P31" s="15">
        <f t="shared" si="1"/>
        <v>48.905042016806725</v>
      </c>
      <c r="R31" s="36" t="s">
        <v>155</v>
      </c>
      <c r="S31" s="34">
        <f>SUM(C94:C97)</f>
        <v>29.411764705882351</v>
      </c>
      <c r="T31" s="34">
        <f t="shared" ref="T31:AF31" si="23">SUM(D94:D97)</f>
        <v>11.76470588235294</v>
      </c>
      <c r="U31" s="34">
        <f t="shared" si="23"/>
        <v>24.369747899159663</v>
      </c>
      <c r="V31" s="34">
        <f t="shared" si="23"/>
        <v>2.5210084033613445</v>
      </c>
      <c r="W31" s="34">
        <f t="shared" si="23"/>
        <v>1.680672268907563</v>
      </c>
      <c r="X31" s="34">
        <f t="shared" si="23"/>
        <v>0.84033613445378152</v>
      </c>
      <c r="Y31" s="34">
        <f t="shared" si="23"/>
        <v>6.7226890756302522</v>
      </c>
      <c r="Z31" s="34">
        <f t="shared" si="23"/>
        <v>2.5210084033613445</v>
      </c>
      <c r="AA31" s="34">
        <f t="shared" si="23"/>
        <v>0</v>
      </c>
      <c r="AB31" s="34">
        <f t="shared" si="23"/>
        <v>3.3613445378151261</v>
      </c>
      <c r="AC31" s="34">
        <f t="shared" si="23"/>
        <v>0</v>
      </c>
      <c r="AD31" s="34">
        <f t="shared" si="23"/>
        <v>0</v>
      </c>
      <c r="AE31" s="31">
        <f t="shared" si="23"/>
        <v>83.193277310924373</v>
      </c>
      <c r="AF31" s="31">
        <f t="shared" si="23"/>
        <v>83.193277310924373</v>
      </c>
    </row>
    <row r="32" spans="2:32" ht="23.1" customHeight="1" x14ac:dyDescent="0.25">
      <c r="B32" s="46" t="s">
        <v>59</v>
      </c>
      <c r="C32" s="50">
        <v>3.3613445378151261</v>
      </c>
      <c r="D32" s="50">
        <v>2.5210084033613445</v>
      </c>
      <c r="E32" s="50">
        <v>5.0420168067226889</v>
      </c>
      <c r="F32" s="50">
        <v>0</v>
      </c>
      <c r="G32" s="50">
        <v>0</v>
      </c>
      <c r="H32" s="50">
        <v>0</v>
      </c>
      <c r="I32" s="50">
        <v>3.3613445378151261</v>
      </c>
      <c r="J32" s="50">
        <v>0</v>
      </c>
      <c r="K32" s="50">
        <v>0</v>
      </c>
      <c r="L32" s="50">
        <v>0.84033613445378152</v>
      </c>
      <c r="M32" s="50">
        <v>73.7</v>
      </c>
      <c r="N32" s="50">
        <v>0</v>
      </c>
      <c r="O32" s="15">
        <f t="shared" si="0"/>
        <v>15.126050420168069</v>
      </c>
      <c r="P32" s="15">
        <f t="shared" si="1"/>
        <v>88.826050420168073</v>
      </c>
      <c r="R32" s="33" t="s">
        <v>156</v>
      </c>
      <c r="S32" s="34">
        <f>SUM(C98:C101)</f>
        <v>42.857142857142861</v>
      </c>
      <c r="T32" s="34">
        <f t="shared" ref="T32:AF32" si="24">SUM(D98:D101)</f>
        <v>12.605042016806722</v>
      </c>
      <c r="U32" s="34">
        <f t="shared" si="24"/>
        <v>26.890756302521009</v>
      </c>
      <c r="V32" s="34">
        <f t="shared" si="24"/>
        <v>5.0420168067226889</v>
      </c>
      <c r="W32" s="34">
        <f t="shared" si="24"/>
        <v>0</v>
      </c>
      <c r="X32" s="34">
        <f t="shared" si="24"/>
        <v>2.5210084033613445</v>
      </c>
      <c r="Y32" s="34">
        <f t="shared" si="24"/>
        <v>5.8823529411764701</v>
      </c>
      <c r="Z32" s="34">
        <f t="shared" si="24"/>
        <v>1.680672268907563</v>
      </c>
      <c r="AA32" s="34">
        <f t="shared" si="24"/>
        <v>1.680672268907563</v>
      </c>
      <c r="AB32" s="34">
        <f t="shared" si="24"/>
        <v>5.882352941176471</v>
      </c>
      <c r="AC32" s="34">
        <f t="shared" si="24"/>
        <v>7</v>
      </c>
      <c r="AD32" s="34">
        <f t="shared" si="24"/>
        <v>0</v>
      </c>
      <c r="AE32" s="31">
        <f t="shared" si="24"/>
        <v>105.0420168067227</v>
      </c>
      <c r="AF32" s="31">
        <f t="shared" si="24"/>
        <v>112.0420168067227</v>
      </c>
    </row>
    <row r="33" spans="2:32" ht="23.1" customHeight="1" x14ac:dyDescent="0.25">
      <c r="B33" s="45" t="s">
        <v>60</v>
      </c>
      <c r="C33" s="50">
        <v>5.0420168067226889</v>
      </c>
      <c r="D33" s="50">
        <v>2.5210084033613445</v>
      </c>
      <c r="E33" s="50">
        <v>5.0420168067226889</v>
      </c>
      <c r="F33" s="50">
        <v>1.680672268907563</v>
      </c>
      <c r="G33" s="50">
        <v>0</v>
      </c>
      <c r="H33" s="50">
        <v>1.680672268907563</v>
      </c>
      <c r="I33" s="50">
        <v>0.84033613445378152</v>
      </c>
      <c r="J33" s="50">
        <v>0.84033613445378152</v>
      </c>
      <c r="K33" s="50">
        <v>0</v>
      </c>
      <c r="L33" s="50">
        <v>4.2016806722689077</v>
      </c>
      <c r="M33" s="50">
        <v>38.5</v>
      </c>
      <c r="N33" s="50">
        <v>0</v>
      </c>
      <c r="O33" s="15">
        <f t="shared" si="0"/>
        <v>21.848739495798316</v>
      </c>
      <c r="P33" s="15">
        <f t="shared" si="1"/>
        <v>60.348739495798313</v>
      </c>
      <c r="R33" s="33" t="s">
        <v>157</v>
      </c>
      <c r="S33" s="34">
        <f>SUM(C102:C105)</f>
        <v>36.97478991596639</v>
      </c>
      <c r="T33" s="34">
        <f t="shared" ref="T33:AF33" si="25">SUM(D102:D105)</f>
        <v>26.890756302521012</v>
      </c>
      <c r="U33" s="34">
        <f t="shared" si="25"/>
        <v>55.462184873949582</v>
      </c>
      <c r="V33" s="34">
        <f t="shared" si="25"/>
        <v>7.5630252100840334</v>
      </c>
      <c r="W33" s="34">
        <f t="shared" si="25"/>
        <v>0.84033613445378152</v>
      </c>
      <c r="X33" s="34">
        <f t="shared" si="25"/>
        <v>1.680672268907563</v>
      </c>
      <c r="Y33" s="34">
        <f t="shared" si="25"/>
        <v>7.5630252100840334</v>
      </c>
      <c r="Z33" s="34">
        <f t="shared" si="25"/>
        <v>2.5210084033613445</v>
      </c>
      <c r="AA33" s="34">
        <f t="shared" si="25"/>
        <v>1.680672268907563</v>
      </c>
      <c r="AB33" s="34">
        <f t="shared" si="25"/>
        <v>11.764705882352942</v>
      </c>
      <c r="AC33" s="34">
        <f t="shared" si="25"/>
        <v>26</v>
      </c>
      <c r="AD33" s="34">
        <f t="shared" si="25"/>
        <v>0</v>
      </c>
      <c r="AE33" s="31">
        <f t="shared" si="25"/>
        <v>152.94117647058823</v>
      </c>
      <c r="AF33" s="31">
        <f t="shared" si="25"/>
        <v>178.94117647058823</v>
      </c>
    </row>
    <row r="34" spans="2:32" ht="23.1" customHeight="1" x14ac:dyDescent="0.25">
      <c r="B34" s="46" t="s">
        <v>61</v>
      </c>
      <c r="C34" s="50">
        <v>1.680672268907563</v>
      </c>
      <c r="D34" s="50">
        <v>0</v>
      </c>
      <c r="E34" s="50">
        <v>0.84033613445378152</v>
      </c>
      <c r="F34" s="50">
        <v>0.84033613445378152</v>
      </c>
      <c r="G34" s="50">
        <v>0</v>
      </c>
      <c r="H34" s="50">
        <v>0.84033613445378152</v>
      </c>
      <c r="I34" s="50">
        <v>4.2016806722689077</v>
      </c>
      <c r="J34" s="50">
        <v>0</v>
      </c>
      <c r="K34" s="50">
        <v>0</v>
      </c>
      <c r="L34" s="50">
        <v>8.4033613445378155</v>
      </c>
      <c r="M34" s="50">
        <v>56.1</v>
      </c>
      <c r="N34" s="50">
        <v>0</v>
      </c>
      <c r="O34" s="15">
        <f t="shared" si="0"/>
        <v>16.806722689075631</v>
      </c>
      <c r="P34" s="15">
        <f t="shared" si="1"/>
        <v>72.906722689075636</v>
      </c>
      <c r="R34" s="38" t="s">
        <v>90</v>
      </c>
      <c r="S34" s="39">
        <f t="shared" ref="S34:AF34" si="26">MAX(S10:S12)</f>
        <v>18.487394957983195</v>
      </c>
      <c r="T34" s="39">
        <f t="shared" si="26"/>
        <v>12.605042016806724</v>
      </c>
      <c r="U34" s="39">
        <f t="shared" si="26"/>
        <v>27.731092436974791</v>
      </c>
      <c r="V34" s="39">
        <f t="shared" si="26"/>
        <v>7.5630252100840334</v>
      </c>
      <c r="W34" s="39">
        <f t="shared" si="26"/>
        <v>0.84033613445378152</v>
      </c>
      <c r="X34" s="39">
        <f t="shared" si="26"/>
        <v>2.5210084033613445</v>
      </c>
      <c r="Y34" s="39">
        <f t="shared" si="26"/>
        <v>15.966386554621851</v>
      </c>
      <c r="Z34" s="39">
        <f t="shared" si="26"/>
        <v>0.84033613445378152</v>
      </c>
      <c r="AA34" s="39">
        <f t="shared" si="26"/>
        <v>0</v>
      </c>
      <c r="AB34" s="39">
        <f t="shared" si="26"/>
        <v>2.5210084033613445</v>
      </c>
      <c r="AC34" s="39">
        <f t="shared" si="26"/>
        <v>303.7</v>
      </c>
      <c r="AD34" s="39">
        <f t="shared" si="26"/>
        <v>0</v>
      </c>
      <c r="AE34" s="40">
        <f t="shared" si="26"/>
        <v>78.991596638655466</v>
      </c>
      <c r="AF34" s="40">
        <f t="shared" si="26"/>
        <v>382.69159663865548</v>
      </c>
    </row>
    <row r="35" spans="2:32" ht="23.1" customHeight="1" x14ac:dyDescent="0.25">
      <c r="B35" s="46" t="s">
        <v>62</v>
      </c>
      <c r="C35" s="50">
        <v>3.3613445378151261</v>
      </c>
      <c r="D35" s="50">
        <v>2.5210084033613445</v>
      </c>
      <c r="E35" s="50">
        <v>5.882352941176471</v>
      </c>
      <c r="F35" s="50">
        <v>0</v>
      </c>
      <c r="G35" s="50">
        <v>0</v>
      </c>
      <c r="H35" s="50">
        <v>0</v>
      </c>
      <c r="I35" s="50">
        <v>3.3613445378151261</v>
      </c>
      <c r="J35" s="50">
        <v>0.84033613445378152</v>
      </c>
      <c r="K35" s="50">
        <v>0</v>
      </c>
      <c r="L35" s="50">
        <v>2.5210084033613445</v>
      </c>
      <c r="M35" s="50">
        <v>69.300000000000011</v>
      </c>
      <c r="N35" s="50">
        <v>0</v>
      </c>
      <c r="O35" s="15">
        <f t="shared" si="0"/>
        <v>18.487394957983195</v>
      </c>
      <c r="P35" s="15">
        <f t="shared" si="1"/>
        <v>87.78739495798321</v>
      </c>
      <c r="R35" s="38" t="s">
        <v>91</v>
      </c>
      <c r="S35" s="39">
        <f t="shared" ref="S35:AF35" si="27">MAX(S13:S18)</f>
        <v>19.327731092436977</v>
      </c>
      <c r="T35" s="39">
        <f t="shared" si="27"/>
        <v>10.92436974789916</v>
      </c>
      <c r="U35" s="39">
        <f t="shared" si="27"/>
        <v>23.529411764705884</v>
      </c>
      <c r="V35" s="39">
        <f t="shared" si="27"/>
        <v>5.882352941176471</v>
      </c>
      <c r="W35" s="39">
        <f t="shared" si="27"/>
        <v>0.84033613445378152</v>
      </c>
      <c r="X35" s="39">
        <f t="shared" si="27"/>
        <v>2.5210084033613445</v>
      </c>
      <c r="Y35" s="39">
        <f t="shared" si="27"/>
        <v>15.126050420168067</v>
      </c>
      <c r="Z35" s="39">
        <f t="shared" si="27"/>
        <v>2.5210084033613445</v>
      </c>
      <c r="AA35" s="39">
        <f t="shared" si="27"/>
        <v>0.84033613445378152</v>
      </c>
      <c r="AB35" s="39">
        <f t="shared" si="27"/>
        <v>15.966386554621849</v>
      </c>
      <c r="AC35" s="39">
        <f t="shared" si="27"/>
        <v>269.5</v>
      </c>
      <c r="AD35" s="39">
        <f t="shared" si="27"/>
        <v>0</v>
      </c>
      <c r="AE35" s="40">
        <f t="shared" si="27"/>
        <v>84.033613445378165</v>
      </c>
      <c r="AF35" s="40">
        <f t="shared" si="27"/>
        <v>334.20588235294122</v>
      </c>
    </row>
    <row r="36" spans="2:32" ht="23.1" customHeight="1" x14ac:dyDescent="0.25">
      <c r="B36" s="46" t="s">
        <v>63</v>
      </c>
      <c r="C36" s="50">
        <v>3.3613445378151261</v>
      </c>
      <c r="D36" s="50">
        <v>4.2016806722689077</v>
      </c>
      <c r="E36" s="50">
        <v>8.4033613445378155</v>
      </c>
      <c r="F36" s="50">
        <v>0.84033613445378152</v>
      </c>
      <c r="G36" s="50">
        <v>0</v>
      </c>
      <c r="H36" s="50">
        <v>0</v>
      </c>
      <c r="I36" s="50">
        <v>3.3613445378151261</v>
      </c>
      <c r="J36" s="50">
        <v>0</v>
      </c>
      <c r="K36" s="50">
        <v>0</v>
      </c>
      <c r="L36" s="50">
        <v>3.3613445378151261</v>
      </c>
      <c r="M36" s="50">
        <v>68.2</v>
      </c>
      <c r="N36" s="50">
        <v>0</v>
      </c>
      <c r="O36" s="15">
        <f t="shared" si="0"/>
        <v>23.52941176470588</v>
      </c>
      <c r="P36" s="15">
        <f t="shared" si="1"/>
        <v>91.729411764705887</v>
      </c>
      <c r="R36" s="38" t="s">
        <v>92</v>
      </c>
      <c r="S36" s="39">
        <f t="shared" ref="S36:AF36" si="28">MAX(S19:S21)</f>
        <v>25.210084033613448</v>
      </c>
      <c r="T36" s="39">
        <f t="shared" si="28"/>
        <v>9.2436974789915975</v>
      </c>
      <c r="U36" s="39">
        <f t="shared" si="28"/>
        <v>20.168067226890756</v>
      </c>
      <c r="V36" s="39">
        <f t="shared" si="28"/>
        <v>9.2436974789915958</v>
      </c>
      <c r="W36" s="39">
        <f t="shared" si="28"/>
        <v>1.680672268907563</v>
      </c>
      <c r="X36" s="39">
        <f t="shared" si="28"/>
        <v>4.2016806722689077</v>
      </c>
      <c r="Y36" s="39">
        <f t="shared" si="28"/>
        <v>21.008403361344538</v>
      </c>
      <c r="Z36" s="39">
        <f t="shared" si="28"/>
        <v>2.5210084033613445</v>
      </c>
      <c r="AA36" s="39">
        <f t="shared" si="28"/>
        <v>0.84033613445378152</v>
      </c>
      <c r="AB36" s="39">
        <f t="shared" si="28"/>
        <v>11.76470588235294</v>
      </c>
      <c r="AC36" s="39">
        <f t="shared" si="28"/>
        <v>278.20000000000005</v>
      </c>
      <c r="AD36" s="39">
        <f t="shared" si="28"/>
        <v>0</v>
      </c>
      <c r="AE36" s="40">
        <f t="shared" si="28"/>
        <v>85.714285714285708</v>
      </c>
      <c r="AF36" s="40">
        <f t="shared" si="28"/>
        <v>352.98991596638655</v>
      </c>
    </row>
    <row r="37" spans="2:32" ht="23.1" customHeight="1" x14ac:dyDescent="0.25">
      <c r="B37" s="45" t="s">
        <v>64</v>
      </c>
      <c r="C37" s="50">
        <v>3.3613445378151261</v>
      </c>
      <c r="D37" s="50">
        <v>3.3613445378151261</v>
      </c>
      <c r="E37" s="50">
        <v>7.5630252100840343</v>
      </c>
      <c r="F37" s="50">
        <v>0.84033613445378152</v>
      </c>
      <c r="G37" s="50">
        <v>0</v>
      </c>
      <c r="H37" s="50">
        <v>0.84033613445378152</v>
      </c>
      <c r="I37" s="50">
        <v>4.2016806722689077</v>
      </c>
      <c r="J37" s="50">
        <v>0</v>
      </c>
      <c r="K37" s="50">
        <v>0</v>
      </c>
      <c r="L37" s="50">
        <v>1.680672268907563</v>
      </c>
      <c r="M37" s="50">
        <v>48.400000000000006</v>
      </c>
      <c r="N37" s="50">
        <v>0</v>
      </c>
      <c r="O37" s="15">
        <f t="shared" si="0"/>
        <v>21.848739495798323</v>
      </c>
      <c r="P37" s="15">
        <f t="shared" si="1"/>
        <v>70.248739495798333</v>
      </c>
      <c r="R37" s="37" t="s">
        <v>85</v>
      </c>
      <c r="S37" s="35">
        <f t="shared" ref="S37:AF37" si="29">SUM(S10:S12)</f>
        <v>32.773109243697476</v>
      </c>
      <c r="T37" s="16">
        <f t="shared" si="29"/>
        <v>27.731092436974791</v>
      </c>
      <c r="U37" s="16">
        <f t="shared" si="29"/>
        <v>62.184873949579831</v>
      </c>
      <c r="V37" s="16">
        <f t="shared" si="29"/>
        <v>11.764705882352942</v>
      </c>
      <c r="W37" s="16">
        <f t="shared" si="29"/>
        <v>0.84033613445378152</v>
      </c>
      <c r="X37" s="16">
        <f t="shared" si="29"/>
        <v>5.0420168067226889</v>
      </c>
      <c r="Y37" s="16">
        <f t="shared" si="29"/>
        <v>27.731092436974791</v>
      </c>
      <c r="Z37" s="16">
        <f t="shared" si="29"/>
        <v>0.84033613445378152</v>
      </c>
      <c r="AA37" s="16">
        <f t="shared" si="29"/>
        <v>0</v>
      </c>
      <c r="AB37" s="16">
        <f t="shared" si="29"/>
        <v>3.3613445378151261</v>
      </c>
      <c r="AC37" s="16">
        <f t="shared" si="29"/>
        <v>815.7</v>
      </c>
      <c r="AD37" s="16">
        <f t="shared" si="29"/>
        <v>0</v>
      </c>
      <c r="AE37" s="32">
        <f t="shared" si="29"/>
        <v>172.26890756302521</v>
      </c>
      <c r="AF37" s="32">
        <f t="shared" si="29"/>
        <v>987.96890756302525</v>
      </c>
    </row>
    <row r="38" spans="2:32" ht="23.1" customHeight="1" x14ac:dyDescent="0.25">
      <c r="B38" s="46" t="s">
        <v>65</v>
      </c>
      <c r="C38" s="50">
        <v>0.84033613445378152</v>
      </c>
      <c r="D38" s="50">
        <v>0.84033613445378152</v>
      </c>
      <c r="E38" s="50">
        <v>1.680672268907563</v>
      </c>
      <c r="F38" s="50">
        <v>0.84033613445378152</v>
      </c>
      <c r="G38" s="50">
        <v>0</v>
      </c>
      <c r="H38" s="50">
        <v>1.680672268907563</v>
      </c>
      <c r="I38" s="50">
        <v>5.882352941176471</v>
      </c>
      <c r="J38" s="50">
        <v>0.84033613445378152</v>
      </c>
      <c r="K38" s="50">
        <v>0</v>
      </c>
      <c r="L38" s="50">
        <v>3.3613445378151261</v>
      </c>
      <c r="M38" s="50">
        <v>42.900000000000006</v>
      </c>
      <c r="N38" s="50">
        <v>0</v>
      </c>
      <c r="O38" s="15">
        <f t="shared" si="0"/>
        <v>15.966386554621851</v>
      </c>
      <c r="P38" s="15">
        <f t="shared" si="1"/>
        <v>58.866386554621855</v>
      </c>
      <c r="R38" s="28" t="s">
        <v>86</v>
      </c>
      <c r="S38" s="16">
        <f t="shared" ref="S38:AF38" si="30">SUM(S13:S18)</f>
        <v>93.277310924369758</v>
      </c>
      <c r="T38" s="16">
        <f t="shared" si="30"/>
        <v>51.260504201680675</v>
      </c>
      <c r="U38" s="16">
        <f t="shared" si="30"/>
        <v>110.92436974789916</v>
      </c>
      <c r="V38" s="16">
        <f t="shared" si="30"/>
        <v>22.689075630252102</v>
      </c>
      <c r="W38" s="16">
        <f t="shared" si="30"/>
        <v>0.84033613445378152</v>
      </c>
      <c r="X38" s="16">
        <f t="shared" si="30"/>
        <v>10.92436974789916</v>
      </c>
      <c r="Y38" s="16">
        <f t="shared" si="30"/>
        <v>78.151260504201687</v>
      </c>
      <c r="Z38" s="16">
        <f t="shared" si="30"/>
        <v>6.7226890756302522</v>
      </c>
      <c r="AA38" s="16">
        <f t="shared" si="30"/>
        <v>0.84033613445378152</v>
      </c>
      <c r="AB38" s="16">
        <f t="shared" si="30"/>
        <v>67.226890756302524</v>
      </c>
      <c r="AC38" s="16">
        <f t="shared" si="30"/>
        <v>1304.6000000000001</v>
      </c>
      <c r="AD38" s="16">
        <f t="shared" si="30"/>
        <v>0</v>
      </c>
      <c r="AE38" s="32">
        <f t="shared" si="30"/>
        <v>442.85714285714283</v>
      </c>
      <c r="AF38" s="32">
        <f t="shared" si="30"/>
        <v>1747.457142857143</v>
      </c>
    </row>
    <row r="39" spans="2:32" ht="23.1" customHeight="1" x14ac:dyDescent="0.25">
      <c r="B39" s="46" t="s">
        <v>66</v>
      </c>
      <c r="C39" s="50">
        <v>3.3613445378151261</v>
      </c>
      <c r="D39" s="50">
        <v>1.680672268907563</v>
      </c>
      <c r="E39" s="50">
        <v>3.3613445378151261</v>
      </c>
      <c r="F39" s="50">
        <v>0.84033613445378152</v>
      </c>
      <c r="G39" s="50">
        <v>0</v>
      </c>
      <c r="H39" s="50">
        <v>0</v>
      </c>
      <c r="I39" s="50">
        <v>2.5210084033613445</v>
      </c>
      <c r="J39" s="50">
        <v>0.84033613445378152</v>
      </c>
      <c r="K39" s="50">
        <v>0</v>
      </c>
      <c r="L39" s="50">
        <v>2.5210084033613445</v>
      </c>
      <c r="M39" s="50">
        <v>42.900000000000006</v>
      </c>
      <c r="N39" s="50">
        <v>0</v>
      </c>
      <c r="O39" s="15">
        <f t="shared" si="0"/>
        <v>15.126050420168069</v>
      </c>
      <c r="P39" s="15">
        <f t="shared" si="1"/>
        <v>58.026050420168076</v>
      </c>
      <c r="R39" s="29" t="s">
        <v>87</v>
      </c>
      <c r="S39" s="16">
        <f t="shared" ref="S39:AF39" si="31">SUM(S19:S21)</f>
        <v>62.184873949579838</v>
      </c>
      <c r="T39" s="16">
        <f t="shared" si="31"/>
        <v>23.529411764705884</v>
      </c>
      <c r="U39" s="16">
        <f t="shared" si="31"/>
        <v>51.260504201680675</v>
      </c>
      <c r="V39" s="16">
        <f t="shared" si="31"/>
        <v>20.168067226890756</v>
      </c>
      <c r="W39" s="16">
        <f t="shared" si="31"/>
        <v>2.5210084033613445</v>
      </c>
      <c r="X39" s="16">
        <f t="shared" si="31"/>
        <v>7.5630252100840334</v>
      </c>
      <c r="Y39" s="16">
        <f t="shared" si="31"/>
        <v>44.537815126050418</v>
      </c>
      <c r="Z39" s="16">
        <f t="shared" si="31"/>
        <v>3.3613445378151261</v>
      </c>
      <c r="AA39" s="16">
        <f t="shared" si="31"/>
        <v>0.84033613445378152</v>
      </c>
      <c r="AB39" s="16">
        <f t="shared" si="31"/>
        <v>21.008403361344538</v>
      </c>
      <c r="AC39" s="16">
        <f t="shared" si="31"/>
        <v>791.90000000000009</v>
      </c>
      <c r="AD39" s="16">
        <f t="shared" si="31"/>
        <v>0</v>
      </c>
      <c r="AE39" s="32">
        <f t="shared" si="31"/>
        <v>236.97478991596637</v>
      </c>
      <c r="AF39" s="32">
        <f t="shared" si="31"/>
        <v>1028.8747899159664</v>
      </c>
    </row>
    <row r="40" spans="2:32" ht="23.1" customHeight="1" x14ac:dyDescent="0.25">
      <c r="B40" s="46" t="s">
        <v>67</v>
      </c>
      <c r="C40" s="50">
        <v>5.0420168067226889</v>
      </c>
      <c r="D40" s="50">
        <v>3.3613445378151261</v>
      </c>
      <c r="E40" s="50">
        <v>7.5630252100840343</v>
      </c>
      <c r="F40" s="50">
        <v>1.680672268907563</v>
      </c>
      <c r="G40" s="50">
        <v>0</v>
      </c>
      <c r="H40" s="50">
        <v>0</v>
      </c>
      <c r="I40" s="50">
        <v>0.84033613445378152</v>
      </c>
      <c r="J40" s="50">
        <v>0</v>
      </c>
      <c r="K40" s="50">
        <v>0</v>
      </c>
      <c r="L40" s="50">
        <v>1.680672268907563</v>
      </c>
      <c r="M40" s="50">
        <v>49.500000000000007</v>
      </c>
      <c r="N40" s="50">
        <v>0</v>
      </c>
      <c r="O40" s="15">
        <f t="shared" si="0"/>
        <v>20.168067226890759</v>
      </c>
      <c r="P40" s="15">
        <f t="shared" si="1"/>
        <v>69.66806722689077</v>
      </c>
      <c r="R40" s="5" t="s">
        <v>17</v>
      </c>
      <c r="S40" s="16">
        <f t="shared" ref="S40:AF40" si="32">SUM(S10:S21)</f>
        <v>188.23529411764707</v>
      </c>
      <c r="T40" s="16">
        <f t="shared" si="32"/>
        <v>102.52100840336134</v>
      </c>
      <c r="U40" s="16">
        <f t="shared" si="32"/>
        <v>224.36974789915968</v>
      </c>
      <c r="V40" s="16">
        <f t="shared" si="32"/>
        <v>54.621848739495789</v>
      </c>
      <c r="W40" s="16">
        <f t="shared" si="32"/>
        <v>4.2016806722689077</v>
      </c>
      <c r="X40" s="16">
        <f t="shared" si="32"/>
        <v>23.52941176470588</v>
      </c>
      <c r="Y40" s="16">
        <f t="shared" si="32"/>
        <v>150.42016806722688</v>
      </c>
      <c r="Z40" s="16">
        <f t="shared" si="32"/>
        <v>10.92436974789916</v>
      </c>
      <c r="AA40" s="16">
        <f t="shared" si="32"/>
        <v>1.680672268907563</v>
      </c>
      <c r="AB40" s="16">
        <f t="shared" si="32"/>
        <v>91.596638655462186</v>
      </c>
      <c r="AC40" s="16">
        <f t="shared" si="32"/>
        <v>2912.2</v>
      </c>
      <c r="AD40" s="16">
        <f t="shared" si="32"/>
        <v>0</v>
      </c>
      <c r="AE40" s="32">
        <f t="shared" si="32"/>
        <v>852.1008403361343</v>
      </c>
      <c r="AF40" s="32">
        <f t="shared" si="32"/>
        <v>3764.3008403361346</v>
      </c>
    </row>
    <row r="41" spans="2:32" ht="23.1" customHeight="1" x14ac:dyDescent="0.25">
      <c r="B41" s="45" t="s">
        <v>68</v>
      </c>
      <c r="C41" s="50">
        <v>5.882352941176471</v>
      </c>
      <c r="D41" s="50">
        <v>1.680672268907563</v>
      </c>
      <c r="E41" s="50">
        <v>3.3613445378151261</v>
      </c>
      <c r="F41" s="50">
        <v>0.84033613445378152</v>
      </c>
      <c r="G41" s="50">
        <v>0</v>
      </c>
      <c r="H41" s="50">
        <v>0</v>
      </c>
      <c r="I41" s="50">
        <v>4.2016806722689077</v>
      </c>
      <c r="J41" s="50">
        <v>0.84033613445378152</v>
      </c>
      <c r="K41" s="50">
        <v>0</v>
      </c>
      <c r="L41" s="50">
        <v>2.5210084033613445</v>
      </c>
      <c r="M41" s="50">
        <v>39.6</v>
      </c>
      <c r="N41" s="50">
        <v>0</v>
      </c>
      <c r="O41" s="15">
        <f t="shared" si="0"/>
        <v>19.327731092436977</v>
      </c>
      <c r="P41" s="15">
        <f t="shared" si="1"/>
        <v>58.927731092436979</v>
      </c>
      <c r="R41" s="5" t="s">
        <v>159</v>
      </c>
      <c r="S41" s="16">
        <f>SUM(S10:S33)</f>
        <v>533.61344537815137</v>
      </c>
      <c r="T41" s="16">
        <f t="shared" ref="T41:AF41" si="33">SUM(T10:T33)</f>
        <v>205.88235294117646</v>
      </c>
      <c r="U41" s="16">
        <f t="shared" si="33"/>
        <v>447.89915966386565</v>
      </c>
      <c r="V41" s="16">
        <f t="shared" si="33"/>
        <v>84.033613445378137</v>
      </c>
      <c r="W41" s="16">
        <f t="shared" si="33"/>
        <v>18.487394957983195</v>
      </c>
      <c r="X41" s="16">
        <f t="shared" si="33"/>
        <v>37.815126050420162</v>
      </c>
      <c r="Y41" s="16">
        <f t="shared" si="33"/>
        <v>226.05042016806718</v>
      </c>
      <c r="Z41" s="16">
        <f t="shared" si="33"/>
        <v>31.932773109243698</v>
      </c>
      <c r="AA41" s="16">
        <f t="shared" si="33"/>
        <v>7.5630252100840343</v>
      </c>
      <c r="AB41" s="16">
        <f t="shared" si="33"/>
        <v>193.27731092436971</v>
      </c>
      <c r="AC41" s="16">
        <f t="shared" si="33"/>
        <v>3734.2</v>
      </c>
      <c r="AD41" s="16">
        <f t="shared" si="33"/>
        <v>0</v>
      </c>
      <c r="AE41" s="32">
        <f t="shared" si="33"/>
        <v>1786.5546218487393</v>
      </c>
      <c r="AF41" s="32">
        <f t="shared" si="33"/>
        <v>5520.7546218487405</v>
      </c>
    </row>
    <row r="42" spans="2:32" ht="23.1" customHeight="1" x14ac:dyDescent="0.25">
      <c r="B42" s="46" t="s">
        <v>69</v>
      </c>
      <c r="C42" s="50">
        <v>1.680672268907563</v>
      </c>
      <c r="D42" s="50">
        <v>0.84033613445378152</v>
      </c>
      <c r="E42" s="50">
        <v>2.5210084033613445</v>
      </c>
      <c r="F42" s="50">
        <v>0</v>
      </c>
      <c r="G42" s="50">
        <v>0</v>
      </c>
      <c r="H42" s="50">
        <v>1.680672268907563</v>
      </c>
      <c r="I42" s="50">
        <v>5.0420168067226889</v>
      </c>
      <c r="J42" s="50">
        <v>0</v>
      </c>
      <c r="K42" s="50">
        <v>0</v>
      </c>
      <c r="L42" s="50">
        <v>0</v>
      </c>
      <c r="M42" s="50">
        <v>62.7</v>
      </c>
      <c r="N42" s="50">
        <v>0</v>
      </c>
      <c r="O42" s="15">
        <f t="shared" si="0"/>
        <v>11.764705882352942</v>
      </c>
      <c r="P42" s="15">
        <f t="shared" si="1"/>
        <v>74.464705882352945</v>
      </c>
      <c r="R42" s="5" t="s">
        <v>160</v>
      </c>
      <c r="S42" s="48">
        <f>S41/S40</f>
        <v>2.8348214285714288</v>
      </c>
      <c r="T42" s="48">
        <f t="shared" ref="T42:AF42" si="34">T41/T40</f>
        <v>2.0081967213114753</v>
      </c>
      <c r="U42" s="48">
        <f t="shared" si="34"/>
        <v>1.9962546816479405</v>
      </c>
      <c r="V42" s="48">
        <f t="shared" si="34"/>
        <v>1.5384615384615385</v>
      </c>
      <c r="W42" s="48">
        <f t="shared" si="34"/>
        <v>4.4000000000000004</v>
      </c>
      <c r="X42" s="48">
        <f t="shared" si="34"/>
        <v>1.607142857142857</v>
      </c>
      <c r="Y42" s="48">
        <f t="shared" si="34"/>
        <v>1.5027932960893853</v>
      </c>
      <c r="Z42" s="48">
        <f t="shared" si="34"/>
        <v>2.9230769230769229</v>
      </c>
      <c r="AA42" s="48">
        <f t="shared" si="34"/>
        <v>4.5</v>
      </c>
      <c r="AB42" s="48">
        <f t="shared" si="34"/>
        <v>2.1100917431192658</v>
      </c>
      <c r="AC42" s="48">
        <f t="shared" si="34"/>
        <v>1.2822608337339469</v>
      </c>
      <c r="AD42" s="48" t="e">
        <f t="shared" si="34"/>
        <v>#DIV/0!</v>
      </c>
      <c r="AE42" s="48">
        <f t="shared" si="34"/>
        <v>2.0966469428007892</v>
      </c>
      <c r="AF42" s="48">
        <f t="shared" si="34"/>
        <v>1.466608237761295</v>
      </c>
    </row>
    <row r="43" spans="2:32" ht="23.1" customHeight="1" x14ac:dyDescent="0.25">
      <c r="B43" s="45" t="s">
        <v>70</v>
      </c>
      <c r="C43" s="50">
        <v>5.0420168067226889</v>
      </c>
      <c r="D43" s="50">
        <v>4.2016806722689077</v>
      </c>
      <c r="E43" s="50">
        <v>8.4033613445378155</v>
      </c>
      <c r="F43" s="50">
        <v>0.84033613445378152</v>
      </c>
      <c r="G43" s="50">
        <v>0</v>
      </c>
      <c r="H43" s="50">
        <v>0</v>
      </c>
      <c r="I43" s="50">
        <v>3.3613445378151261</v>
      </c>
      <c r="J43" s="50">
        <v>0.84033613445378152</v>
      </c>
      <c r="K43" s="50">
        <v>0</v>
      </c>
      <c r="L43" s="50">
        <v>2.5210084033613445</v>
      </c>
      <c r="M43" s="50">
        <v>51.7</v>
      </c>
      <c r="N43" s="50">
        <v>0</v>
      </c>
      <c r="O43" s="15">
        <f t="shared" si="0"/>
        <v>25.210084033613448</v>
      </c>
      <c r="P43" s="15">
        <f t="shared" si="1"/>
        <v>76.910084033613458</v>
      </c>
    </row>
    <row r="44" spans="2:32" ht="23.1" customHeight="1" x14ac:dyDescent="0.25">
      <c r="B44" s="47" t="s">
        <v>71</v>
      </c>
      <c r="C44" s="50">
        <v>2.5210084033613445</v>
      </c>
      <c r="D44" s="50">
        <v>0.84033613445378152</v>
      </c>
      <c r="E44" s="50">
        <v>1.680672268907563</v>
      </c>
      <c r="F44" s="50">
        <v>0.84033613445378152</v>
      </c>
      <c r="G44" s="50">
        <v>0</v>
      </c>
      <c r="H44" s="50">
        <v>0</v>
      </c>
      <c r="I44" s="50">
        <v>3.3613445378151261</v>
      </c>
      <c r="J44" s="50">
        <v>0.84033613445378152</v>
      </c>
      <c r="K44" s="50">
        <v>0</v>
      </c>
      <c r="L44" s="50">
        <v>2.5210084033613445</v>
      </c>
      <c r="M44" s="50">
        <v>42.900000000000006</v>
      </c>
      <c r="N44" s="50">
        <v>0</v>
      </c>
      <c r="O44" s="15">
        <f t="shared" si="0"/>
        <v>12.605042016806722</v>
      </c>
      <c r="P44" s="15">
        <f t="shared" si="1"/>
        <v>55.505042016806726</v>
      </c>
    </row>
    <row r="45" spans="2:32" ht="23.1" customHeight="1" x14ac:dyDescent="0.25">
      <c r="B45" s="45" t="s">
        <v>72</v>
      </c>
      <c r="C45" s="50">
        <v>4.2016806722689077</v>
      </c>
      <c r="D45" s="50">
        <v>2.5210084033613445</v>
      </c>
      <c r="E45" s="50">
        <v>5.0420168067226889</v>
      </c>
      <c r="F45" s="50">
        <v>2.5210084033613445</v>
      </c>
      <c r="G45" s="50">
        <v>0</v>
      </c>
      <c r="H45" s="50">
        <v>0</v>
      </c>
      <c r="I45" s="50">
        <v>1.680672268907563</v>
      </c>
      <c r="J45" s="50">
        <v>0</v>
      </c>
      <c r="K45" s="50">
        <v>0</v>
      </c>
      <c r="L45" s="50">
        <v>4.2016806722689077</v>
      </c>
      <c r="M45" s="50">
        <v>40.700000000000003</v>
      </c>
      <c r="N45" s="50">
        <v>0</v>
      </c>
      <c r="O45" s="15">
        <f t="shared" si="0"/>
        <v>20.168067226890756</v>
      </c>
      <c r="P45" s="15">
        <f t="shared" si="1"/>
        <v>60.868067226890759</v>
      </c>
    </row>
    <row r="46" spans="2:32" ht="23.1" customHeight="1" x14ac:dyDescent="0.25">
      <c r="B46" s="46" t="s">
        <v>73</v>
      </c>
      <c r="C46" s="50">
        <v>3.3613445378151261</v>
      </c>
      <c r="D46" s="50">
        <v>0.84033613445378152</v>
      </c>
      <c r="E46" s="50">
        <v>2.5210084033613445</v>
      </c>
      <c r="F46" s="50">
        <v>2.5210084033613445</v>
      </c>
      <c r="G46" s="50">
        <v>0</v>
      </c>
      <c r="H46" s="50">
        <v>0.84033613445378152</v>
      </c>
      <c r="I46" s="50">
        <v>5.0420168067226889</v>
      </c>
      <c r="J46" s="50">
        <v>0</v>
      </c>
      <c r="K46" s="50">
        <v>0</v>
      </c>
      <c r="L46" s="50">
        <v>5.882352941176471</v>
      </c>
      <c r="M46" s="50">
        <v>58.300000000000004</v>
      </c>
      <c r="N46" s="50">
        <v>0</v>
      </c>
      <c r="O46" s="15">
        <f t="shared" si="0"/>
        <v>21.008403361344538</v>
      </c>
      <c r="P46" s="15">
        <f t="shared" si="1"/>
        <v>79.308403361344546</v>
      </c>
      <c r="R46" s="8"/>
      <c r="T46"/>
    </row>
    <row r="47" spans="2:32" ht="23.1" customHeight="1" x14ac:dyDescent="0.25">
      <c r="B47" s="46" t="s">
        <v>74</v>
      </c>
      <c r="C47" s="50">
        <v>5.882352941176471</v>
      </c>
      <c r="D47" s="50">
        <v>0</v>
      </c>
      <c r="E47" s="50">
        <v>0</v>
      </c>
      <c r="F47" s="50">
        <v>0.84033613445378152</v>
      </c>
      <c r="G47" s="50">
        <v>0</v>
      </c>
      <c r="H47" s="50">
        <v>0.84033613445378152</v>
      </c>
      <c r="I47" s="50">
        <v>5.0420168067226889</v>
      </c>
      <c r="J47" s="50">
        <v>1.680672268907563</v>
      </c>
      <c r="K47" s="50">
        <v>0</v>
      </c>
      <c r="L47" s="50">
        <v>0</v>
      </c>
      <c r="M47" s="50">
        <v>55.000000000000007</v>
      </c>
      <c r="N47" s="50">
        <v>0</v>
      </c>
      <c r="O47" s="15">
        <f t="shared" si="0"/>
        <v>14.285714285714285</v>
      </c>
      <c r="P47" s="15">
        <f t="shared" si="1"/>
        <v>69.285714285714292</v>
      </c>
      <c r="R47" s="8"/>
      <c r="T47"/>
    </row>
    <row r="48" spans="2:32" ht="23.1" customHeight="1" x14ac:dyDescent="0.25">
      <c r="B48" s="46" t="s">
        <v>75</v>
      </c>
      <c r="C48" s="50">
        <v>5.0420168067226889</v>
      </c>
      <c r="D48" s="50">
        <v>2.5210084033613445</v>
      </c>
      <c r="E48" s="50">
        <v>5.0420168067226889</v>
      </c>
      <c r="F48" s="50">
        <v>0.84033613445378152</v>
      </c>
      <c r="G48" s="50">
        <v>0</v>
      </c>
      <c r="H48" s="50">
        <v>0</v>
      </c>
      <c r="I48" s="50">
        <v>6.7226890756302522</v>
      </c>
      <c r="J48" s="50">
        <v>0.84033613445378152</v>
      </c>
      <c r="K48" s="50">
        <v>0</v>
      </c>
      <c r="L48" s="50">
        <v>4.2016806722689077</v>
      </c>
      <c r="M48" s="50">
        <v>69.300000000000011</v>
      </c>
      <c r="N48" s="50">
        <v>0</v>
      </c>
      <c r="O48" s="15">
        <f t="shared" si="0"/>
        <v>25.210084033613445</v>
      </c>
      <c r="P48" s="15">
        <f t="shared" si="1"/>
        <v>94.510084033613452</v>
      </c>
      <c r="R48" s="8"/>
      <c r="T48"/>
    </row>
    <row r="49" spans="2:20" ht="23.1" customHeight="1" x14ac:dyDescent="0.25">
      <c r="B49" s="45" t="s">
        <v>76</v>
      </c>
      <c r="C49" s="50">
        <v>10.92436974789916</v>
      </c>
      <c r="D49" s="50">
        <v>2.5210084033613445</v>
      </c>
      <c r="E49" s="50">
        <v>5.0420168067226889</v>
      </c>
      <c r="F49" s="50">
        <v>0</v>
      </c>
      <c r="G49" s="50">
        <v>0</v>
      </c>
      <c r="H49" s="50">
        <v>0.84033613445378152</v>
      </c>
      <c r="I49" s="50">
        <v>4.2016806722689077</v>
      </c>
      <c r="J49" s="50">
        <v>0</v>
      </c>
      <c r="K49" s="50">
        <v>0</v>
      </c>
      <c r="L49" s="50">
        <v>1.680672268907563</v>
      </c>
      <c r="M49" s="50">
        <v>55.000000000000007</v>
      </c>
      <c r="N49" s="50">
        <v>0</v>
      </c>
      <c r="O49" s="15">
        <f t="shared" si="0"/>
        <v>25.210084033613445</v>
      </c>
      <c r="P49" s="15">
        <f t="shared" si="1"/>
        <v>80.210084033613455</v>
      </c>
      <c r="R49" s="8"/>
      <c r="T49"/>
    </row>
    <row r="50" spans="2:20" ht="23.1" customHeight="1" x14ac:dyDescent="0.25">
      <c r="B50" s="46" t="s">
        <v>77</v>
      </c>
      <c r="C50" s="50">
        <v>3.3613445378151261</v>
      </c>
      <c r="D50" s="50">
        <v>4.2016806722689077</v>
      </c>
      <c r="E50" s="50">
        <v>9.2436974789915975</v>
      </c>
      <c r="F50" s="50">
        <v>2.5210084033613445</v>
      </c>
      <c r="G50" s="50">
        <v>0</v>
      </c>
      <c r="H50" s="50">
        <v>0</v>
      </c>
      <c r="I50" s="50">
        <v>1.680672268907563</v>
      </c>
      <c r="J50" s="50">
        <v>0</v>
      </c>
      <c r="K50" s="50">
        <v>0.84033613445378152</v>
      </c>
      <c r="L50" s="50">
        <v>0.84033613445378152</v>
      </c>
      <c r="M50" s="50">
        <v>68.2</v>
      </c>
      <c r="N50" s="50">
        <v>0</v>
      </c>
      <c r="O50" s="15">
        <f t="shared" si="0"/>
        <v>22.689075630252105</v>
      </c>
      <c r="P50" s="15">
        <f t="shared" si="1"/>
        <v>90.889075630252108</v>
      </c>
      <c r="R50" s="8"/>
      <c r="T50"/>
    </row>
    <row r="51" spans="2:20" ht="23.1" customHeight="1" x14ac:dyDescent="0.25">
      <c r="B51" s="46" t="s">
        <v>78</v>
      </c>
      <c r="C51" s="50">
        <v>6.7226890756302522</v>
      </c>
      <c r="D51" s="50">
        <v>1.680672268907563</v>
      </c>
      <c r="E51" s="50">
        <v>4.2016806722689077</v>
      </c>
      <c r="F51" s="50">
        <v>2.5210084033613445</v>
      </c>
      <c r="G51" s="50">
        <v>0.84033613445378152</v>
      </c>
      <c r="H51" s="50">
        <v>0</v>
      </c>
      <c r="I51" s="50">
        <v>2.5210084033613445</v>
      </c>
      <c r="J51" s="50">
        <v>0</v>
      </c>
      <c r="K51" s="50">
        <v>0</v>
      </c>
      <c r="L51" s="50">
        <v>1.680672268907563</v>
      </c>
      <c r="M51" s="50">
        <v>67.100000000000009</v>
      </c>
      <c r="N51" s="50">
        <v>0</v>
      </c>
      <c r="O51" s="15">
        <f t="shared" si="0"/>
        <v>20.168067226890759</v>
      </c>
      <c r="P51" s="15">
        <f t="shared" si="1"/>
        <v>87.268067226890764</v>
      </c>
      <c r="R51" s="8"/>
      <c r="T51"/>
    </row>
    <row r="52" spans="2:20" ht="23.1" customHeight="1" x14ac:dyDescent="0.25">
      <c r="B52" s="46" t="s">
        <v>79</v>
      </c>
      <c r="C52" s="50">
        <v>5.882352941176471</v>
      </c>
      <c r="D52" s="50">
        <v>0.84033613445378152</v>
      </c>
      <c r="E52" s="50">
        <v>1.680672268907563</v>
      </c>
      <c r="F52" s="50">
        <v>0</v>
      </c>
      <c r="G52" s="50">
        <v>0.84033613445378152</v>
      </c>
      <c r="H52" s="50">
        <v>2.5210084033613445</v>
      </c>
      <c r="I52" s="50">
        <v>3.3613445378151261</v>
      </c>
      <c r="J52" s="50">
        <v>0</v>
      </c>
      <c r="K52" s="50">
        <v>0</v>
      </c>
      <c r="L52" s="50">
        <v>1.680672268907563</v>
      </c>
      <c r="M52" s="50">
        <v>72.600000000000009</v>
      </c>
      <c r="N52" s="50">
        <v>0</v>
      </c>
      <c r="O52" s="15">
        <f t="shared" si="0"/>
        <v>16.806722689075631</v>
      </c>
      <c r="P52" s="15">
        <f t="shared" si="1"/>
        <v>89.406722689075636</v>
      </c>
      <c r="R52" s="8"/>
      <c r="T52"/>
    </row>
    <row r="53" spans="2:20" ht="23.1" customHeight="1" x14ac:dyDescent="0.25">
      <c r="B53" s="45" t="s">
        <v>80</v>
      </c>
      <c r="C53" s="50">
        <v>4.2016806722689077</v>
      </c>
      <c r="D53" s="50">
        <v>1.680672268907563</v>
      </c>
      <c r="E53" s="50">
        <v>3.3613445378151261</v>
      </c>
      <c r="F53" s="50">
        <v>1.680672268907563</v>
      </c>
      <c r="G53" s="50">
        <v>0</v>
      </c>
      <c r="H53" s="50">
        <v>1.680672268907563</v>
      </c>
      <c r="I53" s="50">
        <v>4.2016806722689077</v>
      </c>
      <c r="J53" s="50">
        <v>0</v>
      </c>
      <c r="K53" s="50">
        <v>0</v>
      </c>
      <c r="L53" s="50">
        <v>0</v>
      </c>
      <c r="M53" s="50">
        <v>68.2</v>
      </c>
      <c r="N53" s="50">
        <v>0</v>
      </c>
      <c r="O53" s="15">
        <f t="shared" si="0"/>
        <v>16.806722689075631</v>
      </c>
      <c r="P53" s="15">
        <f t="shared" si="1"/>
        <v>85.00672268907563</v>
      </c>
      <c r="R53" s="8"/>
      <c r="T53"/>
    </row>
    <row r="54" spans="2:20" ht="23.1" customHeight="1" x14ac:dyDescent="0.25">
      <c r="B54" s="45" t="s">
        <v>81</v>
      </c>
      <c r="C54" s="50">
        <v>3.3613445378151261</v>
      </c>
      <c r="D54" s="50">
        <v>4.2016806722689077</v>
      </c>
      <c r="E54" s="50">
        <v>8.4033613445378155</v>
      </c>
      <c r="F54" s="50">
        <v>2.5210084033613445</v>
      </c>
      <c r="G54" s="50">
        <v>0.84033613445378152</v>
      </c>
      <c r="H54" s="50">
        <v>0</v>
      </c>
      <c r="I54" s="50">
        <v>2.5210084033613445</v>
      </c>
      <c r="J54" s="50">
        <v>0.84033613445378152</v>
      </c>
      <c r="K54" s="50">
        <v>0</v>
      </c>
      <c r="L54" s="50">
        <v>1.680672268907563</v>
      </c>
      <c r="M54" s="50">
        <v>75.900000000000006</v>
      </c>
      <c r="N54" s="50">
        <v>0</v>
      </c>
      <c r="O54" s="15">
        <f t="shared" si="0"/>
        <v>24.369747899159666</v>
      </c>
      <c r="P54" s="15">
        <f t="shared" si="1"/>
        <v>100.26974789915967</v>
      </c>
      <c r="R54" s="8"/>
      <c r="T54"/>
    </row>
    <row r="55" spans="2:20" ht="23.1" customHeight="1" x14ac:dyDescent="0.25">
      <c r="B55" s="45" t="s">
        <v>82</v>
      </c>
      <c r="C55" s="50">
        <v>5.882352941176471</v>
      </c>
      <c r="D55" s="50">
        <v>1.680672268907563</v>
      </c>
      <c r="E55" s="50">
        <v>3.3613445378151261</v>
      </c>
      <c r="F55" s="50">
        <v>2.5210084033613445</v>
      </c>
      <c r="G55" s="50">
        <v>0</v>
      </c>
      <c r="H55" s="50">
        <v>0</v>
      </c>
      <c r="I55" s="50">
        <v>4.2016806722689077</v>
      </c>
      <c r="J55" s="50">
        <v>0</v>
      </c>
      <c r="K55" s="50">
        <v>0</v>
      </c>
      <c r="L55" s="50">
        <v>0.84033613445378152</v>
      </c>
      <c r="M55" s="50">
        <v>69.300000000000011</v>
      </c>
      <c r="N55" s="50">
        <v>0</v>
      </c>
      <c r="O55" s="15">
        <f t="shared" si="0"/>
        <v>18.487394957983195</v>
      </c>
      <c r="P55" s="15">
        <f t="shared" si="1"/>
        <v>87.78739495798321</v>
      </c>
      <c r="R55" s="8"/>
      <c r="T55"/>
    </row>
    <row r="56" spans="2:20" ht="23.1" customHeight="1" x14ac:dyDescent="0.25">
      <c r="B56" s="45" t="s">
        <v>83</v>
      </c>
      <c r="C56" s="50">
        <v>5.882352941176471</v>
      </c>
      <c r="D56" s="50">
        <v>2.5210084033613445</v>
      </c>
      <c r="E56" s="50">
        <v>5.882352941176471</v>
      </c>
      <c r="F56" s="50">
        <v>1.680672268907563</v>
      </c>
      <c r="G56" s="50">
        <v>0</v>
      </c>
      <c r="H56" s="50">
        <v>0</v>
      </c>
      <c r="I56" s="50">
        <v>3.3613445378151261</v>
      </c>
      <c r="J56" s="50">
        <v>0</v>
      </c>
      <c r="K56" s="50">
        <v>0</v>
      </c>
      <c r="L56" s="50">
        <v>1.680672268907563</v>
      </c>
      <c r="M56" s="50">
        <v>68</v>
      </c>
      <c r="N56" s="50">
        <v>0</v>
      </c>
      <c r="O56" s="15">
        <f t="shared" si="0"/>
        <v>21.008403361344538</v>
      </c>
      <c r="P56" s="15">
        <f t="shared" si="1"/>
        <v>89.008403361344534</v>
      </c>
      <c r="R56" s="8"/>
      <c r="T56"/>
    </row>
    <row r="57" spans="2:20" ht="23.1" customHeight="1" x14ac:dyDescent="0.25">
      <c r="B57" s="45" t="s">
        <v>84</v>
      </c>
      <c r="C57" s="50">
        <v>1.680672268907563</v>
      </c>
      <c r="D57" s="50">
        <v>0.84033613445378152</v>
      </c>
      <c r="E57" s="50">
        <v>2.5210084033613445</v>
      </c>
      <c r="F57" s="50">
        <v>2.5210084033613445</v>
      </c>
      <c r="G57" s="50">
        <v>0</v>
      </c>
      <c r="H57" s="50">
        <v>0.84033613445378152</v>
      </c>
      <c r="I57" s="50">
        <v>1.680672268907563</v>
      </c>
      <c r="J57" s="50">
        <v>0</v>
      </c>
      <c r="K57" s="50">
        <v>0</v>
      </c>
      <c r="L57" s="50">
        <v>0.84033613445378152</v>
      </c>
      <c r="M57" s="50">
        <v>65</v>
      </c>
      <c r="N57" s="50">
        <v>0</v>
      </c>
      <c r="O57" s="15">
        <f t="shared" si="0"/>
        <v>10.92436974789916</v>
      </c>
      <c r="P57" s="15">
        <f t="shared" si="1"/>
        <v>75.924369747899163</v>
      </c>
      <c r="R57" s="8"/>
      <c r="T57"/>
    </row>
    <row r="58" spans="2:20" ht="23.1" customHeight="1" x14ac:dyDescent="0.25">
      <c r="B58" s="45" t="s">
        <v>99</v>
      </c>
      <c r="C58" s="50">
        <v>3.3613445378151261</v>
      </c>
      <c r="D58" s="50">
        <v>0.84033613445378152</v>
      </c>
      <c r="E58" s="50">
        <v>1.680672268907563</v>
      </c>
      <c r="F58" s="50">
        <v>0</v>
      </c>
      <c r="G58" s="50">
        <v>0</v>
      </c>
      <c r="H58" s="50">
        <v>0.84033613445378152</v>
      </c>
      <c r="I58" s="50">
        <v>2.5210084033613445</v>
      </c>
      <c r="J58" s="50">
        <v>0</v>
      </c>
      <c r="K58" s="50">
        <v>0</v>
      </c>
      <c r="L58" s="50">
        <v>1.680672268907563</v>
      </c>
      <c r="M58" s="50">
        <v>55</v>
      </c>
      <c r="N58" s="50">
        <v>0</v>
      </c>
      <c r="O58" s="15">
        <f t="shared" si="0"/>
        <v>10.924369747899158</v>
      </c>
      <c r="P58" s="15">
        <f t="shared" si="1"/>
        <v>65.924369747899163</v>
      </c>
      <c r="R58" s="8"/>
      <c r="T58"/>
    </row>
    <row r="59" spans="2:20" ht="23.1" customHeight="1" x14ac:dyDescent="0.25">
      <c r="B59" s="45" t="s">
        <v>100</v>
      </c>
      <c r="C59" s="50">
        <v>2.5210084033613445</v>
      </c>
      <c r="D59" s="50">
        <v>0</v>
      </c>
      <c r="E59" s="50">
        <v>0</v>
      </c>
      <c r="F59" s="50">
        <v>2.5210084033613445</v>
      </c>
      <c r="G59" s="50">
        <v>0</v>
      </c>
      <c r="H59" s="50">
        <v>0</v>
      </c>
      <c r="I59" s="50">
        <v>0.84033613445378152</v>
      </c>
      <c r="J59" s="50">
        <v>0</v>
      </c>
      <c r="K59" s="50">
        <v>0</v>
      </c>
      <c r="L59" s="50">
        <v>0</v>
      </c>
      <c r="M59" s="50">
        <v>57</v>
      </c>
      <c r="N59" s="50">
        <v>0</v>
      </c>
      <c r="O59" s="15">
        <f t="shared" si="0"/>
        <v>5.8823529411764701</v>
      </c>
      <c r="P59" s="15">
        <f t="shared" si="1"/>
        <v>62.882352941176471</v>
      </c>
      <c r="R59" s="8"/>
      <c r="T59"/>
    </row>
    <row r="60" spans="2:20" ht="23.1" customHeight="1" x14ac:dyDescent="0.25">
      <c r="B60" s="45" t="s">
        <v>101</v>
      </c>
      <c r="C60" s="50">
        <v>5.882352941176471</v>
      </c>
      <c r="D60" s="50">
        <v>0.84033613445378152</v>
      </c>
      <c r="E60" s="50">
        <v>1.680672268907563</v>
      </c>
      <c r="F60" s="50">
        <v>0</v>
      </c>
      <c r="G60" s="50">
        <v>0</v>
      </c>
      <c r="H60" s="50">
        <v>0</v>
      </c>
      <c r="I60" s="50">
        <v>2.5210084033613445</v>
      </c>
      <c r="J60" s="50">
        <v>0</v>
      </c>
      <c r="K60" s="50">
        <v>0</v>
      </c>
      <c r="L60" s="50">
        <v>0.84033613445378152</v>
      </c>
      <c r="M60" s="50">
        <v>42</v>
      </c>
      <c r="N60" s="50">
        <v>0</v>
      </c>
      <c r="O60" s="15">
        <f t="shared" si="0"/>
        <v>11.764705882352942</v>
      </c>
      <c r="P60" s="15">
        <f t="shared" si="1"/>
        <v>53.764705882352942</v>
      </c>
      <c r="R60" s="8"/>
      <c r="T60"/>
    </row>
    <row r="61" spans="2:20" ht="23.1" customHeight="1" x14ac:dyDescent="0.25">
      <c r="B61" s="45" t="s">
        <v>102</v>
      </c>
      <c r="C61" s="50">
        <v>4.2016806722689077</v>
      </c>
      <c r="D61" s="50">
        <v>1.680672268907563</v>
      </c>
      <c r="E61" s="50">
        <v>3.3613445378151261</v>
      </c>
      <c r="F61" s="50">
        <v>0</v>
      </c>
      <c r="G61" s="50">
        <v>0</v>
      </c>
      <c r="H61" s="50">
        <v>0</v>
      </c>
      <c r="I61" s="50">
        <v>1.680672268907563</v>
      </c>
      <c r="J61" s="50">
        <v>0</v>
      </c>
      <c r="K61" s="50">
        <v>0</v>
      </c>
      <c r="L61" s="50">
        <v>0.84033613445378152</v>
      </c>
      <c r="M61" s="50">
        <v>41</v>
      </c>
      <c r="N61" s="50">
        <v>0</v>
      </c>
      <c r="O61" s="15">
        <f t="shared" si="0"/>
        <v>11.764705882352942</v>
      </c>
      <c r="P61" s="15">
        <f t="shared" si="1"/>
        <v>52.764705882352942</v>
      </c>
      <c r="R61" s="8"/>
      <c r="T61"/>
    </row>
    <row r="62" spans="2:20" ht="23.1" customHeight="1" x14ac:dyDescent="0.25">
      <c r="B62" s="45" t="s">
        <v>107</v>
      </c>
      <c r="C62" s="50">
        <v>9.2436974789915975</v>
      </c>
      <c r="D62" s="50">
        <v>0.84033613445378152</v>
      </c>
      <c r="E62" s="50">
        <v>2.5210084033613445</v>
      </c>
      <c r="F62" s="50">
        <v>0</v>
      </c>
      <c r="G62" s="50">
        <v>0</v>
      </c>
      <c r="H62" s="50">
        <v>0</v>
      </c>
      <c r="I62" s="50">
        <v>0.84033613445378152</v>
      </c>
      <c r="J62" s="50">
        <v>0</v>
      </c>
      <c r="K62" s="50">
        <v>0</v>
      </c>
      <c r="L62" s="50">
        <v>0.84033613445378152</v>
      </c>
      <c r="M62" s="50">
        <v>45</v>
      </c>
      <c r="N62" s="50">
        <v>0</v>
      </c>
      <c r="O62" s="15">
        <f t="shared" si="0"/>
        <v>14.285714285714288</v>
      </c>
      <c r="P62" s="15">
        <f t="shared" si="1"/>
        <v>59.285714285714292</v>
      </c>
      <c r="R62" s="8"/>
      <c r="T62"/>
    </row>
    <row r="63" spans="2:20" ht="23.1" customHeight="1" x14ac:dyDescent="0.25">
      <c r="B63" s="45" t="s">
        <v>108</v>
      </c>
      <c r="C63" s="50">
        <v>10.084033613445378</v>
      </c>
      <c r="D63" s="50">
        <v>2.5210084033613445</v>
      </c>
      <c r="E63" s="50">
        <v>5.0420168067226889</v>
      </c>
      <c r="F63" s="50">
        <v>0</v>
      </c>
      <c r="G63" s="50">
        <v>0</v>
      </c>
      <c r="H63" s="50">
        <v>0</v>
      </c>
      <c r="I63" s="50">
        <v>0.84033613445378152</v>
      </c>
      <c r="J63" s="50">
        <v>0</v>
      </c>
      <c r="K63" s="50">
        <v>0</v>
      </c>
      <c r="L63" s="50">
        <v>1.680672268907563</v>
      </c>
      <c r="M63" s="50">
        <v>43</v>
      </c>
      <c r="N63" s="50">
        <v>0</v>
      </c>
      <c r="O63" s="15">
        <f t="shared" si="0"/>
        <v>20.168067226890759</v>
      </c>
      <c r="P63" s="15">
        <f t="shared" si="1"/>
        <v>63.168067226890756</v>
      </c>
      <c r="R63" s="8"/>
      <c r="T63"/>
    </row>
    <row r="64" spans="2:20" ht="23.1" customHeight="1" x14ac:dyDescent="0.25">
      <c r="B64" s="45" t="s">
        <v>109</v>
      </c>
      <c r="C64" s="50">
        <v>15.126050420168069</v>
      </c>
      <c r="D64" s="50">
        <v>0</v>
      </c>
      <c r="E64" s="50">
        <v>0.84033613445378152</v>
      </c>
      <c r="F64" s="50">
        <v>0</v>
      </c>
      <c r="G64" s="50">
        <v>0</v>
      </c>
      <c r="H64" s="50">
        <v>0</v>
      </c>
      <c r="I64" s="50">
        <v>0.84033613445378152</v>
      </c>
      <c r="J64" s="50">
        <v>0</v>
      </c>
      <c r="K64" s="50">
        <v>0</v>
      </c>
      <c r="L64" s="50">
        <v>2.5210084033613445</v>
      </c>
      <c r="M64" s="50">
        <v>41</v>
      </c>
      <c r="N64" s="50">
        <v>0</v>
      </c>
      <c r="O64" s="15">
        <f t="shared" si="0"/>
        <v>19.327731092436977</v>
      </c>
      <c r="P64" s="15">
        <f t="shared" si="1"/>
        <v>60.327731092436977</v>
      </c>
      <c r="R64" s="8"/>
      <c r="T64"/>
    </row>
    <row r="65" spans="2:20" ht="23.1" customHeight="1" x14ac:dyDescent="0.25">
      <c r="B65" s="45" t="s">
        <v>158</v>
      </c>
      <c r="C65" s="50">
        <v>3.3613445378151261</v>
      </c>
      <c r="D65" s="50">
        <v>0.84033613445378152</v>
      </c>
      <c r="E65" s="50">
        <v>2.5210084033613445</v>
      </c>
      <c r="F65" s="50">
        <v>2.5210084033613445</v>
      </c>
      <c r="G65" s="50">
        <v>0.84033613445378152</v>
      </c>
      <c r="H65" s="50">
        <v>0</v>
      </c>
      <c r="I65" s="50">
        <v>2.5210084033613445</v>
      </c>
      <c r="J65" s="50">
        <v>1.680672268907563</v>
      </c>
      <c r="K65" s="50">
        <v>0.84033613445378152</v>
      </c>
      <c r="L65" s="50">
        <v>3.3613445378151261</v>
      </c>
      <c r="M65" s="50">
        <v>42</v>
      </c>
      <c r="N65" s="50">
        <v>0</v>
      </c>
      <c r="O65" s="15">
        <f t="shared" si="0"/>
        <v>18.487394957983192</v>
      </c>
      <c r="P65" s="15">
        <f t="shared" si="1"/>
        <v>60.487394957983192</v>
      </c>
      <c r="R65" s="8"/>
      <c r="T65"/>
    </row>
    <row r="66" spans="2:20" ht="23.1" customHeight="1" x14ac:dyDescent="0.25">
      <c r="B66" s="45" t="s">
        <v>103</v>
      </c>
      <c r="C66" s="50">
        <v>8.4033613445378155</v>
      </c>
      <c r="D66" s="50">
        <v>1.680672268907563</v>
      </c>
      <c r="E66" s="50">
        <v>3.3613445378151261</v>
      </c>
      <c r="F66" s="50">
        <v>0</v>
      </c>
      <c r="G66" s="50">
        <v>0</v>
      </c>
      <c r="H66" s="50">
        <v>0</v>
      </c>
      <c r="I66" s="50">
        <v>3.3613445378151261</v>
      </c>
      <c r="J66" s="50">
        <v>0</v>
      </c>
      <c r="K66" s="50">
        <v>0</v>
      </c>
      <c r="L66" s="50">
        <v>3.3613445378151261</v>
      </c>
      <c r="M66" s="50">
        <v>43</v>
      </c>
      <c r="N66" s="50">
        <v>0</v>
      </c>
      <c r="O66" s="15">
        <f t="shared" si="0"/>
        <v>20.168067226890756</v>
      </c>
      <c r="P66" s="15">
        <f t="shared" si="1"/>
        <v>63.168067226890756</v>
      </c>
      <c r="R66" s="8"/>
      <c r="T66"/>
    </row>
    <row r="67" spans="2:20" ht="23.1" customHeight="1" x14ac:dyDescent="0.25">
      <c r="B67" s="45" t="s">
        <v>104</v>
      </c>
      <c r="C67" s="50">
        <v>5.0420168067226889</v>
      </c>
      <c r="D67" s="50">
        <v>1.680672268907563</v>
      </c>
      <c r="E67" s="50">
        <v>4.2016806722689077</v>
      </c>
      <c r="F67" s="50">
        <v>0</v>
      </c>
      <c r="G67" s="50">
        <v>0.84033613445378152</v>
      </c>
      <c r="H67" s="50">
        <v>0</v>
      </c>
      <c r="I67" s="50">
        <v>0.84033613445378152</v>
      </c>
      <c r="J67" s="50">
        <v>0.84033613445378152</v>
      </c>
      <c r="K67" s="50">
        <v>0</v>
      </c>
      <c r="L67" s="50">
        <v>3.3613445378151261</v>
      </c>
      <c r="M67" s="50">
        <v>43</v>
      </c>
      <c r="N67" s="50">
        <v>0</v>
      </c>
      <c r="O67" s="15">
        <f t="shared" si="0"/>
        <v>16.806722689075631</v>
      </c>
      <c r="P67" s="15">
        <f t="shared" si="1"/>
        <v>59.806722689075627</v>
      </c>
      <c r="R67" s="8"/>
      <c r="T67"/>
    </row>
    <row r="68" spans="2:20" ht="23.1" customHeight="1" x14ac:dyDescent="0.25">
      <c r="B68" s="45" t="s">
        <v>105</v>
      </c>
      <c r="C68" s="50">
        <v>12.605042016806724</v>
      </c>
      <c r="D68" s="50">
        <v>0.84033613445378152</v>
      </c>
      <c r="E68" s="50">
        <v>2.5210084033613445</v>
      </c>
      <c r="F68" s="50">
        <v>0</v>
      </c>
      <c r="G68" s="50">
        <v>0</v>
      </c>
      <c r="H68" s="50">
        <v>0</v>
      </c>
      <c r="I68" s="50">
        <v>0.84033613445378152</v>
      </c>
      <c r="J68" s="50">
        <v>0</v>
      </c>
      <c r="K68" s="50">
        <v>0</v>
      </c>
      <c r="L68" s="50">
        <v>3.3613445378151261</v>
      </c>
      <c r="M68" s="50">
        <v>44</v>
      </c>
      <c r="N68" s="50">
        <v>0</v>
      </c>
      <c r="O68" s="15">
        <f t="shared" si="0"/>
        <v>20.168067226890756</v>
      </c>
      <c r="P68" s="15">
        <f t="shared" si="1"/>
        <v>64.168067226890756</v>
      </c>
      <c r="R68" s="8"/>
      <c r="T68"/>
    </row>
    <row r="69" spans="2:20" ht="23.1" customHeight="1" x14ac:dyDescent="0.25">
      <c r="B69" s="45" t="s">
        <v>106</v>
      </c>
      <c r="C69" s="50">
        <v>13.445378151260504</v>
      </c>
      <c r="D69" s="50">
        <v>0.84033613445378152</v>
      </c>
      <c r="E69" s="50">
        <v>2.5210084033613445</v>
      </c>
      <c r="F69" s="50">
        <v>0</v>
      </c>
      <c r="G69" s="50">
        <v>0</v>
      </c>
      <c r="H69" s="50">
        <v>0</v>
      </c>
      <c r="I69" s="50">
        <v>0</v>
      </c>
      <c r="J69" s="50">
        <v>0.84033613445378152</v>
      </c>
      <c r="K69" s="50">
        <v>0</v>
      </c>
      <c r="L69" s="50">
        <v>3.3613445378151261</v>
      </c>
      <c r="M69" s="50">
        <v>38</v>
      </c>
      <c r="N69" s="50">
        <v>0</v>
      </c>
      <c r="O69" s="15">
        <f t="shared" si="0"/>
        <v>21.008403361344538</v>
      </c>
      <c r="P69" s="15">
        <f t="shared" si="1"/>
        <v>59.008403361344534</v>
      </c>
      <c r="R69" s="8"/>
      <c r="T69"/>
    </row>
    <row r="70" spans="2:20" ht="23.1" customHeight="1" x14ac:dyDescent="0.25">
      <c r="B70" s="45" t="s">
        <v>110</v>
      </c>
      <c r="C70" s="50">
        <v>8.4033613445378155</v>
      </c>
      <c r="D70" s="50">
        <v>1.680672268907563</v>
      </c>
      <c r="E70" s="50">
        <v>3.3613445378151261</v>
      </c>
      <c r="F70" s="50">
        <v>0</v>
      </c>
      <c r="G70" s="50">
        <v>0.84033613445378152</v>
      </c>
      <c r="H70" s="50">
        <v>0</v>
      </c>
      <c r="I70" s="50">
        <v>0.84033613445378152</v>
      </c>
      <c r="J70" s="50">
        <v>0</v>
      </c>
      <c r="K70" s="50">
        <v>0</v>
      </c>
      <c r="L70" s="50">
        <v>3.3613445378151261</v>
      </c>
      <c r="M70" s="50">
        <v>25</v>
      </c>
      <c r="N70" s="50">
        <v>0</v>
      </c>
      <c r="O70" s="15">
        <f t="shared" si="0"/>
        <v>18.487394957983195</v>
      </c>
      <c r="P70" s="15">
        <f t="shared" si="1"/>
        <v>43.487394957983199</v>
      </c>
      <c r="R70" s="8"/>
      <c r="T70"/>
    </row>
    <row r="71" spans="2:20" ht="23.1" customHeight="1" x14ac:dyDescent="0.25">
      <c r="B71" s="45" t="s">
        <v>111</v>
      </c>
      <c r="C71" s="50">
        <v>9.2436974789915975</v>
      </c>
      <c r="D71" s="50">
        <v>1.680672268907563</v>
      </c>
      <c r="E71" s="50">
        <v>3.3613445378151261</v>
      </c>
      <c r="F71" s="50">
        <v>0</v>
      </c>
      <c r="G71" s="50">
        <v>0</v>
      </c>
      <c r="H71" s="50">
        <v>0.84033613445378152</v>
      </c>
      <c r="I71" s="50">
        <v>0.84033613445378152</v>
      </c>
      <c r="J71" s="50">
        <v>1.680672268907563</v>
      </c>
      <c r="K71" s="50">
        <v>0</v>
      </c>
      <c r="L71" s="50">
        <v>8.4033613445378155</v>
      </c>
      <c r="M71" s="50">
        <v>28</v>
      </c>
      <c r="N71" s="50">
        <v>0</v>
      </c>
      <c r="O71" s="15">
        <f t="shared" si="0"/>
        <v>26.050420168067227</v>
      </c>
      <c r="P71" s="15">
        <f t="shared" si="1"/>
        <v>54.050420168067227</v>
      </c>
      <c r="R71" s="8"/>
      <c r="T71"/>
    </row>
    <row r="72" spans="2:20" ht="23.1" customHeight="1" x14ac:dyDescent="0.25">
      <c r="B72" s="45" t="s">
        <v>112</v>
      </c>
      <c r="C72" s="50">
        <v>7.5630252100840343</v>
      </c>
      <c r="D72" s="50">
        <v>1.680672268907563</v>
      </c>
      <c r="E72" s="50">
        <v>4.2016806722689077</v>
      </c>
      <c r="F72" s="50">
        <v>0</v>
      </c>
      <c r="G72" s="50">
        <v>0.84033613445378152</v>
      </c>
      <c r="H72" s="50">
        <v>0</v>
      </c>
      <c r="I72" s="50">
        <v>3.3613445378151261</v>
      </c>
      <c r="J72" s="50">
        <v>1.680672268907563</v>
      </c>
      <c r="K72" s="50">
        <v>0</v>
      </c>
      <c r="L72" s="50">
        <v>3.3613445378151261</v>
      </c>
      <c r="M72" s="50">
        <v>26</v>
      </c>
      <c r="N72" s="50">
        <v>0</v>
      </c>
      <c r="O72" s="15">
        <f t="shared" si="0"/>
        <v>22.689075630252102</v>
      </c>
      <c r="P72" s="15">
        <f t="shared" si="1"/>
        <v>48.689075630252105</v>
      </c>
      <c r="R72" s="8"/>
      <c r="T72"/>
    </row>
    <row r="73" spans="2:20" ht="23.1" customHeight="1" x14ac:dyDescent="0.25">
      <c r="B73" s="45" t="s">
        <v>113</v>
      </c>
      <c r="C73" s="50">
        <v>2.5210084033613445</v>
      </c>
      <c r="D73" s="50">
        <v>3.3613445378151261</v>
      </c>
      <c r="E73" s="50">
        <v>6.7226890756302522</v>
      </c>
      <c r="F73" s="50">
        <v>0</v>
      </c>
      <c r="G73" s="50">
        <v>0.84033613445378152</v>
      </c>
      <c r="H73" s="50">
        <v>0</v>
      </c>
      <c r="I73" s="50">
        <v>0.84033613445378152</v>
      </c>
      <c r="J73" s="50">
        <v>0</v>
      </c>
      <c r="K73" s="50">
        <v>0</v>
      </c>
      <c r="L73" s="50">
        <v>1.680672268907563</v>
      </c>
      <c r="M73" s="50">
        <v>25</v>
      </c>
      <c r="N73" s="50">
        <v>0</v>
      </c>
      <c r="O73" s="15">
        <f t="shared" si="0"/>
        <v>15.966386554621851</v>
      </c>
      <c r="P73" s="15">
        <f t="shared" si="1"/>
        <v>40.966386554621849</v>
      </c>
      <c r="R73" s="8"/>
      <c r="T73"/>
    </row>
    <row r="74" spans="2:20" ht="23.1" customHeight="1" x14ac:dyDescent="0.25">
      <c r="B74" s="45" t="s">
        <v>114</v>
      </c>
      <c r="C74" s="50">
        <v>5.882352941176471</v>
      </c>
      <c r="D74" s="50">
        <v>0.84033613445378152</v>
      </c>
      <c r="E74" s="50">
        <v>1.680672268907563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0.84033613445378152</v>
      </c>
      <c r="M74" s="50">
        <v>21</v>
      </c>
      <c r="N74" s="50">
        <v>0</v>
      </c>
      <c r="O74" s="15">
        <f t="shared" ref="O74:O105" si="35">SUM(C74:L74,N74)</f>
        <v>9.2436974789915975</v>
      </c>
      <c r="P74" s="15">
        <f t="shared" ref="P74:P105" si="36">SUM(C74:N74)</f>
        <v>30.243697478991599</v>
      </c>
      <c r="R74" s="8"/>
      <c r="T74"/>
    </row>
    <row r="75" spans="2:20" ht="23.1" customHeight="1" x14ac:dyDescent="0.25">
      <c r="B75" s="45" t="s">
        <v>115</v>
      </c>
      <c r="C75" s="50">
        <v>6.7226890756302522</v>
      </c>
      <c r="D75" s="50">
        <v>1.680672268907563</v>
      </c>
      <c r="E75" s="50">
        <v>3.3613445378151261</v>
      </c>
      <c r="F75" s="50">
        <v>0</v>
      </c>
      <c r="G75" s="50">
        <v>0</v>
      </c>
      <c r="H75" s="50">
        <v>0.84033613445378152</v>
      </c>
      <c r="I75" s="50">
        <v>2.5210084033613445</v>
      </c>
      <c r="J75" s="50">
        <v>0</v>
      </c>
      <c r="K75" s="50">
        <v>0</v>
      </c>
      <c r="L75" s="50">
        <v>0</v>
      </c>
      <c r="M75" s="50">
        <v>15</v>
      </c>
      <c r="N75" s="50">
        <v>0</v>
      </c>
      <c r="O75" s="15">
        <f t="shared" si="35"/>
        <v>15.126050420168069</v>
      </c>
      <c r="P75" s="15">
        <f t="shared" si="36"/>
        <v>30.12605042016807</v>
      </c>
      <c r="R75" s="8"/>
      <c r="T75"/>
    </row>
    <row r="76" spans="2:20" ht="23.1" customHeight="1" x14ac:dyDescent="0.25">
      <c r="B76" s="45" t="s">
        <v>116</v>
      </c>
      <c r="C76" s="50">
        <v>4.2016806722689077</v>
      </c>
      <c r="D76" s="50">
        <v>1.680672268907563</v>
      </c>
      <c r="E76" s="50">
        <v>4.2016806722689077</v>
      </c>
      <c r="F76" s="50">
        <v>0</v>
      </c>
      <c r="G76" s="50">
        <v>0</v>
      </c>
      <c r="H76" s="50">
        <v>0</v>
      </c>
      <c r="I76" s="50">
        <v>0.84033613445378152</v>
      </c>
      <c r="J76" s="50">
        <v>0</v>
      </c>
      <c r="K76" s="50">
        <v>0</v>
      </c>
      <c r="L76" s="50">
        <v>0</v>
      </c>
      <c r="M76" s="50">
        <v>13</v>
      </c>
      <c r="N76" s="50">
        <v>0</v>
      </c>
      <c r="O76" s="15">
        <f t="shared" si="35"/>
        <v>10.92436974789916</v>
      </c>
      <c r="P76" s="15">
        <f t="shared" si="36"/>
        <v>23.92436974789916</v>
      </c>
      <c r="R76" s="8"/>
      <c r="T76"/>
    </row>
    <row r="77" spans="2:20" ht="23.1" customHeight="1" x14ac:dyDescent="0.25">
      <c r="B77" s="45" t="s">
        <v>117</v>
      </c>
      <c r="C77" s="50">
        <v>4.2016806722689077</v>
      </c>
      <c r="D77" s="50">
        <v>1.680672268907563</v>
      </c>
      <c r="E77" s="50">
        <v>3.3613445378151261</v>
      </c>
      <c r="F77" s="50">
        <v>0</v>
      </c>
      <c r="G77" s="50">
        <v>0.84033613445378152</v>
      </c>
      <c r="H77" s="50">
        <v>0</v>
      </c>
      <c r="I77" s="50">
        <v>2.5210084033613445</v>
      </c>
      <c r="J77" s="50">
        <v>0.84033613445378152</v>
      </c>
      <c r="K77" s="50">
        <v>0</v>
      </c>
      <c r="L77" s="50">
        <v>2.5210084033613445</v>
      </c>
      <c r="M77" s="50">
        <v>15</v>
      </c>
      <c r="N77" s="50">
        <v>0</v>
      </c>
      <c r="O77" s="15">
        <f t="shared" si="35"/>
        <v>15.966386554621851</v>
      </c>
      <c r="P77" s="15">
        <f t="shared" si="36"/>
        <v>30.966386554621849</v>
      </c>
      <c r="R77" s="8"/>
      <c r="T77"/>
    </row>
    <row r="78" spans="2:20" ht="23.1" customHeight="1" x14ac:dyDescent="0.25">
      <c r="B78" s="46" t="s">
        <v>118</v>
      </c>
      <c r="C78" s="50">
        <v>6.7226890756302522</v>
      </c>
      <c r="D78" s="50">
        <v>1.680672268907563</v>
      </c>
      <c r="E78" s="50">
        <v>3.3613445378151261</v>
      </c>
      <c r="F78" s="50">
        <v>0</v>
      </c>
      <c r="G78" s="50">
        <v>0.84033613445378152</v>
      </c>
      <c r="H78" s="50">
        <v>0.84033613445378152</v>
      </c>
      <c r="I78" s="50">
        <v>1.680672268907563</v>
      </c>
      <c r="J78" s="50">
        <v>0.84033613445378152</v>
      </c>
      <c r="K78" s="50">
        <v>0</v>
      </c>
      <c r="L78" s="50">
        <v>2.5210084033613445</v>
      </c>
      <c r="M78" s="50">
        <v>14</v>
      </c>
      <c r="N78" s="50">
        <v>0</v>
      </c>
      <c r="O78" s="15">
        <f t="shared" si="35"/>
        <v>18.487394957983195</v>
      </c>
      <c r="P78" s="15">
        <f t="shared" si="36"/>
        <v>32.487394957983199</v>
      </c>
      <c r="R78" s="8"/>
      <c r="T78"/>
    </row>
    <row r="79" spans="2:20" ht="23.1" customHeight="1" x14ac:dyDescent="0.25">
      <c r="B79" s="45" t="s">
        <v>119</v>
      </c>
      <c r="C79" s="50">
        <v>6.7226890756302522</v>
      </c>
      <c r="D79" s="50">
        <v>0.84033613445378152</v>
      </c>
      <c r="E79" s="50">
        <v>1.680672268907563</v>
      </c>
      <c r="F79" s="50">
        <v>0</v>
      </c>
      <c r="G79" s="50">
        <v>0.84033613445378152</v>
      </c>
      <c r="H79" s="50">
        <v>0.84033613445378152</v>
      </c>
      <c r="I79" s="50">
        <v>0.84033613445378152</v>
      </c>
      <c r="J79" s="50">
        <v>1.680672268907563</v>
      </c>
      <c r="K79" s="50">
        <v>0</v>
      </c>
      <c r="L79" s="50">
        <v>4.2016806722689077</v>
      </c>
      <c r="M79" s="50">
        <v>11</v>
      </c>
      <c r="N79" s="50">
        <v>0</v>
      </c>
      <c r="O79" s="15">
        <f t="shared" si="35"/>
        <v>17.647058823529413</v>
      </c>
      <c r="P79" s="15">
        <f t="shared" si="36"/>
        <v>28.647058823529413</v>
      </c>
      <c r="R79" s="8"/>
      <c r="T79"/>
    </row>
    <row r="80" spans="2:20" ht="23.1" customHeight="1" x14ac:dyDescent="0.25">
      <c r="B80" s="47" t="s">
        <v>120</v>
      </c>
      <c r="C80" s="50">
        <v>8.4033613445378155</v>
      </c>
      <c r="D80" s="50">
        <v>1.680672268907563</v>
      </c>
      <c r="E80" s="50">
        <v>4.2016806722689077</v>
      </c>
      <c r="F80" s="50">
        <v>2.5210084033613445</v>
      </c>
      <c r="G80" s="50">
        <v>0</v>
      </c>
      <c r="H80" s="50">
        <v>0</v>
      </c>
      <c r="I80" s="50">
        <v>0.84033613445378152</v>
      </c>
      <c r="J80" s="50">
        <v>0</v>
      </c>
      <c r="K80" s="50">
        <v>0</v>
      </c>
      <c r="L80" s="50">
        <v>3.3613445378151261</v>
      </c>
      <c r="M80" s="50">
        <v>10</v>
      </c>
      <c r="N80" s="50">
        <v>0</v>
      </c>
      <c r="O80" s="15">
        <f t="shared" si="35"/>
        <v>21.008403361344534</v>
      </c>
      <c r="P80" s="15">
        <f t="shared" si="36"/>
        <v>31.008403361344534</v>
      </c>
      <c r="R80" s="8"/>
      <c r="T80"/>
    </row>
    <row r="81" spans="2:20" ht="23.1" customHeight="1" x14ac:dyDescent="0.25">
      <c r="B81" s="45" t="s">
        <v>121</v>
      </c>
      <c r="C81" s="50">
        <v>4.2016806722689077</v>
      </c>
      <c r="D81" s="50">
        <v>0.84033613445378152</v>
      </c>
      <c r="E81" s="50">
        <v>1.680672268907563</v>
      </c>
      <c r="F81" s="50">
        <v>0.84033613445378152</v>
      </c>
      <c r="G81" s="50">
        <v>0</v>
      </c>
      <c r="H81" s="50">
        <v>0</v>
      </c>
      <c r="I81" s="50">
        <v>2.5210084033613445</v>
      </c>
      <c r="J81" s="50">
        <v>1.680672268907563</v>
      </c>
      <c r="K81" s="50">
        <v>0</v>
      </c>
      <c r="L81" s="50">
        <v>2.5210084033613445</v>
      </c>
      <c r="M81" s="50">
        <v>15</v>
      </c>
      <c r="N81" s="50">
        <v>0</v>
      </c>
      <c r="O81" s="15">
        <f t="shared" si="35"/>
        <v>14.285714285714285</v>
      </c>
      <c r="P81" s="15">
        <f t="shared" si="36"/>
        <v>29.285714285714285</v>
      </c>
      <c r="R81" s="8"/>
      <c r="T81"/>
    </row>
    <row r="82" spans="2:20" ht="23.1" customHeight="1" x14ac:dyDescent="0.25">
      <c r="B82" s="46" t="s">
        <v>122</v>
      </c>
      <c r="C82" s="50">
        <v>5.0420168067226889</v>
      </c>
      <c r="D82" s="50">
        <v>2.5210084033613445</v>
      </c>
      <c r="E82" s="50">
        <v>5.0420168067226889</v>
      </c>
      <c r="F82" s="50">
        <v>0</v>
      </c>
      <c r="G82" s="50">
        <v>0.84033613445378152</v>
      </c>
      <c r="H82" s="50">
        <v>0</v>
      </c>
      <c r="I82" s="50">
        <v>2.5210084033613445</v>
      </c>
      <c r="J82" s="50">
        <v>0.84033613445378152</v>
      </c>
      <c r="K82" s="50">
        <v>0</v>
      </c>
      <c r="L82" s="50">
        <v>3.3613445378151261</v>
      </c>
      <c r="M82" s="50">
        <v>10</v>
      </c>
      <c r="N82" s="50">
        <v>0</v>
      </c>
      <c r="O82" s="15">
        <f t="shared" si="35"/>
        <v>20.168067226890756</v>
      </c>
      <c r="P82" s="15">
        <f t="shared" si="36"/>
        <v>30.168067226890756</v>
      </c>
      <c r="R82" s="8"/>
      <c r="T82"/>
    </row>
    <row r="83" spans="2:20" ht="23.1" customHeight="1" x14ac:dyDescent="0.25">
      <c r="B83" s="45" t="s">
        <v>123</v>
      </c>
      <c r="C83" s="50">
        <v>4.2016806722689077</v>
      </c>
      <c r="D83" s="50">
        <v>2.5210084033613445</v>
      </c>
      <c r="E83" s="50">
        <v>5.0420168067226889</v>
      </c>
      <c r="F83" s="50">
        <v>0</v>
      </c>
      <c r="G83" s="50">
        <v>2.5210084033613445</v>
      </c>
      <c r="H83" s="50">
        <v>0</v>
      </c>
      <c r="I83" s="50">
        <v>0</v>
      </c>
      <c r="J83" s="50">
        <v>0</v>
      </c>
      <c r="K83" s="50">
        <v>0</v>
      </c>
      <c r="L83" s="50">
        <v>1.680672268907563</v>
      </c>
      <c r="M83" s="50">
        <v>9</v>
      </c>
      <c r="N83" s="50">
        <v>0</v>
      </c>
      <c r="O83" s="15">
        <f t="shared" si="35"/>
        <v>15.966386554621849</v>
      </c>
      <c r="P83" s="15">
        <f t="shared" si="36"/>
        <v>24.966386554621849</v>
      </c>
      <c r="R83" s="8"/>
      <c r="T83"/>
    </row>
    <row r="84" spans="2:20" ht="23.1" customHeight="1" x14ac:dyDescent="0.25">
      <c r="B84" s="47" t="s">
        <v>124</v>
      </c>
      <c r="C84" s="50">
        <v>3.3613445378151261</v>
      </c>
      <c r="D84" s="50">
        <v>1.680672268907563</v>
      </c>
      <c r="E84" s="50">
        <v>3.3613445378151261</v>
      </c>
      <c r="F84" s="50">
        <v>2.5210084033613445</v>
      </c>
      <c r="G84" s="50">
        <v>0.84033613445378152</v>
      </c>
      <c r="H84" s="50">
        <v>2.5210084033613445</v>
      </c>
      <c r="I84" s="50">
        <v>0.84033613445378152</v>
      </c>
      <c r="J84" s="50">
        <v>0</v>
      </c>
      <c r="K84" s="50">
        <v>0</v>
      </c>
      <c r="L84" s="50">
        <v>2.5210084033613445</v>
      </c>
      <c r="M84" s="50">
        <v>5</v>
      </c>
      <c r="N84" s="50">
        <v>0</v>
      </c>
      <c r="O84" s="15">
        <f t="shared" si="35"/>
        <v>17.647058823529413</v>
      </c>
      <c r="P84" s="15">
        <f t="shared" si="36"/>
        <v>22.647058823529413</v>
      </c>
      <c r="R84" s="8"/>
      <c r="T84"/>
    </row>
    <row r="85" spans="2:20" ht="23.1" customHeight="1" x14ac:dyDescent="0.25">
      <c r="B85" s="45" t="s">
        <v>125</v>
      </c>
      <c r="C85" s="50">
        <v>5.0420168067226889</v>
      </c>
      <c r="D85" s="50">
        <v>2.5210084033613445</v>
      </c>
      <c r="E85" s="50">
        <v>5.0420168067226889</v>
      </c>
      <c r="F85" s="50">
        <v>1.680672268907563</v>
      </c>
      <c r="G85" s="50">
        <v>0</v>
      </c>
      <c r="H85" s="50">
        <v>0</v>
      </c>
      <c r="I85" s="50">
        <v>1.680672268907563</v>
      </c>
      <c r="J85" s="50">
        <v>0</v>
      </c>
      <c r="K85" s="50">
        <v>0</v>
      </c>
      <c r="L85" s="50">
        <v>2.5210084033613445</v>
      </c>
      <c r="M85" s="50">
        <v>2</v>
      </c>
      <c r="N85" s="50">
        <v>0</v>
      </c>
      <c r="O85" s="15">
        <f t="shared" si="35"/>
        <v>18.487394957983192</v>
      </c>
      <c r="P85" s="15">
        <f t="shared" si="36"/>
        <v>20.487394957983192</v>
      </c>
      <c r="R85" s="8"/>
      <c r="T85"/>
    </row>
    <row r="86" spans="2:20" ht="23.1" customHeight="1" x14ac:dyDescent="0.25">
      <c r="B86" s="46" t="s">
        <v>126</v>
      </c>
      <c r="C86" s="50">
        <v>4.2016806722689077</v>
      </c>
      <c r="D86" s="50">
        <v>0</v>
      </c>
      <c r="E86" s="50">
        <v>0.84033613445378152</v>
      </c>
      <c r="F86" s="50">
        <v>0</v>
      </c>
      <c r="G86" s="50">
        <v>0</v>
      </c>
      <c r="H86" s="50">
        <v>0</v>
      </c>
      <c r="I86" s="50">
        <v>4.2016806722689077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9.2436974789915958</v>
      </c>
      <c r="P86" s="15">
        <f t="shared" si="36"/>
        <v>9.2436974789915958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0.84033613445378152</v>
      </c>
      <c r="F87" s="50">
        <v>0.84033613445378152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1.680672268907563</v>
      </c>
      <c r="P87" s="15">
        <f t="shared" si="36"/>
        <v>2.6806722689075633</v>
      </c>
      <c r="R87" s="8"/>
      <c r="T87"/>
    </row>
    <row r="88" spans="2:20" ht="23.1" customHeight="1" x14ac:dyDescent="0.25">
      <c r="B88" s="47" t="s">
        <v>128</v>
      </c>
      <c r="C88" s="50">
        <v>9.2436974789915975</v>
      </c>
      <c r="D88" s="50">
        <v>2.5210084033613445</v>
      </c>
      <c r="E88" s="50">
        <v>5.882352941176471</v>
      </c>
      <c r="F88" s="50">
        <v>0</v>
      </c>
      <c r="G88" s="50">
        <v>0.84033613445378152</v>
      </c>
      <c r="H88" s="50">
        <v>0</v>
      </c>
      <c r="I88" s="50">
        <v>0.84033613445378152</v>
      </c>
      <c r="J88" s="50">
        <v>0</v>
      </c>
      <c r="K88" s="50">
        <v>0</v>
      </c>
      <c r="L88" s="50">
        <v>0.84033613445378152</v>
      </c>
      <c r="M88" s="50">
        <v>2</v>
      </c>
      <c r="N88" s="50">
        <v>0</v>
      </c>
      <c r="O88" s="15">
        <f t="shared" si="35"/>
        <v>20.168067226890759</v>
      </c>
      <c r="P88" s="15">
        <f t="shared" si="36"/>
        <v>22.168067226890759</v>
      </c>
      <c r="R88" s="8"/>
      <c r="T88"/>
    </row>
    <row r="89" spans="2:20" ht="23.1" customHeight="1" x14ac:dyDescent="0.25">
      <c r="B89" s="45" t="s">
        <v>129</v>
      </c>
      <c r="C89" s="50">
        <v>6.7226890756302522</v>
      </c>
      <c r="D89" s="50">
        <v>0.84033613445378152</v>
      </c>
      <c r="E89" s="50">
        <v>2.5210084033613445</v>
      </c>
      <c r="F89" s="50">
        <v>0</v>
      </c>
      <c r="G89" s="50">
        <v>0</v>
      </c>
      <c r="H89" s="50">
        <v>0</v>
      </c>
      <c r="I89" s="50">
        <v>2.5210084033613445</v>
      </c>
      <c r="J89" s="50">
        <v>0</v>
      </c>
      <c r="K89" s="50">
        <v>0</v>
      </c>
      <c r="L89" s="50">
        <v>8.4033613445378155</v>
      </c>
      <c r="M89" s="50">
        <v>0</v>
      </c>
      <c r="N89" s="50">
        <v>0</v>
      </c>
      <c r="O89" s="15">
        <f t="shared" si="35"/>
        <v>21.008403361344538</v>
      </c>
      <c r="P89" s="15">
        <f t="shared" si="36"/>
        <v>21.008403361344538</v>
      </c>
      <c r="R89" s="8"/>
      <c r="T89"/>
    </row>
    <row r="90" spans="2:20" ht="23.1" customHeight="1" x14ac:dyDescent="0.25">
      <c r="B90" s="46" t="s">
        <v>130</v>
      </c>
      <c r="C90" s="50">
        <v>4.2016806722689077</v>
      </c>
      <c r="D90" s="50">
        <v>1.680672268907563</v>
      </c>
      <c r="E90" s="50">
        <v>4.2016806722689077</v>
      </c>
      <c r="F90" s="50">
        <v>0</v>
      </c>
      <c r="G90" s="50">
        <v>0</v>
      </c>
      <c r="H90" s="50">
        <v>0.84033613445378152</v>
      </c>
      <c r="I90" s="50">
        <v>1.680672268907563</v>
      </c>
      <c r="J90" s="50">
        <v>0</v>
      </c>
      <c r="K90" s="50">
        <v>0.84033613445378152</v>
      </c>
      <c r="L90" s="50">
        <v>2.5210084033613445</v>
      </c>
      <c r="M90" s="50">
        <v>3</v>
      </c>
      <c r="N90" s="50">
        <v>0</v>
      </c>
      <c r="O90" s="15">
        <f t="shared" si="35"/>
        <v>15.966386554621849</v>
      </c>
      <c r="P90" s="15">
        <f t="shared" si="36"/>
        <v>18.966386554621849</v>
      </c>
      <c r="R90" s="8"/>
      <c r="T90"/>
    </row>
    <row r="91" spans="2:20" ht="23.1" customHeight="1" x14ac:dyDescent="0.25">
      <c r="B91" s="45" t="s">
        <v>131</v>
      </c>
      <c r="C91" s="50">
        <v>4.2016806722689077</v>
      </c>
      <c r="D91" s="50">
        <v>1.680672268907563</v>
      </c>
      <c r="E91" s="50">
        <v>3.3613445378151261</v>
      </c>
      <c r="F91" s="50">
        <v>0.84033613445378152</v>
      </c>
      <c r="G91" s="50">
        <v>0</v>
      </c>
      <c r="H91" s="50">
        <v>0.84033613445378152</v>
      </c>
      <c r="I91" s="50">
        <v>0.84033613445378152</v>
      </c>
      <c r="J91" s="50">
        <v>0.84033613445378152</v>
      </c>
      <c r="K91" s="50">
        <v>0</v>
      </c>
      <c r="L91" s="50">
        <v>0.84033613445378152</v>
      </c>
      <c r="M91" s="50">
        <v>3</v>
      </c>
      <c r="N91" s="50">
        <v>0</v>
      </c>
      <c r="O91" s="15">
        <f t="shared" si="35"/>
        <v>13.445378151260508</v>
      </c>
      <c r="P91" s="15">
        <f t="shared" si="36"/>
        <v>16.445378151260506</v>
      </c>
      <c r="R91" s="8"/>
      <c r="T91"/>
    </row>
    <row r="92" spans="2:20" ht="23.1" customHeight="1" x14ac:dyDescent="0.25">
      <c r="B92" s="47" t="s">
        <v>132</v>
      </c>
      <c r="C92" s="50">
        <v>8.4033613445378155</v>
      </c>
      <c r="D92" s="50">
        <v>1.680672268907563</v>
      </c>
      <c r="E92" s="50">
        <v>4.2016806722689077</v>
      </c>
      <c r="F92" s="50">
        <v>0</v>
      </c>
      <c r="G92" s="50">
        <v>0</v>
      </c>
      <c r="H92" s="50">
        <v>0.84033613445378152</v>
      </c>
      <c r="I92" s="50">
        <v>3.3613445378151261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18.487394957983192</v>
      </c>
      <c r="P92" s="15">
        <f t="shared" si="36"/>
        <v>20.487394957983192</v>
      </c>
      <c r="R92" s="8"/>
      <c r="T92"/>
    </row>
    <row r="93" spans="2:20" ht="23.1" customHeight="1" x14ac:dyDescent="0.25">
      <c r="B93" s="45" t="s">
        <v>133</v>
      </c>
      <c r="C93" s="50">
        <v>13.445378151260504</v>
      </c>
      <c r="D93" s="50">
        <v>2.5210084033613445</v>
      </c>
      <c r="E93" s="50">
        <v>5.0420168067226889</v>
      </c>
      <c r="F93" s="50">
        <v>0</v>
      </c>
      <c r="G93" s="50">
        <v>0</v>
      </c>
      <c r="H93" s="50">
        <v>0</v>
      </c>
      <c r="I93" s="50">
        <v>1.680672268907563</v>
      </c>
      <c r="J93" s="50">
        <v>0.84033613445378152</v>
      </c>
      <c r="K93" s="50">
        <v>0.84033613445378152</v>
      </c>
      <c r="L93" s="50">
        <v>0</v>
      </c>
      <c r="M93" s="50">
        <v>0</v>
      </c>
      <c r="N93" s="50">
        <v>0</v>
      </c>
      <c r="O93" s="15">
        <f t="shared" si="35"/>
        <v>24.369747899159666</v>
      </c>
      <c r="P93" s="15">
        <f t="shared" si="36"/>
        <v>24.369747899159666</v>
      </c>
      <c r="R93" s="8"/>
      <c r="T93"/>
    </row>
    <row r="94" spans="2:20" ht="23.1" customHeight="1" x14ac:dyDescent="0.25">
      <c r="B94" s="46" t="s">
        <v>134</v>
      </c>
      <c r="C94" s="50">
        <v>10.084033613445378</v>
      </c>
      <c r="D94" s="50">
        <v>4.2016806722689077</v>
      </c>
      <c r="E94" s="50">
        <v>8.4033613445378155</v>
      </c>
      <c r="F94" s="50">
        <v>0</v>
      </c>
      <c r="G94" s="50">
        <v>0.84033613445378152</v>
      </c>
      <c r="H94" s="50">
        <v>0.84033613445378152</v>
      </c>
      <c r="I94" s="50">
        <v>2.5210084033613445</v>
      </c>
      <c r="J94" s="50">
        <v>0</v>
      </c>
      <c r="K94" s="50">
        <v>0</v>
      </c>
      <c r="L94" s="50">
        <v>0.84033613445378152</v>
      </c>
      <c r="M94" s="50">
        <v>0</v>
      </c>
      <c r="N94" s="50">
        <v>0</v>
      </c>
      <c r="O94" s="15">
        <f t="shared" si="35"/>
        <v>27.731092436974787</v>
      </c>
      <c r="P94" s="15">
        <f t="shared" si="36"/>
        <v>27.731092436974787</v>
      </c>
      <c r="R94" s="8"/>
      <c r="T94"/>
    </row>
    <row r="95" spans="2:20" ht="23.1" customHeight="1" x14ac:dyDescent="0.25">
      <c r="B95" s="45" t="s">
        <v>135</v>
      </c>
      <c r="C95" s="50">
        <v>5.882352941176471</v>
      </c>
      <c r="D95" s="50">
        <v>3.3613445378151261</v>
      </c>
      <c r="E95" s="50">
        <v>6.7226890756302522</v>
      </c>
      <c r="F95" s="50">
        <v>0.84033613445378152</v>
      </c>
      <c r="G95" s="50">
        <v>0</v>
      </c>
      <c r="H95" s="50">
        <v>0</v>
      </c>
      <c r="I95" s="50">
        <v>0.84033613445378152</v>
      </c>
      <c r="J95" s="50">
        <v>0.84033613445378152</v>
      </c>
      <c r="K95" s="50">
        <v>0</v>
      </c>
      <c r="L95" s="50">
        <v>1.680672268907563</v>
      </c>
      <c r="M95" s="50">
        <v>0</v>
      </c>
      <c r="N95" s="50">
        <v>0</v>
      </c>
      <c r="O95" s="15">
        <f t="shared" si="35"/>
        <v>20.168067226890759</v>
      </c>
      <c r="P95" s="15">
        <f t="shared" si="36"/>
        <v>20.168067226890759</v>
      </c>
      <c r="R95" s="8"/>
      <c r="T95"/>
    </row>
    <row r="96" spans="2:20" ht="23.1" customHeight="1" x14ac:dyDescent="0.25">
      <c r="B96" s="47" t="s">
        <v>136</v>
      </c>
      <c r="C96" s="50">
        <v>8.4033613445378155</v>
      </c>
      <c r="D96" s="50">
        <v>1.680672268907563</v>
      </c>
      <c r="E96" s="50">
        <v>4.2016806722689077</v>
      </c>
      <c r="F96" s="50">
        <v>0</v>
      </c>
      <c r="G96" s="50">
        <v>0.84033613445378152</v>
      </c>
      <c r="H96" s="50">
        <v>0</v>
      </c>
      <c r="I96" s="50">
        <v>2.5210084033613445</v>
      </c>
      <c r="J96" s="50">
        <v>0.84033613445378152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18.487394957983195</v>
      </c>
      <c r="P96" s="15">
        <f t="shared" si="36"/>
        <v>18.487394957983195</v>
      </c>
      <c r="R96" s="8"/>
      <c r="T96"/>
    </row>
    <row r="97" spans="2:20" ht="23.1" customHeight="1" x14ac:dyDescent="0.25">
      <c r="B97" s="45" t="s">
        <v>137</v>
      </c>
      <c r="C97" s="50">
        <v>5.0420168067226889</v>
      </c>
      <c r="D97" s="50">
        <v>2.5210084033613445</v>
      </c>
      <c r="E97" s="50">
        <v>5.0420168067226889</v>
      </c>
      <c r="F97" s="50">
        <v>1.680672268907563</v>
      </c>
      <c r="G97" s="50">
        <v>0</v>
      </c>
      <c r="H97" s="50">
        <v>0</v>
      </c>
      <c r="I97" s="50">
        <v>0.84033613445378152</v>
      </c>
      <c r="J97" s="50">
        <v>0.84033613445378152</v>
      </c>
      <c r="K97" s="50">
        <v>0</v>
      </c>
      <c r="L97" s="50">
        <v>0.84033613445378152</v>
      </c>
      <c r="M97" s="50">
        <v>0</v>
      </c>
      <c r="N97" s="50">
        <v>0</v>
      </c>
      <c r="O97" s="15">
        <f t="shared" si="35"/>
        <v>16.806722689075631</v>
      </c>
      <c r="P97" s="15">
        <f t="shared" si="36"/>
        <v>16.806722689075631</v>
      </c>
      <c r="R97" s="8"/>
      <c r="T97"/>
    </row>
    <row r="98" spans="2:20" ht="23.1" customHeight="1" x14ac:dyDescent="0.25">
      <c r="B98" s="46" t="s">
        <v>138</v>
      </c>
      <c r="C98" s="50">
        <v>5.0420168067226889</v>
      </c>
      <c r="D98" s="50">
        <v>1.680672268907563</v>
      </c>
      <c r="E98" s="50">
        <v>4.2016806722689077</v>
      </c>
      <c r="F98" s="50">
        <v>0</v>
      </c>
      <c r="G98" s="50">
        <v>0</v>
      </c>
      <c r="H98" s="50">
        <v>0.84033613445378152</v>
      </c>
      <c r="I98" s="50">
        <v>1.680672268907563</v>
      </c>
      <c r="J98" s="50">
        <v>0.84033613445378152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14.285714285714286</v>
      </c>
      <c r="P98" s="15">
        <f t="shared" si="36"/>
        <v>14.285714285714286</v>
      </c>
      <c r="R98" s="8"/>
      <c r="T98"/>
    </row>
    <row r="99" spans="2:20" ht="23.1" customHeight="1" x14ac:dyDescent="0.25">
      <c r="B99" s="45" t="s">
        <v>139</v>
      </c>
      <c r="C99" s="50">
        <v>14.285714285714286</v>
      </c>
      <c r="D99" s="50">
        <v>2.5210084033613445</v>
      </c>
      <c r="E99" s="50">
        <v>5.882352941176471</v>
      </c>
      <c r="F99" s="50">
        <v>0.84033613445378152</v>
      </c>
      <c r="G99" s="50">
        <v>0</v>
      </c>
      <c r="H99" s="50">
        <v>0.84033613445378152</v>
      </c>
      <c r="I99" s="50">
        <v>3.3613445378151261</v>
      </c>
      <c r="J99" s="50">
        <v>0.84033613445378152</v>
      </c>
      <c r="K99" s="50">
        <v>0.84033613445378152</v>
      </c>
      <c r="L99" s="50">
        <v>0.84033613445378152</v>
      </c>
      <c r="M99" s="50">
        <v>0</v>
      </c>
      <c r="N99" s="50">
        <v>0</v>
      </c>
      <c r="O99" s="15">
        <f t="shared" si="35"/>
        <v>30.252100840336137</v>
      </c>
      <c r="P99" s="15">
        <f t="shared" si="36"/>
        <v>30.252100840336137</v>
      </c>
      <c r="R99" s="8"/>
      <c r="T99"/>
    </row>
    <row r="100" spans="2:20" ht="23.1" customHeight="1" x14ac:dyDescent="0.25">
      <c r="B100" s="47" t="s">
        <v>140</v>
      </c>
      <c r="C100" s="50">
        <v>12.605042016806724</v>
      </c>
      <c r="D100" s="50">
        <v>3.3613445378151261</v>
      </c>
      <c r="E100" s="50">
        <v>6.7226890756302522</v>
      </c>
      <c r="F100" s="50">
        <v>2.5210084033613445</v>
      </c>
      <c r="G100" s="50">
        <v>0</v>
      </c>
      <c r="H100" s="50">
        <v>0.84033613445378152</v>
      </c>
      <c r="I100" s="50">
        <v>0</v>
      </c>
      <c r="J100" s="50">
        <v>0</v>
      </c>
      <c r="K100" s="50">
        <v>0</v>
      </c>
      <c r="L100" s="50">
        <v>3.3613445378151261</v>
      </c>
      <c r="M100" s="50">
        <v>2</v>
      </c>
      <c r="N100" s="50">
        <v>0</v>
      </c>
      <c r="O100" s="15">
        <f t="shared" si="35"/>
        <v>29.411764705882355</v>
      </c>
      <c r="P100" s="15">
        <f t="shared" si="36"/>
        <v>31.411764705882355</v>
      </c>
      <c r="R100" s="8"/>
      <c r="T100"/>
    </row>
    <row r="101" spans="2:20" ht="23.1" customHeight="1" x14ac:dyDescent="0.25">
      <c r="B101" s="45" t="s">
        <v>141</v>
      </c>
      <c r="C101" s="50">
        <v>10.92436974789916</v>
      </c>
      <c r="D101" s="50">
        <v>5.0420168067226889</v>
      </c>
      <c r="E101" s="50">
        <v>10.084033613445378</v>
      </c>
      <c r="F101" s="50">
        <v>1.680672268907563</v>
      </c>
      <c r="G101" s="50">
        <v>0</v>
      </c>
      <c r="H101" s="50">
        <v>0</v>
      </c>
      <c r="I101" s="50">
        <v>0.84033613445378152</v>
      </c>
      <c r="J101" s="50">
        <v>0</v>
      </c>
      <c r="K101" s="50">
        <v>0.84033613445378152</v>
      </c>
      <c r="L101" s="50">
        <v>1.680672268907563</v>
      </c>
      <c r="M101" s="50">
        <v>5</v>
      </c>
      <c r="N101" s="50">
        <v>0</v>
      </c>
      <c r="O101" s="15">
        <f t="shared" si="35"/>
        <v>31.092436974789919</v>
      </c>
      <c r="P101" s="15">
        <f t="shared" si="36"/>
        <v>36.092436974789919</v>
      </c>
      <c r="R101" s="8"/>
      <c r="T101"/>
    </row>
    <row r="102" spans="2:20" ht="23.1" customHeight="1" x14ac:dyDescent="0.25">
      <c r="B102" s="46" t="s">
        <v>142</v>
      </c>
      <c r="C102" s="50">
        <v>9.2436974789915975</v>
      </c>
      <c r="D102" s="50">
        <v>7.5630252100840343</v>
      </c>
      <c r="E102" s="50">
        <v>15.966386554621849</v>
      </c>
      <c r="F102" s="50">
        <v>2.5210084033613445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5.0420168067226889</v>
      </c>
      <c r="M102" s="50">
        <v>4</v>
      </c>
      <c r="N102" s="50">
        <v>0</v>
      </c>
      <c r="O102" s="15">
        <f t="shared" si="35"/>
        <v>40.336134453781511</v>
      </c>
      <c r="P102" s="15">
        <f t="shared" si="36"/>
        <v>44.336134453781511</v>
      </c>
      <c r="R102" s="8"/>
      <c r="T102"/>
    </row>
    <row r="103" spans="2:20" ht="23.1" customHeight="1" x14ac:dyDescent="0.25">
      <c r="B103" s="45" t="s">
        <v>143</v>
      </c>
      <c r="C103" s="50">
        <v>10.92436974789916</v>
      </c>
      <c r="D103" s="50">
        <v>3.3613445378151261</v>
      </c>
      <c r="E103" s="50">
        <v>7.5630252100840343</v>
      </c>
      <c r="F103" s="50">
        <v>1.680672268907563</v>
      </c>
      <c r="G103" s="50">
        <v>0</v>
      </c>
      <c r="H103" s="50">
        <v>0.84033613445378152</v>
      </c>
      <c r="I103" s="50">
        <v>4.2016806722689077</v>
      </c>
      <c r="J103" s="50">
        <v>1.680672268907563</v>
      </c>
      <c r="K103" s="50">
        <v>1.680672268907563</v>
      </c>
      <c r="L103" s="50">
        <v>3.3613445378151261</v>
      </c>
      <c r="M103" s="50">
        <v>6</v>
      </c>
      <c r="N103" s="50">
        <v>0</v>
      </c>
      <c r="O103" s="15">
        <f t="shared" si="35"/>
        <v>35.294117647058826</v>
      </c>
      <c r="P103" s="15">
        <f t="shared" si="36"/>
        <v>41.294117647058826</v>
      </c>
      <c r="R103" s="8"/>
      <c r="T103"/>
    </row>
    <row r="104" spans="2:20" ht="23.1" customHeight="1" x14ac:dyDescent="0.25">
      <c r="B104" s="47" t="s">
        <v>144</v>
      </c>
      <c r="C104" s="50">
        <v>9.2436974789915975</v>
      </c>
      <c r="D104" s="50">
        <v>8.4033613445378155</v>
      </c>
      <c r="E104" s="50">
        <v>16.806722689075631</v>
      </c>
      <c r="F104" s="50">
        <v>3.3613445378151261</v>
      </c>
      <c r="G104" s="50">
        <v>0.84033613445378152</v>
      </c>
      <c r="H104" s="50">
        <v>0.84033613445378152</v>
      </c>
      <c r="I104" s="50">
        <v>2.5210084033613445</v>
      </c>
      <c r="J104" s="50">
        <v>0</v>
      </c>
      <c r="K104" s="50">
        <v>0</v>
      </c>
      <c r="L104" s="50">
        <v>3.3613445378151261</v>
      </c>
      <c r="M104" s="50">
        <v>6</v>
      </c>
      <c r="N104" s="50">
        <v>0</v>
      </c>
      <c r="O104" s="15">
        <f t="shared" si="35"/>
        <v>45.378151260504204</v>
      </c>
      <c r="P104" s="15">
        <f t="shared" si="36"/>
        <v>51.378151260504204</v>
      </c>
      <c r="R104" s="8"/>
      <c r="T104"/>
    </row>
    <row r="105" spans="2:20" ht="23.1" customHeight="1" x14ac:dyDescent="0.25">
      <c r="B105" s="45" t="s">
        <v>145</v>
      </c>
      <c r="C105" s="50">
        <v>7.5630252100840343</v>
      </c>
      <c r="D105" s="50">
        <v>7.5630252100840343</v>
      </c>
      <c r="E105" s="50">
        <v>15.126050420168069</v>
      </c>
      <c r="F105" s="50">
        <v>0</v>
      </c>
      <c r="G105" s="50">
        <v>0</v>
      </c>
      <c r="H105" s="50">
        <v>0</v>
      </c>
      <c r="I105" s="50">
        <v>0.84033613445378152</v>
      </c>
      <c r="J105" s="50">
        <v>0.84033613445378152</v>
      </c>
      <c r="K105" s="50">
        <v>0</v>
      </c>
      <c r="L105" s="50">
        <v>0</v>
      </c>
      <c r="M105" s="50">
        <v>10</v>
      </c>
      <c r="N105" s="50">
        <v>0</v>
      </c>
      <c r="O105" s="15">
        <f t="shared" si="35"/>
        <v>31.932773109243701</v>
      </c>
      <c r="P105" s="15">
        <f t="shared" si="36"/>
        <v>41.932773109243698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533.61344537815137</v>
      </c>
      <c r="D106" s="16">
        <f t="shared" ref="D106:P106" si="37">SUM(D10:D105)</f>
        <v>205.88235294117635</v>
      </c>
      <c r="E106" s="16">
        <f t="shared" si="37"/>
        <v>447.89915966386565</v>
      </c>
      <c r="F106" s="16">
        <f t="shared" si="37"/>
        <v>84.033613445378109</v>
      </c>
      <c r="G106" s="16">
        <f t="shared" si="37"/>
        <v>18.487394957983195</v>
      </c>
      <c r="H106" s="16">
        <f t="shared" si="37"/>
        <v>37.815126050420147</v>
      </c>
      <c r="I106" s="16">
        <f t="shared" si="37"/>
        <v>226.05042016806738</v>
      </c>
      <c r="J106" s="16">
        <f t="shared" si="37"/>
        <v>31.932773109243708</v>
      </c>
      <c r="K106" s="16">
        <f t="shared" si="37"/>
        <v>7.5630252100840334</v>
      </c>
      <c r="L106" s="16">
        <f t="shared" si="37"/>
        <v>193.27731092436971</v>
      </c>
      <c r="M106" s="16">
        <f t="shared" si="37"/>
        <v>3734.2</v>
      </c>
      <c r="N106" s="16">
        <f t="shared" si="37"/>
        <v>0</v>
      </c>
      <c r="O106" s="16">
        <f t="shared" si="37"/>
        <v>1786.55462184874</v>
      </c>
      <c r="P106" s="16">
        <f t="shared" si="37"/>
        <v>5520.7546218487387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9.6655888900829268E-2</v>
      </c>
      <c r="D107" s="43">
        <f t="shared" si="38"/>
        <v>3.7292429575910474E-2</v>
      </c>
      <c r="E107" s="43">
        <f t="shared" si="38"/>
        <v>8.1130061077388974E-2</v>
      </c>
      <c r="F107" s="43">
        <f t="shared" si="38"/>
        <v>1.5221399826902236E-2</v>
      </c>
      <c r="G107" s="43">
        <f t="shared" si="38"/>
        <v>3.3487079619184939E-3</v>
      </c>
      <c r="H107" s="43">
        <f t="shared" si="38"/>
        <v>6.8496299221060056E-3</v>
      </c>
      <c r="I107" s="43">
        <f t="shared" si="38"/>
        <v>4.0945565534367061E-2</v>
      </c>
      <c r="J107" s="43">
        <f t="shared" si="38"/>
        <v>5.7841319342228541E-3</v>
      </c>
      <c r="K107" s="43">
        <f t="shared" si="38"/>
        <v>1.3699259844212018E-3</v>
      </c>
      <c r="L107" s="43">
        <f t="shared" si="38"/>
        <v>3.5009219601875155E-2</v>
      </c>
      <c r="M107" s="43">
        <f t="shared" si="38"/>
        <v>0.67639303968005837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0.29868297271872057</v>
      </c>
      <c r="D108" s="44">
        <f t="shared" ref="D108:N108" si="39">D106/$O$106</f>
        <v>0.11523988711194721</v>
      </c>
      <c r="E108" s="44">
        <f t="shared" si="39"/>
        <v>0.25070555032925679</v>
      </c>
      <c r="F108" s="44">
        <f t="shared" si="39"/>
        <v>4.7036688617121319E-2</v>
      </c>
      <c r="G108" s="44">
        <f t="shared" si="39"/>
        <v>1.0348071495766695E-2</v>
      </c>
      <c r="H108" s="44">
        <f t="shared" si="39"/>
        <v>2.1166509877704593E-2</v>
      </c>
      <c r="I108" s="44">
        <f t="shared" si="39"/>
        <v>0.12652869238005648</v>
      </c>
      <c r="J108" s="44">
        <f t="shared" si="39"/>
        <v>1.7873941674506115E-2</v>
      </c>
      <c r="K108" s="44">
        <f t="shared" si="39"/>
        <v>4.2333019755409207E-3</v>
      </c>
      <c r="L108" s="44">
        <f t="shared" si="39"/>
        <v>0.10818438381937907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P5" sqref="P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'04.08 KARUMA-GULU'!G5:H5</f>
        <v>xxx</v>
      </c>
      <c r="H5" s="67"/>
      <c r="I5" s="14"/>
      <c r="J5" s="2" t="s">
        <v>5</v>
      </c>
      <c r="K5" s="66" t="str">
        <f>'04.08 KARUMA-GULU'!K5:L5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GULU-KARUMA'!D6:E6</f>
        <v>GULU</v>
      </c>
      <c r="E6" s="67"/>
      <c r="F6" s="2" t="s">
        <v>2</v>
      </c>
      <c r="G6" s="66" t="str">
        <f>'01.08 GULU-KARUMA'!G6:H6</f>
        <v>KARUMA</v>
      </c>
      <c r="H6" s="67"/>
      <c r="J6" s="2" t="s">
        <v>21</v>
      </c>
      <c r="K6" s="66" t="str">
        <f>'04.08 KARUMA-GULU'!K6:L6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f>'[1]RD116 MCC'!H198</f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6</v>
      </c>
      <c r="T10" s="17">
        <f t="shared" si="2"/>
        <v>7</v>
      </c>
      <c r="U10" s="17">
        <f t="shared" si="2"/>
        <v>14</v>
      </c>
      <c r="V10" s="17">
        <f t="shared" si="2"/>
        <v>1</v>
      </c>
      <c r="W10" s="17">
        <f t="shared" si="2"/>
        <v>0</v>
      </c>
      <c r="X10" s="17">
        <f t="shared" si="2"/>
        <v>3</v>
      </c>
      <c r="Y10" s="17">
        <f t="shared" si="2"/>
        <v>5</v>
      </c>
      <c r="Z10" s="17">
        <f t="shared" si="2"/>
        <v>0</v>
      </c>
      <c r="AA10" s="17">
        <f t="shared" si="2"/>
        <v>0</v>
      </c>
      <c r="AB10" s="17">
        <f t="shared" si="2"/>
        <v>3</v>
      </c>
      <c r="AC10" s="17">
        <f t="shared" si="2"/>
        <v>98</v>
      </c>
      <c r="AD10" s="17">
        <f t="shared" si="2"/>
        <v>1</v>
      </c>
      <c r="AE10" s="31">
        <f t="shared" si="2"/>
        <v>40</v>
      </c>
      <c r="AF10" s="31">
        <f t="shared" si="2"/>
        <v>138</v>
      </c>
    </row>
    <row r="11" spans="2:32" s="6" customFormat="1" ht="23.1" customHeight="1" x14ac:dyDescent="0.25">
      <c r="B11" s="23" t="s">
        <v>38</v>
      </c>
      <c r="C11" s="50">
        <f>'[1]RD116 MCC'!H199</f>
        <v>3</v>
      </c>
      <c r="D11" s="50">
        <v>2</v>
      </c>
      <c r="E11" s="50">
        <v>4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23</v>
      </c>
      <c r="N11" s="50">
        <v>0</v>
      </c>
      <c r="O11" s="15">
        <f t="shared" si="0"/>
        <v>10</v>
      </c>
      <c r="P11" s="15">
        <f t="shared" si="1"/>
        <v>33</v>
      </c>
      <c r="R11" s="1" t="s">
        <v>7</v>
      </c>
      <c r="S11" s="17">
        <f t="shared" ref="S11:AF11" si="3">SUM(C14:C17)</f>
        <v>13</v>
      </c>
      <c r="T11" s="17">
        <f t="shared" si="3"/>
        <v>6</v>
      </c>
      <c r="U11" s="17">
        <f t="shared" si="3"/>
        <v>14</v>
      </c>
      <c r="V11" s="17">
        <f t="shared" si="3"/>
        <v>6</v>
      </c>
      <c r="W11" s="17">
        <f t="shared" si="3"/>
        <v>0</v>
      </c>
      <c r="X11" s="17">
        <f t="shared" si="3"/>
        <v>2</v>
      </c>
      <c r="Y11" s="17">
        <f t="shared" si="3"/>
        <v>4</v>
      </c>
      <c r="Z11" s="17">
        <f t="shared" si="3"/>
        <v>1</v>
      </c>
      <c r="AA11" s="17">
        <f t="shared" si="3"/>
        <v>1</v>
      </c>
      <c r="AB11" s="17">
        <f t="shared" si="3"/>
        <v>3</v>
      </c>
      <c r="AC11" s="17">
        <f t="shared" si="3"/>
        <v>175</v>
      </c>
      <c r="AD11" s="17">
        <f t="shared" si="3"/>
        <v>0</v>
      </c>
      <c r="AE11" s="31">
        <f t="shared" si="3"/>
        <v>50</v>
      </c>
      <c r="AF11" s="31">
        <f t="shared" si="3"/>
        <v>225</v>
      </c>
    </row>
    <row r="12" spans="2:32" ht="23.1" customHeight="1" x14ac:dyDescent="0.25">
      <c r="B12" s="23" t="s">
        <v>39</v>
      </c>
      <c r="C12" s="50">
        <f>'[1]RD116 MCC'!H200</f>
        <v>2</v>
      </c>
      <c r="D12" s="50">
        <v>3</v>
      </c>
      <c r="E12" s="50">
        <v>6</v>
      </c>
      <c r="F12" s="50">
        <v>0</v>
      </c>
      <c r="G12" s="50">
        <v>0</v>
      </c>
      <c r="H12" s="50">
        <v>2</v>
      </c>
      <c r="I12" s="50">
        <v>2</v>
      </c>
      <c r="J12" s="50">
        <v>0</v>
      </c>
      <c r="K12" s="50">
        <v>0</v>
      </c>
      <c r="L12" s="50">
        <v>3</v>
      </c>
      <c r="M12" s="50">
        <v>29</v>
      </c>
      <c r="N12" s="50">
        <v>0</v>
      </c>
      <c r="O12" s="15">
        <f t="shared" si="0"/>
        <v>18</v>
      </c>
      <c r="P12" s="15">
        <f t="shared" si="1"/>
        <v>47</v>
      </c>
      <c r="R12" s="1" t="s">
        <v>8</v>
      </c>
      <c r="S12" s="17">
        <f t="shared" ref="S12:AF12" si="4">SUM(C18:C21)</f>
        <v>13</v>
      </c>
      <c r="T12" s="17">
        <f t="shared" si="4"/>
        <v>10</v>
      </c>
      <c r="U12" s="17">
        <f t="shared" si="4"/>
        <v>21</v>
      </c>
      <c r="V12" s="17">
        <f t="shared" si="4"/>
        <v>6</v>
      </c>
      <c r="W12" s="17">
        <f t="shared" si="4"/>
        <v>0</v>
      </c>
      <c r="X12" s="17">
        <f t="shared" si="4"/>
        <v>3</v>
      </c>
      <c r="Y12" s="17">
        <f t="shared" si="4"/>
        <v>9</v>
      </c>
      <c r="Z12" s="17">
        <f t="shared" si="4"/>
        <v>1</v>
      </c>
      <c r="AA12" s="17">
        <f t="shared" si="4"/>
        <v>0</v>
      </c>
      <c r="AB12" s="17">
        <f t="shared" si="4"/>
        <v>8</v>
      </c>
      <c r="AC12" s="17">
        <f t="shared" si="4"/>
        <v>209</v>
      </c>
      <c r="AD12" s="17">
        <f t="shared" si="4"/>
        <v>0</v>
      </c>
      <c r="AE12" s="31">
        <f t="shared" si="4"/>
        <v>71</v>
      </c>
      <c r="AF12" s="31">
        <f t="shared" si="4"/>
        <v>280</v>
      </c>
    </row>
    <row r="13" spans="2:32" ht="23.1" customHeight="1" x14ac:dyDescent="0.25">
      <c r="B13" s="23" t="s">
        <v>40</v>
      </c>
      <c r="C13" s="50">
        <f>'[1]RD116 MCC'!H201</f>
        <v>1</v>
      </c>
      <c r="D13" s="50">
        <v>2</v>
      </c>
      <c r="E13" s="50">
        <v>4</v>
      </c>
      <c r="F13" s="50">
        <v>1</v>
      </c>
      <c r="G13" s="50">
        <v>0</v>
      </c>
      <c r="H13" s="50">
        <v>1</v>
      </c>
      <c r="I13" s="50">
        <v>2</v>
      </c>
      <c r="J13" s="50">
        <v>0</v>
      </c>
      <c r="K13" s="50">
        <v>0</v>
      </c>
      <c r="L13" s="50">
        <v>0</v>
      </c>
      <c r="M13" s="50">
        <v>38</v>
      </c>
      <c r="N13" s="50">
        <v>1</v>
      </c>
      <c r="O13" s="15">
        <f t="shared" si="0"/>
        <v>12</v>
      </c>
      <c r="P13" s="15">
        <f t="shared" si="1"/>
        <v>50</v>
      </c>
      <c r="R13" s="1" t="s">
        <v>9</v>
      </c>
      <c r="S13" s="17">
        <f t="shared" ref="S13:AF13" si="5">SUM(C22:C25)</f>
        <v>23</v>
      </c>
      <c r="T13" s="17">
        <f t="shared" si="5"/>
        <v>16</v>
      </c>
      <c r="U13" s="17">
        <f t="shared" si="5"/>
        <v>33</v>
      </c>
      <c r="V13" s="17">
        <f t="shared" si="5"/>
        <v>3</v>
      </c>
      <c r="W13" s="17">
        <f t="shared" si="5"/>
        <v>1</v>
      </c>
      <c r="X13" s="17">
        <f t="shared" si="5"/>
        <v>3</v>
      </c>
      <c r="Y13" s="17">
        <f t="shared" si="5"/>
        <v>12</v>
      </c>
      <c r="Z13" s="17">
        <f t="shared" si="5"/>
        <v>2</v>
      </c>
      <c r="AA13" s="17">
        <f t="shared" si="5"/>
        <v>1</v>
      </c>
      <c r="AB13" s="17">
        <f t="shared" si="5"/>
        <v>7</v>
      </c>
      <c r="AC13" s="17">
        <f t="shared" si="5"/>
        <v>210</v>
      </c>
      <c r="AD13" s="17">
        <f t="shared" si="5"/>
        <v>0</v>
      </c>
      <c r="AE13" s="31">
        <f t="shared" si="5"/>
        <v>101</v>
      </c>
      <c r="AF13" s="31">
        <f t="shared" si="5"/>
        <v>311</v>
      </c>
    </row>
    <row r="14" spans="2:32" ht="23.1" customHeight="1" x14ac:dyDescent="0.25">
      <c r="B14" s="23" t="s">
        <v>41</v>
      </c>
      <c r="C14" s="50">
        <f>'[1]RD116 MCC'!H202</f>
        <v>3</v>
      </c>
      <c r="D14" s="50">
        <v>2</v>
      </c>
      <c r="E14" s="50">
        <v>4</v>
      </c>
      <c r="F14" s="50">
        <v>0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1</v>
      </c>
      <c r="M14" s="50">
        <v>43</v>
      </c>
      <c r="N14" s="50">
        <v>0</v>
      </c>
      <c r="O14" s="15">
        <f t="shared" si="0"/>
        <v>14</v>
      </c>
      <c r="P14" s="15">
        <f t="shared" si="1"/>
        <v>57</v>
      </c>
      <c r="R14" s="1" t="s">
        <v>10</v>
      </c>
      <c r="S14" s="17">
        <f t="shared" ref="S14:AF14" si="6">SUM(C26:C29)</f>
        <v>27</v>
      </c>
      <c r="T14" s="17">
        <f t="shared" si="6"/>
        <v>10</v>
      </c>
      <c r="U14" s="17">
        <f t="shared" si="6"/>
        <v>23</v>
      </c>
      <c r="V14" s="17">
        <f t="shared" si="6"/>
        <v>3</v>
      </c>
      <c r="W14" s="17">
        <f t="shared" si="6"/>
        <v>0</v>
      </c>
      <c r="X14" s="17">
        <f t="shared" si="6"/>
        <v>1</v>
      </c>
      <c r="Y14" s="17">
        <f t="shared" si="6"/>
        <v>11</v>
      </c>
      <c r="Z14" s="17">
        <f t="shared" si="6"/>
        <v>0</v>
      </c>
      <c r="AA14" s="17">
        <f t="shared" si="6"/>
        <v>0</v>
      </c>
      <c r="AB14" s="17">
        <f t="shared" si="6"/>
        <v>17</v>
      </c>
      <c r="AC14" s="17">
        <f t="shared" si="6"/>
        <v>214</v>
      </c>
      <c r="AD14" s="17">
        <f t="shared" si="6"/>
        <v>0</v>
      </c>
      <c r="AE14" s="31">
        <f t="shared" si="6"/>
        <v>92</v>
      </c>
      <c r="AF14" s="31">
        <f t="shared" si="6"/>
        <v>306</v>
      </c>
    </row>
    <row r="15" spans="2:32" ht="23.1" customHeight="1" x14ac:dyDescent="0.25">
      <c r="B15" s="23" t="s">
        <v>42</v>
      </c>
      <c r="C15" s="50">
        <f>'[1]RD116 MCC'!H203</f>
        <v>2</v>
      </c>
      <c r="D15" s="50">
        <v>1</v>
      </c>
      <c r="E15" s="50">
        <v>3</v>
      </c>
      <c r="F15" s="50">
        <v>1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35</v>
      </c>
      <c r="N15" s="50">
        <v>0</v>
      </c>
      <c r="O15" s="15">
        <f t="shared" si="0"/>
        <v>8</v>
      </c>
      <c r="P15" s="15">
        <f t="shared" si="1"/>
        <v>43</v>
      </c>
      <c r="R15" s="1" t="s">
        <v>11</v>
      </c>
      <c r="S15" s="17">
        <f t="shared" ref="S15:AF15" si="7">SUM(C30:C33)</f>
        <v>28</v>
      </c>
      <c r="T15" s="17">
        <f t="shared" si="7"/>
        <v>11</v>
      </c>
      <c r="U15" s="17">
        <f t="shared" si="7"/>
        <v>24</v>
      </c>
      <c r="V15" s="17">
        <f t="shared" si="7"/>
        <v>2</v>
      </c>
      <c r="W15" s="17">
        <f t="shared" si="7"/>
        <v>0</v>
      </c>
      <c r="X15" s="17">
        <f t="shared" si="7"/>
        <v>3</v>
      </c>
      <c r="Y15" s="17">
        <f t="shared" si="7"/>
        <v>14</v>
      </c>
      <c r="Z15" s="17">
        <f t="shared" si="7"/>
        <v>2</v>
      </c>
      <c r="AA15" s="17">
        <f t="shared" si="7"/>
        <v>0</v>
      </c>
      <c r="AB15" s="17">
        <f t="shared" si="7"/>
        <v>19</v>
      </c>
      <c r="AC15" s="17">
        <f t="shared" si="7"/>
        <v>211</v>
      </c>
      <c r="AD15" s="17">
        <f t="shared" si="7"/>
        <v>0</v>
      </c>
      <c r="AE15" s="31">
        <f t="shared" si="7"/>
        <v>103</v>
      </c>
      <c r="AF15" s="31">
        <f t="shared" si="7"/>
        <v>314</v>
      </c>
    </row>
    <row r="16" spans="2:32" ht="23.1" customHeight="1" x14ac:dyDescent="0.25">
      <c r="B16" s="23" t="s">
        <v>43</v>
      </c>
      <c r="C16" s="50">
        <f>'[1]RD116 MCC'!H204</f>
        <v>3</v>
      </c>
      <c r="D16" s="50">
        <v>3</v>
      </c>
      <c r="E16" s="50">
        <v>6</v>
      </c>
      <c r="F16" s="50">
        <v>2</v>
      </c>
      <c r="G16" s="50">
        <v>0</v>
      </c>
      <c r="H16" s="50">
        <v>1</v>
      </c>
      <c r="I16" s="50">
        <v>0</v>
      </c>
      <c r="J16" s="50">
        <v>0</v>
      </c>
      <c r="K16" s="50">
        <v>1</v>
      </c>
      <c r="L16" s="50">
        <v>1</v>
      </c>
      <c r="M16" s="50">
        <v>44</v>
      </c>
      <c r="N16" s="50">
        <v>0</v>
      </c>
      <c r="O16" s="15">
        <f t="shared" si="0"/>
        <v>17</v>
      </c>
      <c r="P16" s="15">
        <f t="shared" si="1"/>
        <v>61</v>
      </c>
      <c r="R16" s="1" t="s">
        <v>12</v>
      </c>
      <c r="S16" s="17">
        <f t="shared" ref="S16:AF16" si="8">SUM(C34:C37)</f>
        <v>35</v>
      </c>
      <c r="T16" s="17">
        <f t="shared" si="8"/>
        <v>16</v>
      </c>
      <c r="U16" s="17">
        <f t="shared" si="8"/>
        <v>33</v>
      </c>
      <c r="V16" s="17">
        <f t="shared" si="8"/>
        <v>5</v>
      </c>
      <c r="W16" s="17">
        <f t="shared" si="8"/>
        <v>0</v>
      </c>
      <c r="X16" s="17">
        <f t="shared" si="8"/>
        <v>1</v>
      </c>
      <c r="Y16" s="17">
        <f t="shared" si="8"/>
        <v>13</v>
      </c>
      <c r="Z16" s="17">
        <f t="shared" si="8"/>
        <v>0</v>
      </c>
      <c r="AA16" s="17">
        <f t="shared" si="8"/>
        <v>0</v>
      </c>
      <c r="AB16" s="17">
        <f t="shared" si="8"/>
        <v>12</v>
      </c>
      <c r="AC16" s="17">
        <f t="shared" si="8"/>
        <v>207</v>
      </c>
      <c r="AD16" s="17">
        <f t="shared" si="8"/>
        <v>0</v>
      </c>
      <c r="AE16" s="31">
        <f t="shared" si="8"/>
        <v>115</v>
      </c>
      <c r="AF16" s="31">
        <f t="shared" si="8"/>
        <v>322</v>
      </c>
    </row>
    <row r="17" spans="2:32" ht="23.1" customHeight="1" x14ac:dyDescent="0.25">
      <c r="B17" s="23" t="s">
        <v>44</v>
      </c>
      <c r="C17" s="50">
        <f>'[1]RD116 MCC'!H205</f>
        <v>5</v>
      </c>
      <c r="D17" s="50">
        <v>0</v>
      </c>
      <c r="E17" s="50">
        <v>1</v>
      </c>
      <c r="F17" s="50">
        <v>3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1</v>
      </c>
      <c r="M17" s="50">
        <v>53</v>
      </c>
      <c r="N17" s="50">
        <v>0</v>
      </c>
      <c r="O17" s="15">
        <f t="shared" si="0"/>
        <v>11</v>
      </c>
      <c r="P17" s="15">
        <f t="shared" si="1"/>
        <v>64</v>
      </c>
      <c r="R17" s="1" t="s">
        <v>13</v>
      </c>
      <c r="S17" s="17">
        <f t="shared" ref="S17:AF17" si="9">SUM(C38:C41)</f>
        <v>19</v>
      </c>
      <c r="T17" s="17">
        <f t="shared" si="9"/>
        <v>16</v>
      </c>
      <c r="U17" s="17">
        <f t="shared" si="9"/>
        <v>34</v>
      </c>
      <c r="V17" s="17">
        <f t="shared" si="9"/>
        <v>8</v>
      </c>
      <c r="W17" s="17">
        <f t="shared" si="9"/>
        <v>1</v>
      </c>
      <c r="X17" s="17">
        <f t="shared" si="9"/>
        <v>4</v>
      </c>
      <c r="Y17" s="17">
        <f t="shared" si="9"/>
        <v>10</v>
      </c>
      <c r="Z17" s="17">
        <f t="shared" si="9"/>
        <v>4</v>
      </c>
      <c r="AA17" s="17">
        <f t="shared" si="9"/>
        <v>1</v>
      </c>
      <c r="AB17" s="17">
        <f t="shared" si="9"/>
        <v>10</v>
      </c>
      <c r="AC17" s="17">
        <f t="shared" si="9"/>
        <v>235</v>
      </c>
      <c r="AD17" s="17">
        <f t="shared" si="9"/>
        <v>0</v>
      </c>
      <c r="AE17" s="31">
        <f t="shared" si="9"/>
        <v>107</v>
      </c>
      <c r="AF17" s="31">
        <f t="shared" si="9"/>
        <v>342</v>
      </c>
    </row>
    <row r="18" spans="2:32" ht="23.1" customHeight="1" x14ac:dyDescent="0.25">
      <c r="B18" s="23" t="s">
        <v>45</v>
      </c>
      <c r="C18" s="50">
        <f>'[1]RD116 MCC'!H206</f>
        <v>4</v>
      </c>
      <c r="D18" s="50">
        <v>2</v>
      </c>
      <c r="E18" s="50">
        <v>4</v>
      </c>
      <c r="F18" s="50">
        <v>1</v>
      </c>
      <c r="G18" s="50">
        <v>0</v>
      </c>
      <c r="H18" s="50">
        <v>1</v>
      </c>
      <c r="I18" s="50">
        <v>2</v>
      </c>
      <c r="J18" s="50">
        <v>0</v>
      </c>
      <c r="K18" s="50">
        <v>0</v>
      </c>
      <c r="L18" s="50">
        <v>2</v>
      </c>
      <c r="M18" s="50">
        <v>31</v>
      </c>
      <c r="N18" s="50">
        <v>0</v>
      </c>
      <c r="O18" s="15">
        <f t="shared" si="0"/>
        <v>16</v>
      </c>
      <c r="P18" s="15">
        <f t="shared" si="1"/>
        <v>47</v>
      </c>
      <c r="R18" s="1" t="s">
        <v>14</v>
      </c>
      <c r="S18" s="17">
        <f t="shared" ref="S18:AF18" si="10">SUM(C42:C45)</f>
        <v>26</v>
      </c>
      <c r="T18" s="17">
        <f t="shared" si="10"/>
        <v>12</v>
      </c>
      <c r="U18" s="17">
        <f t="shared" si="10"/>
        <v>25</v>
      </c>
      <c r="V18" s="17">
        <f t="shared" si="10"/>
        <v>0</v>
      </c>
      <c r="W18" s="17">
        <f t="shared" si="10"/>
        <v>0</v>
      </c>
      <c r="X18" s="17">
        <f t="shared" si="10"/>
        <v>4</v>
      </c>
      <c r="Y18" s="17">
        <f t="shared" si="10"/>
        <v>14</v>
      </c>
      <c r="Z18" s="17">
        <f t="shared" si="10"/>
        <v>1</v>
      </c>
      <c r="AA18" s="17">
        <f t="shared" si="10"/>
        <v>1</v>
      </c>
      <c r="AB18" s="17">
        <f t="shared" si="10"/>
        <v>6</v>
      </c>
      <c r="AC18" s="17">
        <f t="shared" si="10"/>
        <v>185</v>
      </c>
      <c r="AD18" s="17">
        <f t="shared" si="10"/>
        <v>0</v>
      </c>
      <c r="AE18" s="31">
        <f t="shared" si="10"/>
        <v>89</v>
      </c>
      <c r="AF18" s="31">
        <f t="shared" si="10"/>
        <v>274</v>
      </c>
    </row>
    <row r="19" spans="2:32" ht="23.1" customHeight="1" x14ac:dyDescent="0.25">
      <c r="B19" s="23" t="s">
        <v>46</v>
      </c>
      <c r="C19" s="50">
        <f>'[1]RD116 MCC'!H207</f>
        <v>5</v>
      </c>
      <c r="D19" s="50">
        <v>2</v>
      </c>
      <c r="E19" s="50">
        <v>5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67</v>
      </c>
      <c r="N19" s="50">
        <v>0</v>
      </c>
      <c r="O19" s="15">
        <f t="shared" si="0"/>
        <v>15</v>
      </c>
      <c r="P19" s="15">
        <f t="shared" si="1"/>
        <v>82</v>
      </c>
      <c r="R19" s="1" t="s">
        <v>15</v>
      </c>
      <c r="S19" s="17">
        <f t="shared" ref="S19:AF19" si="11">SUM(C46:C49)</f>
        <v>24</v>
      </c>
      <c r="T19" s="17">
        <f t="shared" si="11"/>
        <v>10</v>
      </c>
      <c r="U19" s="17">
        <f t="shared" si="11"/>
        <v>22</v>
      </c>
      <c r="V19" s="17">
        <f t="shared" si="11"/>
        <v>2</v>
      </c>
      <c r="W19" s="17">
        <f t="shared" si="11"/>
        <v>0</v>
      </c>
      <c r="X19" s="17">
        <f t="shared" si="11"/>
        <v>6</v>
      </c>
      <c r="Y19" s="17">
        <f t="shared" si="11"/>
        <v>11</v>
      </c>
      <c r="Z19" s="17">
        <f t="shared" si="11"/>
        <v>1</v>
      </c>
      <c r="AA19" s="17">
        <f t="shared" si="11"/>
        <v>0</v>
      </c>
      <c r="AB19" s="17">
        <f t="shared" si="11"/>
        <v>4</v>
      </c>
      <c r="AC19" s="17">
        <f t="shared" si="11"/>
        <v>226</v>
      </c>
      <c r="AD19" s="17">
        <f t="shared" si="11"/>
        <v>0</v>
      </c>
      <c r="AE19" s="31">
        <f t="shared" si="11"/>
        <v>80</v>
      </c>
      <c r="AF19" s="31">
        <f t="shared" si="11"/>
        <v>306</v>
      </c>
    </row>
    <row r="20" spans="2:32" ht="23.1" customHeight="1" x14ac:dyDescent="0.25">
      <c r="B20" s="23" t="s">
        <v>47</v>
      </c>
      <c r="C20" s="50">
        <f>'[1]RD116 MCC'!H208</f>
        <v>1</v>
      </c>
      <c r="D20" s="50">
        <v>2</v>
      </c>
      <c r="E20" s="50">
        <v>4</v>
      </c>
      <c r="F20" s="50">
        <v>2</v>
      </c>
      <c r="G20" s="50">
        <v>0</v>
      </c>
      <c r="H20" s="50">
        <v>1</v>
      </c>
      <c r="I20" s="50">
        <v>2</v>
      </c>
      <c r="J20" s="50">
        <v>1</v>
      </c>
      <c r="K20" s="50">
        <v>0</v>
      </c>
      <c r="L20" s="50">
        <v>2</v>
      </c>
      <c r="M20" s="50">
        <v>62</v>
      </c>
      <c r="N20" s="50">
        <v>0</v>
      </c>
      <c r="O20" s="15">
        <f t="shared" si="0"/>
        <v>15</v>
      </c>
      <c r="P20" s="15">
        <f t="shared" si="1"/>
        <v>77</v>
      </c>
      <c r="R20" s="1" t="s">
        <v>16</v>
      </c>
      <c r="S20" s="17">
        <f t="shared" ref="S20:AF20" si="12">SUM(C50:C53)</f>
        <v>26</v>
      </c>
      <c r="T20" s="17">
        <f t="shared" si="12"/>
        <v>7</v>
      </c>
      <c r="U20" s="17">
        <f t="shared" si="12"/>
        <v>16</v>
      </c>
      <c r="V20" s="17">
        <f t="shared" si="12"/>
        <v>4</v>
      </c>
      <c r="W20" s="17">
        <f t="shared" si="12"/>
        <v>0</v>
      </c>
      <c r="X20" s="17">
        <f t="shared" si="12"/>
        <v>1</v>
      </c>
      <c r="Y20" s="17">
        <f t="shared" si="12"/>
        <v>11</v>
      </c>
      <c r="Z20" s="17">
        <f t="shared" si="12"/>
        <v>1</v>
      </c>
      <c r="AA20" s="17">
        <f t="shared" si="12"/>
        <v>0</v>
      </c>
      <c r="AB20" s="17">
        <f t="shared" si="12"/>
        <v>6</v>
      </c>
      <c r="AC20" s="17">
        <f t="shared" si="12"/>
        <v>222</v>
      </c>
      <c r="AD20" s="17">
        <f t="shared" si="12"/>
        <v>0</v>
      </c>
      <c r="AE20" s="31">
        <f t="shared" si="12"/>
        <v>72</v>
      </c>
      <c r="AF20" s="31">
        <f t="shared" si="12"/>
        <v>294</v>
      </c>
    </row>
    <row r="21" spans="2:32" ht="23.1" customHeight="1" x14ac:dyDescent="0.25">
      <c r="B21" s="23" t="s">
        <v>48</v>
      </c>
      <c r="C21" s="50">
        <f>'[1]RD116 MCC'!H209</f>
        <v>3</v>
      </c>
      <c r="D21" s="50">
        <v>4</v>
      </c>
      <c r="E21" s="50">
        <v>8</v>
      </c>
      <c r="F21" s="50">
        <v>3</v>
      </c>
      <c r="G21" s="50">
        <v>0</v>
      </c>
      <c r="H21" s="50">
        <v>1</v>
      </c>
      <c r="I21" s="50">
        <v>4</v>
      </c>
      <c r="J21" s="50">
        <v>0</v>
      </c>
      <c r="K21" s="50">
        <v>0</v>
      </c>
      <c r="L21" s="50">
        <v>2</v>
      </c>
      <c r="M21" s="50">
        <v>49</v>
      </c>
      <c r="N21" s="50">
        <v>0</v>
      </c>
      <c r="O21" s="15">
        <f t="shared" si="0"/>
        <v>25</v>
      </c>
      <c r="P21" s="15">
        <f t="shared" si="1"/>
        <v>74</v>
      </c>
      <c r="R21" s="36" t="s">
        <v>20</v>
      </c>
      <c r="S21" s="34">
        <f t="shared" ref="S21:AF21" si="13">SUM(C54:C57)</f>
        <v>11</v>
      </c>
      <c r="T21" s="17">
        <f t="shared" si="13"/>
        <v>6</v>
      </c>
      <c r="U21" s="17">
        <f t="shared" si="13"/>
        <v>13</v>
      </c>
      <c r="V21" s="17">
        <f t="shared" si="13"/>
        <v>3</v>
      </c>
      <c r="W21" s="17">
        <f t="shared" si="13"/>
        <v>1</v>
      </c>
      <c r="X21" s="17">
        <f t="shared" si="13"/>
        <v>3</v>
      </c>
      <c r="Y21" s="17">
        <f t="shared" si="13"/>
        <v>10</v>
      </c>
      <c r="Z21" s="17">
        <f t="shared" si="13"/>
        <v>4</v>
      </c>
      <c r="AA21" s="17">
        <f t="shared" si="13"/>
        <v>0</v>
      </c>
      <c r="AB21" s="17">
        <f t="shared" si="13"/>
        <v>3</v>
      </c>
      <c r="AC21" s="17">
        <f t="shared" si="13"/>
        <v>214</v>
      </c>
      <c r="AD21" s="17">
        <f t="shared" si="13"/>
        <v>0</v>
      </c>
      <c r="AE21" s="31">
        <f t="shared" si="13"/>
        <v>54</v>
      </c>
      <c r="AF21" s="31">
        <f t="shared" si="13"/>
        <v>268</v>
      </c>
    </row>
    <row r="22" spans="2:32" ht="23.1" customHeight="1" x14ac:dyDescent="0.25">
      <c r="B22" s="23" t="s">
        <v>49</v>
      </c>
      <c r="C22" s="50">
        <f>'[1]RD116 MCC'!H210</f>
        <v>8</v>
      </c>
      <c r="D22" s="50">
        <v>5</v>
      </c>
      <c r="E22" s="50">
        <v>11</v>
      </c>
      <c r="F22" s="50">
        <v>0</v>
      </c>
      <c r="G22" s="50">
        <v>1</v>
      </c>
      <c r="H22" s="50">
        <v>1</v>
      </c>
      <c r="I22" s="50">
        <v>3</v>
      </c>
      <c r="J22" s="50">
        <v>1</v>
      </c>
      <c r="K22" s="50">
        <v>0</v>
      </c>
      <c r="L22" s="50">
        <v>4</v>
      </c>
      <c r="M22" s="50">
        <v>66</v>
      </c>
      <c r="N22" s="50">
        <v>0</v>
      </c>
      <c r="O22" s="15">
        <f t="shared" si="0"/>
        <v>34</v>
      </c>
      <c r="P22" s="15">
        <f t="shared" si="1"/>
        <v>100</v>
      </c>
      <c r="R22" s="38" t="s">
        <v>90</v>
      </c>
      <c r="S22" s="39">
        <f>MAX(S10:S12)</f>
        <v>13</v>
      </c>
      <c r="T22" s="39">
        <f t="shared" ref="T22:AF22" si="14">MAX(T10:T12)</f>
        <v>10</v>
      </c>
      <c r="U22" s="39">
        <f t="shared" si="14"/>
        <v>21</v>
      </c>
      <c r="V22" s="39">
        <f t="shared" si="14"/>
        <v>6</v>
      </c>
      <c r="W22" s="39">
        <f t="shared" si="14"/>
        <v>0</v>
      </c>
      <c r="X22" s="39">
        <f t="shared" si="14"/>
        <v>3</v>
      </c>
      <c r="Y22" s="39">
        <f t="shared" si="14"/>
        <v>9</v>
      </c>
      <c r="Z22" s="39">
        <f t="shared" si="14"/>
        <v>1</v>
      </c>
      <c r="AA22" s="39">
        <f t="shared" si="14"/>
        <v>1</v>
      </c>
      <c r="AB22" s="39">
        <f t="shared" si="14"/>
        <v>8</v>
      </c>
      <c r="AC22" s="39">
        <f t="shared" si="14"/>
        <v>209</v>
      </c>
      <c r="AD22" s="39">
        <f t="shared" si="14"/>
        <v>1</v>
      </c>
      <c r="AE22" s="40">
        <f t="shared" si="14"/>
        <v>71</v>
      </c>
      <c r="AF22" s="40">
        <f t="shared" si="14"/>
        <v>280</v>
      </c>
    </row>
    <row r="23" spans="2:32" ht="23.1" customHeight="1" x14ac:dyDescent="0.25">
      <c r="B23" s="23" t="s">
        <v>50</v>
      </c>
      <c r="C23" s="50">
        <f>'[1]RD116 MCC'!H211</f>
        <v>6</v>
      </c>
      <c r="D23" s="50">
        <v>4</v>
      </c>
      <c r="E23" s="50">
        <v>8</v>
      </c>
      <c r="F23" s="50">
        <v>1</v>
      </c>
      <c r="G23" s="50">
        <v>0</v>
      </c>
      <c r="H23" s="50">
        <v>1</v>
      </c>
      <c r="I23" s="50">
        <v>3</v>
      </c>
      <c r="J23" s="50">
        <v>0</v>
      </c>
      <c r="K23" s="50">
        <v>0</v>
      </c>
      <c r="L23" s="50">
        <v>0</v>
      </c>
      <c r="M23" s="50">
        <v>51</v>
      </c>
      <c r="N23" s="50">
        <v>0</v>
      </c>
      <c r="O23" s="15">
        <f t="shared" si="0"/>
        <v>23</v>
      </c>
      <c r="P23" s="15">
        <f t="shared" si="1"/>
        <v>74</v>
      </c>
      <c r="R23" s="38" t="s">
        <v>91</v>
      </c>
      <c r="S23" s="39">
        <f>MAX(S13:S18)</f>
        <v>35</v>
      </c>
      <c r="T23" s="39">
        <f t="shared" ref="T23:AF23" si="15">MAX(T13:T18)</f>
        <v>16</v>
      </c>
      <c r="U23" s="39">
        <f t="shared" si="15"/>
        <v>34</v>
      </c>
      <c r="V23" s="39">
        <f t="shared" si="15"/>
        <v>8</v>
      </c>
      <c r="W23" s="39">
        <f t="shared" si="15"/>
        <v>1</v>
      </c>
      <c r="X23" s="39">
        <f t="shared" si="15"/>
        <v>4</v>
      </c>
      <c r="Y23" s="39">
        <f t="shared" si="15"/>
        <v>14</v>
      </c>
      <c r="Z23" s="39">
        <f t="shared" si="15"/>
        <v>4</v>
      </c>
      <c r="AA23" s="39">
        <f t="shared" si="15"/>
        <v>1</v>
      </c>
      <c r="AB23" s="39">
        <f t="shared" si="15"/>
        <v>19</v>
      </c>
      <c r="AC23" s="39">
        <f t="shared" si="15"/>
        <v>235</v>
      </c>
      <c r="AD23" s="39">
        <f t="shared" si="15"/>
        <v>0</v>
      </c>
      <c r="AE23" s="40">
        <f t="shared" si="15"/>
        <v>115</v>
      </c>
      <c r="AF23" s="40">
        <f t="shared" si="15"/>
        <v>342</v>
      </c>
    </row>
    <row r="24" spans="2:32" ht="23.1" customHeight="1" x14ac:dyDescent="0.25">
      <c r="B24" s="23" t="s">
        <v>51</v>
      </c>
      <c r="C24" s="50">
        <f>'[1]RD116 MCC'!H212</f>
        <v>2</v>
      </c>
      <c r="D24" s="50">
        <v>2</v>
      </c>
      <c r="E24" s="50">
        <v>4</v>
      </c>
      <c r="F24" s="50">
        <v>2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48</v>
      </c>
      <c r="N24" s="50">
        <v>0</v>
      </c>
      <c r="O24" s="15">
        <f t="shared" si="0"/>
        <v>14</v>
      </c>
      <c r="P24" s="15">
        <f t="shared" si="1"/>
        <v>62</v>
      </c>
      <c r="R24" s="38" t="s">
        <v>92</v>
      </c>
      <c r="S24" s="39">
        <f>MAX(S19:S21)</f>
        <v>26</v>
      </c>
      <c r="T24" s="39">
        <f t="shared" ref="T24:AF24" si="16">MAX(T19:T21)</f>
        <v>10</v>
      </c>
      <c r="U24" s="39">
        <f t="shared" si="16"/>
        <v>22</v>
      </c>
      <c r="V24" s="39">
        <f t="shared" si="16"/>
        <v>4</v>
      </c>
      <c r="W24" s="39">
        <f t="shared" si="16"/>
        <v>1</v>
      </c>
      <c r="X24" s="39">
        <f t="shared" si="16"/>
        <v>6</v>
      </c>
      <c r="Y24" s="39">
        <f t="shared" si="16"/>
        <v>11</v>
      </c>
      <c r="Z24" s="39">
        <f t="shared" si="16"/>
        <v>4</v>
      </c>
      <c r="AA24" s="39">
        <f t="shared" si="16"/>
        <v>0</v>
      </c>
      <c r="AB24" s="39">
        <f t="shared" si="16"/>
        <v>6</v>
      </c>
      <c r="AC24" s="39">
        <f t="shared" si="16"/>
        <v>226</v>
      </c>
      <c r="AD24" s="39">
        <f t="shared" si="16"/>
        <v>0</v>
      </c>
      <c r="AE24" s="40">
        <f t="shared" si="16"/>
        <v>80</v>
      </c>
      <c r="AF24" s="40">
        <f t="shared" si="16"/>
        <v>306</v>
      </c>
    </row>
    <row r="25" spans="2:32" ht="23.1" customHeight="1" x14ac:dyDescent="0.25">
      <c r="B25" s="23" t="s">
        <v>52</v>
      </c>
      <c r="C25" s="50">
        <f>'[1]RD116 MCC'!H213</f>
        <v>7</v>
      </c>
      <c r="D25" s="50">
        <v>5</v>
      </c>
      <c r="E25" s="50">
        <v>10</v>
      </c>
      <c r="F25" s="50">
        <v>0</v>
      </c>
      <c r="G25" s="50">
        <v>0</v>
      </c>
      <c r="H25" s="50">
        <v>1</v>
      </c>
      <c r="I25" s="50">
        <v>4</v>
      </c>
      <c r="J25" s="50">
        <v>0</v>
      </c>
      <c r="K25" s="50">
        <v>1</v>
      </c>
      <c r="L25" s="50">
        <v>2</v>
      </c>
      <c r="M25" s="50">
        <v>45</v>
      </c>
      <c r="N25" s="50">
        <v>0</v>
      </c>
      <c r="O25" s="15">
        <f t="shared" si="0"/>
        <v>30</v>
      </c>
      <c r="P25" s="15">
        <f t="shared" si="1"/>
        <v>75</v>
      </c>
      <c r="R25" s="37" t="s">
        <v>85</v>
      </c>
      <c r="S25" s="35">
        <f t="shared" ref="S25:AF25" si="17">SUM(S10:S12)</f>
        <v>32</v>
      </c>
      <c r="T25" s="16">
        <f t="shared" si="17"/>
        <v>23</v>
      </c>
      <c r="U25" s="16">
        <f t="shared" si="17"/>
        <v>49</v>
      </c>
      <c r="V25" s="16">
        <f t="shared" si="17"/>
        <v>13</v>
      </c>
      <c r="W25" s="16">
        <f t="shared" si="17"/>
        <v>0</v>
      </c>
      <c r="X25" s="16">
        <f t="shared" si="17"/>
        <v>8</v>
      </c>
      <c r="Y25" s="16">
        <f t="shared" si="17"/>
        <v>18</v>
      </c>
      <c r="Z25" s="16">
        <f t="shared" si="17"/>
        <v>2</v>
      </c>
      <c r="AA25" s="16">
        <f t="shared" si="17"/>
        <v>1</v>
      </c>
      <c r="AB25" s="16">
        <f t="shared" si="17"/>
        <v>14</v>
      </c>
      <c r="AC25" s="16">
        <f t="shared" si="17"/>
        <v>482</v>
      </c>
      <c r="AD25" s="16">
        <f t="shared" si="17"/>
        <v>1</v>
      </c>
      <c r="AE25" s="32">
        <f t="shared" si="17"/>
        <v>161</v>
      </c>
      <c r="AF25" s="32">
        <f t="shared" si="17"/>
        <v>643</v>
      </c>
    </row>
    <row r="26" spans="2:32" ht="23.1" customHeight="1" x14ac:dyDescent="0.25">
      <c r="B26" s="23" t="s">
        <v>53</v>
      </c>
      <c r="C26" s="50">
        <f>'[1]RD116 MCC'!H214</f>
        <v>7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6</v>
      </c>
      <c r="M26" s="50">
        <v>42</v>
      </c>
      <c r="N26" s="50">
        <v>0</v>
      </c>
      <c r="O26" s="15">
        <f t="shared" si="0"/>
        <v>18</v>
      </c>
      <c r="P26" s="15">
        <f t="shared" si="1"/>
        <v>60</v>
      </c>
      <c r="R26" s="28" t="s">
        <v>86</v>
      </c>
      <c r="S26" s="16">
        <f t="shared" ref="S26:AF26" si="18">SUM(S13:S18)</f>
        <v>158</v>
      </c>
      <c r="T26" s="16">
        <f t="shared" si="18"/>
        <v>81</v>
      </c>
      <c r="U26" s="16">
        <f t="shared" si="18"/>
        <v>172</v>
      </c>
      <c r="V26" s="16">
        <f t="shared" si="18"/>
        <v>21</v>
      </c>
      <c r="W26" s="16">
        <f t="shared" si="18"/>
        <v>2</v>
      </c>
      <c r="X26" s="16">
        <f t="shared" si="18"/>
        <v>16</v>
      </c>
      <c r="Y26" s="16">
        <f t="shared" si="18"/>
        <v>74</v>
      </c>
      <c r="Z26" s="16">
        <f t="shared" si="18"/>
        <v>9</v>
      </c>
      <c r="AA26" s="16">
        <f t="shared" si="18"/>
        <v>3</v>
      </c>
      <c r="AB26" s="16">
        <f t="shared" si="18"/>
        <v>71</v>
      </c>
      <c r="AC26" s="16">
        <f t="shared" si="18"/>
        <v>1262</v>
      </c>
      <c r="AD26" s="16">
        <f t="shared" si="18"/>
        <v>0</v>
      </c>
      <c r="AE26" s="32">
        <f t="shared" si="18"/>
        <v>607</v>
      </c>
      <c r="AF26" s="32">
        <f t="shared" si="18"/>
        <v>1869</v>
      </c>
    </row>
    <row r="27" spans="2:32" ht="23.1" customHeight="1" x14ac:dyDescent="0.25">
      <c r="B27" s="23" t="s">
        <v>54</v>
      </c>
      <c r="C27" s="50">
        <f>'[1]RD116 MCC'!H215</f>
        <v>10</v>
      </c>
      <c r="D27" s="50">
        <v>4</v>
      </c>
      <c r="E27" s="50">
        <v>9</v>
      </c>
      <c r="F27" s="50">
        <v>1</v>
      </c>
      <c r="G27" s="50">
        <v>0</v>
      </c>
      <c r="H27" s="50">
        <v>1</v>
      </c>
      <c r="I27" s="50">
        <v>2</v>
      </c>
      <c r="J27" s="50">
        <v>0</v>
      </c>
      <c r="K27" s="50">
        <v>0</v>
      </c>
      <c r="L27" s="50">
        <v>4</v>
      </c>
      <c r="M27" s="50">
        <v>55</v>
      </c>
      <c r="N27" s="50">
        <v>0</v>
      </c>
      <c r="O27" s="15">
        <f t="shared" si="0"/>
        <v>31</v>
      </c>
      <c r="P27" s="15">
        <f t="shared" si="1"/>
        <v>86</v>
      </c>
      <c r="R27" s="29" t="s">
        <v>87</v>
      </c>
      <c r="S27" s="16">
        <f t="shared" ref="S27:AF27" si="19">SUM(S19:S21)</f>
        <v>61</v>
      </c>
      <c r="T27" s="16">
        <f t="shared" si="19"/>
        <v>23</v>
      </c>
      <c r="U27" s="16">
        <f t="shared" si="19"/>
        <v>51</v>
      </c>
      <c r="V27" s="16">
        <f t="shared" si="19"/>
        <v>9</v>
      </c>
      <c r="W27" s="16">
        <f t="shared" si="19"/>
        <v>1</v>
      </c>
      <c r="X27" s="16">
        <f t="shared" si="19"/>
        <v>10</v>
      </c>
      <c r="Y27" s="16">
        <f t="shared" si="19"/>
        <v>32</v>
      </c>
      <c r="Z27" s="16">
        <f t="shared" si="19"/>
        <v>6</v>
      </c>
      <c r="AA27" s="16">
        <f t="shared" si="19"/>
        <v>0</v>
      </c>
      <c r="AB27" s="16">
        <f t="shared" si="19"/>
        <v>13</v>
      </c>
      <c r="AC27" s="16">
        <f t="shared" si="19"/>
        <v>662</v>
      </c>
      <c r="AD27" s="16">
        <f t="shared" si="19"/>
        <v>0</v>
      </c>
      <c r="AE27" s="32">
        <f t="shared" si="19"/>
        <v>206</v>
      </c>
      <c r="AF27" s="32">
        <f t="shared" si="19"/>
        <v>868</v>
      </c>
    </row>
    <row r="28" spans="2:32" ht="23.1" customHeight="1" x14ac:dyDescent="0.25">
      <c r="B28" s="23" t="s">
        <v>55</v>
      </c>
      <c r="C28" s="50">
        <f>'[1]RD116 MCC'!H216</f>
        <v>5</v>
      </c>
      <c r="D28" s="50">
        <v>4</v>
      </c>
      <c r="E28" s="50">
        <v>8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3</v>
      </c>
      <c r="M28" s="50">
        <v>65</v>
      </c>
      <c r="N28" s="50">
        <v>0</v>
      </c>
      <c r="O28" s="15">
        <f t="shared" si="0"/>
        <v>22</v>
      </c>
      <c r="P28" s="15">
        <f t="shared" si="1"/>
        <v>87</v>
      </c>
      <c r="R28" s="5" t="s">
        <v>17</v>
      </c>
      <c r="S28" s="16">
        <f t="shared" ref="S28:AF28" si="20">SUM(S10:S21)</f>
        <v>251</v>
      </c>
      <c r="T28" s="16">
        <f t="shared" si="20"/>
        <v>127</v>
      </c>
      <c r="U28" s="16">
        <f t="shared" si="20"/>
        <v>272</v>
      </c>
      <c r="V28" s="16">
        <f t="shared" si="20"/>
        <v>43</v>
      </c>
      <c r="W28" s="16">
        <f t="shared" si="20"/>
        <v>3</v>
      </c>
      <c r="X28" s="16">
        <f t="shared" si="20"/>
        <v>34</v>
      </c>
      <c r="Y28" s="16">
        <f t="shared" si="20"/>
        <v>124</v>
      </c>
      <c r="Z28" s="16">
        <f t="shared" si="20"/>
        <v>17</v>
      </c>
      <c r="AA28" s="16">
        <f t="shared" si="20"/>
        <v>4</v>
      </c>
      <c r="AB28" s="16">
        <f t="shared" si="20"/>
        <v>98</v>
      </c>
      <c r="AC28" s="16">
        <f t="shared" si="20"/>
        <v>2406</v>
      </c>
      <c r="AD28" s="16">
        <f t="shared" si="20"/>
        <v>1</v>
      </c>
      <c r="AE28" s="32">
        <f t="shared" si="20"/>
        <v>974</v>
      </c>
      <c r="AF28" s="32">
        <f t="shared" si="20"/>
        <v>3380</v>
      </c>
    </row>
    <row r="29" spans="2:32" ht="23.1" customHeight="1" x14ac:dyDescent="0.25">
      <c r="B29" s="23" t="s">
        <v>56</v>
      </c>
      <c r="C29" s="50">
        <f>'[1]RD116 MCC'!H217</f>
        <v>5</v>
      </c>
      <c r="D29" s="50">
        <v>2</v>
      </c>
      <c r="E29" s="50">
        <v>5</v>
      </c>
      <c r="F29" s="50">
        <v>0</v>
      </c>
      <c r="G29" s="50">
        <v>0</v>
      </c>
      <c r="H29" s="50">
        <v>0</v>
      </c>
      <c r="I29" s="50">
        <v>5</v>
      </c>
      <c r="J29" s="50">
        <v>0</v>
      </c>
      <c r="K29" s="50">
        <v>0</v>
      </c>
      <c r="L29" s="50">
        <v>4</v>
      </c>
      <c r="M29" s="50">
        <v>52</v>
      </c>
      <c r="N29" s="50">
        <v>0</v>
      </c>
      <c r="O29" s="15">
        <f t="shared" si="0"/>
        <v>21</v>
      </c>
      <c r="P29" s="15">
        <f t="shared" si="1"/>
        <v>73</v>
      </c>
      <c r="R29"/>
      <c r="S29" s="20"/>
      <c r="T29" s="19"/>
    </row>
    <row r="30" spans="2:32" ht="23.1" customHeight="1" x14ac:dyDescent="0.25">
      <c r="B30" s="23" t="s">
        <v>57</v>
      </c>
      <c r="C30" s="50">
        <f>'[1]RD116 MCC'!H218</f>
        <v>8</v>
      </c>
      <c r="D30" s="50">
        <v>1</v>
      </c>
      <c r="E30" s="50">
        <v>3</v>
      </c>
      <c r="F30" s="50">
        <v>0</v>
      </c>
      <c r="G30" s="50">
        <v>0</v>
      </c>
      <c r="H30" s="50">
        <v>0</v>
      </c>
      <c r="I30" s="50">
        <v>5</v>
      </c>
      <c r="J30" s="50">
        <v>1</v>
      </c>
      <c r="K30" s="50">
        <v>0</v>
      </c>
      <c r="L30" s="50">
        <v>5</v>
      </c>
      <c r="M30" s="50">
        <v>58</v>
      </c>
      <c r="N30" s="50">
        <v>0</v>
      </c>
      <c r="O30" s="15">
        <f t="shared" si="0"/>
        <v>23</v>
      </c>
      <c r="P30" s="15">
        <f t="shared" si="1"/>
        <v>81</v>
      </c>
    </row>
    <row r="31" spans="2:32" ht="23.1" customHeight="1" x14ac:dyDescent="0.25">
      <c r="B31" s="24" t="s">
        <v>58</v>
      </c>
      <c r="C31" s="50">
        <f>'[1]RD116 MCC'!H219</f>
        <v>9</v>
      </c>
      <c r="D31" s="50">
        <v>2</v>
      </c>
      <c r="E31" s="50">
        <v>4</v>
      </c>
      <c r="F31" s="50">
        <v>2</v>
      </c>
      <c r="G31" s="50">
        <v>0</v>
      </c>
      <c r="H31" s="50">
        <v>1</v>
      </c>
      <c r="I31" s="50">
        <v>3</v>
      </c>
      <c r="J31" s="50">
        <v>1</v>
      </c>
      <c r="K31" s="50">
        <v>0</v>
      </c>
      <c r="L31" s="50">
        <v>6</v>
      </c>
      <c r="M31" s="50">
        <v>54</v>
      </c>
      <c r="N31" s="50">
        <v>0</v>
      </c>
      <c r="O31" s="15">
        <f t="shared" si="0"/>
        <v>28</v>
      </c>
      <c r="P31" s="15">
        <f t="shared" si="1"/>
        <v>82</v>
      </c>
    </row>
    <row r="32" spans="2:32" ht="23.1" customHeight="1" x14ac:dyDescent="0.25">
      <c r="B32" s="24" t="s">
        <v>59</v>
      </c>
      <c r="C32" s="50">
        <f>'[1]RD116 MCC'!H220</f>
        <v>6</v>
      </c>
      <c r="D32" s="50">
        <v>4</v>
      </c>
      <c r="E32" s="50">
        <v>8</v>
      </c>
      <c r="F32" s="50">
        <v>0</v>
      </c>
      <c r="G32" s="50">
        <v>0</v>
      </c>
      <c r="H32" s="50">
        <v>2</v>
      </c>
      <c r="I32" s="50">
        <v>4</v>
      </c>
      <c r="J32" s="50">
        <v>0</v>
      </c>
      <c r="K32" s="50">
        <v>0</v>
      </c>
      <c r="L32" s="50">
        <v>2</v>
      </c>
      <c r="M32" s="50">
        <v>48</v>
      </c>
      <c r="N32" s="50">
        <v>0</v>
      </c>
      <c r="O32" s="15">
        <f t="shared" si="0"/>
        <v>26</v>
      </c>
      <c r="P32" s="15">
        <f t="shared" si="1"/>
        <v>74</v>
      </c>
    </row>
    <row r="33" spans="2:20" ht="23.1" customHeight="1" x14ac:dyDescent="0.25">
      <c r="B33" s="23" t="s">
        <v>60</v>
      </c>
      <c r="C33" s="50">
        <f>'[1]RD116 MCC'!H221</f>
        <v>5</v>
      </c>
      <c r="D33" s="50">
        <v>4</v>
      </c>
      <c r="E33" s="50">
        <v>9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6</v>
      </c>
      <c r="M33" s="50">
        <v>51</v>
      </c>
      <c r="N33" s="50">
        <v>0</v>
      </c>
      <c r="O33" s="15">
        <f t="shared" si="0"/>
        <v>26</v>
      </c>
      <c r="P33" s="15">
        <f t="shared" si="1"/>
        <v>77</v>
      </c>
    </row>
    <row r="34" spans="2:20" ht="23.1" customHeight="1" x14ac:dyDescent="0.25">
      <c r="B34" s="24" t="s">
        <v>61</v>
      </c>
      <c r="C34" s="50">
        <f>'[1]RD116 MCC'!H222</f>
        <v>7</v>
      </c>
      <c r="D34" s="50">
        <v>4</v>
      </c>
      <c r="E34" s="50">
        <v>8</v>
      </c>
      <c r="F34" s="50">
        <v>3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42</v>
      </c>
      <c r="N34" s="50">
        <v>0</v>
      </c>
      <c r="O34" s="15">
        <f t="shared" si="0"/>
        <v>23</v>
      </c>
      <c r="P34" s="15">
        <f t="shared" si="1"/>
        <v>65</v>
      </c>
    </row>
    <row r="35" spans="2:20" ht="23.1" customHeight="1" x14ac:dyDescent="0.25">
      <c r="B35" s="24" t="s">
        <v>62</v>
      </c>
      <c r="C35" s="50">
        <f>'[1]RD116 MCC'!H223</f>
        <v>6</v>
      </c>
      <c r="D35" s="50">
        <v>4</v>
      </c>
      <c r="E35" s="50">
        <v>8</v>
      </c>
      <c r="F35" s="50">
        <v>1</v>
      </c>
      <c r="G35" s="50">
        <v>0</v>
      </c>
      <c r="H35" s="50">
        <v>1</v>
      </c>
      <c r="I35" s="50">
        <v>2</v>
      </c>
      <c r="J35" s="50">
        <v>0</v>
      </c>
      <c r="K35" s="50">
        <v>0</v>
      </c>
      <c r="L35" s="50">
        <v>3</v>
      </c>
      <c r="M35" s="50">
        <v>54</v>
      </c>
      <c r="N35" s="50">
        <v>0</v>
      </c>
      <c r="O35" s="15">
        <f t="shared" si="0"/>
        <v>25</v>
      </c>
      <c r="P35" s="15">
        <f t="shared" si="1"/>
        <v>79</v>
      </c>
    </row>
    <row r="36" spans="2:20" ht="23.1" customHeight="1" x14ac:dyDescent="0.25">
      <c r="B36" s="24" t="s">
        <v>63</v>
      </c>
      <c r="C36" s="50">
        <f>'[1]RD116 MCC'!H224</f>
        <v>12</v>
      </c>
      <c r="D36" s="50">
        <v>3</v>
      </c>
      <c r="E36" s="50">
        <v>7</v>
      </c>
      <c r="F36" s="50">
        <v>1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6</v>
      </c>
      <c r="M36" s="50">
        <v>53</v>
      </c>
      <c r="N36" s="50">
        <v>0</v>
      </c>
      <c r="O36" s="15">
        <f t="shared" si="0"/>
        <v>34</v>
      </c>
      <c r="P36" s="15">
        <f t="shared" si="1"/>
        <v>87</v>
      </c>
    </row>
    <row r="37" spans="2:20" ht="23.1" customHeight="1" x14ac:dyDescent="0.25">
      <c r="B37" s="23" t="s">
        <v>64</v>
      </c>
      <c r="C37" s="50">
        <f>'[1]RD116 MCC'!H225</f>
        <v>10</v>
      </c>
      <c r="D37" s="50">
        <v>5</v>
      </c>
      <c r="E37" s="50">
        <v>10</v>
      </c>
      <c r="F37" s="50">
        <v>0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3</v>
      </c>
      <c r="M37" s="50">
        <v>58</v>
      </c>
      <c r="N37" s="50">
        <v>0</v>
      </c>
      <c r="O37" s="15">
        <f t="shared" si="0"/>
        <v>33</v>
      </c>
      <c r="P37" s="15">
        <f t="shared" si="1"/>
        <v>91</v>
      </c>
    </row>
    <row r="38" spans="2:20" ht="23.1" customHeight="1" x14ac:dyDescent="0.25">
      <c r="B38" s="24" t="s">
        <v>65</v>
      </c>
      <c r="C38" s="50">
        <f>'[1]RD116 MCC'!H226</f>
        <v>9</v>
      </c>
      <c r="D38" s="50">
        <v>6</v>
      </c>
      <c r="E38" s="50">
        <v>12</v>
      </c>
      <c r="F38" s="50">
        <v>4</v>
      </c>
      <c r="G38" s="50">
        <v>0</v>
      </c>
      <c r="H38" s="50">
        <v>2</v>
      </c>
      <c r="I38" s="50">
        <v>3</v>
      </c>
      <c r="J38" s="50">
        <v>2</v>
      </c>
      <c r="K38" s="50">
        <v>0</v>
      </c>
      <c r="L38" s="50">
        <v>2</v>
      </c>
      <c r="M38" s="50">
        <v>68</v>
      </c>
      <c r="N38" s="50">
        <v>0</v>
      </c>
      <c r="O38" s="15">
        <f t="shared" si="0"/>
        <v>40</v>
      </c>
      <c r="P38" s="15">
        <f t="shared" si="1"/>
        <v>108</v>
      </c>
    </row>
    <row r="39" spans="2:20" ht="23.1" customHeight="1" x14ac:dyDescent="0.25">
      <c r="B39" s="24" t="s">
        <v>66</v>
      </c>
      <c r="C39" s="50">
        <f>'[1]RD116 MCC'!H227</f>
        <v>4</v>
      </c>
      <c r="D39" s="50">
        <v>3</v>
      </c>
      <c r="E39" s="50">
        <v>7</v>
      </c>
      <c r="F39" s="50">
        <v>1</v>
      </c>
      <c r="G39" s="50">
        <v>0</v>
      </c>
      <c r="H39" s="50">
        <v>1</v>
      </c>
      <c r="I39" s="50">
        <v>2</v>
      </c>
      <c r="J39" s="50">
        <v>1</v>
      </c>
      <c r="K39" s="50">
        <v>0</v>
      </c>
      <c r="L39" s="50">
        <v>3</v>
      </c>
      <c r="M39" s="50">
        <v>65</v>
      </c>
      <c r="N39" s="50">
        <v>0</v>
      </c>
      <c r="O39" s="15">
        <f t="shared" si="0"/>
        <v>22</v>
      </c>
      <c r="P39" s="15">
        <f t="shared" si="1"/>
        <v>87</v>
      </c>
    </row>
    <row r="40" spans="2:20" ht="23.1" customHeight="1" x14ac:dyDescent="0.25">
      <c r="B40" s="24" t="s">
        <v>67</v>
      </c>
      <c r="C40" s="50">
        <f>'[1]RD116 MCC'!H228</f>
        <v>3</v>
      </c>
      <c r="D40" s="50">
        <v>3</v>
      </c>
      <c r="E40" s="50">
        <v>7</v>
      </c>
      <c r="F40" s="50">
        <v>2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2</v>
      </c>
      <c r="M40" s="50">
        <v>45</v>
      </c>
      <c r="N40" s="50">
        <v>0</v>
      </c>
      <c r="O40" s="15">
        <f t="shared" si="0"/>
        <v>21</v>
      </c>
      <c r="P40" s="15">
        <f t="shared" si="1"/>
        <v>66</v>
      </c>
    </row>
    <row r="41" spans="2:20" ht="23.1" customHeight="1" x14ac:dyDescent="0.25">
      <c r="B41" s="23" t="s">
        <v>68</v>
      </c>
      <c r="C41" s="50">
        <f>'[1]RD116 MCC'!H229</f>
        <v>3</v>
      </c>
      <c r="D41" s="50">
        <v>4</v>
      </c>
      <c r="E41" s="50">
        <v>8</v>
      </c>
      <c r="F41" s="50">
        <v>1</v>
      </c>
      <c r="G41" s="50">
        <v>1</v>
      </c>
      <c r="H41" s="50">
        <v>1</v>
      </c>
      <c r="I41" s="50">
        <v>2</v>
      </c>
      <c r="J41" s="50">
        <v>0</v>
      </c>
      <c r="K41" s="50">
        <v>1</v>
      </c>
      <c r="L41" s="50">
        <v>3</v>
      </c>
      <c r="M41" s="50">
        <v>57</v>
      </c>
      <c r="N41" s="50">
        <v>0</v>
      </c>
      <c r="O41" s="15">
        <f t="shared" si="0"/>
        <v>24</v>
      </c>
      <c r="P41" s="15">
        <f t="shared" si="1"/>
        <v>81</v>
      </c>
    </row>
    <row r="42" spans="2:20" ht="23.1" customHeight="1" x14ac:dyDescent="0.25">
      <c r="B42" s="24" t="s">
        <v>69</v>
      </c>
      <c r="C42" s="50">
        <f>'[1]RD116 MCC'!H230</f>
        <v>11</v>
      </c>
      <c r="D42" s="50">
        <v>3</v>
      </c>
      <c r="E42" s="50">
        <v>6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2</v>
      </c>
      <c r="M42" s="50">
        <v>43</v>
      </c>
      <c r="N42" s="50">
        <v>0</v>
      </c>
      <c r="O42" s="15">
        <f t="shared" si="0"/>
        <v>23</v>
      </c>
      <c r="P42" s="15">
        <f t="shared" si="1"/>
        <v>66</v>
      </c>
    </row>
    <row r="43" spans="2:20" ht="23.1" customHeight="1" x14ac:dyDescent="0.25">
      <c r="B43" s="23" t="s">
        <v>70</v>
      </c>
      <c r="C43" s="50">
        <f>'[1]RD116 MCC'!H231</f>
        <v>6</v>
      </c>
      <c r="D43" s="50">
        <v>3</v>
      </c>
      <c r="E43" s="50">
        <v>6</v>
      </c>
      <c r="F43" s="50">
        <v>0</v>
      </c>
      <c r="G43" s="50">
        <v>0</v>
      </c>
      <c r="H43" s="50">
        <v>1</v>
      </c>
      <c r="I43" s="50">
        <v>7</v>
      </c>
      <c r="J43" s="50">
        <v>0</v>
      </c>
      <c r="K43" s="50">
        <v>0</v>
      </c>
      <c r="L43" s="50">
        <v>2</v>
      </c>
      <c r="M43" s="50">
        <v>54</v>
      </c>
      <c r="N43" s="50">
        <v>0</v>
      </c>
      <c r="O43" s="15">
        <f t="shared" si="0"/>
        <v>25</v>
      </c>
      <c r="P43" s="15">
        <f t="shared" si="1"/>
        <v>79</v>
      </c>
    </row>
    <row r="44" spans="2:20" ht="23.1" customHeight="1" x14ac:dyDescent="0.25">
      <c r="B44" s="25" t="s">
        <v>71</v>
      </c>
      <c r="C44" s="50">
        <f>'[1]RD116 MCC'!H232</f>
        <v>2</v>
      </c>
      <c r="D44" s="50">
        <v>4</v>
      </c>
      <c r="E44" s="50">
        <v>8</v>
      </c>
      <c r="F44" s="50">
        <v>0</v>
      </c>
      <c r="G44" s="50">
        <v>0</v>
      </c>
      <c r="H44" s="50">
        <v>1</v>
      </c>
      <c r="I44" s="50">
        <v>2</v>
      </c>
      <c r="J44" s="50">
        <v>0</v>
      </c>
      <c r="K44" s="50">
        <v>0</v>
      </c>
      <c r="L44" s="50">
        <v>0</v>
      </c>
      <c r="M44" s="50">
        <v>53</v>
      </c>
      <c r="N44" s="50">
        <v>0</v>
      </c>
      <c r="O44" s="15">
        <f t="shared" si="0"/>
        <v>17</v>
      </c>
      <c r="P44" s="15">
        <f t="shared" si="1"/>
        <v>70</v>
      </c>
    </row>
    <row r="45" spans="2:20" ht="23.1" customHeight="1" x14ac:dyDescent="0.25">
      <c r="B45" s="23" t="s">
        <v>72</v>
      </c>
      <c r="C45" s="50">
        <f>'[1]RD116 MCC'!H233</f>
        <v>7</v>
      </c>
      <c r="D45" s="50">
        <v>2</v>
      </c>
      <c r="E45" s="50">
        <v>5</v>
      </c>
      <c r="F45" s="50">
        <v>0</v>
      </c>
      <c r="G45" s="50">
        <v>0</v>
      </c>
      <c r="H45" s="50">
        <v>2</v>
      </c>
      <c r="I45" s="50">
        <v>4</v>
      </c>
      <c r="J45" s="50">
        <v>1</v>
      </c>
      <c r="K45" s="50">
        <v>1</v>
      </c>
      <c r="L45" s="50">
        <v>2</v>
      </c>
      <c r="M45" s="50">
        <v>35</v>
      </c>
      <c r="N45" s="50">
        <v>0</v>
      </c>
      <c r="O45" s="15">
        <f t="shared" si="0"/>
        <v>24</v>
      </c>
      <c r="P45" s="15">
        <f t="shared" si="1"/>
        <v>59</v>
      </c>
    </row>
    <row r="46" spans="2:20" ht="23.1" customHeight="1" x14ac:dyDescent="0.25">
      <c r="B46" s="24" t="s">
        <v>73</v>
      </c>
      <c r="C46" s="50">
        <f>'[1]RD116 MCC'!H234</f>
        <v>7</v>
      </c>
      <c r="D46" s="50">
        <v>1</v>
      </c>
      <c r="E46" s="50">
        <v>3</v>
      </c>
      <c r="F46" s="50">
        <v>1</v>
      </c>
      <c r="G46" s="50">
        <v>0</v>
      </c>
      <c r="H46" s="50">
        <v>2</v>
      </c>
      <c r="I46" s="50">
        <v>4</v>
      </c>
      <c r="J46" s="50">
        <v>0</v>
      </c>
      <c r="K46" s="50">
        <v>0</v>
      </c>
      <c r="L46" s="50">
        <v>1</v>
      </c>
      <c r="M46" s="50">
        <v>67</v>
      </c>
      <c r="N46" s="50">
        <v>0</v>
      </c>
      <c r="O46" s="15">
        <f t="shared" si="0"/>
        <v>19</v>
      </c>
      <c r="P46" s="15">
        <f t="shared" si="1"/>
        <v>86</v>
      </c>
      <c r="R46" s="8"/>
      <c r="T46"/>
    </row>
    <row r="47" spans="2:20" ht="23.1" customHeight="1" x14ac:dyDescent="0.25">
      <c r="B47" s="24" t="s">
        <v>74</v>
      </c>
      <c r="C47" s="50">
        <f>'[1]RD116 MCC'!H235</f>
        <v>2</v>
      </c>
      <c r="D47" s="50">
        <v>3</v>
      </c>
      <c r="E47" s="50">
        <v>7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2</v>
      </c>
      <c r="M47" s="50">
        <v>49</v>
      </c>
      <c r="N47" s="50">
        <v>0</v>
      </c>
      <c r="O47" s="15">
        <f t="shared" si="0"/>
        <v>16</v>
      </c>
      <c r="P47" s="15">
        <f t="shared" si="1"/>
        <v>65</v>
      </c>
      <c r="R47" s="8"/>
      <c r="T47"/>
    </row>
    <row r="48" spans="2:20" ht="23.1" customHeight="1" x14ac:dyDescent="0.25">
      <c r="B48" s="24" t="s">
        <v>75</v>
      </c>
      <c r="C48" s="50">
        <f>'[1]RD116 MCC'!H236</f>
        <v>7</v>
      </c>
      <c r="D48" s="50">
        <v>3</v>
      </c>
      <c r="E48" s="50">
        <v>6</v>
      </c>
      <c r="F48" s="50">
        <v>0</v>
      </c>
      <c r="G48" s="50">
        <v>0</v>
      </c>
      <c r="H48" s="50">
        <v>2</v>
      </c>
      <c r="I48" s="50">
        <v>4</v>
      </c>
      <c r="J48" s="50">
        <v>0</v>
      </c>
      <c r="K48" s="50">
        <v>0</v>
      </c>
      <c r="L48" s="50">
        <v>0</v>
      </c>
      <c r="M48" s="50">
        <v>61</v>
      </c>
      <c r="N48" s="50">
        <v>0</v>
      </c>
      <c r="O48" s="15">
        <f t="shared" si="0"/>
        <v>22</v>
      </c>
      <c r="P48" s="15">
        <f t="shared" si="1"/>
        <v>83</v>
      </c>
      <c r="R48" s="8"/>
      <c r="T48"/>
    </row>
    <row r="49" spans="2:20" ht="23.1" customHeight="1" x14ac:dyDescent="0.25">
      <c r="B49" s="23" t="s">
        <v>76</v>
      </c>
      <c r="C49" s="50">
        <f>'[1]RD116 MCC'!H237</f>
        <v>8</v>
      </c>
      <c r="D49" s="50">
        <v>3</v>
      </c>
      <c r="E49" s="50">
        <v>6</v>
      </c>
      <c r="F49" s="50">
        <v>0</v>
      </c>
      <c r="G49" s="50">
        <v>0</v>
      </c>
      <c r="H49" s="50">
        <v>2</v>
      </c>
      <c r="I49" s="50">
        <v>2</v>
      </c>
      <c r="J49" s="50">
        <v>1</v>
      </c>
      <c r="K49" s="50">
        <v>0</v>
      </c>
      <c r="L49" s="50">
        <v>1</v>
      </c>
      <c r="M49" s="50">
        <v>49</v>
      </c>
      <c r="N49" s="50">
        <v>0</v>
      </c>
      <c r="O49" s="15">
        <f t="shared" si="0"/>
        <v>23</v>
      </c>
      <c r="P49" s="15">
        <f t="shared" si="1"/>
        <v>72</v>
      </c>
      <c r="R49" s="8"/>
      <c r="T49"/>
    </row>
    <row r="50" spans="2:20" ht="23.1" customHeight="1" x14ac:dyDescent="0.25">
      <c r="B50" s="24" t="s">
        <v>77</v>
      </c>
      <c r="C50" s="50">
        <f>'[1]RD116 MCC'!H238</f>
        <v>9</v>
      </c>
      <c r="D50" s="50">
        <v>1</v>
      </c>
      <c r="E50" s="50">
        <v>3</v>
      </c>
      <c r="F50" s="50">
        <v>0</v>
      </c>
      <c r="G50" s="50">
        <v>0</v>
      </c>
      <c r="H50" s="50">
        <v>0</v>
      </c>
      <c r="I50" s="50">
        <v>4</v>
      </c>
      <c r="J50" s="50">
        <v>1</v>
      </c>
      <c r="K50" s="50">
        <v>0</v>
      </c>
      <c r="L50" s="50">
        <v>2</v>
      </c>
      <c r="M50" s="50">
        <v>47</v>
      </c>
      <c r="N50" s="50">
        <v>0</v>
      </c>
      <c r="O50" s="15">
        <f t="shared" si="0"/>
        <v>20</v>
      </c>
      <c r="P50" s="15">
        <f t="shared" si="1"/>
        <v>67</v>
      </c>
      <c r="R50" s="8"/>
      <c r="T50"/>
    </row>
    <row r="51" spans="2:20" ht="23.1" customHeight="1" x14ac:dyDescent="0.25">
      <c r="B51" s="24" t="s">
        <v>78</v>
      </c>
      <c r="C51" s="50">
        <f>'[1]RD116 MCC'!H239</f>
        <v>3</v>
      </c>
      <c r="D51" s="50">
        <v>2</v>
      </c>
      <c r="E51" s="50">
        <v>4</v>
      </c>
      <c r="F51" s="50">
        <v>1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2</v>
      </c>
      <c r="M51" s="50">
        <v>60</v>
      </c>
      <c r="N51" s="50">
        <v>0</v>
      </c>
      <c r="O51" s="15">
        <f t="shared" si="0"/>
        <v>14</v>
      </c>
      <c r="P51" s="15">
        <f t="shared" si="1"/>
        <v>74</v>
      </c>
      <c r="R51" s="8"/>
      <c r="T51"/>
    </row>
    <row r="52" spans="2:20" ht="23.1" customHeight="1" x14ac:dyDescent="0.25">
      <c r="B52" s="24" t="s">
        <v>79</v>
      </c>
      <c r="C52" s="50">
        <f>'[1]RD116 MCC'!H240</f>
        <v>5</v>
      </c>
      <c r="D52" s="50">
        <v>2</v>
      </c>
      <c r="E52" s="50">
        <v>5</v>
      </c>
      <c r="F52" s="50">
        <v>2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17</v>
      </c>
      <c r="P52" s="15">
        <f t="shared" si="1"/>
        <v>82</v>
      </c>
      <c r="R52" s="8"/>
      <c r="T52"/>
    </row>
    <row r="53" spans="2:20" ht="23.1" customHeight="1" x14ac:dyDescent="0.25">
      <c r="B53" s="23" t="s">
        <v>80</v>
      </c>
      <c r="C53" s="50">
        <f>'[1]RD116 MCC'!H241</f>
        <v>9</v>
      </c>
      <c r="D53" s="50">
        <v>2</v>
      </c>
      <c r="E53" s="50">
        <v>4</v>
      </c>
      <c r="F53" s="50">
        <v>1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2</v>
      </c>
      <c r="M53" s="50">
        <v>50</v>
      </c>
      <c r="N53" s="50">
        <v>0</v>
      </c>
      <c r="O53" s="15">
        <f t="shared" si="0"/>
        <v>21</v>
      </c>
      <c r="P53" s="15">
        <f t="shared" si="1"/>
        <v>71</v>
      </c>
      <c r="R53" s="8"/>
      <c r="T53"/>
    </row>
    <row r="54" spans="2:20" ht="23.1" customHeight="1" x14ac:dyDescent="0.25">
      <c r="B54" s="23" t="s">
        <v>81</v>
      </c>
      <c r="C54" s="50">
        <f>'[1]RD116 MCC'!H242</f>
        <v>5</v>
      </c>
      <c r="D54" s="50">
        <v>2</v>
      </c>
      <c r="E54" s="50">
        <v>4</v>
      </c>
      <c r="F54" s="50">
        <v>1</v>
      </c>
      <c r="G54" s="50">
        <v>0</v>
      </c>
      <c r="H54" s="50">
        <v>0</v>
      </c>
      <c r="I54" s="50">
        <v>6</v>
      </c>
      <c r="J54" s="50">
        <v>0</v>
      </c>
      <c r="K54" s="50">
        <v>0</v>
      </c>
      <c r="L54" s="50">
        <v>1</v>
      </c>
      <c r="M54" s="50">
        <v>50</v>
      </c>
      <c r="N54" s="50">
        <v>0</v>
      </c>
      <c r="O54" s="15">
        <f t="shared" si="0"/>
        <v>19</v>
      </c>
      <c r="P54" s="15">
        <f t="shared" si="1"/>
        <v>69</v>
      </c>
      <c r="R54" s="8"/>
      <c r="T54"/>
    </row>
    <row r="55" spans="2:20" ht="23.1" customHeight="1" x14ac:dyDescent="0.25">
      <c r="B55" s="23" t="s">
        <v>82</v>
      </c>
      <c r="C55" s="50">
        <f>'[1]RD116 MCC'!H243</f>
        <v>2</v>
      </c>
      <c r="D55" s="50">
        <v>1</v>
      </c>
      <c r="E55" s="50">
        <v>2</v>
      </c>
      <c r="F55" s="50">
        <v>0</v>
      </c>
      <c r="G55" s="50">
        <v>1</v>
      </c>
      <c r="H55" s="50">
        <v>1</v>
      </c>
      <c r="I55" s="50">
        <v>2</v>
      </c>
      <c r="J55" s="50">
        <v>2</v>
      </c>
      <c r="K55" s="50">
        <v>0</v>
      </c>
      <c r="L55" s="50">
        <v>0</v>
      </c>
      <c r="M55" s="50">
        <v>51</v>
      </c>
      <c r="N55" s="50">
        <v>0</v>
      </c>
      <c r="O55" s="15">
        <f t="shared" si="0"/>
        <v>11</v>
      </c>
      <c r="P55" s="15">
        <f t="shared" si="1"/>
        <v>62</v>
      </c>
      <c r="R55" s="8"/>
      <c r="T55"/>
    </row>
    <row r="56" spans="2:20" ht="23.1" customHeight="1" x14ac:dyDescent="0.25">
      <c r="B56" s="23" t="s">
        <v>83</v>
      </c>
      <c r="C56" s="50">
        <f>'[1]RD116 MCC'!H244</f>
        <v>1</v>
      </c>
      <c r="D56" s="50">
        <v>1</v>
      </c>
      <c r="E56" s="50">
        <v>3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2</v>
      </c>
      <c r="M56" s="50">
        <v>48</v>
      </c>
      <c r="N56" s="50">
        <v>0</v>
      </c>
      <c r="O56" s="15">
        <f t="shared" si="0"/>
        <v>10</v>
      </c>
      <c r="P56" s="15">
        <f t="shared" si="1"/>
        <v>58</v>
      </c>
      <c r="R56" s="8"/>
      <c r="T56"/>
    </row>
    <row r="57" spans="2:20" ht="23.1" customHeight="1" x14ac:dyDescent="0.25">
      <c r="B57" s="23" t="s">
        <v>84</v>
      </c>
      <c r="C57" s="50">
        <f>'[1]RD116 MCC'!H245</f>
        <v>3</v>
      </c>
      <c r="D57" s="50">
        <v>2</v>
      </c>
      <c r="E57" s="50">
        <v>4</v>
      </c>
      <c r="F57" s="50">
        <v>0</v>
      </c>
      <c r="G57" s="50">
        <v>0</v>
      </c>
      <c r="H57" s="50">
        <v>2</v>
      </c>
      <c r="I57" s="50">
        <v>1</v>
      </c>
      <c r="J57" s="50">
        <v>2</v>
      </c>
      <c r="K57" s="50">
        <v>0</v>
      </c>
      <c r="L57" s="50">
        <v>0</v>
      </c>
      <c r="M57" s="50">
        <v>65</v>
      </c>
      <c r="N57" s="50">
        <v>0</v>
      </c>
      <c r="O57" s="15">
        <f t="shared" si="0"/>
        <v>14</v>
      </c>
      <c r="P57" s="15">
        <f t="shared" si="1"/>
        <v>79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251</v>
      </c>
      <c r="D58" s="16">
        <f t="shared" si="21"/>
        <v>127</v>
      </c>
      <c r="E58" s="16">
        <f t="shared" si="21"/>
        <v>272</v>
      </c>
      <c r="F58" s="16">
        <f t="shared" si="21"/>
        <v>43</v>
      </c>
      <c r="G58" s="16">
        <f t="shared" si="21"/>
        <v>3</v>
      </c>
      <c r="H58" s="16">
        <f t="shared" si="21"/>
        <v>34</v>
      </c>
      <c r="I58" s="16">
        <f t="shared" si="21"/>
        <v>124</v>
      </c>
      <c r="J58" s="16">
        <f t="shared" si="21"/>
        <v>17</v>
      </c>
      <c r="K58" s="16">
        <f t="shared" si="21"/>
        <v>4</v>
      </c>
      <c r="L58" s="16">
        <f t="shared" si="21"/>
        <v>98</v>
      </c>
      <c r="M58" s="16">
        <f t="shared" si="21"/>
        <v>2406</v>
      </c>
      <c r="N58" s="16">
        <f t="shared" si="21"/>
        <v>1</v>
      </c>
      <c r="O58" s="16">
        <f t="shared" si="21"/>
        <v>974</v>
      </c>
      <c r="P58" s="16">
        <f t="shared" si="21"/>
        <v>3380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7.4260355029585792E-2</v>
      </c>
      <c r="D59" s="43">
        <f t="shared" si="22"/>
        <v>3.7573964497041423E-2</v>
      </c>
      <c r="E59" s="43">
        <f t="shared" si="22"/>
        <v>8.0473372781065089E-2</v>
      </c>
      <c r="F59" s="43">
        <f t="shared" si="22"/>
        <v>1.2721893491124261E-2</v>
      </c>
      <c r="G59" s="43">
        <f t="shared" si="22"/>
        <v>8.8757396449704138E-4</v>
      </c>
      <c r="H59" s="43">
        <f t="shared" si="22"/>
        <v>1.0059171597633136E-2</v>
      </c>
      <c r="I59" s="43">
        <f t="shared" si="22"/>
        <v>3.6686390532544376E-2</v>
      </c>
      <c r="J59" s="43">
        <f t="shared" si="22"/>
        <v>5.0295857988165681E-3</v>
      </c>
      <c r="K59" s="43">
        <f t="shared" si="22"/>
        <v>1.1834319526627219E-3</v>
      </c>
      <c r="L59" s="43">
        <f t="shared" si="22"/>
        <v>2.8994082840236687E-2</v>
      </c>
      <c r="M59" s="43">
        <f t="shared" si="22"/>
        <v>0.71183431952662723</v>
      </c>
      <c r="N59" s="43">
        <f t="shared" si="22"/>
        <v>2.9585798816568048E-4</v>
      </c>
      <c r="R59" s="8"/>
      <c r="T59"/>
    </row>
    <row r="60" spans="2:20" ht="23.1" customHeight="1" x14ac:dyDescent="0.25">
      <c r="B60" s="42" t="s">
        <v>94</v>
      </c>
      <c r="C60" s="44">
        <f>C58/$O$58</f>
        <v>0.25770020533880905</v>
      </c>
      <c r="D60" s="44">
        <f t="shared" ref="D60:N60" si="23">D58/$O$58</f>
        <v>0.13039014373716631</v>
      </c>
      <c r="E60" s="44">
        <f t="shared" si="23"/>
        <v>0.27926078028747431</v>
      </c>
      <c r="F60" s="44">
        <f t="shared" si="23"/>
        <v>4.4147843942505136E-2</v>
      </c>
      <c r="G60" s="44">
        <f t="shared" si="23"/>
        <v>3.0800821355236141E-3</v>
      </c>
      <c r="H60" s="44">
        <f t="shared" si="23"/>
        <v>3.4907597535934289E-2</v>
      </c>
      <c r="I60" s="44">
        <f t="shared" si="23"/>
        <v>0.12731006160164271</v>
      </c>
      <c r="J60" s="44">
        <f t="shared" si="23"/>
        <v>1.7453798767967144E-2</v>
      </c>
      <c r="K60" s="44">
        <f t="shared" si="23"/>
        <v>4.1067761806981521E-3</v>
      </c>
      <c r="L60" s="44">
        <f t="shared" si="23"/>
        <v>0.10061601642710473</v>
      </c>
      <c r="M60" s="44"/>
      <c r="N60" s="44">
        <f t="shared" si="23"/>
        <v>1.026694045174538E-3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zoomScale="60" workbookViewId="0">
      <selection activeCell="K13" sqref="K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 GULU-KARUMA'!D5</f>
        <v>4.08.19</v>
      </c>
      <c r="E5" s="3"/>
      <c r="F5" s="41" t="s">
        <v>1</v>
      </c>
      <c r="G5" s="66" t="str">
        <f>'06.08 GULU-KARUMA'!G5:H5</f>
        <v>xxx</v>
      </c>
      <c r="H5" s="67"/>
      <c r="I5" s="14"/>
      <c r="J5" s="2" t="s">
        <v>5</v>
      </c>
      <c r="K5" s="66" t="str">
        <f>'06.08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KARUMA-GULU'!D6:E6</f>
        <v xml:space="preserve">KARUMA </v>
      </c>
      <c r="E6" s="67"/>
      <c r="F6" s="2" t="s">
        <v>2</v>
      </c>
      <c r="G6" s="66" t="str">
        <f>'01.08 KARUMA-GULU'!G6:H6</f>
        <v>GULU</v>
      </c>
      <c r="H6" s="67"/>
      <c r="J6" s="2" t="s">
        <v>21</v>
      </c>
      <c r="K6" s="66" t="str">
        <f>'06.08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3</v>
      </c>
      <c r="M10" s="50">
        <v>40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45</v>
      </c>
      <c r="R10" s="1" t="s">
        <v>6</v>
      </c>
      <c r="S10" s="17">
        <f t="shared" ref="S10:AF10" si="2">SUM(C10:C13)</f>
        <v>1</v>
      </c>
      <c r="T10" s="17">
        <f t="shared" si="2"/>
        <v>2</v>
      </c>
      <c r="U10" s="17">
        <f t="shared" si="2"/>
        <v>5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0</v>
      </c>
      <c r="AB10" s="17">
        <f t="shared" si="2"/>
        <v>12</v>
      </c>
      <c r="AC10" s="17">
        <f t="shared" si="2"/>
        <v>144</v>
      </c>
      <c r="AD10" s="17">
        <f t="shared" si="2"/>
        <v>0</v>
      </c>
      <c r="AE10" s="31">
        <f t="shared" si="2"/>
        <v>27</v>
      </c>
      <c r="AF10" s="31">
        <f t="shared" si="2"/>
        <v>171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5</v>
      </c>
      <c r="M11" s="50">
        <v>39</v>
      </c>
      <c r="N11" s="50">
        <v>0</v>
      </c>
      <c r="O11" s="15">
        <f t="shared" si="0"/>
        <v>9</v>
      </c>
      <c r="P11" s="15">
        <f t="shared" si="1"/>
        <v>48</v>
      </c>
      <c r="R11" s="1" t="s">
        <v>7</v>
      </c>
      <c r="S11" s="17">
        <f t="shared" ref="S11:AF11" si="3">SUM(C14:C17)</f>
        <v>5</v>
      </c>
      <c r="T11" s="17">
        <f t="shared" si="3"/>
        <v>2</v>
      </c>
      <c r="U11" s="17">
        <f t="shared" si="3"/>
        <v>6</v>
      </c>
      <c r="V11" s="17">
        <f t="shared" si="3"/>
        <v>6</v>
      </c>
      <c r="W11" s="17">
        <f t="shared" si="3"/>
        <v>1</v>
      </c>
      <c r="X11" s="17">
        <f t="shared" si="3"/>
        <v>1</v>
      </c>
      <c r="Y11" s="17">
        <f t="shared" si="3"/>
        <v>10</v>
      </c>
      <c r="Z11" s="17">
        <f t="shared" si="3"/>
        <v>2</v>
      </c>
      <c r="AA11" s="17">
        <f t="shared" si="3"/>
        <v>2</v>
      </c>
      <c r="AB11" s="17">
        <f t="shared" si="3"/>
        <v>9</v>
      </c>
      <c r="AC11" s="17">
        <f t="shared" si="3"/>
        <v>231</v>
      </c>
      <c r="AD11" s="17">
        <f t="shared" si="3"/>
        <v>0</v>
      </c>
      <c r="AE11" s="31">
        <f t="shared" si="3"/>
        <v>44</v>
      </c>
      <c r="AF11" s="31">
        <f t="shared" si="3"/>
        <v>275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1</v>
      </c>
      <c r="M12" s="50">
        <v>22</v>
      </c>
      <c r="N12" s="50">
        <v>0</v>
      </c>
      <c r="O12" s="15">
        <f t="shared" si="0"/>
        <v>3</v>
      </c>
      <c r="P12" s="15">
        <f t="shared" si="1"/>
        <v>25</v>
      </c>
      <c r="R12" s="1" t="s">
        <v>8</v>
      </c>
      <c r="S12" s="17">
        <f t="shared" ref="S12:AF12" si="4">SUM(C18:C21)</f>
        <v>9</v>
      </c>
      <c r="T12" s="17">
        <f t="shared" si="4"/>
        <v>4</v>
      </c>
      <c r="U12" s="17">
        <f t="shared" si="4"/>
        <v>8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1</v>
      </c>
      <c r="AA12" s="17">
        <f t="shared" si="4"/>
        <v>1</v>
      </c>
      <c r="AB12" s="17">
        <f t="shared" si="4"/>
        <v>10</v>
      </c>
      <c r="AC12" s="17">
        <f t="shared" si="4"/>
        <v>202</v>
      </c>
      <c r="AD12" s="17">
        <f t="shared" si="4"/>
        <v>0</v>
      </c>
      <c r="AE12" s="31">
        <f t="shared" si="4"/>
        <v>45</v>
      </c>
      <c r="AF12" s="31">
        <f t="shared" si="4"/>
        <v>247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2</v>
      </c>
      <c r="F13" s="50">
        <v>1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3</v>
      </c>
      <c r="M13" s="50">
        <v>43</v>
      </c>
      <c r="N13" s="50">
        <v>0</v>
      </c>
      <c r="O13" s="15">
        <f t="shared" si="0"/>
        <v>10</v>
      </c>
      <c r="P13" s="15">
        <f t="shared" si="1"/>
        <v>53</v>
      </c>
      <c r="R13" s="1" t="s">
        <v>9</v>
      </c>
      <c r="S13" s="17">
        <f t="shared" ref="S13:AF13" si="5">SUM(C22:C25)</f>
        <v>16</v>
      </c>
      <c r="T13" s="17">
        <f t="shared" si="5"/>
        <v>8</v>
      </c>
      <c r="U13" s="17">
        <f t="shared" si="5"/>
        <v>18</v>
      </c>
      <c r="V13" s="17">
        <f t="shared" si="5"/>
        <v>7</v>
      </c>
      <c r="W13" s="17">
        <f t="shared" si="5"/>
        <v>3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0</v>
      </c>
      <c r="AB13" s="17">
        <f t="shared" si="5"/>
        <v>10</v>
      </c>
      <c r="AC13" s="17">
        <f t="shared" si="5"/>
        <v>207</v>
      </c>
      <c r="AD13" s="17">
        <f t="shared" si="5"/>
        <v>0</v>
      </c>
      <c r="AE13" s="31">
        <f t="shared" si="5"/>
        <v>69</v>
      </c>
      <c r="AF13" s="31">
        <f t="shared" si="5"/>
        <v>276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1</v>
      </c>
      <c r="I14" s="50">
        <v>3</v>
      </c>
      <c r="J14" s="50">
        <v>0</v>
      </c>
      <c r="K14" s="50">
        <v>1</v>
      </c>
      <c r="L14" s="50">
        <v>1</v>
      </c>
      <c r="M14" s="50">
        <v>60</v>
      </c>
      <c r="N14" s="50">
        <v>0</v>
      </c>
      <c r="O14" s="15">
        <f t="shared" si="0"/>
        <v>8</v>
      </c>
      <c r="P14" s="15">
        <f t="shared" si="1"/>
        <v>68</v>
      </c>
      <c r="R14" s="1" t="s">
        <v>10</v>
      </c>
      <c r="S14" s="17">
        <f t="shared" ref="S14:AF14" si="6">SUM(C26:C29)</f>
        <v>7</v>
      </c>
      <c r="T14" s="17">
        <f t="shared" si="6"/>
        <v>6</v>
      </c>
      <c r="U14" s="17">
        <f t="shared" si="6"/>
        <v>16</v>
      </c>
      <c r="V14" s="17">
        <f t="shared" si="6"/>
        <v>8</v>
      </c>
      <c r="W14" s="17">
        <f t="shared" si="6"/>
        <v>0</v>
      </c>
      <c r="X14" s="17">
        <f t="shared" si="6"/>
        <v>3</v>
      </c>
      <c r="Y14" s="17">
        <f t="shared" si="6"/>
        <v>3</v>
      </c>
      <c r="Z14" s="17">
        <f t="shared" si="6"/>
        <v>1</v>
      </c>
      <c r="AA14" s="17">
        <f t="shared" si="6"/>
        <v>1</v>
      </c>
      <c r="AB14" s="17">
        <f t="shared" si="6"/>
        <v>9</v>
      </c>
      <c r="AC14" s="17">
        <f t="shared" si="6"/>
        <v>161</v>
      </c>
      <c r="AD14" s="17">
        <f t="shared" si="6"/>
        <v>0</v>
      </c>
      <c r="AE14" s="31">
        <f t="shared" si="6"/>
        <v>54</v>
      </c>
      <c r="AF14" s="31">
        <f t="shared" si="6"/>
        <v>215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4</v>
      </c>
      <c r="M15" s="50">
        <v>53</v>
      </c>
      <c r="N15" s="50">
        <v>0</v>
      </c>
      <c r="O15" s="15">
        <f t="shared" si="0"/>
        <v>9</v>
      </c>
      <c r="P15" s="15">
        <f t="shared" si="1"/>
        <v>62</v>
      </c>
      <c r="R15" s="1" t="s">
        <v>11</v>
      </c>
      <c r="S15" s="17">
        <f t="shared" ref="S15:AF15" si="7">SUM(C30:C33)</f>
        <v>6</v>
      </c>
      <c r="T15" s="17">
        <f t="shared" si="7"/>
        <v>6</v>
      </c>
      <c r="U15" s="17">
        <f t="shared" si="7"/>
        <v>13</v>
      </c>
      <c r="V15" s="17">
        <f t="shared" si="7"/>
        <v>9</v>
      </c>
      <c r="W15" s="17">
        <f t="shared" si="7"/>
        <v>0</v>
      </c>
      <c r="X15" s="17">
        <f t="shared" si="7"/>
        <v>1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5</v>
      </c>
      <c r="AC15" s="17">
        <f t="shared" si="7"/>
        <v>134</v>
      </c>
      <c r="AD15" s="17">
        <f t="shared" si="7"/>
        <v>0</v>
      </c>
      <c r="AE15" s="31">
        <f t="shared" si="7"/>
        <v>45</v>
      </c>
      <c r="AF15" s="31">
        <f t="shared" si="7"/>
        <v>179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2</v>
      </c>
      <c r="F16" s="50">
        <v>3</v>
      </c>
      <c r="G16" s="50">
        <v>1</v>
      </c>
      <c r="H16" s="50">
        <v>0</v>
      </c>
      <c r="I16" s="50">
        <v>1</v>
      </c>
      <c r="J16" s="50">
        <v>1</v>
      </c>
      <c r="K16" s="50">
        <v>0</v>
      </c>
      <c r="L16" s="50">
        <v>2</v>
      </c>
      <c r="M16" s="50">
        <v>63</v>
      </c>
      <c r="N16" s="50">
        <v>0</v>
      </c>
      <c r="O16" s="15">
        <f t="shared" si="0"/>
        <v>12</v>
      </c>
      <c r="P16" s="15">
        <f t="shared" si="1"/>
        <v>75</v>
      </c>
      <c r="R16" s="1" t="s">
        <v>12</v>
      </c>
      <c r="S16" s="17">
        <f t="shared" ref="S16:AF16" si="8">SUM(C34:C37)</f>
        <v>9</v>
      </c>
      <c r="T16" s="17">
        <f t="shared" si="8"/>
        <v>8</v>
      </c>
      <c r="U16" s="17">
        <f t="shared" si="8"/>
        <v>18</v>
      </c>
      <c r="V16" s="17">
        <f t="shared" si="8"/>
        <v>5</v>
      </c>
      <c r="W16" s="17">
        <f t="shared" si="8"/>
        <v>0</v>
      </c>
      <c r="X16" s="17">
        <f t="shared" si="8"/>
        <v>1</v>
      </c>
      <c r="Y16" s="17">
        <f t="shared" si="8"/>
        <v>3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185</v>
      </c>
      <c r="AD16" s="17">
        <f t="shared" si="8"/>
        <v>0</v>
      </c>
      <c r="AE16" s="31">
        <f t="shared" si="8"/>
        <v>46</v>
      </c>
      <c r="AF16" s="31">
        <f t="shared" si="8"/>
        <v>231</v>
      </c>
    </row>
    <row r="17" spans="2:32" ht="23.1" customHeight="1" x14ac:dyDescent="0.25">
      <c r="B17" s="23" t="s">
        <v>44</v>
      </c>
      <c r="C17" s="50">
        <v>2</v>
      </c>
      <c r="D17" s="50">
        <v>1</v>
      </c>
      <c r="E17" s="50">
        <v>3</v>
      </c>
      <c r="F17" s="50">
        <v>2</v>
      </c>
      <c r="G17" s="50">
        <v>0</v>
      </c>
      <c r="H17" s="50">
        <v>0</v>
      </c>
      <c r="I17" s="50">
        <v>3</v>
      </c>
      <c r="J17" s="50">
        <v>1</v>
      </c>
      <c r="K17" s="50">
        <v>1</v>
      </c>
      <c r="L17" s="50">
        <v>2</v>
      </c>
      <c r="M17" s="50">
        <v>55</v>
      </c>
      <c r="N17" s="50">
        <v>0</v>
      </c>
      <c r="O17" s="15">
        <f t="shared" si="0"/>
        <v>15</v>
      </c>
      <c r="P17" s="15">
        <f t="shared" si="1"/>
        <v>70</v>
      </c>
      <c r="R17" s="1" t="s">
        <v>13</v>
      </c>
      <c r="S17" s="17">
        <f t="shared" ref="S17:AF17" si="9">SUM(C38:C41)</f>
        <v>13</v>
      </c>
      <c r="T17" s="17">
        <f t="shared" si="9"/>
        <v>8</v>
      </c>
      <c r="U17" s="17">
        <f t="shared" si="9"/>
        <v>17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1</v>
      </c>
      <c r="AA17" s="17">
        <f t="shared" si="9"/>
        <v>0</v>
      </c>
      <c r="AB17" s="17">
        <f t="shared" si="9"/>
        <v>1</v>
      </c>
      <c r="AC17" s="17">
        <f t="shared" si="9"/>
        <v>230</v>
      </c>
      <c r="AD17" s="17">
        <f t="shared" si="9"/>
        <v>0</v>
      </c>
      <c r="AE17" s="31">
        <f t="shared" si="9"/>
        <v>52</v>
      </c>
      <c r="AF17" s="31">
        <f t="shared" si="9"/>
        <v>282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2</v>
      </c>
      <c r="F18" s="50">
        <v>3</v>
      </c>
      <c r="G18" s="50">
        <v>0</v>
      </c>
      <c r="H18" s="50">
        <v>0</v>
      </c>
      <c r="I18" s="50">
        <v>1</v>
      </c>
      <c r="J18" s="50">
        <v>1</v>
      </c>
      <c r="K18" s="50">
        <v>1</v>
      </c>
      <c r="L18" s="50">
        <v>0</v>
      </c>
      <c r="M18" s="50">
        <v>59</v>
      </c>
      <c r="N18" s="50">
        <v>0</v>
      </c>
      <c r="O18" s="15">
        <f t="shared" si="0"/>
        <v>12</v>
      </c>
      <c r="P18" s="15">
        <f t="shared" si="1"/>
        <v>71</v>
      </c>
      <c r="R18" s="1" t="s">
        <v>14</v>
      </c>
      <c r="S18" s="17">
        <f t="shared" ref="S18:AF18" si="10">SUM(C42:C45)</f>
        <v>7</v>
      </c>
      <c r="T18" s="17">
        <f t="shared" si="10"/>
        <v>7</v>
      </c>
      <c r="U18" s="17">
        <f t="shared" si="10"/>
        <v>16</v>
      </c>
      <c r="V18" s="17">
        <f t="shared" si="10"/>
        <v>6</v>
      </c>
      <c r="W18" s="17">
        <f t="shared" si="10"/>
        <v>0</v>
      </c>
      <c r="X18" s="17">
        <f t="shared" si="10"/>
        <v>2</v>
      </c>
      <c r="Y18" s="17">
        <f t="shared" si="10"/>
        <v>8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182</v>
      </c>
      <c r="AD18" s="17">
        <f t="shared" si="10"/>
        <v>0</v>
      </c>
      <c r="AE18" s="31">
        <f t="shared" si="10"/>
        <v>48</v>
      </c>
      <c r="AF18" s="31">
        <f t="shared" si="10"/>
        <v>230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2</v>
      </c>
      <c r="M19" s="50">
        <v>50</v>
      </c>
      <c r="N19" s="50">
        <v>0</v>
      </c>
      <c r="O19" s="15">
        <f t="shared" si="0"/>
        <v>8</v>
      </c>
      <c r="P19" s="15">
        <f t="shared" si="1"/>
        <v>58</v>
      </c>
      <c r="R19" s="1" t="s">
        <v>15</v>
      </c>
      <c r="S19" s="17">
        <f t="shared" ref="S19:AF19" si="11">SUM(C46:C49)</f>
        <v>11</v>
      </c>
      <c r="T19" s="17">
        <f t="shared" si="11"/>
        <v>7</v>
      </c>
      <c r="U19" s="17">
        <f t="shared" si="11"/>
        <v>17</v>
      </c>
      <c r="V19" s="17">
        <f t="shared" si="11"/>
        <v>4</v>
      </c>
      <c r="W19" s="17">
        <f t="shared" si="11"/>
        <v>1</v>
      </c>
      <c r="X19" s="17">
        <f t="shared" si="11"/>
        <v>2</v>
      </c>
      <c r="Y19" s="17">
        <f t="shared" si="11"/>
        <v>4</v>
      </c>
      <c r="Z19" s="17">
        <f t="shared" si="11"/>
        <v>2</v>
      </c>
      <c r="AA19" s="17">
        <f t="shared" si="11"/>
        <v>0</v>
      </c>
      <c r="AB19" s="17">
        <f t="shared" si="11"/>
        <v>1</v>
      </c>
      <c r="AC19" s="17">
        <f t="shared" si="11"/>
        <v>185</v>
      </c>
      <c r="AD19" s="17">
        <f t="shared" si="11"/>
        <v>0</v>
      </c>
      <c r="AE19" s="31">
        <f t="shared" si="11"/>
        <v>49</v>
      </c>
      <c r="AF19" s="31">
        <f t="shared" si="11"/>
        <v>234</v>
      </c>
    </row>
    <row r="20" spans="2:32" ht="23.1" customHeight="1" x14ac:dyDescent="0.25">
      <c r="B20" s="23" t="s">
        <v>47</v>
      </c>
      <c r="C20" s="50">
        <v>3</v>
      </c>
      <c r="D20" s="50">
        <v>1</v>
      </c>
      <c r="E20" s="50">
        <v>2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2</v>
      </c>
      <c r="M20" s="50">
        <v>38</v>
      </c>
      <c r="N20" s="50">
        <v>0</v>
      </c>
      <c r="O20" s="15">
        <f t="shared" si="0"/>
        <v>10</v>
      </c>
      <c r="P20" s="15">
        <f t="shared" si="1"/>
        <v>48</v>
      </c>
      <c r="R20" s="1" t="s">
        <v>16</v>
      </c>
      <c r="S20" s="17">
        <f t="shared" ref="S20:AF20" si="12">SUM(C50:C53)</f>
        <v>19</v>
      </c>
      <c r="T20" s="17">
        <f t="shared" si="12"/>
        <v>10</v>
      </c>
      <c r="U20" s="17">
        <f t="shared" si="12"/>
        <v>22</v>
      </c>
      <c r="V20" s="17">
        <f t="shared" si="12"/>
        <v>12</v>
      </c>
      <c r="W20" s="17">
        <f t="shared" si="12"/>
        <v>0</v>
      </c>
      <c r="X20" s="17">
        <f t="shared" si="12"/>
        <v>2</v>
      </c>
      <c r="Y20" s="17">
        <f t="shared" si="12"/>
        <v>8</v>
      </c>
      <c r="Z20" s="17">
        <f t="shared" si="12"/>
        <v>4</v>
      </c>
      <c r="AA20" s="17">
        <f t="shared" si="12"/>
        <v>3</v>
      </c>
      <c r="AB20" s="17">
        <f t="shared" si="12"/>
        <v>0</v>
      </c>
      <c r="AC20" s="17">
        <f t="shared" si="12"/>
        <v>278</v>
      </c>
      <c r="AD20" s="17">
        <f t="shared" si="12"/>
        <v>0</v>
      </c>
      <c r="AE20" s="31">
        <f t="shared" si="12"/>
        <v>80</v>
      </c>
      <c r="AF20" s="31">
        <f t="shared" si="12"/>
        <v>358</v>
      </c>
    </row>
    <row r="21" spans="2:32" ht="23.1" customHeight="1" x14ac:dyDescent="0.25">
      <c r="B21" s="23" t="s">
        <v>48</v>
      </c>
      <c r="C21" s="50">
        <v>0</v>
      </c>
      <c r="D21" s="50">
        <v>2</v>
      </c>
      <c r="E21" s="50">
        <v>4</v>
      </c>
      <c r="F21" s="50">
        <v>0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6</v>
      </c>
      <c r="M21" s="50">
        <v>55</v>
      </c>
      <c r="N21" s="50">
        <v>0</v>
      </c>
      <c r="O21" s="15">
        <f t="shared" si="0"/>
        <v>15</v>
      </c>
      <c r="P21" s="15">
        <f t="shared" si="1"/>
        <v>70</v>
      </c>
      <c r="R21" s="36" t="s">
        <v>20</v>
      </c>
      <c r="S21" s="34">
        <f t="shared" ref="S21:AF21" si="13">SUM(C54:C57)</f>
        <v>18</v>
      </c>
      <c r="T21" s="17">
        <f t="shared" si="13"/>
        <v>5</v>
      </c>
      <c r="U21" s="17">
        <f t="shared" si="13"/>
        <v>10</v>
      </c>
      <c r="V21" s="17">
        <f t="shared" si="13"/>
        <v>4</v>
      </c>
      <c r="W21" s="17">
        <f t="shared" si="13"/>
        <v>3</v>
      </c>
      <c r="X21" s="17">
        <f t="shared" si="13"/>
        <v>5</v>
      </c>
      <c r="Y21" s="17">
        <f t="shared" si="13"/>
        <v>5</v>
      </c>
      <c r="Z21" s="17">
        <f t="shared" si="13"/>
        <v>8</v>
      </c>
      <c r="AA21" s="17">
        <f t="shared" si="13"/>
        <v>2</v>
      </c>
      <c r="AB21" s="17">
        <f t="shared" si="13"/>
        <v>11</v>
      </c>
      <c r="AC21" s="17">
        <f t="shared" si="13"/>
        <v>167</v>
      </c>
      <c r="AD21" s="17">
        <f t="shared" si="13"/>
        <v>0</v>
      </c>
      <c r="AE21" s="31">
        <f t="shared" si="13"/>
        <v>71</v>
      </c>
      <c r="AF21" s="31">
        <f t="shared" si="13"/>
        <v>238</v>
      </c>
    </row>
    <row r="22" spans="2:32" ht="23.1" customHeight="1" x14ac:dyDescent="0.25">
      <c r="B22" s="23" t="s">
        <v>49</v>
      </c>
      <c r="C22" s="50">
        <v>7</v>
      </c>
      <c r="D22" s="50">
        <v>4</v>
      </c>
      <c r="E22" s="50">
        <v>8</v>
      </c>
      <c r="F22" s="50">
        <v>0</v>
      </c>
      <c r="G22" s="50">
        <v>0</v>
      </c>
      <c r="H22" s="50">
        <v>0</v>
      </c>
      <c r="I22" s="50">
        <v>1</v>
      </c>
      <c r="J22" s="50">
        <v>2</v>
      </c>
      <c r="K22" s="50">
        <v>0</v>
      </c>
      <c r="L22" s="50">
        <v>1</v>
      </c>
      <c r="M22" s="50">
        <v>70</v>
      </c>
      <c r="N22" s="50">
        <v>0</v>
      </c>
      <c r="O22" s="15">
        <f t="shared" si="0"/>
        <v>23</v>
      </c>
      <c r="P22" s="15">
        <f t="shared" si="1"/>
        <v>93</v>
      </c>
      <c r="R22" s="38" t="s">
        <v>90</v>
      </c>
      <c r="S22" s="39">
        <f>MAX(S10:S12)</f>
        <v>9</v>
      </c>
      <c r="T22" s="39">
        <f t="shared" ref="T22:AF22" si="14">MAX(T10:T12)</f>
        <v>4</v>
      </c>
      <c r="U22" s="39">
        <f t="shared" si="14"/>
        <v>8</v>
      </c>
      <c r="V22" s="39">
        <f t="shared" si="14"/>
        <v>6</v>
      </c>
      <c r="W22" s="39">
        <f t="shared" si="14"/>
        <v>1</v>
      </c>
      <c r="X22" s="39">
        <f t="shared" si="14"/>
        <v>1</v>
      </c>
      <c r="Y22" s="39">
        <f t="shared" si="14"/>
        <v>10</v>
      </c>
      <c r="Z22" s="39">
        <f t="shared" si="14"/>
        <v>3</v>
      </c>
      <c r="AA22" s="39">
        <f t="shared" si="14"/>
        <v>2</v>
      </c>
      <c r="AB22" s="39">
        <f t="shared" si="14"/>
        <v>12</v>
      </c>
      <c r="AC22" s="39">
        <f t="shared" si="14"/>
        <v>231</v>
      </c>
      <c r="AD22" s="39">
        <f t="shared" si="14"/>
        <v>0</v>
      </c>
      <c r="AE22" s="40">
        <f t="shared" si="14"/>
        <v>45</v>
      </c>
      <c r="AF22" s="40">
        <f t="shared" si="14"/>
        <v>275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6</v>
      </c>
      <c r="M23" s="50">
        <v>55</v>
      </c>
      <c r="N23" s="50">
        <v>0</v>
      </c>
      <c r="O23" s="15">
        <f t="shared" si="0"/>
        <v>10</v>
      </c>
      <c r="P23" s="15">
        <f t="shared" si="1"/>
        <v>65</v>
      </c>
      <c r="R23" s="38" t="s">
        <v>91</v>
      </c>
      <c r="S23" s="39">
        <f>MAX(S13:S18)</f>
        <v>16</v>
      </c>
      <c r="T23" s="39">
        <f t="shared" ref="T23:AF23" si="15">MAX(T13:T18)</f>
        <v>8</v>
      </c>
      <c r="U23" s="39">
        <f t="shared" si="15"/>
        <v>18</v>
      </c>
      <c r="V23" s="39">
        <f t="shared" si="15"/>
        <v>9</v>
      </c>
      <c r="W23" s="39">
        <f t="shared" si="15"/>
        <v>3</v>
      </c>
      <c r="X23" s="39">
        <f t="shared" si="15"/>
        <v>3</v>
      </c>
      <c r="Y23" s="39">
        <f t="shared" si="15"/>
        <v>8</v>
      </c>
      <c r="Z23" s="39">
        <f t="shared" si="15"/>
        <v>5</v>
      </c>
      <c r="AA23" s="39">
        <f t="shared" si="15"/>
        <v>1</v>
      </c>
      <c r="AB23" s="39">
        <f t="shared" si="15"/>
        <v>10</v>
      </c>
      <c r="AC23" s="39">
        <f t="shared" si="15"/>
        <v>230</v>
      </c>
      <c r="AD23" s="39">
        <f t="shared" si="15"/>
        <v>0</v>
      </c>
      <c r="AE23" s="40">
        <f t="shared" si="15"/>
        <v>69</v>
      </c>
      <c r="AF23" s="40">
        <f t="shared" si="15"/>
        <v>282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2</v>
      </c>
      <c r="F24" s="50">
        <v>0</v>
      </c>
      <c r="G24" s="50">
        <v>2</v>
      </c>
      <c r="H24" s="50">
        <v>0</v>
      </c>
      <c r="I24" s="50">
        <v>0</v>
      </c>
      <c r="J24" s="50">
        <v>3</v>
      </c>
      <c r="K24" s="50">
        <v>0</v>
      </c>
      <c r="L24" s="50">
        <v>0</v>
      </c>
      <c r="M24" s="50">
        <v>35</v>
      </c>
      <c r="N24" s="50">
        <v>0</v>
      </c>
      <c r="O24" s="15">
        <f t="shared" si="0"/>
        <v>11</v>
      </c>
      <c r="P24" s="15">
        <f t="shared" si="1"/>
        <v>46</v>
      </c>
      <c r="R24" s="38" t="s">
        <v>92</v>
      </c>
      <c r="S24" s="39">
        <f>MAX(S19:S21)</f>
        <v>19</v>
      </c>
      <c r="T24" s="39">
        <f t="shared" ref="T24:AF24" si="16">MAX(T19:T21)</f>
        <v>10</v>
      </c>
      <c r="U24" s="39">
        <f t="shared" si="16"/>
        <v>22</v>
      </c>
      <c r="V24" s="39">
        <f t="shared" si="16"/>
        <v>12</v>
      </c>
      <c r="W24" s="39">
        <f t="shared" si="16"/>
        <v>3</v>
      </c>
      <c r="X24" s="39">
        <f t="shared" si="16"/>
        <v>5</v>
      </c>
      <c r="Y24" s="39">
        <f t="shared" si="16"/>
        <v>8</v>
      </c>
      <c r="Z24" s="39">
        <f t="shared" si="16"/>
        <v>8</v>
      </c>
      <c r="AA24" s="39">
        <f t="shared" si="16"/>
        <v>3</v>
      </c>
      <c r="AB24" s="39">
        <f t="shared" si="16"/>
        <v>11</v>
      </c>
      <c r="AC24" s="39">
        <f t="shared" si="16"/>
        <v>278</v>
      </c>
      <c r="AD24" s="39">
        <f t="shared" si="16"/>
        <v>0</v>
      </c>
      <c r="AE24" s="40">
        <f t="shared" si="16"/>
        <v>80</v>
      </c>
      <c r="AF24" s="40">
        <f t="shared" si="16"/>
        <v>358</v>
      </c>
    </row>
    <row r="25" spans="2:32" ht="23.1" customHeight="1" x14ac:dyDescent="0.25">
      <c r="B25" s="23" t="s">
        <v>52</v>
      </c>
      <c r="C25" s="50">
        <v>6</v>
      </c>
      <c r="D25" s="50">
        <v>3</v>
      </c>
      <c r="E25" s="50">
        <v>7</v>
      </c>
      <c r="F25" s="50">
        <v>4</v>
      </c>
      <c r="G25" s="50">
        <v>1</v>
      </c>
      <c r="H25" s="50">
        <v>0</v>
      </c>
      <c r="I25" s="50">
        <v>1</v>
      </c>
      <c r="J25" s="50">
        <v>0</v>
      </c>
      <c r="K25" s="50">
        <v>0</v>
      </c>
      <c r="L25" s="50">
        <v>3</v>
      </c>
      <c r="M25" s="50">
        <v>47</v>
      </c>
      <c r="N25" s="50">
        <v>0</v>
      </c>
      <c r="O25" s="15">
        <f t="shared" si="0"/>
        <v>25</v>
      </c>
      <c r="P25" s="15">
        <f t="shared" si="1"/>
        <v>72</v>
      </c>
      <c r="R25" s="37" t="s">
        <v>85</v>
      </c>
      <c r="S25" s="35">
        <f t="shared" ref="S25:AF25" si="17">SUM(S10:S12)</f>
        <v>15</v>
      </c>
      <c r="T25" s="16">
        <f t="shared" si="17"/>
        <v>8</v>
      </c>
      <c r="U25" s="16">
        <f t="shared" si="17"/>
        <v>19</v>
      </c>
      <c r="V25" s="16">
        <f t="shared" si="17"/>
        <v>11</v>
      </c>
      <c r="W25" s="16">
        <f t="shared" si="17"/>
        <v>1</v>
      </c>
      <c r="X25" s="16">
        <f t="shared" si="17"/>
        <v>1</v>
      </c>
      <c r="Y25" s="16">
        <f t="shared" si="17"/>
        <v>21</v>
      </c>
      <c r="Z25" s="16">
        <f t="shared" si="17"/>
        <v>6</v>
      </c>
      <c r="AA25" s="16">
        <f t="shared" si="17"/>
        <v>3</v>
      </c>
      <c r="AB25" s="16">
        <f t="shared" si="17"/>
        <v>31</v>
      </c>
      <c r="AC25" s="16">
        <f t="shared" si="17"/>
        <v>577</v>
      </c>
      <c r="AD25" s="16">
        <f t="shared" si="17"/>
        <v>0</v>
      </c>
      <c r="AE25" s="32">
        <f t="shared" si="17"/>
        <v>116</v>
      </c>
      <c r="AF25" s="32">
        <f t="shared" si="17"/>
        <v>693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3</v>
      </c>
      <c r="F26" s="50">
        <v>3</v>
      </c>
      <c r="G26" s="50">
        <v>0</v>
      </c>
      <c r="H26" s="50">
        <v>1</v>
      </c>
      <c r="I26" s="50">
        <v>3</v>
      </c>
      <c r="J26" s="50">
        <v>0</v>
      </c>
      <c r="K26" s="50">
        <v>0</v>
      </c>
      <c r="L26" s="50">
        <v>0</v>
      </c>
      <c r="M26" s="50">
        <v>40</v>
      </c>
      <c r="N26" s="50">
        <v>0</v>
      </c>
      <c r="O26" s="15">
        <f t="shared" si="0"/>
        <v>12</v>
      </c>
      <c r="P26" s="15">
        <f t="shared" si="1"/>
        <v>52</v>
      </c>
      <c r="R26" s="28" t="s">
        <v>86</v>
      </c>
      <c r="S26" s="16">
        <f t="shared" ref="S26:AF26" si="18">SUM(S13:S18)</f>
        <v>58</v>
      </c>
      <c r="T26" s="16">
        <f t="shared" si="18"/>
        <v>43</v>
      </c>
      <c r="U26" s="16">
        <f t="shared" si="18"/>
        <v>98</v>
      </c>
      <c r="V26" s="16">
        <f t="shared" si="18"/>
        <v>41</v>
      </c>
      <c r="W26" s="16">
        <f t="shared" si="18"/>
        <v>3</v>
      </c>
      <c r="X26" s="16">
        <f t="shared" si="18"/>
        <v>7</v>
      </c>
      <c r="Y26" s="16">
        <f t="shared" si="18"/>
        <v>27</v>
      </c>
      <c r="Z26" s="16">
        <f t="shared" si="18"/>
        <v>9</v>
      </c>
      <c r="AA26" s="16">
        <f t="shared" si="18"/>
        <v>1</v>
      </c>
      <c r="AB26" s="16">
        <f t="shared" si="18"/>
        <v>27</v>
      </c>
      <c r="AC26" s="16">
        <f t="shared" si="18"/>
        <v>1099</v>
      </c>
      <c r="AD26" s="16">
        <f t="shared" si="18"/>
        <v>0</v>
      </c>
      <c r="AE26" s="32">
        <f t="shared" si="18"/>
        <v>314</v>
      </c>
      <c r="AF26" s="32">
        <f t="shared" si="18"/>
        <v>1413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5</v>
      </c>
      <c r="F27" s="50">
        <v>3</v>
      </c>
      <c r="G27" s="50">
        <v>0</v>
      </c>
      <c r="H27" s="50">
        <v>0</v>
      </c>
      <c r="I27" s="50">
        <v>0</v>
      </c>
      <c r="J27" s="50">
        <v>1</v>
      </c>
      <c r="K27" s="50">
        <v>1</v>
      </c>
      <c r="L27" s="50">
        <v>5</v>
      </c>
      <c r="M27" s="50">
        <v>50</v>
      </c>
      <c r="N27" s="50">
        <v>0</v>
      </c>
      <c r="O27" s="15">
        <f t="shared" si="0"/>
        <v>18</v>
      </c>
      <c r="P27" s="15">
        <f t="shared" si="1"/>
        <v>68</v>
      </c>
      <c r="R27" s="29" t="s">
        <v>87</v>
      </c>
      <c r="S27" s="16">
        <f t="shared" ref="S27:AF27" si="19">SUM(S19:S21)</f>
        <v>48</v>
      </c>
      <c r="T27" s="16">
        <f t="shared" si="19"/>
        <v>22</v>
      </c>
      <c r="U27" s="16">
        <f t="shared" si="19"/>
        <v>49</v>
      </c>
      <c r="V27" s="16">
        <f t="shared" si="19"/>
        <v>20</v>
      </c>
      <c r="W27" s="16">
        <f t="shared" si="19"/>
        <v>4</v>
      </c>
      <c r="X27" s="16">
        <f t="shared" si="19"/>
        <v>9</v>
      </c>
      <c r="Y27" s="16">
        <f t="shared" si="19"/>
        <v>17</v>
      </c>
      <c r="Z27" s="16">
        <f t="shared" si="19"/>
        <v>14</v>
      </c>
      <c r="AA27" s="16">
        <f t="shared" si="19"/>
        <v>5</v>
      </c>
      <c r="AB27" s="16">
        <f t="shared" si="19"/>
        <v>12</v>
      </c>
      <c r="AC27" s="16">
        <f t="shared" si="19"/>
        <v>630</v>
      </c>
      <c r="AD27" s="16">
        <f t="shared" si="19"/>
        <v>0</v>
      </c>
      <c r="AE27" s="32">
        <f t="shared" si="19"/>
        <v>200</v>
      </c>
      <c r="AF27" s="32">
        <f t="shared" si="19"/>
        <v>830</v>
      </c>
    </row>
    <row r="28" spans="2:32" ht="23.1" customHeight="1" x14ac:dyDescent="0.25">
      <c r="B28" s="23" t="s">
        <v>55</v>
      </c>
      <c r="C28" s="50">
        <v>3</v>
      </c>
      <c r="D28" s="50">
        <v>2</v>
      </c>
      <c r="E28" s="50">
        <v>5</v>
      </c>
      <c r="F28" s="50">
        <v>1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4</v>
      </c>
      <c r="M28" s="50">
        <v>31</v>
      </c>
      <c r="N28" s="50">
        <v>0</v>
      </c>
      <c r="O28" s="15">
        <f t="shared" si="0"/>
        <v>16</v>
      </c>
      <c r="P28" s="15">
        <f t="shared" si="1"/>
        <v>47</v>
      </c>
      <c r="R28" s="5" t="s">
        <v>17</v>
      </c>
      <c r="S28" s="16">
        <f t="shared" ref="S28:AF28" si="20">SUM(S10:S21)</f>
        <v>121</v>
      </c>
      <c r="T28" s="16">
        <f t="shared" si="20"/>
        <v>73</v>
      </c>
      <c r="U28" s="16">
        <f t="shared" si="20"/>
        <v>166</v>
      </c>
      <c r="V28" s="16">
        <f t="shared" si="20"/>
        <v>72</v>
      </c>
      <c r="W28" s="16">
        <f t="shared" si="20"/>
        <v>8</v>
      </c>
      <c r="X28" s="16">
        <f t="shared" si="20"/>
        <v>17</v>
      </c>
      <c r="Y28" s="16">
        <f t="shared" si="20"/>
        <v>65</v>
      </c>
      <c r="Z28" s="16">
        <f t="shared" si="20"/>
        <v>29</v>
      </c>
      <c r="AA28" s="16">
        <f t="shared" si="20"/>
        <v>9</v>
      </c>
      <c r="AB28" s="16">
        <f t="shared" si="20"/>
        <v>70</v>
      </c>
      <c r="AC28" s="16">
        <f t="shared" si="20"/>
        <v>2306</v>
      </c>
      <c r="AD28" s="16">
        <f t="shared" si="20"/>
        <v>0</v>
      </c>
      <c r="AE28" s="32">
        <f t="shared" si="20"/>
        <v>630</v>
      </c>
      <c r="AF28" s="32">
        <f t="shared" si="20"/>
        <v>2936</v>
      </c>
    </row>
    <row r="29" spans="2:32" ht="23.1" customHeight="1" x14ac:dyDescent="0.25">
      <c r="B29" s="23" t="s">
        <v>56</v>
      </c>
      <c r="C29" s="50">
        <v>2</v>
      </c>
      <c r="D29" s="50">
        <v>1</v>
      </c>
      <c r="E29" s="50">
        <v>3</v>
      </c>
      <c r="F29" s="50">
        <v>1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8</v>
      </c>
      <c r="P29" s="15">
        <f t="shared" si="1"/>
        <v>48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1</v>
      </c>
      <c r="E30" s="50">
        <v>2</v>
      </c>
      <c r="F30" s="50">
        <v>1</v>
      </c>
      <c r="G30" s="50">
        <v>0</v>
      </c>
      <c r="H30" s="50">
        <v>1</v>
      </c>
      <c r="I30" s="50">
        <v>2</v>
      </c>
      <c r="J30" s="50">
        <v>0</v>
      </c>
      <c r="K30" s="50">
        <v>0</v>
      </c>
      <c r="L30" s="50">
        <v>1</v>
      </c>
      <c r="M30" s="50">
        <v>44</v>
      </c>
      <c r="N30" s="50">
        <v>0</v>
      </c>
      <c r="O30" s="15">
        <f t="shared" si="0"/>
        <v>10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0</v>
      </c>
      <c r="D31" s="50">
        <v>2</v>
      </c>
      <c r="E31" s="50">
        <v>4</v>
      </c>
      <c r="F31" s="50">
        <v>2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25</v>
      </c>
      <c r="N31" s="50">
        <v>0</v>
      </c>
      <c r="O31" s="15">
        <f t="shared" si="0"/>
        <v>10</v>
      </c>
      <c r="P31" s="15">
        <f t="shared" si="1"/>
        <v>35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3</v>
      </c>
      <c r="F32" s="50">
        <v>4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3</v>
      </c>
      <c r="M32" s="50">
        <v>25</v>
      </c>
      <c r="N32" s="50">
        <v>0</v>
      </c>
      <c r="O32" s="15">
        <f t="shared" si="0"/>
        <v>14</v>
      </c>
      <c r="P32" s="15">
        <f t="shared" si="1"/>
        <v>39</v>
      </c>
    </row>
    <row r="33" spans="2:20" ht="23.1" customHeight="1" x14ac:dyDescent="0.25">
      <c r="B33" s="23" t="s">
        <v>60</v>
      </c>
      <c r="C33" s="50">
        <v>2</v>
      </c>
      <c r="D33" s="50">
        <v>2</v>
      </c>
      <c r="E33" s="50">
        <v>4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40</v>
      </c>
      <c r="N33" s="50">
        <v>0</v>
      </c>
      <c r="O33" s="15">
        <f t="shared" si="0"/>
        <v>11</v>
      </c>
      <c r="P33" s="15">
        <f t="shared" si="1"/>
        <v>51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3</v>
      </c>
      <c r="F34" s="50">
        <v>1</v>
      </c>
      <c r="G34" s="50">
        <v>0</v>
      </c>
      <c r="H34" s="50">
        <v>1</v>
      </c>
      <c r="I34" s="50">
        <v>0</v>
      </c>
      <c r="J34" s="50">
        <v>0</v>
      </c>
      <c r="K34" s="50">
        <v>0</v>
      </c>
      <c r="L34" s="50">
        <v>0</v>
      </c>
      <c r="M34" s="50">
        <v>20</v>
      </c>
      <c r="N34" s="50">
        <v>0</v>
      </c>
      <c r="O34" s="15">
        <f t="shared" si="0"/>
        <v>6</v>
      </c>
      <c r="P34" s="15">
        <f t="shared" si="1"/>
        <v>26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2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55</v>
      </c>
      <c r="N35" s="50">
        <v>0</v>
      </c>
      <c r="O35" s="15">
        <f t="shared" si="0"/>
        <v>7</v>
      </c>
      <c r="P35" s="15">
        <f t="shared" si="1"/>
        <v>62</v>
      </c>
    </row>
    <row r="36" spans="2:20" ht="23.1" customHeight="1" x14ac:dyDescent="0.25">
      <c r="B36" s="24" t="s">
        <v>63</v>
      </c>
      <c r="C36" s="50">
        <v>2</v>
      </c>
      <c r="D36" s="50">
        <v>2</v>
      </c>
      <c r="E36" s="50">
        <v>5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55</v>
      </c>
      <c r="N36" s="50">
        <v>0</v>
      </c>
      <c r="O36" s="15">
        <f t="shared" si="0"/>
        <v>12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5</v>
      </c>
      <c r="D37" s="50">
        <v>4</v>
      </c>
      <c r="E37" s="50">
        <v>8</v>
      </c>
      <c r="F37" s="50">
        <v>2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55</v>
      </c>
      <c r="N37" s="50">
        <v>0</v>
      </c>
      <c r="O37" s="15">
        <f t="shared" si="0"/>
        <v>21</v>
      </c>
      <c r="P37" s="15">
        <f t="shared" si="1"/>
        <v>76</v>
      </c>
    </row>
    <row r="38" spans="2:20" ht="23.1" customHeight="1" x14ac:dyDescent="0.25">
      <c r="B38" s="24" t="s">
        <v>65</v>
      </c>
      <c r="C38" s="50">
        <v>4</v>
      </c>
      <c r="D38" s="50">
        <v>3</v>
      </c>
      <c r="E38" s="50">
        <v>6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65</v>
      </c>
      <c r="N38" s="50">
        <v>0</v>
      </c>
      <c r="O38" s="15">
        <f t="shared" si="0"/>
        <v>14</v>
      </c>
      <c r="P38" s="15">
        <f t="shared" si="1"/>
        <v>79</v>
      </c>
    </row>
    <row r="39" spans="2:20" ht="23.1" customHeight="1" x14ac:dyDescent="0.25">
      <c r="B39" s="24" t="s">
        <v>66</v>
      </c>
      <c r="C39" s="50">
        <v>5</v>
      </c>
      <c r="D39" s="50">
        <v>3</v>
      </c>
      <c r="E39" s="50">
        <v>6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1</v>
      </c>
      <c r="M39" s="50">
        <v>75</v>
      </c>
      <c r="N39" s="50">
        <v>0</v>
      </c>
      <c r="O39" s="15">
        <f t="shared" si="0"/>
        <v>17</v>
      </c>
      <c r="P39" s="15">
        <f t="shared" si="1"/>
        <v>92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4</v>
      </c>
      <c r="F40" s="50">
        <v>2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0</v>
      </c>
      <c r="M40" s="50">
        <v>55</v>
      </c>
      <c r="N40" s="50">
        <v>0</v>
      </c>
      <c r="O40" s="15">
        <f t="shared" si="0"/>
        <v>15</v>
      </c>
      <c r="P40" s="15">
        <f t="shared" si="1"/>
        <v>70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35</v>
      </c>
      <c r="N41" s="50">
        <v>0</v>
      </c>
      <c r="O41" s="15">
        <f t="shared" si="0"/>
        <v>6</v>
      </c>
      <c r="P41" s="15">
        <f t="shared" si="1"/>
        <v>41</v>
      </c>
    </row>
    <row r="42" spans="2:20" ht="23.1" customHeight="1" x14ac:dyDescent="0.25">
      <c r="B42" s="24" t="s">
        <v>69</v>
      </c>
      <c r="C42" s="50">
        <v>3</v>
      </c>
      <c r="D42" s="50">
        <v>2</v>
      </c>
      <c r="E42" s="50">
        <v>5</v>
      </c>
      <c r="F42" s="50">
        <v>0</v>
      </c>
      <c r="G42" s="50">
        <v>0</v>
      </c>
      <c r="H42" s="50">
        <v>1</v>
      </c>
      <c r="I42" s="50">
        <v>2</v>
      </c>
      <c r="J42" s="50">
        <v>0</v>
      </c>
      <c r="K42" s="50">
        <v>0</v>
      </c>
      <c r="L42" s="50">
        <v>1</v>
      </c>
      <c r="M42" s="50">
        <v>37</v>
      </c>
      <c r="N42" s="50">
        <v>0</v>
      </c>
      <c r="O42" s="15">
        <f t="shared" si="0"/>
        <v>14</v>
      </c>
      <c r="P42" s="15">
        <f t="shared" si="1"/>
        <v>51</v>
      </c>
    </row>
    <row r="43" spans="2:20" ht="23.1" customHeight="1" x14ac:dyDescent="0.25">
      <c r="B43" s="23" t="s">
        <v>70</v>
      </c>
      <c r="C43" s="50">
        <v>1</v>
      </c>
      <c r="D43" s="50">
        <v>4</v>
      </c>
      <c r="E43" s="50">
        <v>8</v>
      </c>
      <c r="F43" s="50">
        <v>2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33</v>
      </c>
      <c r="N43" s="50">
        <v>0</v>
      </c>
      <c r="O43" s="15">
        <f t="shared" si="0"/>
        <v>17</v>
      </c>
      <c r="P43" s="15">
        <f t="shared" si="1"/>
        <v>50</v>
      </c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2</v>
      </c>
      <c r="F44" s="50">
        <v>4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52</v>
      </c>
      <c r="N44" s="50">
        <v>0</v>
      </c>
      <c r="O44" s="15">
        <f t="shared" si="0"/>
        <v>11</v>
      </c>
      <c r="P44" s="15">
        <f t="shared" si="1"/>
        <v>63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1</v>
      </c>
      <c r="I45" s="50">
        <v>2</v>
      </c>
      <c r="J45" s="50">
        <v>1</v>
      </c>
      <c r="K45" s="50">
        <v>0</v>
      </c>
      <c r="L45" s="50">
        <v>0</v>
      </c>
      <c r="M45" s="50">
        <v>60</v>
      </c>
      <c r="N45" s="50">
        <v>0</v>
      </c>
      <c r="O45" s="15">
        <f t="shared" si="0"/>
        <v>6</v>
      </c>
      <c r="P45" s="15">
        <f t="shared" si="1"/>
        <v>66</v>
      </c>
    </row>
    <row r="46" spans="2:20" ht="23.1" customHeight="1" x14ac:dyDescent="0.25">
      <c r="B46" s="24" t="s">
        <v>73</v>
      </c>
      <c r="C46" s="50">
        <v>1</v>
      </c>
      <c r="D46" s="50">
        <v>2</v>
      </c>
      <c r="E46" s="50">
        <v>4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42</v>
      </c>
      <c r="N46" s="50">
        <v>0</v>
      </c>
      <c r="O46" s="15">
        <f t="shared" si="0"/>
        <v>10</v>
      </c>
      <c r="P46" s="15">
        <f t="shared" si="1"/>
        <v>52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2</v>
      </c>
      <c r="E47" s="50">
        <v>5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11</v>
      </c>
      <c r="P47" s="15">
        <f t="shared" si="1"/>
        <v>51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2</v>
      </c>
      <c r="E48" s="50">
        <v>5</v>
      </c>
      <c r="F48" s="50">
        <v>2</v>
      </c>
      <c r="G48" s="50">
        <v>1</v>
      </c>
      <c r="H48" s="50">
        <v>1</v>
      </c>
      <c r="I48" s="50">
        <v>2</v>
      </c>
      <c r="J48" s="50">
        <v>0</v>
      </c>
      <c r="K48" s="50">
        <v>0</v>
      </c>
      <c r="L48" s="50">
        <v>0</v>
      </c>
      <c r="M48" s="50">
        <v>43</v>
      </c>
      <c r="N48" s="50">
        <v>0</v>
      </c>
      <c r="O48" s="15">
        <f t="shared" si="0"/>
        <v>19</v>
      </c>
      <c r="P48" s="15">
        <f t="shared" si="1"/>
        <v>62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3</v>
      </c>
      <c r="F49" s="50">
        <v>1</v>
      </c>
      <c r="G49" s="50">
        <v>0</v>
      </c>
      <c r="H49" s="50">
        <v>1</v>
      </c>
      <c r="I49" s="50">
        <v>0</v>
      </c>
      <c r="J49" s="50">
        <v>1</v>
      </c>
      <c r="K49" s="50">
        <v>0</v>
      </c>
      <c r="L49" s="50">
        <v>1</v>
      </c>
      <c r="M49" s="50">
        <v>60</v>
      </c>
      <c r="N49" s="50">
        <v>0</v>
      </c>
      <c r="O49" s="15">
        <f t="shared" si="0"/>
        <v>9</v>
      </c>
      <c r="P49" s="15">
        <f t="shared" si="1"/>
        <v>69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4</v>
      </c>
      <c r="E50" s="50">
        <v>8</v>
      </c>
      <c r="F50" s="50">
        <v>1</v>
      </c>
      <c r="G50" s="50">
        <v>0</v>
      </c>
      <c r="H50" s="50">
        <v>0</v>
      </c>
      <c r="I50" s="50">
        <v>3</v>
      </c>
      <c r="J50" s="50">
        <v>2</v>
      </c>
      <c r="K50" s="50">
        <v>2</v>
      </c>
      <c r="L50" s="50">
        <v>0</v>
      </c>
      <c r="M50" s="50">
        <v>63</v>
      </c>
      <c r="N50" s="50">
        <v>0</v>
      </c>
      <c r="O50" s="15">
        <f t="shared" si="0"/>
        <v>29</v>
      </c>
      <c r="P50" s="15">
        <f t="shared" si="1"/>
        <v>92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3</v>
      </c>
      <c r="E51" s="50">
        <v>7</v>
      </c>
      <c r="F51" s="50">
        <v>5</v>
      </c>
      <c r="G51" s="50">
        <v>0</v>
      </c>
      <c r="H51" s="50">
        <v>1</v>
      </c>
      <c r="I51" s="50">
        <v>4</v>
      </c>
      <c r="J51" s="50">
        <v>0</v>
      </c>
      <c r="K51" s="50">
        <v>1</v>
      </c>
      <c r="L51" s="50">
        <v>0</v>
      </c>
      <c r="M51" s="50">
        <v>85</v>
      </c>
      <c r="N51" s="50">
        <v>0</v>
      </c>
      <c r="O51" s="15">
        <f t="shared" si="0"/>
        <v>25</v>
      </c>
      <c r="P51" s="15">
        <f t="shared" si="1"/>
        <v>110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3</v>
      </c>
      <c r="E52" s="50">
        <v>6</v>
      </c>
      <c r="F52" s="50">
        <v>6</v>
      </c>
      <c r="G52" s="50">
        <v>0</v>
      </c>
      <c r="H52" s="50">
        <v>1</v>
      </c>
      <c r="I52" s="50">
        <v>0</v>
      </c>
      <c r="J52" s="50">
        <v>1</v>
      </c>
      <c r="K52" s="50">
        <v>0</v>
      </c>
      <c r="L52" s="50">
        <v>0</v>
      </c>
      <c r="M52" s="50">
        <v>75</v>
      </c>
      <c r="N52" s="50">
        <v>0</v>
      </c>
      <c r="O52" s="15">
        <f t="shared" si="0"/>
        <v>22</v>
      </c>
      <c r="P52" s="15">
        <f t="shared" si="1"/>
        <v>97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4</v>
      </c>
      <c r="P53" s="15">
        <f t="shared" si="1"/>
        <v>59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3</v>
      </c>
      <c r="E54" s="50">
        <v>6</v>
      </c>
      <c r="F54" s="50">
        <v>0</v>
      </c>
      <c r="G54" s="50">
        <v>1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16</v>
      </c>
      <c r="P54" s="15">
        <f t="shared" si="1"/>
        <v>66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2</v>
      </c>
      <c r="F55" s="50">
        <v>0</v>
      </c>
      <c r="G55" s="50">
        <v>0</v>
      </c>
      <c r="H55" s="50">
        <v>1</v>
      </c>
      <c r="I55" s="50">
        <v>0</v>
      </c>
      <c r="J55" s="50">
        <v>3</v>
      </c>
      <c r="K55" s="50">
        <v>0</v>
      </c>
      <c r="L55" s="50">
        <v>1</v>
      </c>
      <c r="M55" s="50">
        <v>32</v>
      </c>
      <c r="N55" s="50">
        <v>0</v>
      </c>
      <c r="O55" s="15">
        <f t="shared" si="0"/>
        <v>10</v>
      </c>
      <c r="P55" s="15">
        <f t="shared" si="1"/>
        <v>42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1</v>
      </c>
      <c r="E56" s="50">
        <v>2</v>
      </c>
      <c r="F56" s="50">
        <v>4</v>
      </c>
      <c r="G56" s="50">
        <v>2</v>
      </c>
      <c r="H56" s="50">
        <v>3</v>
      </c>
      <c r="I56" s="50">
        <v>2</v>
      </c>
      <c r="J56" s="50">
        <v>1</v>
      </c>
      <c r="K56" s="50">
        <v>0</v>
      </c>
      <c r="L56" s="50">
        <v>5</v>
      </c>
      <c r="M56" s="50">
        <v>45</v>
      </c>
      <c r="N56" s="50">
        <v>0</v>
      </c>
      <c r="O56" s="15">
        <f t="shared" si="0"/>
        <v>25</v>
      </c>
      <c r="P56" s="15">
        <f t="shared" si="1"/>
        <v>70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0</v>
      </c>
      <c r="E57" s="50">
        <v>0</v>
      </c>
      <c r="F57" s="50">
        <v>0</v>
      </c>
      <c r="G57" s="50">
        <v>0</v>
      </c>
      <c r="H57" s="50">
        <v>1</v>
      </c>
      <c r="I57" s="50">
        <v>0</v>
      </c>
      <c r="J57" s="50">
        <v>4</v>
      </c>
      <c r="K57" s="50">
        <v>2</v>
      </c>
      <c r="L57" s="50">
        <v>5</v>
      </c>
      <c r="M57" s="50">
        <v>40</v>
      </c>
      <c r="N57" s="50">
        <v>0</v>
      </c>
      <c r="O57" s="15">
        <f t="shared" si="0"/>
        <v>20</v>
      </c>
      <c r="P57" s="15">
        <f t="shared" si="1"/>
        <v>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121</v>
      </c>
      <c r="D58" s="16">
        <f t="shared" si="21"/>
        <v>73</v>
      </c>
      <c r="E58" s="16">
        <f t="shared" si="21"/>
        <v>166</v>
      </c>
      <c r="F58" s="16">
        <f t="shared" si="21"/>
        <v>72</v>
      </c>
      <c r="G58" s="16">
        <f t="shared" si="21"/>
        <v>8</v>
      </c>
      <c r="H58" s="16">
        <f t="shared" si="21"/>
        <v>17</v>
      </c>
      <c r="I58" s="16">
        <f t="shared" si="21"/>
        <v>65</v>
      </c>
      <c r="J58" s="16">
        <f t="shared" si="21"/>
        <v>29</v>
      </c>
      <c r="K58" s="16">
        <f t="shared" si="21"/>
        <v>9</v>
      </c>
      <c r="L58" s="16">
        <f t="shared" si="21"/>
        <v>70</v>
      </c>
      <c r="M58" s="16">
        <f t="shared" si="21"/>
        <v>2306</v>
      </c>
      <c r="N58" s="16">
        <f t="shared" si="21"/>
        <v>0</v>
      </c>
      <c r="O58" s="16">
        <f t="shared" si="21"/>
        <v>630</v>
      </c>
      <c r="P58" s="16">
        <f t="shared" si="21"/>
        <v>2936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4.1212534059945502E-2</v>
      </c>
      <c r="D59" s="43">
        <f t="shared" si="22"/>
        <v>2.4863760217983651E-2</v>
      </c>
      <c r="E59" s="43">
        <f t="shared" si="22"/>
        <v>5.6539509536784743E-2</v>
      </c>
      <c r="F59" s="43">
        <f t="shared" si="22"/>
        <v>2.4523160762942781E-2</v>
      </c>
      <c r="G59" s="43">
        <f t="shared" si="22"/>
        <v>2.7247956403269754E-3</v>
      </c>
      <c r="H59" s="43">
        <f t="shared" si="22"/>
        <v>5.7901907356948225E-3</v>
      </c>
      <c r="I59" s="43">
        <f t="shared" si="22"/>
        <v>2.2138964577656677E-2</v>
      </c>
      <c r="J59" s="43">
        <f t="shared" si="22"/>
        <v>9.8773841961852862E-3</v>
      </c>
      <c r="K59" s="43">
        <f t="shared" si="22"/>
        <v>3.0653950953678476E-3</v>
      </c>
      <c r="L59" s="43">
        <f t="shared" si="22"/>
        <v>2.3841961852861037E-2</v>
      </c>
      <c r="M59" s="43">
        <f t="shared" si="22"/>
        <v>0.78542234332425065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0.19206349206349208</v>
      </c>
      <c r="D60" s="44">
        <f t="shared" ref="D60:N60" si="23">D58/$O$58</f>
        <v>0.11587301587301588</v>
      </c>
      <c r="E60" s="44">
        <f t="shared" si="23"/>
        <v>0.2634920634920635</v>
      </c>
      <c r="F60" s="44">
        <f t="shared" si="23"/>
        <v>0.11428571428571428</v>
      </c>
      <c r="G60" s="44">
        <f t="shared" si="23"/>
        <v>1.2698412698412698E-2</v>
      </c>
      <c r="H60" s="44">
        <f t="shared" si="23"/>
        <v>2.6984126984126985E-2</v>
      </c>
      <c r="I60" s="44">
        <f t="shared" si="23"/>
        <v>0.10317460317460317</v>
      </c>
      <c r="J60" s="44">
        <f t="shared" si="23"/>
        <v>4.6031746031746035E-2</v>
      </c>
      <c r="K60" s="44">
        <f t="shared" si="23"/>
        <v>1.4285714285714285E-2</v>
      </c>
      <c r="L60" s="44">
        <f t="shared" si="23"/>
        <v>0.1111111111111111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21" zoomScale="60" workbookViewId="0">
      <selection activeCell="F15" sqref="F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GULU-KARUMA'!C3:G3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6" t="str">
        <f>'05.08, KARUMA-GULU-24HRS'!G5:H5</f>
        <v>xxx</v>
      </c>
      <c r="H5" s="67"/>
      <c r="I5" s="14"/>
      <c r="J5" s="2" t="s">
        <v>5</v>
      </c>
      <c r="K5" s="66" t="str">
        <f>'05.08, KARUMA-GULU-24HRS'!K5:L5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GULU-KARUMA'!D6:E6</f>
        <v>GULU</v>
      </c>
      <c r="E6" s="67"/>
      <c r="F6" s="2" t="s">
        <v>2</v>
      </c>
      <c r="G6" s="66" t="str">
        <f>'01.08 GULU-KARUMA'!G6:H6</f>
        <v>KARUMA</v>
      </c>
      <c r="H6" s="67"/>
      <c r="J6" s="2" t="s">
        <v>21</v>
      </c>
      <c r="K6" s="66" t="str">
        <f>'05.08, KARUMA-GULU-24HRS'!K6:L6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1</v>
      </c>
      <c r="M10" s="50">
        <v>22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5</v>
      </c>
      <c r="T10" s="17">
        <f t="shared" si="2"/>
        <v>3</v>
      </c>
      <c r="U10" s="17">
        <f t="shared" si="2"/>
        <v>9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112</v>
      </c>
      <c r="AD10" s="17">
        <f t="shared" si="2"/>
        <v>0</v>
      </c>
      <c r="AE10" s="31">
        <f t="shared" si="2"/>
        <v>26</v>
      </c>
      <c r="AF10" s="31">
        <f t="shared" si="2"/>
        <v>138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2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22</v>
      </c>
      <c r="N11" s="50">
        <v>0</v>
      </c>
      <c r="O11" s="15">
        <f t="shared" si="0"/>
        <v>6</v>
      </c>
      <c r="P11" s="15">
        <f t="shared" si="1"/>
        <v>28</v>
      </c>
      <c r="R11" s="1" t="s">
        <v>7</v>
      </c>
      <c r="S11" s="17">
        <f t="shared" ref="S11:AF11" si="3">SUM(C14:C17)</f>
        <v>9</v>
      </c>
      <c r="T11" s="17">
        <f t="shared" si="3"/>
        <v>6</v>
      </c>
      <c r="U11" s="17">
        <f t="shared" si="3"/>
        <v>12</v>
      </c>
      <c r="V11" s="17">
        <f t="shared" si="3"/>
        <v>3</v>
      </c>
      <c r="W11" s="17">
        <f t="shared" si="3"/>
        <v>0</v>
      </c>
      <c r="X11" s="17">
        <f t="shared" si="3"/>
        <v>1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138</v>
      </c>
      <c r="AD11" s="17">
        <f t="shared" si="3"/>
        <v>0</v>
      </c>
      <c r="AE11" s="31">
        <f t="shared" si="3"/>
        <v>40</v>
      </c>
      <c r="AF11" s="31">
        <f t="shared" si="3"/>
        <v>178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3</v>
      </c>
      <c r="F12" s="50">
        <v>0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29</v>
      </c>
      <c r="N12" s="50">
        <v>0</v>
      </c>
      <c r="O12" s="15">
        <f t="shared" si="0"/>
        <v>7</v>
      </c>
      <c r="P12" s="15">
        <f t="shared" si="1"/>
        <v>36</v>
      </c>
      <c r="R12" s="1" t="s">
        <v>8</v>
      </c>
      <c r="S12" s="17">
        <f t="shared" ref="S12:AF12" si="4">SUM(C18:C21)</f>
        <v>12</v>
      </c>
      <c r="T12" s="17">
        <f t="shared" si="4"/>
        <v>6</v>
      </c>
      <c r="U12" s="17">
        <f t="shared" si="4"/>
        <v>12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1</v>
      </c>
      <c r="AA12" s="17">
        <f t="shared" si="4"/>
        <v>0</v>
      </c>
      <c r="AB12" s="17">
        <f t="shared" si="4"/>
        <v>4</v>
      </c>
      <c r="AC12" s="17">
        <f t="shared" si="4"/>
        <v>133</v>
      </c>
      <c r="AD12" s="17">
        <f t="shared" si="4"/>
        <v>0</v>
      </c>
      <c r="AE12" s="31">
        <f t="shared" si="4"/>
        <v>47</v>
      </c>
      <c r="AF12" s="31">
        <f t="shared" si="4"/>
        <v>180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3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39</v>
      </c>
      <c r="N13" s="50">
        <v>0</v>
      </c>
      <c r="O13" s="15">
        <f t="shared" si="0"/>
        <v>8</v>
      </c>
      <c r="P13" s="15">
        <f t="shared" si="1"/>
        <v>47</v>
      </c>
      <c r="R13" s="1" t="s">
        <v>9</v>
      </c>
      <c r="S13" s="17">
        <f t="shared" ref="S13:AF13" si="5">SUM(C22:C25)</f>
        <v>13</v>
      </c>
      <c r="T13" s="17">
        <f t="shared" si="5"/>
        <v>4</v>
      </c>
      <c r="U13" s="17">
        <f t="shared" si="5"/>
        <v>12</v>
      </c>
      <c r="V13" s="17">
        <f t="shared" si="5"/>
        <v>4</v>
      </c>
      <c r="W13" s="17">
        <f t="shared" si="5"/>
        <v>0</v>
      </c>
      <c r="X13" s="17">
        <f t="shared" si="5"/>
        <v>1</v>
      </c>
      <c r="Y13" s="17">
        <f t="shared" si="5"/>
        <v>7</v>
      </c>
      <c r="Z13" s="17">
        <f t="shared" si="5"/>
        <v>3</v>
      </c>
      <c r="AA13" s="17">
        <f t="shared" si="5"/>
        <v>0</v>
      </c>
      <c r="AB13" s="17">
        <f t="shared" si="5"/>
        <v>5</v>
      </c>
      <c r="AC13" s="17">
        <f t="shared" si="5"/>
        <v>127</v>
      </c>
      <c r="AD13" s="17">
        <f t="shared" si="5"/>
        <v>0</v>
      </c>
      <c r="AE13" s="31">
        <f t="shared" si="5"/>
        <v>49</v>
      </c>
      <c r="AF13" s="31">
        <f t="shared" si="5"/>
        <v>176</v>
      </c>
    </row>
    <row r="14" spans="2:32" ht="23.1" customHeight="1" x14ac:dyDescent="0.25">
      <c r="B14" s="23" t="s">
        <v>41</v>
      </c>
      <c r="C14" s="50">
        <v>2</v>
      </c>
      <c r="D14" s="50">
        <v>2</v>
      </c>
      <c r="E14" s="50">
        <v>3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33</v>
      </c>
      <c r="N14" s="50">
        <v>0</v>
      </c>
      <c r="O14" s="15">
        <f t="shared" si="0"/>
        <v>8</v>
      </c>
      <c r="P14" s="15">
        <f t="shared" si="1"/>
        <v>41</v>
      </c>
      <c r="R14" s="1" t="s">
        <v>10</v>
      </c>
      <c r="S14" s="17">
        <f t="shared" ref="S14:AF14" si="6">SUM(C26:C29)</f>
        <v>13</v>
      </c>
      <c r="T14" s="17">
        <f t="shared" si="6"/>
        <v>7</v>
      </c>
      <c r="U14" s="17">
        <f t="shared" si="6"/>
        <v>15</v>
      </c>
      <c r="V14" s="17">
        <f t="shared" si="6"/>
        <v>4</v>
      </c>
      <c r="W14" s="17">
        <f t="shared" si="6"/>
        <v>0</v>
      </c>
      <c r="X14" s="17">
        <f t="shared" si="6"/>
        <v>1</v>
      </c>
      <c r="Y14" s="17">
        <f t="shared" si="6"/>
        <v>8</v>
      </c>
      <c r="Z14" s="17">
        <f t="shared" si="6"/>
        <v>3</v>
      </c>
      <c r="AA14" s="17">
        <f t="shared" si="6"/>
        <v>0</v>
      </c>
      <c r="AB14" s="17">
        <f t="shared" si="6"/>
        <v>8</v>
      </c>
      <c r="AC14" s="17">
        <f t="shared" si="6"/>
        <v>120</v>
      </c>
      <c r="AD14" s="17">
        <f t="shared" si="6"/>
        <v>0</v>
      </c>
      <c r="AE14" s="31">
        <f t="shared" si="6"/>
        <v>59</v>
      </c>
      <c r="AF14" s="31">
        <f t="shared" si="6"/>
        <v>179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3</v>
      </c>
      <c r="F15" s="50">
        <v>1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39</v>
      </c>
      <c r="N15" s="50">
        <v>0</v>
      </c>
      <c r="O15" s="15">
        <f t="shared" si="0"/>
        <v>10</v>
      </c>
      <c r="P15" s="15">
        <f t="shared" si="1"/>
        <v>49</v>
      </c>
      <c r="R15" s="1" t="s">
        <v>11</v>
      </c>
      <c r="S15" s="17">
        <f t="shared" ref="S15:AF15" si="7">SUM(C30:C33)</f>
        <v>13</v>
      </c>
      <c r="T15" s="17">
        <f t="shared" si="7"/>
        <v>6</v>
      </c>
      <c r="U15" s="17">
        <f t="shared" si="7"/>
        <v>13</v>
      </c>
      <c r="V15" s="17">
        <f t="shared" si="7"/>
        <v>3</v>
      </c>
      <c r="W15" s="17">
        <f t="shared" si="7"/>
        <v>0</v>
      </c>
      <c r="X15" s="17">
        <f t="shared" si="7"/>
        <v>1</v>
      </c>
      <c r="Y15" s="17">
        <f t="shared" si="7"/>
        <v>6</v>
      </c>
      <c r="Z15" s="17">
        <f t="shared" si="7"/>
        <v>3</v>
      </c>
      <c r="AA15" s="17">
        <f t="shared" si="7"/>
        <v>0</v>
      </c>
      <c r="AB15" s="17">
        <f t="shared" si="7"/>
        <v>12</v>
      </c>
      <c r="AC15" s="17">
        <f t="shared" si="7"/>
        <v>120</v>
      </c>
      <c r="AD15" s="17">
        <f t="shared" si="7"/>
        <v>0</v>
      </c>
      <c r="AE15" s="31">
        <f t="shared" si="7"/>
        <v>57</v>
      </c>
      <c r="AF15" s="31">
        <f t="shared" si="7"/>
        <v>177</v>
      </c>
    </row>
    <row r="16" spans="2:32" ht="23.1" customHeight="1" x14ac:dyDescent="0.25">
      <c r="B16" s="23" t="s">
        <v>43</v>
      </c>
      <c r="C16" s="50">
        <v>2</v>
      </c>
      <c r="D16" s="50">
        <v>1</v>
      </c>
      <c r="E16" s="50">
        <v>3</v>
      </c>
      <c r="F16" s="50">
        <v>1</v>
      </c>
      <c r="G16" s="50">
        <v>0</v>
      </c>
      <c r="H16" s="50">
        <v>1</v>
      </c>
      <c r="I16" s="50">
        <v>2</v>
      </c>
      <c r="J16" s="50">
        <v>0</v>
      </c>
      <c r="K16" s="50">
        <v>0</v>
      </c>
      <c r="L16" s="50">
        <v>1</v>
      </c>
      <c r="M16" s="50">
        <v>34</v>
      </c>
      <c r="N16" s="50">
        <v>0</v>
      </c>
      <c r="O16" s="15">
        <f t="shared" si="0"/>
        <v>11</v>
      </c>
      <c r="P16" s="15">
        <f t="shared" si="1"/>
        <v>45</v>
      </c>
      <c r="R16" s="1" t="s">
        <v>12</v>
      </c>
      <c r="S16" s="17">
        <f t="shared" ref="S16:AF16" si="8">SUM(C34:C37)</f>
        <v>12</v>
      </c>
      <c r="T16" s="17">
        <f t="shared" si="8"/>
        <v>6</v>
      </c>
      <c r="U16" s="17">
        <f t="shared" si="8"/>
        <v>15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0</v>
      </c>
      <c r="AB16" s="17">
        <f t="shared" si="8"/>
        <v>8</v>
      </c>
      <c r="AC16" s="17">
        <f t="shared" si="8"/>
        <v>110</v>
      </c>
      <c r="AD16" s="17">
        <f t="shared" si="8"/>
        <v>0</v>
      </c>
      <c r="AE16" s="31">
        <f t="shared" si="8"/>
        <v>54</v>
      </c>
      <c r="AF16" s="31">
        <f t="shared" si="8"/>
        <v>164</v>
      </c>
    </row>
    <row r="17" spans="2:32" ht="23.1" customHeight="1" x14ac:dyDescent="0.25">
      <c r="B17" s="23" t="s">
        <v>44</v>
      </c>
      <c r="C17" s="50">
        <v>3</v>
      </c>
      <c r="D17" s="50">
        <v>2</v>
      </c>
      <c r="E17" s="50">
        <v>3</v>
      </c>
      <c r="F17" s="50">
        <v>1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32</v>
      </c>
      <c r="N17" s="50">
        <v>0</v>
      </c>
      <c r="O17" s="15">
        <f t="shared" si="0"/>
        <v>11</v>
      </c>
      <c r="P17" s="15">
        <f t="shared" si="1"/>
        <v>43</v>
      </c>
      <c r="R17" s="1" t="s">
        <v>13</v>
      </c>
      <c r="S17" s="17">
        <f t="shared" ref="S17:AF17" si="9">SUM(C38:C41)</f>
        <v>9</v>
      </c>
      <c r="T17" s="17">
        <f t="shared" si="9"/>
        <v>6</v>
      </c>
      <c r="U17" s="17">
        <f t="shared" si="9"/>
        <v>14</v>
      </c>
      <c r="V17" s="17">
        <f t="shared" si="9"/>
        <v>4</v>
      </c>
      <c r="W17" s="17">
        <f t="shared" si="9"/>
        <v>0</v>
      </c>
      <c r="X17" s="17">
        <f t="shared" si="9"/>
        <v>2</v>
      </c>
      <c r="Y17" s="17">
        <f t="shared" si="9"/>
        <v>7</v>
      </c>
      <c r="Z17" s="17">
        <f t="shared" si="9"/>
        <v>3</v>
      </c>
      <c r="AA17" s="17">
        <f t="shared" si="9"/>
        <v>0</v>
      </c>
      <c r="AB17" s="17">
        <f t="shared" si="9"/>
        <v>5</v>
      </c>
      <c r="AC17" s="17">
        <f t="shared" si="9"/>
        <v>108</v>
      </c>
      <c r="AD17" s="17">
        <f t="shared" si="9"/>
        <v>0</v>
      </c>
      <c r="AE17" s="31">
        <f t="shared" si="9"/>
        <v>50</v>
      </c>
      <c r="AF17" s="31">
        <f t="shared" si="9"/>
        <v>158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3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33</v>
      </c>
      <c r="N18" s="50">
        <v>0</v>
      </c>
      <c r="O18" s="15">
        <f t="shared" si="0"/>
        <v>10</v>
      </c>
      <c r="P18" s="15">
        <f t="shared" si="1"/>
        <v>43</v>
      </c>
      <c r="R18" s="1" t="s">
        <v>14</v>
      </c>
      <c r="S18" s="17">
        <f t="shared" ref="S18:AF18" si="10">SUM(C42:C45)</f>
        <v>11</v>
      </c>
      <c r="T18" s="17">
        <f t="shared" si="10"/>
        <v>5</v>
      </c>
      <c r="U18" s="17">
        <f t="shared" si="10"/>
        <v>11</v>
      </c>
      <c r="V18" s="17">
        <f t="shared" si="10"/>
        <v>3</v>
      </c>
      <c r="W18" s="17">
        <f t="shared" si="10"/>
        <v>0</v>
      </c>
      <c r="X18" s="17">
        <f t="shared" si="10"/>
        <v>1</v>
      </c>
      <c r="Y18" s="17">
        <f t="shared" si="10"/>
        <v>7</v>
      </c>
      <c r="Z18" s="17">
        <f t="shared" si="10"/>
        <v>3</v>
      </c>
      <c r="AA18" s="17">
        <f t="shared" si="10"/>
        <v>0</v>
      </c>
      <c r="AB18" s="17">
        <f t="shared" si="10"/>
        <v>7</v>
      </c>
      <c r="AC18" s="17">
        <f t="shared" si="10"/>
        <v>112</v>
      </c>
      <c r="AD18" s="17">
        <f t="shared" si="10"/>
        <v>0</v>
      </c>
      <c r="AE18" s="31">
        <f t="shared" si="10"/>
        <v>48</v>
      </c>
      <c r="AF18" s="31">
        <f t="shared" si="10"/>
        <v>160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3</v>
      </c>
      <c r="F19" s="50">
        <v>2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32</v>
      </c>
      <c r="N19" s="50">
        <v>0</v>
      </c>
      <c r="O19" s="15">
        <f t="shared" si="0"/>
        <v>12</v>
      </c>
      <c r="P19" s="15">
        <f t="shared" si="1"/>
        <v>44</v>
      </c>
      <c r="R19" s="1" t="s">
        <v>15</v>
      </c>
      <c r="S19" s="17">
        <f t="shared" ref="S19:AF19" si="11">SUM(C46:C49)</f>
        <v>12</v>
      </c>
      <c r="T19" s="17">
        <f t="shared" si="11"/>
        <v>5</v>
      </c>
      <c r="U19" s="17">
        <f t="shared" si="11"/>
        <v>11</v>
      </c>
      <c r="V19" s="17">
        <f t="shared" si="11"/>
        <v>3</v>
      </c>
      <c r="W19" s="17">
        <f t="shared" si="11"/>
        <v>0</v>
      </c>
      <c r="X19" s="17">
        <f t="shared" si="11"/>
        <v>3</v>
      </c>
      <c r="Y19" s="17">
        <f t="shared" si="11"/>
        <v>8</v>
      </c>
      <c r="Z19" s="17">
        <f t="shared" si="11"/>
        <v>1</v>
      </c>
      <c r="AA19" s="17">
        <f t="shared" si="11"/>
        <v>0</v>
      </c>
      <c r="AB19" s="17">
        <f t="shared" si="11"/>
        <v>5</v>
      </c>
      <c r="AC19" s="17">
        <f t="shared" si="11"/>
        <v>121</v>
      </c>
      <c r="AD19" s="17">
        <f t="shared" si="11"/>
        <v>0</v>
      </c>
      <c r="AE19" s="31">
        <f t="shared" si="11"/>
        <v>48</v>
      </c>
      <c r="AF19" s="31">
        <f t="shared" si="11"/>
        <v>169</v>
      </c>
    </row>
    <row r="20" spans="2:32" ht="23.1" customHeight="1" x14ac:dyDescent="0.25">
      <c r="B20" s="23" t="s">
        <v>47</v>
      </c>
      <c r="C20" s="50">
        <v>3</v>
      </c>
      <c r="D20" s="50">
        <v>2</v>
      </c>
      <c r="E20" s="50">
        <v>3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1</v>
      </c>
      <c r="M20" s="50">
        <v>31</v>
      </c>
      <c r="N20" s="50">
        <v>0</v>
      </c>
      <c r="O20" s="15">
        <f t="shared" si="0"/>
        <v>13</v>
      </c>
      <c r="P20" s="15">
        <f t="shared" si="1"/>
        <v>44</v>
      </c>
      <c r="R20" s="1" t="s">
        <v>16</v>
      </c>
      <c r="S20" s="17">
        <f t="shared" ref="S20:AF20" si="12">SUM(C50:C53)</f>
        <v>13</v>
      </c>
      <c r="T20" s="17">
        <f t="shared" si="12"/>
        <v>6</v>
      </c>
      <c r="U20" s="17">
        <f t="shared" si="12"/>
        <v>13</v>
      </c>
      <c r="V20" s="17">
        <f t="shared" si="12"/>
        <v>5</v>
      </c>
      <c r="W20" s="17">
        <f t="shared" si="12"/>
        <v>0</v>
      </c>
      <c r="X20" s="17">
        <f t="shared" si="12"/>
        <v>2</v>
      </c>
      <c r="Y20" s="17">
        <f t="shared" si="12"/>
        <v>7</v>
      </c>
      <c r="Z20" s="17">
        <f t="shared" si="12"/>
        <v>3</v>
      </c>
      <c r="AA20" s="17">
        <f t="shared" si="12"/>
        <v>0</v>
      </c>
      <c r="AB20" s="17">
        <f t="shared" si="12"/>
        <v>5</v>
      </c>
      <c r="AC20" s="17">
        <f t="shared" si="12"/>
        <v>139</v>
      </c>
      <c r="AD20" s="17">
        <f t="shared" si="12"/>
        <v>0</v>
      </c>
      <c r="AE20" s="31">
        <f t="shared" si="12"/>
        <v>54</v>
      </c>
      <c r="AF20" s="31">
        <f t="shared" si="12"/>
        <v>193</v>
      </c>
    </row>
    <row r="21" spans="2:32" ht="23.1" customHeight="1" x14ac:dyDescent="0.25">
      <c r="B21" s="23" t="s">
        <v>48</v>
      </c>
      <c r="C21" s="50">
        <v>3</v>
      </c>
      <c r="D21" s="50">
        <v>2</v>
      </c>
      <c r="E21" s="50">
        <v>3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37</v>
      </c>
      <c r="N21" s="50">
        <v>0</v>
      </c>
      <c r="O21" s="15">
        <f t="shared" si="0"/>
        <v>12</v>
      </c>
      <c r="P21" s="15">
        <f t="shared" si="1"/>
        <v>49</v>
      </c>
      <c r="R21" s="36" t="s">
        <v>20</v>
      </c>
      <c r="S21" s="34">
        <f t="shared" ref="S21:AF21" si="13">SUM(C54:C57)</f>
        <v>10</v>
      </c>
      <c r="T21" s="17">
        <f t="shared" si="13"/>
        <v>5</v>
      </c>
      <c r="U21" s="17">
        <f t="shared" si="13"/>
        <v>10</v>
      </c>
      <c r="V21" s="17">
        <f t="shared" si="13"/>
        <v>4</v>
      </c>
      <c r="W21" s="17">
        <f t="shared" si="13"/>
        <v>0</v>
      </c>
      <c r="X21" s="17">
        <f t="shared" si="13"/>
        <v>1</v>
      </c>
      <c r="Y21" s="17">
        <f t="shared" si="13"/>
        <v>5</v>
      </c>
      <c r="Z21" s="17">
        <f t="shared" si="13"/>
        <v>1</v>
      </c>
      <c r="AA21" s="17">
        <f t="shared" si="13"/>
        <v>0</v>
      </c>
      <c r="AB21" s="17">
        <f t="shared" si="13"/>
        <v>4</v>
      </c>
      <c r="AC21" s="17">
        <f t="shared" si="13"/>
        <v>131</v>
      </c>
      <c r="AD21" s="17">
        <f t="shared" si="13"/>
        <v>0</v>
      </c>
      <c r="AE21" s="31">
        <f t="shared" si="13"/>
        <v>40</v>
      </c>
      <c r="AF21" s="31">
        <f t="shared" si="13"/>
        <v>171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3</v>
      </c>
      <c r="F22" s="50">
        <v>1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1</v>
      </c>
      <c r="M22" s="50">
        <v>35</v>
      </c>
      <c r="N22" s="50">
        <v>0</v>
      </c>
      <c r="O22" s="15">
        <f t="shared" si="0"/>
        <v>12</v>
      </c>
      <c r="P22" s="15">
        <f t="shared" si="1"/>
        <v>47</v>
      </c>
      <c r="R22" s="38" t="s">
        <v>90</v>
      </c>
      <c r="S22" s="39">
        <f>MAX(S10:S12)</f>
        <v>12</v>
      </c>
      <c r="T22" s="39">
        <f t="shared" ref="T22:AF22" si="14">MAX(T10:T12)</f>
        <v>6</v>
      </c>
      <c r="U22" s="39">
        <f t="shared" si="14"/>
        <v>12</v>
      </c>
      <c r="V22" s="39">
        <f t="shared" si="14"/>
        <v>5</v>
      </c>
      <c r="W22" s="39">
        <f t="shared" si="14"/>
        <v>0</v>
      </c>
      <c r="X22" s="39">
        <f t="shared" si="14"/>
        <v>1</v>
      </c>
      <c r="Y22" s="39">
        <f t="shared" si="14"/>
        <v>7</v>
      </c>
      <c r="Z22" s="39">
        <f t="shared" si="14"/>
        <v>2</v>
      </c>
      <c r="AA22" s="39">
        <f t="shared" si="14"/>
        <v>0</v>
      </c>
      <c r="AB22" s="39">
        <f t="shared" si="14"/>
        <v>4</v>
      </c>
      <c r="AC22" s="39">
        <f t="shared" si="14"/>
        <v>138</v>
      </c>
      <c r="AD22" s="39">
        <f t="shared" si="14"/>
        <v>0</v>
      </c>
      <c r="AE22" s="40">
        <f t="shared" si="14"/>
        <v>47</v>
      </c>
      <c r="AF22" s="40">
        <f t="shared" si="14"/>
        <v>180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3</v>
      </c>
      <c r="F23" s="50">
        <v>1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1</v>
      </c>
      <c r="M23" s="50">
        <v>32</v>
      </c>
      <c r="N23" s="50">
        <v>0</v>
      </c>
      <c r="O23" s="15">
        <f t="shared" si="0"/>
        <v>12</v>
      </c>
      <c r="P23" s="15">
        <f t="shared" si="1"/>
        <v>44</v>
      </c>
      <c r="R23" s="38" t="s">
        <v>91</v>
      </c>
      <c r="S23" s="39">
        <f>MAX(S13:S18)</f>
        <v>13</v>
      </c>
      <c r="T23" s="39">
        <f t="shared" ref="T23:AF23" si="15">MAX(T13:T18)</f>
        <v>7</v>
      </c>
      <c r="U23" s="39">
        <f t="shared" si="15"/>
        <v>15</v>
      </c>
      <c r="V23" s="39">
        <f t="shared" si="15"/>
        <v>4</v>
      </c>
      <c r="W23" s="39">
        <f t="shared" si="15"/>
        <v>0</v>
      </c>
      <c r="X23" s="39">
        <f t="shared" si="15"/>
        <v>2</v>
      </c>
      <c r="Y23" s="39">
        <f t="shared" si="15"/>
        <v>8</v>
      </c>
      <c r="Z23" s="39">
        <f t="shared" si="15"/>
        <v>3</v>
      </c>
      <c r="AA23" s="39">
        <f t="shared" si="15"/>
        <v>0</v>
      </c>
      <c r="AB23" s="39">
        <f t="shared" si="15"/>
        <v>12</v>
      </c>
      <c r="AC23" s="39">
        <f t="shared" si="15"/>
        <v>127</v>
      </c>
      <c r="AD23" s="39">
        <f t="shared" si="15"/>
        <v>0</v>
      </c>
      <c r="AE23" s="40">
        <f t="shared" si="15"/>
        <v>59</v>
      </c>
      <c r="AF23" s="40">
        <f t="shared" si="15"/>
        <v>179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29</v>
      </c>
      <c r="N24" s="50">
        <v>0</v>
      </c>
      <c r="O24" s="15">
        <f t="shared" si="0"/>
        <v>12</v>
      </c>
      <c r="P24" s="15">
        <f t="shared" si="1"/>
        <v>41</v>
      </c>
      <c r="R24" s="38" t="s">
        <v>92</v>
      </c>
      <c r="S24" s="39">
        <f>MAX(S19:S21)</f>
        <v>13</v>
      </c>
      <c r="T24" s="39">
        <f t="shared" ref="T24:AF24" si="16">MAX(T19:T21)</f>
        <v>6</v>
      </c>
      <c r="U24" s="39">
        <f t="shared" si="16"/>
        <v>13</v>
      </c>
      <c r="V24" s="39">
        <f t="shared" si="16"/>
        <v>5</v>
      </c>
      <c r="W24" s="39">
        <f t="shared" si="16"/>
        <v>0</v>
      </c>
      <c r="X24" s="39">
        <f t="shared" si="16"/>
        <v>3</v>
      </c>
      <c r="Y24" s="39">
        <f t="shared" si="16"/>
        <v>8</v>
      </c>
      <c r="Z24" s="39">
        <f t="shared" si="16"/>
        <v>3</v>
      </c>
      <c r="AA24" s="39">
        <f t="shared" si="16"/>
        <v>0</v>
      </c>
      <c r="AB24" s="39">
        <f t="shared" si="16"/>
        <v>5</v>
      </c>
      <c r="AC24" s="39">
        <f t="shared" si="16"/>
        <v>139</v>
      </c>
      <c r="AD24" s="39">
        <f t="shared" si="16"/>
        <v>0</v>
      </c>
      <c r="AE24" s="40">
        <f t="shared" si="16"/>
        <v>54</v>
      </c>
      <c r="AF24" s="40">
        <f t="shared" si="16"/>
        <v>193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3</v>
      </c>
      <c r="F25" s="50">
        <v>1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2</v>
      </c>
      <c r="M25" s="50">
        <v>31</v>
      </c>
      <c r="N25" s="50">
        <v>0</v>
      </c>
      <c r="O25" s="15">
        <f t="shared" si="0"/>
        <v>13</v>
      </c>
      <c r="P25" s="15">
        <f t="shared" si="1"/>
        <v>44</v>
      </c>
      <c r="R25" s="37" t="s">
        <v>85</v>
      </c>
      <c r="S25" s="35">
        <f t="shared" ref="S25:AF25" si="17">SUM(S10:S12)</f>
        <v>26</v>
      </c>
      <c r="T25" s="16">
        <f t="shared" si="17"/>
        <v>15</v>
      </c>
      <c r="U25" s="16">
        <f t="shared" si="17"/>
        <v>33</v>
      </c>
      <c r="V25" s="16">
        <f t="shared" si="17"/>
        <v>11</v>
      </c>
      <c r="W25" s="16">
        <f t="shared" si="17"/>
        <v>0</v>
      </c>
      <c r="X25" s="16">
        <f t="shared" si="17"/>
        <v>2</v>
      </c>
      <c r="Y25" s="16">
        <f t="shared" si="17"/>
        <v>16</v>
      </c>
      <c r="Z25" s="16">
        <f t="shared" si="17"/>
        <v>4</v>
      </c>
      <c r="AA25" s="16">
        <f t="shared" si="17"/>
        <v>0</v>
      </c>
      <c r="AB25" s="16">
        <f t="shared" si="17"/>
        <v>6</v>
      </c>
      <c r="AC25" s="16">
        <f t="shared" si="17"/>
        <v>383</v>
      </c>
      <c r="AD25" s="16">
        <f t="shared" si="17"/>
        <v>0</v>
      </c>
      <c r="AE25" s="32">
        <f t="shared" si="17"/>
        <v>113</v>
      </c>
      <c r="AF25" s="32">
        <f t="shared" si="17"/>
        <v>496</v>
      </c>
    </row>
    <row r="26" spans="2:32" ht="23.1" customHeight="1" x14ac:dyDescent="0.25">
      <c r="B26" s="23" t="s">
        <v>53</v>
      </c>
      <c r="C26" s="50">
        <v>4</v>
      </c>
      <c r="D26" s="50">
        <v>1</v>
      </c>
      <c r="E26" s="50">
        <v>2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2</v>
      </c>
      <c r="M26" s="50">
        <v>31</v>
      </c>
      <c r="N26" s="50">
        <v>0</v>
      </c>
      <c r="O26" s="15">
        <f t="shared" si="0"/>
        <v>12</v>
      </c>
      <c r="P26" s="15">
        <f t="shared" si="1"/>
        <v>43</v>
      </c>
      <c r="R26" s="28" t="s">
        <v>86</v>
      </c>
      <c r="S26" s="16">
        <f t="shared" ref="S26:AF26" si="18">SUM(S13:S18)</f>
        <v>71</v>
      </c>
      <c r="T26" s="16">
        <f t="shared" si="18"/>
        <v>34</v>
      </c>
      <c r="U26" s="16">
        <f t="shared" si="18"/>
        <v>80</v>
      </c>
      <c r="V26" s="16">
        <f t="shared" si="18"/>
        <v>22</v>
      </c>
      <c r="W26" s="16">
        <f t="shared" si="18"/>
        <v>0</v>
      </c>
      <c r="X26" s="16">
        <f t="shared" si="18"/>
        <v>6</v>
      </c>
      <c r="Y26" s="16">
        <f t="shared" si="18"/>
        <v>41</v>
      </c>
      <c r="Z26" s="16">
        <f t="shared" si="18"/>
        <v>18</v>
      </c>
      <c r="AA26" s="16">
        <f t="shared" si="18"/>
        <v>0</v>
      </c>
      <c r="AB26" s="16">
        <f t="shared" si="18"/>
        <v>45</v>
      </c>
      <c r="AC26" s="16">
        <f t="shared" si="18"/>
        <v>697</v>
      </c>
      <c r="AD26" s="16">
        <f t="shared" si="18"/>
        <v>0</v>
      </c>
      <c r="AE26" s="32">
        <f t="shared" si="18"/>
        <v>317</v>
      </c>
      <c r="AF26" s="32">
        <f t="shared" si="18"/>
        <v>1014</v>
      </c>
    </row>
    <row r="27" spans="2:32" ht="23.1" customHeight="1" x14ac:dyDescent="0.25">
      <c r="B27" s="23" t="s">
        <v>54</v>
      </c>
      <c r="C27" s="50">
        <v>3</v>
      </c>
      <c r="D27" s="50">
        <v>2</v>
      </c>
      <c r="E27" s="50">
        <v>5</v>
      </c>
      <c r="F27" s="50">
        <v>1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2</v>
      </c>
      <c r="M27" s="50">
        <v>30</v>
      </c>
      <c r="N27" s="50">
        <v>0</v>
      </c>
      <c r="O27" s="15">
        <f t="shared" si="0"/>
        <v>16</v>
      </c>
      <c r="P27" s="15">
        <f t="shared" si="1"/>
        <v>46</v>
      </c>
      <c r="R27" s="29" t="s">
        <v>87</v>
      </c>
      <c r="S27" s="16">
        <f t="shared" ref="S27:AF27" si="19">SUM(S19:S21)</f>
        <v>35</v>
      </c>
      <c r="T27" s="16">
        <f t="shared" si="19"/>
        <v>16</v>
      </c>
      <c r="U27" s="16">
        <f t="shared" si="19"/>
        <v>34</v>
      </c>
      <c r="V27" s="16">
        <f t="shared" si="19"/>
        <v>12</v>
      </c>
      <c r="W27" s="16">
        <f t="shared" si="19"/>
        <v>0</v>
      </c>
      <c r="X27" s="16">
        <f t="shared" si="19"/>
        <v>6</v>
      </c>
      <c r="Y27" s="16">
        <f t="shared" si="19"/>
        <v>20</v>
      </c>
      <c r="Z27" s="16">
        <f t="shared" si="19"/>
        <v>5</v>
      </c>
      <c r="AA27" s="16">
        <f t="shared" si="19"/>
        <v>0</v>
      </c>
      <c r="AB27" s="16">
        <f t="shared" si="19"/>
        <v>14</v>
      </c>
      <c r="AC27" s="16">
        <f t="shared" si="19"/>
        <v>391</v>
      </c>
      <c r="AD27" s="16">
        <f t="shared" si="19"/>
        <v>0</v>
      </c>
      <c r="AE27" s="32">
        <f t="shared" si="19"/>
        <v>142</v>
      </c>
      <c r="AF27" s="32">
        <f t="shared" si="19"/>
        <v>533</v>
      </c>
    </row>
    <row r="28" spans="2:32" ht="23.1" customHeight="1" x14ac:dyDescent="0.25">
      <c r="B28" s="23" t="s">
        <v>55</v>
      </c>
      <c r="C28" s="50">
        <v>3</v>
      </c>
      <c r="D28" s="50">
        <v>2</v>
      </c>
      <c r="E28" s="50">
        <v>4</v>
      </c>
      <c r="F28" s="50">
        <v>1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2</v>
      </c>
      <c r="M28" s="50">
        <v>33</v>
      </c>
      <c r="N28" s="50">
        <v>0</v>
      </c>
      <c r="O28" s="15">
        <f t="shared" si="0"/>
        <v>15</v>
      </c>
      <c r="P28" s="15">
        <f t="shared" si="1"/>
        <v>48</v>
      </c>
      <c r="R28" s="5" t="s">
        <v>17</v>
      </c>
      <c r="S28" s="16">
        <f t="shared" ref="S28:AF28" si="20">SUM(S10:S21)</f>
        <v>132</v>
      </c>
      <c r="T28" s="16">
        <f t="shared" si="20"/>
        <v>65</v>
      </c>
      <c r="U28" s="16">
        <f t="shared" si="20"/>
        <v>147</v>
      </c>
      <c r="V28" s="16">
        <f t="shared" si="20"/>
        <v>45</v>
      </c>
      <c r="W28" s="16">
        <f t="shared" si="20"/>
        <v>0</v>
      </c>
      <c r="X28" s="16">
        <f t="shared" si="20"/>
        <v>14</v>
      </c>
      <c r="Y28" s="16">
        <f t="shared" si="20"/>
        <v>77</v>
      </c>
      <c r="Z28" s="16">
        <f t="shared" si="20"/>
        <v>27</v>
      </c>
      <c r="AA28" s="16">
        <f t="shared" si="20"/>
        <v>0</v>
      </c>
      <c r="AB28" s="16">
        <f t="shared" si="20"/>
        <v>65</v>
      </c>
      <c r="AC28" s="16">
        <f t="shared" si="20"/>
        <v>1471</v>
      </c>
      <c r="AD28" s="16">
        <f t="shared" si="20"/>
        <v>0</v>
      </c>
      <c r="AE28" s="32">
        <f t="shared" si="20"/>
        <v>572</v>
      </c>
      <c r="AF28" s="32">
        <f t="shared" si="20"/>
        <v>2043</v>
      </c>
    </row>
    <row r="29" spans="2:32" ht="23.1" customHeight="1" x14ac:dyDescent="0.25">
      <c r="B29" s="23" t="s">
        <v>56</v>
      </c>
      <c r="C29" s="50">
        <v>3</v>
      </c>
      <c r="D29" s="50">
        <v>2</v>
      </c>
      <c r="E29" s="50">
        <v>4</v>
      </c>
      <c r="F29" s="50">
        <v>1</v>
      </c>
      <c r="G29" s="50">
        <v>0</v>
      </c>
      <c r="H29" s="50">
        <v>1</v>
      </c>
      <c r="I29" s="50">
        <v>2</v>
      </c>
      <c r="J29" s="50">
        <v>1</v>
      </c>
      <c r="K29" s="50">
        <v>0</v>
      </c>
      <c r="L29" s="50">
        <v>2</v>
      </c>
      <c r="M29" s="50">
        <v>26</v>
      </c>
      <c r="N29" s="50">
        <v>0</v>
      </c>
      <c r="O29" s="15">
        <f t="shared" si="0"/>
        <v>16</v>
      </c>
      <c r="P29" s="15">
        <f t="shared" si="1"/>
        <v>42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3</v>
      </c>
      <c r="F30" s="50">
        <v>1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3</v>
      </c>
      <c r="M30" s="50">
        <v>31</v>
      </c>
      <c r="N30" s="50">
        <v>0</v>
      </c>
      <c r="O30" s="15">
        <f t="shared" si="0"/>
        <v>14</v>
      </c>
      <c r="P30" s="15">
        <f t="shared" si="1"/>
        <v>45</v>
      </c>
    </row>
    <row r="31" spans="2:32" ht="23.1" customHeight="1" x14ac:dyDescent="0.25">
      <c r="B31" s="24" t="s">
        <v>58</v>
      </c>
      <c r="C31" s="50">
        <v>3</v>
      </c>
      <c r="D31" s="50">
        <v>1</v>
      </c>
      <c r="E31" s="50">
        <v>3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4</v>
      </c>
      <c r="M31" s="50">
        <v>28</v>
      </c>
      <c r="N31" s="50">
        <v>0</v>
      </c>
      <c r="O31" s="15">
        <f t="shared" si="0"/>
        <v>15</v>
      </c>
      <c r="P31" s="15">
        <f t="shared" si="1"/>
        <v>43</v>
      </c>
    </row>
    <row r="32" spans="2:32" ht="23.1" customHeight="1" x14ac:dyDescent="0.25">
      <c r="B32" s="24" t="s">
        <v>59</v>
      </c>
      <c r="C32" s="50">
        <v>3</v>
      </c>
      <c r="D32" s="50">
        <v>2</v>
      </c>
      <c r="E32" s="50">
        <v>3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2</v>
      </c>
      <c r="M32" s="50">
        <v>30</v>
      </c>
      <c r="N32" s="50">
        <v>0</v>
      </c>
      <c r="O32" s="15">
        <f t="shared" si="0"/>
        <v>11</v>
      </c>
      <c r="P32" s="15">
        <f t="shared" si="1"/>
        <v>41</v>
      </c>
    </row>
    <row r="33" spans="2:20" ht="23.1" customHeight="1" x14ac:dyDescent="0.25">
      <c r="B33" s="23" t="s">
        <v>60</v>
      </c>
      <c r="C33" s="50">
        <v>4</v>
      </c>
      <c r="D33" s="50">
        <v>2</v>
      </c>
      <c r="E33" s="50">
        <v>4</v>
      </c>
      <c r="F33" s="50">
        <v>1</v>
      </c>
      <c r="G33" s="50">
        <v>0</v>
      </c>
      <c r="H33" s="50">
        <v>1</v>
      </c>
      <c r="I33" s="50">
        <v>1</v>
      </c>
      <c r="J33" s="50">
        <v>1</v>
      </c>
      <c r="K33" s="50">
        <v>0</v>
      </c>
      <c r="L33" s="50">
        <v>3</v>
      </c>
      <c r="M33" s="50">
        <v>31</v>
      </c>
      <c r="N33" s="50">
        <v>0</v>
      </c>
      <c r="O33" s="15">
        <f t="shared" si="0"/>
        <v>17</v>
      </c>
      <c r="P33" s="15">
        <f t="shared" si="1"/>
        <v>48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3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2</v>
      </c>
      <c r="M34" s="50">
        <v>28</v>
      </c>
      <c r="N34" s="50">
        <v>0</v>
      </c>
      <c r="O34" s="15">
        <f t="shared" si="0"/>
        <v>12</v>
      </c>
      <c r="P34" s="15">
        <f t="shared" si="1"/>
        <v>40</v>
      </c>
    </row>
    <row r="35" spans="2:20" ht="23.1" customHeight="1" x14ac:dyDescent="0.25">
      <c r="B35" s="24" t="s">
        <v>62</v>
      </c>
      <c r="C35" s="50">
        <v>3</v>
      </c>
      <c r="D35" s="50">
        <v>1</v>
      </c>
      <c r="E35" s="50">
        <v>3</v>
      </c>
      <c r="F35" s="50">
        <v>1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2</v>
      </c>
      <c r="M35" s="50">
        <v>30</v>
      </c>
      <c r="N35" s="50">
        <v>0</v>
      </c>
      <c r="O35" s="15">
        <f t="shared" si="0"/>
        <v>12</v>
      </c>
      <c r="P35" s="15">
        <f t="shared" si="1"/>
        <v>42</v>
      </c>
    </row>
    <row r="36" spans="2:20" ht="23.1" customHeight="1" x14ac:dyDescent="0.25">
      <c r="B36" s="24" t="s">
        <v>63</v>
      </c>
      <c r="C36" s="50">
        <v>3</v>
      </c>
      <c r="D36" s="50">
        <v>2</v>
      </c>
      <c r="E36" s="50">
        <v>5</v>
      </c>
      <c r="F36" s="50">
        <v>1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2</v>
      </c>
      <c r="M36" s="50">
        <v>28</v>
      </c>
      <c r="N36" s="50">
        <v>0</v>
      </c>
      <c r="O36" s="15">
        <f t="shared" si="0"/>
        <v>16</v>
      </c>
      <c r="P36" s="15">
        <f t="shared" si="1"/>
        <v>44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4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2</v>
      </c>
      <c r="M37" s="50">
        <v>24</v>
      </c>
      <c r="N37" s="50">
        <v>0</v>
      </c>
      <c r="O37" s="15">
        <f t="shared" si="0"/>
        <v>14</v>
      </c>
      <c r="P37" s="15">
        <f t="shared" si="1"/>
        <v>38</v>
      </c>
    </row>
    <row r="38" spans="2:20" ht="23.1" customHeight="1" x14ac:dyDescent="0.25">
      <c r="B38" s="24" t="s">
        <v>65</v>
      </c>
      <c r="C38" s="50">
        <v>2</v>
      </c>
      <c r="D38" s="50">
        <v>2</v>
      </c>
      <c r="E38" s="50">
        <v>4</v>
      </c>
      <c r="F38" s="50">
        <v>1</v>
      </c>
      <c r="G38" s="50">
        <v>0</v>
      </c>
      <c r="H38" s="50">
        <v>1</v>
      </c>
      <c r="I38" s="50">
        <v>2</v>
      </c>
      <c r="J38" s="50">
        <v>1</v>
      </c>
      <c r="K38" s="50">
        <v>0</v>
      </c>
      <c r="L38" s="50">
        <v>1</v>
      </c>
      <c r="M38" s="50">
        <v>25</v>
      </c>
      <c r="N38" s="50">
        <v>0</v>
      </c>
      <c r="O38" s="15">
        <f t="shared" si="0"/>
        <v>14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3</v>
      </c>
      <c r="F39" s="50">
        <v>1</v>
      </c>
      <c r="G39" s="50">
        <v>0</v>
      </c>
      <c r="H39" s="50">
        <v>1</v>
      </c>
      <c r="I39" s="50">
        <v>1</v>
      </c>
      <c r="J39" s="50">
        <v>1</v>
      </c>
      <c r="K39" s="50">
        <v>0</v>
      </c>
      <c r="L39" s="50">
        <v>2</v>
      </c>
      <c r="M39" s="50">
        <v>30</v>
      </c>
      <c r="N39" s="50">
        <v>0</v>
      </c>
      <c r="O39" s="15">
        <f t="shared" si="0"/>
        <v>12</v>
      </c>
      <c r="P39" s="15">
        <f t="shared" si="1"/>
        <v>42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4</v>
      </c>
      <c r="F40" s="50">
        <v>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25</v>
      </c>
      <c r="N40" s="50">
        <v>0</v>
      </c>
      <c r="O40" s="15">
        <f t="shared" si="0"/>
        <v>12</v>
      </c>
      <c r="P40" s="15">
        <f t="shared" si="1"/>
        <v>37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3</v>
      </c>
      <c r="F41" s="50">
        <v>1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1</v>
      </c>
      <c r="M41" s="50">
        <v>28</v>
      </c>
      <c r="N41" s="50">
        <v>0</v>
      </c>
      <c r="O41" s="15">
        <f t="shared" si="0"/>
        <v>12</v>
      </c>
      <c r="P41" s="15">
        <f t="shared" si="1"/>
        <v>40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3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1</v>
      </c>
      <c r="M42" s="50">
        <v>28</v>
      </c>
      <c r="N42" s="50">
        <v>0</v>
      </c>
      <c r="O42" s="15">
        <f t="shared" si="0"/>
        <v>11</v>
      </c>
      <c r="P42" s="15">
        <f t="shared" si="1"/>
        <v>39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4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2</v>
      </c>
      <c r="M43" s="50">
        <v>26</v>
      </c>
      <c r="N43" s="50">
        <v>0</v>
      </c>
      <c r="O43" s="15">
        <f t="shared" si="0"/>
        <v>15</v>
      </c>
      <c r="P43" s="15">
        <f t="shared" si="1"/>
        <v>41</v>
      </c>
    </row>
    <row r="44" spans="2:20" ht="23.1" customHeight="1" x14ac:dyDescent="0.25">
      <c r="B44" s="25" t="s">
        <v>71</v>
      </c>
      <c r="C44" s="50">
        <v>2</v>
      </c>
      <c r="D44" s="50">
        <v>1</v>
      </c>
      <c r="E44" s="50">
        <v>2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2</v>
      </c>
      <c r="M44" s="50">
        <v>31</v>
      </c>
      <c r="N44" s="50">
        <v>0</v>
      </c>
      <c r="O44" s="15">
        <f t="shared" si="0"/>
        <v>10</v>
      </c>
      <c r="P44" s="15">
        <f t="shared" si="1"/>
        <v>41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2</v>
      </c>
      <c r="F45" s="50">
        <v>1</v>
      </c>
      <c r="G45" s="50">
        <v>0</v>
      </c>
      <c r="H45" s="50">
        <v>1</v>
      </c>
      <c r="I45" s="50">
        <v>2</v>
      </c>
      <c r="J45" s="50">
        <v>1</v>
      </c>
      <c r="K45" s="50">
        <v>0</v>
      </c>
      <c r="L45" s="50">
        <v>2</v>
      </c>
      <c r="M45" s="50">
        <v>27</v>
      </c>
      <c r="N45" s="50">
        <v>0</v>
      </c>
      <c r="O45" s="15">
        <f t="shared" si="0"/>
        <v>12</v>
      </c>
      <c r="P45" s="15">
        <f t="shared" si="1"/>
        <v>39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3</v>
      </c>
      <c r="F46" s="50">
        <v>1</v>
      </c>
      <c r="G46" s="50">
        <v>0</v>
      </c>
      <c r="H46" s="50">
        <v>1</v>
      </c>
      <c r="I46" s="50">
        <v>2</v>
      </c>
      <c r="J46" s="50">
        <v>0</v>
      </c>
      <c r="K46" s="50">
        <v>0</v>
      </c>
      <c r="L46" s="50">
        <v>2</v>
      </c>
      <c r="M46" s="50">
        <v>30</v>
      </c>
      <c r="N46" s="50">
        <v>0</v>
      </c>
      <c r="O46" s="15">
        <f t="shared" si="0"/>
        <v>13</v>
      </c>
      <c r="P46" s="15">
        <f t="shared" si="1"/>
        <v>43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3</v>
      </c>
      <c r="F47" s="50">
        <v>1</v>
      </c>
      <c r="G47" s="50">
        <v>0</v>
      </c>
      <c r="H47" s="50">
        <v>1</v>
      </c>
      <c r="I47" s="50">
        <v>2</v>
      </c>
      <c r="J47" s="50">
        <v>0</v>
      </c>
      <c r="K47" s="50">
        <v>0</v>
      </c>
      <c r="L47" s="50">
        <v>1</v>
      </c>
      <c r="M47" s="50">
        <v>29</v>
      </c>
      <c r="N47" s="50">
        <v>0</v>
      </c>
      <c r="O47" s="15">
        <f t="shared" si="0"/>
        <v>11</v>
      </c>
      <c r="P47" s="15">
        <f t="shared" si="1"/>
        <v>40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2</v>
      </c>
      <c r="E48" s="50">
        <v>3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34</v>
      </c>
      <c r="N48" s="50">
        <v>0</v>
      </c>
      <c r="O48" s="15">
        <f t="shared" si="0"/>
        <v>11</v>
      </c>
      <c r="P48" s="15">
        <f t="shared" si="1"/>
        <v>45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1</v>
      </c>
      <c r="E49" s="50">
        <v>2</v>
      </c>
      <c r="F49" s="50">
        <v>1</v>
      </c>
      <c r="G49" s="50">
        <v>0</v>
      </c>
      <c r="H49" s="50">
        <v>1</v>
      </c>
      <c r="I49" s="50">
        <v>2</v>
      </c>
      <c r="J49" s="50">
        <v>1</v>
      </c>
      <c r="K49" s="50">
        <v>0</v>
      </c>
      <c r="L49" s="50">
        <v>1</v>
      </c>
      <c r="M49" s="50">
        <v>28</v>
      </c>
      <c r="N49" s="50">
        <v>0</v>
      </c>
      <c r="O49" s="15">
        <f t="shared" si="0"/>
        <v>13</v>
      </c>
      <c r="P49" s="15">
        <f t="shared" si="1"/>
        <v>41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3</v>
      </c>
      <c r="F50" s="50">
        <v>1</v>
      </c>
      <c r="G50" s="50">
        <v>0</v>
      </c>
      <c r="H50" s="50">
        <v>1</v>
      </c>
      <c r="I50" s="50">
        <v>2</v>
      </c>
      <c r="J50" s="50">
        <v>1</v>
      </c>
      <c r="K50" s="50">
        <v>0</v>
      </c>
      <c r="L50" s="50">
        <v>1</v>
      </c>
      <c r="M50" s="50">
        <v>31</v>
      </c>
      <c r="N50" s="50">
        <v>0</v>
      </c>
      <c r="O50" s="15">
        <f t="shared" si="0"/>
        <v>13</v>
      </c>
      <c r="P50" s="15">
        <f t="shared" si="1"/>
        <v>44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2</v>
      </c>
      <c r="E51" s="50">
        <v>4</v>
      </c>
      <c r="F51" s="50">
        <v>1</v>
      </c>
      <c r="G51" s="50">
        <v>0</v>
      </c>
      <c r="H51" s="50">
        <v>1</v>
      </c>
      <c r="I51" s="50">
        <v>1</v>
      </c>
      <c r="J51" s="50">
        <v>1</v>
      </c>
      <c r="K51" s="50">
        <v>0</v>
      </c>
      <c r="L51" s="50">
        <v>2</v>
      </c>
      <c r="M51" s="50">
        <v>39</v>
      </c>
      <c r="N51" s="50">
        <v>0</v>
      </c>
      <c r="O51" s="15">
        <f t="shared" si="0"/>
        <v>15</v>
      </c>
      <c r="P51" s="15">
        <f t="shared" si="1"/>
        <v>54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2</v>
      </c>
      <c r="E52" s="50">
        <v>4</v>
      </c>
      <c r="F52" s="50">
        <v>2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1</v>
      </c>
      <c r="M52" s="50">
        <v>36</v>
      </c>
      <c r="N52" s="50">
        <v>0</v>
      </c>
      <c r="O52" s="15">
        <f t="shared" si="0"/>
        <v>14</v>
      </c>
      <c r="P52" s="15">
        <f t="shared" si="1"/>
        <v>50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1</v>
      </c>
      <c r="E53" s="50">
        <v>2</v>
      </c>
      <c r="F53" s="50">
        <v>1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1</v>
      </c>
      <c r="M53" s="50">
        <v>33</v>
      </c>
      <c r="N53" s="50">
        <v>0</v>
      </c>
      <c r="O53" s="15">
        <f t="shared" si="0"/>
        <v>12</v>
      </c>
      <c r="P53" s="15">
        <f t="shared" si="1"/>
        <v>45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2</v>
      </c>
      <c r="E54" s="50">
        <v>3</v>
      </c>
      <c r="F54" s="50">
        <v>1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1</v>
      </c>
      <c r="M54" s="50">
        <v>28</v>
      </c>
      <c r="N54" s="50">
        <v>0</v>
      </c>
      <c r="O54" s="15">
        <f t="shared" si="0"/>
        <v>13</v>
      </c>
      <c r="P54" s="15">
        <f t="shared" si="1"/>
        <v>41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2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1</v>
      </c>
      <c r="M55" s="50">
        <v>30</v>
      </c>
      <c r="N55" s="50">
        <v>0</v>
      </c>
      <c r="O55" s="15">
        <f t="shared" si="0"/>
        <v>8</v>
      </c>
      <c r="P55" s="15">
        <f t="shared" si="1"/>
        <v>38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3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33</v>
      </c>
      <c r="N56" s="50">
        <v>0</v>
      </c>
      <c r="O56" s="15">
        <f t="shared" si="0"/>
        <v>10</v>
      </c>
      <c r="P56" s="15">
        <f t="shared" si="1"/>
        <v>43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2</v>
      </c>
      <c r="F57" s="50">
        <v>1</v>
      </c>
      <c r="G57" s="50">
        <v>0</v>
      </c>
      <c r="H57" s="50">
        <v>1</v>
      </c>
      <c r="I57" s="50">
        <v>1</v>
      </c>
      <c r="J57" s="50">
        <v>0</v>
      </c>
      <c r="K57" s="50">
        <v>0</v>
      </c>
      <c r="L57" s="50">
        <v>1</v>
      </c>
      <c r="M57" s="50">
        <v>40</v>
      </c>
      <c r="N57" s="50">
        <v>0</v>
      </c>
      <c r="O57" s="15">
        <f t="shared" si="0"/>
        <v>9</v>
      </c>
      <c r="P57" s="15">
        <f t="shared" si="1"/>
        <v>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132</v>
      </c>
      <c r="D58" s="16">
        <f t="shared" si="21"/>
        <v>65</v>
      </c>
      <c r="E58" s="16">
        <f t="shared" si="21"/>
        <v>147</v>
      </c>
      <c r="F58" s="16">
        <f t="shared" si="21"/>
        <v>45</v>
      </c>
      <c r="G58" s="16">
        <f t="shared" si="21"/>
        <v>0</v>
      </c>
      <c r="H58" s="16">
        <f t="shared" si="21"/>
        <v>14</v>
      </c>
      <c r="I58" s="16">
        <f t="shared" si="21"/>
        <v>77</v>
      </c>
      <c r="J58" s="16">
        <f t="shared" si="21"/>
        <v>27</v>
      </c>
      <c r="K58" s="16">
        <f t="shared" si="21"/>
        <v>0</v>
      </c>
      <c r="L58" s="16">
        <f t="shared" si="21"/>
        <v>65</v>
      </c>
      <c r="M58" s="16">
        <f t="shared" si="21"/>
        <v>1471</v>
      </c>
      <c r="N58" s="16">
        <f t="shared" si="21"/>
        <v>0</v>
      </c>
      <c r="O58" s="16">
        <f t="shared" si="21"/>
        <v>572</v>
      </c>
      <c r="P58" s="16">
        <f t="shared" si="21"/>
        <v>2043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6.4610866372980913E-2</v>
      </c>
      <c r="D59" s="43">
        <f t="shared" si="22"/>
        <v>3.1815956926089087E-2</v>
      </c>
      <c r="E59" s="43">
        <f t="shared" si="22"/>
        <v>7.1953010279001473E-2</v>
      </c>
      <c r="F59" s="43">
        <f t="shared" si="22"/>
        <v>2.2026431718061675E-2</v>
      </c>
      <c r="G59" s="43">
        <f t="shared" si="22"/>
        <v>0</v>
      </c>
      <c r="H59" s="43">
        <f t="shared" si="22"/>
        <v>6.8526676456191872E-3</v>
      </c>
      <c r="I59" s="43">
        <f t="shared" si="22"/>
        <v>3.768967205090553E-2</v>
      </c>
      <c r="J59" s="43">
        <f t="shared" si="22"/>
        <v>1.3215859030837005E-2</v>
      </c>
      <c r="K59" s="43">
        <f t="shared" si="22"/>
        <v>0</v>
      </c>
      <c r="L59" s="43">
        <f t="shared" si="22"/>
        <v>3.1815956926089087E-2</v>
      </c>
      <c r="M59" s="43">
        <f t="shared" si="22"/>
        <v>0.72001957905041603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0.23076923076923078</v>
      </c>
      <c r="D60" s="44">
        <f t="shared" ref="D60:N60" si="23">D58/$O$58</f>
        <v>0.11363636363636363</v>
      </c>
      <c r="E60" s="44">
        <f t="shared" si="23"/>
        <v>0.25699300699300698</v>
      </c>
      <c r="F60" s="44">
        <f t="shared" si="23"/>
        <v>7.8671328671328672E-2</v>
      </c>
      <c r="G60" s="44">
        <f t="shared" si="23"/>
        <v>0</v>
      </c>
      <c r="H60" s="44">
        <f t="shared" si="23"/>
        <v>2.4475524475524476E-2</v>
      </c>
      <c r="I60" s="44">
        <f t="shared" si="23"/>
        <v>0.13461538461538461</v>
      </c>
      <c r="J60" s="44">
        <f t="shared" si="23"/>
        <v>4.72027972027972E-2</v>
      </c>
      <c r="K60" s="44">
        <f t="shared" si="23"/>
        <v>0</v>
      </c>
      <c r="L60" s="44">
        <f t="shared" si="23"/>
        <v>0.11363636363636363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G13" sqref="G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'01.08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'7.08 GULU-KARUMA'!D5</f>
        <v>7.08.19</v>
      </c>
      <c r="E5" s="3"/>
      <c r="F5" s="41" t="s">
        <v>1</v>
      </c>
      <c r="G5" s="66" t="str">
        <f>'7.08 GULU-KARUMA'!G5:H5</f>
        <v>xxx</v>
      </c>
      <c r="H5" s="67"/>
      <c r="I5" s="14"/>
      <c r="J5" s="2" t="s">
        <v>5</v>
      </c>
      <c r="K5" s="66" t="str">
        <f>'7.08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'01.08 KARUMA-GULU'!D6:E6</f>
        <v xml:space="preserve">KARUMA </v>
      </c>
      <c r="E6" s="67"/>
      <c r="F6" s="2" t="s">
        <v>2</v>
      </c>
      <c r="G6" s="66" t="str">
        <f>'01.08 KARUMA-GULU'!G6:H6</f>
        <v>GULU</v>
      </c>
      <c r="H6" s="67"/>
      <c r="J6" s="2" t="s">
        <v>21</v>
      </c>
      <c r="K6" s="66" t="str">
        <f>'7.08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1</v>
      </c>
      <c r="M10" s="50">
        <v>36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41</v>
      </c>
      <c r="R10" s="1" t="s">
        <v>6</v>
      </c>
      <c r="S10" s="17">
        <f t="shared" ref="S10:AF10" si="2">SUM(C10:C13)</f>
        <v>10</v>
      </c>
      <c r="T10" s="17">
        <f t="shared" si="2"/>
        <v>3</v>
      </c>
      <c r="U10" s="17">
        <f t="shared" si="2"/>
        <v>7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5</v>
      </c>
      <c r="AC10" s="17">
        <f t="shared" si="2"/>
        <v>153</v>
      </c>
      <c r="AD10" s="17">
        <f t="shared" si="2"/>
        <v>0</v>
      </c>
      <c r="AE10" s="31">
        <f t="shared" si="2"/>
        <v>31</v>
      </c>
      <c r="AF10" s="31">
        <f t="shared" si="2"/>
        <v>184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2</v>
      </c>
      <c r="M11" s="50">
        <v>35</v>
      </c>
      <c r="N11" s="50">
        <v>0</v>
      </c>
      <c r="O11" s="15">
        <f t="shared" si="0"/>
        <v>8</v>
      </c>
      <c r="P11" s="15">
        <f t="shared" si="1"/>
        <v>43</v>
      </c>
      <c r="R11" s="1" t="s">
        <v>7</v>
      </c>
      <c r="S11" s="17">
        <f t="shared" ref="S11:AF11" si="3">SUM(C14:C17)</f>
        <v>18</v>
      </c>
      <c r="T11" s="17">
        <f t="shared" si="3"/>
        <v>4</v>
      </c>
      <c r="U11" s="17">
        <f t="shared" si="3"/>
        <v>10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1</v>
      </c>
      <c r="AA11" s="17">
        <f t="shared" si="3"/>
        <v>0</v>
      </c>
      <c r="AB11" s="17">
        <f t="shared" si="3"/>
        <v>4</v>
      </c>
      <c r="AC11" s="17">
        <f t="shared" si="3"/>
        <v>150</v>
      </c>
      <c r="AD11" s="17">
        <f t="shared" si="3"/>
        <v>0</v>
      </c>
      <c r="AE11" s="31">
        <f t="shared" si="3"/>
        <v>47</v>
      </c>
      <c r="AF11" s="31">
        <f t="shared" si="3"/>
        <v>197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2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41</v>
      </c>
      <c r="N12" s="50">
        <v>0</v>
      </c>
      <c r="O12" s="15">
        <f t="shared" si="0"/>
        <v>9</v>
      </c>
      <c r="P12" s="15">
        <f t="shared" si="1"/>
        <v>50</v>
      </c>
      <c r="R12" s="1" t="s">
        <v>8</v>
      </c>
      <c r="S12" s="17">
        <f t="shared" ref="S12:AF12" si="4">SUM(C18:C21)</f>
        <v>14</v>
      </c>
      <c r="T12" s="17">
        <f t="shared" si="4"/>
        <v>4</v>
      </c>
      <c r="U12" s="17">
        <f t="shared" si="4"/>
        <v>9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145</v>
      </c>
      <c r="AD12" s="17">
        <f t="shared" si="4"/>
        <v>0</v>
      </c>
      <c r="AE12" s="31">
        <f t="shared" si="4"/>
        <v>38</v>
      </c>
      <c r="AF12" s="31">
        <f t="shared" si="4"/>
        <v>183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3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41</v>
      </c>
      <c r="N13" s="50">
        <v>0</v>
      </c>
      <c r="O13" s="15">
        <f t="shared" si="0"/>
        <v>9</v>
      </c>
      <c r="P13" s="15">
        <f t="shared" si="1"/>
        <v>50</v>
      </c>
      <c r="R13" s="1" t="s">
        <v>9</v>
      </c>
      <c r="S13" s="17">
        <f t="shared" ref="S13:AF13" si="5">SUM(C22:C25)</f>
        <v>11</v>
      </c>
      <c r="T13" s="17">
        <f t="shared" si="5"/>
        <v>4</v>
      </c>
      <c r="U13" s="17">
        <f t="shared" si="5"/>
        <v>9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4</v>
      </c>
      <c r="AC13" s="17">
        <f t="shared" si="5"/>
        <v>102</v>
      </c>
      <c r="AD13" s="17">
        <f t="shared" si="5"/>
        <v>0</v>
      </c>
      <c r="AE13" s="31">
        <f t="shared" si="5"/>
        <v>34</v>
      </c>
      <c r="AF13" s="31">
        <f t="shared" si="5"/>
        <v>136</v>
      </c>
    </row>
    <row r="14" spans="2:32" ht="23.1" customHeight="1" x14ac:dyDescent="0.25">
      <c r="B14" s="23" t="s">
        <v>41</v>
      </c>
      <c r="C14" s="50">
        <v>4</v>
      </c>
      <c r="D14" s="50">
        <v>1</v>
      </c>
      <c r="E14" s="50">
        <v>3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37</v>
      </c>
      <c r="N14" s="50">
        <v>0</v>
      </c>
      <c r="O14" s="15">
        <f t="shared" si="0"/>
        <v>11</v>
      </c>
      <c r="P14" s="15">
        <f t="shared" si="1"/>
        <v>48</v>
      </c>
      <c r="R14" s="1" t="s">
        <v>10</v>
      </c>
      <c r="S14" s="17">
        <f t="shared" ref="S14:AF14" si="6">SUM(C26:C29)</f>
        <v>13</v>
      </c>
      <c r="T14" s="17">
        <f t="shared" si="6"/>
        <v>4</v>
      </c>
      <c r="U14" s="17">
        <f t="shared" si="6"/>
        <v>9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90</v>
      </c>
      <c r="AD14" s="17">
        <f t="shared" si="6"/>
        <v>0</v>
      </c>
      <c r="AE14" s="31">
        <f t="shared" si="6"/>
        <v>35</v>
      </c>
      <c r="AF14" s="31">
        <f t="shared" si="6"/>
        <v>125</v>
      </c>
    </row>
    <row r="15" spans="2:32" ht="23.1" customHeight="1" x14ac:dyDescent="0.25">
      <c r="B15" s="23" t="s">
        <v>42</v>
      </c>
      <c r="C15" s="50">
        <v>4</v>
      </c>
      <c r="D15" s="50">
        <v>1</v>
      </c>
      <c r="E15" s="50">
        <v>2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1</v>
      </c>
      <c r="M15" s="50">
        <v>38</v>
      </c>
      <c r="N15" s="50">
        <v>0</v>
      </c>
      <c r="O15" s="15">
        <f t="shared" si="0"/>
        <v>11</v>
      </c>
      <c r="P15" s="15">
        <f t="shared" si="1"/>
        <v>49</v>
      </c>
      <c r="R15" s="1" t="s">
        <v>11</v>
      </c>
      <c r="S15" s="17">
        <f t="shared" ref="S15:AF15" si="7">SUM(C30:C33)</f>
        <v>12</v>
      </c>
      <c r="T15" s="17">
        <f t="shared" si="7"/>
        <v>4</v>
      </c>
      <c r="U15" s="17">
        <f t="shared" si="7"/>
        <v>8</v>
      </c>
      <c r="V15" s="17">
        <f t="shared" si="7"/>
        <v>4</v>
      </c>
      <c r="W15" s="17">
        <f t="shared" si="7"/>
        <v>0</v>
      </c>
      <c r="X15" s="17">
        <f t="shared" si="7"/>
        <v>1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99</v>
      </c>
      <c r="AD15" s="17">
        <f t="shared" si="7"/>
        <v>0</v>
      </c>
      <c r="AE15" s="31">
        <f t="shared" si="7"/>
        <v>36</v>
      </c>
      <c r="AF15" s="31">
        <f t="shared" si="7"/>
        <v>135</v>
      </c>
    </row>
    <row r="16" spans="2:32" ht="23.1" customHeight="1" x14ac:dyDescent="0.25">
      <c r="B16" s="23" t="s">
        <v>43</v>
      </c>
      <c r="C16" s="50">
        <v>6</v>
      </c>
      <c r="D16" s="50">
        <v>1</v>
      </c>
      <c r="E16" s="50">
        <v>3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37</v>
      </c>
      <c r="N16" s="50">
        <v>0</v>
      </c>
      <c r="O16" s="15">
        <f t="shared" si="0"/>
        <v>13</v>
      </c>
      <c r="P16" s="15">
        <f t="shared" si="1"/>
        <v>50</v>
      </c>
      <c r="R16" s="1" t="s">
        <v>12</v>
      </c>
      <c r="S16" s="17">
        <f t="shared" ref="S16:AF16" si="8">SUM(C34:C37)</f>
        <v>11</v>
      </c>
      <c r="T16" s="17">
        <f t="shared" si="8"/>
        <v>5</v>
      </c>
      <c r="U16" s="17">
        <f t="shared" si="8"/>
        <v>10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107</v>
      </c>
      <c r="AD16" s="17">
        <f t="shared" si="8"/>
        <v>0</v>
      </c>
      <c r="AE16" s="31">
        <f t="shared" si="8"/>
        <v>36</v>
      </c>
      <c r="AF16" s="31">
        <f t="shared" si="8"/>
        <v>143</v>
      </c>
    </row>
    <row r="17" spans="2:32" ht="23.1" customHeight="1" x14ac:dyDescent="0.25">
      <c r="B17" s="23" t="s">
        <v>44</v>
      </c>
      <c r="C17" s="50">
        <v>4</v>
      </c>
      <c r="D17" s="50">
        <v>1</v>
      </c>
      <c r="E17" s="50">
        <v>2</v>
      </c>
      <c r="F17" s="50">
        <v>1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1</v>
      </c>
      <c r="M17" s="50">
        <v>38</v>
      </c>
      <c r="N17" s="50">
        <v>0</v>
      </c>
      <c r="O17" s="15">
        <f t="shared" si="0"/>
        <v>12</v>
      </c>
      <c r="P17" s="15">
        <f t="shared" si="1"/>
        <v>50</v>
      </c>
      <c r="R17" s="1" t="s">
        <v>13</v>
      </c>
      <c r="S17" s="17">
        <f t="shared" ref="S17:AF17" si="9">SUM(C38:C41)</f>
        <v>10</v>
      </c>
      <c r="T17" s="17">
        <f t="shared" si="9"/>
        <v>4</v>
      </c>
      <c r="U17" s="17">
        <f t="shared" si="9"/>
        <v>9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98</v>
      </c>
      <c r="AD17" s="17">
        <f t="shared" si="9"/>
        <v>0</v>
      </c>
      <c r="AE17" s="31">
        <f t="shared" si="9"/>
        <v>32</v>
      </c>
      <c r="AF17" s="31">
        <f t="shared" si="9"/>
        <v>130</v>
      </c>
    </row>
    <row r="18" spans="2:32" ht="23.1" customHeight="1" x14ac:dyDescent="0.25">
      <c r="B18" s="23" t="s">
        <v>45</v>
      </c>
      <c r="C18" s="50">
        <v>4</v>
      </c>
      <c r="D18" s="50">
        <v>1</v>
      </c>
      <c r="E18" s="50">
        <v>3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40</v>
      </c>
      <c r="N18" s="50">
        <v>0</v>
      </c>
      <c r="O18" s="15">
        <f t="shared" si="0"/>
        <v>11</v>
      </c>
      <c r="P18" s="15">
        <f t="shared" si="1"/>
        <v>51</v>
      </c>
      <c r="R18" s="1" t="s">
        <v>14</v>
      </c>
      <c r="S18" s="17">
        <f t="shared" ref="S18:AF18" si="10">SUM(C42:C45)</f>
        <v>12</v>
      </c>
      <c r="T18" s="17">
        <f t="shared" si="10"/>
        <v>4</v>
      </c>
      <c r="U18" s="17">
        <f t="shared" si="10"/>
        <v>8</v>
      </c>
      <c r="V18" s="17">
        <f t="shared" si="10"/>
        <v>2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105</v>
      </c>
      <c r="AD18" s="17">
        <f t="shared" si="10"/>
        <v>0</v>
      </c>
      <c r="AE18" s="31">
        <f t="shared" si="10"/>
        <v>33</v>
      </c>
      <c r="AF18" s="31">
        <f t="shared" si="10"/>
        <v>138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2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1</v>
      </c>
      <c r="M19" s="50">
        <v>35</v>
      </c>
      <c r="N19" s="50">
        <v>0</v>
      </c>
      <c r="O19" s="15">
        <f t="shared" si="0"/>
        <v>9</v>
      </c>
      <c r="P19" s="15">
        <f t="shared" si="1"/>
        <v>44</v>
      </c>
      <c r="R19" s="1" t="s">
        <v>15</v>
      </c>
      <c r="S19" s="17">
        <f t="shared" ref="S19:AF19" si="11">SUM(C46:C49)</f>
        <v>16</v>
      </c>
      <c r="T19" s="17">
        <f t="shared" si="11"/>
        <v>5</v>
      </c>
      <c r="U19" s="17">
        <f t="shared" si="11"/>
        <v>10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129</v>
      </c>
      <c r="AD19" s="17">
        <f t="shared" si="11"/>
        <v>0</v>
      </c>
      <c r="AE19" s="31">
        <f t="shared" si="11"/>
        <v>40</v>
      </c>
      <c r="AF19" s="31">
        <f t="shared" si="11"/>
        <v>169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1</v>
      </c>
      <c r="M20" s="50">
        <v>40</v>
      </c>
      <c r="N20" s="50">
        <v>0</v>
      </c>
      <c r="O20" s="15">
        <f t="shared" si="0"/>
        <v>10</v>
      </c>
      <c r="P20" s="15">
        <f t="shared" si="1"/>
        <v>50</v>
      </c>
      <c r="R20" s="1" t="s">
        <v>16</v>
      </c>
      <c r="S20" s="17">
        <f t="shared" ref="S20:AF20" si="12">SUM(C50:C53)</f>
        <v>18</v>
      </c>
      <c r="T20" s="17">
        <f t="shared" si="12"/>
        <v>6</v>
      </c>
      <c r="U20" s="17">
        <f t="shared" si="12"/>
        <v>11</v>
      </c>
      <c r="V20" s="17">
        <f t="shared" si="12"/>
        <v>3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1</v>
      </c>
      <c r="AA20" s="17">
        <f t="shared" si="12"/>
        <v>0</v>
      </c>
      <c r="AB20" s="17">
        <f t="shared" si="12"/>
        <v>4</v>
      </c>
      <c r="AC20" s="17">
        <f t="shared" si="12"/>
        <v>157</v>
      </c>
      <c r="AD20" s="17">
        <f t="shared" si="12"/>
        <v>0</v>
      </c>
      <c r="AE20" s="31">
        <f t="shared" si="12"/>
        <v>49</v>
      </c>
      <c r="AF20" s="31">
        <f t="shared" si="12"/>
        <v>206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2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30</v>
      </c>
      <c r="N21" s="50">
        <v>0</v>
      </c>
      <c r="O21" s="15">
        <f t="shared" si="0"/>
        <v>8</v>
      </c>
      <c r="P21" s="15">
        <f t="shared" si="1"/>
        <v>38</v>
      </c>
      <c r="R21" s="36" t="s">
        <v>20</v>
      </c>
      <c r="S21" s="34">
        <f t="shared" ref="S21:AF21" si="13">SUM(C54:C57)</f>
        <v>17</v>
      </c>
      <c r="T21" s="17">
        <f t="shared" si="13"/>
        <v>6</v>
      </c>
      <c r="U21" s="17">
        <f t="shared" si="13"/>
        <v>13</v>
      </c>
      <c r="V21" s="17">
        <f t="shared" si="13"/>
        <v>1</v>
      </c>
      <c r="W21" s="17">
        <f t="shared" si="13"/>
        <v>0</v>
      </c>
      <c r="X21" s="17">
        <f t="shared" si="13"/>
        <v>2</v>
      </c>
      <c r="Y21" s="17">
        <f t="shared" si="13"/>
        <v>4</v>
      </c>
      <c r="Z21" s="17">
        <f t="shared" si="13"/>
        <v>2</v>
      </c>
      <c r="AA21" s="17">
        <f t="shared" si="13"/>
        <v>0</v>
      </c>
      <c r="AB21" s="17">
        <f t="shared" si="13"/>
        <v>4</v>
      </c>
      <c r="AC21" s="17">
        <f t="shared" si="13"/>
        <v>130</v>
      </c>
      <c r="AD21" s="17">
        <f t="shared" si="13"/>
        <v>0</v>
      </c>
      <c r="AE21" s="31">
        <f t="shared" si="13"/>
        <v>49</v>
      </c>
      <c r="AF21" s="31">
        <f t="shared" si="13"/>
        <v>179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3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29</v>
      </c>
      <c r="N22" s="50">
        <v>0</v>
      </c>
      <c r="O22" s="15">
        <f t="shared" si="0"/>
        <v>10</v>
      </c>
      <c r="P22" s="15">
        <f t="shared" si="1"/>
        <v>39</v>
      </c>
      <c r="R22" s="38" t="s">
        <v>90</v>
      </c>
      <c r="S22" s="39">
        <f>MAX(S10:S12)</f>
        <v>18</v>
      </c>
      <c r="T22" s="39">
        <f t="shared" ref="T22:AF22" si="14">MAX(T10:T12)</f>
        <v>4</v>
      </c>
      <c r="U22" s="39">
        <f t="shared" si="14"/>
        <v>10</v>
      </c>
      <c r="V22" s="39">
        <f t="shared" si="14"/>
        <v>4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1</v>
      </c>
      <c r="AA22" s="39">
        <f t="shared" si="14"/>
        <v>0</v>
      </c>
      <c r="AB22" s="39">
        <f t="shared" si="14"/>
        <v>5</v>
      </c>
      <c r="AC22" s="39">
        <f t="shared" si="14"/>
        <v>153</v>
      </c>
      <c r="AD22" s="39">
        <f t="shared" si="14"/>
        <v>0</v>
      </c>
      <c r="AE22" s="40">
        <f t="shared" si="14"/>
        <v>47</v>
      </c>
      <c r="AF22" s="40">
        <f t="shared" si="14"/>
        <v>197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2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27</v>
      </c>
      <c r="N23" s="50">
        <v>0</v>
      </c>
      <c r="O23" s="15">
        <f t="shared" si="0"/>
        <v>8</v>
      </c>
      <c r="P23" s="15">
        <f t="shared" si="1"/>
        <v>35</v>
      </c>
      <c r="R23" s="38" t="s">
        <v>91</v>
      </c>
      <c r="S23" s="39">
        <f>MAX(S13:S18)</f>
        <v>13</v>
      </c>
      <c r="T23" s="39">
        <f t="shared" ref="T23:AF23" si="15">MAX(T13:T18)</f>
        <v>5</v>
      </c>
      <c r="U23" s="39">
        <f t="shared" si="15"/>
        <v>10</v>
      </c>
      <c r="V23" s="39">
        <f t="shared" si="15"/>
        <v>4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1</v>
      </c>
      <c r="AA23" s="39">
        <f t="shared" si="15"/>
        <v>0</v>
      </c>
      <c r="AB23" s="39">
        <f t="shared" si="15"/>
        <v>4</v>
      </c>
      <c r="AC23" s="39">
        <f t="shared" si="15"/>
        <v>107</v>
      </c>
      <c r="AD23" s="39">
        <f t="shared" si="15"/>
        <v>0</v>
      </c>
      <c r="AE23" s="40">
        <f t="shared" si="15"/>
        <v>36</v>
      </c>
      <c r="AF23" s="40">
        <f t="shared" si="15"/>
        <v>143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2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1</v>
      </c>
      <c r="M24" s="50">
        <v>23</v>
      </c>
      <c r="N24" s="50">
        <v>0</v>
      </c>
      <c r="O24" s="15">
        <f t="shared" si="0"/>
        <v>8</v>
      </c>
      <c r="P24" s="15">
        <f t="shared" si="1"/>
        <v>31</v>
      </c>
      <c r="R24" s="38" t="s">
        <v>92</v>
      </c>
      <c r="S24" s="39">
        <f>MAX(S19:S21)</f>
        <v>18</v>
      </c>
      <c r="T24" s="39">
        <f t="shared" ref="T24:AF24" si="16">MAX(T19:T21)</f>
        <v>6</v>
      </c>
      <c r="U24" s="39">
        <f t="shared" si="16"/>
        <v>13</v>
      </c>
      <c r="V24" s="39">
        <f t="shared" si="16"/>
        <v>3</v>
      </c>
      <c r="W24" s="39">
        <f t="shared" si="16"/>
        <v>0</v>
      </c>
      <c r="X24" s="39">
        <f t="shared" si="16"/>
        <v>2</v>
      </c>
      <c r="Y24" s="39">
        <f t="shared" si="16"/>
        <v>4</v>
      </c>
      <c r="Z24" s="39">
        <f t="shared" si="16"/>
        <v>2</v>
      </c>
      <c r="AA24" s="39">
        <f t="shared" si="16"/>
        <v>0</v>
      </c>
      <c r="AB24" s="39">
        <f t="shared" si="16"/>
        <v>4</v>
      </c>
      <c r="AC24" s="39">
        <f t="shared" si="16"/>
        <v>157</v>
      </c>
      <c r="AD24" s="39">
        <f t="shared" si="16"/>
        <v>0</v>
      </c>
      <c r="AE24" s="40">
        <f t="shared" si="16"/>
        <v>49</v>
      </c>
      <c r="AF24" s="40">
        <f t="shared" si="16"/>
        <v>206</v>
      </c>
    </row>
    <row r="25" spans="2:32" ht="23.1" customHeight="1" x14ac:dyDescent="0.25">
      <c r="B25" s="23" t="s">
        <v>52</v>
      </c>
      <c r="C25" s="50">
        <v>2</v>
      </c>
      <c r="D25" s="50">
        <v>1</v>
      </c>
      <c r="E25" s="50">
        <v>2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23</v>
      </c>
      <c r="N25" s="50">
        <v>0</v>
      </c>
      <c r="O25" s="15">
        <f t="shared" si="0"/>
        <v>8</v>
      </c>
      <c r="P25" s="15">
        <f t="shared" si="1"/>
        <v>31</v>
      </c>
      <c r="R25" s="37" t="s">
        <v>85</v>
      </c>
      <c r="S25" s="35">
        <f t="shared" ref="S25:AF25" si="17">SUM(S10:S12)</f>
        <v>42</v>
      </c>
      <c r="T25" s="16">
        <f t="shared" si="17"/>
        <v>11</v>
      </c>
      <c r="U25" s="16">
        <f t="shared" si="17"/>
        <v>26</v>
      </c>
      <c r="V25" s="16">
        <f t="shared" si="17"/>
        <v>9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1</v>
      </c>
      <c r="AA25" s="16">
        <f t="shared" si="17"/>
        <v>0</v>
      </c>
      <c r="AB25" s="16">
        <f t="shared" si="17"/>
        <v>13</v>
      </c>
      <c r="AC25" s="16">
        <f t="shared" si="17"/>
        <v>448</v>
      </c>
      <c r="AD25" s="16">
        <f t="shared" si="17"/>
        <v>0</v>
      </c>
      <c r="AE25" s="32">
        <f t="shared" si="17"/>
        <v>116</v>
      </c>
      <c r="AF25" s="32">
        <f t="shared" si="17"/>
        <v>564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22</v>
      </c>
      <c r="N26" s="50">
        <v>0</v>
      </c>
      <c r="O26" s="15">
        <f t="shared" si="0"/>
        <v>8</v>
      </c>
      <c r="P26" s="15">
        <f t="shared" si="1"/>
        <v>30</v>
      </c>
      <c r="R26" s="28" t="s">
        <v>86</v>
      </c>
      <c r="S26" s="16">
        <f t="shared" ref="S26:AF26" si="18">SUM(S13:S18)</f>
        <v>69</v>
      </c>
      <c r="T26" s="16">
        <f t="shared" si="18"/>
        <v>25</v>
      </c>
      <c r="U26" s="16">
        <f t="shared" si="18"/>
        <v>53</v>
      </c>
      <c r="V26" s="16">
        <f t="shared" si="18"/>
        <v>17</v>
      </c>
      <c r="W26" s="16">
        <f t="shared" si="18"/>
        <v>0</v>
      </c>
      <c r="X26" s="16">
        <f t="shared" si="18"/>
        <v>2</v>
      </c>
      <c r="Y26" s="16">
        <f t="shared" si="18"/>
        <v>23</v>
      </c>
      <c r="Z26" s="16">
        <f t="shared" si="18"/>
        <v>1</v>
      </c>
      <c r="AA26" s="16">
        <f t="shared" si="18"/>
        <v>0</v>
      </c>
      <c r="AB26" s="16">
        <f t="shared" si="18"/>
        <v>16</v>
      </c>
      <c r="AC26" s="16">
        <f t="shared" si="18"/>
        <v>601</v>
      </c>
      <c r="AD26" s="16">
        <f t="shared" si="18"/>
        <v>0</v>
      </c>
      <c r="AE26" s="32">
        <f t="shared" si="18"/>
        <v>206</v>
      </c>
      <c r="AF26" s="32">
        <f t="shared" si="18"/>
        <v>807</v>
      </c>
    </row>
    <row r="27" spans="2:32" ht="23.1" customHeight="1" x14ac:dyDescent="0.25">
      <c r="B27" s="23" t="s">
        <v>54</v>
      </c>
      <c r="C27" s="50">
        <v>3</v>
      </c>
      <c r="D27" s="50">
        <v>1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21</v>
      </c>
      <c r="N27" s="50">
        <v>0</v>
      </c>
      <c r="O27" s="15">
        <f t="shared" si="0"/>
        <v>8</v>
      </c>
      <c r="P27" s="15">
        <f t="shared" si="1"/>
        <v>29</v>
      </c>
      <c r="R27" s="29" t="s">
        <v>87</v>
      </c>
      <c r="S27" s="16">
        <f t="shared" ref="S27:AF27" si="19">SUM(S19:S21)</f>
        <v>51</v>
      </c>
      <c r="T27" s="16">
        <f t="shared" si="19"/>
        <v>17</v>
      </c>
      <c r="U27" s="16">
        <f t="shared" si="19"/>
        <v>34</v>
      </c>
      <c r="V27" s="16">
        <f t="shared" si="19"/>
        <v>7</v>
      </c>
      <c r="W27" s="16">
        <f t="shared" si="19"/>
        <v>0</v>
      </c>
      <c r="X27" s="16">
        <f t="shared" si="19"/>
        <v>4</v>
      </c>
      <c r="Y27" s="16">
        <f t="shared" si="19"/>
        <v>12</v>
      </c>
      <c r="Z27" s="16">
        <f t="shared" si="19"/>
        <v>3</v>
      </c>
      <c r="AA27" s="16">
        <f t="shared" si="19"/>
        <v>0</v>
      </c>
      <c r="AB27" s="16">
        <f t="shared" si="19"/>
        <v>10</v>
      </c>
      <c r="AC27" s="16">
        <f t="shared" si="19"/>
        <v>416</v>
      </c>
      <c r="AD27" s="16">
        <f t="shared" si="19"/>
        <v>0</v>
      </c>
      <c r="AE27" s="32">
        <f t="shared" si="19"/>
        <v>138</v>
      </c>
      <c r="AF27" s="32">
        <f t="shared" si="19"/>
        <v>554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23</v>
      </c>
      <c r="N28" s="50">
        <v>0</v>
      </c>
      <c r="O28" s="15">
        <f t="shared" si="0"/>
        <v>9</v>
      </c>
      <c r="P28" s="15">
        <f t="shared" si="1"/>
        <v>32</v>
      </c>
      <c r="R28" s="5" t="s">
        <v>17</v>
      </c>
      <c r="S28" s="16">
        <f t="shared" ref="S28:AF28" si="20">SUM(S10:S21)</f>
        <v>162</v>
      </c>
      <c r="T28" s="16">
        <f t="shared" si="20"/>
        <v>53</v>
      </c>
      <c r="U28" s="16">
        <f t="shared" si="20"/>
        <v>113</v>
      </c>
      <c r="V28" s="16">
        <f t="shared" si="20"/>
        <v>33</v>
      </c>
      <c r="W28" s="16">
        <f t="shared" si="20"/>
        <v>0</v>
      </c>
      <c r="X28" s="16">
        <f t="shared" si="20"/>
        <v>6</v>
      </c>
      <c r="Y28" s="16">
        <f t="shared" si="20"/>
        <v>49</v>
      </c>
      <c r="Z28" s="16">
        <f t="shared" si="20"/>
        <v>5</v>
      </c>
      <c r="AA28" s="16">
        <f t="shared" si="20"/>
        <v>0</v>
      </c>
      <c r="AB28" s="16">
        <f t="shared" si="20"/>
        <v>39</v>
      </c>
      <c r="AC28" s="16">
        <f t="shared" si="20"/>
        <v>1465</v>
      </c>
      <c r="AD28" s="16">
        <f t="shared" si="20"/>
        <v>0</v>
      </c>
      <c r="AE28" s="32">
        <f t="shared" si="20"/>
        <v>460</v>
      </c>
      <c r="AF28" s="32">
        <f t="shared" si="20"/>
        <v>1925</v>
      </c>
    </row>
    <row r="29" spans="2:32" ht="23.1" customHeight="1" x14ac:dyDescent="0.25">
      <c r="B29" s="23" t="s">
        <v>56</v>
      </c>
      <c r="C29" s="50">
        <v>3</v>
      </c>
      <c r="D29" s="50">
        <v>1</v>
      </c>
      <c r="E29" s="50">
        <v>3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24</v>
      </c>
      <c r="N29" s="50">
        <v>0</v>
      </c>
      <c r="O29" s="15">
        <f t="shared" si="0"/>
        <v>10</v>
      </c>
      <c r="P29" s="15">
        <f t="shared" si="1"/>
        <v>34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2</v>
      </c>
      <c r="F30" s="50">
        <v>1</v>
      </c>
      <c r="G30" s="50">
        <v>0</v>
      </c>
      <c r="H30" s="50">
        <v>1</v>
      </c>
      <c r="I30" s="50">
        <v>2</v>
      </c>
      <c r="J30" s="50">
        <v>0</v>
      </c>
      <c r="K30" s="50">
        <v>0</v>
      </c>
      <c r="L30" s="50">
        <v>0</v>
      </c>
      <c r="M30" s="50">
        <v>27</v>
      </c>
      <c r="N30" s="50">
        <v>0</v>
      </c>
      <c r="O30" s="15">
        <f t="shared" si="0"/>
        <v>10</v>
      </c>
      <c r="P30" s="15">
        <f t="shared" si="1"/>
        <v>37</v>
      </c>
    </row>
    <row r="31" spans="2:32" ht="23.1" customHeight="1" x14ac:dyDescent="0.25">
      <c r="B31" s="24" t="s">
        <v>58</v>
      </c>
      <c r="C31" s="50">
        <v>3</v>
      </c>
      <c r="D31" s="50">
        <v>1</v>
      </c>
      <c r="E31" s="50">
        <v>2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23</v>
      </c>
      <c r="N31" s="50">
        <v>0</v>
      </c>
      <c r="O31" s="15">
        <f t="shared" si="0"/>
        <v>9</v>
      </c>
      <c r="P31" s="15">
        <f t="shared" si="1"/>
        <v>32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2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22</v>
      </c>
      <c r="N32" s="50">
        <v>0</v>
      </c>
      <c r="O32" s="15">
        <f t="shared" si="0"/>
        <v>9</v>
      </c>
      <c r="P32" s="15">
        <f t="shared" si="1"/>
        <v>31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2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8</v>
      </c>
      <c r="P33" s="15">
        <f t="shared" si="1"/>
        <v>35</v>
      </c>
    </row>
    <row r="34" spans="2:20" ht="23.1" customHeight="1" x14ac:dyDescent="0.25">
      <c r="B34" s="24" t="s">
        <v>61</v>
      </c>
      <c r="C34" s="50">
        <v>2</v>
      </c>
      <c r="D34" s="50">
        <v>1</v>
      </c>
      <c r="E34" s="50">
        <v>3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26</v>
      </c>
      <c r="N34" s="50">
        <v>0</v>
      </c>
      <c r="O34" s="15">
        <f t="shared" si="0"/>
        <v>9</v>
      </c>
      <c r="P34" s="15">
        <f t="shared" si="1"/>
        <v>35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27</v>
      </c>
      <c r="N35" s="50">
        <v>0</v>
      </c>
      <c r="O35" s="15">
        <f t="shared" si="0"/>
        <v>7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4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28</v>
      </c>
      <c r="N36" s="50">
        <v>0</v>
      </c>
      <c r="O36" s="15">
        <f t="shared" si="0"/>
        <v>10</v>
      </c>
      <c r="P36" s="15">
        <f t="shared" si="1"/>
        <v>38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3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26</v>
      </c>
      <c r="N37" s="50">
        <v>0</v>
      </c>
      <c r="O37" s="15">
        <f t="shared" si="0"/>
        <v>10</v>
      </c>
      <c r="P37" s="15">
        <f t="shared" si="1"/>
        <v>36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2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27</v>
      </c>
      <c r="N38" s="50">
        <v>0</v>
      </c>
      <c r="O38" s="15">
        <f t="shared" si="0"/>
        <v>7</v>
      </c>
      <c r="P38" s="15">
        <f t="shared" si="1"/>
        <v>34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2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27</v>
      </c>
      <c r="N39" s="50">
        <v>0</v>
      </c>
      <c r="O39" s="15">
        <f t="shared" si="0"/>
        <v>7</v>
      </c>
      <c r="P39" s="15">
        <f t="shared" si="1"/>
        <v>34</v>
      </c>
    </row>
    <row r="40" spans="2:20" ht="23.1" customHeight="1" x14ac:dyDescent="0.25">
      <c r="B40" s="24" t="s">
        <v>67</v>
      </c>
      <c r="C40" s="50">
        <v>3</v>
      </c>
      <c r="D40" s="50">
        <v>1</v>
      </c>
      <c r="E40" s="50">
        <v>2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1</v>
      </c>
      <c r="M40" s="50">
        <v>23</v>
      </c>
      <c r="N40" s="50">
        <v>0</v>
      </c>
      <c r="O40" s="15">
        <f t="shared" si="0"/>
        <v>9</v>
      </c>
      <c r="P40" s="15">
        <f t="shared" si="1"/>
        <v>32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3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21</v>
      </c>
      <c r="N41" s="50">
        <v>0</v>
      </c>
      <c r="O41" s="15">
        <f t="shared" si="0"/>
        <v>9</v>
      </c>
      <c r="P41" s="15">
        <f t="shared" si="1"/>
        <v>30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2</v>
      </c>
      <c r="F42" s="50">
        <v>0</v>
      </c>
      <c r="G42" s="50">
        <v>0</v>
      </c>
      <c r="H42" s="50">
        <v>1</v>
      </c>
      <c r="I42" s="50">
        <v>1</v>
      </c>
      <c r="J42" s="50">
        <v>0</v>
      </c>
      <c r="K42" s="50">
        <v>0</v>
      </c>
      <c r="L42" s="50">
        <v>1</v>
      </c>
      <c r="M42" s="50">
        <v>23</v>
      </c>
      <c r="N42" s="50">
        <v>0</v>
      </c>
      <c r="O42" s="15">
        <f t="shared" si="0"/>
        <v>9</v>
      </c>
      <c r="P42" s="15">
        <f t="shared" si="1"/>
        <v>32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2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27</v>
      </c>
      <c r="N43" s="50">
        <v>0</v>
      </c>
      <c r="O43" s="15">
        <f t="shared" si="0"/>
        <v>7</v>
      </c>
      <c r="P43" s="15">
        <f t="shared" si="1"/>
        <v>34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2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28</v>
      </c>
      <c r="N44" s="50">
        <v>0</v>
      </c>
      <c r="O44" s="15">
        <f t="shared" si="0"/>
        <v>8</v>
      </c>
      <c r="P44" s="15">
        <f t="shared" si="1"/>
        <v>36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27</v>
      </c>
      <c r="N45" s="50">
        <v>0</v>
      </c>
      <c r="O45" s="15">
        <f t="shared" si="0"/>
        <v>9</v>
      </c>
      <c r="P45" s="15">
        <f t="shared" si="1"/>
        <v>36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2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27</v>
      </c>
      <c r="N46" s="50">
        <v>0</v>
      </c>
      <c r="O46" s="15">
        <f t="shared" si="0"/>
        <v>8</v>
      </c>
      <c r="P46" s="15">
        <f t="shared" si="1"/>
        <v>35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2</v>
      </c>
      <c r="E47" s="50">
        <v>3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27</v>
      </c>
      <c r="N47" s="50">
        <v>0</v>
      </c>
      <c r="O47" s="15">
        <f t="shared" si="0"/>
        <v>12</v>
      </c>
      <c r="P47" s="15">
        <f t="shared" si="1"/>
        <v>39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36</v>
      </c>
      <c r="N48" s="50">
        <v>0</v>
      </c>
      <c r="O48" s="15">
        <f t="shared" si="0"/>
        <v>9</v>
      </c>
      <c r="P48" s="15">
        <f t="shared" si="1"/>
        <v>45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1</v>
      </c>
      <c r="E49" s="50">
        <v>3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1</v>
      </c>
      <c r="M49" s="50">
        <v>39</v>
      </c>
      <c r="N49" s="50">
        <v>0</v>
      </c>
      <c r="O49" s="15">
        <f t="shared" si="0"/>
        <v>11</v>
      </c>
      <c r="P49" s="15">
        <f t="shared" si="1"/>
        <v>50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1</v>
      </c>
      <c r="M50" s="50">
        <v>37</v>
      </c>
      <c r="N50" s="50">
        <v>0</v>
      </c>
      <c r="O50" s="15">
        <f t="shared" si="0"/>
        <v>9</v>
      </c>
      <c r="P50" s="15">
        <f t="shared" si="1"/>
        <v>46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1</v>
      </c>
      <c r="E51" s="50">
        <v>3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40</v>
      </c>
      <c r="N51" s="50">
        <v>0</v>
      </c>
      <c r="O51" s="15">
        <f t="shared" si="0"/>
        <v>13</v>
      </c>
      <c r="P51" s="15">
        <f t="shared" si="1"/>
        <v>53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2</v>
      </c>
      <c r="E52" s="50">
        <v>3</v>
      </c>
      <c r="F52" s="50">
        <v>1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1</v>
      </c>
      <c r="M52" s="50">
        <v>44</v>
      </c>
      <c r="N52" s="50">
        <v>0</v>
      </c>
      <c r="O52" s="15">
        <f t="shared" si="0"/>
        <v>13</v>
      </c>
      <c r="P52" s="15">
        <f t="shared" si="1"/>
        <v>57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2</v>
      </c>
      <c r="E53" s="50">
        <v>3</v>
      </c>
      <c r="F53" s="50">
        <v>1</v>
      </c>
      <c r="G53" s="50">
        <v>0</v>
      </c>
      <c r="H53" s="50">
        <v>1</v>
      </c>
      <c r="I53" s="50">
        <v>1</v>
      </c>
      <c r="J53" s="50">
        <v>1</v>
      </c>
      <c r="K53" s="50">
        <v>0</v>
      </c>
      <c r="L53" s="50">
        <v>1</v>
      </c>
      <c r="M53" s="50">
        <v>36</v>
      </c>
      <c r="N53" s="50">
        <v>0</v>
      </c>
      <c r="O53" s="15">
        <f t="shared" si="0"/>
        <v>14</v>
      </c>
      <c r="P53" s="15">
        <f t="shared" si="1"/>
        <v>50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2</v>
      </c>
      <c r="E54" s="50">
        <v>3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34</v>
      </c>
      <c r="N54" s="50">
        <v>0</v>
      </c>
      <c r="O54" s="15">
        <f t="shared" si="0"/>
        <v>12</v>
      </c>
      <c r="P54" s="15">
        <f t="shared" si="1"/>
        <v>46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3</v>
      </c>
      <c r="F55" s="50">
        <v>0</v>
      </c>
      <c r="G55" s="50">
        <v>0</v>
      </c>
      <c r="H55" s="50">
        <v>1</v>
      </c>
      <c r="I55" s="50">
        <v>1</v>
      </c>
      <c r="J55" s="50">
        <v>1</v>
      </c>
      <c r="K55" s="50">
        <v>0</v>
      </c>
      <c r="L55" s="50">
        <v>1</v>
      </c>
      <c r="M55" s="50">
        <v>32</v>
      </c>
      <c r="N55" s="50">
        <v>0</v>
      </c>
      <c r="O55" s="15">
        <f t="shared" si="0"/>
        <v>11</v>
      </c>
      <c r="P55" s="15">
        <f t="shared" si="1"/>
        <v>43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2</v>
      </c>
      <c r="E56" s="50">
        <v>4</v>
      </c>
      <c r="F56" s="50">
        <v>1</v>
      </c>
      <c r="G56" s="50">
        <v>0</v>
      </c>
      <c r="H56" s="50">
        <v>1</v>
      </c>
      <c r="I56" s="50">
        <v>1</v>
      </c>
      <c r="J56" s="50">
        <v>0</v>
      </c>
      <c r="K56" s="50">
        <v>0</v>
      </c>
      <c r="L56" s="50">
        <v>1</v>
      </c>
      <c r="M56" s="50">
        <v>33</v>
      </c>
      <c r="N56" s="50">
        <v>0</v>
      </c>
      <c r="O56" s="15">
        <f t="shared" si="0"/>
        <v>13</v>
      </c>
      <c r="P56" s="15">
        <f t="shared" si="1"/>
        <v>46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1</v>
      </c>
      <c r="E57" s="50">
        <v>3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1</v>
      </c>
      <c r="M57" s="50">
        <v>31</v>
      </c>
      <c r="N57" s="50">
        <v>0</v>
      </c>
      <c r="O57" s="15">
        <f t="shared" si="0"/>
        <v>13</v>
      </c>
      <c r="P57" s="15">
        <f t="shared" si="1"/>
        <v>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162</v>
      </c>
      <c r="D58" s="16">
        <f t="shared" si="21"/>
        <v>53</v>
      </c>
      <c r="E58" s="16">
        <f t="shared" si="21"/>
        <v>113</v>
      </c>
      <c r="F58" s="16">
        <f t="shared" si="21"/>
        <v>33</v>
      </c>
      <c r="G58" s="16">
        <f t="shared" si="21"/>
        <v>0</v>
      </c>
      <c r="H58" s="16">
        <f t="shared" si="21"/>
        <v>6</v>
      </c>
      <c r="I58" s="16">
        <f t="shared" si="21"/>
        <v>49</v>
      </c>
      <c r="J58" s="16">
        <f t="shared" si="21"/>
        <v>5</v>
      </c>
      <c r="K58" s="16">
        <f t="shared" si="21"/>
        <v>0</v>
      </c>
      <c r="L58" s="16">
        <f t="shared" si="21"/>
        <v>39</v>
      </c>
      <c r="M58" s="16">
        <f t="shared" si="21"/>
        <v>1465</v>
      </c>
      <c r="N58" s="16">
        <f t="shared" si="21"/>
        <v>0</v>
      </c>
      <c r="O58" s="16">
        <f t="shared" si="21"/>
        <v>460</v>
      </c>
      <c r="P58" s="16">
        <f t="shared" si="21"/>
        <v>1925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8.4155844155844151E-2</v>
      </c>
      <c r="D59" s="43">
        <f t="shared" si="22"/>
        <v>2.7532467532467533E-2</v>
      </c>
      <c r="E59" s="43">
        <f t="shared" si="22"/>
        <v>5.8701298701298699E-2</v>
      </c>
      <c r="F59" s="43">
        <f t="shared" si="22"/>
        <v>1.7142857142857144E-2</v>
      </c>
      <c r="G59" s="43">
        <f t="shared" si="22"/>
        <v>0</v>
      </c>
      <c r="H59" s="43">
        <f t="shared" si="22"/>
        <v>3.1168831168831169E-3</v>
      </c>
      <c r="I59" s="43">
        <f t="shared" si="22"/>
        <v>2.5454545454545455E-2</v>
      </c>
      <c r="J59" s="43">
        <f t="shared" si="22"/>
        <v>2.5974025974025974E-3</v>
      </c>
      <c r="K59" s="43">
        <f t="shared" si="22"/>
        <v>0</v>
      </c>
      <c r="L59" s="43">
        <f t="shared" si="22"/>
        <v>2.0259740259740259E-2</v>
      </c>
      <c r="M59" s="43">
        <f t="shared" si="22"/>
        <v>0.76103896103896107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0.35217391304347828</v>
      </c>
      <c r="D60" s="44">
        <f t="shared" ref="D60:N60" si="23">D58/$O$58</f>
        <v>0.11521739130434783</v>
      </c>
      <c r="E60" s="44">
        <f t="shared" si="23"/>
        <v>0.24565217391304348</v>
      </c>
      <c r="F60" s="44">
        <f t="shared" si="23"/>
        <v>7.1739130434782611E-2</v>
      </c>
      <c r="G60" s="44">
        <f t="shared" si="23"/>
        <v>0</v>
      </c>
      <c r="H60" s="44">
        <f t="shared" si="23"/>
        <v>1.3043478260869565E-2</v>
      </c>
      <c r="I60" s="44">
        <f t="shared" si="23"/>
        <v>0.10652173913043478</v>
      </c>
      <c r="J60" s="44">
        <f t="shared" si="23"/>
        <v>1.0869565217391304E-2</v>
      </c>
      <c r="K60" s="44">
        <f t="shared" si="23"/>
        <v>0</v>
      </c>
      <c r="L60" s="44">
        <f t="shared" si="23"/>
        <v>8.478260869565217E-2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A73" zoomScale="60" workbookViewId="0">
      <selection activeCell="M88" sqref="M8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'7.08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'7.08 GULU-KARUMA'!G5:H5</f>
        <v>xxx</v>
      </c>
      <c r="H5" s="67"/>
      <c r="I5" s="14"/>
      <c r="J5" s="2" t="s">
        <v>5</v>
      </c>
      <c r="K5" s="66" t="str">
        <f>'7.08 GULU-KARUMA'!K5:L5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'7.08 GULU-KARUMA'!D6:E6</f>
        <v>GULU</v>
      </c>
      <c r="E6" s="67"/>
      <c r="F6" s="2" t="s">
        <v>2</v>
      </c>
      <c r="G6" s="66" t="str">
        <f>'7.08 GULU-KARUMA'!G6:H6</f>
        <v>KARUMA</v>
      </c>
      <c r="H6" s="67"/>
      <c r="J6" s="2" t="s">
        <v>21</v>
      </c>
      <c r="K6" s="66" t="str">
        <f>'7.08 GULU-KARUMA'!K6:L6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AVERAGE('01.08 GULU-KARUMA'!C10,'02.08 GULU-KARUMA'!C10,'04.08 GULU-KARUMA'!C10,'06.08 GULU-KARUMA'!C10,'03. 08 GULU-KARUMA-24HRS'!C10,'05.08, GULU-KARUMA-24HRS'!C10,'7.08 GULU-KARUMA'!C10)</f>
        <v>1.4285714285714286</v>
      </c>
      <c r="D10" s="49">
        <f>AVERAGE('01.08 GULU-KARUMA'!D10,'02.08 GULU-KARUMA'!D10,'04.08 GULU-KARUMA'!D10,'06.08 GULU-KARUMA'!D10,'03. 08 GULU-KARUMA-24HRS'!E10,'05.08, GULU-KARUMA-24HRS'!D10,'7.08 GULU-KARUMA'!D10)</f>
        <v>0.5714285714285714</v>
      </c>
      <c r="E10" s="49">
        <f>AVERAGE('01.08 GULU-KARUMA'!E10,'02.08 GULU-KARUMA'!E10,'04.08 GULU-KARUMA'!E10,'06.08 GULU-KARUMA'!E10,'03. 08 GULU-KARUMA-24HRS'!E10,'05.08, GULU-KARUMA-24HRS'!E10,'7.08 GULU-KARUMA'!E10)</f>
        <v>1.2857142857142858</v>
      </c>
      <c r="F10" s="49">
        <f>AVERAGE('01.08 GULU-KARUMA'!F10,'02.08 GULU-KARUMA'!F10,'04.08 GULU-KARUMA'!F10,'06.08 GULU-KARUMA'!F10,'03. 08 GULU-KARUMA-24HRS'!F10,'05.08, GULU-KARUMA-24HRS'!F10,'7.08 GULU-KARUMA'!F10)</f>
        <v>1.1428571428571428</v>
      </c>
      <c r="G10" s="49">
        <f>AVERAGE('01.08 GULU-KARUMA'!G10,'02.08 GULU-KARUMA'!G10,'04.08 GULU-KARUMA'!G10,'06.08 GULU-KARUMA'!G10,'03. 08 GULU-KARUMA-24HRS'!G10,'05.08, GULU-KARUMA-24HRS'!G10,'7.08 GULU-KARUMA'!G10)</f>
        <v>0.2857142857142857</v>
      </c>
      <c r="H10" s="49">
        <f>AVERAGE('01.08 GULU-KARUMA'!H10,'02.08 GULU-KARUMA'!H10,'04.08 GULU-KARUMA'!H10,'06.08 GULU-KARUMA'!H10,'03. 08 GULU-KARUMA-24HRS'!H10,'05.08, GULU-KARUMA-24HRS'!H10,'7.08 GULU-KARUMA'!H10)</f>
        <v>0.2857142857142857</v>
      </c>
      <c r="I10" s="49">
        <f>AVERAGE('01.08 GULU-KARUMA'!I10,'02.08 GULU-KARUMA'!I10,'04.08 GULU-KARUMA'!I10,'06.08 GULU-KARUMA'!I10,'03. 08 GULU-KARUMA-24HRS'!I10,'05.08, GULU-KARUMA-24HRS'!I10,'7.08 GULU-KARUMA'!I10)</f>
        <v>0.2857142857142857</v>
      </c>
      <c r="J10" s="49">
        <f>AVERAGE('01.08 GULU-KARUMA'!J10,'02.08 GULU-KARUMA'!J10,'04.08 GULU-KARUMA'!J10,'06.08 GULU-KARUMA'!J10,'03. 08 GULU-KARUMA-24HRS'!J10,'05.08, GULU-KARUMA-24HRS'!J10,'7.08 GULU-KARUMA'!J10)</f>
        <v>0.8571428571428571</v>
      </c>
      <c r="K10" s="49">
        <f>AVERAGE('01.08 GULU-KARUMA'!K10,'02.08 GULU-KARUMA'!K10,'04.08 GULU-KARUMA'!K10,'06.08 GULU-KARUMA'!K10,'03. 08 GULU-KARUMA-24HRS'!K10,'05.08, GULU-KARUMA-24HRS'!K10,'7.08 GULU-KARUMA'!K10)</f>
        <v>0.14285714285714285</v>
      </c>
      <c r="L10" s="49">
        <f>AVERAGE('01.08 GULU-KARUMA'!L10,'02.08 GULU-KARUMA'!L10,'04.08 GULU-KARUMA'!L10,'06.08 GULU-KARUMA'!L10,'03. 08 GULU-KARUMA-24HRS'!L10,'05.08, GULU-KARUMA-24HRS'!L10,'7.08 GULU-KARUMA'!L10)</f>
        <v>1</v>
      </c>
      <c r="M10" s="49">
        <f>AVERAGE('01.08 GULU-KARUMA'!M10,'02.08 GULU-KARUMA'!M10,'04.08 GULU-KARUMA'!M10,'06.08 GULU-KARUMA'!M10,'03. 08 GULU-KARUMA-24HRS'!M10,'05.08, GULU-KARUMA-24HRS'!M10,'7.08 GULU-KARUMA'!M10)</f>
        <v>35</v>
      </c>
      <c r="N10" s="49">
        <f>AVERAGE('01.08 GULU-KARUMA'!N10,'02.08 GULU-KARUMA'!N10,'04.08 GULU-KARUMA'!N10,'06.08 GULU-KARUMA'!N10,'03. 08 GULU-KARUMA-24HRS'!N10,'05.08, GULU-KARUMA-24HRS'!N10,'7.08 GULU-KARUMA'!N10)</f>
        <v>0</v>
      </c>
      <c r="O10" s="15">
        <f t="shared" ref="O10:O73" si="0">SUM(C10:L10,N10)</f>
        <v>7.2857142857142856</v>
      </c>
      <c r="P10" s="15">
        <f t="shared" ref="P10:P73" si="1">SUM(C10:N10)</f>
        <v>42.285714285714285</v>
      </c>
      <c r="R10" s="1" t="s">
        <v>6</v>
      </c>
      <c r="S10" s="17">
        <f t="shared" ref="S10:AF10" si="2">SUM(C10:C13)</f>
        <v>7.5714285714285712</v>
      </c>
      <c r="T10" s="17">
        <f t="shared" si="2"/>
        <v>5.2857142857142856</v>
      </c>
      <c r="U10" s="17">
        <f t="shared" si="2"/>
        <v>12.285714285714285</v>
      </c>
      <c r="V10" s="17">
        <f t="shared" si="2"/>
        <v>4.5714285714285712</v>
      </c>
      <c r="W10" s="17">
        <f t="shared" si="2"/>
        <v>0.71428571428571419</v>
      </c>
      <c r="X10" s="17">
        <f t="shared" si="2"/>
        <v>2.2857142857142856</v>
      </c>
      <c r="Y10" s="17">
        <f t="shared" si="2"/>
        <v>3.5714285714285712</v>
      </c>
      <c r="Z10" s="17">
        <f t="shared" si="2"/>
        <v>1.7142857142857142</v>
      </c>
      <c r="AA10" s="17">
        <f t="shared" si="2"/>
        <v>0.2857142857142857</v>
      </c>
      <c r="AB10" s="17">
        <f t="shared" si="2"/>
        <v>1.857142857142857</v>
      </c>
      <c r="AC10" s="17">
        <f t="shared" si="2"/>
        <v>176</v>
      </c>
      <c r="AD10" s="17">
        <f t="shared" si="2"/>
        <v>0.14285714285714285</v>
      </c>
      <c r="AE10" s="31">
        <f t="shared" si="2"/>
        <v>40.285714285714292</v>
      </c>
      <c r="AF10" s="31">
        <f t="shared" si="2"/>
        <v>216.28571428571428</v>
      </c>
    </row>
    <row r="11" spans="2:32" s="6" customFormat="1" ht="23.1" customHeight="1" x14ac:dyDescent="0.25">
      <c r="B11" s="23" t="s">
        <v>38</v>
      </c>
      <c r="C11" s="49">
        <f>AVERAGE('01.08 GULU-KARUMA'!C11,'02.08 GULU-KARUMA'!C11,'04.08 GULU-KARUMA'!C11,'06.08 GULU-KARUMA'!C11,'03. 08 GULU-KARUMA-24HRS'!C11,'05.08, GULU-KARUMA-24HRS'!C11,'7.08 GULU-KARUMA'!C11)</f>
        <v>1.7142857142857142</v>
      </c>
      <c r="D11" s="49">
        <f>AVERAGE('01.08 GULU-KARUMA'!D11,'02.08 GULU-KARUMA'!D11,'04.08 GULU-KARUMA'!D11,'06.08 GULU-KARUMA'!D11,'03. 08 GULU-KARUMA-24HRS'!D11,'05.08, GULU-KARUMA-24HRS'!D11,'7.08 GULU-KARUMA'!D11)</f>
        <v>1.2857142857142858</v>
      </c>
      <c r="E11" s="49">
        <f>AVERAGE('01.08 GULU-KARUMA'!E11,'02.08 GULU-KARUMA'!E11,'04.08 GULU-KARUMA'!E11,'06.08 GULU-KARUMA'!E11,'03. 08 GULU-KARUMA-24HRS'!E11,'05.08, GULU-KARUMA-24HRS'!E11,'7.08 GULU-KARUMA'!E11)</f>
        <v>2.8571428571428572</v>
      </c>
      <c r="F11" s="49">
        <f>AVERAGE('01.08 GULU-KARUMA'!F11,'02.08 GULU-KARUMA'!F11,'04.08 GULU-KARUMA'!F11,'06.08 GULU-KARUMA'!F11,'03. 08 GULU-KARUMA-24HRS'!F11,'05.08, GULU-KARUMA-24HRS'!F11,'7.08 GULU-KARUMA'!F11)</f>
        <v>1</v>
      </c>
      <c r="G11" s="49">
        <f>AVERAGE('01.08 GULU-KARUMA'!G11,'02.08 GULU-KARUMA'!G11,'04.08 GULU-KARUMA'!G11,'06.08 GULU-KARUMA'!G11,'03. 08 GULU-KARUMA-24HRS'!G11,'05.08, GULU-KARUMA-24HRS'!G11,'7.08 GULU-KARUMA'!G11)</f>
        <v>0</v>
      </c>
      <c r="H11" s="49">
        <f>AVERAGE('01.08 GULU-KARUMA'!H11,'02.08 GULU-KARUMA'!H11,'04.08 GULU-KARUMA'!H11,'06.08 GULU-KARUMA'!H11,'03. 08 GULU-KARUMA-24HRS'!H11,'05.08, GULU-KARUMA-24HRS'!H11,'7.08 GULU-KARUMA'!H11)</f>
        <v>0.2857142857142857</v>
      </c>
      <c r="I11" s="49">
        <f>AVERAGE('01.08 GULU-KARUMA'!I11,'02.08 GULU-KARUMA'!I11,'04.08 GULU-KARUMA'!I11,'06.08 GULU-KARUMA'!I11,'03. 08 GULU-KARUMA-24HRS'!I11,'05.08, GULU-KARUMA-24HRS'!I11,'7.08 GULU-KARUMA'!I11)</f>
        <v>0.8571428571428571</v>
      </c>
      <c r="J11" s="49">
        <f>AVERAGE('01.08 GULU-KARUMA'!J11,'02.08 GULU-KARUMA'!J11,'04.08 GULU-KARUMA'!J11,'06.08 GULU-KARUMA'!J11,'03. 08 GULU-KARUMA-24HRS'!J11,'05.08, GULU-KARUMA-24HRS'!J11,'7.08 GULU-KARUMA'!J11)</f>
        <v>0.42857142857142855</v>
      </c>
      <c r="K11" s="49">
        <f>AVERAGE('01.08 GULU-KARUMA'!K11,'02.08 GULU-KARUMA'!K11,'04.08 GULU-KARUMA'!K11,'06.08 GULU-KARUMA'!K11,'03. 08 GULU-KARUMA-24HRS'!K11,'05.08, GULU-KARUMA-24HRS'!K11,'7.08 GULU-KARUMA'!K11)</f>
        <v>0</v>
      </c>
      <c r="L11" s="49">
        <f>AVERAGE('01.08 GULU-KARUMA'!L11,'02.08 GULU-KARUMA'!L11,'04.08 GULU-KARUMA'!L11,'06.08 GULU-KARUMA'!L11,'03. 08 GULU-KARUMA-24HRS'!L11,'05.08, GULU-KARUMA-24HRS'!L11,'7.08 GULU-KARUMA'!L11)</f>
        <v>0.14285714285714285</v>
      </c>
      <c r="M11" s="49">
        <f>AVERAGE('01.08 GULU-KARUMA'!M11,'02.08 GULU-KARUMA'!M11,'04.08 GULU-KARUMA'!M11,'06.08 GULU-KARUMA'!M11,'03. 08 GULU-KARUMA-24HRS'!M11,'05.08, GULU-KARUMA-24HRS'!M11,'7.08 GULU-KARUMA'!M11)</f>
        <v>34.857142857142854</v>
      </c>
      <c r="N11" s="49">
        <f>AVERAGE('01.08 GULU-KARUMA'!N11,'02.08 GULU-KARUMA'!N11,'04.08 GULU-KARUMA'!N11,'06.08 GULU-KARUMA'!N11,'03. 08 GULU-KARUMA-24HRS'!N11,'05.08, GULU-KARUMA-24HRS'!N11,'7.08 GULU-KARUMA'!N11)</f>
        <v>0</v>
      </c>
      <c r="O11" s="15">
        <f t="shared" si="0"/>
        <v>8.5714285714285712</v>
      </c>
      <c r="P11" s="15">
        <f t="shared" si="1"/>
        <v>43.428571428571423</v>
      </c>
      <c r="R11" s="1" t="s">
        <v>7</v>
      </c>
      <c r="S11" s="17">
        <f t="shared" ref="S11:AF11" si="3">SUM(C14:C17)</f>
        <v>14.428571428571429</v>
      </c>
      <c r="T11" s="17">
        <f t="shared" si="3"/>
        <v>8.7142857142857135</v>
      </c>
      <c r="U11" s="17">
        <f t="shared" si="3"/>
        <v>19.214285714285715</v>
      </c>
      <c r="V11" s="17">
        <f t="shared" si="3"/>
        <v>4.7142857142857144</v>
      </c>
      <c r="W11" s="17">
        <f t="shared" si="3"/>
        <v>0.71428571428571419</v>
      </c>
      <c r="X11" s="17">
        <f t="shared" si="3"/>
        <v>2.2857142857142856</v>
      </c>
      <c r="Y11" s="17">
        <f t="shared" si="3"/>
        <v>8.1428571428571423</v>
      </c>
      <c r="Z11" s="17">
        <f t="shared" si="3"/>
        <v>3</v>
      </c>
      <c r="AA11" s="17">
        <f t="shared" si="3"/>
        <v>0.14285714285714285</v>
      </c>
      <c r="AB11" s="17">
        <f t="shared" si="3"/>
        <v>1.857142857142857</v>
      </c>
      <c r="AC11" s="17">
        <f t="shared" si="3"/>
        <v>217.28571428571431</v>
      </c>
      <c r="AD11" s="17">
        <f t="shared" si="3"/>
        <v>0.2857142857142857</v>
      </c>
      <c r="AE11" s="31">
        <f t="shared" si="3"/>
        <v>63.5</v>
      </c>
      <c r="AF11" s="31">
        <f t="shared" si="3"/>
        <v>280.78571428571428</v>
      </c>
    </row>
    <row r="12" spans="2:32" ht="23.1" customHeight="1" x14ac:dyDescent="0.25">
      <c r="B12" s="23" t="s">
        <v>39</v>
      </c>
      <c r="C12" s="49">
        <f>AVERAGE('01.08 GULU-KARUMA'!C12,'02.08 GULU-KARUMA'!C12,'04.08 GULU-KARUMA'!C12,'06.08 GULU-KARUMA'!C12,'03. 08 GULU-KARUMA-24HRS'!C12,'05.08, GULU-KARUMA-24HRS'!C12,'7.08 GULU-KARUMA'!C12)</f>
        <v>1.5714285714285714</v>
      </c>
      <c r="D12" s="49">
        <f>AVERAGE('01.08 GULU-KARUMA'!D12,'02.08 GULU-KARUMA'!D12,'04.08 GULU-KARUMA'!D12,'06.08 GULU-KARUMA'!D12,'03. 08 GULU-KARUMA-24HRS'!D12,'05.08, GULU-KARUMA-24HRS'!D12,'7.08 GULU-KARUMA'!D12)</f>
        <v>1.7142857142857142</v>
      </c>
      <c r="E12" s="49">
        <f>AVERAGE('01.08 GULU-KARUMA'!E12,'02.08 GULU-KARUMA'!E12,'04.08 GULU-KARUMA'!E12,'06.08 GULU-KARUMA'!E12,'03. 08 GULU-KARUMA-24HRS'!E12,'05.08, GULU-KARUMA-24HRS'!E12,'7.08 GULU-KARUMA'!E12)</f>
        <v>4</v>
      </c>
      <c r="F12" s="49">
        <f>AVERAGE('01.08 GULU-KARUMA'!F12,'02.08 GULU-KARUMA'!F12,'04.08 GULU-KARUMA'!F12,'06.08 GULU-KARUMA'!F12,'03. 08 GULU-KARUMA-24HRS'!F12,'05.08, GULU-KARUMA-24HRS'!F12,'7.08 GULU-KARUMA'!F12)</f>
        <v>0.5714285714285714</v>
      </c>
      <c r="G12" s="49">
        <f>AVERAGE('01.08 GULU-KARUMA'!G12,'02.08 GULU-KARUMA'!G12,'04.08 GULU-KARUMA'!G12,'06.08 GULU-KARUMA'!G12,'03. 08 GULU-KARUMA-24HRS'!G12,'05.08, GULU-KARUMA-24HRS'!G12,'7.08 GULU-KARUMA'!G12)</f>
        <v>0.14285714285714285</v>
      </c>
      <c r="H12" s="49">
        <f>AVERAGE('01.08 GULU-KARUMA'!H12,'02.08 GULU-KARUMA'!H12,'04.08 GULU-KARUMA'!H12,'06.08 GULU-KARUMA'!H12,'03. 08 GULU-KARUMA-24HRS'!H12,'05.08, GULU-KARUMA-24HRS'!H12,'7.08 GULU-KARUMA'!H12)</f>
        <v>1.2857142857142858</v>
      </c>
      <c r="I12" s="49">
        <f>AVERAGE('01.08 GULU-KARUMA'!I12,'02.08 GULU-KARUMA'!I12,'04.08 GULU-KARUMA'!I12,'06.08 GULU-KARUMA'!I12,'03. 08 GULU-KARUMA-24HRS'!I12,'05.08, GULU-KARUMA-24HRS'!I12,'7.08 GULU-KARUMA'!I12)</f>
        <v>1</v>
      </c>
      <c r="J12" s="49">
        <f>AVERAGE('01.08 GULU-KARUMA'!J12,'02.08 GULU-KARUMA'!J12,'04.08 GULU-KARUMA'!J12,'06.08 GULU-KARUMA'!J12,'03. 08 GULU-KARUMA-24HRS'!J12,'05.08, GULU-KARUMA-24HRS'!J12,'7.08 GULU-KARUMA'!J12)</f>
        <v>0</v>
      </c>
      <c r="K12" s="49">
        <f>AVERAGE('01.08 GULU-KARUMA'!K12,'02.08 GULU-KARUMA'!K12,'04.08 GULU-KARUMA'!K12,'06.08 GULU-KARUMA'!K12,'03. 08 GULU-KARUMA-24HRS'!K12,'05.08, GULU-KARUMA-24HRS'!K12,'7.08 GULU-KARUMA'!K12)</f>
        <v>0</v>
      </c>
      <c r="L12" s="49">
        <f>AVERAGE('01.08 GULU-KARUMA'!L12,'02.08 GULU-KARUMA'!L12,'04.08 GULU-KARUMA'!L12,'06.08 GULU-KARUMA'!L12,'03. 08 GULU-KARUMA-24HRS'!L12,'05.08, GULU-KARUMA-24HRS'!L12,'7.08 GULU-KARUMA'!L12)</f>
        <v>0.5714285714285714</v>
      </c>
      <c r="M12" s="49">
        <f>AVERAGE('01.08 GULU-KARUMA'!M12,'02.08 GULU-KARUMA'!M12,'04.08 GULU-KARUMA'!M12,'06.08 GULU-KARUMA'!M12,'03. 08 GULU-KARUMA-24HRS'!M12,'05.08, GULU-KARUMA-24HRS'!M12,'7.08 GULU-KARUMA'!M12)</f>
        <v>45.142857142857146</v>
      </c>
      <c r="N12" s="49">
        <f>AVERAGE('01.08 GULU-KARUMA'!N12,'02.08 GULU-KARUMA'!N12,'04.08 GULU-KARUMA'!N12,'06.08 GULU-KARUMA'!N12,'03. 08 GULU-KARUMA-24HRS'!N12,'05.08, GULU-KARUMA-24HRS'!N12,'7.08 GULU-KARUMA'!N12)</f>
        <v>0</v>
      </c>
      <c r="O12" s="15">
        <f t="shared" si="0"/>
        <v>10.857142857142858</v>
      </c>
      <c r="P12" s="15">
        <f t="shared" si="1"/>
        <v>56</v>
      </c>
      <c r="R12" s="1" t="s">
        <v>8</v>
      </c>
      <c r="S12" s="17">
        <f t="shared" ref="S12:AF12" si="4">SUM(C18:C21)</f>
        <v>17.714285714285715</v>
      </c>
      <c r="T12" s="17">
        <f t="shared" si="4"/>
        <v>8.8571428571428577</v>
      </c>
      <c r="U12" s="17">
        <f t="shared" si="4"/>
        <v>20.142857142857146</v>
      </c>
      <c r="V12" s="17">
        <f t="shared" si="4"/>
        <v>6.7142857142857144</v>
      </c>
      <c r="W12" s="17">
        <f t="shared" si="4"/>
        <v>0.8571428571428571</v>
      </c>
      <c r="X12" s="17">
        <f t="shared" si="4"/>
        <v>1.4285714285714286</v>
      </c>
      <c r="Y12" s="17">
        <f t="shared" si="4"/>
        <v>10.714285714285715</v>
      </c>
      <c r="Z12" s="17">
        <f t="shared" si="4"/>
        <v>3</v>
      </c>
      <c r="AA12" s="17">
        <f t="shared" si="4"/>
        <v>0.2857142857142857</v>
      </c>
      <c r="AB12" s="17">
        <f t="shared" si="4"/>
        <v>4.4285714285714288</v>
      </c>
      <c r="AC12" s="17">
        <f t="shared" si="4"/>
        <v>206.42857142857144</v>
      </c>
      <c r="AD12" s="17">
        <f t="shared" si="4"/>
        <v>0.14285714285714285</v>
      </c>
      <c r="AE12" s="31">
        <f t="shared" si="4"/>
        <v>74.285714285714292</v>
      </c>
      <c r="AF12" s="31">
        <f t="shared" si="4"/>
        <v>280.71428571428572</v>
      </c>
    </row>
    <row r="13" spans="2:32" ht="23.1" customHeight="1" x14ac:dyDescent="0.25">
      <c r="B13" s="23" t="s">
        <v>40</v>
      </c>
      <c r="C13" s="49">
        <f>AVERAGE('01.08 GULU-KARUMA'!C13,'02.08 GULU-KARUMA'!C13,'04.08 GULU-KARUMA'!C13,'06.08 GULU-KARUMA'!C13,'03. 08 GULU-KARUMA-24HRS'!C13,'05.08, GULU-KARUMA-24HRS'!C13,'7.08 GULU-KARUMA'!C13)</f>
        <v>2.8571428571428572</v>
      </c>
      <c r="D13" s="49">
        <f>AVERAGE('01.08 GULU-KARUMA'!D13,'02.08 GULU-KARUMA'!D13,'04.08 GULU-KARUMA'!D13,'06.08 GULU-KARUMA'!D13,'03. 08 GULU-KARUMA-24HRS'!D13,'05.08, GULU-KARUMA-24HRS'!D13,'7.08 GULU-KARUMA'!D13)</f>
        <v>1.7142857142857142</v>
      </c>
      <c r="E13" s="49">
        <f>AVERAGE('01.08 GULU-KARUMA'!E13,'02.08 GULU-KARUMA'!E13,'04.08 GULU-KARUMA'!E13,'06.08 GULU-KARUMA'!E13,'03. 08 GULU-KARUMA-24HRS'!E13,'05.08, GULU-KARUMA-24HRS'!E13,'7.08 GULU-KARUMA'!E13)</f>
        <v>4.1428571428571432</v>
      </c>
      <c r="F13" s="49">
        <f>AVERAGE('01.08 GULU-KARUMA'!F13,'02.08 GULU-KARUMA'!F13,'04.08 GULU-KARUMA'!F13,'06.08 GULU-KARUMA'!F13,'03. 08 GULU-KARUMA-24HRS'!F13,'05.08, GULU-KARUMA-24HRS'!F13,'7.08 GULU-KARUMA'!F13)</f>
        <v>1.8571428571428572</v>
      </c>
      <c r="G13" s="49">
        <f>AVERAGE('01.08 GULU-KARUMA'!G13,'02.08 GULU-KARUMA'!G13,'04.08 GULU-KARUMA'!G13,'06.08 GULU-KARUMA'!G13,'03. 08 GULU-KARUMA-24HRS'!G13,'05.08, GULU-KARUMA-24HRS'!G13,'7.08 GULU-KARUMA'!G13)</f>
        <v>0.2857142857142857</v>
      </c>
      <c r="H13" s="49">
        <f>AVERAGE('01.08 GULU-KARUMA'!H13,'02.08 GULU-KARUMA'!H13,'04.08 GULU-KARUMA'!H13,'06.08 GULU-KARUMA'!H13,'03. 08 GULU-KARUMA-24HRS'!H13,'05.08, GULU-KARUMA-24HRS'!H13,'7.08 GULU-KARUMA'!H13)</f>
        <v>0.42857142857142855</v>
      </c>
      <c r="I13" s="49">
        <f>AVERAGE('01.08 GULU-KARUMA'!I13,'02.08 GULU-KARUMA'!I13,'04.08 GULU-KARUMA'!I13,'06.08 GULU-KARUMA'!I13,'03. 08 GULU-KARUMA-24HRS'!I13,'05.08, GULU-KARUMA-24HRS'!I13,'7.08 GULU-KARUMA'!I13)</f>
        <v>1.4285714285714286</v>
      </c>
      <c r="J13" s="49">
        <f>AVERAGE('01.08 GULU-KARUMA'!J13,'02.08 GULU-KARUMA'!J13,'04.08 GULU-KARUMA'!J13,'06.08 GULU-KARUMA'!J13,'03. 08 GULU-KARUMA-24HRS'!J13,'05.08, GULU-KARUMA-24HRS'!J13,'7.08 GULU-KARUMA'!J13)</f>
        <v>0.42857142857142855</v>
      </c>
      <c r="K13" s="49">
        <f>AVERAGE('01.08 GULU-KARUMA'!K13,'02.08 GULU-KARUMA'!K13,'04.08 GULU-KARUMA'!K13,'06.08 GULU-KARUMA'!K13,'03. 08 GULU-KARUMA-24HRS'!K13,'05.08, GULU-KARUMA-24HRS'!K13,'7.08 GULU-KARUMA'!K13)</f>
        <v>0.14285714285714285</v>
      </c>
      <c r="L13" s="49">
        <f>AVERAGE('01.08 GULU-KARUMA'!L13,'02.08 GULU-KARUMA'!L13,'04.08 GULU-KARUMA'!L13,'06.08 GULU-KARUMA'!L13,'03. 08 GULU-KARUMA-24HRS'!L13,'05.08, GULU-KARUMA-24HRS'!L13,'7.08 GULU-KARUMA'!L13)</f>
        <v>0.14285714285714285</v>
      </c>
      <c r="M13" s="49">
        <f>AVERAGE('01.08 GULU-KARUMA'!M13,'02.08 GULU-KARUMA'!M13,'04.08 GULU-KARUMA'!M13,'06.08 GULU-KARUMA'!M13,'03. 08 GULU-KARUMA-24HRS'!M13,'05.08, GULU-KARUMA-24HRS'!M13,'7.08 GULU-KARUMA'!M13)</f>
        <v>61</v>
      </c>
      <c r="N13" s="49">
        <f>AVERAGE('01.08 GULU-KARUMA'!N13,'02.08 GULU-KARUMA'!N13,'04.08 GULU-KARUMA'!N13,'06.08 GULU-KARUMA'!N13,'03. 08 GULU-KARUMA-24HRS'!N13,'05.08, GULU-KARUMA-24HRS'!N13,'7.08 GULU-KARUMA'!N13)</f>
        <v>0.14285714285714285</v>
      </c>
      <c r="O13" s="15">
        <f t="shared" si="0"/>
        <v>13.571428571428573</v>
      </c>
      <c r="P13" s="15">
        <f t="shared" si="1"/>
        <v>74.571428571428569</v>
      </c>
      <c r="R13" s="1" t="s">
        <v>9</v>
      </c>
      <c r="S13" s="17">
        <f t="shared" ref="S13:AF13" si="5">SUM(C22:C25)</f>
        <v>20</v>
      </c>
      <c r="T13" s="17">
        <f t="shared" si="5"/>
        <v>7.7142857142857135</v>
      </c>
      <c r="U13" s="17">
        <f t="shared" si="5"/>
        <v>18.5</v>
      </c>
      <c r="V13" s="17">
        <f t="shared" si="5"/>
        <v>5.4285714285714288</v>
      </c>
      <c r="W13" s="17">
        <f t="shared" si="5"/>
        <v>0.5714285714285714</v>
      </c>
      <c r="X13" s="17">
        <f t="shared" si="5"/>
        <v>2.4285714285714288</v>
      </c>
      <c r="Y13" s="17">
        <f t="shared" si="5"/>
        <v>10.428571428571429</v>
      </c>
      <c r="Z13" s="17">
        <f t="shared" si="5"/>
        <v>3.7142857142857144</v>
      </c>
      <c r="AA13" s="17">
        <f t="shared" si="5"/>
        <v>1.2857142857142856</v>
      </c>
      <c r="AB13" s="17">
        <f t="shared" si="5"/>
        <v>8.8571428571428577</v>
      </c>
      <c r="AC13" s="17">
        <f t="shared" si="5"/>
        <v>200.14285714285717</v>
      </c>
      <c r="AD13" s="17">
        <f t="shared" si="5"/>
        <v>0.2857142857142857</v>
      </c>
      <c r="AE13" s="31">
        <f t="shared" si="5"/>
        <v>79.214285714285722</v>
      </c>
      <c r="AF13" s="31">
        <f t="shared" si="5"/>
        <v>279.35714285714289</v>
      </c>
    </row>
    <row r="14" spans="2:32" ht="23.1" customHeight="1" x14ac:dyDescent="0.25">
      <c r="B14" s="23" t="s">
        <v>41</v>
      </c>
      <c r="C14" s="49">
        <f>AVERAGE('01.08 GULU-KARUMA'!C14,'02.08 GULU-KARUMA'!C14,'04.08 GULU-KARUMA'!C14,'06.08 GULU-KARUMA'!C14,'03. 08 GULU-KARUMA-24HRS'!C14,'05.08, GULU-KARUMA-24HRS'!C14,'7.08 GULU-KARUMA'!C14)</f>
        <v>3.1428571428571428</v>
      </c>
      <c r="D14" s="49">
        <f>AVERAGE('01.08 GULU-KARUMA'!D14,'02.08 GULU-KARUMA'!D14,'04.08 GULU-KARUMA'!D14,'06.08 GULU-KARUMA'!D14,'03. 08 GULU-KARUMA-24HRS'!D14,'05.08, GULU-KARUMA-24HRS'!D14,'7.08 GULU-KARUMA'!D14)</f>
        <v>2.5714285714285716</v>
      </c>
      <c r="E14" s="49">
        <f>AVERAGE('01.08 GULU-KARUMA'!E14,'02.08 GULU-KARUMA'!E14,'04.08 GULU-KARUMA'!E14,'06.08 GULU-KARUMA'!E14,'03. 08 GULU-KARUMA-24HRS'!E14,'05.08, GULU-KARUMA-24HRS'!E14,'7.08 GULU-KARUMA'!E14)</f>
        <v>5.1428571428571432</v>
      </c>
      <c r="F14" s="49">
        <f>AVERAGE('01.08 GULU-KARUMA'!F14,'02.08 GULU-KARUMA'!F14,'04.08 GULU-KARUMA'!F14,'06.08 GULU-KARUMA'!F14,'03. 08 GULU-KARUMA-24HRS'!F14,'05.08, GULU-KARUMA-24HRS'!F14,'7.08 GULU-KARUMA'!F14)</f>
        <v>0.2857142857142857</v>
      </c>
      <c r="G14" s="49">
        <f>AVERAGE('01.08 GULU-KARUMA'!G14,'02.08 GULU-KARUMA'!G14,'04.08 GULU-KARUMA'!G14,'06.08 GULU-KARUMA'!G14,'03. 08 GULU-KARUMA-24HRS'!G14,'05.08, GULU-KARUMA-24HRS'!G14,'7.08 GULU-KARUMA'!G14)</f>
        <v>0.14285714285714285</v>
      </c>
      <c r="H14" s="49">
        <f>AVERAGE('01.08 GULU-KARUMA'!H14,'02.08 GULU-KARUMA'!H14,'04.08 GULU-KARUMA'!H14,'06.08 GULU-KARUMA'!H14,'03. 08 GULU-KARUMA-24HRS'!H14,'05.08, GULU-KARUMA-24HRS'!H14,'7.08 GULU-KARUMA'!H14)</f>
        <v>0.2857142857142857</v>
      </c>
      <c r="I14" s="49">
        <f>AVERAGE('01.08 GULU-KARUMA'!I14,'02.08 GULU-KARUMA'!I14,'04.08 GULU-KARUMA'!I14,'06.08 GULU-KARUMA'!I14,'03. 08 GULU-KARUMA-24HRS'!I14,'05.08, GULU-KARUMA-24HRS'!I14,'7.08 GULU-KARUMA'!I14)</f>
        <v>1.4285714285714286</v>
      </c>
      <c r="J14" s="49">
        <f>AVERAGE('01.08 GULU-KARUMA'!J14,'02.08 GULU-KARUMA'!J14,'04.08 GULU-KARUMA'!J14,'06.08 GULU-KARUMA'!J14,'03. 08 GULU-KARUMA-24HRS'!J14,'05.08, GULU-KARUMA-24HRS'!J14,'7.08 GULU-KARUMA'!J14)</f>
        <v>0.2857142857142857</v>
      </c>
      <c r="K14" s="49">
        <f>AVERAGE('01.08 GULU-KARUMA'!K14,'02.08 GULU-KARUMA'!K14,'04.08 GULU-KARUMA'!K14,'06.08 GULU-KARUMA'!K14,'03. 08 GULU-KARUMA-24HRS'!K14,'05.08, GULU-KARUMA-24HRS'!K14,'7.08 GULU-KARUMA'!K14)</f>
        <v>0</v>
      </c>
      <c r="L14" s="49">
        <f>AVERAGE('01.08 GULU-KARUMA'!L14,'02.08 GULU-KARUMA'!L14,'04.08 GULU-KARUMA'!L14,'06.08 GULU-KARUMA'!L14,'03. 08 GULU-KARUMA-24HRS'!L14,'05.08, GULU-KARUMA-24HRS'!L14,'7.08 GULU-KARUMA'!L14)</f>
        <v>0.2857142857142857</v>
      </c>
      <c r="M14" s="49">
        <f>AVERAGE('01.08 GULU-KARUMA'!M14,'02.08 GULU-KARUMA'!M14,'04.08 GULU-KARUMA'!M14,'06.08 GULU-KARUMA'!M14,'03. 08 GULU-KARUMA-24HRS'!M14,'05.08, GULU-KARUMA-24HRS'!M14,'7.08 GULU-KARUMA'!M14)</f>
        <v>51.428571428571431</v>
      </c>
      <c r="N14" s="49">
        <f>AVERAGE('01.08 GULU-KARUMA'!N14,'02.08 GULU-KARUMA'!N14,'04.08 GULU-KARUMA'!N14,'06.08 GULU-KARUMA'!N14,'03. 08 GULU-KARUMA-24HRS'!N14,'05.08, GULU-KARUMA-24HRS'!N14,'7.08 GULU-KARUMA'!N14)</f>
        <v>0.14285714285714285</v>
      </c>
      <c r="O14" s="15">
        <f t="shared" si="0"/>
        <v>13.714285714285717</v>
      </c>
      <c r="P14" s="15">
        <f t="shared" si="1"/>
        <v>65.142857142857139</v>
      </c>
      <c r="R14" s="1" t="s">
        <v>10</v>
      </c>
      <c r="S14" s="17">
        <f t="shared" ref="S14:AF14" si="6">SUM(C26:C29)</f>
        <v>20.571428571428573</v>
      </c>
      <c r="T14" s="17">
        <f t="shared" si="6"/>
        <v>11</v>
      </c>
      <c r="U14" s="17">
        <f t="shared" si="6"/>
        <v>24.857142857142854</v>
      </c>
      <c r="V14" s="17">
        <f t="shared" si="6"/>
        <v>5.4285714285714288</v>
      </c>
      <c r="W14" s="17">
        <f t="shared" si="6"/>
        <v>0.14285714285714285</v>
      </c>
      <c r="X14" s="17">
        <f t="shared" si="6"/>
        <v>2.1428571428571428</v>
      </c>
      <c r="Y14" s="17">
        <f t="shared" si="6"/>
        <v>11.857142857142858</v>
      </c>
      <c r="Z14" s="17">
        <f t="shared" si="6"/>
        <v>4.1428571428571423</v>
      </c>
      <c r="AA14" s="17">
        <f t="shared" si="6"/>
        <v>0.2857142857142857</v>
      </c>
      <c r="AB14" s="17">
        <f t="shared" si="6"/>
        <v>12.428571428571427</v>
      </c>
      <c r="AC14" s="17">
        <f t="shared" si="6"/>
        <v>187.85714285714286</v>
      </c>
      <c r="AD14" s="17">
        <f t="shared" si="6"/>
        <v>0</v>
      </c>
      <c r="AE14" s="31">
        <f t="shared" si="6"/>
        <v>92.857142857142861</v>
      </c>
      <c r="AF14" s="31">
        <f t="shared" si="6"/>
        <v>280.71428571428567</v>
      </c>
    </row>
    <row r="15" spans="2:32" ht="23.1" customHeight="1" x14ac:dyDescent="0.25">
      <c r="B15" s="23" t="s">
        <v>42</v>
      </c>
      <c r="C15" s="49">
        <f>AVERAGE('01.08 GULU-KARUMA'!C15,'02.08 GULU-KARUMA'!C15,'04.08 GULU-KARUMA'!C15,'06.08 GULU-KARUMA'!C15,'03. 08 GULU-KARUMA-24HRS'!C15,'05.08, GULU-KARUMA-24HRS'!C15,'7.08 GULU-KARUMA'!C15)</f>
        <v>3.4285714285714284</v>
      </c>
      <c r="D15" s="49">
        <f>AVERAGE('01.08 GULU-KARUMA'!D15,'02.08 GULU-KARUMA'!D15,'04.08 GULU-KARUMA'!D15,'06.08 GULU-KARUMA'!D15,'03. 08 GULU-KARUMA-24HRS'!D15,'05.08, GULU-KARUMA-24HRS'!D15,'7.08 GULU-KARUMA'!D15)</f>
        <v>1.7142857142857142</v>
      </c>
      <c r="E15" s="49">
        <f>AVERAGE('01.08 GULU-KARUMA'!E15,'02.08 GULU-KARUMA'!E15,'04.08 GULU-KARUMA'!E15,'06.08 GULU-KARUMA'!E15,'03. 08 GULU-KARUMA-24HRS'!E15,'05.08, GULU-KARUMA-24HRS'!E15,'7.08 GULU-KARUMA'!E15)</f>
        <v>4.1428571428571432</v>
      </c>
      <c r="F15" s="49">
        <f>AVERAGE('01.08 GULU-KARUMA'!F15,'02.08 GULU-KARUMA'!F15,'04.08 GULU-KARUMA'!F15,'06.08 GULU-KARUMA'!F15,'03. 08 GULU-KARUMA-24HRS'!F15,'05.08, GULU-KARUMA-24HRS'!F15,'7.08 GULU-KARUMA'!F15)</f>
        <v>1.1428571428571428</v>
      </c>
      <c r="G15" s="49">
        <f>AVERAGE('01.08 GULU-KARUMA'!G15,'02.08 GULU-KARUMA'!G15,'04.08 GULU-KARUMA'!G15,'06.08 GULU-KARUMA'!G15,'03. 08 GULU-KARUMA-24HRS'!G15,'05.08, GULU-KARUMA-24HRS'!G15,'7.08 GULU-KARUMA'!G15)</f>
        <v>0.14285714285714285</v>
      </c>
      <c r="H15" s="49">
        <f>AVERAGE('01.08 GULU-KARUMA'!H15,'02.08 GULU-KARUMA'!H15,'04.08 GULU-KARUMA'!H15,'06.08 GULU-KARUMA'!H15,'03. 08 GULU-KARUMA-24HRS'!H15,'05.08, GULU-KARUMA-24HRS'!H15,'7.08 GULU-KARUMA'!H15)</f>
        <v>0.5714285714285714</v>
      </c>
      <c r="I15" s="49">
        <f>AVERAGE('01.08 GULU-KARUMA'!I15,'02.08 GULU-KARUMA'!I15,'04.08 GULU-KARUMA'!I15,'06.08 GULU-KARUMA'!I15,'03. 08 GULU-KARUMA-24HRS'!I15,'05.08, GULU-KARUMA-24HRS'!I15,'7.08 GULU-KARUMA'!I15)</f>
        <v>2.4285714285714284</v>
      </c>
      <c r="J15" s="49">
        <f>AVERAGE('01.08 GULU-KARUMA'!J15,'02.08 GULU-KARUMA'!J15,'04.08 GULU-KARUMA'!J15,'06.08 GULU-KARUMA'!J15,'03. 08 GULU-KARUMA-24HRS'!J15,'05.08, GULU-KARUMA-24HRS'!J15,'7.08 GULU-KARUMA'!J15)</f>
        <v>1.1428571428571428</v>
      </c>
      <c r="K15" s="49">
        <f>AVERAGE('01.08 GULU-KARUMA'!K15,'02.08 GULU-KARUMA'!K15,'04.08 GULU-KARUMA'!K15,'06.08 GULU-KARUMA'!K15,'03. 08 GULU-KARUMA-24HRS'!K15,'05.08, GULU-KARUMA-24HRS'!K15,'7.08 GULU-KARUMA'!K15)</f>
        <v>0</v>
      </c>
      <c r="L15" s="49">
        <f>AVERAGE('01.08 GULU-KARUMA'!L15,'02.08 GULU-KARUMA'!L15,'04.08 GULU-KARUMA'!L15,'06.08 GULU-KARUMA'!L15,'03. 08 GULU-KARUMA-24HRS'!L15,'05.08, GULU-KARUMA-24HRS'!L15,'7.08 GULU-KARUMA'!L15)</f>
        <v>0</v>
      </c>
      <c r="M15" s="49">
        <f>AVERAGE('01.08 GULU-KARUMA'!M15,'02.08 GULU-KARUMA'!M15,'04.08 GULU-KARUMA'!M15,'06.08 GULU-KARUMA'!M15,'03. 08 GULU-KARUMA-24HRS'!M15,'05.08, GULU-KARUMA-24HRS'!M15,'7.08 GULU-KARUMA'!M15)</f>
        <v>61.571428571428569</v>
      </c>
      <c r="N15" s="49">
        <f>AVERAGE('01.08 GULU-KARUMA'!N15,'02.08 GULU-KARUMA'!N15,'04.08 GULU-KARUMA'!N15,'06.08 GULU-KARUMA'!N15,'03. 08 GULU-KARUMA-24HRS'!N15,'05.08, GULU-KARUMA-24HRS'!N15,'7.08 GULU-KARUMA'!N15)</f>
        <v>0.14285714285714285</v>
      </c>
      <c r="O15" s="15">
        <f t="shared" si="0"/>
        <v>14.857142857142854</v>
      </c>
      <c r="P15" s="15">
        <f t="shared" si="1"/>
        <v>76.428571428571416</v>
      </c>
      <c r="R15" s="1" t="s">
        <v>11</v>
      </c>
      <c r="S15" s="17">
        <f t="shared" ref="S15:AF15" si="7">SUM(C30:C33)</f>
        <v>20.857142857142854</v>
      </c>
      <c r="T15" s="17">
        <f t="shared" si="7"/>
        <v>9.4285714285714288</v>
      </c>
      <c r="U15" s="17">
        <f t="shared" si="7"/>
        <v>20.571428571428573</v>
      </c>
      <c r="V15" s="17">
        <f t="shared" si="7"/>
        <v>3.714285714285714</v>
      </c>
      <c r="W15" s="17">
        <f t="shared" si="7"/>
        <v>0.14285714285714285</v>
      </c>
      <c r="X15" s="17">
        <f t="shared" si="7"/>
        <v>1.5714285714285712</v>
      </c>
      <c r="Y15" s="17">
        <f t="shared" si="7"/>
        <v>10.285714285714285</v>
      </c>
      <c r="Z15" s="17">
        <f t="shared" si="7"/>
        <v>3.4285714285714284</v>
      </c>
      <c r="AA15" s="17">
        <f t="shared" si="7"/>
        <v>0.5714285714285714</v>
      </c>
      <c r="AB15" s="17">
        <f t="shared" si="7"/>
        <v>17</v>
      </c>
      <c r="AC15" s="17">
        <f t="shared" si="7"/>
        <v>189</v>
      </c>
      <c r="AD15" s="17">
        <f t="shared" si="7"/>
        <v>0.2857142857142857</v>
      </c>
      <c r="AE15" s="31">
        <f t="shared" si="7"/>
        <v>87.857142857142861</v>
      </c>
      <c r="AF15" s="31">
        <f t="shared" si="7"/>
        <v>276.85714285714283</v>
      </c>
    </row>
    <row r="16" spans="2:32" ht="23.1" customHeight="1" x14ac:dyDescent="0.25">
      <c r="B16" s="23" t="s">
        <v>43</v>
      </c>
      <c r="C16" s="49">
        <f>AVERAGE('01.08 GULU-KARUMA'!C16,'02.08 GULU-KARUMA'!C16,'04.08 GULU-KARUMA'!C16,'06.08 GULU-KARUMA'!C16,'03. 08 GULU-KARUMA-24HRS'!C16,'05.08, GULU-KARUMA-24HRS'!C16,'7.08 GULU-KARUMA'!C16)</f>
        <v>3.4285714285714284</v>
      </c>
      <c r="D16" s="49">
        <f>AVERAGE('01.08 GULU-KARUMA'!D16,'02.08 GULU-KARUMA'!D16,'04.08 GULU-KARUMA'!D16,'06.08 GULU-KARUMA'!D16,'03. 08 GULU-KARUMA-24HRS'!D16,'05.08, GULU-KARUMA-24HRS'!D16,'7.08 GULU-KARUMA'!D16)</f>
        <v>2</v>
      </c>
      <c r="E16" s="49">
        <f>AVERAGE('01.08 GULU-KARUMA'!E16,'02.08 GULU-KARUMA'!E16,'04.08 GULU-KARUMA'!E16,'06.08 GULU-KARUMA'!E16,'03. 08 GULU-KARUMA-24HRS'!E16,'05.08, GULU-KARUMA-24HRS'!E16,'7.08 GULU-KARUMA'!E16)</f>
        <v>4.6428571428571432</v>
      </c>
      <c r="F16" s="49">
        <f>AVERAGE('01.08 GULU-KARUMA'!F16,'02.08 GULU-KARUMA'!F16,'04.08 GULU-KARUMA'!F16,'06.08 GULU-KARUMA'!F16,'03. 08 GULU-KARUMA-24HRS'!F16,'05.08, GULU-KARUMA-24HRS'!F16,'7.08 GULU-KARUMA'!F16)</f>
        <v>2</v>
      </c>
      <c r="G16" s="49">
        <f>AVERAGE('01.08 GULU-KARUMA'!G16,'02.08 GULU-KARUMA'!G16,'04.08 GULU-KARUMA'!G16,'06.08 GULU-KARUMA'!G16,'03. 08 GULU-KARUMA-24HRS'!G16,'05.08, GULU-KARUMA-24HRS'!G16,'7.08 GULU-KARUMA'!G16)</f>
        <v>0.2857142857142857</v>
      </c>
      <c r="H16" s="49">
        <f>AVERAGE('01.08 GULU-KARUMA'!H16,'02.08 GULU-KARUMA'!H16,'04.08 GULU-KARUMA'!H16,'06.08 GULU-KARUMA'!H16,'03. 08 GULU-KARUMA-24HRS'!H16,'05.08, GULU-KARUMA-24HRS'!H16,'7.08 GULU-KARUMA'!H16)</f>
        <v>1</v>
      </c>
      <c r="I16" s="49">
        <f>AVERAGE('01.08 GULU-KARUMA'!I16,'02.08 GULU-KARUMA'!I16,'04.08 GULU-KARUMA'!I16,'06.08 GULU-KARUMA'!I16,'03. 08 GULU-KARUMA-24HRS'!I16,'05.08, GULU-KARUMA-24HRS'!I16,'7.08 GULU-KARUMA'!I16)</f>
        <v>2.7142857142857144</v>
      </c>
      <c r="J16" s="49">
        <f>AVERAGE('01.08 GULU-KARUMA'!J16,'02.08 GULU-KARUMA'!J16,'04.08 GULU-KARUMA'!J16,'06.08 GULU-KARUMA'!J16,'03. 08 GULU-KARUMA-24HRS'!J16,'05.08, GULU-KARUMA-24HRS'!J16,'7.08 GULU-KARUMA'!J16)</f>
        <v>0.5714285714285714</v>
      </c>
      <c r="K16" s="49">
        <f>AVERAGE('01.08 GULU-KARUMA'!K16,'02.08 GULU-KARUMA'!K16,'04.08 GULU-KARUMA'!K16,'06.08 GULU-KARUMA'!K16,'03. 08 GULU-KARUMA-24HRS'!K16,'05.08, GULU-KARUMA-24HRS'!K16,'7.08 GULU-KARUMA'!K16)</f>
        <v>0.14285714285714285</v>
      </c>
      <c r="L16" s="49">
        <f>AVERAGE('01.08 GULU-KARUMA'!L16,'02.08 GULU-KARUMA'!L16,'04.08 GULU-KARUMA'!L16,'06.08 GULU-KARUMA'!L16,'03. 08 GULU-KARUMA-24HRS'!L16,'05.08, GULU-KARUMA-24HRS'!L16,'7.08 GULU-KARUMA'!L16)</f>
        <v>1.1428571428571428</v>
      </c>
      <c r="M16" s="49">
        <f>AVERAGE('01.08 GULU-KARUMA'!M16,'02.08 GULU-KARUMA'!M16,'04.08 GULU-KARUMA'!M16,'06.08 GULU-KARUMA'!M16,'03. 08 GULU-KARUMA-24HRS'!M16,'05.08, GULU-KARUMA-24HRS'!M16,'7.08 GULU-KARUMA'!M16)</f>
        <v>53.428571428571431</v>
      </c>
      <c r="N16" s="49">
        <f>AVERAGE('01.08 GULU-KARUMA'!N16,'02.08 GULU-KARUMA'!N16,'04.08 GULU-KARUMA'!N16,'06.08 GULU-KARUMA'!N16,'03. 08 GULU-KARUMA-24HRS'!N16,'05.08, GULU-KARUMA-24HRS'!N16,'7.08 GULU-KARUMA'!N16)</f>
        <v>0</v>
      </c>
      <c r="O16" s="15">
        <f t="shared" si="0"/>
        <v>17.928571428571431</v>
      </c>
      <c r="P16" s="15">
        <f t="shared" si="1"/>
        <v>71.357142857142861</v>
      </c>
      <c r="R16" s="1" t="s">
        <v>12</v>
      </c>
      <c r="S16" s="17">
        <f t="shared" ref="S16:AF16" si="8">SUM(C34:C37)</f>
        <v>18.714285714285715</v>
      </c>
      <c r="T16" s="17">
        <f t="shared" si="8"/>
        <v>9.5714285714285712</v>
      </c>
      <c r="U16" s="17">
        <f t="shared" si="8"/>
        <v>21.857142857142858</v>
      </c>
      <c r="V16" s="17">
        <f t="shared" si="8"/>
        <v>4.7142857142857135</v>
      </c>
      <c r="W16" s="17">
        <f t="shared" si="8"/>
        <v>0.14285714285714285</v>
      </c>
      <c r="X16" s="17">
        <f t="shared" si="8"/>
        <v>1.5714285714285712</v>
      </c>
      <c r="Y16" s="17">
        <f t="shared" si="8"/>
        <v>9.4285714285714288</v>
      </c>
      <c r="Z16" s="17">
        <f t="shared" si="8"/>
        <v>3.7142857142857144</v>
      </c>
      <c r="AA16" s="17">
        <f t="shared" si="8"/>
        <v>0.2857142857142857</v>
      </c>
      <c r="AB16" s="17">
        <f t="shared" si="8"/>
        <v>11.714285714285714</v>
      </c>
      <c r="AC16" s="17">
        <f t="shared" si="8"/>
        <v>173.71428571428572</v>
      </c>
      <c r="AD16" s="17">
        <f t="shared" si="8"/>
        <v>0</v>
      </c>
      <c r="AE16" s="31">
        <f t="shared" si="8"/>
        <v>81.714285714285722</v>
      </c>
      <c r="AF16" s="31">
        <f t="shared" si="8"/>
        <v>255.42857142857142</v>
      </c>
    </row>
    <row r="17" spans="2:32" ht="23.1" customHeight="1" x14ac:dyDescent="0.25">
      <c r="B17" s="23" t="s">
        <v>44</v>
      </c>
      <c r="C17" s="49">
        <f>AVERAGE('01.08 GULU-KARUMA'!C17,'02.08 GULU-KARUMA'!C17,'04.08 GULU-KARUMA'!C17,'06.08 GULU-KARUMA'!C17,'03. 08 GULU-KARUMA-24HRS'!C17,'05.08, GULU-KARUMA-24HRS'!C17,'7.08 GULU-KARUMA'!C17)</f>
        <v>4.4285714285714288</v>
      </c>
      <c r="D17" s="49">
        <f>AVERAGE('01.08 GULU-KARUMA'!D17,'02.08 GULU-KARUMA'!D17,'04.08 GULU-KARUMA'!D17,'06.08 GULU-KARUMA'!D17,'03. 08 GULU-KARUMA-24HRS'!D17,'05.08, GULU-KARUMA-24HRS'!D17,'7.08 GULU-KARUMA'!D17)</f>
        <v>2.4285714285714284</v>
      </c>
      <c r="E17" s="49">
        <f>AVERAGE('01.08 GULU-KARUMA'!E17,'02.08 GULU-KARUMA'!E17,'04.08 GULU-KARUMA'!E17,'06.08 GULU-KARUMA'!E17,'03. 08 GULU-KARUMA-24HRS'!E17,'05.08, GULU-KARUMA-24HRS'!E17,'7.08 GULU-KARUMA'!E17)</f>
        <v>5.2857142857142856</v>
      </c>
      <c r="F17" s="49">
        <f>AVERAGE('01.08 GULU-KARUMA'!F17,'02.08 GULU-KARUMA'!F17,'04.08 GULU-KARUMA'!F17,'06.08 GULU-KARUMA'!F17,'03. 08 GULU-KARUMA-24HRS'!F17,'05.08, GULU-KARUMA-24HRS'!F17,'7.08 GULU-KARUMA'!F17)</f>
        <v>1.2857142857142858</v>
      </c>
      <c r="G17" s="49">
        <f>AVERAGE('01.08 GULU-KARUMA'!G17,'02.08 GULU-KARUMA'!G17,'04.08 GULU-KARUMA'!G17,'06.08 GULU-KARUMA'!G17,'03. 08 GULU-KARUMA-24HRS'!G17,'05.08, GULU-KARUMA-24HRS'!G17,'7.08 GULU-KARUMA'!G17)</f>
        <v>0.14285714285714285</v>
      </c>
      <c r="H17" s="49">
        <f>AVERAGE('01.08 GULU-KARUMA'!H17,'02.08 GULU-KARUMA'!H17,'04.08 GULU-KARUMA'!H17,'06.08 GULU-KARUMA'!H17,'03. 08 GULU-KARUMA-24HRS'!H17,'05.08, GULU-KARUMA-24HRS'!H17,'7.08 GULU-KARUMA'!H17)</f>
        <v>0.42857142857142855</v>
      </c>
      <c r="I17" s="49">
        <f>AVERAGE('01.08 GULU-KARUMA'!I17,'02.08 GULU-KARUMA'!I17,'04.08 GULU-KARUMA'!I17,'06.08 GULU-KARUMA'!I17,'03. 08 GULU-KARUMA-24HRS'!I17,'05.08, GULU-KARUMA-24HRS'!I17,'7.08 GULU-KARUMA'!I17)</f>
        <v>1.5714285714285714</v>
      </c>
      <c r="J17" s="49">
        <f>AVERAGE('01.08 GULU-KARUMA'!J17,'02.08 GULU-KARUMA'!J17,'04.08 GULU-KARUMA'!J17,'06.08 GULU-KARUMA'!J17,'03. 08 GULU-KARUMA-24HRS'!J17,'05.08, GULU-KARUMA-24HRS'!J17,'7.08 GULU-KARUMA'!J17)</f>
        <v>1</v>
      </c>
      <c r="K17" s="49">
        <f>AVERAGE('01.08 GULU-KARUMA'!K17,'02.08 GULU-KARUMA'!K17,'04.08 GULU-KARUMA'!K17,'06.08 GULU-KARUMA'!K17,'03. 08 GULU-KARUMA-24HRS'!K17,'05.08, GULU-KARUMA-24HRS'!K17,'7.08 GULU-KARUMA'!K17)</f>
        <v>0</v>
      </c>
      <c r="L17" s="49">
        <f>AVERAGE('01.08 GULU-KARUMA'!L17,'02.08 GULU-KARUMA'!L17,'04.08 GULU-KARUMA'!L17,'06.08 GULU-KARUMA'!L17,'03. 08 GULU-KARUMA-24HRS'!L17,'05.08, GULU-KARUMA-24HRS'!L17,'7.08 GULU-KARUMA'!L17)</f>
        <v>0.42857142857142855</v>
      </c>
      <c r="M17" s="49">
        <f>AVERAGE('01.08 GULU-KARUMA'!M17,'02.08 GULU-KARUMA'!M17,'04.08 GULU-KARUMA'!M17,'06.08 GULU-KARUMA'!M17,'03. 08 GULU-KARUMA-24HRS'!M17,'05.08, GULU-KARUMA-24HRS'!M17,'7.08 GULU-KARUMA'!M17)</f>
        <v>50.857142857142854</v>
      </c>
      <c r="N17" s="49">
        <f>AVERAGE('01.08 GULU-KARUMA'!N17,'02.08 GULU-KARUMA'!N17,'04.08 GULU-KARUMA'!N17,'06.08 GULU-KARUMA'!N17,'03. 08 GULU-KARUMA-24HRS'!N17,'05.08, GULU-KARUMA-24HRS'!N17,'7.08 GULU-KARUMA'!N17)</f>
        <v>0</v>
      </c>
      <c r="O17" s="15">
        <f t="shared" si="0"/>
        <v>16.999999999999996</v>
      </c>
      <c r="P17" s="15">
        <f t="shared" si="1"/>
        <v>67.857142857142847</v>
      </c>
      <c r="R17" s="1" t="s">
        <v>13</v>
      </c>
      <c r="S17" s="17">
        <f t="shared" ref="S17:AF17" si="9">SUM(C38:C41)</f>
        <v>14.571428571428569</v>
      </c>
      <c r="T17" s="17">
        <f t="shared" si="9"/>
        <v>9.1428571428571423</v>
      </c>
      <c r="U17" s="17">
        <f t="shared" si="9"/>
        <v>20.428571428571431</v>
      </c>
      <c r="V17" s="17">
        <f t="shared" si="9"/>
        <v>5.1428571428571423</v>
      </c>
      <c r="W17" s="17">
        <f t="shared" si="9"/>
        <v>0.5714285714285714</v>
      </c>
      <c r="X17" s="17">
        <f t="shared" si="9"/>
        <v>2.8571428571428572</v>
      </c>
      <c r="Y17" s="17">
        <f t="shared" si="9"/>
        <v>10.857142857142858</v>
      </c>
      <c r="Z17" s="17">
        <f t="shared" si="9"/>
        <v>3.4285714285714284</v>
      </c>
      <c r="AA17" s="17">
        <f t="shared" si="9"/>
        <v>0.5714285714285714</v>
      </c>
      <c r="AB17" s="17">
        <f t="shared" si="9"/>
        <v>8.2857142857142865</v>
      </c>
      <c r="AC17" s="17">
        <f t="shared" si="9"/>
        <v>168.57142857142856</v>
      </c>
      <c r="AD17" s="17">
        <f t="shared" si="9"/>
        <v>0</v>
      </c>
      <c r="AE17" s="31">
        <f t="shared" si="9"/>
        <v>75.857142857142861</v>
      </c>
      <c r="AF17" s="31">
        <f t="shared" si="9"/>
        <v>244.42857142857139</v>
      </c>
    </row>
    <row r="18" spans="2:32" ht="23.1" customHeight="1" x14ac:dyDescent="0.25">
      <c r="B18" s="23" t="s">
        <v>45</v>
      </c>
      <c r="C18" s="49">
        <f>AVERAGE('01.08 GULU-KARUMA'!C18,'02.08 GULU-KARUMA'!C18,'04.08 GULU-KARUMA'!C18,'06.08 GULU-KARUMA'!C18,'03. 08 GULU-KARUMA-24HRS'!C18,'05.08, GULU-KARUMA-24HRS'!C18,'7.08 GULU-KARUMA'!C18)</f>
        <v>4.5714285714285712</v>
      </c>
      <c r="D18" s="49">
        <f>AVERAGE('01.08 GULU-KARUMA'!D18,'02.08 GULU-KARUMA'!D18,'04.08 GULU-KARUMA'!D18,'06.08 GULU-KARUMA'!D18,'03. 08 GULU-KARUMA-24HRS'!D18,'05.08, GULU-KARUMA-24HRS'!D18,'7.08 GULU-KARUMA'!D18)</f>
        <v>2</v>
      </c>
      <c r="E18" s="49">
        <f>AVERAGE('01.08 GULU-KARUMA'!E18,'02.08 GULU-KARUMA'!E18,'04.08 GULU-KARUMA'!E18,'06.08 GULU-KARUMA'!E18,'03. 08 GULU-KARUMA-24HRS'!E18,'05.08, GULU-KARUMA-24HRS'!E18,'7.08 GULU-KARUMA'!E18)</f>
        <v>4.7857142857142856</v>
      </c>
      <c r="F18" s="49">
        <f>AVERAGE('01.08 GULU-KARUMA'!F18,'02.08 GULU-KARUMA'!F18,'04.08 GULU-KARUMA'!F18,'06.08 GULU-KARUMA'!F18,'03. 08 GULU-KARUMA-24HRS'!F18,'05.08, GULU-KARUMA-24HRS'!F18,'7.08 GULU-KARUMA'!F18)</f>
        <v>1.4285714285714286</v>
      </c>
      <c r="G18" s="49">
        <f>AVERAGE('01.08 GULU-KARUMA'!G18,'02.08 GULU-KARUMA'!G18,'04.08 GULU-KARUMA'!G18,'06.08 GULU-KARUMA'!G18,'03. 08 GULU-KARUMA-24HRS'!G18,'05.08, GULU-KARUMA-24HRS'!G18,'7.08 GULU-KARUMA'!G18)</f>
        <v>0.2857142857142857</v>
      </c>
      <c r="H18" s="49">
        <f>AVERAGE('01.08 GULU-KARUMA'!H18,'02.08 GULU-KARUMA'!H18,'04.08 GULU-KARUMA'!H18,'06.08 GULU-KARUMA'!H18,'03. 08 GULU-KARUMA-24HRS'!H18,'05.08, GULU-KARUMA-24HRS'!H18,'7.08 GULU-KARUMA'!H18)</f>
        <v>0.14285714285714285</v>
      </c>
      <c r="I18" s="49">
        <f>AVERAGE('01.08 GULU-KARUMA'!I18,'02.08 GULU-KARUMA'!I18,'04.08 GULU-KARUMA'!I18,'06.08 GULU-KARUMA'!I18,'03. 08 GULU-KARUMA-24HRS'!I18,'05.08, GULU-KARUMA-24HRS'!I18,'7.08 GULU-KARUMA'!I18)</f>
        <v>2.1428571428571428</v>
      </c>
      <c r="J18" s="49">
        <f>AVERAGE('01.08 GULU-KARUMA'!J18,'02.08 GULU-KARUMA'!J18,'04.08 GULU-KARUMA'!J18,'06.08 GULU-KARUMA'!J18,'03. 08 GULU-KARUMA-24HRS'!J18,'05.08, GULU-KARUMA-24HRS'!J18,'7.08 GULU-KARUMA'!J18)</f>
        <v>0.2857142857142857</v>
      </c>
      <c r="K18" s="49">
        <f>AVERAGE('01.08 GULU-KARUMA'!K18,'02.08 GULU-KARUMA'!K18,'04.08 GULU-KARUMA'!K18,'06.08 GULU-KARUMA'!K18,'03. 08 GULU-KARUMA-24HRS'!K18,'05.08, GULU-KARUMA-24HRS'!K18,'7.08 GULU-KARUMA'!K18)</f>
        <v>0</v>
      </c>
      <c r="L18" s="49">
        <f>AVERAGE('01.08 GULU-KARUMA'!L18,'02.08 GULU-KARUMA'!L18,'04.08 GULU-KARUMA'!L18,'06.08 GULU-KARUMA'!L18,'03. 08 GULU-KARUMA-24HRS'!L18,'05.08, GULU-KARUMA-24HRS'!L18,'7.08 GULU-KARUMA'!L18)</f>
        <v>0.8571428571428571</v>
      </c>
      <c r="M18" s="49">
        <f>AVERAGE('01.08 GULU-KARUMA'!M18,'02.08 GULU-KARUMA'!M18,'04.08 GULU-KARUMA'!M18,'06.08 GULU-KARUMA'!M18,'03. 08 GULU-KARUMA-24HRS'!M18,'05.08, GULU-KARUMA-24HRS'!M18,'7.08 GULU-KARUMA'!M18)</f>
        <v>51.428571428571431</v>
      </c>
      <c r="N18" s="49">
        <f>AVERAGE('01.08 GULU-KARUMA'!N18,'02.08 GULU-KARUMA'!N18,'04.08 GULU-KARUMA'!N18,'06.08 GULU-KARUMA'!N18,'03. 08 GULU-KARUMA-24HRS'!N18,'05.08, GULU-KARUMA-24HRS'!N18,'7.08 GULU-KARUMA'!N18)</f>
        <v>0</v>
      </c>
      <c r="O18" s="15">
        <f t="shared" si="0"/>
        <v>16.5</v>
      </c>
      <c r="P18" s="15">
        <f t="shared" si="1"/>
        <v>67.928571428571431</v>
      </c>
      <c r="R18" s="1" t="s">
        <v>14</v>
      </c>
      <c r="S18" s="17">
        <f t="shared" ref="S18:AF18" si="10">SUM(C42:C45)</f>
        <v>17</v>
      </c>
      <c r="T18" s="17">
        <f t="shared" si="10"/>
        <v>7.8571428571428577</v>
      </c>
      <c r="U18" s="17">
        <f t="shared" si="10"/>
        <v>17.642857142857142</v>
      </c>
      <c r="V18" s="17">
        <f t="shared" si="10"/>
        <v>4.8571428571428568</v>
      </c>
      <c r="W18" s="17">
        <f t="shared" si="10"/>
        <v>0.42857142857142855</v>
      </c>
      <c r="X18" s="17">
        <f t="shared" si="10"/>
        <v>2.1428571428571428</v>
      </c>
      <c r="Y18" s="17">
        <f t="shared" si="10"/>
        <v>10.571428571428569</v>
      </c>
      <c r="Z18" s="17">
        <f t="shared" si="10"/>
        <v>3.4285714285714288</v>
      </c>
      <c r="AA18" s="17">
        <f t="shared" si="10"/>
        <v>0.85714285714285698</v>
      </c>
      <c r="AB18" s="17">
        <f t="shared" si="10"/>
        <v>10.142857142857142</v>
      </c>
      <c r="AC18" s="17">
        <f t="shared" si="10"/>
        <v>177</v>
      </c>
      <c r="AD18" s="17">
        <f t="shared" si="10"/>
        <v>0.5714285714285714</v>
      </c>
      <c r="AE18" s="31">
        <f t="shared" si="10"/>
        <v>75.5</v>
      </c>
      <c r="AF18" s="31">
        <f t="shared" si="10"/>
        <v>252.5</v>
      </c>
    </row>
    <row r="19" spans="2:32" ht="23.1" customHeight="1" x14ac:dyDescent="0.25">
      <c r="B19" s="23" t="s">
        <v>46</v>
      </c>
      <c r="C19" s="49">
        <f>AVERAGE('01.08 GULU-KARUMA'!C19,'02.08 GULU-KARUMA'!C19,'04.08 GULU-KARUMA'!C19,'06.08 GULU-KARUMA'!C19,'03. 08 GULU-KARUMA-24HRS'!C19,'05.08, GULU-KARUMA-24HRS'!C19,'7.08 GULU-KARUMA'!C19)</f>
        <v>4.7142857142857144</v>
      </c>
      <c r="D19" s="49">
        <f>AVERAGE('01.08 GULU-KARUMA'!D19,'02.08 GULU-KARUMA'!D19,'04.08 GULU-KARUMA'!D19,'06.08 GULU-KARUMA'!D19,'03. 08 GULU-KARUMA-24HRS'!D19,'05.08, GULU-KARUMA-24HRS'!D19,'7.08 GULU-KARUMA'!D19)</f>
        <v>2</v>
      </c>
      <c r="E19" s="49">
        <f>AVERAGE('01.08 GULU-KARUMA'!E19,'02.08 GULU-KARUMA'!E19,'04.08 GULU-KARUMA'!E19,'06.08 GULU-KARUMA'!E19,'03. 08 GULU-KARUMA-24HRS'!E19,'05.08, GULU-KARUMA-24HRS'!E19,'7.08 GULU-KARUMA'!E19)</f>
        <v>5.0714285714285712</v>
      </c>
      <c r="F19" s="49">
        <f>AVERAGE('01.08 GULU-KARUMA'!F19,'02.08 GULU-KARUMA'!F19,'04.08 GULU-KARUMA'!F19,'06.08 GULU-KARUMA'!F19,'03. 08 GULU-KARUMA-24HRS'!F19,'05.08, GULU-KARUMA-24HRS'!F19,'7.08 GULU-KARUMA'!F19)</f>
        <v>2.5714285714285716</v>
      </c>
      <c r="G19" s="49">
        <f>AVERAGE('01.08 GULU-KARUMA'!G19,'02.08 GULU-KARUMA'!G19,'04.08 GULU-KARUMA'!G19,'06.08 GULU-KARUMA'!G19,'03. 08 GULU-KARUMA-24HRS'!G19,'05.08, GULU-KARUMA-24HRS'!G19,'7.08 GULU-KARUMA'!G19)</f>
        <v>0.14285714285714285</v>
      </c>
      <c r="H19" s="49">
        <f>AVERAGE('01.08 GULU-KARUMA'!H19,'02.08 GULU-KARUMA'!H19,'04.08 GULU-KARUMA'!H19,'06.08 GULU-KARUMA'!H19,'03. 08 GULU-KARUMA-24HRS'!H19,'05.08, GULU-KARUMA-24HRS'!H19,'7.08 GULU-KARUMA'!H19)</f>
        <v>0.2857142857142857</v>
      </c>
      <c r="I19" s="49">
        <f>AVERAGE('01.08 GULU-KARUMA'!I19,'02.08 GULU-KARUMA'!I19,'04.08 GULU-KARUMA'!I19,'06.08 GULU-KARUMA'!I19,'03. 08 GULU-KARUMA-24HRS'!I19,'05.08, GULU-KARUMA-24HRS'!I19,'7.08 GULU-KARUMA'!I19)</f>
        <v>2.5714285714285716</v>
      </c>
      <c r="J19" s="49">
        <f>AVERAGE('01.08 GULU-KARUMA'!J19,'02.08 GULU-KARUMA'!J19,'04.08 GULU-KARUMA'!J19,'06.08 GULU-KARUMA'!J19,'03. 08 GULU-KARUMA-24HRS'!J19,'05.08, GULU-KARUMA-24HRS'!J19,'7.08 GULU-KARUMA'!J19)</f>
        <v>0.5714285714285714</v>
      </c>
      <c r="K19" s="49">
        <f>AVERAGE('01.08 GULU-KARUMA'!K19,'02.08 GULU-KARUMA'!K19,'04.08 GULU-KARUMA'!K19,'06.08 GULU-KARUMA'!K19,'03. 08 GULU-KARUMA-24HRS'!K19,'05.08, GULU-KARUMA-24HRS'!K19,'7.08 GULU-KARUMA'!K19)</f>
        <v>0.14285714285714285</v>
      </c>
      <c r="L19" s="49">
        <f>AVERAGE('01.08 GULU-KARUMA'!L19,'02.08 GULU-KARUMA'!L19,'04.08 GULU-KARUMA'!L19,'06.08 GULU-KARUMA'!L19,'03. 08 GULU-KARUMA-24HRS'!L19,'05.08, GULU-KARUMA-24HRS'!L19,'7.08 GULU-KARUMA'!L19)</f>
        <v>0.8571428571428571</v>
      </c>
      <c r="M19" s="49">
        <f>AVERAGE('01.08 GULU-KARUMA'!M19,'02.08 GULU-KARUMA'!M19,'04.08 GULU-KARUMA'!M19,'06.08 GULU-KARUMA'!M19,'03. 08 GULU-KARUMA-24HRS'!M19,'05.08, GULU-KARUMA-24HRS'!M19,'7.08 GULU-KARUMA'!M19)</f>
        <v>49.571428571428569</v>
      </c>
      <c r="N19" s="49">
        <f>AVERAGE('01.08 GULU-KARUMA'!N19,'02.08 GULU-KARUMA'!N19,'04.08 GULU-KARUMA'!N19,'06.08 GULU-KARUMA'!N19,'03. 08 GULU-KARUMA-24HRS'!N19,'05.08, GULU-KARUMA-24HRS'!N19,'7.08 GULU-KARUMA'!N19)</f>
        <v>0</v>
      </c>
      <c r="O19" s="15">
        <f t="shared" si="0"/>
        <v>18.928571428571431</v>
      </c>
      <c r="P19" s="15">
        <f t="shared" si="1"/>
        <v>68.5</v>
      </c>
      <c r="R19" s="1" t="s">
        <v>15</v>
      </c>
      <c r="S19" s="17">
        <f t="shared" ref="S19:AF19" si="11">SUM(C46:C49)</f>
        <v>19.142857142857142</v>
      </c>
      <c r="T19" s="17">
        <f t="shared" si="11"/>
        <v>7.7142857142857153</v>
      </c>
      <c r="U19" s="17">
        <f t="shared" si="11"/>
        <v>17</v>
      </c>
      <c r="V19" s="17">
        <f t="shared" si="11"/>
        <v>4.2857142857142856</v>
      </c>
      <c r="W19" s="17">
        <f t="shared" si="11"/>
        <v>0.5714285714285714</v>
      </c>
      <c r="X19" s="17">
        <f t="shared" si="11"/>
        <v>3.714285714285714</v>
      </c>
      <c r="Y19" s="17">
        <f t="shared" si="11"/>
        <v>11.857142857142856</v>
      </c>
      <c r="Z19" s="17">
        <f t="shared" si="11"/>
        <v>2.8571428571428572</v>
      </c>
      <c r="AA19" s="17">
        <f t="shared" si="11"/>
        <v>0.2857142857142857</v>
      </c>
      <c r="AB19" s="17">
        <f t="shared" si="11"/>
        <v>7.1428571428571423</v>
      </c>
      <c r="AC19" s="17">
        <f t="shared" si="11"/>
        <v>191.42857142857142</v>
      </c>
      <c r="AD19" s="17">
        <f t="shared" si="11"/>
        <v>0</v>
      </c>
      <c r="AE19" s="31">
        <f t="shared" si="11"/>
        <v>74.571428571428569</v>
      </c>
      <c r="AF19" s="31">
        <f t="shared" si="11"/>
        <v>266</v>
      </c>
    </row>
    <row r="20" spans="2:32" ht="23.1" customHeight="1" x14ac:dyDescent="0.25">
      <c r="B20" s="23" t="s">
        <v>47</v>
      </c>
      <c r="C20" s="49">
        <f>AVERAGE('01.08 GULU-KARUMA'!C20,'02.08 GULU-KARUMA'!C20,'04.08 GULU-KARUMA'!C20,'06.08 GULU-KARUMA'!C20,'03. 08 GULU-KARUMA-24HRS'!C20,'05.08, GULU-KARUMA-24HRS'!C20,'7.08 GULU-KARUMA'!C20)</f>
        <v>4.4285714285714288</v>
      </c>
      <c r="D20" s="49">
        <f>AVERAGE('01.08 GULU-KARUMA'!D20,'02.08 GULU-KARUMA'!D20,'04.08 GULU-KARUMA'!D20,'06.08 GULU-KARUMA'!D20,'03. 08 GULU-KARUMA-24HRS'!D20,'05.08, GULU-KARUMA-24HRS'!D20,'7.08 GULU-KARUMA'!D20)</f>
        <v>2.4285714285714284</v>
      </c>
      <c r="E20" s="49">
        <f>AVERAGE('01.08 GULU-KARUMA'!E20,'02.08 GULU-KARUMA'!E20,'04.08 GULU-KARUMA'!E20,'06.08 GULU-KARUMA'!E20,'03. 08 GULU-KARUMA-24HRS'!E20,'05.08, GULU-KARUMA-24HRS'!E20,'7.08 GULU-KARUMA'!E20)</f>
        <v>5.2142857142857144</v>
      </c>
      <c r="F20" s="49">
        <f>AVERAGE('01.08 GULU-KARUMA'!F20,'02.08 GULU-KARUMA'!F20,'04.08 GULU-KARUMA'!F20,'06.08 GULU-KARUMA'!F20,'03. 08 GULU-KARUMA-24HRS'!F20,'05.08, GULU-KARUMA-24HRS'!F20,'7.08 GULU-KARUMA'!F20)</f>
        <v>1.7142857142857142</v>
      </c>
      <c r="G20" s="49">
        <f>AVERAGE('01.08 GULU-KARUMA'!G20,'02.08 GULU-KARUMA'!G20,'04.08 GULU-KARUMA'!G20,'06.08 GULU-KARUMA'!G20,'03. 08 GULU-KARUMA-24HRS'!G20,'05.08, GULU-KARUMA-24HRS'!G20,'7.08 GULU-KARUMA'!G20)</f>
        <v>0.42857142857142855</v>
      </c>
      <c r="H20" s="49">
        <f>AVERAGE('01.08 GULU-KARUMA'!H20,'02.08 GULU-KARUMA'!H20,'04.08 GULU-KARUMA'!H20,'06.08 GULU-KARUMA'!H20,'03. 08 GULU-KARUMA-24HRS'!H20,'05.08, GULU-KARUMA-24HRS'!H20,'7.08 GULU-KARUMA'!H20)</f>
        <v>0.5714285714285714</v>
      </c>
      <c r="I20" s="49">
        <f>AVERAGE('01.08 GULU-KARUMA'!I20,'02.08 GULU-KARUMA'!I20,'04.08 GULU-KARUMA'!I20,'06.08 GULU-KARUMA'!I20,'03. 08 GULU-KARUMA-24HRS'!I20,'05.08, GULU-KARUMA-24HRS'!I20,'7.08 GULU-KARUMA'!I20)</f>
        <v>3</v>
      </c>
      <c r="J20" s="49">
        <f>AVERAGE('01.08 GULU-KARUMA'!J20,'02.08 GULU-KARUMA'!J20,'04.08 GULU-KARUMA'!J20,'06.08 GULU-KARUMA'!J20,'03. 08 GULU-KARUMA-24HRS'!J20,'05.08, GULU-KARUMA-24HRS'!J20,'7.08 GULU-KARUMA'!J20)</f>
        <v>1.5714285714285714</v>
      </c>
      <c r="K20" s="49">
        <f>AVERAGE('01.08 GULU-KARUMA'!K20,'02.08 GULU-KARUMA'!K20,'04.08 GULU-KARUMA'!K20,'06.08 GULU-KARUMA'!K20,'03. 08 GULU-KARUMA-24HRS'!K20,'05.08, GULU-KARUMA-24HRS'!K20,'7.08 GULU-KARUMA'!K20)</f>
        <v>0.14285714285714285</v>
      </c>
      <c r="L20" s="49">
        <f>AVERAGE('01.08 GULU-KARUMA'!L20,'02.08 GULU-KARUMA'!L20,'04.08 GULU-KARUMA'!L20,'06.08 GULU-KARUMA'!L20,'03. 08 GULU-KARUMA-24HRS'!L20,'05.08, GULU-KARUMA-24HRS'!L20,'7.08 GULU-KARUMA'!L20)</f>
        <v>1</v>
      </c>
      <c r="M20" s="49">
        <f>AVERAGE('01.08 GULU-KARUMA'!M20,'02.08 GULU-KARUMA'!M20,'04.08 GULU-KARUMA'!M20,'06.08 GULU-KARUMA'!M20,'03. 08 GULU-KARUMA-24HRS'!M20,'05.08, GULU-KARUMA-24HRS'!M20,'7.08 GULU-KARUMA'!M20)</f>
        <v>48</v>
      </c>
      <c r="N20" s="49">
        <f>AVERAGE('01.08 GULU-KARUMA'!N20,'02.08 GULU-KARUMA'!N20,'04.08 GULU-KARUMA'!N20,'06.08 GULU-KARUMA'!N20,'03. 08 GULU-KARUMA-24HRS'!N20,'05.08, GULU-KARUMA-24HRS'!N20,'7.08 GULU-KARUMA'!N20)</f>
        <v>0</v>
      </c>
      <c r="O20" s="15">
        <f t="shared" si="0"/>
        <v>20.5</v>
      </c>
      <c r="P20" s="15">
        <f t="shared" si="1"/>
        <v>68.5</v>
      </c>
      <c r="R20" s="1" t="s">
        <v>16</v>
      </c>
      <c r="S20" s="17">
        <f t="shared" ref="S20:AF20" si="12">SUM(C50:C53)</f>
        <v>19</v>
      </c>
      <c r="T20" s="17">
        <f t="shared" si="12"/>
        <v>8.1428571428571423</v>
      </c>
      <c r="U20" s="17">
        <f t="shared" si="12"/>
        <v>18.642857142857142</v>
      </c>
      <c r="V20" s="17">
        <f t="shared" si="12"/>
        <v>6.8571428571428568</v>
      </c>
      <c r="W20" s="17">
        <f t="shared" si="12"/>
        <v>0.42857142857142855</v>
      </c>
      <c r="X20" s="17">
        <f t="shared" si="12"/>
        <v>2.8571428571428572</v>
      </c>
      <c r="Y20" s="17">
        <f t="shared" si="12"/>
        <v>9.5714285714285712</v>
      </c>
      <c r="Z20" s="17">
        <f t="shared" si="12"/>
        <v>4.4285714285714288</v>
      </c>
      <c r="AA20" s="17">
        <f t="shared" si="12"/>
        <v>0.99999999999999989</v>
      </c>
      <c r="AB20" s="17">
        <f t="shared" si="12"/>
        <v>8.2857142857142847</v>
      </c>
      <c r="AC20" s="17">
        <f t="shared" si="12"/>
        <v>217</v>
      </c>
      <c r="AD20" s="17">
        <f t="shared" si="12"/>
        <v>0</v>
      </c>
      <c r="AE20" s="31">
        <f t="shared" si="12"/>
        <v>79.214285714285708</v>
      </c>
      <c r="AF20" s="31">
        <f t="shared" si="12"/>
        <v>296.21428571428567</v>
      </c>
    </row>
    <row r="21" spans="2:32" ht="23.1" customHeight="1" x14ac:dyDescent="0.25">
      <c r="B21" s="23" t="s">
        <v>48</v>
      </c>
      <c r="C21" s="49">
        <f>AVERAGE('01.08 GULU-KARUMA'!C21,'02.08 GULU-KARUMA'!C21,'04.08 GULU-KARUMA'!C21,'06.08 GULU-KARUMA'!C21,'03. 08 GULU-KARUMA-24HRS'!C21,'05.08, GULU-KARUMA-24HRS'!C21,'7.08 GULU-KARUMA'!C21)</f>
        <v>4</v>
      </c>
      <c r="D21" s="49">
        <f>AVERAGE('01.08 GULU-KARUMA'!D21,'02.08 GULU-KARUMA'!D21,'04.08 GULU-KARUMA'!D21,'06.08 GULU-KARUMA'!D21,'03. 08 GULU-KARUMA-24HRS'!D21,'05.08, GULU-KARUMA-24HRS'!D21,'7.08 GULU-KARUMA'!D21)</f>
        <v>2.4285714285714284</v>
      </c>
      <c r="E21" s="49">
        <f>AVERAGE('01.08 GULU-KARUMA'!E21,'02.08 GULU-KARUMA'!E21,'04.08 GULU-KARUMA'!E21,'06.08 GULU-KARUMA'!E21,'03. 08 GULU-KARUMA-24HRS'!E21,'05.08, GULU-KARUMA-24HRS'!E21,'7.08 GULU-KARUMA'!E21)</f>
        <v>5.0714285714285712</v>
      </c>
      <c r="F21" s="49">
        <f>AVERAGE('01.08 GULU-KARUMA'!F21,'02.08 GULU-KARUMA'!F21,'04.08 GULU-KARUMA'!F21,'06.08 GULU-KARUMA'!F21,'03. 08 GULU-KARUMA-24HRS'!F21,'05.08, GULU-KARUMA-24HRS'!F21,'7.08 GULU-KARUMA'!F21)</f>
        <v>1</v>
      </c>
      <c r="G21" s="49">
        <f>AVERAGE('01.08 GULU-KARUMA'!G21,'02.08 GULU-KARUMA'!G21,'04.08 GULU-KARUMA'!G21,'06.08 GULU-KARUMA'!G21,'03. 08 GULU-KARUMA-24HRS'!G21,'05.08, GULU-KARUMA-24HRS'!G21,'7.08 GULU-KARUMA'!G21)</f>
        <v>0</v>
      </c>
      <c r="H21" s="49">
        <f>AVERAGE('01.08 GULU-KARUMA'!H21,'02.08 GULU-KARUMA'!H21,'04.08 GULU-KARUMA'!H21,'06.08 GULU-KARUMA'!H21,'03. 08 GULU-KARUMA-24HRS'!H21,'05.08, GULU-KARUMA-24HRS'!H21,'7.08 GULU-KARUMA'!H21)</f>
        <v>0.42857142857142855</v>
      </c>
      <c r="I21" s="49">
        <f>AVERAGE('01.08 GULU-KARUMA'!I21,'02.08 GULU-KARUMA'!I21,'04.08 GULU-KARUMA'!I21,'06.08 GULU-KARUMA'!I21,'03. 08 GULU-KARUMA-24HRS'!I21,'05.08, GULU-KARUMA-24HRS'!I21,'7.08 GULU-KARUMA'!I21)</f>
        <v>3</v>
      </c>
      <c r="J21" s="49">
        <f>AVERAGE('01.08 GULU-KARUMA'!J21,'02.08 GULU-KARUMA'!J21,'04.08 GULU-KARUMA'!J21,'06.08 GULU-KARUMA'!J21,'03. 08 GULU-KARUMA-24HRS'!J21,'05.08, GULU-KARUMA-24HRS'!J21,'7.08 GULU-KARUMA'!J21)</f>
        <v>0.5714285714285714</v>
      </c>
      <c r="K21" s="49">
        <f>AVERAGE('01.08 GULU-KARUMA'!K21,'02.08 GULU-KARUMA'!K21,'04.08 GULU-KARUMA'!K21,'06.08 GULU-KARUMA'!K21,'03. 08 GULU-KARUMA-24HRS'!K21,'05.08, GULU-KARUMA-24HRS'!K21,'7.08 GULU-KARUMA'!K21)</f>
        <v>0</v>
      </c>
      <c r="L21" s="49">
        <f>AVERAGE('01.08 GULU-KARUMA'!L21,'02.08 GULU-KARUMA'!L21,'04.08 GULU-KARUMA'!L21,'06.08 GULU-KARUMA'!L21,'03. 08 GULU-KARUMA-24HRS'!L21,'05.08, GULU-KARUMA-24HRS'!L21,'7.08 GULU-KARUMA'!L21)</f>
        <v>1.7142857142857142</v>
      </c>
      <c r="M21" s="49">
        <f>AVERAGE('01.08 GULU-KARUMA'!M21,'02.08 GULU-KARUMA'!M21,'04.08 GULU-KARUMA'!M21,'06.08 GULU-KARUMA'!M21,'03. 08 GULU-KARUMA-24HRS'!M21,'05.08, GULU-KARUMA-24HRS'!M21,'7.08 GULU-KARUMA'!M21)</f>
        <v>57.428571428571431</v>
      </c>
      <c r="N21" s="49">
        <f>AVERAGE('01.08 GULU-KARUMA'!N21,'02.08 GULU-KARUMA'!N21,'04.08 GULU-KARUMA'!N21,'06.08 GULU-KARUMA'!N21,'03. 08 GULU-KARUMA-24HRS'!N21,'05.08, GULU-KARUMA-24HRS'!N21,'7.08 GULU-KARUMA'!N21)</f>
        <v>0.14285714285714285</v>
      </c>
      <c r="O21" s="15">
        <f t="shared" si="0"/>
        <v>18.357142857142858</v>
      </c>
      <c r="P21" s="15">
        <f t="shared" si="1"/>
        <v>75.785714285714278</v>
      </c>
      <c r="R21" s="36" t="s">
        <v>20</v>
      </c>
      <c r="S21" s="34">
        <f t="shared" ref="S21:AF21" si="13">SUM(C54:C57)</f>
        <v>16.142857142857142</v>
      </c>
      <c r="T21" s="17">
        <f t="shared" si="13"/>
        <v>6.8571428571428577</v>
      </c>
      <c r="U21" s="17">
        <f t="shared" si="13"/>
        <v>15.071428571428573</v>
      </c>
      <c r="V21" s="17">
        <f t="shared" si="13"/>
        <v>5.8571428571428568</v>
      </c>
      <c r="W21" s="17">
        <f t="shared" si="13"/>
        <v>1</v>
      </c>
      <c r="X21" s="17">
        <f t="shared" si="13"/>
        <v>2.1428571428571428</v>
      </c>
      <c r="Y21" s="17">
        <f t="shared" si="13"/>
        <v>8.4285714285714288</v>
      </c>
      <c r="Z21" s="17">
        <f t="shared" si="13"/>
        <v>2.7142857142857144</v>
      </c>
      <c r="AA21" s="17">
        <f t="shared" si="13"/>
        <v>0.5714285714285714</v>
      </c>
      <c r="AB21" s="17">
        <f t="shared" si="13"/>
        <v>6.8571428571428577</v>
      </c>
      <c r="AC21" s="17">
        <f t="shared" si="13"/>
        <v>205</v>
      </c>
      <c r="AD21" s="17">
        <f t="shared" si="13"/>
        <v>0</v>
      </c>
      <c r="AE21" s="31">
        <f t="shared" si="13"/>
        <v>65.642857142857139</v>
      </c>
      <c r="AF21" s="31">
        <f t="shared" si="13"/>
        <v>270.64285714285711</v>
      </c>
    </row>
    <row r="22" spans="2:32" ht="23.1" customHeight="1" x14ac:dyDescent="0.25">
      <c r="B22" s="23" t="s">
        <v>49</v>
      </c>
      <c r="C22" s="49">
        <f>AVERAGE('01.08 GULU-KARUMA'!C22,'02.08 GULU-KARUMA'!C22,'04.08 GULU-KARUMA'!C22,'06.08 GULU-KARUMA'!C22,'03. 08 GULU-KARUMA-24HRS'!C22,'05.08, GULU-KARUMA-24HRS'!C22,'7.08 GULU-KARUMA'!C22)</f>
        <v>5.2857142857142856</v>
      </c>
      <c r="D22" s="49">
        <f>AVERAGE('01.08 GULU-KARUMA'!D22,'02.08 GULU-KARUMA'!D22,'04.08 GULU-KARUMA'!D22,'06.08 GULU-KARUMA'!D22,'03. 08 GULU-KARUMA-24HRS'!D22,'05.08, GULU-KARUMA-24HRS'!D22,'7.08 GULU-KARUMA'!D22)</f>
        <v>2</v>
      </c>
      <c r="E22" s="49">
        <f>AVERAGE('01.08 GULU-KARUMA'!E22,'02.08 GULU-KARUMA'!E22,'04.08 GULU-KARUMA'!E22,'06.08 GULU-KARUMA'!E22,'03. 08 GULU-KARUMA-24HRS'!E22,'05.08, GULU-KARUMA-24HRS'!E22,'7.08 GULU-KARUMA'!E22)</f>
        <v>4.6428571428571432</v>
      </c>
      <c r="F22" s="49">
        <f>AVERAGE('01.08 GULU-KARUMA'!F22,'02.08 GULU-KARUMA'!F22,'04.08 GULU-KARUMA'!F22,'06.08 GULU-KARUMA'!F22,'03. 08 GULU-KARUMA-24HRS'!F22,'05.08, GULU-KARUMA-24HRS'!F22,'7.08 GULU-KARUMA'!F22)</f>
        <v>1.4285714285714286</v>
      </c>
      <c r="G22" s="49">
        <f>AVERAGE('01.08 GULU-KARUMA'!G22,'02.08 GULU-KARUMA'!G22,'04.08 GULU-KARUMA'!G22,'06.08 GULU-KARUMA'!G22,'03. 08 GULU-KARUMA-24HRS'!G22,'05.08, GULU-KARUMA-24HRS'!G22,'7.08 GULU-KARUMA'!G22)</f>
        <v>0.42857142857142855</v>
      </c>
      <c r="H22" s="49">
        <f>AVERAGE('01.08 GULU-KARUMA'!H22,'02.08 GULU-KARUMA'!H22,'04.08 GULU-KARUMA'!H22,'06.08 GULU-KARUMA'!H22,'03. 08 GULU-KARUMA-24HRS'!H22,'05.08, GULU-KARUMA-24HRS'!H22,'7.08 GULU-KARUMA'!H22)</f>
        <v>0.42857142857142855</v>
      </c>
      <c r="I22" s="49">
        <f>AVERAGE('01.08 GULU-KARUMA'!I22,'02.08 GULU-KARUMA'!I22,'04.08 GULU-KARUMA'!I22,'06.08 GULU-KARUMA'!I22,'03. 08 GULU-KARUMA-24HRS'!I22,'05.08, GULU-KARUMA-24HRS'!I22,'7.08 GULU-KARUMA'!I22)</f>
        <v>3</v>
      </c>
      <c r="J22" s="49">
        <f>AVERAGE('01.08 GULU-KARUMA'!J22,'02.08 GULU-KARUMA'!J22,'04.08 GULU-KARUMA'!J22,'06.08 GULU-KARUMA'!J22,'03. 08 GULU-KARUMA-24HRS'!J22,'05.08, GULU-KARUMA-24HRS'!J22,'7.08 GULU-KARUMA'!J22)</f>
        <v>1.4285714285714286</v>
      </c>
      <c r="K22" s="49">
        <f>AVERAGE('01.08 GULU-KARUMA'!K22,'02.08 GULU-KARUMA'!K22,'04.08 GULU-KARUMA'!K22,'06.08 GULU-KARUMA'!K22,'03. 08 GULU-KARUMA-24HRS'!K22,'05.08, GULU-KARUMA-24HRS'!K22,'7.08 GULU-KARUMA'!K22)</f>
        <v>0.2857142857142857</v>
      </c>
      <c r="L22" s="49">
        <f>AVERAGE('01.08 GULU-KARUMA'!L22,'02.08 GULU-KARUMA'!L22,'04.08 GULU-KARUMA'!L22,'06.08 GULU-KARUMA'!L22,'03. 08 GULU-KARUMA-24HRS'!L22,'05.08, GULU-KARUMA-24HRS'!L22,'7.08 GULU-KARUMA'!L22)</f>
        <v>2.1428571428571428</v>
      </c>
      <c r="M22" s="49">
        <f>AVERAGE('01.08 GULU-KARUMA'!M22,'02.08 GULU-KARUMA'!M22,'04.08 GULU-KARUMA'!M22,'06.08 GULU-KARUMA'!M22,'03. 08 GULU-KARUMA-24HRS'!M22,'05.08, GULU-KARUMA-24HRS'!M22,'7.08 GULU-KARUMA'!M22)</f>
        <v>54.714285714285715</v>
      </c>
      <c r="N22" s="49">
        <f>AVERAGE('01.08 GULU-KARUMA'!N22,'02.08 GULU-KARUMA'!N22,'04.08 GULU-KARUMA'!N22,'06.08 GULU-KARUMA'!N22,'03. 08 GULU-KARUMA-24HRS'!N22,'05.08, GULU-KARUMA-24HRS'!N22,'7.08 GULU-KARUMA'!N22)</f>
        <v>0</v>
      </c>
      <c r="O22" s="15">
        <f t="shared" si="0"/>
        <v>21.071428571428569</v>
      </c>
      <c r="P22" s="15">
        <f t="shared" si="1"/>
        <v>75.785714285714278</v>
      </c>
      <c r="R22" s="1" t="s">
        <v>146</v>
      </c>
      <c r="S22" s="34">
        <f>SUM(C58:C61)</f>
        <v>12.5</v>
      </c>
      <c r="T22" s="34">
        <f t="shared" ref="T22:AF22" si="14">SUM(D58:D61)</f>
        <v>5</v>
      </c>
      <c r="U22" s="34">
        <f t="shared" si="14"/>
        <v>11</v>
      </c>
      <c r="V22" s="34">
        <f t="shared" si="14"/>
        <v>3</v>
      </c>
      <c r="W22" s="34">
        <f t="shared" si="14"/>
        <v>0</v>
      </c>
      <c r="X22" s="34">
        <f t="shared" si="14"/>
        <v>2</v>
      </c>
      <c r="Y22" s="34">
        <f t="shared" si="14"/>
        <v>7</v>
      </c>
      <c r="Z22" s="34">
        <f t="shared" si="14"/>
        <v>0.5</v>
      </c>
      <c r="AA22" s="34">
        <f t="shared" si="14"/>
        <v>0</v>
      </c>
      <c r="AB22" s="34">
        <f t="shared" si="14"/>
        <v>2</v>
      </c>
      <c r="AC22" s="34">
        <f t="shared" si="14"/>
        <v>230</v>
      </c>
      <c r="AD22" s="34">
        <f t="shared" si="14"/>
        <v>1.5</v>
      </c>
      <c r="AE22" s="31">
        <f t="shared" si="14"/>
        <v>44.5</v>
      </c>
      <c r="AF22" s="31">
        <f t="shared" si="14"/>
        <v>274.5</v>
      </c>
    </row>
    <row r="23" spans="2:32" ht="23.1" customHeight="1" x14ac:dyDescent="0.25">
      <c r="B23" s="23" t="s">
        <v>50</v>
      </c>
      <c r="C23" s="49">
        <f>AVERAGE('01.08 GULU-KARUMA'!C23,'02.08 GULU-KARUMA'!C23,'04.08 GULU-KARUMA'!C23,'06.08 GULU-KARUMA'!C23,'03. 08 GULU-KARUMA-24HRS'!C23,'05.08, GULU-KARUMA-24HRS'!C23,'7.08 GULU-KARUMA'!C23)</f>
        <v>4.7142857142857144</v>
      </c>
      <c r="D23" s="49">
        <f>AVERAGE('01.08 GULU-KARUMA'!D23,'02.08 GULU-KARUMA'!D23,'04.08 GULU-KARUMA'!D23,'06.08 GULU-KARUMA'!D23,'03. 08 GULU-KARUMA-24HRS'!D23,'05.08, GULU-KARUMA-24HRS'!D23,'7.08 GULU-KARUMA'!D23)</f>
        <v>1.5714285714285714</v>
      </c>
      <c r="E23" s="49">
        <f>AVERAGE('01.08 GULU-KARUMA'!E23,'02.08 GULU-KARUMA'!E23,'04.08 GULU-KARUMA'!E23,'06.08 GULU-KARUMA'!E23,'03. 08 GULU-KARUMA-24HRS'!E23,'05.08, GULU-KARUMA-24HRS'!E23,'7.08 GULU-KARUMA'!E23)</f>
        <v>4.0714285714285712</v>
      </c>
      <c r="F23" s="49">
        <f>AVERAGE('01.08 GULU-KARUMA'!F23,'02.08 GULU-KARUMA'!F23,'04.08 GULU-KARUMA'!F23,'06.08 GULU-KARUMA'!F23,'03. 08 GULU-KARUMA-24HRS'!F23,'05.08, GULU-KARUMA-24HRS'!F23,'7.08 GULU-KARUMA'!F23)</f>
        <v>1</v>
      </c>
      <c r="G23" s="49">
        <f>AVERAGE('01.08 GULU-KARUMA'!G23,'02.08 GULU-KARUMA'!G23,'04.08 GULU-KARUMA'!G23,'06.08 GULU-KARUMA'!G23,'03. 08 GULU-KARUMA-24HRS'!G23,'05.08, GULU-KARUMA-24HRS'!G23,'7.08 GULU-KARUMA'!G23)</f>
        <v>0</v>
      </c>
      <c r="H23" s="49">
        <f>AVERAGE('01.08 GULU-KARUMA'!H23,'02.08 GULU-KARUMA'!H23,'04.08 GULU-KARUMA'!H23,'06.08 GULU-KARUMA'!H23,'03. 08 GULU-KARUMA-24HRS'!H23,'05.08, GULU-KARUMA-24HRS'!H23,'7.08 GULU-KARUMA'!H23)</f>
        <v>1</v>
      </c>
      <c r="I23" s="49">
        <f>AVERAGE('01.08 GULU-KARUMA'!I23,'02.08 GULU-KARUMA'!I23,'04.08 GULU-KARUMA'!I23,'06.08 GULU-KARUMA'!I23,'03. 08 GULU-KARUMA-24HRS'!I23,'05.08, GULU-KARUMA-24HRS'!I23,'7.08 GULU-KARUMA'!I23)</f>
        <v>2.5714285714285716</v>
      </c>
      <c r="J23" s="49">
        <f>AVERAGE('01.08 GULU-KARUMA'!J23,'02.08 GULU-KARUMA'!J23,'04.08 GULU-KARUMA'!J23,'06.08 GULU-KARUMA'!J23,'03. 08 GULU-KARUMA-24HRS'!J23,'05.08, GULU-KARUMA-24HRS'!J23,'7.08 GULU-KARUMA'!J23)</f>
        <v>0.14285714285714285</v>
      </c>
      <c r="K23" s="49">
        <f>AVERAGE('01.08 GULU-KARUMA'!K23,'02.08 GULU-KARUMA'!K23,'04.08 GULU-KARUMA'!K23,'06.08 GULU-KARUMA'!K23,'03. 08 GULU-KARUMA-24HRS'!K23,'05.08, GULU-KARUMA-24HRS'!K23,'7.08 GULU-KARUMA'!K23)</f>
        <v>0.14285714285714285</v>
      </c>
      <c r="L23" s="49">
        <f>AVERAGE('01.08 GULU-KARUMA'!L23,'02.08 GULU-KARUMA'!L23,'04.08 GULU-KARUMA'!L23,'06.08 GULU-KARUMA'!L23,'03. 08 GULU-KARUMA-24HRS'!L23,'05.08, GULU-KARUMA-24HRS'!L23,'7.08 GULU-KARUMA'!L23)</f>
        <v>2</v>
      </c>
      <c r="M23" s="49">
        <f>AVERAGE('01.08 GULU-KARUMA'!M23,'02.08 GULU-KARUMA'!M23,'04.08 GULU-KARUMA'!M23,'06.08 GULU-KARUMA'!M23,'03. 08 GULU-KARUMA-24HRS'!M23,'05.08, GULU-KARUMA-24HRS'!M23,'7.08 GULU-KARUMA'!M23)</f>
        <v>50.714285714285715</v>
      </c>
      <c r="N23" s="49">
        <f>AVERAGE('01.08 GULU-KARUMA'!N23,'02.08 GULU-KARUMA'!N23,'04.08 GULU-KARUMA'!N23,'06.08 GULU-KARUMA'!N23,'03. 08 GULU-KARUMA-24HRS'!N23,'05.08, GULU-KARUMA-24HRS'!N23,'7.08 GULU-KARUMA'!N23)</f>
        <v>0</v>
      </c>
      <c r="O23" s="15">
        <f t="shared" si="0"/>
        <v>17.214285714285715</v>
      </c>
      <c r="P23" s="15">
        <f t="shared" si="1"/>
        <v>67.928571428571431</v>
      </c>
      <c r="R23" s="1" t="s">
        <v>147</v>
      </c>
      <c r="S23" s="34">
        <f>SUM(C62:C65)</f>
        <v>28</v>
      </c>
      <c r="T23" s="34">
        <f t="shared" ref="T23:AF23" si="15">SUM(D62:D65)</f>
        <v>10</v>
      </c>
      <c r="U23" s="34">
        <f t="shared" si="15"/>
        <v>23</v>
      </c>
      <c r="V23" s="34">
        <f t="shared" si="15"/>
        <v>2.5</v>
      </c>
      <c r="W23" s="34">
        <f t="shared" si="15"/>
        <v>0.5</v>
      </c>
      <c r="X23" s="34">
        <f t="shared" si="15"/>
        <v>1</v>
      </c>
      <c r="Y23" s="34">
        <f t="shared" si="15"/>
        <v>7.5</v>
      </c>
      <c r="Z23" s="34">
        <f t="shared" si="15"/>
        <v>1</v>
      </c>
      <c r="AA23" s="34">
        <f t="shared" si="15"/>
        <v>0.5</v>
      </c>
      <c r="AB23" s="34">
        <f t="shared" si="15"/>
        <v>5.5</v>
      </c>
      <c r="AC23" s="34">
        <f t="shared" si="15"/>
        <v>171</v>
      </c>
      <c r="AD23" s="34">
        <f t="shared" si="15"/>
        <v>0</v>
      </c>
      <c r="AE23" s="31">
        <f t="shared" si="15"/>
        <v>79.5</v>
      </c>
      <c r="AF23" s="31">
        <f t="shared" si="15"/>
        <v>250.5</v>
      </c>
    </row>
    <row r="24" spans="2:32" ht="23.1" customHeight="1" x14ac:dyDescent="0.25">
      <c r="B24" s="23" t="s">
        <v>51</v>
      </c>
      <c r="C24" s="49">
        <f>AVERAGE('01.08 GULU-KARUMA'!C24,'02.08 GULU-KARUMA'!C24,'04.08 GULU-KARUMA'!C24,'06.08 GULU-KARUMA'!C24,'03. 08 GULU-KARUMA-24HRS'!C24,'05.08, GULU-KARUMA-24HRS'!C24,'7.08 GULU-KARUMA'!C24)</f>
        <v>4.2857142857142856</v>
      </c>
      <c r="D24" s="49">
        <f>AVERAGE('01.08 GULU-KARUMA'!D24,'02.08 GULU-KARUMA'!D24,'04.08 GULU-KARUMA'!D24,'06.08 GULU-KARUMA'!D24,'03. 08 GULU-KARUMA-24HRS'!D24,'05.08, GULU-KARUMA-24HRS'!D24,'7.08 GULU-KARUMA'!D24)</f>
        <v>2</v>
      </c>
      <c r="E24" s="49">
        <f>AVERAGE('01.08 GULU-KARUMA'!E24,'02.08 GULU-KARUMA'!E24,'04.08 GULU-KARUMA'!E24,'06.08 GULU-KARUMA'!E24,'03. 08 GULU-KARUMA-24HRS'!E24,'05.08, GULU-KARUMA-24HRS'!E24,'7.08 GULU-KARUMA'!E24)</f>
        <v>4.9285714285714288</v>
      </c>
      <c r="F24" s="49">
        <f>AVERAGE('01.08 GULU-KARUMA'!F24,'02.08 GULU-KARUMA'!F24,'04.08 GULU-KARUMA'!F24,'06.08 GULU-KARUMA'!F24,'03. 08 GULU-KARUMA-24HRS'!F24,'05.08, GULU-KARUMA-24HRS'!F24,'7.08 GULU-KARUMA'!F24)</f>
        <v>1.7142857142857142</v>
      </c>
      <c r="G24" s="49">
        <f>AVERAGE('01.08 GULU-KARUMA'!G24,'02.08 GULU-KARUMA'!G24,'04.08 GULU-KARUMA'!G24,'06.08 GULU-KARUMA'!G24,'03. 08 GULU-KARUMA-24HRS'!G24,'05.08, GULU-KARUMA-24HRS'!G24,'7.08 GULU-KARUMA'!G24)</f>
        <v>0</v>
      </c>
      <c r="H24" s="49">
        <f>AVERAGE('01.08 GULU-KARUMA'!H24,'02.08 GULU-KARUMA'!H24,'04.08 GULU-KARUMA'!H24,'06.08 GULU-KARUMA'!H24,'03. 08 GULU-KARUMA-24HRS'!H24,'05.08, GULU-KARUMA-24HRS'!H24,'7.08 GULU-KARUMA'!H24)</f>
        <v>0.42857142857142855</v>
      </c>
      <c r="I24" s="49">
        <f>AVERAGE('01.08 GULU-KARUMA'!I24,'02.08 GULU-KARUMA'!I24,'04.08 GULU-KARUMA'!I24,'06.08 GULU-KARUMA'!I24,'03. 08 GULU-KARUMA-24HRS'!I24,'05.08, GULU-KARUMA-24HRS'!I24,'7.08 GULU-KARUMA'!I24)</f>
        <v>2.8571428571428572</v>
      </c>
      <c r="J24" s="49">
        <f>AVERAGE('01.08 GULU-KARUMA'!J24,'02.08 GULU-KARUMA'!J24,'04.08 GULU-KARUMA'!J24,'06.08 GULU-KARUMA'!J24,'03. 08 GULU-KARUMA-24HRS'!J24,'05.08, GULU-KARUMA-24HRS'!J24,'7.08 GULU-KARUMA'!J24)</f>
        <v>1.2857142857142858</v>
      </c>
      <c r="K24" s="49">
        <f>AVERAGE('01.08 GULU-KARUMA'!K24,'02.08 GULU-KARUMA'!K24,'04.08 GULU-KARUMA'!K24,'06.08 GULU-KARUMA'!K24,'03. 08 GULU-KARUMA-24HRS'!K24,'05.08, GULU-KARUMA-24HRS'!K24,'7.08 GULU-KARUMA'!K24)</f>
        <v>0.2857142857142857</v>
      </c>
      <c r="L24" s="49">
        <f>AVERAGE('01.08 GULU-KARUMA'!L24,'02.08 GULU-KARUMA'!L24,'04.08 GULU-KARUMA'!L24,'06.08 GULU-KARUMA'!L24,'03. 08 GULU-KARUMA-24HRS'!L24,'05.08, GULU-KARUMA-24HRS'!L24,'7.08 GULU-KARUMA'!L24)</f>
        <v>2</v>
      </c>
      <c r="M24" s="49">
        <f>AVERAGE('01.08 GULU-KARUMA'!M24,'02.08 GULU-KARUMA'!M24,'04.08 GULU-KARUMA'!M24,'06.08 GULU-KARUMA'!M24,'03. 08 GULU-KARUMA-24HRS'!M24,'05.08, GULU-KARUMA-24HRS'!M24,'7.08 GULU-KARUMA'!M24)</f>
        <v>46</v>
      </c>
      <c r="N24" s="49">
        <f>AVERAGE('01.08 GULU-KARUMA'!N24,'02.08 GULU-KARUMA'!N24,'04.08 GULU-KARUMA'!N24,'06.08 GULU-KARUMA'!N24,'03. 08 GULU-KARUMA-24HRS'!N24,'05.08, GULU-KARUMA-24HRS'!N24,'7.08 GULU-KARUMA'!N24)</f>
        <v>0.2857142857142857</v>
      </c>
      <c r="O24" s="15">
        <f t="shared" si="0"/>
        <v>20.071428571428569</v>
      </c>
      <c r="P24" s="15">
        <f t="shared" si="1"/>
        <v>66.071428571428569</v>
      </c>
      <c r="R24" s="1" t="s">
        <v>148</v>
      </c>
      <c r="S24" s="34">
        <f>SUM(C66:C69)</f>
        <v>34.5</v>
      </c>
      <c r="T24" s="34">
        <f t="shared" ref="T24:AF24" si="16">SUM(D66:D69)</f>
        <v>9</v>
      </c>
      <c r="U24" s="34">
        <f t="shared" si="16"/>
        <v>21</v>
      </c>
      <c r="V24" s="34">
        <f t="shared" si="16"/>
        <v>4.5</v>
      </c>
      <c r="W24" s="34">
        <f t="shared" si="16"/>
        <v>1</v>
      </c>
      <c r="X24" s="34">
        <f t="shared" si="16"/>
        <v>0.5</v>
      </c>
      <c r="Y24" s="34">
        <f t="shared" si="16"/>
        <v>12.5</v>
      </c>
      <c r="Z24" s="34">
        <f t="shared" si="16"/>
        <v>1</v>
      </c>
      <c r="AA24" s="34">
        <f t="shared" si="16"/>
        <v>0</v>
      </c>
      <c r="AB24" s="34">
        <f t="shared" si="16"/>
        <v>9.5</v>
      </c>
      <c r="AC24" s="34">
        <f t="shared" si="16"/>
        <v>168</v>
      </c>
      <c r="AD24" s="34">
        <f t="shared" si="16"/>
        <v>0</v>
      </c>
      <c r="AE24" s="31">
        <f t="shared" si="16"/>
        <v>93.5</v>
      </c>
      <c r="AF24" s="31">
        <f t="shared" si="16"/>
        <v>261.5</v>
      </c>
    </row>
    <row r="25" spans="2:32" ht="23.1" customHeight="1" x14ac:dyDescent="0.25">
      <c r="B25" s="23" t="s">
        <v>52</v>
      </c>
      <c r="C25" s="49">
        <f>AVERAGE('01.08 GULU-KARUMA'!C25,'02.08 GULU-KARUMA'!C25,'04.08 GULU-KARUMA'!C25,'06.08 GULU-KARUMA'!C25,'03. 08 GULU-KARUMA-24HRS'!C25,'05.08, GULU-KARUMA-24HRS'!C25,'7.08 GULU-KARUMA'!C25)</f>
        <v>5.7142857142857144</v>
      </c>
      <c r="D25" s="49">
        <f>AVERAGE('01.08 GULU-KARUMA'!D25,'02.08 GULU-KARUMA'!D25,'04.08 GULU-KARUMA'!D25,'06.08 GULU-KARUMA'!D25,'03. 08 GULU-KARUMA-24HRS'!D25,'05.08, GULU-KARUMA-24HRS'!D25,'7.08 GULU-KARUMA'!D25)</f>
        <v>2.1428571428571428</v>
      </c>
      <c r="E25" s="49">
        <f>AVERAGE('01.08 GULU-KARUMA'!E25,'02.08 GULU-KARUMA'!E25,'04.08 GULU-KARUMA'!E25,'06.08 GULU-KARUMA'!E25,'03. 08 GULU-KARUMA-24HRS'!E25,'05.08, GULU-KARUMA-24HRS'!E25,'7.08 GULU-KARUMA'!E25)</f>
        <v>4.8571428571428568</v>
      </c>
      <c r="F25" s="49">
        <f>AVERAGE('01.08 GULU-KARUMA'!F25,'02.08 GULU-KARUMA'!F25,'04.08 GULU-KARUMA'!F25,'06.08 GULU-KARUMA'!F25,'03. 08 GULU-KARUMA-24HRS'!F25,'05.08, GULU-KARUMA-24HRS'!F25,'7.08 GULU-KARUMA'!F25)</f>
        <v>1.2857142857142858</v>
      </c>
      <c r="G25" s="49">
        <f>AVERAGE('01.08 GULU-KARUMA'!G25,'02.08 GULU-KARUMA'!G25,'04.08 GULU-KARUMA'!G25,'06.08 GULU-KARUMA'!G25,'03. 08 GULU-KARUMA-24HRS'!G25,'05.08, GULU-KARUMA-24HRS'!G25,'7.08 GULU-KARUMA'!G25)</f>
        <v>0.14285714285714285</v>
      </c>
      <c r="H25" s="49">
        <f>AVERAGE('01.08 GULU-KARUMA'!H25,'02.08 GULU-KARUMA'!H25,'04.08 GULU-KARUMA'!H25,'06.08 GULU-KARUMA'!H25,'03. 08 GULU-KARUMA-24HRS'!H25,'05.08, GULU-KARUMA-24HRS'!H25,'7.08 GULU-KARUMA'!H25)</f>
        <v>0.5714285714285714</v>
      </c>
      <c r="I25" s="49">
        <f>AVERAGE('01.08 GULU-KARUMA'!I25,'02.08 GULU-KARUMA'!I25,'04.08 GULU-KARUMA'!I25,'06.08 GULU-KARUMA'!I25,'03. 08 GULU-KARUMA-24HRS'!I25,'05.08, GULU-KARUMA-24HRS'!I25,'7.08 GULU-KARUMA'!I25)</f>
        <v>2</v>
      </c>
      <c r="J25" s="49">
        <f>AVERAGE('01.08 GULU-KARUMA'!J25,'02.08 GULU-KARUMA'!J25,'04.08 GULU-KARUMA'!J25,'06.08 GULU-KARUMA'!J25,'03. 08 GULU-KARUMA-24HRS'!J25,'05.08, GULU-KARUMA-24HRS'!J25,'7.08 GULU-KARUMA'!J25)</f>
        <v>0.8571428571428571</v>
      </c>
      <c r="K25" s="49">
        <f>AVERAGE('01.08 GULU-KARUMA'!K25,'02.08 GULU-KARUMA'!K25,'04.08 GULU-KARUMA'!K25,'06.08 GULU-KARUMA'!K25,'03. 08 GULU-KARUMA-24HRS'!K25,'05.08, GULU-KARUMA-24HRS'!K25,'7.08 GULU-KARUMA'!K25)</f>
        <v>0.5714285714285714</v>
      </c>
      <c r="L25" s="49">
        <f>AVERAGE('01.08 GULU-KARUMA'!L25,'02.08 GULU-KARUMA'!L25,'04.08 GULU-KARUMA'!L25,'06.08 GULU-KARUMA'!L25,'03. 08 GULU-KARUMA-24HRS'!L25,'05.08, GULU-KARUMA-24HRS'!L25,'7.08 GULU-KARUMA'!L25)</f>
        <v>2.7142857142857144</v>
      </c>
      <c r="M25" s="49">
        <f>AVERAGE('01.08 GULU-KARUMA'!M25,'02.08 GULU-KARUMA'!M25,'04.08 GULU-KARUMA'!M25,'06.08 GULU-KARUMA'!M25,'03. 08 GULU-KARUMA-24HRS'!M25,'05.08, GULU-KARUMA-24HRS'!M25,'7.08 GULU-KARUMA'!M25)</f>
        <v>48.714285714285715</v>
      </c>
      <c r="N25" s="49">
        <f>AVERAGE('01.08 GULU-KARUMA'!N25,'02.08 GULU-KARUMA'!N25,'04.08 GULU-KARUMA'!N25,'06.08 GULU-KARUMA'!N25,'03. 08 GULU-KARUMA-24HRS'!N25,'05.08, GULU-KARUMA-24HRS'!N25,'7.08 GULU-KARUMA'!N25)</f>
        <v>0</v>
      </c>
      <c r="O25" s="15">
        <f t="shared" si="0"/>
        <v>20.857142857142861</v>
      </c>
      <c r="P25" s="15">
        <f t="shared" si="1"/>
        <v>69.571428571428584</v>
      </c>
      <c r="R25" s="1" t="s">
        <v>149</v>
      </c>
      <c r="S25" s="34">
        <f>SUM(C70:C73)</f>
        <v>28</v>
      </c>
      <c r="T25" s="34">
        <f t="shared" ref="T25:AF25" si="17">SUM(D70:D73)</f>
        <v>8.5</v>
      </c>
      <c r="U25" s="34">
        <f t="shared" si="17"/>
        <v>19</v>
      </c>
      <c r="V25" s="34">
        <f t="shared" si="17"/>
        <v>3.5</v>
      </c>
      <c r="W25" s="34">
        <f t="shared" si="17"/>
        <v>1.5</v>
      </c>
      <c r="X25" s="34">
        <f t="shared" si="17"/>
        <v>2</v>
      </c>
      <c r="Y25" s="34">
        <f t="shared" si="17"/>
        <v>10</v>
      </c>
      <c r="Z25" s="34">
        <f t="shared" si="17"/>
        <v>2</v>
      </c>
      <c r="AA25" s="34">
        <f t="shared" si="17"/>
        <v>0</v>
      </c>
      <c r="AB25" s="34">
        <f t="shared" si="17"/>
        <v>13.5</v>
      </c>
      <c r="AC25" s="34">
        <f t="shared" si="17"/>
        <v>104</v>
      </c>
      <c r="AD25" s="34">
        <f t="shared" si="17"/>
        <v>0.5</v>
      </c>
      <c r="AE25" s="31">
        <f t="shared" si="17"/>
        <v>88.5</v>
      </c>
      <c r="AF25" s="31">
        <f t="shared" si="17"/>
        <v>192.5</v>
      </c>
    </row>
    <row r="26" spans="2:32" ht="23.1" customHeight="1" x14ac:dyDescent="0.25">
      <c r="B26" s="23" t="s">
        <v>53</v>
      </c>
      <c r="C26" s="49">
        <f>AVERAGE('01.08 GULU-KARUMA'!C26,'02.08 GULU-KARUMA'!C26,'04.08 GULU-KARUMA'!C26,'06.08 GULU-KARUMA'!C26,'03. 08 GULU-KARUMA-24HRS'!C26,'05.08, GULU-KARUMA-24HRS'!C26,'7.08 GULU-KARUMA'!C26)</f>
        <v>6</v>
      </c>
      <c r="D26" s="49">
        <f>AVERAGE('01.08 GULU-KARUMA'!D26,'02.08 GULU-KARUMA'!D26,'04.08 GULU-KARUMA'!D26,'06.08 GULU-KARUMA'!D26,'03. 08 GULU-KARUMA-24HRS'!D26,'05.08, GULU-KARUMA-24HRS'!D26,'7.08 GULU-KARUMA'!D26)</f>
        <v>1.4285714285714286</v>
      </c>
      <c r="E26" s="49">
        <f>AVERAGE('01.08 GULU-KARUMA'!E26,'02.08 GULU-KARUMA'!E26,'04.08 GULU-KARUMA'!E26,'06.08 GULU-KARUMA'!E26,'03. 08 GULU-KARUMA-24HRS'!E26,'05.08, GULU-KARUMA-24HRS'!E26,'7.08 GULU-KARUMA'!E26)</f>
        <v>3.7142857142857144</v>
      </c>
      <c r="F26" s="49">
        <f>AVERAGE('01.08 GULU-KARUMA'!F26,'02.08 GULU-KARUMA'!F26,'04.08 GULU-KARUMA'!F26,'06.08 GULU-KARUMA'!F26,'03. 08 GULU-KARUMA-24HRS'!F26,'05.08, GULU-KARUMA-24HRS'!F26,'7.08 GULU-KARUMA'!F26)</f>
        <v>1.8571428571428572</v>
      </c>
      <c r="G26" s="49">
        <f>AVERAGE('01.08 GULU-KARUMA'!G26,'02.08 GULU-KARUMA'!G26,'04.08 GULU-KARUMA'!G26,'06.08 GULU-KARUMA'!G26,'03. 08 GULU-KARUMA-24HRS'!G26,'05.08, GULU-KARUMA-24HRS'!G26,'7.08 GULU-KARUMA'!G26)</f>
        <v>0</v>
      </c>
      <c r="H26" s="49">
        <f>AVERAGE('01.08 GULU-KARUMA'!H26,'02.08 GULU-KARUMA'!H26,'04.08 GULU-KARUMA'!H26,'06.08 GULU-KARUMA'!H26,'03. 08 GULU-KARUMA-24HRS'!H26,'05.08, GULU-KARUMA-24HRS'!H26,'7.08 GULU-KARUMA'!H26)</f>
        <v>0.2857142857142857</v>
      </c>
      <c r="I26" s="49">
        <f>AVERAGE('01.08 GULU-KARUMA'!I26,'02.08 GULU-KARUMA'!I26,'04.08 GULU-KARUMA'!I26,'06.08 GULU-KARUMA'!I26,'03. 08 GULU-KARUMA-24HRS'!I26,'05.08, GULU-KARUMA-24HRS'!I26,'7.08 GULU-KARUMA'!I26)</f>
        <v>3.5714285714285716</v>
      </c>
      <c r="J26" s="49">
        <f>AVERAGE('01.08 GULU-KARUMA'!J26,'02.08 GULU-KARUMA'!J26,'04.08 GULU-KARUMA'!J26,'06.08 GULU-KARUMA'!J26,'03. 08 GULU-KARUMA-24HRS'!J26,'05.08, GULU-KARUMA-24HRS'!J26,'7.08 GULU-KARUMA'!J26)</f>
        <v>0.5714285714285714</v>
      </c>
      <c r="K26" s="49">
        <f>AVERAGE('01.08 GULU-KARUMA'!K26,'02.08 GULU-KARUMA'!K26,'04.08 GULU-KARUMA'!K26,'06.08 GULU-KARUMA'!K26,'03. 08 GULU-KARUMA-24HRS'!K26,'05.08, GULU-KARUMA-24HRS'!K26,'7.08 GULU-KARUMA'!K26)</f>
        <v>0.14285714285714285</v>
      </c>
      <c r="L26" s="49">
        <f>AVERAGE('01.08 GULU-KARUMA'!L26,'02.08 GULU-KARUMA'!L26,'04.08 GULU-KARUMA'!L26,'06.08 GULU-KARUMA'!L26,'03. 08 GULU-KARUMA-24HRS'!L26,'05.08, GULU-KARUMA-24HRS'!L26,'7.08 GULU-KARUMA'!L26)</f>
        <v>3.1428571428571428</v>
      </c>
      <c r="M26" s="49">
        <f>AVERAGE('01.08 GULU-KARUMA'!M26,'02.08 GULU-KARUMA'!M26,'04.08 GULU-KARUMA'!M26,'06.08 GULU-KARUMA'!M26,'03. 08 GULU-KARUMA-24HRS'!M26,'05.08, GULU-KARUMA-24HRS'!M26,'7.08 GULU-KARUMA'!M26)</f>
        <v>48.142857142857146</v>
      </c>
      <c r="N26" s="49">
        <f>AVERAGE('01.08 GULU-KARUMA'!N26,'02.08 GULU-KARUMA'!N26,'04.08 GULU-KARUMA'!N26,'06.08 GULU-KARUMA'!N26,'03. 08 GULU-KARUMA-24HRS'!N26,'05.08, GULU-KARUMA-24HRS'!N26,'7.08 GULU-KARUMA'!N26)</f>
        <v>0</v>
      </c>
      <c r="O26" s="15">
        <f t="shared" si="0"/>
        <v>20.714285714285715</v>
      </c>
      <c r="P26" s="15">
        <f t="shared" si="1"/>
        <v>68.857142857142861</v>
      </c>
      <c r="R26" s="1" t="s">
        <v>150</v>
      </c>
      <c r="S26" s="34">
        <f>SUM(C74:C77)</f>
        <v>23</v>
      </c>
      <c r="T26" s="34">
        <f t="shared" ref="T26:AF26" si="18">SUM(D74:D77)</f>
        <v>10</v>
      </c>
      <c r="U26" s="34">
        <f t="shared" si="18"/>
        <v>21.5</v>
      </c>
      <c r="V26" s="34">
        <f t="shared" si="18"/>
        <v>2</v>
      </c>
      <c r="W26" s="34">
        <f t="shared" si="18"/>
        <v>0.5</v>
      </c>
      <c r="X26" s="34">
        <f t="shared" si="18"/>
        <v>1.5</v>
      </c>
      <c r="Y26" s="34">
        <f t="shared" si="18"/>
        <v>11.5</v>
      </c>
      <c r="Z26" s="34">
        <f t="shared" si="18"/>
        <v>0.5</v>
      </c>
      <c r="AA26" s="34">
        <f t="shared" si="18"/>
        <v>0.5</v>
      </c>
      <c r="AB26" s="34">
        <f t="shared" si="18"/>
        <v>9.5</v>
      </c>
      <c r="AC26" s="34">
        <f t="shared" si="18"/>
        <v>64</v>
      </c>
      <c r="AD26" s="34">
        <f t="shared" si="18"/>
        <v>0</v>
      </c>
      <c r="AE26" s="31">
        <f t="shared" si="18"/>
        <v>80.5</v>
      </c>
      <c r="AF26" s="31">
        <f t="shared" si="18"/>
        <v>144.5</v>
      </c>
    </row>
    <row r="27" spans="2:32" ht="23.1" customHeight="1" x14ac:dyDescent="0.25">
      <c r="B27" s="23" t="s">
        <v>54</v>
      </c>
      <c r="C27" s="49">
        <f>AVERAGE('01.08 GULU-KARUMA'!C27,'02.08 GULU-KARUMA'!C27,'04.08 GULU-KARUMA'!C27,'06.08 GULU-KARUMA'!C27,'03. 08 GULU-KARUMA-24HRS'!C27,'05.08, GULU-KARUMA-24HRS'!C27,'7.08 GULU-KARUMA'!C27)</f>
        <v>4.4285714285714288</v>
      </c>
      <c r="D27" s="49">
        <f>AVERAGE('01.08 GULU-KARUMA'!D27,'02.08 GULU-KARUMA'!D27,'04.08 GULU-KARUMA'!D27,'06.08 GULU-KARUMA'!D27,'03. 08 GULU-KARUMA-24HRS'!D27,'05.08, GULU-KARUMA-24HRS'!D27,'7.08 GULU-KARUMA'!D27)</f>
        <v>3.5714285714285716</v>
      </c>
      <c r="E27" s="49">
        <f>AVERAGE('01.08 GULU-KARUMA'!E27,'02.08 GULU-KARUMA'!E27,'04.08 GULU-KARUMA'!E27,'06.08 GULU-KARUMA'!E27,'03. 08 GULU-KARUMA-24HRS'!E27,'05.08, GULU-KARUMA-24HRS'!E27,'7.08 GULU-KARUMA'!E27)</f>
        <v>7.9285714285714288</v>
      </c>
      <c r="F27" s="49">
        <f>AVERAGE('01.08 GULU-KARUMA'!F27,'02.08 GULU-KARUMA'!F27,'04.08 GULU-KARUMA'!F27,'06.08 GULU-KARUMA'!F27,'03. 08 GULU-KARUMA-24HRS'!F27,'05.08, GULU-KARUMA-24HRS'!F27,'7.08 GULU-KARUMA'!F27)</f>
        <v>0.8571428571428571</v>
      </c>
      <c r="G27" s="49">
        <f>AVERAGE('01.08 GULU-KARUMA'!G27,'02.08 GULU-KARUMA'!G27,'04.08 GULU-KARUMA'!G27,'06.08 GULU-KARUMA'!G27,'03. 08 GULU-KARUMA-24HRS'!G27,'05.08, GULU-KARUMA-24HRS'!G27,'7.08 GULU-KARUMA'!G27)</f>
        <v>0</v>
      </c>
      <c r="H27" s="49">
        <f>AVERAGE('01.08 GULU-KARUMA'!H27,'02.08 GULU-KARUMA'!H27,'04.08 GULU-KARUMA'!H27,'06.08 GULU-KARUMA'!H27,'03. 08 GULU-KARUMA-24HRS'!H27,'05.08, GULU-KARUMA-24HRS'!H27,'7.08 GULU-KARUMA'!H27)</f>
        <v>0.5714285714285714</v>
      </c>
      <c r="I27" s="49">
        <f>AVERAGE('01.08 GULU-KARUMA'!I27,'02.08 GULU-KARUMA'!I27,'04.08 GULU-KARUMA'!I27,'06.08 GULU-KARUMA'!I27,'03. 08 GULU-KARUMA-24HRS'!I27,'05.08, GULU-KARUMA-24HRS'!I27,'7.08 GULU-KARUMA'!I27)</f>
        <v>2.7142857142857144</v>
      </c>
      <c r="J27" s="49">
        <f>AVERAGE('01.08 GULU-KARUMA'!J27,'02.08 GULU-KARUMA'!J27,'04.08 GULU-KARUMA'!J27,'06.08 GULU-KARUMA'!J27,'03. 08 GULU-KARUMA-24HRS'!J27,'05.08, GULU-KARUMA-24HRS'!J27,'7.08 GULU-KARUMA'!J27)</f>
        <v>1</v>
      </c>
      <c r="K27" s="49">
        <f>AVERAGE('01.08 GULU-KARUMA'!K27,'02.08 GULU-KARUMA'!K27,'04.08 GULU-KARUMA'!K27,'06.08 GULU-KARUMA'!K27,'03. 08 GULU-KARUMA-24HRS'!K27,'05.08, GULU-KARUMA-24HRS'!K27,'7.08 GULU-KARUMA'!K27)</f>
        <v>0</v>
      </c>
      <c r="L27" s="49">
        <f>AVERAGE('01.08 GULU-KARUMA'!L27,'02.08 GULU-KARUMA'!L27,'04.08 GULU-KARUMA'!L27,'06.08 GULU-KARUMA'!L27,'03. 08 GULU-KARUMA-24HRS'!L27,'05.08, GULU-KARUMA-24HRS'!L27,'7.08 GULU-KARUMA'!L27)</f>
        <v>2.4285714285714284</v>
      </c>
      <c r="M27" s="49">
        <f>AVERAGE('01.08 GULU-KARUMA'!M27,'02.08 GULU-KARUMA'!M27,'04.08 GULU-KARUMA'!M27,'06.08 GULU-KARUMA'!M27,'03. 08 GULU-KARUMA-24HRS'!M27,'05.08, GULU-KARUMA-24HRS'!M27,'7.08 GULU-KARUMA'!M27)</f>
        <v>47.142857142857146</v>
      </c>
      <c r="N27" s="49">
        <f>AVERAGE('01.08 GULU-KARUMA'!N27,'02.08 GULU-KARUMA'!N27,'04.08 GULU-KARUMA'!N27,'06.08 GULU-KARUMA'!N27,'03. 08 GULU-KARUMA-24HRS'!N27,'05.08, GULU-KARUMA-24HRS'!N27,'7.08 GULU-KARUMA'!N27)</f>
        <v>0</v>
      </c>
      <c r="O27" s="15">
        <f t="shared" si="0"/>
        <v>23.5</v>
      </c>
      <c r="P27" s="15">
        <f t="shared" si="1"/>
        <v>70.642857142857139</v>
      </c>
      <c r="R27" s="1" t="s">
        <v>151</v>
      </c>
      <c r="S27" s="34">
        <f>SUM(C78:C81)</f>
        <v>25</v>
      </c>
      <c r="T27" s="34">
        <f t="shared" ref="T27:AF27" si="19">SUM(D78:D81)</f>
        <v>8</v>
      </c>
      <c r="U27" s="34">
        <f t="shared" si="19"/>
        <v>16.5</v>
      </c>
      <c r="V27" s="34">
        <f t="shared" si="19"/>
        <v>3.5</v>
      </c>
      <c r="W27" s="34">
        <f t="shared" si="19"/>
        <v>1.5</v>
      </c>
      <c r="X27" s="34">
        <f t="shared" si="19"/>
        <v>2</v>
      </c>
      <c r="Y27" s="34">
        <f t="shared" si="19"/>
        <v>10.5</v>
      </c>
      <c r="Z27" s="34">
        <f t="shared" si="19"/>
        <v>3.5</v>
      </c>
      <c r="AA27" s="34">
        <f t="shared" si="19"/>
        <v>0</v>
      </c>
      <c r="AB27" s="34">
        <f t="shared" si="19"/>
        <v>15.5</v>
      </c>
      <c r="AC27" s="34">
        <f t="shared" si="19"/>
        <v>55</v>
      </c>
      <c r="AD27" s="34">
        <f t="shared" si="19"/>
        <v>0.5</v>
      </c>
      <c r="AE27" s="31">
        <f t="shared" si="19"/>
        <v>86.5</v>
      </c>
      <c r="AF27" s="31">
        <f t="shared" si="19"/>
        <v>141.5</v>
      </c>
    </row>
    <row r="28" spans="2:32" ht="23.1" customHeight="1" x14ac:dyDescent="0.25">
      <c r="B28" s="23" t="s">
        <v>55</v>
      </c>
      <c r="C28" s="49">
        <f>AVERAGE('01.08 GULU-KARUMA'!C28,'02.08 GULU-KARUMA'!C28,'04.08 GULU-KARUMA'!C28,'06.08 GULU-KARUMA'!C28,'03. 08 GULU-KARUMA-24HRS'!C28,'05.08, GULU-KARUMA-24HRS'!C28,'7.08 GULU-KARUMA'!C28)</f>
        <v>5</v>
      </c>
      <c r="D28" s="49">
        <f>AVERAGE('01.08 GULU-KARUMA'!D28,'02.08 GULU-KARUMA'!D28,'04.08 GULU-KARUMA'!D28,'06.08 GULU-KARUMA'!D28,'03. 08 GULU-KARUMA-24HRS'!D28,'05.08, GULU-KARUMA-24HRS'!D28,'7.08 GULU-KARUMA'!D28)</f>
        <v>3.1428571428571428</v>
      </c>
      <c r="E28" s="49">
        <f>AVERAGE('01.08 GULU-KARUMA'!E28,'02.08 GULU-KARUMA'!E28,'04.08 GULU-KARUMA'!E28,'06.08 GULU-KARUMA'!E28,'03. 08 GULU-KARUMA-24HRS'!E28,'05.08, GULU-KARUMA-24HRS'!E28,'7.08 GULU-KARUMA'!E28)</f>
        <v>6.7857142857142856</v>
      </c>
      <c r="F28" s="49">
        <f>AVERAGE('01.08 GULU-KARUMA'!F28,'02.08 GULU-KARUMA'!F28,'04.08 GULU-KARUMA'!F28,'06.08 GULU-KARUMA'!F28,'03. 08 GULU-KARUMA-24HRS'!F28,'05.08, GULU-KARUMA-24HRS'!F28,'7.08 GULU-KARUMA'!F28)</f>
        <v>1.5714285714285714</v>
      </c>
      <c r="G28" s="49">
        <f>AVERAGE('01.08 GULU-KARUMA'!G28,'02.08 GULU-KARUMA'!G28,'04.08 GULU-KARUMA'!G28,'06.08 GULU-KARUMA'!G28,'03. 08 GULU-KARUMA-24HRS'!G28,'05.08, GULU-KARUMA-24HRS'!G28,'7.08 GULU-KARUMA'!G28)</f>
        <v>0.14285714285714285</v>
      </c>
      <c r="H28" s="49">
        <f>AVERAGE('01.08 GULU-KARUMA'!H28,'02.08 GULU-KARUMA'!H28,'04.08 GULU-KARUMA'!H28,'06.08 GULU-KARUMA'!H28,'03. 08 GULU-KARUMA-24HRS'!H28,'05.08, GULU-KARUMA-24HRS'!H28,'7.08 GULU-KARUMA'!H28)</f>
        <v>0.14285714285714285</v>
      </c>
      <c r="I28" s="49">
        <f>AVERAGE('01.08 GULU-KARUMA'!I28,'02.08 GULU-KARUMA'!I28,'04.08 GULU-KARUMA'!I28,'06.08 GULU-KARUMA'!I28,'03. 08 GULU-KARUMA-24HRS'!I28,'05.08, GULU-KARUMA-24HRS'!I28,'7.08 GULU-KARUMA'!I28)</f>
        <v>2.7142857142857144</v>
      </c>
      <c r="J28" s="49">
        <f>AVERAGE('01.08 GULU-KARUMA'!J28,'02.08 GULU-KARUMA'!J28,'04.08 GULU-KARUMA'!J28,'06.08 GULU-KARUMA'!J28,'03. 08 GULU-KARUMA-24HRS'!J28,'05.08, GULU-KARUMA-24HRS'!J28,'7.08 GULU-KARUMA'!J28)</f>
        <v>1.7142857142857142</v>
      </c>
      <c r="K28" s="49">
        <f>AVERAGE('01.08 GULU-KARUMA'!K28,'02.08 GULU-KARUMA'!K28,'04.08 GULU-KARUMA'!K28,'06.08 GULU-KARUMA'!K28,'03. 08 GULU-KARUMA-24HRS'!K28,'05.08, GULU-KARUMA-24HRS'!K28,'7.08 GULU-KARUMA'!K28)</f>
        <v>0.14285714285714285</v>
      </c>
      <c r="L28" s="49">
        <f>AVERAGE('01.08 GULU-KARUMA'!L28,'02.08 GULU-KARUMA'!L28,'04.08 GULU-KARUMA'!L28,'06.08 GULU-KARUMA'!L28,'03. 08 GULU-KARUMA-24HRS'!L28,'05.08, GULU-KARUMA-24HRS'!L28,'7.08 GULU-KARUMA'!L28)</f>
        <v>3.1428571428571428</v>
      </c>
      <c r="M28" s="49">
        <f>AVERAGE('01.08 GULU-KARUMA'!M28,'02.08 GULU-KARUMA'!M28,'04.08 GULU-KARUMA'!M28,'06.08 GULU-KARUMA'!M28,'03. 08 GULU-KARUMA-24HRS'!M28,'05.08, GULU-KARUMA-24HRS'!M28,'7.08 GULU-KARUMA'!M28)</f>
        <v>51.571428571428569</v>
      </c>
      <c r="N28" s="49">
        <f>AVERAGE('01.08 GULU-KARUMA'!N28,'02.08 GULU-KARUMA'!N28,'04.08 GULU-KARUMA'!N28,'06.08 GULU-KARUMA'!N28,'03. 08 GULU-KARUMA-24HRS'!N28,'05.08, GULU-KARUMA-24HRS'!N28,'7.08 GULU-KARUMA'!N28)</f>
        <v>0</v>
      </c>
      <c r="O28" s="15">
        <f t="shared" si="0"/>
        <v>24.5</v>
      </c>
      <c r="P28" s="15">
        <f t="shared" si="1"/>
        <v>76.071428571428569</v>
      </c>
      <c r="R28" s="1" t="s">
        <v>152</v>
      </c>
      <c r="S28" s="34">
        <f>SUM(C82:C85)</f>
        <v>17.5</v>
      </c>
      <c r="T28" s="34">
        <f t="shared" ref="T28:AF28" si="20">SUM(D82:D85)</f>
        <v>11.5</v>
      </c>
      <c r="U28" s="34">
        <f t="shared" si="20"/>
        <v>24.5</v>
      </c>
      <c r="V28" s="34">
        <f t="shared" si="20"/>
        <v>4</v>
      </c>
      <c r="W28" s="34">
        <f t="shared" si="20"/>
        <v>2.5</v>
      </c>
      <c r="X28" s="34">
        <f t="shared" si="20"/>
        <v>2.5</v>
      </c>
      <c r="Y28" s="34">
        <f t="shared" si="20"/>
        <v>12</v>
      </c>
      <c r="Z28" s="34">
        <f t="shared" si="20"/>
        <v>1</v>
      </c>
      <c r="AA28" s="34">
        <f t="shared" si="20"/>
        <v>0</v>
      </c>
      <c r="AB28" s="34">
        <f t="shared" si="20"/>
        <v>15.5</v>
      </c>
      <c r="AC28" s="34">
        <f t="shared" si="20"/>
        <v>26</v>
      </c>
      <c r="AD28" s="34">
        <f t="shared" si="20"/>
        <v>0</v>
      </c>
      <c r="AE28" s="31">
        <f t="shared" si="20"/>
        <v>91</v>
      </c>
      <c r="AF28" s="31">
        <f t="shared" si="20"/>
        <v>117</v>
      </c>
    </row>
    <row r="29" spans="2:32" ht="23.1" customHeight="1" x14ac:dyDescent="0.25">
      <c r="B29" s="23" t="s">
        <v>56</v>
      </c>
      <c r="C29" s="49">
        <f>AVERAGE('01.08 GULU-KARUMA'!C29,'02.08 GULU-KARUMA'!C29,'04.08 GULU-KARUMA'!C29,'06.08 GULU-KARUMA'!C29,'03. 08 GULU-KARUMA-24HRS'!C29,'05.08, GULU-KARUMA-24HRS'!C29,'7.08 GULU-KARUMA'!C29)</f>
        <v>5.1428571428571432</v>
      </c>
      <c r="D29" s="49">
        <f>AVERAGE('01.08 GULU-KARUMA'!D29,'02.08 GULU-KARUMA'!D29,'04.08 GULU-KARUMA'!D29,'06.08 GULU-KARUMA'!D29,'03. 08 GULU-KARUMA-24HRS'!D29,'05.08, GULU-KARUMA-24HRS'!D29,'7.08 GULU-KARUMA'!D29)</f>
        <v>2.8571428571428572</v>
      </c>
      <c r="E29" s="49">
        <f>AVERAGE('01.08 GULU-KARUMA'!E29,'02.08 GULU-KARUMA'!E29,'04.08 GULU-KARUMA'!E29,'06.08 GULU-KARUMA'!E29,'03. 08 GULU-KARUMA-24HRS'!E29,'05.08, GULU-KARUMA-24HRS'!E29,'7.08 GULU-KARUMA'!E29)</f>
        <v>6.4285714285714288</v>
      </c>
      <c r="F29" s="49">
        <f>AVERAGE('01.08 GULU-KARUMA'!F29,'02.08 GULU-KARUMA'!F29,'04.08 GULU-KARUMA'!F29,'06.08 GULU-KARUMA'!F29,'03. 08 GULU-KARUMA-24HRS'!F29,'05.08, GULU-KARUMA-24HRS'!F29,'7.08 GULU-KARUMA'!F29)</f>
        <v>1.1428571428571428</v>
      </c>
      <c r="G29" s="49">
        <f>AVERAGE('01.08 GULU-KARUMA'!G29,'02.08 GULU-KARUMA'!G29,'04.08 GULU-KARUMA'!G29,'06.08 GULU-KARUMA'!G29,'03. 08 GULU-KARUMA-24HRS'!G29,'05.08, GULU-KARUMA-24HRS'!G29,'7.08 GULU-KARUMA'!G29)</f>
        <v>0</v>
      </c>
      <c r="H29" s="49">
        <f>AVERAGE('01.08 GULU-KARUMA'!H29,'02.08 GULU-KARUMA'!H29,'04.08 GULU-KARUMA'!H29,'06.08 GULU-KARUMA'!H29,'03. 08 GULU-KARUMA-24HRS'!H29,'05.08, GULU-KARUMA-24HRS'!H29,'7.08 GULU-KARUMA'!H29)</f>
        <v>1.1428571428571428</v>
      </c>
      <c r="I29" s="49">
        <f>AVERAGE('01.08 GULU-KARUMA'!I29,'02.08 GULU-KARUMA'!I29,'04.08 GULU-KARUMA'!I29,'06.08 GULU-KARUMA'!I29,'03. 08 GULU-KARUMA-24HRS'!I29,'05.08, GULU-KARUMA-24HRS'!I29,'7.08 GULU-KARUMA'!I29)</f>
        <v>2.8571428571428572</v>
      </c>
      <c r="J29" s="49">
        <f>AVERAGE('01.08 GULU-KARUMA'!J29,'02.08 GULU-KARUMA'!J29,'04.08 GULU-KARUMA'!J29,'06.08 GULU-KARUMA'!J29,'03. 08 GULU-KARUMA-24HRS'!J29,'05.08, GULU-KARUMA-24HRS'!J29,'7.08 GULU-KARUMA'!J29)</f>
        <v>0.8571428571428571</v>
      </c>
      <c r="K29" s="49">
        <f>AVERAGE('01.08 GULU-KARUMA'!K29,'02.08 GULU-KARUMA'!K29,'04.08 GULU-KARUMA'!K29,'06.08 GULU-KARUMA'!K29,'03. 08 GULU-KARUMA-24HRS'!K29,'05.08, GULU-KARUMA-24HRS'!K29,'7.08 GULU-KARUMA'!K29)</f>
        <v>0</v>
      </c>
      <c r="L29" s="49">
        <f>AVERAGE('01.08 GULU-KARUMA'!L29,'02.08 GULU-KARUMA'!L29,'04.08 GULU-KARUMA'!L29,'06.08 GULU-KARUMA'!L29,'03. 08 GULU-KARUMA-24HRS'!L29,'05.08, GULU-KARUMA-24HRS'!L29,'7.08 GULU-KARUMA'!L29)</f>
        <v>3.7142857142857144</v>
      </c>
      <c r="M29" s="49">
        <f>AVERAGE('01.08 GULU-KARUMA'!M29,'02.08 GULU-KARUMA'!M29,'04.08 GULU-KARUMA'!M29,'06.08 GULU-KARUMA'!M29,'03. 08 GULU-KARUMA-24HRS'!M29,'05.08, GULU-KARUMA-24HRS'!M29,'7.08 GULU-KARUMA'!M29)</f>
        <v>41</v>
      </c>
      <c r="N29" s="49">
        <f>AVERAGE('01.08 GULU-KARUMA'!N29,'02.08 GULU-KARUMA'!N29,'04.08 GULU-KARUMA'!N29,'06.08 GULU-KARUMA'!N29,'03. 08 GULU-KARUMA-24HRS'!N29,'05.08, GULU-KARUMA-24HRS'!N29,'7.08 GULU-KARUMA'!N29)</f>
        <v>0</v>
      </c>
      <c r="O29" s="15">
        <f t="shared" si="0"/>
        <v>24.142857142857146</v>
      </c>
      <c r="P29" s="15">
        <f t="shared" si="1"/>
        <v>65.142857142857139</v>
      </c>
      <c r="R29" s="1" t="s">
        <v>153</v>
      </c>
      <c r="S29" s="34">
        <f>SUM(C86:C89)</f>
        <v>21</v>
      </c>
      <c r="T29" s="34">
        <f t="shared" ref="T29:AF29" si="21">SUM(D86:D89)</f>
        <v>6.5</v>
      </c>
      <c r="U29" s="34">
        <f t="shared" si="21"/>
        <v>15.5</v>
      </c>
      <c r="V29" s="34">
        <f t="shared" si="21"/>
        <v>3</v>
      </c>
      <c r="W29" s="34">
        <f t="shared" si="21"/>
        <v>0.5</v>
      </c>
      <c r="X29" s="34">
        <f t="shared" si="21"/>
        <v>1</v>
      </c>
      <c r="Y29" s="34">
        <f t="shared" si="21"/>
        <v>12.5</v>
      </c>
      <c r="Z29" s="34">
        <f t="shared" si="21"/>
        <v>1.5</v>
      </c>
      <c r="AA29" s="34">
        <f t="shared" si="21"/>
        <v>0</v>
      </c>
      <c r="AB29" s="34">
        <f t="shared" si="21"/>
        <v>11.5</v>
      </c>
      <c r="AC29" s="34">
        <f t="shared" si="21"/>
        <v>3</v>
      </c>
      <c r="AD29" s="34">
        <f t="shared" si="21"/>
        <v>0</v>
      </c>
      <c r="AE29" s="31">
        <f t="shared" si="21"/>
        <v>73</v>
      </c>
      <c r="AF29" s="31">
        <f t="shared" si="21"/>
        <v>76</v>
      </c>
    </row>
    <row r="30" spans="2:32" ht="23.1" customHeight="1" x14ac:dyDescent="0.25">
      <c r="B30" s="23" t="s">
        <v>57</v>
      </c>
      <c r="C30" s="49">
        <f>AVERAGE('01.08 GULU-KARUMA'!C30,'02.08 GULU-KARUMA'!C30,'04.08 GULU-KARUMA'!C30,'06.08 GULU-KARUMA'!C30,'03. 08 GULU-KARUMA-24HRS'!C30,'05.08, GULU-KARUMA-24HRS'!C30,'7.08 GULU-KARUMA'!C30)</f>
        <v>4.8571428571428568</v>
      </c>
      <c r="D30" s="49">
        <f>AVERAGE('01.08 GULU-KARUMA'!D30,'02.08 GULU-KARUMA'!D30,'04.08 GULU-KARUMA'!D30,'06.08 GULU-KARUMA'!D30,'03. 08 GULU-KARUMA-24HRS'!D30,'05.08, GULU-KARUMA-24HRS'!D30,'7.08 GULU-KARUMA'!D30)</f>
        <v>1.8571428571428572</v>
      </c>
      <c r="E30" s="49">
        <f>AVERAGE('01.08 GULU-KARUMA'!E30,'02.08 GULU-KARUMA'!E30,'04.08 GULU-KARUMA'!E30,'06.08 GULU-KARUMA'!E30,'03. 08 GULU-KARUMA-24HRS'!E30,'05.08, GULU-KARUMA-24HRS'!E30,'7.08 GULU-KARUMA'!E30)</f>
        <v>4.5714285714285712</v>
      </c>
      <c r="F30" s="49">
        <f>AVERAGE('01.08 GULU-KARUMA'!F30,'02.08 GULU-KARUMA'!F30,'04.08 GULU-KARUMA'!F30,'06.08 GULU-KARUMA'!F30,'03. 08 GULU-KARUMA-24HRS'!F30,'05.08, GULU-KARUMA-24HRS'!F30,'7.08 GULU-KARUMA'!F30)</f>
        <v>1</v>
      </c>
      <c r="G30" s="49">
        <f>AVERAGE('01.08 GULU-KARUMA'!G30,'02.08 GULU-KARUMA'!G30,'04.08 GULU-KARUMA'!G30,'06.08 GULU-KARUMA'!G30,'03. 08 GULU-KARUMA-24HRS'!G30,'05.08, GULU-KARUMA-24HRS'!G30,'7.08 GULU-KARUMA'!G30)</f>
        <v>0</v>
      </c>
      <c r="H30" s="49">
        <f>AVERAGE('01.08 GULU-KARUMA'!H30,'02.08 GULU-KARUMA'!H30,'04.08 GULU-KARUMA'!H30,'06.08 GULU-KARUMA'!H30,'03. 08 GULU-KARUMA-24HRS'!H30,'05.08, GULU-KARUMA-24HRS'!H30,'7.08 GULU-KARUMA'!H30)</f>
        <v>0</v>
      </c>
      <c r="I30" s="49">
        <f>AVERAGE('01.08 GULU-KARUMA'!I30,'02.08 GULU-KARUMA'!I30,'04.08 GULU-KARUMA'!I30,'06.08 GULU-KARUMA'!I30,'03. 08 GULU-KARUMA-24HRS'!I30,'05.08, GULU-KARUMA-24HRS'!I30,'7.08 GULU-KARUMA'!I30)</f>
        <v>3.4285714285714284</v>
      </c>
      <c r="J30" s="49">
        <f>AVERAGE('01.08 GULU-KARUMA'!J30,'02.08 GULU-KARUMA'!J30,'04.08 GULU-KARUMA'!J30,'06.08 GULU-KARUMA'!J30,'03. 08 GULU-KARUMA-24HRS'!J30,'05.08, GULU-KARUMA-24HRS'!J30,'7.08 GULU-KARUMA'!J30)</f>
        <v>1.2857142857142858</v>
      </c>
      <c r="K30" s="49">
        <f>AVERAGE('01.08 GULU-KARUMA'!K30,'02.08 GULU-KARUMA'!K30,'04.08 GULU-KARUMA'!K30,'06.08 GULU-KARUMA'!K30,'03. 08 GULU-KARUMA-24HRS'!K30,'05.08, GULU-KARUMA-24HRS'!K30,'7.08 GULU-KARUMA'!K30)</f>
        <v>0.14285714285714285</v>
      </c>
      <c r="L30" s="49">
        <f>AVERAGE('01.08 GULU-KARUMA'!L30,'02.08 GULU-KARUMA'!L30,'04.08 GULU-KARUMA'!L30,'06.08 GULU-KARUMA'!L30,'03. 08 GULU-KARUMA-24HRS'!L30,'05.08, GULU-KARUMA-24HRS'!L30,'7.08 GULU-KARUMA'!L30)</f>
        <v>4.1428571428571432</v>
      </c>
      <c r="M30" s="49">
        <f>AVERAGE('01.08 GULU-KARUMA'!M30,'02.08 GULU-KARUMA'!M30,'04.08 GULU-KARUMA'!M30,'06.08 GULU-KARUMA'!M30,'03. 08 GULU-KARUMA-24HRS'!M30,'05.08, GULU-KARUMA-24HRS'!M30,'7.08 GULU-KARUMA'!M30)</f>
        <v>49.285714285714285</v>
      </c>
      <c r="N30" s="49">
        <f>AVERAGE('01.08 GULU-KARUMA'!N30,'02.08 GULU-KARUMA'!N30,'04.08 GULU-KARUMA'!N30,'06.08 GULU-KARUMA'!N30,'03. 08 GULU-KARUMA-24HRS'!N30,'05.08, GULU-KARUMA-24HRS'!N30,'7.08 GULU-KARUMA'!N30)</f>
        <v>0.14285714285714285</v>
      </c>
      <c r="O30" s="15">
        <f t="shared" si="0"/>
        <v>21.428571428571427</v>
      </c>
      <c r="P30" s="15">
        <f t="shared" si="1"/>
        <v>70.714285714285708</v>
      </c>
      <c r="R30" s="1" t="s">
        <v>154</v>
      </c>
      <c r="S30" s="34">
        <f>SUM(C90:C93)</f>
        <v>26</v>
      </c>
      <c r="T30" s="34">
        <f t="shared" ref="T30:AF30" si="22">SUM(D90:D93)</f>
        <v>9.5</v>
      </c>
      <c r="U30" s="34">
        <f t="shared" si="22"/>
        <v>20.5</v>
      </c>
      <c r="V30" s="34">
        <f t="shared" si="22"/>
        <v>3</v>
      </c>
      <c r="W30" s="34">
        <f t="shared" si="22"/>
        <v>0</v>
      </c>
      <c r="X30" s="34">
        <f t="shared" si="22"/>
        <v>2.5</v>
      </c>
      <c r="Y30" s="34">
        <f t="shared" si="22"/>
        <v>12.5</v>
      </c>
      <c r="Z30" s="34">
        <f t="shared" si="22"/>
        <v>2</v>
      </c>
      <c r="AA30" s="34">
        <f t="shared" si="22"/>
        <v>1</v>
      </c>
      <c r="AB30" s="34">
        <f t="shared" si="22"/>
        <v>7.5</v>
      </c>
      <c r="AC30" s="34">
        <f t="shared" si="22"/>
        <v>8</v>
      </c>
      <c r="AD30" s="34">
        <f t="shared" si="22"/>
        <v>2</v>
      </c>
      <c r="AE30" s="31">
        <f t="shared" si="22"/>
        <v>86.5</v>
      </c>
      <c r="AF30" s="31">
        <f t="shared" si="22"/>
        <v>94.5</v>
      </c>
    </row>
    <row r="31" spans="2:32" ht="23.1" customHeight="1" x14ac:dyDescent="0.25">
      <c r="B31" s="24" t="s">
        <v>58</v>
      </c>
      <c r="C31" s="49">
        <f>AVERAGE('01.08 GULU-KARUMA'!C31,'02.08 GULU-KARUMA'!C31,'04.08 GULU-KARUMA'!C31,'06.08 GULU-KARUMA'!C31,'03. 08 GULU-KARUMA-24HRS'!C31,'05.08, GULU-KARUMA-24HRS'!C31,'7.08 GULU-KARUMA'!C31)</f>
        <v>5.1428571428571432</v>
      </c>
      <c r="D31" s="49">
        <f>AVERAGE('01.08 GULU-KARUMA'!D31,'02.08 GULU-KARUMA'!D31,'04.08 GULU-KARUMA'!D31,'06.08 GULU-KARUMA'!D31,'03. 08 GULU-KARUMA-24HRS'!D31,'05.08, GULU-KARUMA-24HRS'!D31,'7.08 GULU-KARUMA'!D31)</f>
        <v>2</v>
      </c>
      <c r="E31" s="49">
        <f>AVERAGE('01.08 GULU-KARUMA'!E31,'02.08 GULU-KARUMA'!E31,'04.08 GULU-KARUMA'!E31,'06.08 GULU-KARUMA'!E31,'03. 08 GULU-KARUMA-24HRS'!E31,'05.08, GULU-KARUMA-24HRS'!E31,'7.08 GULU-KARUMA'!E31)</f>
        <v>4.2857142857142856</v>
      </c>
      <c r="F31" s="49">
        <f>AVERAGE('01.08 GULU-KARUMA'!F31,'02.08 GULU-KARUMA'!F31,'04.08 GULU-KARUMA'!F31,'06.08 GULU-KARUMA'!F31,'03. 08 GULU-KARUMA-24HRS'!F31,'05.08, GULU-KARUMA-24HRS'!F31,'7.08 GULU-KARUMA'!F31)</f>
        <v>1.2857142857142858</v>
      </c>
      <c r="G31" s="49">
        <f>AVERAGE('01.08 GULU-KARUMA'!G31,'02.08 GULU-KARUMA'!G31,'04.08 GULU-KARUMA'!G31,'06.08 GULU-KARUMA'!G31,'03. 08 GULU-KARUMA-24HRS'!G31,'05.08, GULU-KARUMA-24HRS'!G31,'7.08 GULU-KARUMA'!G31)</f>
        <v>0.14285714285714285</v>
      </c>
      <c r="H31" s="49">
        <f>AVERAGE('01.08 GULU-KARUMA'!H31,'02.08 GULU-KARUMA'!H31,'04.08 GULU-KARUMA'!H31,'06.08 GULU-KARUMA'!H31,'03. 08 GULU-KARUMA-24HRS'!H31,'05.08, GULU-KARUMA-24HRS'!H31,'7.08 GULU-KARUMA'!H31)</f>
        <v>0.42857142857142855</v>
      </c>
      <c r="I31" s="49">
        <f>AVERAGE('01.08 GULU-KARUMA'!I31,'02.08 GULU-KARUMA'!I31,'04.08 GULU-KARUMA'!I31,'06.08 GULU-KARUMA'!I31,'03. 08 GULU-KARUMA-24HRS'!I31,'05.08, GULU-KARUMA-24HRS'!I31,'7.08 GULU-KARUMA'!I31)</f>
        <v>3</v>
      </c>
      <c r="J31" s="49">
        <f>AVERAGE('01.08 GULU-KARUMA'!J31,'02.08 GULU-KARUMA'!J31,'04.08 GULU-KARUMA'!J31,'06.08 GULU-KARUMA'!J31,'03. 08 GULU-KARUMA-24HRS'!J31,'05.08, GULU-KARUMA-24HRS'!J31,'7.08 GULU-KARUMA'!J31)</f>
        <v>0.8571428571428571</v>
      </c>
      <c r="K31" s="49">
        <f>AVERAGE('01.08 GULU-KARUMA'!K31,'02.08 GULU-KARUMA'!K31,'04.08 GULU-KARUMA'!K31,'06.08 GULU-KARUMA'!K31,'03. 08 GULU-KARUMA-24HRS'!K31,'05.08, GULU-KARUMA-24HRS'!K31,'7.08 GULU-KARUMA'!K31)</f>
        <v>0.2857142857142857</v>
      </c>
      <c r="L31" s="49">
        <f>AVERAGE('01.08 GULU-KARUMA'!L31,'02.08 GULU-KARUMA'!L31,'04.08 GULU-KARUMA'!L31,'06.08 GULU-KARUMA'!L31,'03. 08 GULU-KARUMA-24HRS'!L31,'05.08, GULU-KARUMA-24HRS'!L31,'7.08 GULU-KARUMA'!L31)</f>
        <v>5.8571428571428568</v>
      </c>
      <c r="M31" s="49">
        <f>AVERAGE('01.08 GULU-KARUMA'!M31,'02.08 GULU-KARUMA'!M31,'04.08 GULU-KARUMA'!M31,'06.08 GULU-KARUMA'!M31,'03. 08 GULU-KARUMA-24HRS'!M31,'05.08, GULU-KARUMA-24HRS'!M31,'7.08 GULU-KARUMA'!M31)</f>
        <v>44.285714285714285</v>
      </c>
      <c r="N31" s="49">
        <f>AVERAGE('01.08 GULU-KARUMA'!N31,'02.08 GULU-KARUMA'!N31,'04.08 GULU-KARUMA'!N31,'06.08 GULU-KARUMA'!N31,'03. 08 GULU-KARUMA-24HRS'!N31,'05.08, GULU-KARUMA-24HRS'!N31,'7.08 GULU-KARUMA'!N31)</f>
        <v>0</v>
      </c>
      <c r="O31" s="15">
        <f t="shared" si="0"/>
        <v>23.285714285714285</v>
      </c>
      <c r="P31" s="15">
        <f t="shared" si="1"/>
        <v>67.571428571428569</v>
      </c>
      <c r="R31" s="1" t="s">
        <v>155</v>
      </c>
      <c r="S31" s="34">
        <f>SUM(C94:C97)</f>
        <v>29</v>
      </c>
      <c r="T31" s="34">
        <f t="shared" ref="T31:AF31" si="23">SUM(D94:D97)</f>
        <v>10.5</v>
      </c>
      <c r="U31" s="34">
        <f t="shared" si="23"/>
        <v>22</v>
      </c>
      <c r="V31" s="34">
        <f t="shared" si="23"/>
        <v>4</v>
      </c>
      <c r="W31" s="34">
        <f t="shared" si="23"/>
        <v>1</v>
      </c>
      <c r="X31" s="34">
        <f t="shared" si="23"/>
        <v>2</v>
      </c>
      <c r="Y31" s="34">
        <f t="shared" si="23"/>
        <v>16.5</v>
      </c>
      <c r="Z31" s="34">
        <f t="shared" si="23"/>
        <v>3</v>
      </c>
      <c r="AA31" s="34">
        <f t="shared" si="23"/>
        <v>0</v>
      </c>
      <c r="AB31" s="34">
        <f t="shared" si="23"/>
        <v>9</v>
      </c>
      <c r="AC31" s="34">
        <f t="shared" si="23"/>
        <v>0</v>
      </c>
      <c r="AD31" s="34">
        <f t="shared" si="23"/>
        <v>0</v>
      </c>
      <c r="AE31" s="31">
        <f t="shared" si="23"/>
        <v>97</v>
      </c>
      <c r="AF31" s="31">
        <f t="shared" si="23"/>
        <v>97</v>
      </c>
    </row>
    <row r="32" spans="2:32" ht="23.1" customHeight="1" x14ac:dyDescent="0.25">
      <c r="B32" s="24" t="s">
        <v>59</v>
      </c>
      <c r="C32" s="49">
        <f>AVERAGE('01.08 GULU-KARUMA'!C32,'02.08 GULU-KARUMA'!C32,'04.08 GULU-KARUMA'!C32,'06.08 GULU-KARUMA'!C32,'03. 08 GULU-KARUMA-24HRS'!C32,'05.08, GULU-KARUMA-24HRS'!C32,'7.08 GULU-KARUMA'!C32)</f>
        <v>5.2857142857142856</v>
      </c>
      <c r="D32" s="49">
        <f>AVERAGE('01.08 GULU-KARUMA'!D32,'02.08 GULU-KARUMA'!D32,'04.08 GULU-KARUMA'!D32,'06.08 GULU-KARUMA'!D32,'03. 08 GULU-KARUMA-24HRS'!D32,'05.08, GULU-KARUMA-24HRS'!D32,'7.08 GULU-KARUMA'!D32)</f>
        <v>2.4285714285714284</v>
      </c>
      <c r="E32" s="49">
        <f>AVERAGE('01.08 GULU-KARUMA'!E32,'02.08 GULU-KARUMA'!E32,'04.08 GULU-KARUMA'!E32,'06.08 GULU-KARUMA'!E32,'03. 08 GULU-KARUMA-24HRS'!E32,'05.08, GULU-KARUMA-24HRS'!E32,'7.08 GULU-KARUMA'!E32)</f>
        <v>4.9285714285714288</v>
      </c>
      <c r="F32" s="49">
        <f>AVERAGE('01.08 GULU-KARUMA'!F32,'02.08 GULU-KARUMA'!F32,'04.08 GULU-KARUMA'!F32,'06.08 GULU-KARUMA'!F32,'03. 08 GULU-KARUMA-24HRS'!F32,'05.08, GULU-KARUMA-24HRS'!F32,'7.08 GULU-KARUMA'!F32)</f>
        <v>0.2857142857142857</v>
      </c>
      <c r="G32" s="49">
        <f>AVERAGE('01.08 GULU-KARUMA'!G32,'02.08 GULU-KARUMA'!G32,'04.08 GULU-KARUMA'!G32,'06.08 GULU-KARUMA'!G32,'03. 08 GULU-KARUMA-24HRS'!G32,'05.08, GULU-KARUMA-24HRS'!G32,'7.08 GULU-KARUMA'!G32)</f>
        <v>0</v>
      </c>
      <c r="H32" s="49">
        <f>AVERAGE('01.08 GULU-KARUMA'!H32,'02.08 GULU-KARUMA'!H32,'04.08 GULU-KARUMA'!H32,'06.08 GULU-KARUMA'!H32,'03. 08 GULU-KARUMA-24HRS'!H32,'05.08, GULU-KARUMA-24HRS'!H32,'7.08 GULU-KARUMA'!H32)</f>
        <v>0.2857142857142857</v>
      </c>
      <c r="I32" s="49">
        <f>AVERAGE('01.08 GULU-KARUMA'!I32,'02.08 GULU-KARUMA'!I32,'04.08 GULU-KARUMA'!I32,'06.08 GULU-KARUMA'!I32,'03. 08 GULU-KARUMA-24HRS'!I32,'05.08, GULU-KARUMA-24HRS'!I32,'7.08 GULU-KARUMA'!I32)</f>
        <v>2.1428571428571428</v>
      </c>
      <c r="J32" s="49">
        <f>AVERAGE('01.08 GULU-KARUMA'!J32,'02.08 GULU-KARUMA'!J32,'04.08 GULU-KARUMA'!J32,'06.08 GULU-KARUMA'!J32,'03. 08 GULU-KARUMA-24HRS'!J32,'05.08, GULU-KARUMA-24HRS'!J32,'7.08 GULU-KARUMA'!J32)</f>
        <v>0.42857142857142855</v>
      </c>
      <c r="K32" s="49">
        <f>AVERAGE('01.08 GULU-KARUMA'!K32,'02.08 GULU-KARUMA'!K32,'04.08 GULU-KARUMA'!K32,'06.08 GULU-KARUMA'!K32,'03. 08 GULU-KARUMA-24HRS'!K32,'05.08, GULU-KARUMA-24HRS'!K32,'7.08 GULU-KARUMA'!K32)</f>
        <v>0.14285714285714285</v>
      </c>
      <c r="L32" s="49">
        <f>AVERAGE('01.08 GULU-KARUMA'!L32,'02.08 GULU-KARUMA'!L32,'04.08 GULU-KARUMA'!L32,'06.08 GULU-KARUMA'!L32,'03. 08 GULU-KARUMA-24HRS'!L32,'05.08, GULU-KARUMA-24HRS'!L32,'7.08 GULU-KARUMA'!L32)</f>
        <v>2.4285714285714284</v>
      </c>
      <c r="M32" s="49">
        <f>AVERAGE('01.08 GULU-KARUMA'!M32,'02.08 GULU-KARUMA'!M32,'04.08 GULU-KARUMA'!M32,'06.08 GULU-KARUMA'!M32,'03. 08 GULU-KARUMA-24HRS'!M32,'05.08, GULU-KARUMA-24HRS'!M32,'7.08 GULU-KARUMA'!M32)</f>
        <v>47.285714285714285</v>
      </c>
      <c r="N32" s="49">
        <f>AVERAGE('01.08 GULU-KARUMA'!N32,'02.08 GULU-KARUMA'!N32,'04.08 GULU-KARUMA'!N32,'06.08 GULU-KARUMA'!N32,'03. 08 GULU-KARUMA-24HRS'!N32,'05.08, GULU-KARUMA-24HRS'!N32,'7.08 GULU-KARUMA'!N32)</f>
        <v>0</v>
      </c>
      <c r="O32" s="15">
        <f t="shared" si="0"/>
        <v>18.357142857142858</v>
      </c>
      <c r="P32" s="15">
        <f t="shared" si="1"/>
        <v>65.642857142857139</v>
      </c>
      <c r="R32" s="1" t="s">
        <v>156</v>
      </c>
      <c r="S32" s="34">
        <f>SUM(C98:C101)</f>
        <v>28</v>
      </c>
      <c r="T32" s="34">
        <f t="shared" ref="T32:AF32" si="24">SUM(D98:D101)</f>
        <v>12.5</v>
      </c>
      <c r="U32" s="34">
        <f t="shared" si="24"/>
        <v>27</v>
      </c>
      <c r="V32" s="34">
        <f t="shared" si="24"/>
        <v>7</v>
      </c>
      <c r="W32" s="34">
        <f t="shared" si="24"/>
        <v>1</v>
      </c>
      <c r="X32" s="34">
        <f t="shared" si="24"/>
        <v>4</v>
      </c>
      <c r="Y32" s="34">
        <f t="shared" si="24"/>
        <v>10.5</v>
      </c>
      <c r="Z32" s="34">
        <f t="shared" si="24"/>
        <v>1</v>
      </c>
      <c r="AA32" s="34">
        <f t="shared" si="24"/>
        <v>1.5</v>
      </c>
      <c r="AB32" s="34">
        <f t="shared" si="24"/>
        <v>6</v>
      </c>
      <c r="AC32" s="34">
        <f t="shared" si="24"/>
        <v>6</v>
      </c>
      <c r="AD32" s="34">
        <f t="shared" si="24"/>
        <v>0</v>
      </c>
      <c r="AE32" s="31">
        <f t="shared" si="24"/>
        <v>98.5</v>
      </c>
      <c r="AF32" s="31">
        <f t="shared" si="24"/>
        <v>104.5</v>
      </c>
    </row>
    <row r="33" spans="2:32" ht="23.1" customHeight="1" x14ac:dyDescent="0.25">
      <c r="B33" s="23" t="s">
        <v>60</v>
      </c>
      <c r="C33" s="49">
        <f>AVERAGE('01.08 GULU-KARUMA'!C33,'02.08 GULU-KARUMA'!C33,'04.08 GULU-KARUMA'!C33,'06.08 GULU-KARUMA'!C33,'03. 08 GULU-KARUMA-24HRS'!C33,'05.08, GULU-KARUMA-24HRS'!C33,'7.08 GULU-KARUMA'!C33)</f>
        <v>5.5714285714285712</v>
      </c>
      <c r="D33" s="49">
        <f>AVERAGE('01.08 GULU-KARUMA'!D33,'02.08 GULU-KARUMA'!D33,'04.08 GULU-KARUMA'!D33,'06.08 GULU-KARUMA'!D33,'03. 08 GULU-KARUMA-24HRS'!D33,'05.08, GULU-KARUMA-24HRS'!D33,'7.08 GULU-KARUMA'!D33)</f>
        <v>3.1428571428571428</v>
      </c>
      <c r="E33" s="49">
        <f>AVERAGE('01.08 GULU-KARUMA'!E33,'02.08 GULU-KARUMA'!E33,'04.08 GULU-KARUMA'!E33,'06.08 GULU-KARUMA'!E33,'03. 08 GULU-KARUMA-24HRS'!E33,'05.08, GULU-KARUMA-24HRS'!E33,'7.08 GULU-KARUMA'!E33)</f>
        <v>6.7857142857142856</v>
      </c>
      <c r="F33" s="49">
        <f>AVERAGE('01.08 GULU-KARUMA'!F33,'02.08 GULU-KARUMA'!F33,'04.08 GULU-KARUMA'!F33,'06.08 GULU-KARUMA'!F33,'03. 08 GULU-KARUMA-24HRS'!F33,'05.08, GULU-KARUMA-24HRS'!F33,'7.08 GULU-KARUMA'!F33)</f>
        <v>1.1428571428571428</v>
      </c>
      <c r="G33" s="49">
        <f>AVERAGE('01.08 GULU-KARUMA'!G33,'02.08 GULU-KARUMA'!G33,'04.08 GULU-KARUMA'!G33,'06.08 GULU-KARUMA'!G33,'03. 08 GULU-KARUMA-24HRS'!G33,'05.08, GULU-KARUMA-24HRS'!G33,'7.08 GULU-KARUMA'!G33)</f>
        <v>0</v>
      </c>
      <c r="H33" s="49">
        <f>AVERAGE('01.08 GULU-KARUMA'!H33,'02.08 GULU-KARUMA'!H33,'04.08 GULU-KARUMA'!H33,'06.08 GULU-KARUMA'!H33,'03. 08 GULU-KARUMA-24HRS'!H33,'05.08, GULU-KARUMA-24HRS'!H33,'7.08 GULU-KARUMA'!H33)</f>
        <v>0.8571428571428571</v>
      </c>
      <c r="I33" s="49">
        <f>AVERAGE('01.08 GULU-KARUMA'!I33,'02.08 GULU-KARUMA'!I33,'04.08 GULU-KARUMA'!I33,'06.08 GULU-KARUMA'!I33,'03. 08 GULU-KARUMA-24HRS'!I33,'05.08, GULU-KARUMA-24HRS'!I33,'7.08 GULU-KARUMA'!I33)</f>
        <v>1.7142857142857142</v>
      </c>
      <c r="J33" s="49">
        <f>AVERAGE('01.08 GULU-KARUMA'!J33,'02.08 GULU-KARUMA'!J33,'04.08 GULU-KARUMA'!J33,'06.08 GULU-KARUMA'!J33,'03. 08 GULU-KARUMA-24HRS'!J33,'05.08, GULU-KARUMA-24HRS'!J33,'7.08 GULU-KARUMA'!J33)</f>
        <v>0.8571428571428571</v>
      </c>
      <c r="K33" s="49">
        <f>AVERAGE('01.08 GULU-KARUMA'!K33,'02.08 GULU-KARUMA'!K33,'04.08 GULU-KARUMA'!K33,'06.08 GULU-KARUMA'!K33,'03. 08 GULU-KARUMA-24HRS'!K33,'05.08, GULU-KARUMA-24HRS'!K33,'7.08 GULU-KARUMA'!K33)</f>
        <v>0</v>
      </c>
      <c r="L33" s="49">
        <f>AVERAGE('01.08 GULU-KARUMA'!L33,'02.08 GULU-KARUMA'!L33,'04.08 GULU-KARUMA'!L33,'06.08 GULU-KARUMA'!L33,'03. 08 GULU-KARUMA-24HRS'!L33,'05.08, GULU-KARUMA-24HRS'!L33,'7.08 GULU-KARUMA'!L33)</f>
        <v>4.5714285714285712</v>
      </c>
      <c r="M33" s="49">
        <f>AVERAGE('01.08 GULU-KARUMA'!M33,'02.08 GULU-KARUMA'!M33,'04.08 GULU-KARUMA'!M33,'06.08 GULU-KARUMA'!M33,'03. 08 GULU-KARUMA-24HRS'!M33,'05.08, GULU-KARUMA-24HRS'!M33,'7.08 GULU-KARUMA'!M33)</f>
        <v>48.142857142857146</v>
      </c>
      <c r="N33" s="49">
        <f>AVERAGE('01.08 GULU-KARUMA'!N33,'02.08 GULU-KARUMA'!N33,'04.08 GULU-KARUMA'!N33,'06.08 GULU-KARUMA'!N33,'03. 08 GULU-KARUMA-24HRS'!N33,'05.08, GULU-KARUMA-24HRS'!N33,'7.08 GULU-KARUMA'!N33)</f>
        <v>0.14285714285714285</v>
      </c>
      <c r="O33" s="15">
        <f t="shared" si="0"/>
        <v>24.785714285714288</v>
      </c>
      <c r="P33" s="15">
        <f t="shared" si="1"/>
        <v>72.928571428571431</v>
      </c>
      <c r="R33" s="1" t="s">
        <v>157</v>
      </c>
      <c r="S33" s="34">
        <f>SUM(C102:C105)</f>
        <v>32</v>
      </c>
      <c r="T33" s="34">
        <f t="shared" ref="T33:AF33" si="25">SUM(D102:D105)</f>
        <v>21.5</v>
      </c>
      <c r="U33" s="34">
        <f t="shared" si="25"/>
        <v>45</v>
      </c>
      <c r="V33" s="34">
        <f t="shared" si="25"/>
        <v>10</v>
      </c>
      <c r="W33" s="34">
        <f t="shared" si="25"/>
        <v>1</v>
      </c>
      <c r="X33" s="34">
        <f t="shared" si="25"/>
        <v>1.5</v>
      </c>
      <c r="Y33" s="34">
        <f t="shared" si="25"/>
        <v>11.5</v>
      </c>
      <c r="Z33" s="34">
        <f t="shared" si="25"/>
        <v>2</v>
      </c>
      <c r="AA33" s="34">
        <f t="shared" si="25"/>
        <v>1</v>
      </c>
      <c r="AB33" s="34">
        <f t="shared" si="25"/>
        <v>10</v>
      </c>
      <c r="AC33" s="34">
        <f t="shared" si="25"/>
        <v>27</v>
      </c>
      <c r="AD33" s="34">
        <f t="shared" si="25"/>
        <v>0</v>
      </c>
      <c r="AE33" s="31">
        <f t="shared" si="25"/>
        <v>135.5</v>
      </c>
      <c r="AF33" s="31">
        <f t="shared" si="25"/>
        <v>162.5</v>
      </c>
    </row>
    <row r="34" spans="2:32" ht="23.1" customHeight="1" x14ac:dyDescent="0.25">
      <c r="B34" s="24" t="s">
        <v>61</v>
      </c>
      <c r="C34" s="49">
        <f>AVERAGE('01.08 GULU-KARUMA'!C34,'02.08 GULU-KARUMA'!C34,'04.08 GULU-KARUMA'!C34,'06.08 GULU-KARUMA'!C34,'03. 08 GULU-KARUMA-24HRS'!C34,'05.08, GULU-KARUMA-24HRS'!C34,'7.08 GULU-KARUMA'!C34)</f>
        <v>4.4285714285714288</v>
      </c>
      <c r="D34" s="49">
        <f>AVERAGE('01.08 GULU-KARUMA'!D34,'02.08 GULU-KARUMA'!D34,'04.08 GULU-KARUMA'!D34,'06.08 GULU-KARUMA'!D34,'03. 08 GULU-KARUMA-24HRS'!D34,'05.08, GULU-KARUMA-24HRS'!D34,'7.08 GULU-KARUMA'!D34)</f>
        <v>1.7142857142857142</v>
      </c>
      <c r="E34" s="49">
        <f>AVERAGE('01.08 GULU-KARUMA'!E34,'02.08 GULU-KARUMA'!E34,'04.08 GULU-KARUMA'!E34,'06.08 GULU-KARUMA'!E34,'03. 08 GULU-KARUMA-24HRS'!E34,'05.08, GULU-KARUMA-24HRS'!E34,'7.08 GULU-KARUMA'!E34)</f>
        <v>4.2142857142857144</v>
      </c>
      <c r="F34" s="49">
        <f>AVERAGE('01.08 GULU-KARUMA'!F34,'02.08 GULU-KARUMA'!F34,'04.08 GULU-KARUMA'!F34,'06.08 GULU-KARUMA'!F34,'03. 08 GULU-KARUMA-24HRS'!F34,'05.08, GULU-KARUMA-24HRS'!F34,'7.08 GULU-KARUMA'!F34)</f>
        <v>1.5714285714285714</v>
      </c>
      <c r="G34" s="49">
        <f>AVERAGE('01.08 GULU-KARUMA'!G34,'02.08 GULU-KARUMA'!G34,'04.08 GULU-KARUMA'!G34,'06.08 GULU-KARUMA'!G34,'03. 08 GULU-KARUMA-24HRS'!G34,'05.08, GULU-KARUMA-24HRS'!G34,'7.08 GULU-KARUMA'!G34)</f>
        <v>0</v>
      </c>
      <c r="H34" s="49">
        <f>AVERAGE('01.08 GULU-KARUMA'!H34,'02.08 GULU-KARUMA'!H34,'04.08 GULU-KARUMA'!H34,'06.08 GULU-KARUMA'!H34,'03. 08 GULU-KARUMA-24HRS'!H34,'05.08, GULU-KARUMA-24HRS'!H34,'7.08 GULU-KARUMA'!H34)</f>
        <v>0.42857142857142855</v>
      </c>
      <c r="I34" s="49">
        <f>AVERAGE('01.08 GULU-KARUMA'!I34,'02.08 GULU-KARUMA'!I34,'04.08 GULU-KARUMA'!I34,'06.08 GULU-KARUMA'!I34,'03. 08 GULU-KARUMA-24HRS'!I34,'05.08, GULU-KARUMA-24HRS'!I34,'7.08 GULU-KARUMA'!I34)</f>
        <v>2</v>
      </c>
      <c r="J34" s="49">
        <f>AVERAGE('01.08 GULU-KARUMA'!J34,'02.08 GULU-KARUMA'!J34,'04.08 GULU-KARUMA'!J34,'06.08 GULU-KARUMA'!J34,'03. 08 GULU-KARUMA-24HRS'!J34,'05.08, GULU-KARUMA-24HRS'!J34,'7.08 GULU-KARUMA'!J34)</f>
        <v>1</v>
      </c>
      <c r="K34" s="49">
        <f>AVERAGE('01.08 GULU-KARUMA'!K34,'02.08 GULU-KARUMA'!K34,'04.08 GULU-KARUMA'!K34,'06.08 GULU-KARUMA'!K34,'03. 08 GULU-KARUMA-24HRS'!K34,'05.08, GULU-KARUMA-24HRS'!K34,'7.08 GULU-KARUMA'!K34)</f>
        <v>0.14285714285714285</v>
      </c>
      <c r="L34" s="49">
        <f>AVERAGE('01.08 GULU-KARUMA'!L34,'02.08 GULU-KARUMA'!L34,'04.08 GULU-KARUMA'!L34,'06.08 GULU-KARUMA'!L34,'03. 08 GULU-KARUMA-24HRS'!L34,'05.08, GULU-KARUMA-24HRS'!L34,'7.08 GULU-KARUMA'!L34)</f>
        <v>2.5714285714285716</v>
      </c>
      <c r="M34" s="49">
        <f>AVERAGE('01.08 GULU-KARUMA'!M34,'02.08 GULU-KARUMA'!M34,'04.08 GULU-KARUMA'!M34,'06.08 GULU-KARUMA'!M34,'03. 08 GULU-KARUMA-24HRS'!M34,'05.08, GULU-KARUMA-24HRS'!M34,'7.08 GULU-KARUMA'!M34)</f>
        <v>44.142857142857146</v>
      </c>
      <c r="N34" s="49">
        <f>AVERAGE('01.08 GULU-KARUMA'!N34,'02.08 GULU-KARUMA'!N34,'04.08 GULU-KARUMA'!N34,'06.08 GULU-KARUMA'!N34,'03. 08 GULU-KARUMA-24HRS'!N34,'05.08, GULU-KARUMA-24HRS'!N34,'7.08 GULU-KARUMA'!N34)</f>
        <v>0</v>
      </c>
      <c r="O34" s="15">
        <f t="shared" si="0"/>
        <v>18.071428571428573</v>
      </c>
      <c r="P34" s="15">
        <f t="shared" si="1"/>
        <v>62.214285714285722</v>
      </c>
      <c r="R34" s="51" t="s">
        <v>90</v>
      </c>
      <c r="S34" s="52">
        <f t="shared" ref="S34:AF34" si="26">MAX(S10:S12)</f>
        <v>17.714285714285715</v>
      </c>
      <c r="T34" s="52">
        <f t="shared" si="26"/>
        <v>8.8571428571428577</v>
      </c>
      <c r="U34" s="52">
        <f t="shared" si="26"/>
        <v>20.142857142857146</v>
      </c>
      <c r="V34" s="52">
        <f t="shared" si="26"/>
        <v>6.7142857142857144</v>
      </c>
      <c r="W34" s="52">
        <f t="shared" si="26"/>
        <v>0.8571428571428571</v>
      </c>
      <c r="X34" s="52">
        <f t="shared" si="26"/>
        <v>2.2857142857142856</v>
      </c>
      <c r="Y34" s="52">
        <f t="shared" si="26"/>
        <v>10.714285714285715</v>
      </c>
      <c r="Z34" s="52">
        <f t="shared" si="26"/>
        <v>3</v>
      </c>
      <c r="AA34" s="52">
        <f t="shared" si="26"/>
        <v>0.2857142857142857</v>
      </c>
      <c r="AB34" s="52">
        <f t="shared" si="26"/>
        <v>4.4285714285714288</v>
      </c>
      <c r="AC34" s="52">
        <f t="shared" si="26"/>
        <v>217.28571428571431</v>
      </c>
      <c r="AD34" s="52">
        <f t="shared" si="26"/>
        <v>0.2857142857142857</v>
      </c>
      <c r="AE34" s="40">
        <f t="shared" si="26"/>
        <v>74.285714285714292</v>
      </c>
      <c r="AF34" s="40">
        <f t="shared" si="26"/>
        <v>280.78571428571428</v>
      </c>
    </row>
    <row r="35" spans="2:32" ht="23.1" customHeight="1" x14ac:dyDescent="0.25">
      <c r="B35" s="24" t="s">
        <v>62</v>
      </c>
      <c r="C35" s="49">
        <f>AVERAGE('01.08 GULU-KARUMA'!C35,'02.08 GULU-KARUMA'!C35,'04.08 GULU-KARUMA'!C35,'06.08 GULU-KARUMA'!C35,'03. 08 GULU-KARUMA-24HRS'!C35,'05.08, GULU-KARUMA-24HRS'!C35,'7.08 GULU-KARUMA'!C35)</f>
        <v>4.4285714285714288</v>
      </c>
      <c r="D35" s="49">
        <f>AVERAGE('01.08 GULU-KARUMA'!D35,'02.08 GULU-KARUMA'!D35,'04.08 GULU-KARUMA'!D35,'06.08 GULU-KARUMA'!D35,'03. 08 GULU-KARUMA-24HRS'!D35,'05.08, GULU-KARUMA-24HRS'!D35,'7.08 GULU-KARUMA'!D35)</f>
        <v>2</v>
      </c>
      <c r="E35" s="49">
        <f>AVERAGE('01.08 GULU-KARUMA'!E35,'02.08 GULU-KARUMA'!E35,'04.08 GULU-KARUMA'!E35,'06.08 GULU-KARUMA'!E35,'03. 08 GULU-KARUMA-24HRS'!E35,'05.08, GULU-KARUMA-24HRS'!E35,'7.08 GULU-KARUMA'!E35)</f>
        <v>4.6428571428571432</v>
      </c>
      <c r="F35" s="49">
        <f>AVERAGE('01.08 GULU-KARUMA'!F35,'02.08 GULU-KARUMA'!F35,'04.08 GULU-KARUMA'!F35,'06.08 GULU-KARUMA'!F35,'03. 08 GULU-KARUMA-24HRS'!F35,'05.08, GULU-KARUMA-24HRS'!F35,'7.08 GULU-KARUMA'!F35)</f>
        <v>1</v>
      </c>
      <c r="G35" s="49">
        <f>AVERAGE('01.08 GULU-KARUMA'!G35,'02.08 GULU-KARUMA'!G35,'04.08 GULU-KARUMA'!G35,'06.08 GULU-KARUMA'!G35,'03. 08 GULU-KARUMA-24HRS'!G35,'05.08, GULU-KARUMA-24HRS'!G35,'7.08 GULU-KARUMA'!G35)</f>
        <v>0</v>
      </c>
      <c r="H35" s="49">
        <f>AVERAGE('01.08 GULU-KARUMA'!H35,'02.08 GULU-KARUMA'!H35,'04.08 GULU-KARUMA'!H35,'06.08 GULU-KARUMA'!H35,'03. 08 GULU-KARUMA-24HRS'!H35,'05.08, GULU-KARUMA-24HRS'!H35,'7.08 GULU-KARUMA'!H35)</f>
        <v>0.2857142857142857</v>
      </c>
      <c r="I35" s="49">
        <f>AVERAGE('01.08 GULU-KARUMA'!I35,'02.08 GULU-KARUMA'!I35,'04.08 GULU-KARUMA'!I35,'06.08 GULU-KARUMA'!I35,'03. 08 GULU-KARUMA-24HRS'!I35,'05.08, GULU-KARUMA-24HRS'!I35,'7.08 GULU-KARUMA'!I35)</f>
        <v>1.8571428571428572</v>
      </c>
      <c r="J35" s="49">
        <f>AVERAGE('01.08 GULU-KARUMA'!J35,'02.08 GULU-KARUMA'!J35,'04.08 GULU-KARUMA'!J35,'06.08 GULU-KARUMA'!J35,'03. 08 GULU-KARUMA-24HRS'!J35,'05.08, GULU-KARUMA-24HRS'!J35,'7.08 GULU-KARUMA'!J35)</f>
        <v>0.8571428571428571</v>
      </c>
      <c r="K35" s="49">
        <f>AVERAGE('01.08 GULU-KARUMA'!K35,'02.08 GULU-KARUMA'!K35,'04.08 GULU-KARUMA'!K35,'06.08 GULU-KARUMA'!K35,'03. 08 GULU-KARUMA-24HRS'!K35,'05.08, GULU-KARUMA-24HRS'!K35,'7.08 GULU-KARUMA'!K35)</f>
        <v>0</v>
      </c>
      <c r="L35" s="49">
        <f>AVERAGE('01.08 GULU-KARUMA'!L35,'02.08 GULU-KARUMA'!L35,'04.08 GULU-KARUMA'!L35,'06.08 GULU-KARUMA'!L35,'03. 08 GULU-KARUMA-24HRS'!L35,'05.08, GULU-KARUMA-24HRS'!L35,'7.08 GULU-KARUMA'!L35)</f>
        <v>2.4285714285714284</v>
      </c>
      <c r="M35" s="49">
        <f>AVERAGE('01.08 GULU-KARUMA'!M35,'02.08 GULU-KARUMA'!M35,'04.08 GULU-KARUMA'!M35,'06.08 GULU-KARUMA'!M35,'03. 08 GULU-KARUMA-24HRS'!M35,'05.08, GULU-KARUMA-24HRS'!M35,'7.08 GULU-KARUMA'!M35)</f>
        <v>47.285714285714285</v>
      </c>
      <c r="N35" s="49">
        <f>AVERAGE('01.08 GULU-KARUMA'!N35,'02.08 GULU-KARUMA'!N35,'04.08 GULU-KARUMA'!N35,'06.08 GULU-KARUMA'!N35,'03. 08 GULU-KARUMA-24HRS'!N35,'05.08, GULU-KARUMA-24HRS'!N35,'7.08 GULU-KARUMA'!N35)</f>
        <v>0</v>
      </c>
      <c r="O35" s="15">
        <f t="shared" si="0"/>
        <v>17.500000000000004</v>
      </c>
      <c r="P35" s="15">
        <f t="shared" si="1"/>
        <v>64.785714285714292</v>
      </c>
      <c r="R35" s="51" t="s">
        <v>91</v>
      </c>
      <c r="S35" s="52">
        <f t="shared" ref="S35:AF35" si="27">MAX(S13:S18)</f>
        <v>20.857142857142854</v>
      </c>
      <c r="T35" s="52">
        <f t="shared" si="27"/>
        <v>11</v>
      </c>
      <c r="U35" s="52">
        <f t="shared" si="27"/>
        <v>24.857142857142854</v>
      </c>
      <c r="V35" s="52">
        <f t="shared" si="27"/>
        <v>5.4285714285714288</v>
      </c>
      <c r="W35" s="52">
        <f t="shared" si="27"/>
        <v>0.5714285714285714</v>
      </c>
      <c r="X35" s="52">
        <f t="shared" si="27"/>
        <v>2.8571428571428572</v>
      </c>
      <c r="Y35" s="52">
        <f t="shared" si="27"/>
        <v>11.857142857142858</v>
      </c>
      <c r="Z35" s="52">
        <f t="shared" si="27"/>
        <v>4.1428571428571423</v>
      </c>
      <c r="AA35" s="52">
        <f t="shared" si="27"/>
        <v>1.2857142857142856</v>
      </c>
      <c r="AB35" s="52">
        <f t="shared" si="27"/>
        <v>17</v>
      </c>
      <c r="AC35" s="52">
        <f t="shared" si="27"/>
        <v>200.14285714285717</v>
      </c>
      <c r="AD35" s="52">
        <f t="shared" si="27"/>
        <v>0.5714285714285714</v>
      </c>
      <c r="AE35" s="40">
        <f t="shared" si="27"/>
        <v>92.857142857142861</v>
      </c>
      <c r="AF35" s="40">
        <f t="shared" si="27"/>
        <v>280.71428571428567</v>
      </c>
    </row>
    <row r="36" spans="2:32" ht="23.1" customHeight="1" x14ac:dyDescent="0.25">
      <c r="B36" s="24" t="s">
        <v>63</v>
      </c>
      <c r="C36" s="49">
        <f>AVERAGE('01.08 GULU-KARUMA'!C36,'02.08 GULU-KARUMA'!C36,'04.08 GULU-KARUMA'!C36,'06.08 GULU-KARUMA'!C36,'03. 08 GULU-KARUMA-24HRS'!C36,'05.08, GULU-KARUMA-24HRS'!C36,'7.08 GULU-KARUMA'!C36)</f>
        <v>5.2857142857142856</v>
      </c>
      <c r="D36" s="49">
        <f>AVERAGE('01.08 GULU-KARUMA'!D36,'02.08 GULU-KARUMA'!D36,'04.08 GULU-KARUMA'!D36,'06.08 GULU-KARUMA'!D36,'03. 08 GULU-KARUMA-24HRS'!D36,'05.08, GULU-KARUMA-24HRS'!D36,'7.08 GULU-KARUMA'!D36)</f>
        <v>3.2857142857142856</v>
      </c>
      <c r="E36" s="49">
        <f>AVERAGE('01.08 GULU-KARUMA'!E36,'02.08 GULU-KARUMA'!E36,'04.08 GULU-KARUMA'!E36,'06.08 GULU-KARUMA'!E36,'03. 08 GULU-KARUMA-24HRS'!E36,'05.08, GULU-KARUMA-24HRS'!E36,'7.08 GULU-KARUMA'!E36)</f>
        <v>7.2142857142857144</v>
      </c>
      <c r="F36" s="49">
        <f>AVERAGE('01.08 GULU-KARUMA'!F36,'02.08 GULU-KARUMA'!F36,'04.08 GULU-KARUMA'!F36,'06.08 GULU-KARUMA'!F36,'03. 08 GULU-KARUMA-24HRS'!F36,'05.08, GULU-KARUMA-24HRS'!F36,'7.08 GULU-KARUMA'!F36)</f>
        <v>1.1428571428571428</v>
      </c>
      <c r="G36" s="49">
        <f>AVERAGE('01.08 GULU-KARUMA'!G36,'02.08 GULU-KARUMA'!G36,'04.08 GULU-KARUMA'!G36,'06.08 GULU-KARUMA'!G36,'03. 08 GULU-KARUMA-24HRS'!G36,'05.08, GULU-KARUMA-24HRS'!G36,'7.08 GULU-KARUMA'!G36)</f>
        <v>0.14285714285714285</v>
      </c>
      <c r="H36" s="49">
        <f>AVERAGE('01.08 GULU-KARUMA'!H36,'02.08 GULU-KARUMA'!H36,'04.08 GULU-KARUMA'!H36,'06.08 GULU-KARUMA'!H36,'03. 08 GULU-KARUMA-24HRS'!H36,'05.08, GULU-KARUMA-24HRS'!H36,'7.08 GULU-KARUMA'!H36)</f>
        <v>0.2857142857142857</v>
      </c>
      <c r="I36" s="49">
        <f>AVERAGE('01.08 GULU-KARUMA'!I36,'02.08 GULU-KARUMA'!I36,'04.08 GULU-KARUMA'!I36,'06.08 GULU-KARUMA'!I36,'03. 08 GULU-KARUMA-24HRS'!I36,'05.08, GULU-KARUMA-24HRS'!I36,'7.08 GULU-KARUMA'!I36)</f>
        <v>2.7142857142857144</v>
      </c>
      <c r="J36" s="49">
        <f>AVERAGE('01.08 GULU-KARUMA'!J36,'02.08 GULU-KARUMA'!J36,'04.08 GULU-KARUMA'!J36,'06.08 GULU-KARUMA'!J36,'03. 08 GULU-KARUMA-24HRS'!J36,'05.08, GULU-KARUMA-24HRS'!J36,'7.08 GULU-KARUMA'!J36)</f>
        <v>1.5714285714285714</v>
      </c>
      <c r="K36" s="49">
        <f>AVERAGE('01.08 GULU-KARUMA'!K36,'02.08 GULU-KARUMA'!K36,'04.08 GULU-KARUMA'!K36,'06.08 GULU-KARUMA'!K36,'03. 08 GULU-KARUMA-24HRS'!K36,'05.08, GULU-KARUMA-24HRS'!K36,'7.08 GULU-KARUMA'!K36)</f>
        <v>0</v>
      </c>
      <c r="L36" s="49">
        <f>AVERAGE('01.08 GULU-KARUMA'!L36,'02.08 GULU-KARUMA'!L36,'04.08 GULU-KARUMA'!L36,'06.08 GULU-KARUMA'!L36,'03. 08 GULU-KARUMA-24HRS'!L36,'05.08, GULU-KARUMA-24HRS'!L36,'7.08 GULU-KARUMA'!L36)</f>
        <v>3.5714285714285716</v>
      </c>
      <c r="M36" s="49">
        <f>AVERAGE('01.08 GULU-KARUMA'!M36,'02.08 GULU-KARUMA'!M36,'04.08 GULU-KARUMA'!M36,'06.08 GULU-KARUMA'!M36,'03. 08 GULU-KARUMA-24HRS'!M36,'05.08, GULU-KARUMA-24HRS'!M36,'7.08 GULU-KARUMA'!M36)</f>
        <v>44.285714285714285</v>
      </c>
      <c r="N36" s="49">
        <f>AVERAGE('01.08 GULU-KARUMA'!N36,'02.08 GULU-KARUMA'!N36,'04.08 GULU-KARUMA'!N36,'06.08 GULU-KARUMA'!N36,'03. 08 GULU-KARUMA-24HRS'!N36,'05.08, GULU-KARUMA-24HRS'!N36,'7.08 GULU-KARUMA'!N36)</f>
        <v>0</v>
      </c>
      <c r="O36" s="15">
        <f t="shared" si="0"/>
        <v>25.214285714285715</v>
      </c>
      <c r="P36" s="15">
        <f t="shared" si="1"/>
        <v>69.5</v>
      </c>
      <c r="R36" s="51" t="s">
        <v>92</v>
      </c>
      <c r="S36" s="52">
        <f t="shared" ref="S36:AF36" si="28">MAX(S19:S21)</f>
        <v>19.142857142857142</v>
      </c>
      <c r="T36" s="52">
        <f t="shared" si="28"/>
        <v>8.1428571428571423</v>
      </c>
      <c r="U36" s="52">
        <f t="shared" si="28"/>
        <v>18.642857142857142</v>
      </c>
      <c r="V36" s="52">
        <f t="shared" si="28"/>
        <v>6.8571428571428568</v>
      </c>
      <c r="W36" s="52">
        <f t="shared" si="28"/>
        <v>1</v>
      </c>
      <c r="X36" s="52">
        <f t="shared" si="28"/>
        <v>3.714285714285714</v>
      </c>
      <c r="Y36" s="52">
        <f t="shared" si="28"/>
        <v>11.857142857142856</v>
      </c>
      <c r="Z36" s="52">
        <f t="shared" si="28"/>
        <v>4.4285714285714288</v>
      </c>
      <c r="AA36" s="52">
        <f t="shared" si="28"/>
        <v>0.99999999999999989</v>
      </c>
      <c r="AB36" s="52">
        <f t="shared" si="28"/>
        <v>8.2857142857142847</v>
      </c>
      <c r="AC36" s="52">
        <f t="shared" si="28"/>
        <v>217</v>
      </c>
      <c r="AD36" s="52">
        <f t="shared" si="28"/>
        <v>0</v>
      </c>
      <c r="AE36" s="40">
        <f t="shared" si="28"/>
        <v>79.214285714285708</v>
      </c>
      <c r="AF36" s="40">
        <f t="shared" si="28"/>
        <v>296.21428571428567</v>
      </c>
    </row>
    <row r="37" spans="2:32" ht="23.1" customHeight="1" x14ac:dyDescent="0.25">
      <c r="B37" s="23" t="s">
        <v>64</v>
      </c>
      <c r="C37" s="49">
        <f>AVERAGE('01.08 GULU-KARUMA'!C37,'02.08 GULU-KARUMA'!C37,'04.08 GULU-KARUMA'!C37,'06.08 GULU-KARUMA'!C37,'03. 08 GULU-KARUMA-24HRS'!C37,'05.08, GULU-KARUMA-24HRS'!C37,'7.08 GULU-KARUMA'!C37)</f>
        <v>4.5714285714285712</v>
      </c>
      <c r="D37" s="49">
        <f>AVERAGE('01.08 GULU-KARUMA'!D37,'02.08 GULU-KARUMA'!D37,'04.08 GULU-KARUMA'!D37,'06.08 GULU-KARUMA'!D37,'03. 08 GULU-KARUMA-24HRS'!D37,'05.08, GULU-KARUMA-24HRS'!D37,'7.08 GULU-KARUMA'!D37)</f>
        <v>2.5714285714285716</v>
      </c>
      <c r="E37" s="49">
        <f>AVERAGE('01.08 GULU-KARUMA'!E37,'02.08 GULU-KARUMA'!E37,'04.08 GULU-KARUMA'!E37,'06.08 GULU-KARUMA'!E37,'03. 08 GULU-KARUMA-24HRS'!E37,'05.08, GULU-KARUMA-24HRS'!E37,'7.08 GULU-KARUMA'!E37)</f>
        <v>5.7857142857142856</v>
      </c>
      <c r="F37" s="49">
        <f>AVERAGE('01.08 GULU-KARUMA'!F37,'02.08 GULU-KARUMA'!F37,'04.08 GULU-KARUMA'!F37,'06.08 GULU-KARUMA'!F37,'03. 08 GULU-KARUMA-24HRS'!F37,'05.08, GULU-KARUMA-24HRS'!F37,'7.08 GULU-KARUMA'!F37)</f>
        <v>1</v>
      </c>
      <c r="G37" s="49">
        <f>AVERAGE('01.08 GULU-KARUMA'!G37,'02.08 GULU-KARUMA'!G37,'04.08 GULU-KARUMA'!G37,'06.08 GULU-KARUMA'!G37,'03. 08 GULU-KARUMA-24HRS'!G37,'05.08, GULU-KARUMA-24HRS'!G37,'7.08 GULU-KARUMA'!G37)</f>
        <v>0</v>
      </c>
      <c r="H37" s="49">
        <f>AVERAGE('01.08 GULU-KARUMA'!H37,'02.08 GULU-KARUMA'!H37,'04.08 GULU-KARUMA'!H37,'06.08 GULU-KARUMA'!H37,'03. 08 GULU-KARUMA-24HRS'!H37,'05.08, GULU-KARUMA-24HRS'!H37,'7.08 GULU-KARUMA'!H37)</f>
        <v>0.5714285714285714</v>
      </c>
      <c r="I37" s="49">
        <f>AVERAGE('01.08 GULU-KARUMA'!I37,'02.08 GULU-KARUMA'!I37,'04.08 GULU-KARUMA'!I37,'06.08 GULU-KARUMA'!I37,'03. 08 GULU-KARUMA-24HRS'!I37,'05.08, GULU-KARUMA-24HRS'!I37,'7.08 GULU-KARUMA'!I37)</f>
        <v>2.8571428571428572</v>
      </c>
      <c r="J37" s="49">
        <f>AVERAGE('01.08 GULU-KARUMA'!J37,'02.08 GULU-KARUMA'!J37,'04.08 GULU-KARUMA'!J37,'06.08 GULU-KARUMA'!J37,'03. 08 GULU-KARUMA-24HRS'!J37,'05.08, GULU-KARUMA-24HRS'!J37,'7.08 GULU-KARUMA'!J37)</f>
        <v>0.2857142857142857</v>
      </c>
      <c r="K37" s="49">
        <f>AVERAGE('01.08 GULU-KARUMA'!K37,'02.08 GULU-KARUMA'!K37,'04.08 GULU-KARUMA'!K37,'06.08 GULU-KARUMA'!K37,'03. 08 GULU-KARUMA-24HRS'!K37,'05.08, GULU-KARUMA-24HRS'!K37,'7.08 GULU-KARUMA'!K37)</f>
        <v>0.14285714285714285</v>
      </c>
      <c r="L37" s="49">
        <f>AVERAGE('01.08 GULU-KARUMA'!L37,'02.08 GULU-KARUMA'!L37,'04.08 GULU-KARUMA'!L37,'06.08 GULU-KARUMA'!L37,'03. 08 GULU-KARUMA-24HRS'!L37,'05.08, GULU-KARUMA-24HRS'!L37,'7.08 GULU-KARUMA'!L37)</f>
        <v>3.1428571428571428</v>
      </c>
      <c r="M37" s="49">
        <f>AVERAGE('01.08 GULU-KARUMA'!M37,'02.08 GULU-KARUMA'!M37,'04.08 GULU-KARUMA'!M37,'06.08 GULU-KARUMA'!M37,'03. 08 GULU-KARUMA-24HRS'!M37,'05.08, GULU-KARUMA-24HRS'!M37,'7.08 GULU-KARUMA'!M37)</f>
        <v>38</v>
      </c>
      <c r="N37" s="49">
        <f>AVERAGE('01.08 GULU-KARUMA'!N37,'02.08 GULU-KARUMA'!N37,'04.08 GULU-KARUMA'!N37,'06.08 GULU-KARUMA'!N37,'03. 08 GULU-KARUMA-24HRS'!N37,'05.08, GULU-KARUMA-24HRS'!N37,'7.08 GULU-KARUMA'!N37)</f>
        <v>0</v>
      </c>
      <c r="O37" s="15">
        <f t="shared" si="0"/>
        <v>20.928571428571423</v>
      </c>
      <c r="P37" s="15">
        <f t="shared" si="1"/>
        <v>58.928571428571423</v>
      </c>
      <c r="R37" s="37" t="s">
        <v>85</v>
      </c>
      <c r="S37" s="53">
        <f t="shared" ref="S37:AF37" si="29">SUM(S10:S12)</f>
        <v>39.714285714285715</v>
      </c>
      <c r="T37" s="54">
        <f t="shared" si="29"/>
        <v>22.857142857142858</v>
      </c>
      <c r="U37" s="54">
        <f t="shared" si="29"/>
        <v>51.642857142857146</v>
      </c>
      <c r="V37" s="54">
        <f t="shared" si="29"/>
        <v>16</v>
      </c>
      <c r="W37" s="54">
        <f t="shared" si="29"/>
        <v>2.2857142857142856</v>
      </c>
      <c r="X37" s="54">
        <f t="shared" si="29"/>
        <v>6</v>
      </c>
      <c r="Y37" s="54">
        <f t="shared" si="29"/>
        <v>22.428571428571431</v>
      </c>
      <c r="Z37" s="54">
        <f t="shared" si="29"/>
        <v>7.7142857142857144</v>
      </c>
      <c r="AA37" s="54">
        <f t="shared" si="29"/>
        <v>0.71428571428571419</v>
      </c>
      <c r="AB37" s="54">
        <f t="shared" si="29"/>
        <v>8.1428571428571423</v>
      </c>
      <c r="AC37" s="54">
        <f t="shared" si="29"/>
        <v>599.71428571428578</v>
      </c>
      <c r="AD37" s="54">
        <f t="shared" si="29"/>
        <v>0.5714285714285714</v>
      </c>
      <c r="AE37" s="55">
        <f t="shared" si="29"/>
        <v>178.07142857142858</v>
      </c>
      <c r="AF37" s="55">
        <f t="shared" si="29"/>
        <v>777.78571428571422</v>
      </c>
    </row>
    <row r="38" spans="2:32" ht="23.1" customHeight="1" x14ac:dyDescent="0.25">
      <c r="B38" s="24" t="s">
        <v>65</v>
      </c>
      <c r="C38" s="49">
        <f>AVERAGE('01.08 GULU-KARUMA'!C38,'02.08 GULU-KARUMA'!C38,'04.08 GULU-KARUMA'!C38,'06.08 GULU-KARUMA'!C38,'03. 08 GULU-KARUMA-24HRS'!C38,'05.08, GULU-KARUMA-24HRS'!C38,'7.08 GULU-KARUMA'!C38)</f>
        <v>3.4285714285714284</v>
      </c>
      <c r="D38" s="49">
        <f>AVERAGE('01.08 GULU-KARUMA'!D38,'02.08 GULU-KARUMA'!D38,'04.08 GULU-KARUMA'!D38,'06.08 GULU-KARUMA'!D38,'03. 08 GULU-KARUMA-24HRS'!D38,'05.08, GULU-KARUMA-24HRS'!D38,'7.08 GULU-KARUMA'!D38)</f>
        <v>3</v>
      </c>
      <c r="E38" s="49">
        <f>AVERAGE('01.08 GULU-KARUMA'!E38,'02.08 GULU-KARUMA'!E38,'04.08 GULU-KARUMA'!E38,'06.08 GULU-KARUMA'!E38,'03. 08 GULU-KARUMA-24HRS'!E38,'05.08, GULU-KARUMA-24HRS'!E38,'7.08 GULU-KARUMA'!E38)</f>
        <v>6.2142857142857144</v>
      </c>
      <c r="F38" s="49">
        <f>AVERAGE('01.08 GULU-KARUMA'!F38,'02.08 GULU-KARUMA'!F38,'04.08 GULU-KARUMA'!F38,'06.08 GULU-KARUMA'!F38,'03. 08 GULU-KARUMA-24HRS'!F38,'05.08, GULU-KARUMA-24HRS'!F38,'7.08 GULU-KARUMA'!F38)</f>
        <v>1.4285714285714286</v>
      </c>
      <c r="G38" s="49">
        <f>AVERAGE('01.08 GULU-KARUMA'!G38,'02.08 GULU-KARUMA'!G38,'04.08 GULU-KARUMA'!G38,'06.08 GULU-KARUMA'!G38,'03. 08 GULU-KARUMA-24HRS'!G38,'05.08, GULU-KARUMA-24HRS'!G38,'7.08 GULU-KARUMA'!G38)</f>
        <v>0</v>
      </c>
      <c r="H38" s="49">
        <f>AVERAGE('01.08 GULU-KARUMA'!H38,'02.08 GULU-KARUMA'!H38,'04.08 GULU-KARUMA'!H38,'06.08 GULU-KARUMA'!H38,'03. 08 GULU-KARUMA-24HRS'!H38,'05.08, GULU-KARUMA-24HRS'!H38,'7.08 GULU-KARUMA'!H38)</f>
        <v>1</v>
      </c>
      <c r="I38" s="49">
        <f>AVERAGE('01.08 GULU-KARUMA'!I38,'02.08 GULU-KARUMA'!I38,'04.08 GULU-KARUMA'!I38,'06.08 GULU-KARUMA'!I38,'03. 08 GULU-KARUMA-24HRS'!I38,'05.08, GULU-KARUMA-24HRS'!I38,'7.08 GULU-KARUMA'!I38)</f>
        <v>3</v>
      </c>
      <c r="J38" s="49">
        <f>AVERAGE('01.08 GULU-KARUMA'!J38,'02.08 GULU-KARUMA'!J38,'04.08 GULU-KARUMA'!J38,'06.08 GULU-KARUMA'!J38,'03. 08 GULU-KARUMA-24HRS'!J38,'05.08, GULU-KARUMA-24HRS'!J38,'7.08 GULU-KARUMA'!J38)</f>
        <v>1.1428571428571428</v>
      </c>
      <c r="K38" s="49">
        <f>AVERAGE('01.08 GULU-KARUMA'!K38,'02.08 GULU-KARUMA'!K38,'04.08 GULU-KARUMA'!K38,'06.08 GULU-KARUMA'!K38,'03. 08 GULU-KARUMA-24HRS'!K38,'05.08, GULU-KARUMA-24HRS'!K38,'7.08 GULU-KARUMA'!K38)</f>
        <v>0.2857142857142857</v>
      </c>
      <c r="L38" s="49">
        <f>AVERAGE('01.08 GULU-KARUMA'!L38,'02.08 GULU-KARUMA'!L38,'04.08 GULU-KARUMA'!L38,'06.08 GULU-KARUMA'!L38,'03. 08 GULU-KARUMA-24HRS'!L38,'05.08, GULU-KARUMA-24HRS'!L38,'7.08 GULU-KARUMA'!L38)</f>
        <v>2.1428571428571428</v>
      </c>
      <c r="M38" s="49">
        <f>AVERAGE('01.08 GULU-KARUMA'!M38,'02.08 GULU-KARUMA'!M38,'04.08 GULU-KARUMA'!M38,'06.08 GULU-KARUMA'!M38,'03. 08 GULU-KARUMA-24HRS'!M38,'05.08, GULU-KARUMA-24HRS'!M38,'7.08 GULU-KARUMA'!M38)</f>
        <v>38.714285714285715</v>
      </c>
      <c r="N38" s="49">
        <f>AVERAGE('01.08 GULU-KARUMA'!N38,'02.08 GULU-KARUMA'!N38,'04.08 GULU-KARUMA'!N38,'06.08 GULU-KARUMA'!N38,'03. 08 GULU-KARUMA-24HRS'!N38,'05.08, GULU-KARUMA-24HRS'!N38,'7.08 GULU-KARUMA'!N38)</f>
        <v>0</v>
      </c>
      <c r="O38" s="15">
        <f t="shared" si="0"/>
        <v>21.642857142857139</v>
      </c>
      <c r="P38" s="15">
        <f t="shared" si="1"/>
        <v>60.357142857142854</v>
      </c>
      <c r="R38" s="28" t="s">
        <v>86</v>
      </c>
      <c r="S38" s="54">
        <f t="shared" ref="S38:AF38" si="30">SUM(S13:S18)</f>
        <v>111.71428571428571</v>
      </c>
      <c r="T38" s="54">
        <f t="shared" si="30"/>
        <v>54.714285714285722</v>
      </c>
      <c r="U38" s="54">
        <f t="shared" si="30"/>
        <v>123.85714285714286</v>
      </c>
      <c r="V38" s="54">
        <f t="shared" si="30"/>
        <v>29.285714285714285</v>
      </c>
      <c r="W38" s="54">
        <f t="shared" si="30"/>
        <v>1.9999999999999998</v>
      </c>
      <c r="X38" s="54">
        <f t="shared" si="30"/>
        <v>12.714285714285714</v>
      </c>
      <c r="Y38" s="54">
        <f t="shared" si="30"/>
        <v>63.428571428571431</v>
      </c>
      <c r="Z38" s="54">
        <f t="shared" si="30"/>
        <v>21.857142857142854</v>
      </c>
      <c r="AA38" s="54">
        <f t="shared" si="30"/>
        <v>3.8571428571428559</v>
      </c>
      <c r="AB38" s="54">
        <f t="shared" si="30"/>
        <v>68.428571428571431</v>
      </c>
      <c r="AC38" s="54">
        <f t="shared" si="30"/>
        <v>1096.2857142857142</v>
      </c>
      <c r="AD38" s="54">
        <f t="shared" si="30"/>
        <v>1.1428571428571428</v>
      </c>
      <c r="AE38" s="55">
        <f t="shared" si="30"/>
        <v>493</v>
      </c>
      <c r="AF38" s="55">
        <f t="shared" si="30"/>
        <v>1589.285714285714</v>
      </c>
    </row>
    <row r="39" spans="2:32" ht="23.1" customHeight="1" x14ac:dyDescent="0.25">
      <c r="B39" s="24" t="s">
        <v>66</v>
      </c>
      <c r="C39" s="49">
        <f>AVERAGE('01.08 GULU-KARUMA'!C39,'02.08 GULU-KARUMA'!C39,'04.08 GULU-KARUMA'!C39,'06.08 GULU-KARUMA'!C39,'03. 08 GULU-KARUMA-24HRS'!C39,'05.08, GULU-KARUMA-24HRS'!C39,'7.08 GULU-KARUMA'!C39)</f>
        <v>3.2857142857142856</v>
      </c>
      <c r="D39" s="49">
        <f>AVERAGE('01.08 GULU-KARUMA'!D39,'02.08 GULU-KARUMA'!D39,'04.08 GULU-KARUMA'!D39,'06.08 GULU-KARUMA'!D39,'03. 08 GULU-KARUMA-24HRS'!D39,'05.08, GULU-KARUMA-24HRS'!D39,'7.08 GULU-KARUMA'!D39)</f>
        <v>1.7142857142857142</v>
      </c>
      <c r="E39" s="49">
        <f>AVERAGE('01.08 GULU-KARUMA'!E39,'02.08 GULU-KARUMA'!E39,'04.08 GULU-KARUMA'!E39,'06.08 GULU-KARUMA'!E39,'03. 08 GULU-KARUMA-24HRS'!E39,'05.08, GULU-KARUMA-24HRS'!E39,'7.08 GULU-KARUMA'!E39)</f>
        <v>4.2142857142857144</v>
      </c>
      <c r="F39" s="49">
        <f>AVERAGE('01.08 GULU-KARUMA'!F39,'02.08 GULU-KARUMA'!F39,'04.08 GULU-KARUMA'!F39,'06.08 GULU-KARUMA'!F39,'03. 08 GULU-KARUMA-24HRS'!F39,'05.08, GULU-KARUMA-24HRS'!F39,'7.08 GULU-KARUMA'!F39)</f>
        <v>1.1428571428571428</v>
      </c>
      <c r="G39" s="49">
        <f>AVERAGE('01.08 GULU-KARUMA'!G39,'02.08 GULU-KARUMA'!G39,'04.08 GULU-KARUMA'!G39,'06.08 GULU-KARUMA'!G39,'03. 08 GULU-KARUMA-24HRS'!G39,'05.08, GULU-KARUMA-24HRS'!G39,'7.08 GULU-KARUMA'!G39)</f>
        <v>0.14285714285714285</v>
      </c>
      <c r="H39" s="49">
        <f>AVERAGE('01.08 GULU-KARUMA'!H39,'02.08 GULU-KARUMA'!H39,'04.08 GULU-KARUMA'!H39,'06.08 GULU-KARUMA'!H39,'03. 08 GULU-KARUMA-24HRS'!H39,'05.08, GULU-KARUMA-24HRS'!H39,'7.08 GULU-KARUMA'!H39)</f>
        <v>0.8571428571428571</v>
      </c>
      <c r="I39" s="49">
        <f>AVERAGE('01.08 GULU-KARUMA'!I39,'02.08 GULU-KARUMA'!I39,'04.08 GULU-KARUMA'!I39,'06.08 GULU-KARUMA'!I39,'03. 08 GULU-KARUMA-24HRS'!I39,'05.08, GULU-KARUMA-24HRS'!I39,'7.08 GULU-KARUMA'!I39)</f>
        <v>1.5714285714285714</v>
      </c>
      <c r="J39" s="49">
        <f>AVERAGE('01.08 GULU-KARUMA'!J39,'02.08 GULU-KARUMA'!J39,'04.08 GULU-KARUMA'!J39,'06.08 GULU-KARUMA'!J39,'03. 08 GULU-KARUMA-24HRS'!J39,'05.08, GULU-KARUMA-24HRS'!J39,'7.08 GULU-KARUMA'!J39)</f>
        <v>0.8571428571428571</v>
      </c>
      <c r="K39" s="49">
        <f>AVERAGE('01.08 GULU-KARUMA'!K39,'02.08 GULU-KARUMA'!K39,'04.08 GULU-KARUMA'!K39,'06.08 GULU-KARUMA'!K39,'03. 08 GULU-KARUMA-24HRS'!K39,'05.08, GULU-KARUMA-24HRS'!K39,'7.08 GULU-KARUMA'!K39)</f>
        <v>0</v>
      </c>
      <c r="L39" s="49">
        <f>AVERAGE('01.08 GULU-KARUMA'!L39,'02.08 GULU-KARUMA'!L39,'04.08 GULU-KARUMA'!L39,'06.08 GULU-KARUMA'!L39,'03. 08 GULU-KARUMA-24HRS'!L39,'05.08, GULU-KARUMA-24HRS'!L39,'7.08 GULU-KARUMA'!L39)</f>
        <v>2.5714285714285716</v>
      </c>
      <c r="M39" s="49">
        <f>AVERAGE('01.08 GULU-KARUMA'!M39,'02.08 GULU-KARUMA'!M39,'04.08 GULU-KARUMA'!M39,'06.08 GULU-KARUMA'!M39,'03. 08 GULU-KARUMA-24HRS'!M39,'05.08, GULU-KARUMA-24HRS'!M39,'7.08 GULU-KARUMA'!M39)</f>
        <v>46.428571428571431</v>
      </c>
      <c r="N39" s="49">
        <f>AVERAGE('01.08 GULU-KARUMA'!N39,'02.08 GULU-KARUMA'!N39,'04.08 GULU-KARUMA'!N39,'06.08 GULU-KARUMA'!N39,'03. 08 GULU-KARUMA-24HRS'!N39,'05.08, GULU-KARUMA-24HRS'!N39,'7.08 GULU-KARUMA'!N39)</f>
        <v>0</v>
      </c>
      <c r="O39" s="15">
        <f t="shared" si="0"/>
        <v>16.357142857142858</v>
      </c>
      <c r="P39" s="15">
        <f t="shared" si="1"/>
        <v>62.785714285714292</v>
      </c>
      <c r="R39" s="29" t="s">
        <v>87</v>
      </c>
      <c r="S39" s="54">
        <f t="shared" ref="S39:AF39" si="31">SUM(S19:S21)</f>
        <v>54.285714285714278</v>
      </c>
      <c r="T39" s="54">
        <f t="shared" si="31"/>
        <v>22.714285714285715</v>
      </c>
      <c r="U39" s="54">
        <f t="shared" si="31"/>
        <v>50.714285714285708</v>
      </c>
      <c r="V39" s="54">
        <f t="shared" si="31"/>
        <v>17</v>
      </c>
      <c r="W39" s="54">
        <f t="shared" si="31"/>
        <v>2</v>
      </c>
      <c r="X39" s="54">
        <f t="shared" si="31"/>
        <v>8.7142857142857135</v>
      </c>
      <c r="Y39" s="54">
        <f t="shared" si="31"/>
        <v>29.857142857142854</v>
      </c>
      <c r="Z39" s="54">
        <f t="shared" si="31"/>
        <v>10</v>
      </c>
      <c r="AA39" s="54">
        <f t="shared" si="31"/>
        <v>1.857142857142857</v>
      </c>
      <c r="AB39" s="54">
        <f t="shared" si="31"/>
        <v>22.285714285714285</v>
      </c>
      <c r="AC39" s="54">
        <f t="shared" si="31"/>
        <v>613.42857142857144</v>
      </c>
      <c r="AD39" s="54">
        <f t="shared" si="31"/>
        <v>0</v>
      </c>
      <c r="AE39" s="55">
        <f t="shared" si="31"/>
        <v>219.42857142857142</v>
      </c>
      <c r="AF39" s="55">
        <f t="shared" si="31"/>
        <v>832.85714285714278</v>
      </c>
    </row>
    <row r="40" spans="2:32" ht="23.1" customHeight="1" x14ac:dyDescent="0.25">
      <c r="B40" s="24" t="s">
        <v>67</v>
      </c>
      <c r="C40" s="49">
        <f>AVERAGE('01.08 GULU-KARUMA'!C40,'02.08 GULU-KARUMA'!C40,'04.08 GULU-KARUMA'!C40,'06.08 GULU-KARUMA'!C40,'03. 08 GULU-KARUMA-24HRS'!C40,'05.08, GULU-KARUMA-24HRS'!C40,'7.08 GULU-KARUMA'!C40)</f>
        <v>3.7142857142857144</v>
      </c>
      <c r="D40" s="49">
        <f>AVERAGE('01.08 GULU-KARUMA'!D40,'02.08 GULU-KARUMA'!D40,'04.08 GULU-KARUMA'!D40,'06.08 GULU-KARUMA'!D40,'03. 08 GULU-KARUMA-24HRS'!D40,'05.08, GULU-KARUMA-24HRS'!D40,'7.08 GULU-KARUMA'!D40)</f>
        <v>2.4285714285714284</v>
      </c>
      <c r="E40" s="49">
        <f>AVERAGE('01.08 GULU-KARUMA'!E40,'02.08 GULU-KARUMA'!E40,'04.08 GULU-KARUMA'!E40,'06.08 GULU-KARUMA'!E40,'03. 08 GULU-KARUMA-24HRS'!E40,'05.08, GULU-KARUMA-24HRS'!E40,'7.08 GULU-KARUMA'!E40)</f>
        <v>5.5714285714285712</v>
      </c>
      <c r="F40" s="49">
        <f>AVERAGE('01.08 GULU-KARUMA'!F40,'02.08 GULU-KARUMA'!F40,'04.08 GULU-KARUMA'!F40,'06.08 GULU-KARUMA'!F40,'03. 08 GULU-KARUMA-24HRS'!F40,'05.08, GULU-KARUMA-24HRS'!F40,'7.08 GULU-KARUMA'!F40)</f>
        <v>1.7142857142857142</v>
      </c>
      <c r="G40" s="49">
        <f>AVERAGE('01.08 GULU-KARUMA'!G40,'02.08 GULU-KARUMA'!G40,'04.08 GULU-KARUMA'!G40,'06.08 GULU-KARUMA'!G40,'03. 08 GULU-KARUMA-24HRS'!G40,'05.08, GULU-KARUMA-24HRS'!G40,'7.08 GULU-KARUMA'!G40)</f>
        <v>0</v>
      </c>
      <c r="H40" s="49">
        <f>AVERAGE('01.08 GULU-KARUMA'!H40,'02.08 GULU-KARUMA'!H40,'04.08 GULU-KARUMA'!H40,'06.08 GULU-KARUMA'!H40,'03. 08 GULU-KARUMA-24HRS'!H40,'05.08, GULU-KARUMA-24HRS'!H40,'7.08 GULU-KARUMA'!H40)</f>
        <v>0.5714285714285714</v>
      </c>
      <c r="I40" s="49">
        <f>AVERAGE('01.08 GULU-KARUMA'!I40,'02.08 GULU-KARUMA'!I40,'04.08 GULU-KARUMA'!I40,'06.08 GULU-KARUMA'!I40,'03. 08 GULU-KARUMA-24HRS'!I40,'05.08, GULU-KARUMA-24HRS'!I40,'7.08 GULU-KARUMA'!I40)</f>
        <v>3</v>
      </c>
      <c r="J40" s="49">
        <f>AVERAGE('01.08 GULU-KARUMA'!J40,'02.08 GULU-KARUMA'!J40,'04.08 GULU-KARUMA'!J40,'06.08 GULU-KARUMA'!J40,'03. 08 GULU-KARUMA-24HRS'!J40,'05.08, GULU-KARUMA-24HRS'!J40,'7.08 GULU-KARUMA'!J40)</f>
        <v>0.42857142857142855</v>
      </c>
      <c r="K40" s="49">
        <f>AVERAGE('01.08 GULU-KARUMA'!K40,'02.08 GULU-KARUMA'!K40,'04.08 GULU-KARUMA'!K40,'06.08 GULU-KARUMA'!K40,'03. 08 GULU-KARUMA-24HRS'!K40,'05.08, GULU-KARUMA-24HRS'!K40,'7.08 GULU-KARUMA'!K40)</f>
        <v>0</v>
      </c>
      <c r="L40" s="49">
        <f>AVERAGE('01.08 GULU-KARUMA'!L40,'02.08 GULU-KARUMA'!L40,'04.08 GULU-KARUMA'!L40,'06.08 GULU-KARUMA'!L40,'03. 08 GULU-KARUMA-24HRS'!L40,'05.08, GULU-KARUMA-24HRS'!L40,'7.08 GULU-KARUMA'!L40)</f>
        <v>1.7142857142857142</v>
      </c>
      <c r="M40" s="49">
        <f>AVERAGE('01.08 GULU-KARUMA'!M40,'02.08 GULU-KARUMA'!M40,'04.08 GULU-KARUMA'!M40,'06.08 GULU-KARUMA'!M40,'03. 08 GULU-KARUMA-24HRS'!M40,'05.08, GULU-KARUMA-24HRS'!M40,'7.08 GULU-KARUMA'!M40)</f>
        <v>39.571428571428569</v>
      </c>
      <c r="N40" s="49">
        <f>AVERAGE('01.08 GULU-KARUMA'!N40,'02.08 GULU-KARUMA'!N40,'04.08 GULU-KARUMA'!N40,'06.08 GULU-KARUMA'!N40,'03. 08 GULU-KARUMA-24HRS'!N40,'05.08, GULU-KARUMA-24HRS'!N40,'7.08 GULU-KARUMA'!N40)</f>
        <v>0</v>
      </c>
      <c r="O40" s="15">
        <f t="shared" si="0"/>
        <v>19.142857142857142</v>
      </c>
      <c r="P40" s="15">
        <f t="shared" si="1"/>
        <v>58.714285714285708</v>
      </c>
      <c r="R40" s="5" t="s">
        <v>17</v>
      </c>
      <c r="S40" s="54">
        <f t="shared" ref="S40:AF40" si="32">SUM(S10:S21)</f>
        <v>205.71428571428572</v>
      </c>
      <c r="T40" s="54">
        <f t="shared" si="32"/>
        <v>100.28571428571428</v>
      </c>
      <c r="U40" s="54">
        <f t="shared" si="32"/>
        <v>226.21428571428569</v>
      </c>
      <c r="V40" s="54">
        <f t="shared" si="32"/>
        <v>62.285714285714278</v>
      </c>
      <c r="W40" s="54">
        <f t="shared" si="32"/>
        <v>6.2857142857142856</v>
      </c>
      <c r="X40" s="54">
        <f t="shared" si="32"/>
        <v>27.428571428571427</v>
      </c>
      <c r="Y40" s="54">
        <f t="shared" si="32"/>
        <v>115.71428571428572</v>
      </c>
      <c r="Z40" s="54">
        <f t="shared" si="32"/>
        <v>39.571428571428569</v>
      </c>
      <c r="AA40" s="54">
        <f t="shared" si="32"/>
        <v>6.428571428571427</v>
      </c>
      <c r="AB40" s="54">
        <f t="shared" si="32"/>
        <v>98.857142857142861</v>
      </c>
      <c r="AC40" s="54">
        <f t="shared" si="32"/>
        <v>2309.4285714285716</v>
      </c>
      <c r="AD40" s="54">
        <f t="shared" si="32"/>
        <v>1.7142857142857142</v>
      </c>
      <c r="AE40" s="55">
        <f t="shared" si="32"/>
        <v>890.5</v>
      </c>
      <c r="AF40" s="55">
        <f t="shared" si="32"/>
        <v>3199.9285714285716</v>
      </c>
    </row>
    <row r="41" spans="2:32" ht="23.1" customHeight="1" x14ac:dyDescent="0.25">
      <c r="B41" s="23" t="s">
        <v>68</v>
      </c>
      <c r="C41" s="49">
        <f>AVERAGE('01.08 GULU-KARUMA'!C41,'02.08 GULU-KARUMA'!C41,'04.08 GULU-KARUMA'!C41,'06.08 GULU-KARUMA'!C41,'03. 08 GULU-KARUMA-24HRS'!C41,'05.08, GULU-KARUMA-24HRS'!C41,'7.08 GULU-KARUMA'!C41)</f>
        <v>4.1428571428571432</v>
      </c>
      <c r="D41" s="49">
        <f>AVERAGE('01.08 GULU-KARUMA'!D41,'02.08 GULU-KARUMA'!D41,'04.08 GULU-KARUMA'!D41,'06.08 GULU-KARUMA'!D41,'03. 08 GULU-KARUMA-24HRS'!D41,'05.08, GULU-KARUMA-24HRS'!D41,'7.08 GULU-KARUMA'!D41)</f>
        <v>2</v>
      </c>
      <c r="E41" s="49">
        <f>AVERAGE('01.08 GULU-KARUMA'!E41,'02.08 GULU-KARUMA'!E41,'04.08 GULU-KARUMA'!E41,'06.08 GULU-KARUMA'!E41,'03. 08 GULU-KARUMA-24HRS'!E41,'05.08, GULU-KARUMA-24HRS'!E41,'7.08 GULU-KARUMA'!E41)</f>
        <v>4.4285714285714288</v>
      </c>
      <c r="F41" s="49">
        <f>AVERAGE('01.08 GULU-KARUMA'!F41,'02.08 GULU-KARUMA'!F41,'04.08 GULU-KARUMA'!F41,'06.08 GULU-KARUMA'!F41,'03. 08 GULU-KARUMA-24HRS'!F41,'05.08, GULU-KARUMA-24HRS'!F41,'7.08 GULU-KARUMA'!F41)</f>
        <v>0.8571428571428571</v>
      </c>
      <c r="G41" s="49">
        <f>AVERAGE('01.08 GULU-KARUMA'!G41,'02.08 GULU-KARUMA'!G41,'04.08 GULU-KARUMA'!G41,'06.08 GULU-KARUMA'!G41,'03. 08 GULU-KARUMA-24HRS'!G41,'05.08, GULU-KARUMA-24HRS'!G41,'7.08 GULU-KARUMA'!G41)</f>
        <v>0.42857142857142855</v>
      </c>
      <c r="H41" s="49">
        <f>AVERAGE('01.08 GULU-KARUMA'!H41,'02.08 GULU-KARUMA'!H41,'04.08 GULU-KARUMA'!H41,'06.08 GULU-KARUMA'!H41,'03. 08 GULU-KARUMA-24HRS'!H41,'05.08, GULU-KARUMA-24HRS'!H41,'7.08 GULU-KARUMA'!H41)</f>
        <v>0.42857142857142855</v>
      </c>
      <c r="I41" s="49">
        <f>AVERAGE('01.08 GULU-KARUMA'!I41,'02.08 GULU-KARUMA'!I41,'04.08 GULU-KARUMA'!I41,'06.08 GULU-KARUMA'!I41,'03. 08 GULU-KARUMA-24HRS'!I41,'05.08, GULU-KARUMA-24HRS'!I41,'7.08 GULU-KARUMA'!I41)</f>
        <v>3.2857142857142856</v>
      </c>
      <c r="J41" s="49">
        <f>AVERAGE('01.08 GULU-KARUMA'!J41,'02.08 GULU-KARUMA'!J41,'04.08 GULU-KARUMA'!J41,'06.08 GULU-KARUMA'!J41,'03. 08 GULU-KARUMA-24HRS'!J41,'05.08, GULU-KARUMA-24HRS'!J41,'7.08 GULU-KARUMA'!J41)</f>
        <v>1</v>
      </c>
      <c r="K41" s="49">
        <f>AVERAGE('01.08 GULU-KARUMA'!K41,'02.08 GULU-KARUMA'!K41,'04.08 GULU-KARUMA'!K41,'06.08 GULU-KARUMA'!K41,'03. 08 GULU-KARUMA-24HRS'!K41,'05.08, GULU-KARUMA-24HRS'!K41,'7.08 GULU-KARUMA'!K41)</f>
        <v>0.2857142857142857</v>
      </c>
      <c r="L41" s="49">
        <f>AVERAGE('01.08 GULU-KARUMA'!L41,'02.08 GULU-KARUMA'!L41,'04.08 GULU-KARUMA'!L41,'06.08 GULU-KARUMA'!L41,'03. 08 GULU-KARUMA-24HRS'!L41,'05.08, GULU-KARUMA-24HRS'!L41,'7.08 GULU-KARUMA'!L41)</f>
        <v>1.8571428571428572</v>
      </c>
      <c r="M41" s="49">
        <f>AVERAGE('01.08 GULU-KARUMA'!M41,'02.08 GULU-KARUMA'!M41,'04.08 GULU-KARUMA'!M41,'06.08 GULU-KARUMA'!M41,'03. 08 GULU-KARUMA-24HRS'!M41,'05.08, GULU-KARUMA-24HRS'!M41,'7.08 GULU-KARUMA'!M41)</f>
        <v>43.857142857142854</v>
      </c>
      <c r="N41" s="49">
        <f>AVERAGE('01.08 GULU-KARUMA'!N41,'02.08 GULU-KARUMA'!N41,'04.08 GULU-KARUMA'!N41,'06.08 GULU-KARUMA'!N41,'03. 08 GULU-KARUMA-24HRS'!N41,'05.08, GULU-KARUMA-24HRS'!N41,'7.08 GULU-KARUMA'!N41)</f>
        <v>0</v>
      </c>
      <c r="O41" s="15">
        <f t="shared" si="0"/>
        <v>18.714285714285715</v>
      </c>
      <c r="P41" s="15">
        <f t="shared" si="1"/>
        <v>62.571428571428569</v>
      </c>
      <c r="R41" s="5" t="s">
        <v>176</v>
      </c>
      <c r="S41" s="54">
        <f>SUM(S10:S33)</f>
        <v>510.21428571428572</v>
      </c>
      <c r="T41" s="54">
        <f t="shared" ref="T41:AD41" si="33">SUM(T10:T33)</f>
        <v>222.78571428571428</v>
      </c>
      <c r="U41" s="54">
        <f t="shared" si="33"/>
        <v>492.71428571428567</v>
      </c>
      <c r="V41" s="54">
        <f t="shared" si="33"/>
        <v>112.28571428571428</v>
      </c>
      <c r="W41" s="54">
        <f t="shared" si="33"/>
        <v>17.285714285714285</v>
      </c>
      <c r="X41" s="54">
        <f t="shared" si="33"/>
        <v>49.928571428571431</v>
      </c>
      <c r="Y41" s="54">
        <f t="shared" si="33"/>
        <v>250.21428571428572</v>
      </c>
      <c r="Z41" s="54">
        <f t="shared" si="33"/>
        <v>58.571428571428569</v>
      </c>
      <c r="AA41" s="54">
        <f t="shared" si="33"/>
        <v>10.928571428571427</v>
      </c>
      <c r="AB41" s="54">
        <f t="shared" si="33"/>
        <v>213.85714285714286</v>
      </c>
      <c r="AC41" s="54">
        <f t="shared" si="33"/>
        <v>3171.4285714285716</v>
      </c>
      <c r="AD41" s="54">
        <f t="shared" si="33"/>
        <v>6.2142857142857144</v>
      </c>
      <c r="AE41" s="55">
        <f>SUM(AE10:AE33)</f>
        <v>1945</v>
      </c>
      <c r="AF41" s="55">
        <f>SUM(AF10:AF33)</f>
        <v>5116.4285714285716</v>
      </c>
    </row>
    <row r="42" spans="2:32" ht="23.1" customHeight="1" x14ac:dyDescent="0.25">
      <c r="B42" s="24" t="s">
        <v>69</v>
      </c>
      <c r="C42" s="49">
        <f>AVERAGE('01.08 GULU-KARUMA'!C42,'02.08 GULU-KARUMA'!C42,'04.08 GULU-KARUMA'!C42,'06.08 GULU-KARUMA'!C42,'03. 08 GULU-KARUMA-24HRS'!C42,'05.08, GULU-KARUMA-24HRS'!C42,'7.08 GULU-KARUMA'!C42)</f>
        <v>5.2857142857142856</v>
      </c>
      <c r="D42" s="49">
        <f>AVERAGE('01.08 GULU-KARUMA'!D42,'02.08 GULU-KARUMA'!D42,'04.08 GULU-KARUMA'!D42,'06.08 GULU-KARUMA'!D42,'03. 08 GULU-KARUMA-24HRS'!D42,'05.08, GULU-KARUMA-24HRS'!D42,'7.08 GULU-KARUMA'!D42)</f>
        <v>1.8571428571428572</v>
      </c>
      <c r="E42" s="49">
        <f>AVERAGE('01.08 GULU-KARUMA'!E42,'02.08 GULU-KARUMA'!E42,'04.08 GULU-KARUMA'!E42,'06.08 GULU-KARUMA'!E42,'03. 08 GULU-KARUMA-24HRS'!E42,'05.08, GULU-KARUMA-24HRS'!E42,'7.08 GULU-KARUMA'!E42)</f>
        <v>4.2857142857142856</v>
      </c>
      <c r="F42" s="49">
        <f>AVERAGE('01.08 GULU-KARUMA'!F42,'02.08 GULU-KARUMA'!F42,'04.08 GULU-KARUMA'!F42,'06.08 GULU-KARUMA'!F42,'03. 08 GULU-KARUMA-24HRS'!F42,'05.08, GULU-KARUMA-24HRS'!F42,'7.08 GULU-KARUMA'!F42)</f>
        <v>0.42857142857142855</v>
      </c>
      <c r="G42" s="49">
        <f>AVERAGE('01.08 GULU-KARUMA'!G42,'02.08 GULU-KARUMA'!G42,'04.08 GULU-KARUMA'!G42,'06.08 GULU-KARUMA'!G42,'03. 08 GULU-KARUMA-24HRS'!G42,'05.08, GULU-KARUMA-24HRS'!G42,'7.08 GULU-KARUMA'!G42)</f>
        <v>0.14285714285714285</v>
      </c>
      <c r="H42" s="49">
        <f>AVERAGE('01.08 GULU-KARUMA'!H42,'02.08 GULU-KARUMA'!H42,'04.08 GULU-KARUMA'!H42,'06.08 GULU-KARUMA'!H42,'03. 08 GULU-KARUMA-24HRS'!H42,'05.08, GULU-KARUMA-24HRS'!H42,'7.08 GULU-KARUMA'!H42)</f>
        <v>0.42857142857142855</v>
      </c>
      <c r="I42" s="49">
        <f>AVERAGE('01.08 GULU-KARUMA'!I42,'02.08 GULU-KARUMA'!I42,'04.08 GULU-KARUMA'!I42,'06.08 GULU-KARUMA'!I42,'03. 08 GULU-KARUMA-24HRS'!I42,'05.08, GULU-KARUMA-24HRS'!I42,'7.08 GULU-KARUMA'!I42)</f>
        <v>3.2857142857142856</v>
      </c>
      <c r="J42" s="49">
        <f>AVERAGE('01.08 GULU-KARUMA'!J42,'02.08 GULU-KARUMA'!J42,'04.08 GULU-KARUMA'!J42,'06.08 GULU-KARUMA'!J42,'03. 08 GULU-KARUMA-24HRS'!J42,'05.08, GULU-KARUMA-24HRS'!J42,'7.08 GULU-KARUMA'!J42)</f>
        <v>0.8571428571428571</v>
      </c>
      <c r="K42" s="49">
        <f>AVERAGE('01.08 GULU-KARUMA'!K42,'02.08 GULU-KARUMA'!K42,'04.08 GULU-KARUMA'!K42,'06.08 GULU-KARUMA'!K42,'03. 08 GULU-KARUMA-24HRS'!K42,'05.08, GULU-KARUMA-24HRS'!K42,'7.08 GULU-KARUMA'!K42)</f>
        <v>0.2857142857142857</v>
      </c>
      <c r="L42" s="49">
        <f>AVERAGE('01.08 GULU-KARUMA'!L42,'02.08 GULU-KARUMA'!L42,'04.08 GULU-KARUMA'!L42,'06.08 GULU-KARUMA'!L42,'03. 08 GULU-KARUMA-24HRS'!L42,'05.08, GULU-KARUMA-24HRS'!L42,'7.08 GULU-KARUMA'!L42)</f>
        <v>2</v>
      </c>
      <c r="M42" s="49">
        <f>AVERAGE('01.08 GULU-KARUMA'!M42,'02.08 GULU-KARUMA'!M42,'04.08 GULU-KARUMA'!M42,'06.08 GULU-KARUMA'!M42,'03. 08 GULU-KARUMA-24HRS'!M42,'05.08, GULU-KARUMA-24HRS'!M42,'7.08 GULU-KARUMA'!M42)</f>
        <v>44</v>
      </c>
      <c r="N42" s="49">
        <f>AVERAGE('01.08 GULU-KARUMA'!N42,'02.08 GULU-KARUMA'!N42,'04.08 GULU-KARUMA'!N42,'06.08 GULU-KARUMA'!N42,'03. 08 GULU-KARUMA-24HRS'!N42,'05.08, GULU-KARUMA-24HRS'!N42,'7.08 GULU-KARUMA'!N42)</f>
        <v>0</v>
      </c>
      <c r="O42" s="15">
        <f t="shared" si="0"/>
        <v>18.857142857142854</v>
      </c>
      <c r="P42" s="15">
        <f t="shared" si="1"/>
        <v>62.857142857142854</v>
      </c>
      <c r="R42" s="5" t="s">
        <v>160</v>
      </c>
      <c r="S42" s="48">
        <f>S41/S40</f>
        <v>2.4802083333333331</v>
      </c>
      <c r="T42" s="48">
        <f t="shared" ref="T42:AF42" si="34">T41/T40</f>
        <v>2.2215099715099718</v>
      </c>
      <c r="U42" s="48">
        <f t="shared" si="34"/>
        <v>2.1780865172087149</v>
      </c>
      <c r="V42" s="48">
        <f t="shared" si="34"/>
        <v>1.8027522935779818</v>
      </c>
      <c r="W42" s="48">
        <f t="shared" si="34"/>
        <v>2.75</v>
      </c>
      <c r="X42" s="48">
        <f t="shared" si="34"/>
        <v>1.8203125000000002</v>
      </c>
      <c r="Y42" s="48">
        <f t="shared" si="34"/>
        <v>2.1623456790123456</v>
      </c>
      <c r="Z42" s="48">
        <f t="shared" si="34"/>
        <v>1.4801444043321299</v>
      </c>
      <c r="AA42" s="48">
        <f t="shared" si="34"/>
        <v>1.7000000000000002</v>
      </c>
      <c r="AB42" s="48">
        <f t="shared" si="34"/>
        <v>2.1632947976878611</v>
      </c>
      <c r="AC42" s="48">
        <f t="shared" si="34"/>
        <v>1.3732525052579487</v>
      </c>
      <c r="AD42" s="48">
        <f t="shared" si="34"/>
        <v>3.6250000000000004</v>
      </c>
      <c r="AE42" s="56">
        <f t="shared" si="34"/>
        <v>2.1841661987647387</v>
      </c>
      <c r="AF42" s="56">
        <f t="shared" si="34"/>
        <v>1.5989196187414898</v>
      </c>
    </row>
    <row r="43" spans="2:32" ht="23.1" customHeight="1" x14ac:dyDescent="0.25">
      <c r="B43" s="23" t="s">
        <v>70</v>
      </c>
      <c r="C43" s="49">
        <f>AVERAGE('01.08 GULU-KARUMA'!C43,'02.08 GULU-KARUMA'!C43,'04.08 GULU-KARUMA'!C43,'06.08 GULU-KARUMA'!C43,'03. 08 GULU-KARUMA-24HRS'!C43,'05.08, GULU-KARUMA-24HRS'!C43,'7.08 GULU-KARUMA'!C43)</f>
        <v>5.7142857142857144</v>
      </c>
      <c r="D43" s="49">
        <f>AVERAGE('01.08 GULU-KARUMA'!D43,'02.08 GULU-KARUMA'!D43,'04.08 GULU-KARUMA'!D43,'06.08 GULU-KARUMA'!D43,'03. 08 GULU-KARUMA-24HRS'!D43,'05.08, GULU-KARUMA-24HRS'!D43,'7.08 GULU-KARUMA'!D43)</f>
        <v>3</v>
      </c>
      <c r="E43" s="49">
        <f>AVERAGE('01.08 GULU-KARUMA'!E43,'02.08 GULU-KARUMA'!E43,'04.08 GULU-KARUMA'!E43,'06.08 GULU-KARUMA'!E43,'03. 08 GULU-KARUMA-24HRS'!E43,'05.08, GULU-KARUMA-24HRS'!E43,'7.08 GULU-KARUMA'!E43)</f>
        <v>6.3571428571428568</v>
      </c>
      <c r="F43" s="49">
        <f>AVERAGE('01.08 GULU-KARUMA'!F43,'02.08 GULU-KARUMA'!F43,'04.08 GULU-KARUMA'!F43,'06.08 GULU-KARUMA'!F43,'03. 08 GULU-KARUMA-24HRS'!F43,'05.08, GULU-KARUMA-24HRS'!F43,'7.08 GULU-KARUMA'!F43)</f>
        <v>1.5714285714285714</v>
      </c>
      <c r="G43" s="49">
        <f>AVERAGE('01.08 GULU-KARUMA'!G43,'02.08 GULU-KARUMA'!G43,'04.08 GULU-KARUMA'!G43,'06.08 GULU-KARUMA'!G43,'03. 08 GULU-KARUMA-24HRS'!G43,'05.08, GULU-KARUMA-24HRS'!G43,'7.08 GULU-KARUMA'!G43)</f>
        <v>0.2857142857142857</v>
      </c>
      <c r="H43" s="49">
        <f>AVERAGE('01.08 GULU-KARUMA'!H43,'02.08 GULU-KARUMA'!H43,'04.08 GULU-KARUMA'!H43,'06.08 GULU-KARUMA'!H43,'03. 08 GULU-KARUMA-24HRS'!H43,'05.08, GULU-KARUMA-24HRS'!H43,'7.08 GULU-KARUMA'!H43)</f>
        <v>0.42857142857142855</v>
      </c>
      <c r="I43" s="49">
        <f>AVERAGE('01.08 GULU-KARUMA'!I43,'02.08 GULU-KARUMA'!I43,'04.08 GULU-KARUMA'!I43,'06.08 GULU-KARUMA'!I43,'03. 08 GULU-KARUMA-24HRS'!I43,'05.08, GULU-KARUMA-24HRS'!I43,'7.08 GULU-KARUMA'!I43)</f>
        <v>2.4285714285714284</v>
      </c>
      <c r="J43" s="49">
        <f>AVERAGE('01.08 GULU-KARUMA'!J43,'02.08 GULU-KARUMA'!J43,'04.08 GULU-KARUMA'!J43,'06.08 GULU-KARUMA'!J43,'03. 08 GULU-KARUMA-24HRS'!J43,'05.08, GULU-KARUMA-24HRS'!J43,'7.08 GULU-KARUMA'!J43)</f>
        <v>0.14285714285714285</v>
      </c>
      <c r="K43" s="49">
        <f>AVERAGE('01.08 GULU-KARUMA'!K43,'02.08 GULU-KARUMA'!K43,'04.08 GULU-KARUMA'!K43,'06.08 GULU-KARUMA'!K43,'03. 08 GULU-KARUMA-24HRS'!K43,'05.08, GULU-KARUMA-24HRS'!K43,'7.08 GULU-KARUMA'!K43)</f>
        <v>0.2857142857142857</v>
      </c>
      <c r="L43" s="49">
        <f>AVERAGE('01.08 GULU-KARUMA'!L43,'02.08 GULU-KARUMA'!L43,'04.08 GULU-KARUMA'!L43,'06.08 GULU-KARUMA'!L43,'03. 08 GULU-KARUMA-24HRS'!L43,'05.08, GULU-KARUMA-24HRS'!L43,'7.08 GULU-KARUMA'!L43)</f>
        <v>3</v>
      </c>
      <c r="M43" s="49">
        <f>AVERAGE('01.08 GULU-KARUMA'!M43,'02.08 GULU-KARUMA'!M43,'04.08 GULU-KARUMA'!M43,'06.08 GULU-KARUMA'!M43,'03. 08 GULU-KARUMA-24HRS'!M43,'05.08, GULU-KARUMA-24HRS'!M43,'7.08 GULU-KARUMA'!M43)</f>
        <v>41</v>
      </c>
      <c r="N43" s="49">
        <f>AVERAGE('01.08 GULU-KARUMA'!N43,'02.08 GULU-KARUMA'!N43,'04.08 GULU-KARUMA'!N43,'06.08 GULU-KARUMA'!N43,'03. 08 GULU-KARUMA-24HRS'!N43,'05.08, GULU-KARUMA-24HRS'!N43,'7.08 GULU-KARUMA'!N43)</f>
        <v>0.5714285714285714</v>
      </c>
      <c r="O43" s="15">
        <f t="shared" si="0"/>
        <v>23.785714285714285</v>
      </c>
      <c r="P43" s="15">
        <f t="shared" si="1"/>
        <v>64.785714285714278</v>
      </c>
    </row>
    <row r="44" spans="2:32" ht="23.1" customHeight="1" x14ac:dyDescent="0.25">
      <c r="B44" s="25" t="s">
        <v>71</v>
      </c>
      <c r="C44" s="49">
        <f>AVERAGE('01.08 GULU-KARUMA'!C44,'02.08 GULU-KARUMA'!C44,'04.08 GULU-KARUMA'!C44,'06.08 GULU-KARUMA'!C44,'03. 08 GULU-KARUMA-24HRS'!C44,'05.08, GULU-KARUMA-24HRS'!C44,'7.08 GULU-KARUMA'!C44)</f>
        <v>2.5714285714285716</v>
      </c>
      <c r="D44" s="49">
        <f>AVERAGE('01.08 GULU-KARUMA'!D44,'02.08 GULU-KARUMA'!D44,'04.08 GULU-KARUMA'!D44,'06.08 GULU-KARUMA'!D44,'03. 08 GULU-KARUMA-24HRS'!D44,'05.08, GULU-KARUMA-24HRS'!D44,'7.08 GULU-KARUMA'!D44)</f>
        <v>1.4285714285714286</v>
      </c>
      <c r="E44" s="49">
        <f>AVERAGE('01.08 GULU-KARUMA'!E44,'02.08 GULU-KARUMA'!E44,'04.08 GULU-KARUMA'!E44,'06.08 GULU-KARUMA'!E44,'03. 08 GULU-KARUMA-24HRS'!E44,'05.08, GULU-KARUMA-24HRS'!E44,'7.08 GULU-KARUMA'!E44)</f>
        <v>3.3571428571428572</v>
      </c>
      <c r="F44" s="49">
        <f>AVERAGE('01.08 GULU-KARUMA'!F44,'02.08 GULU-KARUMA'!F44,'04.08 GULU-KARUMA'!F44,'06.08 GULU-KARUMA'!F44,'03. 08 GULU-KARUMA-24HRS'!F44,'05.08, GULU-KARUMA-24HRS'!F44,'7.08 GULU-KARUMA'!F44)</f>
        <v>1.2857142857142858</v>
      </c>
      <c r="G44" s="49">
        <f>AVERAGE('01.08 GULU-KARUMA'!G44,'02.08 GULU-KARUMA'!G44,'04.08 GULU-KARUMA'!G44,'06.08 GULU-KARUMA'!G44,'03. 08 GULU-KARUMA-24HRS'!G44,'05.08, GULU-KARUMA-24HRS'!G44,'7.08 GULU-KARUMA'!G44)</f>
        <v>0</v>
      </c>
      <c r="H44" s="49">
        <f>AVERAGE('01.08 GULU-KARUMA'!H44,'02.08 GULU-KARUMA'!H44,'04.08 GULU-KARUMA'!H44,'06.08 GULU-KARUMA'!H44,'03. 08 GULU-KARUMA-24HRS'!H44,'05.08, GULU-KARUMA-24HRS'!H44,'7.08 GULU-KARUMA'!H44)</f>
        <v>0.2857142857142857</v>
      </c>
      <c r="I44" s="49">
        <f>AVERAGE('01.08 GULU-KARUMA'!I44,'02.08 GULU-KARUMA'!I44,'04.08 GULU-KARUMA'!I44,'06.08 GULU-KARUMA'!I44,'03. 08 GULU-KARUMA-24HRS'!I44,'05.08, GULU-KARUMA-24HRS'!I44,'7.08 GULU-KARUMA'!I44)</f>
        <v>2.1428571428571428</v>
      </c>
      <c r="J44" s="49">
        <f>AVERAGE('01.08 GULU-KARUMA'!J44,'02.08 GULU-KARUMA'!J44,'04.08 GULU-KARUMA'!J44,'06.08 GULU-KARUMA'!J44,'03. 08 GULU-KARUMA-24HRS'!J44,'05.08, GULU-KARUMA-24HRS'!J44,'7.08 GULU-KARUMA'!J44)</f>
        <v>0.8571428571428571</v>
      </c>
      <c r="K44" s="49">
        <f>AVERAGE('01.08 GULU-KARUMA'!K44,'02.08 GULU-KARUMA'!K44,'04.08 GULU-KARUMA'!K44,'06.08 GULU-KARUMA'!K44,'03. 08 GULU-KARUMA-24HRS'!K44,'05.08, GULU-KARUMA-24HRS'!K44,'7.08 GULU-KARUMA'!K44)</f>
        <v>0.14285714285714285</v>
      </c>
      <c r="L44" s="49">
        <f>AVERAGE('01.08 GULU-KARUMA'!L44,'02.08 GULU-KARUMA'!L44,'04.08 GULU-KARUMA'!L44,'06.08 GULU-KARUMA'!L44,'03. 08 GULU-KARUMA-24HRS'!L44,'05.08, GULU-KARUMA-24HRS'!L44,'7.08 GULU-KARUMA'!L44)</f>
        <v>2.4285714285714284</v>
      </c>
      <c r="M44" s="49">
        <f>AVERAGE('01.08 GULU-KARUMA'!M44,'02.08 GULU-KARUMA'!M44,'04.08 GULU-KARUMA'!M44,'06.08 GULU-KARUMA'!M44,'03. 08 GULU-KARUMA-24HRS'!M44,'05.08, GULU-KARUMA-24HRS'!M44,'7.08 GULU-KARUMA'!M44)</f>
        <v>49</v>
      </c>
      <c r="N44" s="49">
        <f>AVERAGE('01.08 GULU-KARUMA'!N44,'02.08 GULU-KARUMA'!N44,'04.08 GULU-KARUMA'!N44,'06.08 GULU-KARUMA'!N44,'03. 08 GULU-KARUMA-24HRS'!N44,'05.08, GULU-KARUMA-24HRS'!N44,'7.08 GULU-KARUMA'!N44)</f>
        <v>0</v>
      </c>
      <c r="O44" s="15">
        <f t="shared" si="0"/>
        <v>14.500000000000002</v>
      </c>
      <c r="P44" s="15">
        <f t="shared" si="1"/>
        <v>63.5</v>
      </c>
    </row>
    <row r="45" spans="2:32" ht="23.1" customHeight="1" x14ac:dyDescent="0.25">
      <c r="B45" s="23" t="s">
        <v>72</v>
      </c>
      <c r="C45" s="49">
        <f>AVERAGE('01.08 GULU-KARUMA'!C45,'02.08 GULU-KARUMA'!C45,'04.08 GULU-KARUMA'!C45,'06.08 GULU-KARUMA'!C45,'03. 08 GULU-KARUMA-24HRS'!C45,'05.08, GULU-KARUMA-24HRS'!C45,'7.08 GULU-KARUMA'!C45)</f>
        <v>3.4285714285714284</v>
      </c>
      <c r="D45" s="49">
        <f>AVERAGE('01.08 GULU-KARUMA'!D45,'02.08 GULU-KARUMA'!D45,'04.08 GULU-KARUMA'!D45,'06.08 GULU-KARUMA'!D45,'03. 08 GULU-KARUMA-24HRS'!D45,'05.08, GULU-KARUMA-24HRS'!D45,'7.08 GULU-KARUMA'!D45)</f>
        <v>1.5714285714285714</v>
      </c>
      <c r="E45" s="49">
        <f>AVERAGE('01.08 GULU-KARUMA'!E45,'02.08 GULU-KARUMA'!E45,'04.08 GULU-KARUMA'!E45,'06.08 GULU-KARUMA'!E45,'03. 08 GULU-KARUMA-24HRS'!E45,'05.08, GULU-KARUMA-24HRS'!E45,'7.08 GULU-KARUMA'!E45)</f>
        <v>3.6428571428571428</v>
      </c>
      <c r="F45" s="49">
        <f>AVERAGE('01.08 GULU-KARUMA'!F45,'02.08 GULU-KARUMA'!F45,'04.08 GULU-KARUMA'!F45,'06.08 GULU-KARUMA'!F45,'03. 08 GULU-KARUMA-24HRS'!F45,'05.08, GULU-KARUMA-24HRS'!F45,'7.08 GULU-KARUMA'!F45)</f>
        <v>1.5714285714285714</v>
      </c>
      <c r="G45" s="49">
        <f>AVERAGE('01.08 GULU-KARUMA'!G45,'02.08 GULU-KARUMA'!G45,'04.08 GULU-KARUMA'!G45,'06.08 GULU-KARUMA'!G45,'03. 08 GULU-KARUMA-24HRS'!G45,'05.08, GULU-KARUMA-24HRS'!G45,'7.08 GULU-KARUMA'!G45)</f>
        <v>0</v>
      </c>
      <c r="H45" s="49">
        <f>AVERAGE('01.08 GULU-KARUMA'!H45,'02.08 GULU-KARUMA'!H45,'04.08 GULU-KARUMA'!H45,'06.08 GULU-KARUMA'!H45,'03. 08 GULU-KARUMA-24HRS'!H45,'05.08, GULU-KARUMA-24HRS'!H45,'7.08 GULU-KARUMA'!H45)</f>
        <v>1</v>
      </c>
      <c r="I45" s="49">
        <f>AVERAGE('01.08 GULU-KARUMA'!I45,'02.08 GULU-KARUMA'!I45,'04.08 GULU-KARUMA'!I45,'06.08 GULU-KARUMA'!I45,'03. 08 GULU-KARUMA-24HRS'!I45,'05.08, GULU-KARUMA-24HRS'!I45,'7.08 GULU-KARUMA'!I45)</f>
        <v>2.7142857142857144</v>
      </c>
      <c r="J45" s="49">
        <f>AVERAGE('01.08 GULU-KARUMA'!J45,'02.08 GULU-KARUMA'!J45,'04.08 GULU-KARUMA'!J45,'06.08 GULU-KARUMA'!J45,'03. 08 GULU-KARUMA-24HRS'!J45,'05.08, GULU-KARUMA-24HRS'!J45,'7.08 GULU-KARUMA'!J45)</f>
        <v>1.5714285714285714</v>
      </c>
      <c r="K45" s="49">
        <f>AVERAGE('01.08 GULU-KARUMA'!K45,'02.08 GULU-KARUMA'!K45,'04.08 GULU-KARUMA'!K45,'06.08 GULU-KARUMA'!K45,'03. 08 GULU-KARUMA-24HRS'!K45,'05.08, GULU-KARUMA-24HRS'!K45,'7.08 GULU-KARUMA'!K45)</f>
        <v>0.14285714285714285</v>
      </c>
      <c r="L45" s="49">
        <f>AVERAGE('01.08 GULU-KARUMA'!L45,'02.08 GULU-KARUMA'!L45,'04.08 GULU-KARUMA'!L45,'06.08 GULU-KARUMA'!L45,'03. 08 GULU-KARUMA-24HRS'!L45,'05.08, GULU-KARUMA-24HRS'!L45,'7.08 GULU-KARUMA'!L45)</f>
        <v>2.7142857142857144</v>
      </c>
      <c r="M45" s="49">
        <f>AVERAGE('01.08 GULU-KARUMA'!M45,'02.08 GULU-KARUMA'!M45,'04.08 GULU-KARUMA'!M45,'06.08 GULU-KARUMA'!M45,'03. 08 GULU-KARUMA-24HRS'!M45,'05.08, GULU-KARUMA-24HRS'!M45,'7.08 GULU-KARUMA'!M45)</f>
        <v>43</v>
      </c>
      <c r="N45" s="49">
        <f>AVERAGE('01.08 GULU-KARUMA'!N45,'02.08 GULU-KARUMA'!N45,'04.08 GULU-KARUMA'!N45,'06.08 GULU-KARUMA'!N45,'03. 08 GULU-KARUMA-24HRS'!N45,'05.08, GULU-KARUMA-24HRS'!N45,'7.08 GULU-KARUMA'!N45)</f>
        <v>0</v>
      </c>
      <c r="O45" s="15">
        <f t="shared" si="0"/>
        <v>18.357142857142854</v>
      </c>
      <c r="P45" s="15">
        <f t="shared" si="1"/>
        <v>61.357142857142854</v>
      </c>
    </row>
    <row r="46" spans="2:32" ht="23.1" customHeight="1" x14ac:dyDescent="0.25">
      <c r="B46" s="24" t="s">
        <v>73</v>
      </c>
      <c r="C46" s="49">
        <f>AVERAGE('01.08 GULU-KARUMA'!C46,'02.08 GULU-KARUMA'!C46,'04.08 GULU-KARUMA'!C46,'06.08 GULU-KARUMA'!C46,'03. 08 GULU-KARUMA-24HRS'!C46,'05.08, GULU-KARUMA-24HRS'!C46,'7.08 GULU-KARUMA'!C46)</f>
        <v>5.1428571428571432</v>
      </c>
      <c r="D46" s="49">
        <f>AVERAGE('01.08 GULU-KARUMA'!D46,'02.08 GULU-KARUMA'!D46,'04.08 GULU-KARUMA'!D46,'06.08 GULU-KARUMA'!D46,'03. 08 GULU-KARUMA-24HRS'!D46,'05.08, GULU-KARUMA-24HRS'!D46,'7.08 GULU-KARUMA'!D46)</f>
        <v>1.7142857142857142</v>
      </c>
      <c r="E46" s="49">
        <f>AVERAGE('01.08 GULU-KARUMA'!E46,'02.08 GULU-KARUMA'!E46,'04.08 GULU-KARUMA'!E46,'06.08 GULU-KARUMA'!E46,'03. 08 GULU-KARUMA-24HRS'!E46,'05.08, GULU-KARUMA-24HRS'!E46,'7.08 GULU-KARUMA'!E46)</f>
        <v>4.2142857142857144</v>
      </c>
      <c r="F46" s="49">
        <f>AVERAGE('01.08 GULU-KARUMA'!F46,'02.08 GULU-KARUMA'!F46,'04.08 GULU-KARUMA'!F46,'06.08 GULU-KARUMA'!F46,'03. 08 GULU-KARUMA-24HRS'!F46,'05.08, GULU-KARUMA-24HRS'!F46,'7.08 GULU-KARUMA'!F46)</f>
        <v>1.7142857142857142</v>
      </c>
      <c r="G46" s="49">
        <f>AVERAGE('01.08 GULU-KARUMA'!G46,'02.08 GULU-KARUMA'!G46,'04.08 GULU-KARUMA'!G46,'06.08 GULU-KARUMA'!G46,'03. 08 GULU-KARUMA-24HRS'!G46,'05.08, GULU-KARUMA-24HRS'!G46,'7.08 GULU-KARUMA'!G46)</f>
        <v>0</v>
      </c>
      <c r="H46" s="49">
        <f>AVERAGE('01.08 GULU-KARUMA'!H46,'02.08 GULU-KARUMA'!H46,'04.08 GULU-KARUMA'!H46,'06.08 GULU-KARUMA'!H46,'03. 08 GULU-KARUMA-24HRS'!H46,'05.08, GULU-KARUMA-24HRS'!H46,'7.08 GULU-KARUMA'!H46)</f>
        <v>1.1428571428571428</v>
      </c>
      <c r="I46" s="49">
        <f>AVERAGE('01.08 GULU-KARUMA'!I46,'02.08 GULU-KARUMA'!I46,'04.08 GULU-KARUMA'!I46,'06.08 GULU-KARUMA'!I46,'03. 08 GULU-KARUMA-24HRS'!I46,'05.08, GULU-KARUMA-24HRS'!I46,'7.08 GULU-KARUMA'!I46)</f>
        <v>2.8571428571428572</v>
      </c>
      <c r="J46" s="49">
        <f>AVERAGE('01.08 GULU-KARUMA'!J46,'02.08 GULU-KARUMA'!J46,'04.08 GULU-KARUMA'!J46,'06.08 GULU-KARUMA'!J46,'03. 08 GULU-KARUMA-24HRS'!J46,'05.08, GULU-KARUMA-24HRS'!J46,'7.08 GULU-KARUMA'!J46)</f>
        <v>0.42857142857142855</v>
      </c>
      <c r="K46" s="49">
        <f>AVERAGE('01.08 GULU-KARUMA'!K46,'02.08 GULU-KARUMA'!K46,'04.08 GULU-KARUMA'!K46,'06.08 GULU-KARUMA'!K46,'03. 08 GULU-KARUMA-24HRS'!K46,'05.08, GULU-KARUMA-24HRS'!K46,'7.08 GULU-KARUMA'!K46)</f>
        <v>0.2857142857142857</v>
      </c>
      <c r="L46" s="49">
        <f>AVERAGE('01.08 GULU-KARUMA'!L46,'02.08 GULU-KARUMA'!L46,'04.08 GULU-KARUMA'!L46,'06.08 GULU-KARUMA'!L46,'03. 08 GULU-KARUMA-24HRS'!L46,'05.08, GULU-KARUMA-24HRS'!L46,'7.08 GULU-KARUMA'!L46)</f>
        <v>3</v>
      </c>
      <c r="M46" s="49">
        <f>AVERAGE('01.08 GULU-KARUMA'!M46,'02.08 GULU-KARUMA'!M46,'04.08 GULU-KARUMA'!M46,'06.08 GULU-KARUMA'!M46,'03. 08 GULU-KARUMA-24HRS'!M46,'05.08, GULU-KARUMA-24HRS'!M46,'7.08 GULU-KARUMA'!M46)</f>
        <v>47.142857142857146</v>
      </c>
      <c r="N46" s="49">
        <f>AVERAGE('01.08 GULU-KARUMA'!N46,'02.08 GULU-KARUMA'!N46,'04.08 GULU-KARUMA'!N46,'06.08 GULU-KARUMA'!N46,'03. 08 GULU-KARUMA-24HRS'!N46,'05.08, GULU-KARUMA-24HRS'!N46,'7.08 GULU-KARUMA'!N46)</f>
        <v>0</v>
      </c>
      <c r="O46" s="15">
        <f t="shared" si="0"/>
        <v>20.499999999999996</v>
      </c>
      <c r="P46" s="15">
        <f t="shared" si="1"/>
        <v>67.642857142857139</v>
      </c>
      <c r="R46" s="8"/>
      <c r="T46"/>
    </row>
    <row r="47" spans="2:32" ht="23.1" customHeight="1" x14ac:dyDescent="0.25">
      <c r="B47" s="24" t="s">
        <v>74</v>
      </c>
      <c r="C47" s="49">
        <f>AVERAGE('01.08 GULU-KARUMA'!C47,'02.08 GULU-KARUMA'!C47,'04.08 GULU-KARUMA'!C47,'06.08 GULU-KARUMA'!C47,'03. 08 GULU-KARUMA-24HRS'!C47,'05.08, GULU-KARUMA-24HRS'!C47,'7.08 GULU-KARUMA'!C47)</f>
        <v>3.7142857142857144</v>
      </c>
      <c r="D47" s="49">
        <f>AVERAGE('01.08 GULU-KARUMA'!D47,'02.08 GULU-KARUMA'!D47,'04.08 GULU-KARUMA'!D47,'06.08 GULU-KARUMA'!D47,'03. 08 GULU-KARUMA-24HRS'!D47,'05.08, GULU-KARUMA-24HRS'!D47,'7.08 GULU-KARUMA'!D47)</f>
        <v>2</v>
      </c>
      <c r="E47" s="49">
        <f>AVERAGE('01.08 GULU-KARUMA'!E47,'02.08 GULU-KARUMA'!E47,'04.08 GULU-KARUMA'!E47,'06.08 GULU-KARUMA'!E47,'03. 08 GULU-KARUMA-24HRS'!E47,'05.08, GULU-KARUMA-24HRS'!E47,'7.08 GULU-KARUMA'!E47)</f>
        <v>4.4285714285714288</v>
      </c>
      <c r="F47" s="49">
        <f>AVERAGE('01.08 GULU-KARUMA'!F47,'02.08 GULU-KARUMA'!F47,'04.08 GULU-KARUMA'!F47,'06.08 GULU-KARUMA'!F47,'03. 08 GULU-KARUMA-24HRS'!F47,'05.08, GULU-KARUMA-24HRS'!F47,'7.08 GULU-KARUMA'!F47)</f>
        <v>1</v>
      </c>
      <c r="G47" s="49">
        <f>AVERAGE('01.08 GULU-KARUMA'!G47,'02.08 GULU-KARUMA'!G47,'04.08 GULU-KARUMA'!G47,'06.08 GULU-KARUMA'!G47,'03. 08 GULU-KARUMA-24HRS'!G47,'05.08, GULU-KARUMA-24HRS'!G47,'7.08 GULU-KARUMA'!G47)</f>
        <v>0.2857142857142857</v>
      </c>
      <c r="H47" s="49">
        <f>AVERAGE('01.08 GULU-KARUMA'!H47,'02.08 GULU-KARUMA'!H47,'04.08 GULU-KARUMA'!H47,'06.08 GULU-KARUMA'!H47,'03. 08 GULU-KARUMA-24HRS'!H47,'05.08, GULU-KARUMA-24HRS'!H47,'7.08 GULU-KARUMA'!H47)</f>
        <v>1.1428571428571428</v>
      </c>
      <c r="I47" s="49">
        <f>AVERAGE('01.08 GULU-KARUMA'!I47,'02.08 GULU-KARUMA'!I47,'04.08 GULU-KARUMA'!I47,'06.08 GULU-KARUMA'!I47,'03. 08 GULU-KARUMA-24HRS'!I47,'05.08, GULU-KARUMA-24HRS'!I47,'7.08 GULU-KARUMA'!I47)</f>
        <v>3.2857142857142856</v>
      </c>
      <c r="J47" s="49">
        <f>AVERAGE('01.08 GULU-KARUMA'!J47,'02.08 GULU-KARUMA'!J47,'04.08 GULU-KARUMA'!J47,'06.08 GULU-KARUMA'!J47,'03. 08 GULU-KARUMA-24HRS'!J47,'05.08, GULU-KARUMA-24HRS'!J47,'7.08 GULU-KARUMA'!J47)</f>
        <v>0.5714285714285714</v>
      </c>
      <c r="K47" s="49">
        <f>AVERAGE('01.08 GULU-KARUMA'!K47,'02.08 GULU-KARUMA'!K47,'04.08 GULU-KARUMA'!K47,'06.08 GULU-KARUMA'!K47,'03. 08 GULU-KARUMA-24HRS'!K47,'05.08, GULU-KARUMA-24HRS'!K47,'7.08 GULU-KARUMA'!K47)</f>
        <v>0</v>
      </c>
      <c r="L47" s="49">
        <f>AVERAGE('01.08 GULU-KARUMA'!L47,'02.08 GULU-KARUMA'!L47,'04.08 GULU-KARUMA'!L47,'06.08 GULU-KARUMA'!L47,'03. 08 GULU-KARUMA-24HRS'!L47,'05.08, GULU-KARUMA-24HRS'!L47,'7.08 GULU-KARUMA'!L47)</f>
        <v>1.1428571428571428</v>
      </c>
      <c r="M47" s="49">
        <f>AVERAGE('01.08 GULU-KARUMA'!M47,'02.08 GULU-KARUMA'!M47,'04.08 GULU-KARUMA'!M47,'06.08 GULU-KARUMA'!M47,'03. 08 GULU-KARUMA-24HRS'!M47,'05.08, GULU-KARUMA-24HRS'!M47,'7.08 GULU-KARUMA'!M47)</f>
        <v>46.142857142857146</v>
      </c>
      <c r="N47" s="49">
        <f>AVERAGE('01.08 GULU-KARUMA'!N47,'02.08 GULU-KARUMA'!N47,'04.08 GULU-KARUMA'!N47,'06.08 GULU-KARUMA'!N47,'03. 08 GULU-KARUMA-24HRS'!N47,'05.08, GULU-KARUMA-24HRS'!N47,'7.08 GULU-KARUMA'!N47)</f>
        <v>0</v>
      </c>
      <c r="O47" s="15">
        <f t="shared" si="0"/>
        <v>17.571428571428573</v>
      </c>
      <c r="P47" s="15">
        <f t="shared" si="1"/>
        <v>63.714285714285722</v>
      </c>
      <c r="R47" s="8"/>
      <c r="T47"/>
    </row>
    <row r="48" spans="2:32" ht="23.1" customHeight="1" x14ac:dyDescent="0.25">
      <c r="B48" s="24" t="s">
        <v>75</v>
      </c>
      <c r="C48" s="49">
        <f>AVERAGE('01.08 GULU-KARUMA'!C48,'02.08 GULU-KARUMA'!C48,'04.08 GULU-KARUMA'!C48,'06.08 GULU-KARUMA'!C48,'03. 08 GULU-KARUMA-24HRS'!C48,'05.08, GULU-KARUMA-24HRS'!C48,'7.08 GULU-KARUMA'!C48)</f>
        <v>4.2857142857142856</v>
      </c>
      <c r="D48" s="49">
        <f>AVERAGE('01.08 GULU-KARUMA'!D48,'02.08 GULU-KARUMA'!D48,'04.08 GULU-KARUMA'!D48,'06.08 GULU-KARUMA'!D48,'03. 08 GULU-KARUMA-24HRS'!D48,'05.08, GULU-KARUMA-24HRS'!D48,'7.08 GULU-KARUMA'!D48)</f>
        <v>2.5714285714285716</v>
      </c>
      <c r="E48" s="49">
        <f>AVERAGE('01.08 GULU-KARUMA'!E48,'02.08 GULU-KARUMA'!E48,'04.08 GULU-KARUMA'!E48,'06.08 GULU-KARUMA'!E48,'03. 08 GULU-KARUMA-24HRS'!E48,'05.08, GULU-KARUMA-24HRS'!E48,'7.08 GULU-KARUMA'!E48)</f>
        <v>5.1428571428571432</v>
      </c>
      <c r="F48" s="49">
        <f>AVERAGE('01.08 GULU-KARUMA'!F48,'02.08 GULU-KARUMA'!F48,'04.08 GULU-KARUMA'!F48,'06.08 GULU-KARUMA'!F48,'03. 08 GULU-KARUMA-24HRS'!F48,'05.08, GULU-KARUMA-24HRS'!F48,'7.08 GULU-KARUMA'!F48)</f>
        <v>0.5714285714285714</v>
      </c>
      <c r="G48" s="49">
        <f>AVERAGE('01.08 GULU-KARUMA'!G48,'02.08 GULU-KARUMA'!G48,'04.08 GULU-KARUMA'!G48,'06.08 GULU-KARUMA'!G48,'03. 08 GULU-KARUMA-24HRS'!G48,'05.08, GULU-KARUMA-24HRS'!G48,'7.08 GULU-KARUMA'!G48)</f>
        <v>0</v>
      </c>
      <c r="H48" s="49">
        <f>AVERAGE('01.08 GULU-KARUMA'!H48,'02.08 GULU-KARUMA'!H48,'04.08 GULU-KARUMA'!H48,'06.08 GULU-KARUMA'!H48,'03. 08 GULU-KARUMA-24HRS'!H48,'05.08, GULU-KARUMA-24HRS'!H48,'7.08 GULU-KARUMA'!H48)</f>
        <v>0.5714285714285714</v>
      </c>
      <c r="I48" s="49">
        <f>AVERAGE('01.08 GULU-KARUMA'!I48,'02.08 GULU-KARUMA'!I48,'04.08 GULU-KARUMA'!I48,'06.08 GULU-KARUMA'!I48,'03. 08 GULU-KARUMA-24HRS'!I48,'05.08, GULU-KARUMA-24HRS'!I48,'7.08 GULU-KARUMA'!I48)</f>
        <v>3.1428571428571428</v>
      </c>
      <c r="J48" s="49">
        <f>AVERAGE('01.08 GULU-KARUMA'!J48,'02.08 GULU-KARUMA'!J48,'04.08 GULU-KARUMA'!J48,'06.08 GULU-KARUMA'!J48,'03. 08 GULU-KARUMA-24HRS'!J48,'05.08, GULU-KARUMA-24HRS'!J48,'7.08 GULU-KARUMA'!J48)</f>
        <v>0.42857142857142855</v>
      </c>
      <c r="K48" s="49">
        <f>AVERAGE('01.08 GULU-KARUMA'!K48,'02.08 GULU-KARUMA'!K48,'04.08 GULU-KARUMA'!K48,'06.08 GULU-KARUMA'!K48,'03. 08 GULU-KARUMA-24HRS'!K48,'05.08, GULU-KARUMA-24HRS'!K48,'7.08 GULU-KARUMA'!K48)</f>
        <v>0</v>
      </c>
      <c r="L48" s="49">
        <f>AVERAGE('01.08 GULU-KARUMA'!L48,'02.08 GULU-KARUMA'!L48,'04.08 GULU-KARUMA'!L48,'06.08 GULU-KARUMA'!L48,'03. 08 GULU-KARUMA-24HRS'!L48,'05.08, GULU-KARUMA-24HRS'!L48,'7.08 GULU-KARUMA'!L48)</f>
        <v>1.4285714285714286</v>
      </c>
      <c r="M48" s="49">
        <f>AVERAGE('01.08 GULU-KARUMA'!M48,'02.08 GULU-KARUMA'!M48,'04.08 GULU-KARUMA'!M48,'06.08 GULU-KARUMA'!M48,'03. 08 GULU-KARUMA-24HRS'!M48,'05.08, GULU-KARUMA-24HRS'!M48,'7.08 GULU-KARUMA'!M48)</f>
        <v>53.857142857142854</v>
      </c>
      <c r="N48" s="49">
        <f>AVERAGE('01.08 GULU-KARUMA'!N48,'02.08 GULU-KARUMA'!N48,'04.08 GULU-KARUMA'!N48,'06.08 GULU-KARUMA'!N48,'03. 08 GULU-KARUMA-24HRS'!N48,'05.08, GULU-KARUMA-24HRS'!N48,'7.08 GULU-KARUMA'!N48)</f>
        <v>0</v>
      </c>
      <c r="O48" s="15">
        <f t="shared" si="0"/>
        <v>18.142857142857139</v>
      </c>
      <c r="P48" s="15">
        <f t="shared" si="1"/>
        <v>72</v>
      </c>
      <c r="R48" s="8"/>
      <c r="T48"/>
    </row>
    <row r="49" spans="2:20" ht="23.1" customHeight="1" x14ac:dyDescent="0.25">
      <c r="B49" s="23" t="s">
        <v>76</v>
      </c>
      <c r="C49" s="49">
        <f>AVERAGE('01.08 GULU-KARUMA'!C49,'02.08 GULU-KARUMA'!C49,'04.08 GULU-KARUMA'!C49,'06.08 GULU-KARUMA'!C49,'03. 08 GULU-KARUMA-24HRS'!C49,'05.08, GULU-KARUMA-24HRS'!C49,'7.08 GULU-KARUMA'!C49)</f>
        <v>6</v>
      </c>
      <c r="D49" s="49">
        <f>AVERAGE('01.08 GULU-KARUMA'!D49,'02.08 GULU-KARUMA'!D49,'04.08 GULU-KARUMA'!D49,'06.08 GULU-KARUMA'!D49,'03. 08 GULU-KARUMA-24HRS'!D49,'05.08, GULU-KARUMA-24HRS'!D49,'7.08 GULU-KARUMA'!D49)</f>
        <v>1.4285714285714286</v>
      </c>
      <c r="E49" s="49">
        <f>AVERAGE('01.08 GULU-KARUMA'!E49,'02.08 GULU-KARUMA'!E49,'04.08 GULU-KARUMA'!E49,'06.08 GULU-KARUMA'!E49,'03. 08 GULU-KARUMA-24HRS'!E49,'05.08, GULU-KARUMA-24HRS'!E49,'7.08 GULU-KARUMA'!E49)</f>
        <v>3.2142857142857144</v>
      </c>
      <c r="F49" s="49">
        <f>AVERAGE('01.08 GULU-KARUMA'!F49,'02.08 GULU-KARUMA'!F49,'04.08 GULU-KARUMA'!F49,'06.08 GULU-KARUMA'!F49,'03. 08 GULU-KARUMA-24HRS'!F49,'05.08, GULU-KARUMA-24HRS'!F49,'7.08 GULU-KARUMA'!F49)</f>
        <v>1</v>
      </c>
      <c r="G49" s="49">
        <f>AVERAGE('01.08 GULU-KARUMA'!G49,'02.08 GULU-KARUMA'!G49,'04.08 GULU-KARUMA'!G49,'06.08 GULU-KARUMA'!G49,'03. 08 GULU-KARUMA-24HRS'!G49,'05.08, GULU-KARUMA-24HRS'!G49,'7.08 GULU-KARUMA'!G49)</f>
        <v>0.2857142857142857</v>
      </c>
      <c r="H49" s="49">
        <f>AVERAGE('01.08 GULU-KARUMA'!H49,'02.08 GULU-KARUMA'!H49,'04.08 GULU-KARUMA'!H49,'06.08 GULU-KARUMA'!H49,'03. 08 GULU-KARUMA-24HRS'!H49,'05.08, GULU-KARUMA-24HRS'!H49,'7.08 GULU-KARUMA'!H49)</f>
        <v>0.8571428571428571</v>
      </c>
      <c r="I49" s="49">
        <f>AVERAGE('01.08 GULU-KARUMA'!I49,'02.08 GULU-KARUMA'!I49,'04.08 GULU-KARUMA'!I49,'06.08 GULU-KARUMA'!I49,'03. 08 GULU-KARUMA-24HRS'!I49,'05.08, GULU-KARUMA-24HRS'!I49,'7.08 GULU-KARUMA'!I49)</f>
        <v>2.5714285714285716</v>
      </c>
      <c r="J49" s="49">
        <f>AVERAGE('01.08 GULU-KARUMA'!J49,'02.08 GULU-KARUMA'!J49,'04.08 GULU-KARUMA'!J49,'06.08 GULU-KARUMA'!J49,'03. 08 GULU-KARUMA-24HRS'!J49,'05.08, GULU-KARUMA-24HRS'!J49,'7.08 GULU-KARUMA'!J49)</f>
        <v>1.4285714285714286</v>
      </c>
      <c r="K49" s="49">
        <f>AVERAGE('01.08 GULU-KARUMA'!K49,'02.08 GULU-KARUMA'!K49,'04.08 GULU-KARUMA'!K49,'06.08 GULU-KARUMA'!K49,'03. 08 GULU-KARUMA-24HRS'!K49,'05.08, GULU-KARUMA-24HRS'!K49,'7.08 GULU-KARUMA'!K49)</f>
        <v>0</v>
      </c>
      <c r="L49" s="49">
        <f>AVERAGE('01.08 GULU-KARUMA'!L49,'02.08 GULU-KARUMA'!L49,'04.08 GULU-KARUMA'!L49,'06.08 GULU-KARUMA'!L49,'03. 08 GULU-KARUMA-24HRS'!L49,'05.08, GULU-KARUMA-24HRS'!L49,'7.08 GULU-KARUMA'!L49)</f>
        <v>1.5714285714285714</v>
      </c>
      <c r="M49" s="49">
        <f>AVERAGE('01.08 GULU-KARUMA'!M49,'02.08 GULU-KARUMA'!M49,'04.08 GULU-KARUMA'!M49,'06.08 GULU-KARUMA'!M49,'03. 08 GULU-KARUMA-24HRS'!M49,'05.08, GULU-KARUMA-24HRS'!M49,'7.08 GULU-KARUMA'!M49)</f>
        <v>44.285714285714285</v>
      </c>
      <c r="N49" s="49">
        <f>AVERAGE('01.08 GULU-KARUMA'!N49,'02.08 GULU-KARUMA'!N49,'04.08 GULU-KARUMA'!N49,'06.08 GULU-KARUMA'!N49,'03. 08 GULU-KARUMA-24HRS'!N49,'05.08, GULU-KARUMA-24HRS'!N49,'7.08 GULU-KARUMA'!N49)</f>
        <v>0</v>
      </c>
      <c r="O49" s="15">
        <f t="shared" si="0"/>
        <v>18.357142857142858</v>
      </c>
      <c r="P49" s="15">
        <f t="shared" si="1"/>
        <v>62.642857142857139</v>
      </c>
      <c r="R49" s="8"/>
      <c r="T49"/>
    </row>
    <row r="50" spans="2:20" ht="23.1" customHeight="1" x14ac:dyDescent="0.25">
      <c r="B50" s="24" t="s">
        <v>77</v>
      </c>
      <c r="C50" s="49">
        <f>AVERAGE('01.08 GULU-KARUMA'!C50,'02.08 GULU-KARUMA'!C50,'04.08 GULU-KARUMA'!C50,'06.08 GULU-KARUMA'!C50,'03. 08 GULU-KARUMA-24HRS'!C50,'05.08, GULU-KARUMA-24HRS'!C50,'7.08 GULU-KARUMA'!C50)</f>
        <v>4.2857142857142856</v>
      </c>
      <c r="D50" s="49">
        <f>AVERAGE('01.08 GULU-KARUMA'!D50,'02.08 GULU-KARUMA'!D50,'04.08 GULU-KARUMA'!D50,'06.08 GULU-KARUMA'!D50,'03. 08 GULU-KARUMA-24HRS'!D50,'05.08, GULU-KARUMA-24HRS'!D50,'7.08 GULU-KARUMA'!D50)</f>
        <v>1.7142857142857142</v>
      </c>
      <c r="E50" s="49">
        <f>AVERAGE('01.08 GULU-KARUMA'!E50,'02.08 GULU-KARUMA'!E50,'04.08 GULU-KARUMA'!E50,'06.08 GULU-KARUMA'!E50,'03. 08 GULU-KARUMA-24HRS'!E50,'05.08, GULU-KARUMA-24HRS'!E50,'7.08 GULU-KARUMA'!E50)</f>
        <v>4.1428571428571432</v>
      </c>
      <c r="F50" s="49">
        <f>AVERAGE('01.08 GULU-KARUMA'!F50,'02.08 GULU-KARUMA'!F50,'04.08 GULU-KARUMA'!F50,'06.08 GULU-KARUMA'!F50,'03. 08 GULU-KARUMA-24HRS'!F50,'05.08, GULU-KARUMA-24HRS'!F50,'7.08 GULU-KARUMA'!F50)</f>
        <v>2</v>
      </c>
      <c r="G50" s="49">
        <f>AVERAGE('01.08 GULU-KARUMA'!G50,'02.08 GULU-KARUMA'!G50,'04.08 GULU-KARUMA'!G50,'06.08 GULU-KARUMA'!G50,'03. 08 GULU-KARUMA-24HRS'!G50,'05.08, GULU-KARUMA-24HRS'!G50,'7.08 GULU-KARUMA'!G50)</f>
        <v>0.14285714285714285</v>
      </c>
      <c r="H50" s="49">
        <f>AVERAGE('01.08 GULU-KARUMA'!H50,'02.08 GULU-KARUMA'!H50,'04.08 GULU-KARUMA'!H50,'06.08 GULU-KARUMA'!H50,'03. 08 GULU-KARUMA-24HRS'!H50,'05.08, GULU-KARUMA-24HRS'!H50,'7.08 GULU-KARUMA'!H50)</f>
        <v>1</v>
      </c>
      <c r="I50" s="49">
        <f>AVERAGE('01.08 GULU-KARUMA'!I50,'02.08 GULU-KARUMA'!I50,'04.08 GULU-KARUMA'!I50,'06.08 GULU-KARUMA'!I50,'03. 08 GULU-KARUMA-24HRS'!I50,'05.08, GULU-KARUMA-24HRS'!I50,'7.08 GULU-KARUMA'!I50)</f>
        <v>2.4285714285714284</v>
      </c>
      <c r="J50" s="49">
        <f>AVERAGE('01.08 GULU-KARUMA'!J50,'02.08 GULU-KARUMA'!J50,'04.08 GULU-KARUMA'!J50,'06.08 GULU-KARUMA'!J50,'03. 08 GULU-KARUMA-24HRS'!J50,'05.08, GULU-KARUMA-24HRS'!J50,'7.08 GULU-KARUMA'!J50)</f>
        <v>1.2857142857142858</v>
      </c>
      <c r="K50" s="49">
        <f>AVERAGE('01.08 GULU-KARUMA'!K50,'02.08 GULU-KARUMA'!K50,'04.08 GULU-KARUMA'!K50,'06.08 GULU-KARUMA'!K50,'03. 08 GULU-KARUMA-24HRS'!K50,'05.08, GULU-KARUMA-24HRS'!K50,'7.08 GULU-KARUMA'!K50)</f>
        <v>0.42857142857142855</v>
      </c>
      <c r="L50" s="49">
        <f>AVERAGE('01.08 GULU-KARUMA'!L50,'02.08 GULU-KARUMA'!L50,'04.08 GULU-KARUMA'!L50,'06.08 GULU-KARUMA'!L50,'03. 08 GULU-KARUMA-24HRS'!L50,'05.08, GULU-KARUMA-24HRS'!L50,'7.08 GULU-KARUMA'!L50)</f>
        <v>1.5714285714285714</v>
      </c>
      <c r="M50" s="49">
        <f>AVERAGE('01.08 GULU-KARUMA'!M50,'02.08 GULU-KARUMA'!M50,'04.08 GULU-KARUMA'!M50,'06.08 GULU-KARUMA'!M50,'03. 08 GULU-KARUMA-24HRS'!M50,'05.08, GULU-KARUMA-24HRS'!M50,'7.08 GULU-KARUMA'!M50)</f>
        <v>48</v>
      </c>
      <c r="N50" s="49">
        <f>AVERAGE('01.08 GULU-KARUMA'!N50,'02.08 GULU-KARUMA'!N50,'04.08 GULU-KARUMA'!N50,'06.08 GULU-KARUMA'!N50,'03. 08 GULU-KARUMA-24HRS'!N50,'05.08, GULU-KARUMA-24HRS'!N50,'7.08 GULU-KARUMA'!N50)</f>
        <v>0</v>
      </c>
      <c r="O50" s="15">
        <f t="shared" si="0"/>
        <v>19</v>
      </c>
      <c r="P50" s="15">
        <f t="shared" si="1"/>
        <v>67</v>
      </c>
      <c r="R50" s="8"/>
      <c r="T50"/>
    </row>
    <row r="51" spans="2:20" ht="23.1" customHeight="1" x14ac:dyDescent="0.25">
      <c r="B51" s="24" t="s">
        <v>78</v>
      </c>
      <c r="C51" s="49">
        <f>AVERAGE('01.08 GULU-KARUMA'!C51,'02.08 GULU-KARUMA'!C51,'04.08 GULU-KARUMA'!C51,'06.08 GULU-KARUMA'!C51,'03. 08 GULU-KARUMA-24HRS'!C51,'05.08, GULU-KARUMA-24HRS'!C51,'7.08 GULU-KARUMA'!C51)</f>
        <v>4.1428571428571432</v>
      </c>
      <c r="D51" s="49">
        <f>AVERAGE('01.08 GULU-KARUMA'!D51,'02.08 GULU-KARUMA'!D51,'04.08 GULU-KARUMA'!D51,'06.08 GULU-KARUMA'!D51,'03. 08 GULU-KARUMA-24HRS'!D51,'05.08, GULU-KARUMA-24HRS'!D51,'7.08 GULU-KARUMA'!D51)</f>
        <v>2.5714285714285716</v>
      </c>
      <c r="E51" s="49">
        <f>AVERAGE('01.08 GULU-KARUMA'!E51,'02.08 GULU-KARUMA'!E51,'04.08 GULU-KARUMA'!E51,'06.08 GULU-KARUMA'!E51,'03. 08 GULU-KARUMA-24HRS'!E51,'05.08, GULU-KARUMA-24HRS'!E51,'7.08 GULU-KARUMA'!E51)</f>
        <v>5.5714285714285712</v>
      </c>
      <c r="F51" s="49">
        <f>AVERAGE('01.08 GULU-KARUMA'!F51,'02.08 GULU-KARUMA'!F51,'04.08 GULU-KARUMA'!F51,'06.08 GULU-KARUMA'!F51,'03. 08 GULU-KARUMA-24HRS'!F51,'05.08, GULU-KARUMA-24HRS'!F51,'7.08 GULU-KARUMA'!F51)</f>
        <v>1.4285714285714286</v>
      </c>
      <c r="G51" s="49">
        <f>AVERAGE('01.08 GULU-KARUMA'!G51,'02.08 GULU-KARUMA'!G51,'04.08 GULU-KARUMA'!G51,'06.08 GULU-KARUMA'!G51,'03. 08 GULU-KARUMA-24HRS'!G51,'05.08, GULU-KARUMA-24HRS'!G51,'7.08 GULU-KARUMA'!G51)</f>
        <v>0.14285714285714285</v>
      </c>
      <c r="H51" s="49">
        <f>AVERAGE('01.08 GULU-KARUMA'!H51,'02.08 GULU-KARUMA'!H51,'04.08 GULU-KARUMA'!H51,'06.08 GULU-KARUMA'!H51,'03. 08 GULU-KARUMA-24HRS'!H51,'05.08, GULU-KARUMA-24HRS'!H51,'7.08 GULU-KARUMA'!H51)</f>
        <v>0.8571428571428571</v>
      </c>
      <c r="I51" s="49">
        <f>AVERAGE('01.08 GULU-KARUMA'!I51,'02.08 GULU-KARUMA'!I51,'04.08 GULU-KARUMA'!I51,'06.08 GULU-KARUMA'!I51,'03. 08 GULU-KARUMA-24HRS'!I51,'05.08, GULU-KARUMA-24HRS'!I51,'7.08 GULU-KARUMA'!I51)</f>
        <v>1.4285714285714286</v>
      </c>
      <c r="J51" s="49">
        <f>AVERAGE('01.08 GULU-KARUMA'!J51,'02.08 GULU-KARUMA'!J51,'04.08 GULU-KARUMA'!J51,'06.08 GULU-KARUMA'!J51,'03. 08 GULU-KARUMA-24HRS'!J51,'05.08, GULU-KARUMA-24HRS'!J51,'7.08 GULU-KARUMA'!J51)</f>
        <v>1.5714285714285714</v>
      </c>
      <c r="K51" s="49">
        <f>AVERAGE('01.08 GULU-KARUMA'!K51,'02.08 GULU-KARUMA'!K51,'04.08 GULU-KARUMA'!K51,'06.08 GULU-KARUMA'!K51,'03. 08 GULU-KARUMA-24HRS'!K51,'05.08, GULU-KARUMA-24HRS'!K51,'7.08 GULU-KARUMA'!K51)</f>
        <v>0</v>
      </c>
      <c r="L51" s="49">
        <f>AVERAGE('01.08 GULU-KARUMA'!L51,'02.08 GULU-KARUMA'!L51,'04.08 GULU-KARUMA'!L51,'06.08 GULU-KARUMA'!L51,'03. 08 GULU-KARUMA-24HRS'!L51,'05.08, GULU-KARUMA-24HRS'!L51,'7.08 GULU-KARUMA'!L51)</f>
        <v>2.7142857142857144</v>
      </c>
      <c r="M51" s="49">
        <f>AVERAGE('01.08 GULU-KARUMA'!M51,'02.08 GULU-KARUMA'!M51,'04.08 GULU-KARUMA'!M51,'06.08 GULU-KARUMA'!M51,'03. 08 GULU-KARUMA-24HRS'!M51,'05.08, GULU-KARUMA-24HRS'!M51,'7.08 GULU-KARUMA'!M51)</f>
        <v>60.714285714285715</v>
      </c>
      <c r="N51" s="49">
        <f>AVERAGE('01.08 GULU-KARUMA'!N51,'02.08 GULU-KARUMA'!N51,'04.08 GULU-KARUMA'!N51,'06.08 GULU-KARUMA'!N51,'03. 08 GULU-KARUMA-24HRS'!N51,'05.08, GULU-KARUMA-24HRS'!N51,'7.08 GULU-KARUMA'!N51)</f>
        <v>0</v>
      </c>
      <c r="O51" s="15">
        <f t="shared" si="0"/>
        <v>20.428571428571431</v>
      </c>
      <c r="P51" s="15">
        <f t="shared" si="1"/>
        <v>81.142857142857139</v>
      </c>
      <c r="R51" s="8"/>
      <c r="T51"/>
    </row>
    <row r="52" spans="2:20" ht="23.1" customHeight="1" x14ac:dyDescent="0.25">
      <c r="B52" s="24" t="s">
        <v>79</v>
      </c>
      <c r="C52" s="49">
        <f>AVERAGE('01.08 GULU-KARUMA'!C52,'02.08 GULU-KARUMA'!C52,'04.08 GULU-KARUMA'!C52,'06.08 GULU-KARUMA'!C52,'03. 08 GULU-KARUMA-24HRS'!C52,'05.08, GULU-KARUMA-24HRS'!C52,'7.08 GULU-KARUMA'!C52)</f>
        <v>4.8571428571428568</v>
      </c>
      <c r="D52" s="49">
        <f>AVERAGE('01.08 GULU-KARUMA'!D52,'02.08 GULU-KARUMA'!D52,'04.08 GULU-KARUMA'!D52,'06.08 GULU-KARUMA'!D52,'03. 08 GULU-KARUMA-24HRS'!D52,'05.08, GULU-KARUMA-24HRS'!D52,'7.08 GULU-KARUMA'!D52)</f>
        <v>2.4285714285714284</v>
      </c>
      <c r="E52" s="49">
        <f>AVERAGE('01.08 GULU-KARUMA'!E52,'02.08 GULU-KARUMA'!E52,'04.08 GULU-KARUMA'!E52,'06.08 GULU-KARUMA'!E52,'03. 08 GULU-KARUMA-24HRS'!E52,'05.08, GULU-KARUMA-24HRS'!E52,'7.08 GULU-KARUMA'!E52)</f>
        <v>5.5714285714285712</v>
      </c>
      <c r="F52" s="49">
        <f>AVERAGE('01.08 GULU-KARUMA'!F52,'02.08 GULU-KARUMA'!F52,'04.08 GULU-KARUMA'!F52,'06.08 GULU-KARUMA'!F52,'03. 08 GULU-KARUMA-24HRS'!F52,'05.08, GULU-KARUMA-24HRS'!F52,'7.08 GULU-KARUMA'!F52)</f>
        <v>2.5714285714285716</v>
      </c>
      <c r="G52" s="49">
        <f>AVERAGE('01.08 GULU-KARUMA'!G52,'02.08 GULU-KARUMA'!G52,'04.08 GULU-KARUMA'!G52,'06.08 GULU-KARUMA'!G52,'03. 08 GULU-KARUMA-24HRS'!G52,'05.08, GULU-KARUMA-24HRS'!G52,'7.08 GULU-KARUMA'!G52)</f>
        <v>0.14285714285714285</v>
      </c>
      <c r="H52" s="49">
        <f>AVERAGE('01.08 GULU-KARUMA'!H52,'02.08 GULU-KARUMA'!H52,'04.08 GULU-KARUMA'!H52,'06.08 GULU-KARUMA'!H52,'03. 08 GULU-KARUMA-24HRS'!H52,'05.08, GULU-KARUMA-24HRS'!H52,'7.08 GULU-KARUMA'!H52)</f>
        <v>0.5714285714285714</v>
      </c>
      <c r="I52" s="49">
        <f>AVERAGE('01.08 GULU-KARUMA'!I52,'02.08 GULU-KARUMA'!I52,'04.08 GULU-KARUMA'!I52,'06.08 GULU-KARUMA'!I52,'03. 08 GULU-KARUMA-24HRS'!I52,'05.08, GULU-KARUMA-24HRS'!I52,'7.08 GULU-KARUMA'!I52)</f>
        <v>2.8571428571428572</v>
      </c>
      <c r="J52" s="49">
        <f>AVERAGE('01.08 GULU-KARUMA'!J52,'02.08 GULU-KARUMA'!J52,'04.08 GULU-KARUMA'!J52,'06.08 GULU-KARUMA'!J52,'03. 08 GULU-KARUMA-24HRS'!J52,'05.08, GULU-KARUMA-24HRS'!J52,'7.08 GULU-KARUMA'!J52)</f>
        <v>0.42857142857142855</v>
      </c>
      <c r="K52" s="49">
        <f>AVERAGE('01.08 GULU-KARUMA'!K52,'02.08 GULU-KARUMA'!K52,'04.08 GULU-KARUMA'!K52,'06.08 GULU-KARUMA'!K52,'03. 08 GULU-KARUMA-24HRS'!K52,'05.08, GULU-KARUMA-24HRS'!K52,'7.08 GULU-KARUMA'!K52)</f>
        <v>0.2857142857142857</v>
      </c>
      <c r="L52" s="49">
        <f>AVERAGE('01.08 GULU-KARUMA'!L52,'02.08 GULU-KARUMA'!L52,'04.08 GULU-KARUMA'!L52,'06.08 GULU-KARUMA'!L52,'03. 08 GULU-KARUMA-24HRS'!L52,'05.08, GULU-KARUMA-24HRS'!L52,'7.08 GULU-KARUMA'!L52)</f>
        <v>2</v>
      </c>
      <c r="M52" s="49">
        <f>AVERAGE('01.08 GULU-KARUMA'!M52,'02.08 GULU-KARUMA'!M52,'04.08 GULU-KARUMA'!M52,'06.08 GULU-KARUMA'!M52,'03. 08 GULU-KARUMA-24HRS'!M52,'05.08, GULU-KARUMA-24HRS'!M52,'7.08 GULU-KARUMA'!M52)</f>
        <v>56</v>
      </c>
      <c r="N52" s="49">
        <f>AVERAGE('01.08 GULU-KARUMA'!N52,'02.08 GULU-KARUMA'!N52,'04.08 GULU-KARUMA'!N52,'06.08 GULU-KARUMA'!N52,'03. 08 GULU-KARUMA-24HRS'!N52,'05.08, GULU-KARUMA-24HRS'!N52,'7.08 GULU-KARUMA'!N52)</f>
        <v>0</v>
      </c>
      <c r="O52" s="15">
        <f t="shared" si="0"/>
        <v>21.714285714285712</v>
      </c>
      <c r="P52" s="15">
        <f t="shared" si="1"/>
        <v>77.714285714285708</v>
      </c>
      <c r="R52" s="8"/>
      <c r="T52"/>
    </row>
    <row r="53" spans="2:20" ht="23.1" customHeight="1" x14ac:dyDescent="0.25">
      <c r="B53" s="23" t="s">
        <v>80</v>
      </c>
      <c r="C53" s="49">
        <f>AVERAGE('01.08 GULU-KARUMA'!C53,'02.08 GULU-KARUMA'!C53,'04.08 GULU-KARUMA'!C53,'06.08 GULU-KARUMA'!C53,'03. 08 GULU-KARUMA-24HRS'!C53,'05.08, GULU-KARUMA-24HRS'!C53,'7.08 GULU-KARUMA'!C53)</f>
        <v>5.7142857142857144</v>
      </c>
      <c r="D53" s="49">
        <f>AVERAGE('01.08 GULU-KARUMA'!D53,'02.08 GULU-KARUMA'!D53,'04.08 GULU-KARUMA'!D53,'06.08 GULU-KARUMA'!D53,'03. 08 GULU-KARUMA-24HRS'!D53,'05.08, GULU-KARUMA-24HRS'!D53,'7.08 GULU-KARUMA'!D53)</f>
        <v>1.4285714285714286</v>
      </c>
      <c r="E53" s="49">
        <f>AVERAGE('01.08 GULU-KARUMA'!E53,'02.08 GULU-KARUMA'!E53,'04.08 GULU-KARUMA'!E53,'06.08 GULU-KARUMA'!E53,'03. 08 GULU-KARUMA-24HRS'!E53,'05.08, GULU-KARUMA-24HRS'!E53,'7.08 GULU-KARUMA'!E53)</f>
        <v>3.3571428571428572</v>
      </c>
      <c r="F53" s="49">
        <f>AVERAGE('01.08 GULU-KARUMA'!F53,'02.08 GULU-KARUMA'!F53,'04.08 GULU-KARUMA'!F53,'06.08 GULU-KARUMA'!F53,'03. 08 GULU-KARUMA-24HRS'!F53,'05.08, GULU-KARUMA-24HRS'!F53,'7.08 GULU-KARUMA'!F53)</f>
        <v>0.8571428571428571</v>
      </c>
      <c r="G53" s="49">
        <f>AVERAGE('01.08 GULU-KARUMA'!G53,'02.08 GULU-KARUMA'!G53,'04.08 GULU-KARUMA'!G53,'06.08 GULU-KARUMA'!G53,'03. 08 GULU-KARUMA-24HRS'!G53,'05.08, GULU-KARUMA-24HRS'!G53,'7.08 GULU-KARUMA'!G53)</f>
        <v>0</v>
      </c>
      <c r="H53" s="49">
        <f>AVERAGE('01.08 GULU-KARUMA'!H53,'02.08 GULU-KARUMA'!H53,'04.08 GULU-KARUMA'!H53,'06.08 GULU-KARUMA'!H53,'03. 08 GULU-KARUMA-24HRS'!H53,'05.08, GULU-KARUMA-24HRS'!H53,'7.08 GULU-KARUMA'!H53)</f>
        <v>0.42857142857142855</v>
      </c>
      <c r="I53" s="49">
        <f>AVERAGE('01.08 GULU-KARUMA'!I53,'02.08 GULU-KARUMA'!I53,'04.08 GULU-KARUMA'!I53,'06.08 GULU-KARUMA'!I53,'03. 08 GULU-KARUMA-24HRS'!I53,'05.08, GULU-KARUMA-24HRS'!I53,'7.08 GULU-KARUMA'!I53)</f>
        <v>2.8571428571428572</v>
      </c>
      <c r="J53" s="49">
        <f>AVERAGE('01.08 GULU-KARUMA'!J53,'02.08 GULU-KARUMA'!J53,'04.08 GULU-KARUMA'!J53,'06.08 GULU-KARUMA'!J53,'03. 08 GULU-KARUMA-24HRS'!J53,'05.08, GULU-KARUMA-24HRS'!J53,'7.08 GULU-KARUMA'!J53)</f>
        <v>1.1428571428571428</v>
      </c>
      <c r="K53" s="49">
        <f>AVERAGE('01.08 GULU-KARUMA'!K53,'02.08 GULU-KARUMA'!K53,'04.08 GULU-KARUMA'!K53,'06.08 GULU-KARUMA'!K53,'03. 08 GULU-KARUMA-24HRS'!K53,'05.08, GULU-KARUMA-24HRS'!K53,'7.08 GULU-KARUMA'!K53)</f>
        <v>0.2857142857142857</v>
      </c>
      <c r="L53" s="49">
        <f>AVERAGE('01.08 GULU-KARUMA'!L53,'02.08 GULU-KARUMA'!L53,'04.08 GULU-KARUMA'!L53,'06.08 GULU-KARUMA'!L53,'03. 08 GULU-KARUMA-24HRS'!L53,'05.08, GULU-KARUMA-24HRS'!L53,'7.08 GULU-KARUMA'!L53)</f>
        <v>2</v>
      </c>
      <c r="M53" s="49">
        <f>AVERAGE('01.08 GULU-KARUMA'!M53,'02.08 GULU-KARUMA'!M53,'04.08 GULU-KARUMA'!M53,'06.08 GULU-KARUMA'!M53,'03. 08 GULU-KARUMA-24HRS'!M53,'05.08, GULU-KARUMA-24HRS'!M53,'7.08 GULU-KARUMA'!M53)</f>
        <v>52.285714285714285</v>
      </c>
      <c r="N53" s="49">
        <f>AVERAGE('01.08 GULU-KARUMA'!N53,'02.08 GULU-KARUMA'!N53,'04.08 GULU-KARUMA'!N53,'06.08 GULU-KARUMA'!N53,'03. 08 GULU-KARUMA-24HRS'!N53,'05.08, GULU-KARUMA-24HRS'!N53,'7.08 GULU-KARUMA'!N53)</f>
        <v>0</v>
      </c>
      <c r="O53" s="15">
        <f t="shared" si="0"/>
        <v>18.071428571428573</v>
      </c>
      <c r="P53" s="15">
        <f t="shared" si="1"/>
        <v>70.357142857142861</v>
      </c>
      <c r="R53" s="8"/>
      <c r="T53"/>
    </row>
    <row r="54" spans="2:20" ht="23.1" customHeight="1" x14ac:dyDescent="0.25">
      <c r="B54" s="23" t="s">
        <v>81</v>
      </c>
      <c r="C54" s="49">
        <f>AVERAGE('01.08 GULU-KARUMA'!C54,'02.08 GULU-KARUMA'!C54,'04.08 GULU-KARUMA'!C54,'06.08 GULU-KARUMA'!C54,'03. 08 GULU-KARUMA-24HRS'!C54,'05.08, GULU-KARUMA-24HRS'!C54,'7.08 GULU-KARUMA'!C54)</f>
        <v>4.7142857142857144</v>
      </c>
      <c r="D54" s="49">
        <f>AVERAGE('01.08 GULU-KARUMA'!D54,'02.08 GULU-KARUMA'!D54,'04.08 GULU-KARUMA'!D54,'06.08 GULU-KARUMA'!D54,'03. 08 GULU-KARUMA-24HRS'!D54,'05.08, GULU-KARUMA-24HRS'!D54,'7.08 GULU-KARUMA'!D54)</f>
        <v>2.4285714285714284</v>
      </c>
      <c r="E54" s="49">
        <f>AVERAGE('01.08 GULU-KARUMA'!E54,'02.08 GULU-KARUMA'!E54,'04.08 GULU-KARUMA'!E54,'06.08 GULU-KARUMA'!E54,'03. 08 GULU-KARUMA-24HRS'!E54,'05.08, GULU-KARUMA-24HRS'!E54,'7.08 GULU-KARUMA'!E54)</f>
        <v>4.7857142857142856</v>
      </c>
      <c r="F54" s="49">
        <f>AVERAGE('01.08 GULU-KARUMA'!F54,'02.08 GULU-KARUMA'!F54,'04.08 GULU-KARUMA'!F54,'06.08 GULU-KARUMA'!F54,'03. 08 GULU-KARUMA-24HRS'!F54,'05.08, GULU-KARUMA-24HRS'!F54,'7.08 GULU-KARUMA'!F54)</f>
        <v>1.7142857142857142</v>
      </c>
      <c r="G54" s="49">
        <f>AVERAGE('01.08 GULU-KARUMA'!G54,'02.08 GULU-KARUMA'!G54,'04.08 GULU-KARUMA'!G54,'06.08 GULU-KARUMA'!G54,'03. 08 GULU-KARUMA-24HRS'!G54,'05.08, GULU-KARUMA-24HRS'!G54,'7.08 GULU-KARUMA'!G54)</f>
        <v>0.5714285714285714</v>
      </c>
      <c r="H54" s="49">
        <f>AVERAGE('01.08 GULU-KARUMA'!H54,'02.08 GULU-KARUMA'!H54,'04.08 GULU-KARUMA'!H54,'06.08 GULU-KARUMA'!H54,'03. 08 GULU-KARUMA-24HRS'!H54,'05.08, GULU-KARUMA-24HRS'!H54,'7.08 GULU-KARUMA'!H54)</f>
        <v>0.5714285714285714</v>
      </c>
      <c r="I54" s="49">
        <f>AVERAGE('01.08 GULU-KARUMA'!I54,'02.08 GULU-KARUMA'!I54,'04.08 GULU-KARUMA'!I54,'06.08 GULU-KARUMA'!I54,'03. 08 GULU-KARUMA-24HRS'!I54,'05.08, GULU-KARUMA-24HRS'!I54,'7.08 GULU-KARUMA'!I54)</f>
        <v>3.1428571428571428</v>
      </c>
      <c r="J54" s="49">
        <f>AVERAGE('01.08 GULU-KARUMA'!J54,'02.08 GULU-KARUMA'!J54,'04.08 GULU-KARUMA'!J54,'06.08 GULU-KARUMA'!J54,'03. 08 GULU-KARUMA-24HRS'!J54,'05.08, GULU-KARUMA-24HRS'!J54,'7.08 GULU-KARUMA'!J54)</f>
        <v>1</v>
      </c>
      <c r="K54" s="49">
        <f>AVERAGE('01.08 GULU-KARUMA'!K54,'02.08 GULU-KARUMA'!K54,'04.08 GULU-KARUMA'!K54,'06.08 GULU-KARUMA'!K54,'03. 08 GULU-KARUMA-24HRS'!K54,'05.08, GULU-KARUMA-24HRS'!K54,'7.08 GULU-KARUMA'!K54)</f>
        <v>0</v>
      </c>
      <c r="L54" s="49">
        <f>AVERAGE('01.08 GULU-KARUMA'!L54,'02.08 GULU-KARUMA'!L54,'04.08 GULU-KARUMA'!L54,'06.08 GULU-KARUMA'!L54,'03. 08 GULU-KARUMA-24HRS'!L54,'05.08, GULU-KARUMA-24HRS'!L54,'7.08 GULU-KARUMA'!L54)</f>
        <v>2</v>
      </c>
      <c r="M54" s="49">
        <f>AVERAGE('01.08 GULU-KARUMA'!M54,'02.08 GULU-KARUMA'!M54,'04.08 GULU-KARUMA'!M54,'06.08 GULU-KARUMA'!M54,'03. 08 GULU-KARUMA-24HRS'!M54,'05.08, GULU-KARUMA-24HRS'!M54,'7.08 GULU-KARUMA'!M54)</f>
        <v>43.285714285714285</v>
      </c>
      <c r="N54" s="49">
        <f>AVERAGE('01.08 GULU-KARUMA'!N54,'02.08 GULU-KARUMA'!N54,'04.08 GULU-KARUMA'!N54,'06.08 GULU-KARUMA'!N54,'03. 08 GULU-KARUMA-24HRS'!N54,'05.08, GULU-KARUMA-24HRS'!N54,'7.08 GULU-KARUMA'!N54)</f>
        <v>0</v>
      </c>
      <c r="O54" s="15">
        <f t="shared" si="0"/>
        <v>20.928571428571427</v>
      </c>
      <c r="P54" s="15">
        <f t="shared" si="1"/>
        <v>64.214285714285708</v>
      </c>
      <c r="R54" s="8"/>
      <c r="T54"/>
    </row>
    <row r="55" spans="2:20" ht="23.1" customHeight="1" x14ac:dyDescent="0.25">
      <c r="B55" s="23" t="s">
        <v>82</v>
      </c>
      <c r="C55" s="49">
        <f>AVERAGE('01.08 GULU-KARUMA'!C55,'02.08 GULU-KARUMA'!C55,'04.08 GULU-KARUMA'!C55,'06.08 GULU-KARUMA'!C55,'03. 08 GULU-KARUMA-24HRS'!C55,'05.08, GULU-KARUMA-24HRS'!C55,'7.08 GULU-KARUMA'!C55)</f>
        <v>3.2857142857142856</v>
      </c>
      <c r="D55" s="49">
        <f>AVERAGE('01.08 GULU-KARUMA'!D55,'02.08 GULU-KARUMA'!D55,'04.08 GULU-KARUMA'!D55,'06.08 GULU-KARUMA'!D55,'03. 08 GULU-KARUMA-24HRS'!D55,'05.08, GULU-KARUMA-24HRS'!D55,'7.08 GULU-KARUMA'!D55)</f>
        <v>1.1428571428571428</v>
      </c>
      <c r="E55" s="49">
        <f>AVERAGE('01.08 GULU-KARUMA'!E55,'02.08 GULU-KARUMA'!E55,'04.08 GULU-KARUMA'!E55,'06.08 GULU-KARUMA'!E55,'03. 08 GULU-KARUMA-24HRS'!E55,'05.08, GULU-KARUMA-24HRS'!E55,'7.08 GULU-KARUMA'!E55)</f>
        <v>2.5714285714285716</v>
      </c>
      <c r="F55" s="49">
        <f>AVERAGE('01.08 GULU-KARUMA'!F55,'02.08 GULU-KARUMA'!F55,'04.08 GULU-KARUMA'!F55,'06.08 GULU-KARUMA'!F55,'03. 08 GULU-KARUMA-24HRS'!F55,'05.08, GULU-KARUMA-24HRS'!F55,'7.08 GULU-KARUMA'!F55)</f>
        <v>1.8571428571428572</v>
      </c>
      <c r="G55" s="49">
        <f>AVERAGE('01.08 GULU-KARUMA'!G55,'02.08 GULU-KARUMA'!G55,'04.08 GULU-KARUMA'!G55,'06.08 GULU-KARUMA'!G55,'03. 08 GULU-KARUMA-24HRS'!G55,'05.08, GULU-KARUMA-24HRS'!G55,'7.08 GULU-KARUMA'!G55)</f>
        <v>0.2857142857142857</v>
      </c>
      <c r="H55" s="49">
        <f>AVERAGE('01.08 GULU-KARUMA'!H55,'02.08 GULU-KARUMA'!H55,'04.08 GULU-KARUMA'!H55,'06.08 GULU-KARUMA'!H55,'03. 08 GULU-KARUMA-24HRS'!H55,'05.08, GULU-KARUMA-24HRS'!H55,'7.08 GULU-KARUMA'!H55)</f>
        <v>0.42857142857142855</v>
      </c>
      <c r="I55" s="49">
        <f>AVERAGE('01.08 GULU-KARUMA'!I55,'02.08 GULU-KARUMA'!I55,'04.08 GULU-KARUMA'!I55,'06.08 GULU-KARUMA'!I55,'03. 08 GULU-KARUMA-24HRS'!I55,'05.08, GULU-KARUMA-24HRS'!I55,'7.08 GULU-KARUMA'!I55)</f>
        <v>2.1428571428571428</v>
      </c>
      <c r="J55" s="49">
        <f>AVERAGE('01.08 GULU-KARUMA'!J55,'02.08 GULU-KARUMA'!J55,'04.08 GULU-KARUMA'!J55,'06.08 GULU-KARUMA'!J55,'03. 08 GULU-KARUMA-24HRS'!J55,'05.08, GULU-KARUMA-24HRS'!J55,'7.08 GULU-KARUMA'!J55)</f>
        <v>0.5714285714285714</v>
      </c>
      <c r="K55" s="49">
        <f>AVERAGE('01.08 GULU-KARUMA'!K55,'02.08 GULU-KARUMA'!K55,'04.08 GULU-KARUMA'!K55,'06.08 GULU-KARUMA'!K55,'03. 08 GULU-KARUMA-24HRS'!K55,'05.08, GULU-KARUMA-24HRS'!K55,'7.08 GULU-KARUMA'!K55)</f>
        <v>0.2857142857142857</v>
      </c>
      <c r="L55" s="49">
        <f>AVERAGE('01.08 GULU-KARUMA'!L55,'02.08 GULU-KARUMA'!L55,'04.08 GULU-KARUMA'!L55,'06.08 GULU-KARUMA'!L55,'03. 08 GULU-KARUMA-24HRS'!L55,'05.08, GULU-KARUMA-24HRS'!L55,'7.08 GULU-KARUMA'!L55)</f>
        <v>1.4285714285714286</v>
      </c>
      <c r="M55" s="49">
        <f>AVERAGE('01.08 GULU-KARUMA'!M55,'02.08 GULU-KARUMA'!M55,'04.08 GULU-KARUMA'!M55,'06.08 GULU-KARUMA'!M55,'03. 08 GULU-KARUMA-24HRS'!M55,'05.08, GULU-KARUMA-24HRS'!M55,'7.08 GULU-KARUMA'!M55)</f>
        <v>47.714285714285715</v>
      </c>
      <c r="N55" s="49">
        <f>AVERAGE('01.08 GULU-KARUMA'!N55,'02.08 GULU-KARUMA'!N55,'04.08 GULU-KARUMA'!N55,'06.08 GULU-KARUMA'!N55,'03. 08 GULU-KARUMA-24HRS'!N55,'05.08, GULU-KARUMA-24HRS'!N55,'7.08 GULU-KARUMA'!N55)</f>
        <v>0</v>
      </c>
      <c r="O55" s="15">
        <f t="shared" si="0"/>
        <v>14.000000000000002</v>
      </c>
      <c r="P55" s="15">
        <f t="shared" si="1"/>
        <v>61.714285714285715</v>
      </c>
      <c r="R55" s="8"/>
      <c r="T55"/>
    </row>
    <row r="56" spans="2:20" ht="23.1" customHeight="1" x14ac:dyDescent="0.25">
      <c r="B56" s="23" t="s">
        <v>83</v>
      </c>
      <c r="C56" s="49">
        <f>AVERAGE('01.08 GULU-KARUMA'!C56,'02.08 GULU-KARUMA'!C56,'04.08 GULU-KARUMA'!C56,'06.08 GULU-KARUMA'!C56,'03. 08 GULU-KARUMA-24HRS'!C56,'05.08, GULU-KARUMA-24HRS'!C56,'7.08 GULU-KARUMA'!C56)</f>
        <v>4.5714285714285712</v>
      </c>
      <c r="D56" s="49">
        <f>AVERAGE('01.08 GULU-KARUMA'!D56,'02.08 GULU-KARUMA'!D56,'04.08 GULU-KARUMA'!D56,'06.08 GULU-KARUMA'!D56,'03. 08 GULU-KARUMA-24HRS'!D56,'05.08, GULU-KARUMA-24HRS'!D56,'7.08 GULU-KARUMA'!D56)</f>
        <v>1.8571428571428572</v>
      </c>
      <c r="E56" s="49">
        <f>AVERAGE('01.08 GULU-KARUMA'!E56,'02.08 GULU-KARUMA'!E56,'04.08 GULU-KARUMA'!E56,'06.08 GULU-KARUMA'!E56,'03. 08 GULU-KARUMA-24HRS'!E56,'05.08, GULU-KARUMA-24HRS'!E56,'7.08 GULU-KARUMA'!E56)</f>
        <v>4.4285714285714288</v>
      </c>
      <c r="F56" s="49">
        <f>AVERAGE('01.08 GULU-KARUMA'!F56,'02.08 GULU-KARUMA'!F56,'04.08 GULU-KARUMA'!F56,'06.08 GULU-KARUMA'!F56,'03. 08 GULU-KARUMA-24HRS'!F56,'05.08, GULU-KARUMA-24HRS'!F56,'7.08 GULU-KARUMA'!F56)</f>
        <v>0.8571428571428571</v>
      </c>
      <c r="G56" s="49">
        <f>AVERAGE('01.08 GULU-KARUMA'!G56,'02.08 GULU-KARUMA'!G56,'04.08 GULU-KARUMA'!G56,'06.08 GULU-KARUMA'!G56,'03. 08 GULU-KARUMA-24HRS'!G56,'05.08, GULU-KARUMA-24HRS'!G56,'7.08 GULU-KARUMA'!G56)</f>
        <v>0.14285714285714285</v>
      </c>
      <c r="H56" s="49">
        <f>AVERAGE('01.08 GULU-KARUMA'!H56,'02.08 GULU-KARUMA'!H56,'04.08 GULU-KARUMA'!H56,'06.08 GULU-KARUMA'!H56,'03. 08 GULU-KARUMA-24HRS'!H56,'05.08, GULU-KARUMA-24HRS'!H56,'7.08 GULU-KARUMA'!H56)</f>
        <v>0.14285714285714285</v>
      </c>
      <c r="I56" s="49">
        <f>AVERAGE('01.08 GULU-KARUMA'!I56,'02.08 GULU-KARUMA'!I56,'04.08 GULU-KARUMA'!I56,'06.08 GULU-KARUMA'!I56,'03. 08 GULU-KARUMA-24HRS'!I56,'05.08, GULU-KARUMA-24HRS'!I56,'7.08 GULU-KARUMA'!I56)</f>
        <v>1.4285714285714286</v>
      </c>
      <c r="J56" s="49">
        <f>AVERAGE('01.08 GULU-KARUMA'!J56,'02.08 GULU-KARUMA'!J56,'04.08 GULU-KARUMA'!J56,'06.08 GULU-KARUMA'!J56,'03. 08 GULU-KARUMA-24HRS'!J56,'05.08, GULU-KARUMA-24HRS'!J56,'7.08 GULU-KARUMA'!J56)</f>
        <v>0.5714285714285714</v>
      </c>
      <c r="K56" s="49">
        <f>AVERAGE('01.08 GULU-KARUMA'!K56,'02.08 GULU-KARUMA'!K56,'04.08 GULU-KARUMA'!K56,'06.08 GULU-KARUMA'!K56,'03. 08 GULU-KARUMA-24HRS'!K56,'05.08, GULU-KARUMA-24HRS'!K56,'7.08 GULU-KARUMA'!K56)</f>
        <v>0</v>
      </c>
      <c r="L56" s="49">
        <f>AVERAGE('01.08 GULU-KARUMA'!L56,'02.08 GULU-KARUMA'!L56,'04.08 GULU-KARUMA'!L56,'06.08 GULU-KARUMA'!L56,'03. 08 GULU-KARUMA-24HRS'!L56,'05.08, GULU-KARUMA-24HRS'!L56,'7.08 GULU-KARUMA'!L56)</f>
        <v>1.7142857142857142</v>
      </c>
      <c r="M56" s="49">
        <f>AVERAGE('01.08 GULU-KARUMA'!M56,'02.08 GULU-KARUMA'!M56,'04.08 GULU-KARUMA'!M56,'06.08 GULU-KARUMA'!M56,'03. 08 GULU-KARUMA-24HRS'!M56,'05.08, GULU-KARUMA-24HRS'!M56,'7.08 GULU-KARUMA'!M56)</f>
        <v>51.857142857142854</v>
      </c>
      <c r="N56" s="49">
        <f>AVERAGE('01.08 GULU-KARUMA'!N56,'02.08 GULU-KARUMA'!N56,'04.08 GULU-KARUMA'!N56,'06.08 GULU-KARUMA'!N56,'03. 08 GULU-KARUMA-24HRS'!N56,'05.08, GULU-KARUMA-24HRS'!N56,'7.08 GULU-KARUMA'!N56)</f>
        <v>0</v>
      </c>
      <c r="O56" s="15">
        <f t="shared" si="0"/>
        <v>15.714285714285714</v>
      </c>
      <c r="P56" s="15">
        <f t="shared" si="1"/>
        <v>67.571428571428569</v>
      </c>
      <c r="R56" s="8"/>
      <c r="T56"/>
    </row>
    <row r="57" spans="2:20" ht="23.1" customHeight="1" x14ac:dyDescent="0.25">
      <c r="B57" s="23" t="s">
        <v>84</v>
      </c>
      <c r="C57" s="49">
        <f>AVERAGE('01.08 GULU-KARUMA'!C57,'02.08 GULU-KARUMA'!C57,'04.08 GULU-KARUMA'!C57,'06.08 GULU-KARUMA'!C57,'03. 08 GULU-KARUMA-24HRS'!C57,'05.08, GULU-KARUMA-24HRS'!C57,'7.08 GULU-KARUMA'!C57)</f>
        <v>3.5714285714285716</v>
      </c>
      <c r="D57" s="49">
        <f>AVERAGE('01.08 GULU-KARUMA'!D57,'02.08 GULU-KARUMA'!D57,'04.08 GULU-KARUMA'!D57,'06.08 GULU-KARUMA'!D57,'03. 08 GULU-KARUMA-24HRS'!D57,'05.08, GULU-KARUMA-24HRS'!D57,'7.08 GULU-KARUMA'!D57)</f>
        <v>1.4285714285714286</v>
      </c>
      <c r="E57" s="49">
        <f>AVERAGE('01.08 GULU-KARUMA'!E57,'02.08 GULU-KARUMA'!E57,'04.08 GULU-KARUMA'!E57,'06.08 GULU-KARUMA'!E57,'03. 08 GULU-KARUMA-24HRS'!E57,'05.08, GULU-KARUMA-24HRS'!E57,'7.08 GULU-KARUMA'!E57)</f>
        <v>3.2857142857142856</v>
      </c>
      <c r="F57" s="49">
        <f>AVERAGE('01.08 GULU-KARUMA'!F57,'02.08 GULU-KARUMA'!F57,'04.08 GULU-KARUMA'!F57,'06.08 GULU-KARUMA'!F57,'03. 08 GULU-KARUMA-24HRS'!F57,'05.08, GULU-KARUMA-24HRS'!F57,'7.08 GULU-KARUMA'!F57)</f>
        <v>1.4285714285714286</v>
      </c>
      <c r="G57" s="49">
        <f>AVERAGE('01.08 GULU-KARUMA'!G57,'02.08 GULU-KARUMA'!G57,'04.08 GULU-KARUMA'!G57,'06.08 GULU-KARUMA'!G57,'03. 08 GULU-KARUMA-24HRS'!G57,'05.08, GULU-KARUMA-24HRS'!G57,'7.08 GULU-KARUMA'!G57)</f>
        <v>0</v>
      </c>
      <c r="H57" s="49">
        <f>AVERAGE('01.08 GULU-KARUMA'!H57,'02.08 GULU-KARUMA'!H57,'04.08 GULU-KARUMA'!H57,'06.08 GULU-KARUMA'!H57,'03. 08 GULU-KARUMA-24HRS'!H57,'05.08, GULU-KARUMA-24HRS'!H57,'7.08 GULU-KARUMA'!H57)</f>
        <v>1</v>
      </c>
      <c r="I57" s="49">
        <f>AVERAGE('01.08 GULU-KARUMA'!I57,'02.08 GULU-KARUMA'!I57,'04.08 GULU-KARUMA'!I57,'06.08 GULU-KARUMA'!I57,'03. 08 GULU-KARUMA-24HRS'!I57,'05.08, GULU-KARUMA-24HRS'!I57,'7.08 GULU-KARUMA'!I57)</f>
        <v>1.7142857142857142</v>
      </c>
      <c r="J57" s="49">
        <f>AVERAGE('01.08 GULU-KARUMA'!J57,'02.08 GULU-KARUMA'!J57,'04.08 GULU-KARUMA'!J57,'06.08 GULU-KARUMA'!J57,'03. 08 GULU-KARUMA-24HRS'!J57,'05.08, GULU-KARUMA-24HRS'!J57,'7.08 GULU-KARUMA'!J57)</f>
        <v>0.5714285714285714</v>
      </c>
      <c r="K57" s="49">
        <f>AVERAGE('01.08 GULU-KARUMA'!K57,'02.08 GULU-KARUMA'!K57,'04.08 GULU-KARUMA'!K57,'06.08 GULU-KARUMA'!K57,'03. 08 GULU-KARUMA-24HRS'!K57,'05.08, GULU-KARUMA-24HRS'!K57,'7.08 GULU-KARUMA'!K57)</f>
        <v>0.2857142857142857</v>
      </c>
      <c r="L57" s="49">
        <f>AVERAGE('01.08 GULU-KARUMA'!L57,'02.08 GULU-KARUMA'!L57,'04.08 GULU-KARUMA'!L57,'06.08 GULU-KARUMA'!L57,'03. 08 GULU-KARUMA-24HRS'!L57,'05.08, GULU-KARUMA-24HRS'!L57,'7.08 GULU-KARUMA'!L57)</f>
        <v>1.7142857142857142</v>
      </c>
      <c r="M57" s="49">
        <f>AVERAGE('01.08 GULU-KARUMA'!M57,'02.08 GULU-KARUMA'!M57,'04.08 GULU-KARUMA'!M57,'06.08 GULU-KARUMA'!M57,'03. 08 GULU-KARUMA-24HRS'!M57,'05.08, GULU-KARUMA-24HRS'!M57,'7.08 GULU-KARUMA'!M57)</f>
        <v>62.142857142857146</v>
      </c>
      <c r="N57" s="49">
        <f>AVERAGE('01.08 GULU-KARUMA'!N57,'02.08 GULU-KARUMA'!N57,'04.08 GULU-KARUMA'!N57,'06.08 GULU-KARUMA'!N57,'03. 08 GULU-KARUMA-24HRS'!N57,'05.08, GULU-KARUMA-24HRS'!N57,'7.08 GULU-KARUMA'!N57)</f>
        <v>0</v>
      </c>
      <c r="O57" s="15">
        <f t="shared" si="0"/>
        <v>14.999999999999998</v>
      </c>
      <c r="P57" s="15">
        <f t="shared" si="1"/>
        <v>77.142857142857139</v>
      </c>
      <c r="R57" s="8"/>
      <c r="T57"/>
    </row>
    <row r="58" spans="2:20" ht="23.1" customHeight="1" x14ac:dyDescent="0.25">
      <c r="B58" s="23" t="s">
        <v>99</v>
      </c>
      <c r="C58" s="49">
        <f>AVERAGE('03. 08 GULU-KARUMA-24HRS'!C58,'05.08, GULU-KARUMA-24HRS'!C58)</f>
        <v>2.5</v>
      </c>
      <c r="D58" s="49">
        <f>AVERAGE('03. 08 GULU-KARUMA-24HRS'!D58,'05.08, GULU-KARUMA-24HRS'!D58)</f>
        <v>0.5</v>
      </c>
      <c r="E58" s="49">
        <f>AVERAGE('03. 08 GULU-KARUMA-24HRS'!E58,'05.08, GULU-KARUMA-24HRS'!E58)</f>
        <v>1</v>
      </c>
      <c r="F58" s="49">
        <f>AVERAGE('03. 08 GULU-KARUMA-24HRS'!F58,'05.08, GULU-KARUMA-24HRS'!F58)</f>
        <v>0</v>
      </c>
      <c r="G58" s="49">
        <f>AVERAGE('03. 08 GULU-KARUMA-24HRS'!G58,'05.08, GULU-KARUMA-24HRS'!G58)</f>
        <v>0</v>
      </c>
      <c r="H58" s="49">
        <f>AVERAGE('03. 08 GULU-KARUMA-24HRS'!H58,'05.08, GULU-KARUMA-24HRS'!H58)</f>
        <v>1</v>
      </c>
      <c r="I58" s="49">
        <f>AVERAGE('03. 08 GULU-KARUMA-24HRS'!I58,'05.08, GULU-KARUMA-24HRS'!I58)</f>
        <v>1.5</v>
      </c>
      <c r="J58" s="49">
        <f>AVERAGE('03. 08 GULU-KARUMA-24HRS'!J58,'05.08, GULU-KARUMA-24HRS'!J58)</f>
        <v>0.5</v>
      </c>
      <c r="K58" s="49">
        <f>AVERAGE('03. 08 GULU-KARUMA-24HRS'!K58,'05.08, GULU-KARUMA-24HRS'!K58)</f>
        <v>0</v>
      </c>
      <c r="L58" s="49">
        <f>AVERAGE('03. 08 GULU-KARUMA-24HRS'!L58,'05.08, GULU-KARUMA-24HRS'!L58)</f>
        <v>1</v>
      </c>
      <c r="M58" s="49">
        <f>AVERAGE('03. 08 GULU-KARUMA-24HRS'!M58,'05.08, GULU-KARUMA-24HRS'!M58)</f>
        <v>50</v>
      </c>
      <c r="N58" s="49">
        <f>AVERAGE('03. 08 GULU-KARUMA-24HRS'!N58,'05.08, GULU-KARUMA-24HRS'!N58)</f>
        <v>1.5</v>
      </c>
      <c r="O58" s="15">
        <f t="shared" si="0"/>
        <v>9.5</v>
      </c>
      <c r="P58" s="15">
        <f t="shared" si="1"/>
        <v>59.5</v>
      </c>
      <c r="R58" s="8"/>
      <c r="T58"/>
    </row>
    <row r="59" spans="2:20" ht="23.1" customHeight="1" x14ac:dyDescent="0.25">
      <c r="B59" s="23" t="s">
        <v>100</v>
      </c>
      <c r="C59" s="49">
        <f>AVERAGE('03. 08 GULU-KARUMA-24HRS'!C59,'05.08, GULU-KARUMA-24HRS'!C59)</f>
        <v>2</v>
      </c>
      <c r="D59" s="49">
        <f>AVERAGE('03. 08 GULU-KARUMA-24HRS'!D59,'05.08, GULU-KARUMA-24HRS'!D59)</f>
        <v>0.5</v>
      </c>
      <c r="E59" s="49">
        <f>AVERAGE('03. 08 GULU-KARUMA-24HRS'!E59,'05.08, GULU-KARUMA-24HRS'!E59)</f>
        <v>1</v>
      </c>
      <c r="F59" s="49">
        <f>AVERAGE('03. 08 GULU-KARUMA-24HRS'!F59,'05.08, GULU-KARUMA-24HRS'!F59)</f>
        <v>1.5</v>
      </c>
      <c r="G59" s="49">
        <f>AVERAGE('03. 08 GULU-KARUMA-24HRS'!G59,'05.08, GULU-KARUMA-24HRS'!G59)</f>
        <v>0</v>
      </c>
      <c r="H59" s="49">
        <f>AVERAGE('03. 08 GULU-KARUMA-24HRS'!H59,'05.08, GULU-KARUMA-24HRS'!H59)</f>
        <v>0</v>
      </c>
      <c r="I59" s="49">
        <f>AVERAGE('03. 08 GULU-KARUMA-24HRS'!I59,'05.08, GULU-KARUMA-24HRS'!I59)</f>
        <v>1</v>
      </c>
      <c r="J59" s="49">
        <f>AVERAGE('03. 08 GULU-KARUMA-24HRS'!J59,'05.08, GULU-KARUMA-24HRS'!J59)</f>
        <v>0</v>
      </c>
      <c r="K59" s="49">
        <f>AVERAGE('03. 08 GULU-KARUMA-24HRS'!K59,'05.08, GULU-KARUMA-24HRS'!K59)</f>
        <v>0</v>
      </c>
      <c r="L59" s="49">
        <f>AVERAGE('03. 08 GULU-KARUMA-24HRS'!L59,'05.08, GULU-KARUMA-24HRS'!L59)</f>
        <v>0</v>
      </c>
      <c r="M59" s="49">
        <f>AVERAGE('03. 08 GULU-KARUMA-24HRS'!M59,'05.08, GULU-KARUMA-24HRS'!M59)</f>
        <v>62</v>
      </c>
      <c r="N59" s="49">
        <f>AVERAGE('03. 08 GULU-KARUMA-24HRS'!N59,'05.08, GULU-KARUMA-24HRS'!N59)</f>
        <v>0</v>
      </c>
      <c r="O59" s="15">
        <f t="shared" si="0"/>
        <v>6</v>
      </c>
      <c r="P59" s="15">
        <f t="shared" si="1"/>
        <v>68</v>
      </c>
      <c r="R59" s="8"/>
      <c r="T59"/>
    </row>
    <row r="60" spans="2:20" ht="23.1" customHeight="1" x14ac:dyDescent="0.25">
      <c r="B60" s="23" t="s">
        <v>101</v>
      </c>
      <c r="C60" s="49">
        <f>AVERAGE('03. 08 GULU-KARUMA-24HRS'!C60,'05.08, GULU-KARUMA-24HRS'!C60)</f>
        <v>4</v>
      </c>
      <c r="D60" s="49">
        <f>AVERAGE('03. 08 GULU-KARUMA-24HRS'!D60,'05.08, GULU-KARUMA-24HRS'!D60)</f>
        <v>1.5</v>
      </c>
      <c r="E60" s="49">
        <f>AVERAGE('03. 08 GULU-KARUMA-24HRS'!E60,'05.08, GULU-KARUMA-24HRS'!E60)</f>
        <v>3.5</v>
      </c>
      <c r="F60" s="49">
        <f>AVERAGE('03. 08 GULU-KARUMA-24HRS'!F60,'05.08, GULU-KARUMA-24HRS'!F60)</f>
        <v>0.5</v>
      </c>
      <c r="G60" s="49">
        <f>AVERAGE('03. 08 GULU-KARUMA-24HRS'!G60,'05.08, GULU-KARUMA-24HRS'!G60)</f>
        <v>0</v>
      </c>
      <c r="H60" s="49">
        <f>AVERAGE('03. 08 GULU-KARUMA-24HRS'!H60,'05.08, GULU-KARUMA-24HRS'!H60)</f>
        <v>1</v>
      </c>
      <c r="I60" s="49">
        <f>AVERAGE('03. 08 GULU-KARUMA-24HRS'!I60,'05.08, GULU-KARUMA-24HRS'!I60)</f>
        <v>2</v>
      </c>
      <c r="J60" s="49">
        <f>AVERAGE('03. 08 GULU-KARUMA-24HRS'!J60,'05.08, GULU-KARUMA-24HRS'!J60)</f>
        <v>0</v>
      </c>
      <c r="K60" s="49">
        <f>AVERAGE('03. 08 GULU-KARUMA-24HRS'!K60,'05.08, GULU-KARUMA-24HRS'!K60)</f>
        <v>0</v>
      </c>
      <c r="L60" s="49">
        <f>AVERAGE('03. 08 GULU-KARUMA-24HRS'!L60,'05.08, GULU-KARUMA-24HRS'!L60)</f>
        <v>0.5</v>
      </c>
      <c r="M60" s="49">
        <f>AVERAGE('03. 08 GULU-KARUMA-24HRS'!M60,'05.08, GULU-KARUMA-24HRS'!M60)</f>
        <v>57</v>
      </c>
      <c r="N60" s="49">
        <f>AVERAGE('03. 08 GULU-KARUMA-24HRS'!N60,'05.08, GULU-KARUMA-24HRS'!N60)</f>
        <v>0</v>
      </c>
      <c r="O60" s="15">
        <f t="shared" si="0"/>
        <v>13</v>
      </c>
      <c r="P60" s="15">
        <f t="shared" si="1"/>
        <v>70</v>
      </c>
      <c r="R60" s="8"/>
      <c r="T60"/>
    </row>
    <row r="61" spans="2:20" ht="23.1" customHeight="1" x14ac:dyDescent="0.25">
      <c r="B61" s="23" t="s">
        <v>102</v>
      </c>
      <c r="C61" s="49">
        <f>AVERAGE('03. 08 GULU-KARUMA-24HRS'!C61,'05.08, GULU-KARUMA-24HRS'!C61)</f>
        <v>4</v>
      </c>
      <c r="D61" s="49">
        <f>AVERAGE('03. 08 GULU-KARUMA-24HRS'!D61,'05.08, GULU-KARUMA-24HRS'!D61)</f>
        <v>2.5</v>
      </c>
      <c r="E61" s="49">
        <f>AVERAGE('03. 08 GULU-KARUMA-24HRS'!E61,'05.08, GULU-KARUMA-24HRS'!E61)</f>
        <v>5.5</v>
      </c>
      <c r="F61" s="49">
        <f>AVERAGE('03. 08 GULU-KARUMA-24HRS'!F61,'05.08, GULU-KARUMA-24HRS'!F61)</f>
        <v>1</v>
      </c>
      <c r="G61" s="49">
        <f>AVERAGE('03. 08 GULU-KARUMA-24HRS'!G61,'05.08, GULU-KARUMA-24HRS'!G61)</f>
        <v>0</v>
      </c>
      <c r="H61" s="49">
        <f>AVERAGE('03. 08 GULU-KARUMA-24HRS'!H61,'05.08, GULU-KARUMA-24HRS'!H61)</f>
        <v>0</v>
      </c>
      <c r="I61" s="49">
        <f>AVERAGE('03. 08 GULU-KARUMA-24HRS'!I61,'05.08, GULU-KARUMA-24HRS'!I61)</f>
        <v>2.5</v>
      </c>
      <c r="J61" s="49">
        <f>AVERAGE('03. 08 GULU-KARUMA-24HRS'!J61,'05.08, GULU-KARUMA-24HRS'!J61)</f>
        <v>0</v>
      </c>
      <c r="K61" s="49">
        <f>AVERAGE('03. 08 GULU-KARUMA-24HRS'!K61,'05.08, GULU-KARUMA-24HRS'!K61)</f>
        <v>0</v>
      </c>
      <c r="L61" s="49">
        <f>AVERAGE('03. 08 GULU-KARUMA-24HRS'!L61,'05.08, GULU-KARUMA-24HRS'!L61)</f>
        <v>0.5</v>
      </c>
      <c r="M61" s="49">
        <f>AVERAGE('03. 08 GULU-KARUMA-24HRS'!M61,'05.08, GULU-KARUMA-24HRS'!M61)</f>
        <v>61</v>
      </c>
      <c r="N61" s="49">
        <f>AVERAGE('03. 08 GULU-KARUMA-24HRS'!N61,'05.08, GULU-KARUMA-24HRS'!N61)</f>
        <v>0</v>
      </c>
      <c r="O61" s="15">
        <f t="shared" si="0"/>
        <v>16</v>
      </c>
      <c r="P61" s="15">
        <f t="shared" si="1"/>
        <v>77</v>
      </c>
      <c r="R61" s="8"/>
      <c r="T61"/>
    </row>
    <row r="62" spans="2:20" ht="23.1" customHeight="1" x14ac:dyDescent="0.25">
      <c r="B62" s="23" t="s">
        <v>107</v>
      </c>
      <c r="C62" s="49">
        <f>AVERAGE('03. 08 GULU-KARUMA-24HRS'!C62,'05.08, GULU-KARUMA-24HRS'!C62)</f>
        <v>6.5</v>
      </c>
      <c r="D62" s="49">
        <f>AVERAGE('03. 08 GULU-KARUMA-24HRS'!D62,'05.08, GULU-KARUMA-24HRS'!D62)</f>
        <v>3</v>
      </c>
      <c r="E62" s="49">
        <f>AVERAGE('03. 08 GULU-KARUMA-24HRS'!E62,'05.08, GULU-KARUMA-24HRS'!E62)</f>
        <v>7</v>
      </c>
      <c r="F62" s="49">
        <f>AVERAGE('03. 08 GULU-KARUMA-24HRS'!F62,'05.08, GULU-KARUMA-24HRS'!F62)</f>
        <v>0</v>
      </c>
      <c r="G62" s="49">
        <f>AVERAGE('03. 08 GULU-KARUMA-24HRS'!G62,'05.08, GULU-KARUMA-24HRS'!G62)</f>
        <v>0</v>
      </c>
      <c r="H62" s="49">
        <f>AVERAGE('03. 08 GULU-KARUMA-24HRS'!H62,'05.08, GULU-KARUMA-24HRS'!H62)</f>
        <v>0</v>
      </c>
      <c r="I62" s="49">
        <f>AVERAGE('03. 08 GULU-KARUMA-24HRS'!I62,'05.08, GULU-KARUMA-24HRS'!I62)</f>
        <v>1</v>
      </c>
      <c r="J62" s="49">
        <f>AVERAGE('03. 08 GULU-KARUMA-24HRS'!J62,'05.08, GULU-KARUMA-24HRS'!J62)</f>
        <v>0</v>
      </c>
      <c r="K62" s="49">
        <f>AVERAGE('03. 08 GULU-KARUMA-24HRS'!K62,'05.08, GULU-KARUMA-24HRS'!K62)</f>
        <v>0</v>
      </c>
      <c r="L62" s="49">
        <f>AVERAGE('03. 08 GULU-KARUMA-24HRS'!L62,'05.08, GULU-KARUMA-24HRS'!L62)</f>
        <v>0.5</v>
      </c>
      <c r="M62" s="49">
        <f>AVERAGE('03. 08 GULU-KARUMA-24HRS'!M62,'05.08, GULU-KARUMA-24HRS'!M62)</f>
        <v>45</v>
      </c>
      <c r="N62" s="49">
        <f>AVERAGE('03. 08 GULU-KARUMA-24HRS'!N62,'05.08, GULU-KARUMA-24HRS'!N62)</f>
        <v>0</v>
      </c>
      <c r="O62" s="15">
        <f t="shared" si="0"/>
        <v>18</v>
      </c>
      <c r="P62" s="15">
        <f t="shared" si="1"/>
        <v>63</v>
      </c>
      <c r="R62" s="8"/>
      <c r="T62"/>
    </row>
    <row r="63" spans="2:20" ht="23.1" customHeight="1" x14ac:dyDescent="0.25">
      <c r="B63" s="23" t="s">
        <v>108</v>
      </c>
      <c r="C63" s="49">
        <f>AVERAGE('03. 08 GULU-KARUMA-24HRS'!C63,'05.08, GULU-KARUMA-24HRS'!C63)</f>
        <v>8</v>
      </c>
      <c r="D63" s="49">
        <f>AVERAGE('03. 08 GULU-KARUMA-24HRS'!D63,'05.08, GULU-KARUMA-24HRS'!D63)</f>
        <v>2.5</v>
      </c>
      <c r="E63" s="49">
        <f>AVERAGE('03. 08 GULU-KARUMA-24HRS'!E63,'05.08, GULU-KARUMA-24HRS'!E63)</f>
        <v>5</v>
      </c>
      <c r="F63" s="49">
        <f>AVERAGE('03. 08 GULU-KARUMA-24HRS'!F63,'05.08, GULU-KARUMA-24HRS'!F63)</f>
        <v>0.5</v>
      </c>
      <c r="G63" s="49">
        <f>AVERAGE('03. 08 GULU-KARUMA-24HRS'!G63,'05.08, GULU-KARUMA-24HRS'!G63)</f>
        <v>0</v>
      </c>
      <c r="H63" s="49">
        <f>AVERAGE('03. 08 GULU-KARUMA-24HRS'!H63,'05.08, GULU-KARUMA-24HRS'!H63)</f>
        <v>0</v>
      </c>
      <c r="I63" s="49">
        <f>AVERAGE('03. 08 GULU-KARUMA-24HRS'!I63,'05.08, GULU-KARUMA-24HRS'!I63)</f>
        <v>1</v>
      </c>
      <c r="J63" s="49">
        <f>AVERAGE('03. 08 GULU-KARUMA-24HRS'!J63,'05.08, GULU-KARUMA-24HRS'!J63)</f>
        <v>0</v>
      </c>
      <c r="K63" s="49">
        <f>AVERAGE('03. 08 GULU-KARUMA-24HRS'!K63,'05.08, GULU-KARUMA-24HRS'!K63)</f>
        <v>0</v>
      </c>
      <c r="L63" s="49">
        <f>AVERAGE('03. 08 GULU-KARUMA-24HRS'!L63,'05.08, GULU-KARUMA-24HRS'!L63)</f>
        <v>1</v>
      </c>
      <c r="M63" s="49">
        <f>AVERAGE('03. 08 GULU-KARUMA-24HRS'!M63,'05.08, GULU-KARUMA-24HRS'!M63)</f>
        <v>43</v>
      </c>
      <c r="N63" s="49">
        <f>AVERAGE('03. 08 GULU-KARUMA-24HRS'!N63,'05.08, GULU-KARUMA-24HRS'!N63)</f>
        <v>0</v>
      </c>
      <c r="O63" s="15">
        <f t="shared" si="0"/>
        <v>18</v>
      </c>
      <c r="P63" s="15">
        <f t="shared" si="1"/>
        <v>61</v>
      </c>
      <c r="R63" s="8"/>
      <c r="T63"/>
    </row>
    <row r="64" spans="2:20" ht="23.1" customHeight="1" x14ac:dyDescent="0.25">
      <c r="B64" s="23" t="s">
        <v>109</v>
      </c>
      <c r="C64" s="49">
        <f>AVERAGE('03. 08 GULU-KARUMA-24HRS'!C64,'05.08, GULU-KARUMA-24HRS'!C64)</f>
        <v>10</v>
      </c>
      <c r="D64" s="49">
        <f>AVERAGE('03. 08 GULU-KARUMA-24HRS'!D64,'05.08, GULU-KARUMA-24HRS'!D64)</f>
        <v>1.5</v>
      </c>
      <c r="E64" s="49">
        <f>AVERAGE('03. 08 GULU-KARUMA-24HRS'!E64,'05.08, GULU-KARUMA-24HRS'!E64)</f>
        <v>4</v>
      </c>
      <c r="F64" s="49">
        <f>AVERAGE('03. 08 GULU-KARUMA-24HRS'!F64,'05.08, GULU-KARUMA-24HRS'!F64)</f>
        <v>0.5</v>
      </c>
      <c r="G64" s="49">
        <f>AVERAGE('03. 08 GULU-KARUMA-24HRS'!G64,'05.08, GULU-KARUMA-24HRS'!G64)</f>
        <v>0</v>
      </c>
      <c r="H64" s="49">
        <f>AVERAGE('03. 08 GULU-KARUMA-24HRS'!H64,'05.08, GULU-KARUMA-24HRS'!H64)</f>
        <v>1</v>
      </c>
      <c r="I64" s="49">
        <f>AVERAGE('03. 08 GULU-KARUMA-24HRS'!I64,'05.08, GULU-KARUMA-24HRS'!I64)</f>
        <v>3.5</v>
      </c>
      <c r="J64" s="49">
        <f>AVERAGE('03. 08 GULU-KARUMA-24HRS'!J64,'05.08, GULU-KARUMA-24HRS'!J64)</f>
        <v>0</v>
      </c>
      <c r="K64" s="49">
        <f>AVERAGE('03. 08 GULU-KARUMA-24HRS'!K64,'05.08, GULU-KARUMA-24HRS'!K64)</f>
        <v>0</v>
      </c>
      <c r="L64" s="49">
        <f>AVERAGE('03. 08 GULU-KARUMA-24HRS'!L64,'05.08, GULU-KARUMA-24HRS'!L64)</f>
        <v>2</v>
      </c>
      <c r="M64" s="49">
        <f>AVERAGE('03. 08 GULU-KARUMA-24HRS'!M64,'05.08, GULU-KARUMA-24HRS'!M64)</f>
        <v>41</v>
      </c>
      <c r="N64" s="49">
        <f>AVERAGE('03. 08 GULU-KARUMA-24HRS'!N64,'05.08, GULU-KARUMA-24HRS'!N64)</f>
        <v>0</v>
      </c>
      <c r="O64" s="15">
        <f t="shared" si="0"/>
        <v>22.5</v>
      </c>
      <c r="P64" s="15">
        <f t="shared" si="1"/>
        <v>63.5</v>
      </c>
      <c r="R64" s="8"/>
      <c r="T64"/>
    </row>
    <row r="65" spans="2:20" ht="23.1" customHeight="1" x14ac:dyDescent="0.25">
      <c r="B65" s="23" t="s">
        <v>158</v>
      </c>
      <c r="C65" s="49">
        <f>AVERAGE('03. 08 GULU-KARUMA-24HRS'!C65,'05.08, GULU-KARUMA-24HRS'!C65)</f>
        <v>3.5</v>
      </c>
      <c r="D65" s="49">
        <f>AVERAGE('03. 08 GULU-KARUMA-24HRS'!D65,'05.08, GULU-KARUMA-24HRS'!D65)</f>
        <v>3</v>
      </c>
      <c r="E65" s="49">
        <f>AVERAGE('03. 08 GULU-KARUMA-24HRS'!E65,'05.08, GULU-KARUMA-24HRS'!E65)</f>
        <v>7</v>
      </c>
      <c r="F65" s="49">
        <f>AVERAGE('03. 08 GULU-KARUMA-24HRS'!F65,'05.08, GULU-KARUMA-24HRS'!F65)</f>
        <v>1.5</v>
      </c>
      <c r="G65" s="49">
        <f>AVERAGE('03. 08 GULU-KARUMA-24HRS'!G65,'05.08, GULU-KARUMA-24HRS'!G65)</f>
        <v>0.5</v>
      </c>
      <c r="H65" s="49">
        <f>AVERAGE('03. 08 GULU-KARUMA-24HRS'!H65,'05.08, GULU-KARUMA-24HRS'!H65)</f>
        <v>0</v>
      </c>
      <c r="I65" s="49">
        <f>AVERAGE('03. 08 GULU-KARUMA-24HRS'!I65,'05.08, GULU-KARUMA-24HRS'!I65)</f>
        <v>2</v>
      </c>
      <c r="J65" s="49">
        <f>AVERAGE('03. 08 GULU-KARUMA-24HRS'!J65,'05.08, GULU-KARUMA-24HRS'!J65)</f>
        <v>1</v>
      </c>
      <c r="K65" s="49">
        <f>AVERAGE('03. 08 GULU-KARUMA-24HRS'!K65,'05.08, GULU-KARUMA-24HRS'!K65)</f>
        <v>0.5</v>
      </c>
      <c r="L65" s="49">
        <f>AVERAGE('03. 08 GULU-KARUMA-24HRS'!L65,'05.08, GULU-KARUMA-24HRS'!L65)</f>
        <v>2</v>
      </c>
      <c r="M65" s="49">
        <f>AVERAGE('03. 08 GULU-KARUMA-24HRS'!M65,'05.08, GULU-KARUMA-24HRS'!M65)</f>
        <v>42</v>
      </c>
      <c r="N65" s="49">
        <f>AVERAGE('03. 08 GULU-KARUMA-24HRS'!N65,'05.08, GULU-KARUMA-24HRS'!N65)</f>
        <v>0</v>
      </c>
      <c r="O65" s="15">
        <f t="shared" si="0"/>
        <v>21</v>
      </c>
      <c r="P65" s="15">
        <f t="shared" si="1"/>
        <v>63</v>
      </c>
      <c r="R65" s="8"/>
      <c r="T65"/>
    </row>
    <row r="66" spans="2:20" ht="23.1" customHeight="1" x14ac:dyDescent="0.25">
      <c r="B66" s="23" t="s">
        <v>103</v>
      </c>
      <c r="C66" s="49">
        <f>AVERAGE('03. 08 GULU-KARUMA-24HRS'!C66,'05.08, GULU-KARUMA-24HRS'!C66)</f>
        <v>10</v>
      </c>
      <c r="D66" s="49">
        <f>AVERAGE('03. 08 GULU-KARUMA-24HRS'!D66,'05.08, GULU-KARUMA-24HRS'!D66)</f>
        <v>3</v>
      </c>
      <c r="E66" s="49">
        <f>AVERAGE('03. 08 GULU-KARUMA-24HRS'!E66,'05.08, GULU-KARUMA-24HRS'!E66)</f>
        <v>6.5</v>
      </c>
      <c r="F66" s="49">
        <f>AVERAGE('03. 08 GULU-KARUMA-24HRS'!F66,'05.08, GULU-KARUMA-24HRS'!F66)</f>
        <v>0.5</v>
      </c>
      <c r="G66" s="49">
        <f>AVERAGE('03. 08 GULU-KARUMA-24HRS'!G66,'05.08, GULU-KARUMA-24HRS'!G66)</f>
        <v>0</v>
      </c>
      <c r="H66" s="49">
        <f>AVERAGE('03. 08 GULU-KARUMA-24HRS'!H66,'05.08, GULU-KARUMA-24HRS'!H66)</f>
        <v>0</v>
      </c>
      <c r="I66" s="49">
        <f>AVERAGE('03. 08 GULU-KARUMA-24HRS'!I66,'05.08, GULU-KARUMA-24HRS'!I66)</f>
        <v>4</v>
      </c>
      <c r="J66" s="49">
        <f>AVERAGE('03. 08 GULU-KARUMA-24HRS'!J66,'05.08, GULU-KARUMA-24HRS'!J66)</f>
        <v>0</v>
      </c>
      <c r="K66" s="49">
        <f>AVERAGE('03. 08 GULU-KARUMA-24HRS'!K66,'05.08, GULU-KARUMA-24HRS'!K66)</f>
        <v>0</v>
      </c>
      <c r="L66" s="49">
        <f>AVERAGE('03. 08 GULU-KARUMA-24HRS'!L66,'05.08, GULU-KARUMA-24HRS'!L66)</f>
        <v>2</v>
      </c>
      <c r="M66" s="49">
        <f>AVERAGE('03. 08 GULU-KARUMA-24HRS'!M66,'05.08, GULU-KARUMA-24HRS'!M66)</f>
        <v>43</v>
      </c>
      <c r="N66" s="49">
        <f>AVERAGE('03. 08 GULU-KARUMA-24HRS'!N66,'05.08, GULU-KARUMA-24HRS'!N66)</f>
        <v>0</v>
      </c>
      <c r="O66" s="15">
        <f t="shared" si="0"/>
        <v>26</v>
      </c>
      <c r="P66" s="15">
        <f t="shared" si="1"/>
        <v>69</v>
      </c>
      <c r="R66" s="8"/>
      <c r="T66"/>
    </row>
    <row r="67" spans="2:20" ht="23.1" customHeight="1" x14ac:dyDescent="0.25">
      <c r="B67" s="23" t="s">
        <v>104</v>
      </c>
      <c r="C67" s="49">
        <f>AVERAGE('03. 08 GULU-KARUMA-24HRS'!C67,'05.08, GULU-KARUMA-24HRS'!C67)</f>
        <v>5.5</v>
      </c>
      <c r="D67" s="49">
        <f>AVERAGE('03. 08 GULU-KARUMA-24HRS'!D67,'05.08, GULU-KARUMA-24HRS'!D67)</f>
        <v>1.5</v>
      </c>
      <c r="E67" s="49">
        <f>AVERAGE('03. 08 GULU-KARUMA-24HRS'!E67,'05.08, GULU-KARUMA-24HRS'!E67)</f>
        <v>4</v>
      </c>
      <c r="F67" s="49">
        <f>AVERAGE('03. 08 GULU-KARUMA-24HRS'!F67,'05.08, GULU-KARUMA-24HRS'!F67)</f>
        <v>2.5</v>
      </c>
      <c r="G67" s="49">
        <f>AVERAGE('03. 08 GULU-KARUMA-24HRS'!G67,'05.08, GULU-KARUMA-24HRS'!G67)</f>
        <v>0.5</v>
      </c>
      <c r="H67" s="49">
        <f>AVERAGE('03. 08 GULU-KARUMA-24HRS'!H67,'05.08, GULU-KARUMA-24HRS'!H67)</f>
        <v>0</v>
      </c>
      <c r="I67" s="49">
        <f>AVERAGE('03. 08 GULU-KARUMA-24HRS'!I67,'05.08, GULU-KARUMA-24HRS'!I67)</f>
        <v>2.5</v>
      </c>
      <c r="J67" s="49">
        <f>AVERAGE('03. 08 GULU-KARUMA-24HRS'!J67,'05.08, GULU-KARUMA-24HRS'!J67)</f>
        <v>0.5</v>
      </c>
      <c r="K67" s="49">
        <f>AVERAGE('03. 08 GULU-KARUMA-24HRS'!K67,'05.08, GULU-KARUMA-24HRS'!K67)</f>
        <v>0</v>
      </c>
      <c r="L67" s="49">
        <f>AVERAGE('03. 08 GULU-KARUMA-24HRS'!L67,'05.08, GULU-KARUMA-24HRS'!L67)</f>
        <v>2.5</v>
      </c>
      <c r="M67" s="49">
        <f>AVERAGE('03. 08 GULU-KARUMA-24HRS'!M67,'05.08, GULU-KARUMA-24HRS'!M67)</f>
        <v>43</v>
      </c>
      <c r="N67" s="49">
        <f>AVERAGE('03. 08 GULU-KARUMA-24HRS'!N67,'05.08, GULU-KARUMA-24HRS'!N67)</f>
        <v>0</v>
      </c>
      <c r="O67" s="15">
        <f t="shared" si="0"/>
        <v>19.5</v>
      </c>
      <c r="P67" s="15">
        <f t="shared" si="1"/>
        <v>62.5</v>
      </c>
      <c r="R67" s="8"/>
      <c r="T67"/>
    </row>
    <row r="68" spans="2:20" ht="23.1" customHeight="1" x14ac:dyDescent="0.25">
      <c r="B68" s="23" t="s">
        <v>105</v>
      </c>
      <c r="C68" s="49">
        <f>AVERAGE('03. 08 GULU-KARUMA-24HRS'!C68,'05.08, GULU-KARUMA-24HRS'!C68)</f>
        <v>10</v>
      </c>
      <c r="D68" s="49">
        <f>AVERAGE('03. 08 GULU-KARUMA-24HRS'!D68,'05.08, GULU-KARUMA-24HRS'!D68)</f>
        <v>3</v>
      </c>
      <c r="E68" s="49">
        <f>AVERAGE('03. 08 GULU-KARUMA-24HRS'!E68,'05.08, GULU-KARUMA-24HRS'!E68)</f>
        <v>6.5</v>
      </c>
      <c r="F68" s="49">
        <f>AVERAGE('03. 08 GULU-KARUMA-24HRS'!F68,'05.08, GULU-KARUMA-24HRS'!F68)</f>
        <v>1.5</v>
      </c>
      <c r="G68" s="49">
        <f>AVERAGE('03. 08 GULU-KARUMA-24HRS'!G68,'05.08, GULU-KARUMA-24HRS'!G68)</f>
        <v>0.5</v>
      </c>
      <c r="H68" s="49">
        <f>AVERAGE('03. 08 GULU-KARUMA-24HRS'!H68,'05.08, GULU-KARUMA-24HRS'!H68)</f>
        <v>0.5</v>
      </c>
      <c r="I68" s="49">
        <f>AVERAGE('03. 08 GULU-KARUMA-24HRS'!I68,'05.08, GULU-KARUMA-24HRS'!I68)</f>
        <v>4</v>
      </c>
      <c r="J68" s="49">
        <f>AVERAGE('03. 08 GULU-KARUMA-24HRS'!J68,'05.08, GULU-KARUMA-24HRS'!J68)</f>
        <v>0</v>
      </c>
      <c r="K68" s="49">
        <f>AVERAGE('03. 08 GULU-KARUMA-24HRS'!K68,'05.08, GULU-KARUMA-24HRS'!K68)</f>
        <v>0</v>
      </c>
      <c r="L68" s="49">
        <f>AVERAGE('03. 08 GULU-KARUMA-24HRS'!L68,'05.08, GULU-KARUMA-24HRS'!L68)</f>
        <v>2.5</v>
      </c>
      <c r="M68" s="49">
        <f>AVERAGE('03. 08 GULU-KARUMA-24HRS'!M68,'05.08, GULU-KARUMA-24HRS'!M68)</f>
        <v>44</v>
      </c>
      <c r="N68" s="49">
        <f>AVERAGE('03. 08 GULU-KARUMA-24HRS'!N68,'05.08, GULU-KARUMA-24HRS'!N68)</f>
        <v>0</v>
      </c>
      <c r="O68" s="15">
        <f t="shared" si="0"/>
        <v>28.5</v>
      </c>
      <c r="P68" s="15">
        <f t="shared" si="1"/>
        <v>72.5</v>
      </c>
      <c r="R68" s="8"/>
      <c r="T68"/>
    </row>
    <row r="69" spans="2:20" ht="23.1" customHeight="1" x14ac:dyDescent="0.25">
      <c r="B69" s="23" t="s">
        <v>106</v>
      </c>
      <c r="C69" s="49">
        <f>AVERAGE('03. 08 GULU-KARUMA-24HRS'!C69,'05.08, GULU-KARUMA-24HRS'!C69)</f>
        <v>9</v>
      </c>
      <c r="D69" s="49">
        <f>AVERAGE('03. 08 GULU-KARUMA-24HRS'!D69,'05.08, GULU-KARUMA-24HRS'!D69)</f>
        <v>1.5</v>
      </c>
      <c r="E69" s="49">
        <f>AVERAGE('03. 08 GULU-KARUMA-24HRS'!E69,'05.08, GULU-KARUMA-24HRS'!E69)</f>
        <v>4</v>
      </c>
      <c r="F69" s="49">
        <f>AVERAGE('03. 08 GULU-KARUMA-24HRS'!F69,'05.08, GULU-KARUMA-24HRS'!F69)</f>
        <v>0</v>
      </c>
      <c r="G69" s="49">
        <f>AVERAGE('03. 08 GULU-KARUMA-24HRS'!G69,'05.08, GULU-KARUMA-24HRS'!G69)</f>
        <v>0</v>
      </c>
      <c r="H69" s="49">
        <f>AVERAGE('03. 08 GULU-KARUMA-24HRS'!H69,'05.08, GULU-KARUMA-24HRS'!H69)</f>
        <v>0</v>
      </c>
      <c r="I69" s="49">
        <f>AVERAGE('03. 08 GULU-KARUMA-24HRS'!I69,'05.08, GULU-KARUMA-24HRS'!I69)</f>
        <v>2</v>
      </c>
      <c r="J69" s="49">
        <f>AVERAGE('03. 08 GULU-KARUMA-24HRS'!J69,'05.08, GULU-KARUMA-24HRS'!J69)</f>
        <v>0.5</v>
      </c>
      <c r="K69" s="49">
        <f>AVERAGE('03. 08 GULU-KARUMA-24HRS'!K69,'05.08, GULU-KARUMA-24HRS'!K69)</f>
        <v>0</v>
      </c>
      <c r="L69" s="49">
        <f>AVERAGE('03. 08 GULU-KARUMA-24HRS'!L69,'05.08, GULU-KARUMA-24HRS'!L69)</f>
        <v>2.5</v>
      </c>
      <c r="M69" s="49">
        <f>AVERAGE('03. 08 GULU-KARUMA-24HRS'!M69,'05.08, GULU-KARUMA-24HRS'!M69)</f>
        <v>38</v>
      </c>
      <c r="N69" s="49">
        <f>AVERAGE('03. 08 GULU-KARUMA-24HRS'!N69,'05.08, GULU-KARUMA-24HRS'!N69)</f>
        <v>0</v>
      </c>
      <c r="O69" s="15">
        <f t="shared" si="0"/>
        <v>19.5</v>
      </c>
      <c r="P69" s="15">
        <f t="shared" si="1"/>
        <v>57.5</v>
      </c>
      <c r="R69" s="8"/>
      <c r="T69"/>
    </row>
    <row r="70" spans="2:20" ht="23.1" customHeight="1" x14ac:dyDescent="0.25">
      <c r="B70" s="23" t="s">
        <v>110</v>
      </c>
      <c r="C70" s="49">
        <f>AVERAGE('03. 08 GULU-KARUMA-24HRS'!C70,'05.08, GULU-KARUMA-24HRS'!C70)</f>
        <v>8.5</v>
      </c>
      <c r="D70" s="49">
        <f>AVERAGE('03. 08 GULU-KARUMA-24HRS'!D70,'05.08, GULU-KARUMA-24HRS'!D70)</f>
        <v>2</v>
      </c>
      <c r="E70" s="49">
        <f>AVERAGE('03. 08 GULU-KARUMA-24HRS'!E70,'05.08, GULU-KARUMA-24HRS'!E70)</f>
        <v>4.5</v>
      </c>
      <c r="F70" s="49">
        <f>AVERAGE('03. 08 GULU-KARUMA-24HRS'!F70,'05.08, GULU-KARUMA-24HRS'!F70)</f>
        <v>0.5</v>
      </c>
      <c r="G70" s="49">
        <f>AVERAGE('03. 08 GULU-KARUMA-24HRS'!G70,'05.08, GULU-KARUMA-24HRS'!G70)</f>
        <v>0.5</v>
      </c>
      <c r="H70" s="49">
        <f>AVERAGE('03. 08 GULU-KARUMA-24HRS'!H70,'05.08, GULU-KARUMA-24HRS'!H70)</f>
        <v>0.5</v>
      </c>
      <c r="I70" s="49">
        <f>AVERAGE('03. 08 GULU-KARUMA-24HRS'!I70,'05.08, GULU-KARUMA-24HRS'!I70)</f>
        <v>2.5</v>
      </c>
      <c r="J70" s="49">
        <f>AVERAGE('03. 08 GULU-KARUMA-24HRS'!J70,'05.08, GULU-KARUMA-24HRS'!J70)</f>
        <v>0</v>
      </c>
      <c r="K70" s="49">
        <f>AVERAGE('03. 08 GULU-KARUMA-24HRS'!K70,'05.08, GULU-KARUMA-24HRS'!K70)</f>
        <v>0</v>
      </c>
      <c r="L70" s="49">
        <f>AVERAGE('03. 08 GULU-KARUMA-24HRS'!L70,'05.08, GULU-KARUMA-24HRS'!L70)</f>
        <v>2.5</v>
      </c>
      <c r="M70" s="49">
        <f>AVERAGE('03. 08 GULU-KARUMA-24HRS'!M70,'05.08, GULU-KARUMA-24HRS'!M70)</f>
        <v>25</v>
      </c>
      <c r="N70" s="49">
        <f>AVERAGE('03. 08 GULU-KARUMA-24HRS'!N70,'05.08, GULU-KARUMA-24HRS'!N70)</f>
        <v>0</v>
      </c>
      <c r="O70" s="15">
        <f t="shared" si="0"/>
        <v>21.5</v>
      </c>
      <c r="P70" s="15">
        <f t="shared" si="1"/>
        <v>46.5</v>
      </c>
      <c r="R70" s="8"/>
      <c r="T70"/>
    </row>
    <row r="71" spans="2:20" ht="23.1" customHeight="1" x14ac:dyDescent="0.25">
      <c r="B71" s="23" t="s">
        <v>111</v>
      </c>
      <c r="C71" s="49">
        <f>AVERAGE('03. 08 GULU-KARUMA-24HRS'!C71,'05.08, GULU-KARUMA-24HRS'!C71)</f>
        <v>7.5</v>
      </c>
      <c r="D71" s="49">
        <f>AVERAGE('03. 08 GULU-KARUMA-24HRS'!D71,'05.08, GULU-KARUMA-24HRS'!D71)</f>
        <v>2</v>
      </c>
      <c r="E71" s="49">
        <f>AVERAGE('03. 08 GULU-KARUMA-24HRS'!E71,'05.08, GULU-KARUMA-24HRS'!E71)</f>
        <v>4.5</v>
      </c>
      <c r="F71" s="49">
        <f>AVERAGE('03. 08 GULU-KARUMA-24HRS'!F71,'05.08, GULU-KARUMA-24HRS'!F71)</f>
        <v>1.5</v>
      </c>
      <c r="G71" s="49">
        <f>AVERAGE('03. 08 GULU-KARUMA-24HRS'!G71,'05.08, GULU-KARUMA-24HRS'!G71)</f>
        <v>0</v>
      </c>
      <c r="H71" s="49">
        <f>AVERAGE('03. 08 GULU-KARUMA-24HRS'!H71,'05.08, GULU-KARUMA-24HRS'!H71)</f>
        <v>1</v>
      </c>
      <c r="I71" s="49">
        <f>AVERAGE('03. 08 GULU-KARUMA-24HRS'!I71,'05.08, GULU-KARUMA-24HRS'!I71)</f>
        <v>1.5</v>
      </c>
      <c r="J71" s="49">
        <f>AVERAGE('03. 08 GULU-KARUMA-24HRS'!J71,'05.08, GULU-KARUMA-24HRS'!J71)</f>
        <v>1</v>
      </c>
      <c r="K71" s="49">
        <f>AVERAGE('03. 08 GULU-KARUMA-24HRS'!K71,'05.08, GULU-KARUMA-24HRS'!K71)</f>
        <v>0</v>
      </c>
      <c r="L71" s="49">
        <f>AVERAGE('03. 08 GULU-KARUMA-24HRS'!L71,'05.08, GULU-KARUMA-24HRS'!L71)</f>
        <v>6.5</v>
      </c>
      <c r="M71" s="49">
        <f>AVERAGE('03. 08 GULU-KARUMA-24HRS'!M71,'05.08, GULU-KARUMA-24HRS'!M71)</f>
        <v>28</v>
      </c>
      <c r="N71" s="49">
        <f>AVERAGE('03. 08 GULU-KARUMA-24HRS'!N71,'05.08, GULU-KARUMA-24HRS'!N71)</f>
        <v>0</v>
      </c>
      <c r="O71" s="15">
        <f t="shared" si="0"/>
        <v>25.5</v>
      </c>
      <c r="P71" s="15">
        <f t="shared" si="1"/>
        <v>53.5</v>
      </c>
      <c r="R71" s="8"/>
      <c r="T71"/>
    </row>
    <row r="72" spans="2:20" ht="23.1" customHeight="1" x14ac:dyDescent="0.25">
      <c r="B72" s="23" t="s">
        <v>112</v>
      </c>
      <c r="C72" s="49">
        <f>AVERAGE('03. 08 GULU-KARUMA-24HRS'!C72,'05.08, GULU-KARUMA-24HRS'!C72)</f>
        <v>7</v>
      </c>
      <c r="D72" s="49">
        <f>AVERAGE('03. 08 GULU-KARUMA-24HRS'!D72,'05.08, GULU-KARUMA-24HRS'!D72)</f>
        <v>1.5</v>
      </c>
      <c r="E72" s="49">
        <f>AVERAGE('03. 08 GULU-KARUMA-24HRS'!E72,'05.08, GULU-KARUMA-24HRS'!E72)</f>
        <v>4</v>
      </c>
      <c r="F72" s="49">
        <f>AVERAGE('03. 08 GULU-KARUMA-24HRS'!F72,'05.08, GULU-KARUMA-24HRS'!F72)</f>
        <v>0</v>
      </c>
      <c r="G72" s="49">
        <f>AVERAGE('03. 08 GULU-KARUMA-24HRS'!G72,'05.08, GULU-KARUMA-24HRS'!G72)</f>
        <v>0.5</v>
      </c>
      <c r="H72" s="49">
        <f>AVERAGE('03. 08 GULU-KARUMA-24HRS'!H72,'05.08, GULU-KARUMA-24HRS'!H72)</f>
        <v>0</v>
      </c>
      <c r="I72" s="49">
        <f>AVERAGE('03. 08 GULU-KARUMA-24HRS'!I72,'05.08, GULU-KARUMA-24HRS'!I72)</f>
        <v>4.5</v>
      </c>
      <c r="J72" s="49">
        <f>AVERAGE('03. 08 GULU-KARUMA-24HRS'!J72,'05.08, GULU-KARUMA-24HRS'!J72)</f>
        <v>1</v>
      </c>
      <c r="K72" s="49">
        <f>AVERAGE('03. 08 GULU-KARUMA-24HRS'!K72,'05.08, GULU-KARUMA-24HRS'!K72)</f>
        <v>0</v>
      </c>
      <c r="L72" s="49">
        <f>AVERAGE('03. 08 GULU-KARUMA-24HRS'!L72,'05.08, GULU-KARUMA-24HRS'!L72)</f>
        <v>2.5</v>
      </c>
      <c r="M72" s="49">
        <f>AVERAGE('03. 08 GULU-KARUMA-24HRS'!M72,'05.08, GULU-KARUMA-24HRS'!M72)</f>
        <v>26</v>
      </c>
      <c r="N72" s="49">
        <f>AVERAGE('03. 08 GULU-KARUMA-24HRS'!N72,'05.08, GULU-KARUMA-24HRS'!N72)</f>
        <v>0.5</v>
      </c>
      <c r="O72" s="15">
        <f t="shared" si="0"/>
        <v>21.5</v>
      </c>
      <c r="P72" s="15">
        <f t="shared" si="1"/>
        <v>47.5</v>
      </c>
      <c r="R72" s="8"/>
      <c r="T72"/>
    </row>
    <row r="73" spans="2:20" ht="23.1" customHeight="1" x14ac:dyDescent="0.25">
      <c r="B73" s="23" t="s">
        <v>113</v>
      </c>
      <c r="C73" s="49">
        <f>AVERAGE('03. 08 GULU-KARUMA-24HRS'!C73,'05.08, GULU-KARUMA-24HRS'!C73)</f>
        <v>5</v>
      </c>
      <c r="D73" s="49">
        <f>AVERAGE('03. 08 GULU-KARUMA-24HRS'!D73,'05.08, GULU-KARUMA-24HRS'!D73)</f>
        <v>3</v>
      </c>
      <c r="E73" s="49">
        <f>AVERAGE('03. 08 GULU-KARUMA-24HRS'!E73,'05.08, GULU-KARUMA-24HRS'!E73)</f>
        <v>6</v>
      </c>
      <c r="F73" s="49">
        <f>AVERAGE('03. 08 GULU-KARUMA-24HRS'!F73,'05.08, GULU-KARUMA-24HRS'!F73)</f>
        <v>1.5</v>
      </c>
      <c r="G73" s="49">
        <f>AVERAGE('03. 08 GULU-KARUMA-24HRS'!G73,'05.08, GULU-KARUMA-24HRS'!G73)</f>
        <v>0.5</v>
      </c>
      <c r="H73" s="49">
        <f>AVERAGE('03. 08 GULU-KARUMA-24HRS'!H73,'05.08, GULU-KARUMA-24HRS'!H73)</f>
        <v>0.5</v>
      </c>
      <c r="I73" s="49">
        <f>AVERAGE('03. 08 GULU-KARUMA-24HRS'!I73,'05.08, GULU-KARUMA-24HRS'!I73)</f>
        <v>1.5</v>
      </c>
      <c r="J73" s="49">
        <f>AVERAGE('03. 08 GULU-KARUMA-24HRS'!J73,'05.08, GULU-KARUMA-24HRS'!J73)</f>
        <v>0</v>
      </c>
      <c r="K73" s="49">
        <f>AVERAGE('03. 08 GULU-KARUMA-24HRS'!K73,'05.08, GULU-KARUMA-24HRS'!K73)</f>
        <v>0</v>
      </c>
      <c r="L73" s="49">
        <f>AVERAGE('03. 08 GULU-KARUMA-24HRS'!L73,'05.08, GULU-KARUMA-24HRS'!L73)</f>
        <v>2</v>
      </c>
      <c r="M73" s="49">
        <f>AVERAGE('03. 08 GULU-KARUMA-24HRS'!M73,'05.08, GULU-KARUMA-24HRS'!M73)</f>
        <v>25</v>
      </c>
      <c r="N73" s="49">
        <f>AVERAGE('03. 08 GULU-KARUMA-24HRS'!N73,'05.08, GULU-KARUMA-24HRS'!N73)</f>
        <v>0</v>
      </c>
      <c r="O73" s="15">
        <f t="shared" si="0"/>
        <v>20</v>
      </c>
      <c r="P73" s="15">
        <f t="shared" si="1"/>
        <v>45</v>
      </c>
      <c r="R73" s="8"/>
      <c r="T73"/>
    </row>
    <row r="74" spans="2:20" ht="23.1" customHeight="1" x14ac:dyDescent="0.25">
      <c r="B74" s="23" t="s">
        <v>114</v>
      </c>
      <c r="C74" s="49">
        <f>AVERAGE('03. 08 GULU-KARUMA-24HRS'!C74,'05.08, GULU-KARUMA-24HRS'!C74)</f>
        <v>6.5</v>
      </c>
      <c r="D74" s="49">
        <f>AVERAGE('03. 08 GULU-KARUMA-24HRS'!D74,'05.08, GULU-KARUMA-24HRS'!D74)</f>
        <v>1.5</v>
      </c>
      <c r="E74" s="49">
        <f>AVERAGE('03. 08 GULU-KARUMA-24HRS'!E74,'05.08, GULU-KARUMA-24HRS'!E74)</f>
        <v>3.5</v>
      </c>
      <c r="F74" s="49">
        <f>AVERAGE('03. 08 GULU-KARUMA-24HRS'!F74,'05.08, GULU-KARUMA-24HRS'!F74)</f>
        <v>1.5</v>
      </c>
      <c r="G74" s="49">
        <f>AVERAGE('03. 08 GULU-KARUMA-24HRS'!G74,'05.08, GULU-KARUMA-24HRS'!G74)</f>
        <v>0</v>
      </c>
      <c r="H74" s="49">
        <f>AVERAGE('03. 08 GULU-KARUMA-24HRS'!H74,'05.08, GULU-KARUMA-24HRS'!H74)</f>
        <v>0</v>
      </c>
      <c r="I74" s="49">
        <f>AVERAGE('03. 08 GULU-KARUMA-24HRS'!I74,'05.08, GULU-KARUMA-24HRS'!I74)</f>
        <v>1.5</v>
      </c>
      <c r="J74" s="49">
        <f>AVERAGE('03. 08 GULU-KARUMA-24HRS'!J74,'05.08, GULU-KARUMA-24HRS'!J74)</f>
        <v>0</v>
      </c>
      <c r="K74" s="49">
        <f>AVERAGE('03. 08 GULU-KARUMA-24HRS'!K74,'05.08, GULU-KARUMA-24HRS'!K74)</f>
        <v>0</v>
      </c>
      <c r="L74" s="49">
        <f>AVERAGE('03. 08 GULU-KARUMA-24HRS'!L74,'05.08, GULU-KARUMA-24HRS'!L74)</f>
        <v>1</v>
      </c>
      <c r="M74" s="49">
        <f>AVERAGE('03. 08 GULU-KARUMA-24HRS'!M74,'05.08, GULU-KARUMA-24HRS'!M74)</f>
        <v>21</v>
      </c>
      <c r="N74" s="49">
        <f>AVERAGE('03. 08 GULU-KARUMA-24HRS'!N74,'05.08, GULU-KARUMA-24HRS'!N74)</f>
        <v>0</v>
      </c>
      <c r="O74" s="15">
        <f t="shared" ref="O74:O105" si="35">SUM(C74:L74,N74)</f>
        <v>15.5</v>
      </c>
      <c r="P74" s="15">
        <f t="shared" ref="P74:P105" si="36">SUM(C74:N74)</f>
        <v>36.5</v>
      </c>
      <c r="R74" s="8"/>
      <c r="T74"/>
    </row>
    <row r="75" spans="2:20" ht="23.1" customHeight="1" x14ac:dyDescent="0.25">
      <c r="B75" s="23" t="s">
        <v>115</v>
      </c>
      <c r="C75" s="49">
        <f>AVERAGE('03. 08 GULU-KARUMA-24HRS'!C75,'05.08, GULU-KARUMA-24HRS'!C75)</f>
        <v>6</v>
      </c>
      <c r="D75" s="49">
        <f>AVERAGE('03. 08 GULU-KARUMA-24HRS'!D75,'05.08, GULU-KARUMA-24HRS'!D75)</f>
        <v>3.5</v>
      </c>
      <c r="E75" s="49">
        <f>AVERAGE('03. 08 GULU-KARUMA-24HRS'!E75,'05.08, GULU-KARUMA-24HRS'!E75)</f>
        <v>7</v>
      </c>
      <c r="F75" s="49">
        <f>AVERAGE('03. 08 GULU-KARUMA-24HRS'!F75,'05.08, GULU-KARUMA-24HRS'!F75)</f>
        <v>0</v>
      </c>
      <c r="G75" s="49">
        <f>AVERAGE('03. 08 GULU-KARUMA-24HRS'!G75,'05.08, GULU-KARUMA-24HRS'!G75)</f>
        <v>0</v>
      </c>
      <c r="H75" s="49">
        <f>AVERAGE('03. 08 GULU-KARUMA-24HRS'!H75,'05.08, GULU-KARUMA-24HRS'!H75)</f>
        <v>1</v>
      </c>
      <c r="I75" s="49">
        <f>AVERAGE('03. 08 GULU-KARUMA-24HRS'!I75,'05.08, GULU-KARUMA-24HRS'!I75)</f>
        <v>3</v>
      </c>
      <c r="J75" s="49">
        <f>AVERAGE('03. 08 GULU-KARUMA-24HRS'!J75,'05.08, GULU-KARUMA-24HRS'!J75)</f>
        <v>0</v>
      </c>
      <c r="K75" s="49">
        <f>AVERAGE('03. 08 GULU-KARUMA-24HRS'!K75,'05.08, GULU-KARUMA-24HRS'!K75)</f>
        <v>0</v>
      </c>
      <c r="L75" s="49">
        <f>AVERAGE('03. 08 GULU-KARUMA-24HRS'!L75,'05.08, GULU-KARUMA-24HRS'!L75)</f>
        <v>1</v>
      </c>
      <c r="M75" s="49">
        <f>AVERAGE('03. 08 GULU-KARUMA-24HRS'!M75,'05.08, GULU-KARUMA-24HRS'!M75)</f>
        <v>15</v>
      </c>
      <c r="N75" s="49">
        <f>AVERAGE('03. 08 GULU-KARUMA-24HRS'!N75,'05.08, GULU-KARUMA-24HRS'!N75)</f>
        <v>0</v>
      </c>
      <c r="O75" s="15">
        <f t="shared" si="35"/>
        <v>21.5</v>
      </c>
      <c r="P75" s="15">
        <f t="shared" si="36"/>
        <v>36.5</v>
      </c>
      <c r="R75" s="8"/>
      <c r="T75"/>
    </row>
    <row r="76" spans="2:20" ht="23.1" customHeight="1" x14ac:dyDescent="0.25">
      <c r="B76" s="23" t="s">
        <v>116</v>
      </c>
      <c r="C76" s="49">
        <f>AVERAGE('03. 08 GULU-KARUMA-24HRS'!C76,'05.08, GULU-KARUMA-24HRS'!C76)</f>
        <v>6</v>
      </c>
      <c r="D76" s="49">
        <f>AVERAGE('03. 08 GULU-KARUMA-24HRS'!D76,'05.08, GULU-KARUMA-24HRS'!D76)</f>
        <v>2</v>
      </c>
      <c r="E76" s="49">
        <f>AVERAGE('03. 08 GULU-KARUMA-24HRS'!E76,'05.08, GULU-KARUMA-24HRS'!E76)</f>
        <v>5</v>
      </c>
      <c r="F76" s="49">
        <f>AVERAGE('03. 08 GULU-KARUMA-24HRS'!F76,'05.08, GULU-KARUMA-24HRS'!F76)</f>
        <v>0</v>
      </c>
      <c r="G76" s="49">
        <f>AVERAGE('03. 08 GULU-KARUMA-24HRS'!G76,'05.08, GULU-KARUMA-24HRS'!G76)</f>
        <v>0</v>
      </c>
      <c r="H76" s="49">
        <f>AVERAGE('03. 08 GULU-KARUMA-24HRS'!H76,'05.08, GULU-KARUMA-24HRS'!H76)</f>
        <v>0</v>
      </c>
      <c r="I76" s="49">
        <f>AVERAGE('03. 08 GULU-KARUMA-24HRS'!I76,'05.08, GULU-KARUMA-24HRS'!I76)</f>
        <v>3</v>
      </c>
      <c r="J76" s="49">
        <f>AVERAGE('03. 08 GULU-KARUMA-24HRS'!J76,'05.08, GULU-KARUMA-24HRS'!J76)</f>
        <v>0</v>
      </c>
      <c r="K76" s="49">
        <f>AVERAGE('03. 08 GULU-KARUMA-24HRS'!K76,'05.08, GULU-KARUMA-24HRS'!K76)</f>
        <v>0.5</v>
      </c>
      <c r="L76" s="49">
        <f>AVERAGE('03. 08 GULU-KARUMA-24HRS'!L76,'05.08, GULU-KARUMA-24HRS'!L76)</f>
        <v>3</v>
      </c>
      <c r="M76" s="49">
        <f>AVERAGE('03. 08 GULU-KARUMA-24HRS'!M76,'05.08, GULU-KARUMA-24HRS'!M76)</f>
        <v>13</v>
      </c>
      <c r="N76" s="49">
        <f>AVERAGE('03. 08 GULU-KARUMA-24HRS'!N76,'05.08, GULU-KARUMA-24HRS'!N76)</f>
        <v>0</v>
      </c>
      <c r="O76" s="15">
        <f t="shared" si="35"/>
        <v>19.5</v>
      </c>
      <c r="P76" s="15">
        <f t="shared" si="36"/>
        <v>32.5</v>
      </c>
      <c r="R76" s="8"/>
      <c r="T76"/>
    </row>
    <row r="77" spans="2:20" ht="23.1" customHeight="1" x14ac:dyDescent="0.25">
      <c r="B77" s="23" t="s">
        <v>117</v>
      </c>
      <c r="C77" s="49">
        <f>AVERAGE('03. 08 GULU-KARUMA-24HRS'!C77,'05.08, GULU-KARUMA-24HRS'!C77)</f>
        <v>4.5</v>
      </c>
      <c r="D77" s="49">
        <f>AVERAGE('03. 08 GULU-KARUMA-24HRS'!D77,'05.08, GULU-KARUMA-24HRS'!D77)</f>
        <v>3</v>
      </c>
      <c r="E77" s="49">
        <f>AVERAGE('03. 08 GULU-KARUMA-24HRS'!E77,'05.08, GULU-KARUMA-24HRS'!E77)</f>
        <v>6</v>
      </c>
      <c r="F77" s="49">
        <f>AVERAGE('03. 08 GULU-KARUMA-24HRS'!F77,'05.08, GULU-KARUMA-24HRS'!F77)</f>
        <v>0.5</v>
      </c>
      <c r="G77" s="49">
        <f>AVERAGE('03. 08 GULU-KARUMA-24HRS'!G77,'05.08, GULU-KARUMA-24HRS'!G77)</f>
        <v>0.5</v>
      </c>
      <c r="H77" s="49">
        <f>AVERAGE('03. 08 GULU-KARUMA-24HRS'!H77,'05.08, GULU-KARUMA-24HRS'!H77)</f>
        <v>0.5</v>
      </c>
      <c r="I77" s="49">
        <f>AVERAGE('03. 08 GULU-KARUMA-24HRS'!I77,'05.08, GULU-KARUMA-24HRS'!I77)</f>
        <v>4</v>
      </c>
      <c r="J77" s="49">
        <f>AVERAGE('03. 08 GULU-KARUMA-24HRS'!J77,'05.08, GULU-KARUMA-24HRS'!J77)</f>
        <v>0.5</v>
      </c>
      <c r="K77" s="49">
        <f>AVERAGE('03. 08 GULU-KARUMA-24HRS'!K77,'05.08, GULU-KARUMA-24HRS'!K77)</f>
        <v>0</v>
      </c>
      <c r="L77" s="49">
        <f>AVERAGE('03. 08 GULU-KARUMA-24HRS'!L77,'05.08, GULU-KARUMA-24HRS'!L77)</f>
        <v>4.5</v>
      </c>
      <c r="M77" s="49">
        <f>AVERAGE('03. 08 GULU-KARUMA-24HRS'!M77,'05.08, GULU-KARUMA-24HRS'!M77)</f>
        <v>15</v>
      </c>
      <c r="N77" s="49">
        <f>AVERAGE('03. 08 GULU-KARUMA-24HRS'!N77,'05.08, GULU-KARUMA-24HRS'!N77)</f>
        <v>0</v>
      </c>
      <c r="O77" s="15">
        <f t="shared" si="35"/>
        <v>24</v>
      </c>
      <c r="P77" s="15">
        <f t="shared" si="36"/>
        <v>39</v>
      </c>
      <c r="R77" s="8"/>
      <c r="T77"/>
    </row>
    <row r="78" spans="2:20" ht="23.1" customHeight="1" x14ac:dyDescent="0.25">
      <c r="B78" s="24" t="s">
        <v>118</v>
      </c>
      <c r="C78" s="49">
        <f>AVERAGE('03. 08 GULU-KARUMA-24HRS'!C78,'05.08, GULU-KARUMA-24HRS'!C78)</f>
        <v>7</v>
      </c>
      <c r="D78" s="49">
        <f>AVERAGE('03. 08 GULU-KARUMA-24HRS'!D78,'05.08, GULU-KARUMA-24HRS'!D78)</f>
        <v>2.5</v>
      </c>
      <c r="E78" s="49">
        <f>AVERAGE('03. 08 GULU-KARUMA-24HRS'!E78,'05.08, GULU-KARUMA-24HRS'!E78)</f>
        <v>5</v>
      </c>
      <c r="F78" s="49">
        <f>AVERAGE('03. 08 GULU-KARUMA-24HRS'!F78,'05.08, GULU-KARUMA-24HRS'!F78)</f>
        <v>0.5</v>
      </c>
      <c r="G78" s="49">
        <f>AVERAGE('03. 08 GULU-KARUMA-24HRS'!G78,'05.08, GULU-KARUMA-24HRS'!G78)</f>
        <v>0.5</v>
      </c>
      <c r="H78" s="49">
        <f>AVERAGE('03. 08 GULU-KARUMA-24HRS'!H78,'05.08, GULU-KARUMA-24HRS'!H78)</f>
        <v>0.5</v>
      </c>
      <c r="I78" s="49">
        <f>AVERAGE('03. 08 GULU-KARUMA-24HRS'!I78,'05.08, GULU-KARUMA-24HRS'!I78)</f>
        <v>4</v>
      </c>
      <c r="J78" s="49">
        <f>AVERAGE('03. 08 GULU-KARUMA-24HRS'!J78,'05.08, GULU-KARUMA-24HRS'!J78)</f>
        <v>1</v>
      </c>
      <c r="K78" s="49">
        <f>AVERAGE('03. 08 GULU-KARUMA-24HRS'!K78,'05.08, GULU-KARUMA-24HRS'!K78)</f>
        <v>0</v>
      </c>
      <c r="L78" s="49">
        <f>AVERAGE('03. 08 GULU-KARUMA-24HRS'!L78,'05.08, GULU-KARUMA-24HRS'!L78)</f>
        <v>4</v>
      </c>
      <c r="M78" s="49">
        <f>AVERAGE('03. 08 GULU-KARUMA-24HRS'!M78,'05.08, GULU-KARUMA-24HRS'!M78)</f>
        <v>14</v>
      </c>
      <c r="N78" s="49">
        <f>AVERAGE('03. 08 GULU-KARUMA-24HRS'!N78,'05.08, GULU-KARUMA-24HRS'!N78)</f>
        <v>0.5</v>
      </c>
      <c r="O78" s="15">
        <f t="shared" si="35"/>
        <v>25.5</v>
      </c>
      <c r="P78" s="15">
        <f t="shared" si="36"/>
        <v>39.5</v>
      </c>
      <c r="R78" s="8"/>
      <c r="T78"/>
    </row>
    <row r="79" spans="2:20" ht="23.1" customHeight="1" x14ac:dyDescent="0.25">
      <c r="B79" s="23" t="s">
        <v>119</v>
      </c>
      <c r="C79" s="49">
        <f>AVERAGE('03. 08 GULU-KARUMA-24HRS'!C79,'05.08, GULU-KARUMA-24HRS'!C79)</f>
        <v>5.5</v>
      </c>
      <c r="D79" s="49">
        <f>AVERAGE('03. 08 GULU-KARUMA-24HRS'!D79,'05.08, GULU-KARUMA-24HRS'!D79)</f>
        <v>1</v>
      </c>
      <c r="E79" s="49">
        <f>AVERAGE('03. 08 GULU-KARUMA-24HRS'!E79,'05.08, GULU-KARUMA-24HRS'!E79)</f>
        <v>2</v>
      </c>
      <c r="F79" s="49">
        <f>AVERAGE('03. 08 GULU-KARUMA-24HRS'!F79,'05.08, GULU-KARUMA-24HRS'!F79)</f>
        <v>0</v>
      </c>
      <c r="G79" s="49">
        <f>AVERAGE('03. 08 GULU-KARUMA-24HRS'!G79,'05.08, GULU-KARUMA-24HRS'!G79)</f>
        <v>1</v>
      </c>
      <c r="H79" s="49">
        <f>AVERAGE('03. 08 GULU-KARUMA-24HRS'!H79,'05.08, GULU-KARUMA-24HRS'!H79)</f>
        <v>0.5</v>
      </c>
      <c r="I79" s="49">
        <f>AVERAGE('03. 08 GULU-KARUMA-24HRS'!I79,'05.08, GULU-KARUMA-24HRS'!I79)</f>
        <v>2</v>
      </c>
      <c r="J79" s="49">
        <f>AVERAGE('03. 08 GULU-KARUMA-24HRS'!J79,'05.08, GULU-KARUMA-24HRS'!J79)</f>
        <v>1</v>
      </c>
      <c r="K79" s="49">
        <f>AVERAGE('03. 08 GULU-KARUMA-24HRS'!K79,'05.08, GULU-KARUMA-24HRS'!K79)</f>
        <v>0</v>
      </c>
      <c r="L79" s="49">
        <f>AVERAGE('03. 08 GULU-KARUMA-24HRS'!L79,'05.08, GULU-KARUMA-24HRS'!L79)</f>
        <v>5</v>
      </c>
      <c r="M79" s="49">
        <f>AVERAGE('03. 08 GULU-KARUMA-24HRS'!M79,'05.08, GULU-KARUMA-24HRS'!M79)</f>
        <v>16</v>
      </c>
      <c r="N79" s="49">
        <f>AVERAGE('03. 08 GULU-KARUMA-24HRS'!N79,'05.08, GULU-KARUMA-24HRS'!N79)</f>
        <v>0</v>
      </c>
      <c r="O79" s="15">
        <f t="shared" si="35"/>
        <v>18</v>
      </c>
      <c r="P79" s="15">
        <f t="shared" si="36"/>
        <v>34</v>
      </c>
      <c r="R79" s="8"/>
      <c r="T79"/>
    </row>
    <row r="80" spans="2:20" ht="23.1" customHeight="1" x14ac:dyDescent="0.25">
      <c r="B80" s="25" t="s">
        <v>120</v>
      </c>
      <c r="C80" s="49">
        <f>AVERAGE('03. 08 GULU-KARUMA-24HRS'!C80,'05.08, GULU-KARUMA-24HRS'!C80)</f>
        <v>7</v>
      </c>
      <c r="D80" s="49">
        <f>AVERAGE('03. 08 GULU-KARUMA-24HRS'!D80,'05.08, GULU-KARUMA-24HRS'!D80)</f>
        <v>2.5</v>
      </c>
      <c r="E80" s="49">
        <f>AVERAGE('03. 08 GULU-KARUMA-24HRS'!E80,'05.08, GULU-KARUMA-24HRS'!E80)</f>
        <v>5.5</v>
      </c>
      <c r="F80" s="49">
        <f>AVERAGE('03. 08 GULU-KARUMA-24HRS'!F80,'05.08, GULU-KARUMA-24HRS'!F80)</f>
        <v>1.5</v>
      </c>
      <c r="G80" s="49">
        <f>AVERAGE('03. 08 GULU-KARUMA-24HRS'!G80,'05.08, GULU-KARUMA-24HRS'!G80)</f>
        <v>0</v>
      </c>
      <c r="H80" s="49">
        <f>AVERAGE('03. 08 GULU-KARUMA-24HRS'!H80,'05.08, GULU-KARUMA-24HRS'!H80)</f>
        <v>0</v>
      </c>
      <c r="I80" s="49">
        <f>AVERAGE('03. 08 GULU-KARUMA-24HRS'!I80,'05.08, GULU-KARUMA-24HRS'!I80)</f>
        <v>2.5</v>
      </c>
      <c r="J80" s="49">
        <f>AVERAGE('03. 08 GULU-KARUMA-24HRS'!J80,'05.08, GULU-KARUMA-24HRS'!J80)</f>
        <v>0</v>
      </c>
      <c r="K80" s="49">
        <f>AVERAGE('03. 08 GULU-KARUMA-24HRS'!K80,'05.08, GULU-KARUMA-24HRS'!K80)</f>
        <v>0</v>
      </c>
      <c r="L80" s="49">
        <f>AVERAGE('03. 08 GULU-KARUMA-24HRS'!L80,'05.08, GULU-KARUMA-24HRS'!L80)</f>
        <v>2.5</v>
      </c>
      <c r="M80" s="49">
        <f>AVERAGE('03. 08 GULU-KARUMA-24HRS'!M80,'05.08, GULU-KARUMA-24HRS'!M80)</f>
        <v>10</v>
      </c>
      <c r="N80" s="49">
        <f>AVERAGE('03. 08 GULU-KARUMA-24HRS'!N80,'05.08, GULU-KARUMA-24HRS'!N80)</f>
        <v>0</v>
      </c>
      <c r="O80" s="15">
        <f t="shared" si="35"/>
        <v>21.5</v>
      </c>
      <c r="P80" s="15">
        <f t="shared" si="36"/>
        <v>31.5</v>
      </c>
      <c r="R80" s="8"/>
      <c r="T80"/>
    </row>
    <row r="81" spans="2:20" ht="23.1" customHeight="1" x14ac:dyDescent="0.25">
      <c r="B81" s="23" t="s">
        <v>121</v>
      </c>
      <c r="C81" s="49">
        <f>AVERAGE('03. 08 GULU-KARUMA-24HRS'!C81,'05.08, GULU-KARUMA-24HRS'!C81)</f>
        <v>5.5</v>
      </c>
      <c r="D81" s="49">
        <f>AVERAGE('03. 08 GULU-KARUMA-24HRS'!D81,'05.08, GULU-KARUMA-24HRS'!D81)</f>
        <v>2</v>
      </c>
      <c r="E81" s="49">
        <f>AVERAGE('03. 08 GULU-KARUMA-24HRS'!E81,'05.08, GULU-KARUMA-24HRS'!E81)</f>
        <v>4</v>
      </c>
      <c r="F81" s="49">
        <f>AVERAGE('03. 08 GULU-KARUMA-24HRS'!F81,'05.08, GULU-KARUMA-24HRS'!F81)</f>
        <v>1.5</v>
      </c>
      <c r="G81" s="49">
        <f>AVERAGE('03. 08 GULU-KARUMA-24HRS'!G81,'05.08, GULU-KARUMA-24HRS'!G81)</f>
        <v>0</v>
      </c>
      <c r="H81" s="49">
        <f>AVERAGE('03. 08 GULU-KARUMA-24HRS'!H81,'05.08, GULU-KARUMA-24HRS'!H81)</f>
        <v>1</v>
      </c>
      <c r="I81" s="49">
        <f>AVERAGE('03. 08 GULU-KARUMA-24HRS'!I81,'05.08, GULU-KARUMA-24HRS'!I81)</f>
        <v>2</v>
      </c>
      <c r="J81" s="49">
        <f>AVERAGE('03. 08 GULU-KARUMA-24HRS'!J81,'05.08, GULU-KARUMA-24HRS'!J81)</f>
        <v>1.5</v>
      </c>
      <c r="K81" s="49">
        <f>AVERAGE('03. 08 GULU-KARUMA-24HRS'!K81,'05.08, GULU-KARUMA-24HRS'!K81)</f>
        <v>0</v>
      </c>
      <c r="L81" s="49">
        <f>AVERAGE('03. 08 GULU-KARUMA-24HRS'!L81,'05.08, GULU-KARUMA-24HRS'!L81)</f>
        <v>4</v>
      </c>
      <c r="M81" s="49">
        <f>AVERAGE('03. 08 GULU-KARUMA-24HRS'!M81,'05.08, GULU-KARUMA-24HRS'!M81)</f>
        <v>15</v>
      </c>
      <c r="N81" s="49">
        <f>AVERAGE('03. 08 GULU-KARUMA-24HRS'!N81,'05.08, GULU-KARUMA-24HRS'!N81)</f>
        <v>0</v>
      </c>
      <c r="O81" s="15">
        <f t="shared" si="35"/>
        <v>21.5</v>
      </c>
      <c r="P81" s="15">
        <f t="shared" si="36"/>
        <v>36.5</v>
      </c>
      <c r="R81" s="8"/>
      <c r="T81"/>
    </row>
    <row r="82" spans="2:20" ht="23.1" customHeight="1" x14ac:dyDescent="0.25">
      <c r="B82" s="24" t="s">
        <v>122</v>
      </c>
      <c r="C82" s="49">
        <f>AVERAGE('03. 08 GULU-KARUMA-24HRS'!C82,'05.08, GULU-KARUMA-24HRS'!C82)</f>
        <v>4</v>
      </c>
      <c r="D82" s="49">
        <f>AVERAGE('03. 08 GULU-KARUMA-24HRS'!D82,'05.08, GULU-KARUMA-24HRS'!D82)</f>
        <v>1.5</v>
      </c>
      <c r="E82" s="49">
        <f>AVERAGE('03. 08 GULU-KARUMA-24HRS'!E82,'05.08, GULU-KARUMA-24HRS'!E82)</f>
        <v>3.5</v>
      </c>
      <c r="F82" s="49">
        <f>AVERAGE('03. 08 GULU-KARUMA-24HRS'!F82,'05.08, GULU-KARUMA-24HRS'!F82)</f>
        <v>0.5</v>
      </c>
      <c r="G82" s="49">
        <f>AVERAGE('03. 08 GULU-KARUMA-24HRS'!G82,'05.08, GULU-KARUMA-24HRS'!G82)</f>
        <v>0.5</v>
      </c>
      <c r="H82" s="49">
        <f>AVERAGE('03. 08 GULU-KARUMA-24HRS'!H82,'05.08, GULU-KARUMA-24HRS'!H82)</f>
        <v>0.5</v>
      </c>
      <c r="I82" s="49">
        <f>AVERAGE('03. 08 GULU-KARUMA-24HRS'!I82,'05.08, GULU-KARUMA-24HRS'!I82)</f>
        <v>4</v>
      </c>
      <c r="J82" s="49">
        <f>AVERAGE('03. 08 GULU-KARUMA-24HRS'!J82,'05.08, GULU-KARUMA-24HRS'!J82)</f>
        <v>0.5</v>
      </c>
      <c r="K82" s="49">
        <f>AVERAGE('03. 08 GULU-KARUMA-24HRS'!K82,'05.08, GULU-KARUMA-24HRS'!K82)</f>
        <v>0</v>
      </c>
      <c r="L82" s="49">
        <f>AVERAGE('03. 08 GULU-KARUMA-24HRS'!L82,'05.08, GULU-KARUMA-24HRS'!L82)</f>
        <v>7</v>
      </c>
      <c r="M82" s="49">
        <f>AVERAGE('03. 08 GULU-KARUMA-24HRS'!M82,'05.08, GULU-KARUMA-24HRS'!M82)</f>
        <v>10</v>
      </c>
      <c r="N82" s="49">
        <f>AVERAGE('03. 08 GULU-KARUMA-24HRS'!N82,'05.08, GULU-KARUMA-24HRS'!N82)</f>
        <v>0</v>
      </c>
      <c r="O82" s="15">
        <f t="shared" si="35"/>
        <v>22</v>
      </c>
      <c r="P82" s="15">
        <f t="shared" si="36"/>
        <v>32</v>
      </c>
      <c r="R82" s="8"/>
      <c r="T82"/>
    </row>
    <row r="83" spans="2:20" ht="23.1" customHeight="1" x14ac:dyDescent="0.25">
      <c r="B83" s="23" t="s">
        <v>123</v>
      </c>
      <c r="C83" s="49">
        <f>AVERAGE('03. 08 GULU-KARUMA-24HRS'!C83,'05.08, GULU-KARUMA-24HRS'!C83)</f>
        <v>4.5</v>
      </c>
      <c r="D83" s="49">
        <f>AVERAGE('03. 08 GULU-KARUMA-24HRS'!D83,'05.08, GULU-KARUMA-24HRS'!D83)</f>
        <v>3</v>
      </c>
      <c r="E83" s="49">
        <f>AVERAGE('03. 08 GULU-KARUMA-24HRS'!E83,'05.08, GULU-KARUMA-24HRS'!E83)</f>
        <v>6.5</v>
      </c>
      <c r="F83" s="49">
        <f>AVERAGE('03. 08 GULU-KARUMA-24HRS'!F83,'05.08, GULU-KARUMA-24HRS'!F83)</f>
        <v>0</v>
      </c>
      <c r="G83" s="49">
        <f>AVERAGE('03. 08 GULU-KARUMA-24HRS'!G83,'05.08, GULU-KARUMA-24HRS'!G83)</f>
        <v>1.5</v>
      </c>
      <c r="H83" s="49">
        <f>AVERAGE('03. 08 GULU-KARUMA-24HRS'!H83,'05.08, GULU-KARUMA-24HRS'!H83)</f>
        <v>0</v>
      </c>
      <c r="I83" s="49">
        <f>AVERAGE('03. 08 GULU-KARUMA-24HRS'!I83,'05.08, GULU-KARUMA-24HRS'!I83)</f>
        <v>2</v>
      </c>
      <c r="J83" s="49">
        <f>AVERAGE('03. 08 GULU-KARUMA-24HRS'!J83,'05.08, GULU-KARUMA-24HRS'!J83)</f>
        <v>0.5</v>
      </c>
      <c r="K83" s="49">
        <f>AVERAGE('03. 08 GULU-KARUMA-24HRS'!K83,'05.08, GULU-KARUMA-24HRS'!K83)</f>
        <v>0</v>
      </c>
      <c r="L83" s="49">
        <f>AVERAGE('03. 08 GULU-KARUMA-24HRS'!L83,'05.08, GULU-KARUMA-24HRS'!L83)</f>
        <v>2.5</v>
      </c>
      <c r="M83" s="49">
        <f>AVERAGE('03. 08 GULU-KARUMA-24HRS'!M83,'05.08, GULU-KARUMA-24HRS'!M83)</f>
        <v>9</v>
      </c>
      <c r="N83" s="49">
        <f>AVERAGE('03. 08 GULU-KARUMA-24HRS'!N83,'05.08, GULU-KARUMA-24HRS'!N83)</f>
        <v>0</v>
      </c>
      <c r="O83" s="15">
        <f t="shared" si="35"/>
        <v>20.5</v>
      </c>
      <c r="P83" s="15">
        <f t="shared" si="36"/>
        <v>29.5</v>
      </c>
      <c r="R83" s="8"/>
      <c r="T83"/>
    </row>
    <row r="84" spans="2:20" ht="23.1" customHeight="1" x14ac:dyDescent="0.25">
      <c r="B84" s="25" t="s">
        <v>124</v>
      </c>
      <c r="C84" s="49">
        <f>AVERAGE('03. 08 GULU-KARUMA-24HRS'!C84,'05.08, GULU-KARUMA-24HRS'!C84)</f>
        <v>4</v>
      </c>
      <c r="D84" s="49">
        <f>AVERAGE('03. 08 GULU-KARUMA-24HRS'!D84,'05.08, GULU-KARUMA-24HRS'!D84)</f>
        <v>3.5</v>
      </c>
      <c r="E84" s="49">
        <f>AVERAGE('03. 08 GULU-KARUMA-24HRS'!E84,'05.08, GULU-KARUMA-24HRS'!E84)</f>
        <v>7</v>
      </c>
      <c r="F84" s="49">
        <f>AVERAGE('03. 08 GULU-KARUMA-24HRS'!F84,'05.08, GULU-KARUMA-24HRS'!F84)</f>
        <v>2</v>
      </c>
      <c r="G84" s="49">
        <f>AVERAGE('03. 08 GULU-KARUMA-24HRS'!G84,'05.08, GULU-KARUMA-24HRS'!G84)</f>
        <v>0.5</v>
      </c>
      <c r="H84" s="49">
        <f>AVERAGE('03. 08 GULU-KARUMA-24HRS'!H84,'05.08, GULU-KARUMA-24HRS'!H84)</f>
        <v>1.5</v>
      </c>
      <c r="I84" s="49">
        <f>AVERAGE('03. 08 GULU-KARUMA-24HRS'!I84,'05.08, GULU-KARUMA-24HRS'!I84)</f>
        <v>2.5</v>
      </c>
      <c r="J84" s="49">
        <f>AVERAGE('03. 08 GULU-KARUMA-24HRS'!J84,'05.08, GULU-KARUMA-24HRS'!J84)</f>
        <v>0</v>
      </c>
      <c r="K84" s="49">
        <f>AVERAGE('03. 08 GULU-KARUMA-24HRS'!K84,'05.08, GULU-KARUMA-24HRS'!K84)</f>
        <v>0</v>
      </c>
      <c r="L84" s="49">
        <f>AVERAGE('03. 08 GULU-KARUMA-24HRS'!L84,'05.08, GULU-KARUMA-24HRS'!L84)</f>
        <v>3.5</v>
      </c>
      <c r="M84" s="49">
        <f>AVERAGE('03. 08 GULU-KARUMA-24HRS'!M84,'05.08, GULU-KARUMA-24HRS'!M84)</f>
        <v>5</v>
      </c>
      <c r="N84" s="49">
        <f>AVERAGE('03. 08 GULU-KARUMA-24HRS'!N84,'05.08, GULU-KARUMA-24HRS'!N84)</f>
        <v>0</v>
      </c>
      <c r="O84" s="15">
        <f t="shared" si="35"/>
        <v>24.5</v>
      </c>
      <c r="P84" s="15">
        <f t="shared" si="36"/>
        <v>29.5</v>
      </c>
      <c r="R84" s="8"/>
      <c r="T84"/>
    </row>
    <row r="85" spans="2:20" ht="23.1" customHeight="1" x14ac:dyDescent="0.25">
      <c r="B85" s="23" t="s">
        <v>125</v>
      </c>
      <c r="C85" s="49">
        <f>AVERAGE('03. 08 GULU-KARUMA-24HRS'!C85,'05.08, GULU-KARUMA-24HRS'!C85)</f>
        <v>5</v>
      </c>
      <c r="D85" s="49">
        <f>AVERAGE('03. 08 GULU-KARUMA-24HRS'!D85,'05.08, GULU-KARUMA-24HRS'!D85)</f>
        <v>3.5</v>
      </c>
      <c r="E85" s="49">
        <f>AVERAGE('03. 08 GULU-KARUMA-24HRS'!E85,'05.08, GULU-KARUMA-24HRS'!E85)</f>
        <v>7.5</v>
      </c>
      <c r="F85" s="49">
        <f>AVERAGE('03. 08 GULU-KARUMA-24HRS'!F85,'05.08, GULU-KARUMA-24HRS'!F85)</f>
        <v>1.5</v>
      </c>
      <c r="G85" s="49">
        <f>AVERAGE('03. 08 GULU-KARUMA-24HRS'!G85,'05.08, GULU-KARUMA-24HRS'!G85)</f>
        <v>0</v>
      </c>
      <c r="H85" s="49">
        <f>AVERAGE('03. 08 GULU-KARUMA-24HRS'!H85,'05.08, GULU-KARUMA-24HRS'!H85)</f>
        <v>0.5</v>
      </c>
      <c r="I85" s="49">
        <f>AVERAGE('03. 08 GULU-KARUMA-24HRS'!I85,'05.08, GULU-KARUMA-24HRS'!I85)</f>
        <v>3.5</v>
      </c>
      <c r="J85" s="49">
        <f>AVERAGE('03. 08 GULU-KARUMA-24HRS'!J85,'05.08, GULU-KARUMA-24HRS'!J85)</f>
        <v>0</v>
      </c>
      <c r="K85" s="49">
        <f>AVERAGE('03. 08 GULU-KARUMA-24HRS'!K85,'05.08, GULU-KARUMA-24HRS'!K85)</f>
        <v>0</v>
      </c>
      <c r="L85" s="49">
        <f>AVERAGE('03. 08 GULU-KARUMA-24HRS'!L85,'05.08, GULU-KARUMA-24HRS'!L85)</f>
        <v>2.5</v>
      </c>
      <c r="M85" s="49">
        <f>AVERAGE('03. 08 GULU-KARUMA-24HRS'!M85,'05.08, GULU-KARUMA-24HRS'!M85)</f>
        <v>2</v>
      </c>
      <c r="N85" s="49">
        <f>AVERAGE('03. 08 GULU-KARUMA-24HRS'!N85,'05.08, GULU-KARUMA-24HRS'!N85)</f>
        <v>0</v>
      </c>
      <c r="O85" s="15">
        <f t="shared" si="35"/>
        <v>24</v>
      </c>
      <c r="P85" s="15">
        <f t="shared" si="36"/>
        <v>26</v>
      </c>
      <c r="R85" s="8"/>
      <c r="T85"/>
    </row>
    <row r="86" spans="2:20" ht="23.1" customHeight="1" x14ac:dyDescent="0.25">
      <c r="B86" s="24" t="s">
        <v>126</v>
      </c>
      <c r="C86" s="49">
        <f>AVERAGE('03. 08 GULU-KARUMA-24HRS'!C86,'05.08, GULU-KARUMA-24HRS'!C86)</f>
        <v>3</v>
      </c>
      <c r="D86" s="49">
        <f>AVERAGE('03. 08 GULU-KARUMA-24HRS'!D86,'05.08, GULU-KARUMA-24HRS'!D86)</f>
        <v>0.5</v>
      </c>
      <c r="E86" s="49">
        <f>AVERAGE('03. 08 GULU-KARUMA-24HRS'!E86,'05.08, GULU-KARUMA-24HRS'!E86)</f>
        <v>1.5</v>
      </c>
      <c r="F86" s="49">
        <f>AVERAGE('03. 08 GULU-KARUMA-24HRS'!F86,'05.08, GULU-KARUMA-24HRS'!F86)</f>
        <v>0.5</v>
      </c>
      <c r="G86" s="49">
        <f>AVERAGE('03. 08 GULU-KARUMA-24HRS'!G86,'05.08, GULU-KARUMA-24HRS'!G86)</f>
        <v>0</v>
      </c>
      <c r="H86" s="49">
        <f>AVERAGE('03. 08 GULU-KARUMA-24HRS'!H86,'05.08, GULU-KARUMA-24HRS'!H86)</f>
        <v>1</v>
      </c>
      <c r="I86" s="49">
        <f>AVERAGE('03. 08 GULU-KARUMA-24HRS'!I86,'05.08, GULU-KARUMA-24HRS'!I86)</f>
        <v>6</v>
      </c>
      <c r="J86" s="49">
        <f>AVERAGE('03. 08 GULU-KARUMA-24HRS'!J86,'05.08, GULU-KARUMA-24HRS'!J86)</f>
        <v>0.5</v>
      </c>
      <c r="K86" s="49">
        <f>AVERAGE('03. 08 GULU-KARUMA-24HRS'!K86,'05.08, GULU-KARUMA-24HRS'!K86)</f>
        <v>0</v>
      </c>
      <c r="L86" s="49">
        <f>AVERAGE('03. 08 GULU-KARUMA-24HRS'!L86,'05.08, GULU-KARUMA-24HRS'!L86)</f>
        <v>2</v>
      </c>
      <c r="M86" s="49">
        <f>AVERAGE('03. 08 GULU-KARUMA-24HRS'!M86,'05.08, GULU-KARUMA-24HRS'!M86)</f>
        <v>0</v>
      </c>
      <c r="N86" s="49">
        <f>AVERAGE('03. 08 GULU-KARUMA-24HRS'!N86,'05.08, GULU-KARUMA-24HRS'!N86)</f>
        <v>0</v>
      </c>
      <c r="O86" s="15">
        <f t="shared" si="35"/>
        <v>15</v>
      </c>
      <c r="P86" s="15">
        <f t="shared" si="36"/>
        <v>15</v>
      </c>
      <c r="R86" s="8"/>
      <c r="T86"/>
    </row>
    <row r="87" spans="2:20" ht="23.1" customHeight="1" x14ac:dyDescent="0.25">
      <c r="B87" s="23" t="s">
        <v>127</v>
      </c>
      <c r="C87" s="49">
        <f>AVERAGE('03. 08 GULU-KARUMA-24HRS'!C87,'05.08, GULU-KARUMA-24HRS'!C87)</f>
        <v>2</v>
      </c>
      <c r="D87" s="49">
        <f>AVERAGE('03. 08 GULU-KARUMA-24HRS'!D87,'05.08, GULU-KARUMA-24HRS'!D87)</f>
        <v>1</v>
      </c>
      <c r="E87" s="49">
        <f>AVERAGE('03. 08 GULU-KARUMA-24HRS'!E87,'05.08, GULU-KARUMA-24HRS'!E87)</f>
        <v>2.5</v>
      </c>
      <c r="F87" s="49">
        <f>AVERAGE('03. 08 GULU-KARUMA-24HRS'!F87,'05.08, GULU-KARUMA-24HRS'!F87)</f>
        <v>1</v>
      </c>
      <c r="G87" s="49">
        <f>AVERAGE('03. 08 GULU-KARUMA-24HRS'!G87,'05.08, GULU-KARUMA-24HRS'!G87)</f>
        <v>0</v>
      </c>
      <c r="H87" s="49">
        <f>AVERAGE('03. 08 GULU-KARUMA-24HRS'!H87,'05.08, GULU-KARUMA-24HRS'!H87)</f>
        <v>0</v>
      </c>
      <c r="I87" s="49">
        <f>AVERAGE('03. 08 GULU-KARUMA-24HRS'!I87,'05.08, GULU-KARUMA-24HRS'!I87)</f>
        <v>1.5</v>
      </c>
      <c r="J87" s="49">
        <f>AVERAGE('03. 08 GULU-KARUMA-24HRS'!J87,'05.08, GULU-KARUMA-24HRS'!J87)</f>
        <v>0.5</v>
      </c>
      <c r="K87" s="49">
        <f>AVERAGE('03. 08 GULU-KARUMA-24HRS'!K87,'05.08, GULU-KARUMA-24HRS'!K87)</f>
        <v>0</v>
      </c>
      <c r="L87" s="49">
        <f>AVERAGE('03. 08 GULU-KARUMA-24HRS'!L87,'05.08, GULU-KARUMA-24HRS'!L87)</f>
        <v>1.5</v>
      </c>
      <c r="M87" s="49">
        <f>AVERAGE('03. 08 GULU-KARUMA-24HRS'!M87,'05.08, GULU-KARUMA-24HRS'!M87)</f>
        <v>1</v>
      </c>
      <c r="N87" s="49">
        <f>AVERAGE('03. 08 GULU-KARUMA-24HRS'!N87,'05.08, GULU-KARUMA-24HRS'!N87)</f>
        <v>0</v>
      </c>
      <c r="O87" s="15">
        <f t="shared" si="35"/>
        <v>10</v>
      </c>
      <c r="P87" s="15">
        <f t="shared" si="36"/>
        <v>11</v>
      </c>
      <c r="R87" s="8"/>
      <c r="T87"/>
    </row>
    <row r="88" spans="2:20" ht="23.1" customHeight="1" x14ac:dyDescent="0.25">
      <c r="B88" s="25" t="s">
        <v>128</v>
      </c>
      <c r="C88" s="49">
        <f>AVERAGE('03. 08 GULU-KARUMA-24HRS'!C88,'05.08, GULU-KARUMA-24HRS'!C88)</f>
        <v>8.5</v>
      </c>
      <c r="D88" s="49">
        <f>AVERAGE('03. 08 GULU-KARUMA-24HRS'!D88,'05.08, GULU-KARUMA-24HRS'!D88)</f>
        <v>3.5</v>
      </c>
      <c r="E88" s="49">
        <f>AVERAGE('03. 08 GULU-KARUMA-24HRS'!E88,'05.08, GULU-KARUMA-24HRS'!E88)</f>
        <v>8</v>
      </c>
      <c r="F88" s="49">
        <f>AVERAGE('03. 08 GULU-KARUMA-24HRS'!F88,'05.08, GULU-KARUMA-24HRS'!F88)</f>
        <v>1</v>
      </c>
      <c r="G88" s="49">
        <f>AVERAGE('03. 08 GULU-KARUMA-24HRS'!G88,'05.08, GULU-KARUMA-24HRS'!G88)</f>
        <v>0.5</v>
      </c>
      <c r="H88" s="49">
        <f>AVERAGE('03. 08 GULU-KARUMA-24HRS'!H88,'05.08, GULU-KARUMA-24HRS'!H88)</f>
        <v>0</v>
      </c>
      <c r="I88" s="49">
        <f>AVERAGE('03. 08 GULU-KARUMA-24HRS'!I88,'05.08, GULU-KARUMA-24HRS'!I88)</f>
        <v>1</v>
      </c>
      <c r="J88" s="49">
        <f>AVERAGE('03. 08 GULU-KARUMA-24HRS'!J88,'05.08, GULU-KARUMA-24HRS'!J88)</f>
        <v>0</v>
      </c>
      <c r="K88" s="49">
        <f>AVERAGE('03. 08 GULU-KARUMA-24HRS'!K88,'05.08, GULU-KARUMA-24HRS'!K88)</f>
        <v>0</v>
      </c>
      <c r="L88" s="49">
        <f>AVERAGE('03. 08 GULU-KARUMA-24HRS'!L88,'05.08, GULU-KARUMA-24HRS'!L88)</f>
        <v>1.5</v>
      </c>
      <c r="M88" s="49">
        <f>AVERAGE('03. 08 GULU-KARUMA-24HRS'!M88,'05.08, GULU-KARUMA-24HRS'!M88)</f>
        <v>2</v>
      </c>
      <c r="N88" s="49">
        <f>AVERAGE('03. 08 GULU-KARUMA-24HRS'!N88,'05.08, GULU-KARUMA-24HRS'!N88)</f>
        <v>0</v>
      </c>
      <c r="O88" s="15">
        <f t="shared" si="35"/>
        <v>24</v>
      </c>
      <c r="P88" s="15">
        <f t="shared" si="36"/>
        <v>26</v>
      </c>
      <c r="R88" s="8"/>
      <c r="T88"/>
    </row>
    <row r="89" spans="2:20" ht="23.1" customHeight="1" x14ac:dyDescent="0.25">
      <c r="B89" s="23" t="s">
        <v>129</v>
      </c>
      <c r="C89" s="49">
        <f>AVERAGE('03. 08 GULU-KARUMA-24HRS'!C89,'05.08, GULU-KARUMA-24HRS'!C89)</f>
        <v>7.5</v>
      </c>
      <c r="D89" s="49">
        <f>AVERAGE('03. 08 GULU-KARUMA-24HRS'!D89,'05.08, GULU-KARUMA-24HRS'!D89)</f>
        <v>1.5</v>
      </c>
      <c r="E89" s="49">
        <f>AVERAGE('03. 08 GULU-KARUMA-24HRS'!E89,'05.08, GULU-KARUMA-24HRS'!E89)</f>
        <v>3.5</v>
      </c>
      <c r="F89" s="49">
        <f>AVERAGE('03. 08 GULU-KARUMA-24HRS'!F89,'05.08, GULU-KARUMA-24HRS'!F89)</f>
        <v>0.5</v>
      </c>
      <c r="G89" s="49">
        <f>AVERAGE('03. 08 GULU-KARUMA-24HRS'!G89,'05.08, GULU-KARUMA-24HRS'!G89)</f>
        <v>0</v>
      </c>
      <c r="H89" s="49">
        <f>AVERAGE('03. 08 GULU-KARUMA-24HRS'!H89,'05.08, GULU-KARUMA-24HRS'!H89)</f>
        <v>0</v>
      </c>
      <c r="I89" s="49">
        <f>AVERAGE('03. 08 GULU-KARUMA-24HRS'!I89,'05.08, GULU-KARUMA-24HRS'!I89)</f>
        <v>4</v>
      </c>
      <c r="J89" s="49">
        <f>AVERAGE('03. 08 GULU-KARUMA-24HRS'!J89,'05.08, GULU-KARUMA-24HRS'!J89)</f>
        <v>0.5</v>
      </c>
      <c r="K89" s="49">
        <f>AVERAGE('03. 08 GULU-KARUMA-24HRS'!K89,'05.08, GULU-KARUMA-24HRS'!K89)</f>
        <v>0</v>
      </c>
      <c r="L89" s="49">
        <f>AVERAGE('03. 08 GULU-KARUMA-24HRS'!L89,'05.08, GULU-KARUMA-24HRS'!L89)</f>
        <v>6.5</v>
      </c>
      <c r="M89" s="49">
        <f>AVERAGE('03. 08 GULU-KARUMA-24HRS'!M89,'05.08, GULU-KARUMA-24HRS'!M89)</f>
        <v>0</v>
      </c>
      <c r="N89" s="49">
        <f>AVERAGE('03. 08 GULU-KARUMA-24HRS'!N89,'05.08, GULU-KARUMA-24HRS'!N89)</f>
        <v>0</v>
      </c>
      <c r="O89" s="15">
        <f t="shared" si="35"/>
        <v>24</v>
      </c>
      <c r="P89" s="15">
        <f t="shared" si="36"/>
        <v>24</v>
      </c>
      <c r="R89" s="8"/>
      <c r="T89"/>
    </row>
    <row r="90" spans="2:20" ht="23.1" customHeight="1" x14ac:dyDescent="0.25">
      <c r="B90" s="24" t="s">
        <v>130</v>
      </c>
      <c r="C90" s="49">
        <f>AVERAGE('03. 08 GULU-KARUMA-24HRS'!C90,'05.08, GULU-KARUMA-24HRS'!C90)</f>
        <v>3.5</v>
      </c>
      <c r="D90" s="49">
        <f>AVERAGE('03. 08 GULU-KARUMA-24HRS'!D90,'05.08, GULU-KARUMA-24HRS'!D90)</f>
        <v>1.5</v>
      </c>
      <c r="E90" s="49">
        <f>AVERAGE('03. 08 GULU-KARUMA-24HRS'!E90,'05.08, GULU-KARUMA-24HRS'!E90)</f>
        <v>4</v>
      </c>
      <c r="F90" s="49">
        <f>AVERAGE('03. 08 GULU-KARUMA-24HRS'!F90,'05.08, GULU-KARUMA-24HRS'!F90)</f>
        <v>0</v>
      </c>
      <c r="G90" s="49">
        <f>AVERAGE('03. 08 GULU-KARUMA-24HRS'!G90,'05.08, GULU-KARUMA-24HRS'!G90)</f>
        <v>0</v>
      </c>
      <c r="H90" s="49">
        <f>AVERAGE('03. 08 GULU-KARUMA-24HRS'!H90,'05.08, GULU-KARUMA-24HRS'!H90)</f>
        <v>1.5</v>
      </c>
      <c r="I90" s="49">
        <f>AVERAGE('03. 08 GULU-KARUMA-24HRS'!I90,'05.08, GULU-KARUMA-24HRS'!I90)</f>
        <v>4</v>
      </c>
      <c r="J90" s="49">
        <f>AVERAGE('03. 08 GULU-KARUMA-24HRS'!J90,'05.08, GULU-KARUMA-24HRS'!J90)</f>
        <v>0</v>
      </c>
      <c r="K90" s="49">
        <f>AVERAGE('03. 08 GULU-KARUMA-24HRS'!K90,'05.08, GULU-KARUMA-24HRS'!K90)</f>
        <v>0.5</v>
      </c>
      <c r="L90" s="49">
        <f>AVERAGE('03. 08 GULU-KARUMA-24HRS'!L90,'05.08, GULU-KARUMA-24HRS'!L90)</f>
        <v>1.5</v>
      </c>
      <c r="M90" s="49">
        <f>AVERAGE('03. 08 GULU-KARUMA-24HRS'!M90,'05.08, GULU-KARUMA-24HRS'!M90)</f>
        <v>3</v>
      </c>
      <c r="N90" s="49">
        <f>AVERAGE('03. 08 GULU-KARUMA-24HRS'!N90,'05.08, GULU-KARUMA-24HRS'!N90)</f>
        <v>0</v>
      </c>
      <c r="O90" s="15">
        <f t="shared" si="35"/>
        <v>16.5</v>
      </c>
      <c r="P90" s="15">
        <f t="shared" si="36"/>
        <v>19.5</v>
      </c>
      <c r="R90" s="8"/>
      <c r="T90"/>
    </row>
    <row r="91" spans="2:20" ht="23.1" customHeight="1" x14ac:dyDescent="0.25">
      <c r="B91" s="23" t="s">
        <v>131</v>
      </c>
      <c r="C91" s="49">
        <f>AVERAGE('03. 08 GULU-KARUMA-24HRS'!C91,'05.08, GULU-KARUMA-24HRS'!C91)</f>
        <v>5.5</v>
      </c>
      <c r="D91" s="49">
        <f>AVERAGE('03. 08 GULU-KARUMA-24HRS'!D91,'05.08, GULU-KARUMA-24HRS'!D91)</f>
        <v>3.5</v>
      </c>
      <c r="E91" s="49">
        <f>AVERAGE('03. 08 GULU-KARUMA-24HRS'!E91,'05.08, GULU-KARUMA-24HRS'!E91)</f>
        <v>7</v>
      </c>
      <c r="F91" s="49">
        <f>AVERAGE('03. 08 GULU-KARUMA-24HRS'!F91,'05.08, GULU-KARUMA-24HRS'!F91)</f>
        <v>1</v>
      </c>
      <c r="G91" s="49">
        <f>AVERAGE('03. 08 GULU-KARUMA-24HRS'!G91,'05.08, GULU-KARUMA-24HRS'!G91)</f>
        <v>0</v>
      </c>
      <c r="H91" s="49">
        <f>AVERAGE('03. 08 GULU-KARUMA-24HRS'!H91,'05.08, GULU-KARUMA-24HRS'!H91)</f>
        <v>0.5</v>
      </c>
      <c r="I91" s="49">
        <f>AVERAGE('03. 08 GULU-KARUMA-24HRS'!I91,'05.08, GULU-KARUMA-24HRS'!I91)</f>
        <v>2.5</v>
      </c>
      <c r="J91" s="49">
        <f>AVERAGE('03. 08 GULU-KARUMA-24HRS'!J91,'05.08, GULU-KARUMA-24HRS'!J91)</f>
        <v>1</v>
      </c>
      <c r="K91" s="49">
        <f>AVERAGE('03. 08 GULU-KARUMA-24HRS'!K91,'05.08, GULU-KARUMA-24HRS'!K91)</f>
        <v>0</v>
      </c>
      <c r="L91" s="49">
        <f>AVERAGE('03. 08 GULU-KARUMA-24HRS'!L91,'05.08, GULU-KARUMA-24HRS'!L91)</f>
        <v>2</v>
      </c>
      <c r="M91" s="49">
        <f>AVERAGE('03. 08 GULU-KARUMA-24HRS'!M91,'05.08, GULU-KARUMA-24HRS'!M91)</f>
        <v>3</v>
      </c>
      <c r="N91" s="49">
        <f>AVERAGE('03. 08 GULU-KARUMA-24HRS'!N91,'05.08, GULU-KARUMA-24HRS'!N91)</f>
        <v>2</v>
      </c>
      <c r="O91" s="15">
        <f t="shared" si="35"/>
        <v>25</v>
      </c>
      <c r="P91" s="15">
        <f t="shared" si="36"/>
        <v>28</v>
      </c>
      <c r="R91" s="8"/>
      <c r="T91"/>
    </row>
    <row r="92" spans="2:20" ht="23.1" customHeight="1" x14ac:dyDescent="0.25">
      <c r="B92" s="25" t="s">
        <v>132</v>
      </c>
      <c r="C92" s="49">
        <f>AVERAGE('03. 08 GULU-KARUMA-24HRS'!C92,'05.08, GULU-KARUMA-24HRS'!C92)</f>
        <v>6.5</v>
      </c>
      <c r="D92" s="49">
        <f>AVERAGE('03. 08 GULU-KARUMA-24HRS'!D92,'05.08, GULU-KARUMA-24HRS'!D92)</f>
        <v>1.5</v>
      </c>
      <c r="E92" s="49">
        <f>AVERAGE('03. 08 GULU-KARUMA-24HRS'!E92,'05.08, GULU-KARUMA-24HRS'!E92)</f>
        <v>3.5</v>
      </c>
      <c r="F92" s="49">
        <f>AVERAGE('03. 08 GULU-KARUMA-24HRS'!F92,'05.08, GULU-KARUMA-24HRS'!F92)</f>
        <v>0.5</v>
      </c>
      <c r="G92" s="49">
        <f>AVERAGE('03. 08 GULU-KARUMA-24HRS'!G92,'05.08, GULU-KARUMA-24HRS'!G92)</f>
        <v>0</v>
      </c>
      <c r="H92" s="49">
        <f>AVERAGE('03. 08 GULU-KARUMA-24HRS'!H92,'05.08, GULU-KARUMA-24HRS'!H92)</f>
        <v>0.5</v>
      </c>
      <c r="I92" s="49">
        <f>AVERAGE('03. 08 GULU-KARUMA-24HRS'!I92,'05.08, GULU-KARUMA-24HRS'!I92)</f>
        <v>4</v>
      </c>
      <c r="J92" s="49">
        <f>AVERAGE('03. 08 GULU-KARUMA-24HRS'!J92,'05.08, GULU-KARUMA-24HRS'!J92)</f>
        <v>0.5</v>
      </c>
      <c r="K92" s="49">
        <f>AVERAGE('03. 08 GULU-KARUMA-24HRS'!K92,'05.08, GULU-KARUMA-24HRS'!K92)</f>
        <v>0</v>
      </c>
      <c r="L92" s="49">
        <f>AVERAGE('03. 08 GULU-KARUMA-24HRS'!L92,'05.08, GULU-KARUMA-24HRS'!L92)</f>
        <v>1.5</v>
      </c>
      <c r="M92" s="49">
        <f>AVERAGE('03. 08 GULU-KARUMA-24HRS'!M92,'05.08, GULU-KARUMA-24HRS'!M92)</f>
        <v>2</v>
      </c>
      <c r="N92" s="49">
        <f>AVERAGE('03. 08 GULU-KARUMA-24HRS'!N92,'05.08, GULU-KARUMA-24HRS'!N92)</f>
        <v>0</v>
      </c>
      <c r="O92" s="15">
        <f t="shared" si="35"/>
        <v>18.5</v>
      </c>
      <c r="P92" s="15">
        <f t="shared" si="36"/>
        <v>20.5</v>
      </c>
      <c r="R92" s="8"/>
      <c r="T92"/>
    </row>
    <row r="93" spans="2:20" ht="23.1" customHeight="1" x14ac:dyDescent="0.25">
      <c r="B93" s="23" t="s">
        <v>133</v>
      </c>
      <c r="C93" s="49">
        <f>AVERAGE('03. 08 GULU-KARUMA-24HRS'!C93,'05.08, GULU-KARUMA-24HRS'!C93)</f>
        <v>10.5</v>
      </c>
      <c r="D93" s="49">
        <f>AVERAGE('03. 08 GULU-KARUMA-24HRS'!D93,'05.08, GULU-KARUMA-24HRS'!D93)</f>
        <v>3</v>
      </c>
      <c r="E93" s="49">
        <f>AVERAGE('03. 08 GULU-KARUMA-24HRS'!E93,'05.08, GULU-KARUMA-24HRS'!E93)</f>
        <v>6</v>
      </c>
      <c r="F93" s="49">
        <f>AVERAGE('03. 08 GULU-KARUMA-24HRS'!F93,'05.08, GULU-KARUMA-24HRS'!F93)</f>
        <v>1.5</v>
      </c>
      <c r="G93" s="49">
        <f>AVERAGE('03. 08 GULU-KARUMA-24HRS'!G93,'05.08, GULU-KARUMA-24HRS'!G93)</f>
        <v>0</v>
      </c>
      <c r="H93" s="49">
        <f>AVERAGE('03. 08 GULU-KARUMA-24HRS'!H93,'05.08, GULU-KARUMA-24HRS'!H93)</f>
        <v>0</v>
      </c>
      <c r="I93" s="49">
        <f>AVERAGE('03. 08 GULU-KARUMA-24HRS'!I93,'05.08, GULU-KARUMA-24HRS'!I93)</f>
        <v>2</v>
      </c>
      <c r="J93" s="49">
        <f>AVERAGE('03. 08 GULU-KARUMA-24HRS'!J93,'05.08, GULU-KARUMA-24HRS'!J93)</f>
        <v>0.5</v>
      </c>
      <c r="K93" s="49">
        <f>AVERAGE('03. 08 GULU-KARUMA-24HRS'!K93,'05.08, GULU-KARUMA-24HRS'!K93)</f>
        <v>0.5</v>
      </c>
      <c r="L93" s="49">
        <f>AVERAGE('03. 08 GULU-KARUMA-24HRS'!L93,'05.08, GULU-KARUMA-24HRS'!L93)</f>
        <v>2.5</v>
      </c>
      <c r="M93" s="49">
        <f>AVERAGE('03. 08 GULU-KARUMA-24HRS'!M93,'05.08, GULU-KARUMA-24HRS'!M93)</f>
        <v>0</v>
      </c>
      <c r="N93" s="49">
        <f>AVERAGE('03. 08 GULU-KARUMA-24HRS'!N93,'05.08, GULU-KARUMA-24HRS'!N93)</f>
        <v>0</v>
      </c>
      <c r="O93" s="15">
        <f t="shared" si="35"/>
        <v>26.5</v>
      </c>
      <c r="P93" s="15">
        <f t="shared" si="36"/>
        <v>26.5</v>
      </c>
      <c r="R93" s="8"/>
      <c r="T93"/>
    </row>
    <row r="94" spans="2:20" ht="23.1" customHeight="1" x14ac:dyDescent="0.25">
      <c r="B94" s="24" t="s">
        <v>134</v>
      </c>
      <c r="C94" s="49">
        <f>AVERAGE('03. 08 GULU-KARUMA-24HRS'!C94,'05.08, GULU-KARUMA-24HRS'!C94)</f>
        <v>8</v>
      </c>
      <c r="D94" s="49">
        <f>AVERAGE('03. 08 GULU-KARUMA-24HRS'!D94,'05.08, GULU-KARUMA-24HRS'!D94)</f>
        <v>3</v>
      </c>
      <c r="E94" s="49">
        <f>AVERAGE('03. 08 GULU-KARUMA-24HRS'!E94,'05.08, GULU-KARUMA-24HRS'!E94)</f>
        <v>6.5</v>
      </c>
      <c r="F94" s="49">
        <f>AVERAGE('03. 08 GULU-KARUMA-24HRS'!F94,'05.08, GULU-KARUMA-24HRS'!F94)</f>
        <v>1.5</v>
      </c>
      <c r="G94" s="49">
        <f>AVERAGE('03. 08 GULU-KARUMA-24HRS'!G94,'05.08, GULU-KARUMA-24HRS'!G94)</f>
        <v>0.5</v>
      </c>
      <c r="H94" s="49">
        <f>AVERAGE('03. 08 GULU-KARUMA-24HRS'!H94,'05.08, GULU-KARUMA-24HRS'!H94)</f>
        <v>1</v>
      </c>
      <c r="I94" s="49">
        <f>AVERAGE('03. 08 GULU-KARUMA-24HRS'!I94,'05.08, GULU-KARUMA-24HRS'!I94)</f>
        <v>4.5</v>
      </c>
      <c r="J94" s="49">
        <f>AVERAGE('03. 08 GULU-KARUMA-24HRS'!J94,'05.08, GULU-KARUMA-24HRS'!J94)</f>
        <v>0</v>
      </c>
      <c r="K94" s="49">
        <f>AVERAGE('03. 08 GULU-KARUMA-24HRS'!K94,'05.08, GULU-KARUMA-24HRS'!K94)</f>
        <v>0</v>
      </c>
      <c r="L94" s="49">
        <f>AVERAGE('03. 08 GULU-KARUMA-24HRS'!L94,'05.08, GULU-KARUMA-24HRS'!L94)</f>
        <v>4</v>
      </c>
      <c r="M94" s="49">
        <f>AVERAGE('03. 08 GULU-KARUMA-24HRS'!M94,'05.08, GULU-KARUMA-24HRS'!M94)</f>
        <v>0</v>
      </c>
      <c r="N94" s="49">
        <f>AVERAGE('03. 08 GULU-KARUMA-24HRS'!N94,'05.08, GULU-KARUMA-24HRS'!N94)</f>
        <v>0</v>
      </c>
      <c r="O94" s="15">
        <f t="shared" si="35"/>
        <v>29</v>
      </c>
      <c r="P94" s="15">
        <f t="shared" si="36"/>
        <v>29</v>
      </c>
      <c r="R94" s="8"/>
      <c r="T94"/>
    </row>
    <row r="95" spans="2:20" ht="23.1" customHeight="1" x14ac:dyDescent="0.25">
      <c r="B95" s="23" t="s">
        <v>135</v>
      </c>
      <c r="C95" s="49">
        <f>AVERAGE('03. 08 GULU-KARUMA-24HRS'!C95,'05.08, GULU-KARUMA-24HRS'!C95)</f>
        <v>7</v>
      </c>
      <c r="D95" s="49">
        <f>AVERAGE('03. 08 GULU-KARUMA-24HRS'!D95,'05.08, GULU-KARUMA-24HRS'!D95)</f>
        <v>2</v>
      </c>
      <c r="E95" s="49">
        <f>AVERAGE('03. 08 GULU-KARUMA-24HRS'!E95,'05.08, GULU-KARUMA-24HRS'!E95)</f>
        <v>4</v>
      </c>
      <c r="F95" s="49">
        <f>AVERAGE('03. 08 GULU-KARUMA-24HRS'!F95,'05.08, GULU-KARUMA-24HRS'!F95)</f>
        <v>1</v>
      </c>
      <c r="G95" s="49">
        <f>AVERAGE('03. 08 GULU-KARUMA-24HRS'!G95,'05.08, GULU-KARUMA-24HRS'!G95)</f>
        <v>0</v>
      </c>
      <c r="H95" s="49">
        <f>AVERAGE('03. 08 GULU-KARUMA-24HRS'!H95,'05.08, GULU-KARUMA-24HRS'!H95)</f>
        <v>0.5</v>
      </c>
      <c r="I95" s="49">
        <f>AVERAGE('03. 08 GULU-KARUMA-24HRS'!I95,'05.08, GULU-KARUMA-24HRS'!I95)</f>
        <v>3.5</v>
      </c>
      <c r="J95" s="49">
        <f>AVERAGE('03. 08 GULU-KARUMA-24HRS'!J95,'05.08, GULU-KARUMA-24HRS'!J95)</f>
        <v>1.5</v>
      </c>
      <c r="K95" s="49">
        <f>AVERAGE('03. 08 GULU-KARUMA-24HRS'!K95,'05.08, GULU-KARUMA-24HRS'!K95)</f>
        <v>0</v>
      </c>
      <c r="L95" s="49">
        <f>AVERAGE('03. 08 GULU-KARUMA-24HRS'!L95,'05.08, GULU-KARUMA-24HRS'!L95)</f>
        <v>1</v>
      </c>
      <c r="M95" s="49">
        <f>AVERAGE('03. 08 GULU-KARUMA-24HRS'!M95,'05.08, GULU-KARUMA-24HRS'!M95)</f>
        <v>0</v>
      </c>
      <c r="N95" s="49">
        <f>AVERAGE('03. 08 GULU-KARUMA-24HRS'!N95,'05.08, GULU-KARUMA-24HRS'!N95)</f>
        <v>0</v>
      </c>
      <c r="O95" s="15">
        <f t="shared" si="35"/>
        <v>20.5</v>
      </c>
      <c r="P95" s="15">
        <f t="shared" si="36"/>
        <v>20.5</v>
      </c>
      <c r="R95" s="8"/>
      <c r="T95"/>
    </row>
    <row r="96" spans="2:20" ht="23.1" customHeight="1" x14ac:dyDescent="0.25">
      <c r="B96" s="25" t="s">
        <v>136</v>
      </c>
      <c r="C96" s="49">
        <f>AVERAGE('03. 08 GULU-KARUMA-24HRS'!C96,'05.08, GULU-KARUMA-24HRS'!C96)</f>
        <v>5.5</v>
      </c>
      <c r="D96" s="49">
        <f>AVERAGE('03. 08 GULU-KARUMA-24HRS'!D96,'05.08, GULU-KARUMA-24HRS'!D96)</f>
        <v>2.5</v>
      </c>
      <c r="E96" s="49">
        <f>AVERAGE('03. 08 GULU-KARUMA-24HRS'!E96,'05.08, GULU-KARUMA-24HRS'!E96)</f>
        <v>5.5</v>
      </c>
      <c r="F96" s="49">
        <f>AVERAGE('03. 08 GULU-KARUMA-24HRS'!F96,'05.08, GULU-KARUMA-24HRS'!F96)</f>
        <v>0.5</v>
      </c>
      <c r="G96" s="49">
        <f>AVERAGE('03. 08 GULU-KARUMA-24HRS'!G96,'05.08, GULU-KARUMA-24HRS'!G96)</f>
        <v>0.5</v>
      </c>
      <c r="H96" s="49">
        <f>AVERAGE('03. 08 GULU-KARUMA-24HRS'!H96,'05.08, GULU-KARUMA-24HRS'!H96)</f>
        <v>0</v>
      </c>
      <c r="I96" s="49">
        <f>AVERAGE('03. 08 GULU-KARUMA-24HRS'!I96,'05.08, GULU-KARUMA-24HRS'!I96)</f>
        <v>5.5</v>
      </c>
      <c r="J96" s="49">
        <f>AVERAGE('03. 08 GULU-KARUMA-24HRS'!J96,'05.08, GULU-KARUMA-24HRS'!J96)</f>
        <v>1</v>
      </c>
      <c r="K96" s="49">
        <f>AVERAGE('03. 08 GULU-KARUMA-24HRS'!K96,'05.08, GULU-KARUMA-24HRS'!K96)</f>
        <v>0</v>
      </c>
      <c r="L96" s="49">
        <f>AVERAGE('03. 08 GULU-KARUMA-24HRS'!L96,'05.08, GULU-KARUMA-24HRS'!L96)</f>
        <v>2.5</v>
      </c>
      <c r="M96" s="49">
        <f>AVERAGE('03. 08 GULU-KARUMA-24HRS'!M96,'05.08, GULU-KARUMA-24HRS'!M96)</f>
        <v>0</v>
      </c>
      <c r="N96" s="49">
        <f>AVERAGE('03. 08 GULU-KARUMA-24HRS'!N96,'05.08, GULU-KARUMA-24HRS'!N96)</f>
        <v>0</v>
      </c>
      <c r="O96" s="15">
        <f t="shared" si="35"/>
        <v>23.5</v>
      </c>
      <c r="P96" s="15">
        <f t="shared" si="36"/>
        <v>23.5</v>
      </c>
      <c r="R96" s="8"/>
      <c r="T96"/>
    </row>
    <row r="97" spans="2:20" ht="23.1" customHeight="1" x14ac:dyDescent="0.25">
      <c r="B97" s="23" t="s">
        <v>137</v>
      </c>
      <c r="C97" s="49">
        <f>AVERAGE('03. 08 GULU-KARUMA-24HRS'!C97,'05.08, GULU-KARUMA-24HRS'!C97)</f>
        <v>8.5</v>
      </c>
      <c r="D97" s="49">
        <f>AVERAGE('03. 08 GULU-KARUMA-24HRS'!D97,'05.08, GULU-KARUMA-24HRS'!D97)</f>
        <v>3</v>
      </c>
      <c r="E97" s="49">
        <f>AVERAGE('03. 08 GULU-KARUMA-24HRS'!E97,'05.08, GULU-KARUMA-24HRS'!E97)</f>
        <v>6</v>
      </c>
      <c r="F97" s="49">
        <f>AVERAGE('03. 08 GULU-KARUMA-24HRS'!F97,'05.08, GULU-KARUMA-24HRS'!F97)</f>
        <v>1</v>
      </c>
      <c r="G97" s="49">
        <f>AVERAGE('03. 08 GULU-KARUMA-24HRS'!G97,'05.08, GULU-KARUMA-24HRS'!G97)</f>
        <v>0</v>
      </c>
      <c r="H97" s="49">
        <f>AVERAGE('03. 08 GULU-KARUMA-24HRS'!H97,'05.08, GULU-KARUMA-24HRS'!H97)</f>
        <v>0.5</v>
      </c>
      <c r="I97" s="49">
        <f>AVERAGE('03. 08 GULU-KARUMA-24HRS'!I97,'05.08, GULU-KARUMA-24HRS'!I97)</f>
        <v>3</v>
      </c>
      <c r="J97" s="49">
        <f>AVERAGE('03. 08 GULU-KARUMA-24HRS'!J97,'05.08, GULU-KARUMA-24HRS'!J97)</f>
        <v>0.5</v>
      </c>
      <c r="K97" s="49">
        <f>AVERAGE('03. 08 GULU-KARUMA-24HRS'!K97,'05.08, GULU-KARUMA-24HRS'!K97)</f>
        <v>0</v>
      </c>
      <c r="L97" s="49">
        <f>AVERAGE('03. 08 GULU-KARUMA-24HRS'!L97,'05.08, GULU-KARUMA-24HRS'!L97)</f>
        <v>1.5</v>
      </c>
      <c r="M97" s="49">
        <f>AVERAGE('03. 08 GULU-KARUMA-24HRS'!M97,'05.08, GULU-KARUMA-24HRS'!M97)</f>
        <v>0</v>
      </c>
      <c r="N97" s="49">
        <f>AVERAGE('03. 08 GULU-KARUMA-24HRS'!N97,'05.08, GULU-KARUMA-24HRS'!N97)</f>
        <v>0</v>
      </c>
      <c r="O97" s="15">
        <f t="shared" si="35"/>
        <v>24</v>
      </c>
      <c r="P97" s="15">
        <f t="shared" si="36"/>
        <v>24</v>
      </c>
      <c r="R97" s="8"/>
      <c r="T97"/>
    </row>
    <row r="98" spans="2:20" ht="23.1" customHeight="1" x14ac:dyDescent="0.25">
      <c r="B98" s="24" t="s">
        <v>138</v>
      </c>
      <c r="C98" s="49">
        <f>AVERAGE('03. 08 GULU-KARUMA-24HRS'!C98,'05.08, GULU-KARUMA-24HRS'!C98)</f>
        <v>5</v>
      </c>
      <c r="D98" s="49">
        <f>AVERAGE('03. 08 GULU-KARUMA-24HRS'!D98,'05.08, GULU-KARUMA-24HRS'!D98)</f>
        <v>3.5</v>
      </c>
      <c r="E98" s="49">
        <f>AVERAGE('03. 08 GULU-KARUMA-24HRS'!E98,'05.08, GULU-KARUMA-24HRS'!E98)</f>
        <v>8</v>
      </c>
      <c r="F98" s="49">
        <f>AVERAGE('03. 08 GULU-KARUMA-24HRS'!F98,'05.08, GULU-KARUMA-24HRS'!F98)</f>
        <v>1.5</v>
      </c>
      <c r="G98" s="49">
        <f>AVERAGE('03. 08 GULU-KARUMA-24HRS'!G98,'05.08, GULU-KARUMA-24HRS'!G98)</f>
        <v>0</v>
      </c>
      <c r="H98" s="49">
        <f>AVERAGE('03. 08 GULU-KARUMA-24HRS'!H98,'05.08, GULU-KARUMA-24HRS'!H98)</f>
        <v>0.5</v>
      </c>
      <c r="I98" s="49">
        <f>AVERAGE('03. 08 GULU-KARUMA-24HRS'!I98,'05.08, GULU-KARUMA-24HRS'!I98)</f>
        <v>2</v>
      </c>
      <c r="J98" s="49">
        <f>AVERAGE('03. 08 GULU-KARUMA-24HRS'!J98,'05.08, GULU-KARUMA-24HRS'!J98)</f>
        <v>0.5</v>
      </c>
      <c r="K98" s="49">
        <f>AVERAGE('03. 08 GULU-KARUMA-24HRS'!K98,'05.08, GULU-KARUMA-24HRS'!K98)</f>
        <v>0.5</v>
      </c>
      <c r="L98" s="49">
        <f>AVERAGE('03. 08 GULU-KARUMA-24HRS'!L98,'05.08, GULU-KARUMA-24HRS'!L98)</f>
        <v>0.5</v>
      </c>
      <c r="M98" s="49">
        <f>AVERAGE('03. 08 GULU-KARUMA-24HRS'!M98,'05.08, GULU-KARUMA-24HRS'!M98)</f>
        <v>0</v>
      </c>
      <c r="N98" s="49">
        <f>AVERAGE('03. 08 GULU-KARUMA-24HRS'!N98,'05.08, GULU-KARUMA-24HRS'!N98)</f>
        <v>0</v>
      </c>
      <c r="O98" s="15">
        <f t="shared" si="35"/>
        <v>22</v>
      </c>
      <c r="P98" s="15">
        <f t="shared" si="36"/>
        <v>22</v>
      </c>
      <c r="R98" s="8"/>
      <c r="T98"/>
    </row>
    <row r="99" spans="2:20" ht="23.1" customHeight="1" x14ac:dyDescent="0.25">
      <c r="B99" s="23" t="s">
        <v>139</v>
      </c>
      <c r="C99" s="49">
        <f>AVERAGE('03. 08 GULU-KARUMA-24HRS'!C99,'05.08, GULU-KARUMA-24HRS'!C99)</f>
        <v>7.5</v>
      </c>
      <c r="D99" s="49">
        <f>AVERAGE('03. 08 GULU-KARUMA-24HRS'!D99,'05.08, GULU-KARUMA-24HRS'!D99)</f>
        <v>2.5</v>
      </c>
      <c r="E99" s="49">
        <f>AVERAGE('03. 08 GULU-KARUMA-24HRS'!E99,'05.08, GULU-KARUMA-24HRS'!E99)</f>
        <v>6</v>
      </c>
      <c r="F99" s="49">
        <f>AVERAGE('03. 08 GULU-KARUMA-24HRS'!F99,'05.08, GULU-KARUMA-24HRS'!F99)</f>
        <v>2</v>
      </c>
      <c r="G99" s="49">
        <f>AVERAGE('03. 08 GULU-KARUMA-24HRS'!G99,'05.08, GULU-KARUMA-24HRS'!G99)</f>
        <v>0.5</v>
      </c>
      <c r="H99" s="49">
        <f>AVERAGE('03. 08 GULU-KARUMA-24HRS'!H99,'05.08, GULU-KARUMA-24HRS'!H99)</f>
        <v>0.5</v>
      </c>
      <c r="I99" s="49">
        <f>AVERAGE('03. 08 GULU-KARUMA-24HRS'!I99,'05.08, GULU-KARUMA-24HRS'!I99)</f>
        <v>3.5</v>
      </c>
      <c r="J99" s="49">
        <f>AVERAGE('03. 08 GULU-KARUMA-24HRS'!J99,'05.08, GULU-KARUMA-24HRS'!J99)</f>
        <v>0.5</v>
      </c>
      <c r="K99" s="49">
        <f>AVERAGE('03. 08 GULU-KARUMA-24HRS'!K99,'05.08, GULU-KARUMA-24HRS'!K99)</f>
        <v>0.5</v>
      </c>
      <c r="L99" s="49">
        <f>AVERAGE('03. 08 GULU-KARUMA-24HRS'!L99,'05.08, GULU-KARUMA-24HRS'!L99)</f>
        <v>1.5</v>
      </c>
      <c r="M99" s="49">
        <f>AVERAGE('03. 08 GULU-KARUMA-24HRS'!M99,'05.08, GULU-KARUMA-24HRS'!M99)</f>
        <v>0</v>
      </c>
      <c r="N99" s="49">
        <f>AVERAGE('03. 08 GULU-KARUMA-24HRS'!N99,'05.08, GULU-KARUMA-24HRS'!N99)</f>
        <v>0</v>
      </c>
      <c r="O99" s="15">
        <f t="shared" si="35"/>
        <v>25</v>
      </c>
      <c r="P99" s="15">
        <f t="shared" si="36"/>
        <v>25</v>
      </c>
      <c r="R99" s="8"/>
      <c r="T99"/>
    </row>
    <row r="100" spans="2:20" ht="23.1" customHeight="1" x14ac:dyDescent="0.25">
      <c r="B100" s="25" t="s">
        <v>140</v>
      </c>
      <c r="C100" s="49">
        <f>AVERAGE('03. 08 GULU-KARUMA-24HRS'!C100,'05.08, GULU-KARUMA-24HRS'!C100)</f>
        <v>9</v>
      </c>
      <c r="D100" s="49">
        <f>AVERAGE('03. 08 GULU-KARUMA-24HRS'!D100,'05.08, GULU-KARUMA-24HRS'!D100)</f>
        <v>2.5</v>
      </c>
      <c r="E100" s="49">
        <f>AVERAGE('03. 08 GULU-KARUMA-24HRS'!E100,'05.08, GULU-KARUMA-24HRS'!E100)</f>
        <v>5</v>
      </c>
      <c r="F100" s="49">
        <f>AVERAGE('03. 08 GULU-KARUMA-24HRS'!F100,'05.08, GULU-KARUMA-24HRS'!F100)</f>
        <v>1.5</v>
      </c>
      <c r="G100" s="49">
        <f>AVERAGE('03. 08 GULU-KARUMA-24HRS'!G100,'05.08, GULU-KARUMA-24HRS'!G100)</f>
        <v>0.5</v>
      </c>
      <c r="H100" s="49">
        <f>AVERAGE('03. 08 GULU-KARUMA-24HRS'!H100,'05.08, GULU-KARUMA-24HRS'!H100)</f>
        <v>2</v>
      </c>
      <c r="I100" s="49">
        <f>AVERAGE('03. 08 GULU-KARUMA-24HRS'!I100,'05.08, GULU-KARUMA-24HRS'!I100)</f>
        <v>2</v>
      </c>
      <c r="J100" s="49">
        <f>AVERAGE('03. 08 GULU-KARUMA-24HRS'!J100,'05.08, GULU-KARUMA-24HRS'!J100)</f>
        <v>0</v>
      </c>
      <c r="K100" s="49">
        <f>AVERAGE('03. 08 GULU-KARUMA-24HRS'!K100,'05.08, GULU-KARUMA-24HRS'!K100)</f>
        <v>0</v>
      </c>
      <c r="L100" s="49">
        <f>AVERAGE('03. 08 GULU-KARUMA-24HRS'!L100,'05.08, GULU-KARUMA-24HRS'!L100)</f>
        <v>3</v>
      </c>
      <c r="M100" s="49">
        <f>AVERAGE('03. 08 GULU-KARUMA-24HRS'!M100,'05.08, GULU-KARUMA-24HRS'!M100)</f>
        <v>2</v>
      </c>
      <c r="N100" s="49">
        <f>AVERAGE('03. 08 GULU-KARUMA-24HRS'!N100,'05.08, GULU-KARUMA-24HRS'!N100)</f>
        <v>0</v>
      </c>
      <c r="O100" s="15">
        <f t="shared" si="35"/>
        <v>25.5</v>
      </c>
      <c r="P100" s="15">
        <f t="shared" si="36"/>
        <v>27.5</v>
      </c>
      <c r="R100" s="8"/>
      <c r="T100"/>
    </row>
    <row r="101" spans="2:20" ht="23.1" customHeight="1" x14ac:dyDescent="0.25">
      <c r="B101" s="23" t="s">
        <v>141</v>
      </c>
      <c r="C101" s="49">
        <f>AVERAGE('03. 08 GULU-KARUMA-24HRS'!C101,'05.08, GULU-KARUMA-24HRS'!C101)</f>
        <v>6.5</v>
      </c>
      <c r="D101" s="49">
        <f>AVERAGE('03. 08 GULU-KARUMA-24HRS'!D101,'05.08, GULU-KARUMA-24HRS'!D101)</f>
        <v>4</v>
      </c>
      <c r="E101" s="49">
        <f>AVERAGE('03. 08 GULU-KARUMA-24HRS'!E101,'05.08, GULU-KARUMA-24HRS'!E101)</f>
        <v>8</v>
      </c>
      <c r="F101" s="49">
        <f>AVERAGE('03. 08 GULU-KARUMA-24HRS'!F101,'05.08, GULU-KARUMA-24HRS'!F101)</f>
        <v>2</v>
      </c>
      <c r="G101" s="49">
        <f>AVERAGE('03. 08 GULU-KARUMA-24HRS'!G101,'05.08, GULU-KARUMA-24HRS'!G101)</f>
        <v>0</v>
      </c>
      <c r="H101" s="49">
        <f>AVERAGE('03. 08 GULU-KARUMA-24HRS'!H101,'05.08, GULU-KARUMA-24HRS'!H101)</f>
        <v>1</v>
      </c>
      <c r="I101" s="49">
        <f>AVERAGE('03. 08 GULU-KARUMA-24HRS'!I101,'05.08, GULU-KARUMA-24HRS'!I101)</f>
        <v>3</v>
      </c>
      <c r="J101" s="49">
        <f>AVERAGE('03. 08 GULU-KARUMA-24HRS'!J101,'05.08, GULU-KARUMA-24HRS'!J101)</f>
        <v>0</v>
      </c>
      <c r="K101" s="49">
        <f>AVERAGE('03. 08 GULU-KARUMA-24HRS'!K101,'05.08, GULU-KARUMA-24HRS'!K101)</f>
        <v>0.5</v>
      </c>
      <c r="L101" s="49">
        <f>AVERAGE('03. 08 GULU-KARUMA-24HRS'!L101,'05.08, GULU-KARUMA-24HRS'!L101)</f>
        <v>1</v>
      </c>
      <c r="M101" s="49">
        <f>AVERAGE('03. 08 GULU-KARUMA-24HRS'!M101,'05.08, GULU-KARUMA-24HRS'!M101)</f>
        <v>4</v>
      </c>
      <c r="N101" s="49">
        <f>AVERAGE('03. 08 GULU-KARUMA-24HRS'!N101,'05.08, GULU-KARUMA-24HRS'!N101)</f>
        <v>0</v>
      </c>
      <c r="O101" s="15">
        <f t="shared" si="35"/>
        <v>26</v>
      </c>
      <c r="P101" s="15">
        <f t="shared" si="36"/>
        <v>30</v>
      </c>
      <c r="R101" s="8"/>
      <c r="T101"/>
    </row>
    <row r="102" spans="2:20" ht="23.1" customHeight="1" x14ac:dyDescent="0.25">
      <c r="B102" s="24" t="s">
        <v>142</v>
      </c>
      <c r="C102" s="49">
        <f>AVERAGE('03. 08 GULU-KARUMA-24HRS'!C102,'05.08, GULU-KARUMA-24HRS'!C102)</f>
        <v>7.5</v>
      </c>
      <c r="D102" s="49">
        <f>AVERAGE('03. 08 GULU-KARUMA-24HRS'!D102,'05.08, GULU-KARUMA-24HRS'!D102)</f>
        <v>7</v>
      </c>
      <c r="E102" s="49">
        <f>AVERAGE('03. 08 GULU-KARUMA-24HRS'!E102,'05.08, GULU-KARUMA-24HRS'!E102)</f>
        <v>14.5</v>
      </c>
      <c r="F102" s="49">
        <f>AVERAGE('03. 08 GULU-KARUMA-24HRS'!F102,'05.08, GULU-KARUMA-24HRS'!F102)</f>
        <v>3</v>
      </c>
      <c r="G102" s="49">
        <f>AVERAGE('03. 08 GULU-KARUMA-24HRS'!G102,'05.08, GULU-KARUMA-24HRS'!G102)</f>
        <v>0.5</v>
      </c>
      <c r="H102" s="49">
        <f>AVERAGE('03. 08 GULU-KARUMA-24HRS'!H102,'05.08, GULU-KARUMA-24HRS'!H102)</f>
        <v>0</v>
      </c>
      <c r="I102" s="49">
        <f>AVERAGE('03. 08 GULU-KARUMA-24HRS'!I102,'05.08, GULU-KARUMA-24HRS'!I102)</f>
        <v>1.5</v>
      </c>
      <c r="J102" s="49">
        <f>AVERAGE('03. 08 GULU-KARUMA-24HRS'!J102,'05.08, GULU-KARUMA-24HRS'!J102)</f>
        <v>0.5</v>
      </c>
      <c r="K102" s="49">
        <f>AVERAGE('03. 08 GULU-KARUMA-24HRS'!K102,'05.08, GULU-KARUMA-24HRS'!K102)</f>
        <v>0</v>
      </c>
      <c r="L102" s="49">
        <f>AVERAGE('03. 08 GULU-KARUMA-24HRS'!L102,'05.08, GULU-KARUMA-24HRS'!L102)</f>
        <v>4</v>
      </c>
      <c r="M102" s="49">
        <f>AVERAGE('03. 08 GULU-KARUMA-24HRS'!M102,'05.08, GULU-KARUMA-24HRS'!M102)</f>
        <v>5.5</v>
      </c>
      <c r="N102" s="49">
        <f>AVERAGE('03. 08 GULU-KARUMA-24HRS'!N102,'05.08, GULU-KARUMA-24HRS'!N102)</f>
        <v>0</v>
      </c>
      <c r="O102" s="15">
        <f t="shared" si="35"/>
        <v>38.5</v>
      </c>
      <c r="P102" s="15">
        <f t="shared" si="36"/>
        <v>44</v>
      </c>
      <c r="R102" s="8"/>
      <c r="T102"/>
    </row>
    <row r="103" spans="2:20" ht="23.1" customHeight="1" x14ac:dyDescent="0.25">
      <c r="B103" s="23" t="s">
        <v>143</v>
      </c>
      <c r="C103" s="49">
        <f>AVERAGE('03. 08 GULU-KARUMA-24HRS'!C103,'05.08, GULU-KARUMA-24HRS'!C103)</f>
        <v>8.5</v>
      </c>
      <c r="D103" s="49">
        <f>AVERAGE('03. 08 GULU-KARUMA-24HRS'!D103,'05.08, GULU-KARUMA-24HRS'!D103)</f>
        <v>3</v>
      </c>
      <c r="E103" s="49">
        <f>AVERAGE('03. 08 GULU-KARUMA-24HRS'!E103,'05.08, GULU-KARUMA-24HRS'!E103)</f>
        <v>6.5</v>
      </c>
      <c r="F103" s="49">
        <f>AVERAGE('03. 08 GULU-KARUMA-24HRS'!F103,'05.08, GULU-KARUMA-24HRS'!F103)</f>
        <v>2.5</v>
      </c>
      <c r="G103" s="49">
        <f>AVERAGE('03. 08 GULU-KARUMA-24HRS'!G103,'05.08, GULU-KARUMA-24HRS'!G103)</f>
        <v>0</v>
      </c>
      <c r="H103" s="49">
        <f>AVERAGE('03. 08 GULU-KARUMA-24HRS'!H103,'05.08, GULU-KARUMA-24HRS'!H103)</f>
        <v>0.5</v>
      </c>
      <c r="I103" s="49">
        <f>AVERAGE('03. 08 GULU-KARUMA-24HRS'!I103,'05.08, GULU-KARUMA-24HRS'!I103)</f>
        <v>5</v>
      </c>
      <c r="J103" s="49">
        <f>AVERAGE('03. 08 GULU-KARUMA-24HRS'!J103,'05.08, GULU-KARUMA-24HRS'!J103)</f>
        <v>1</v>
      </c>
      <c r="K103" s="49">
        <f>AVERAGE('03. 08 GULU-KARUMA-24HRS'!K103,'05.08, GULU-KARUMA-24HRS'!K103)</f>
        <v>1</v>
      </c>
      <c r="L103" s="49">
        <f>AVERAGE('03. 08 GULU-KARUMA-24HRS'!L103,'05.08, GULU-KARUMA-24HRS'!L103)</f>
        <v>2.5</v>
      </c>
      <c r="M103" s="49">
        <f>AVERAGE('03. 08 GULU-KARUMA-24HRS'!M103,'05.08, GULU-KARUMA-24HRS'!M103)</f>
        <v>6</v>
      </c>
      <c r="N103" s="49">
        <f>AVERAGE('03. 08 GULU-KARUMA-24HRS'!N103,'05.08, GULU-KARUMA-24HRS'!N103)</f>
        <v>0</v>
      </c>
      <c r="O103" s="15">
        <f t="shared" si="35"/>
        <v>30.5</v>
      </c>
      <c r="P103" s="15">
        <f t="shared" si="36"/>
        <v>36.5</v>
      </c>
      <c r="R103" s="8"/>
      <c r="T103"/>
    </row>
    <row r="104" spans="2:20" ht="23.1" customHeight="1" x14ac:dyDescent="0.25">
      <c r="B104" s="25" t="s">
        <v>144</v>
      </c>
      <c r="C104" s="49">
        <f>AVERAGE('03. 08 GULU-KARUMA-24HRS'!C104,'05.08, GULU-KARUMA-24HRS'!C104)</f>
        <v>9</v>
      </c>
      <c r="D104" s="49">
        <f>AVERAGE('03. 08 GULU-KARUMA-24HRS'!D104,'05.08, GULU-KARUMA-24HRS'!D104)</f>
        <v>6.5</v>
      </c>
      <c r="E104" s="49">
        <f>AVERAGE('03. 08 GULU-KARUMA-24HRS'!E104,'05.08, GULU-KARUMA-24HRS'!E104)</f>
        <v>13.5</v>
      </c>
      <c r="F104" s="49">
        <f>AVERAGE('03. 08 GULU-KARUMA-24HRS'!F104,'05.08, GULU-KARUMA-24HRS'!F104)</f>
        <v>3</v>
      </c>
      <c r="G104" s="49">
        <f>AVERAGE('03. 08 GULU-KARUMA-24HRS'!G104,'05.08, GULU-KARUMA-24HRS'!G104)</f>
        <v>0.5</v>
      </c>
      <c r="H104" s="49">
        <f>AVERAGE('03. 08 GULU-KARUMA-24HRS'!H104,'05.08, GULU-KARUMA-24HRS'!H104)</f>
        <v>0.5</v>
      </c>
      <c r="I104" s="49">
        <f>AVERAGE('03. 08 GULU-KARUMA-24HRS'!I104,'05.08, GULU-KARUMA-24HRS'!I104)</f>
        <v>3.5</v>
      </c>
      <c r="J104" s="49">
        <f>AVERAGE('03. 08 GULU-KARUMA-24HRS'!J104,'05.08, GULU-KARUMA-24HRS'!J104)</f>
        <v>0</v>
      </c>
      <c r="K104" s="49">
        <f>AVERAGE('03. 08 GULU-KARUMA-24HRS'!K104,'05.08, GULU-KARUMA-24HRS'!K104)</f>
        <v>0</v>
      </c>
      <c r="L104" s="49">
        <f>AVERAGE('03. 08 GULU-KARUMA-24HRS'!L104,'05.08, GULU-KARUMA-24HRS'!L104)</f>
        <v>3</v>
      </c>
      <c r="M104" s="49">
        <f>AVERAGE('03. 08 GULU-KARUMA-24HRS'!M104,'05.08, GULU-KARUMA-24HRS'!M104)</f>
        <v>7.5</v>
      </c>
      <c r="N104" s="49">
        <f>AVERAGE('03. 08 GULU-KARUMA-24HRS'!N104,'05.08, GULU-KARUMA-24HRS'!N104)</f>
        <v>0</v>
      </c>
      <c r="O104" s="15">
        <f t="shared" si="35"/>
        <v>39.5</v>
      </c>
      <c r="P104" s="15">
        <f t="shared" si="36"/>
        <v>47</v>
      </c>
      <c r="R104" s="8"/>
      <c r="T104"/>
    </row>
    <row r="105" spans="2:20" ht="23.1" customHeight="1" x14ac:dyDescent="0.25">
      <c r="B105" s="23" t="s">
        <v>145</v>
      </c>
      <c r="C105" s="49">
        <f>AVERAGE('03. 08 GULU-KARUMA-24HRS'!C105,'05.08, GULU-KARUMA-24HRS'!C105)</f>
        <v>7</v>
      </c>
      <c r="D105" s="49">
        <f>AVERAGE('03. 08 GULU-KARUMA-24HRS'!D105,'05.08, GULU-KARUMA-24HRS'!D105)</f>
        <v>5</v>
      </c>
      <c r="E105" s="49">
        <f>AVERAGE('03. 08 GULU-KARUMA-24HRS'!E105,'05.08, GULU-KARUMA-24HRS'!E105)</f>
        <v>10.5</v>
      </c>
      <c r="F105" s="49">
        <f>AVERAGE('03. 08 GULU-KARUMA-24HRS'!F105,'05.08, GULU-KARUMA-24HRS'!F105)</f>
        <v>1.5</v>
      </c>
      <c r="G105" s="49">
        <f>AVERAGE('03. 08 GULU-KARUMA-24HRS'!G105,'05.08, GULU-KARUMA-24HRS'!G105)</f>
        <v>0</v>
      </c>
      <c r="H105" s="49">
        <f>AVERAGE('03. 08 GULU-KARUMA-24HRS'!H105,'05.08, GULU-KARUMA-24HRS'!H105)</f>
        <v>0.5</v>
      </c>
      <c r="I105" s="49">
        <f>AVERAGE('03. 08 GULU-KARUMA-24HRS'!I105,'05.08, GULU-KARUMA-24HRS'!I105)</f>
        <v>1.5</v>
      </c>
      <c r="J105" s="49">
        <f>AVERAGE('03. 08 GULU-KARUMA-24HRS'!J105,'05.08, GULU-KARUMA-24HRS'!J105)</f>
        <v>0.5</v>
      </c>
      <c r="K105" s="49">
        <f>AVERAGE('03. 08 GULU-KARUMA-24HRS'!K105,'05.08, GULU-KARUMA-24HRS'!K105)</f>
        <v>0</v>
      </c>
      <c r="L105" s="49">
        <f>AVERAGE('03. 08 GULU-KARUMA-24HRS'!L105,'05.08, GULU-KARUMA-24HRS'!L105)</f>
        <v>0.5</v>
      </c>
      <c r="M105" s="49">
        <f>AVERAGE('03. 08 GULU-KARUMA-24HRS'!M105,'05.08, GULU-KARUMA-24HRS'!M105)</f>
        <v>8</v>
      </c>
      <c r="N105" s="49">
        <f>AVERAGE('03. 08 GULU-KARUMA-24HRS'!N105,'05.08, GULU-KARUMA-24HRS'!N105)</f>
        <v>0</v>
      </c>
      <c r="O105" s="15">
        <f t="shared" si="35"/>
        <v>27</v>
      </c>
      <c r="P105" s="15">
        <f t="shared" si="36"/>
        <v>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510.21428571428578</v>
      </c>
      <c r="D106" s="16">
        <f t="shared" ref="D106:P106" si="37">SUM(D10:D105)</f>
        <v>222.78571428571428</v>
      </c>
      <c r="E106" s="16">
        <f t="shared" si="37"/>
        <v>492.71428571428572</v>
      </c>
      <c r="F106" s="16">
        <f t="shared" si="37"/>
        <v>112.28571428571428</v>
      </c>
      <c r="G106" s="16">
        <f t="shared" si="37"/>
        <v>17.285714285714285</v>
      </c>
      <c r="H106" s="16">
        <f t="shared" si="37"/>
        <v>49.928571428571431</v>
      </c>
      <c r="I106" s="16">
        <f t="shared" si="37"/>
        <v>250.21428571428572</v>
      </c>
      <c r="J106" s="16">
        <f t="shared" si="37"/>
        <v>58.571428571428569</v>
      </c>
      <c r="K106" s="16">
        <f t="shared" si="37"/>
        <v>10.928571428571427</v>
      </c>
      <c r="L106" s="16">
        <f t="shared" si="37"/>
        <v>213.85714285714283</v>
      </c>
      <c r="M106" s="16">
        <f t="shared" si="37"/>
        <v>3171.4285714285711</v>
      </c>
      <c r="N106" s="16">
        <f t="shared" si="37"/>
        <v>6.2142857142857144</v>
      </c>
      <c r="O106" s="16">
        <f t="shared" si="37"/>
        <v>1945</v>
      </c>
      <c r="P106" s="16">
        <f t="shared" si="37"/>
        <v>5116.4285714285716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9.9720787379589573E-2</v>
      </c>
      <c r="D107" s="43">
        <f t="shared" si="38"/>
        <v>4.3543208153008515E-2</v>
      </c>
      <c r="E107" s="43">
        <f t="shared" si="38"/>
        <v>9.6300432779561629E-2</v>
      </c>
      <c r="F107" s="43">
        <f t="shared" si="38"/>
        <v>2.1946111964260783E-2</v>
      </c>
      <c r="G107" s="43">
        <f t="shared" si="38"/>
        <v>3.3784727069663548E-3</v>
      </c>
      <c r="H107" s="43">
        <f t="shared" si="38"/>
        <v>9.7584810833449675E-3</v>
      </c>
      <c r="I107" s="43">
        <f t="shared" si="38"/>
        <v>4.8904090464889013E-2</v>
      </c>
      <c r="J107" s="43">
        <f t="shared" si="38"/>
        <v>1.1447717436828144E-2</v>
      </c>
      <c r="K107" s="43">
        <f t="shared" si="38"/>
        <v>2.135976546139885E-3</v>
      </c>
      <c r="L107" s="43">
        <f t="shared" si="38"/>
        <v>4.1798129275443241E-2</v>
      </c>
      <c r="M107" s="43">
        <f t="shared" si="38"/>
        <v>0.61985201731118234</v>
      </c>
      <c r="N107" s="43">
        <f t="shared" si="38"/>
        <v>1.2145748987854252E-3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0.26232096951891298</v>
      </c>
      <c r="D108" s="44">
        <f t="shared" ref="D108:N108" si="39">D106/$O$106</f>
        <v>0.11454278369445464</v>
      </c>
      <c r="E108" s="44">
        <f t="shared" si="39"/>
        <v>0.25332354021300035</v>
      </c>
      <c r="F108" s="44">
        <f t="shared" si="39"/>
        <v>5.7730444362835101E-2</v>
      </c>
      <c r="G108" s="44">
        <f t="shared" si="39"/>
        <v>8.8872567021667272E-3</v>
      </c>
      <c r="H108" s="44">
        <f t="shared" si="39"/>
        <v>2.5670216672787367E-2</v>
      </c>
      <c r="I108" s="44">
        <f t="shared" si="39"/>
        <v>0.12864487697392582</v>
      </c>
      <c r="J108" s="44">
        <f t="shared" si="39"/>
        <v>3.0113845023870729E-2</v>
      </c>
      <c r="K108" s="44">
        <f t="shared" si="39"/>
        <v>5.618802791039294E-3</v>
      </c>
      <c r="L108" s="44">
        <f t="shared" si="39"/>
        <v>0.10995225853837677</v>
      </c>
      <c r="M108" s="44"/>
      <c r="N108" s="44">
        <f t="shared" si="39"/>
        <v>3.1950055086301873E-3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91" zoomScale="60" workbookViewId="0">
      <selection activeCell="M67" sqref="M6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'7.08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'7.08 KARUMA-GULU'!G5:H5</f>
        <v>xxx</v>
      </c>
      <c r="H5" s="67"/>
      <c r="I5" s="14"/>
      <c r="J5" s="2" t="s">
        <v>5</v>
      </c>
      <c r="K5" s="66" t="str">
        <f>'7.08 KARUMA-GULU'!K5:L5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'7.08 KARUMA-GULU'!D6:E6</f>
        <v xml:space="preserve">KARUMA </v>
      </c>
      <c r="E6" s="67"/>
      <c r="F6" s="2" t="s">
        <v>2</v>
      </c>
      <c r="G6" s="66" t="str">
        <f>'7.08 KARUMA-GULU'!G6:H6</f>
        <v>GULU</v>
      </c>
      <c r="H6" s="67"/>
      <c r="J6" s="2" t="s">
        <v>21</v>
      </c>
      <c r="K6" s="66" t="str">
        <f>'7.08 KARUMA-GULU'!K6:L6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AVERAGE('01.08 KARUMA-GULU'!C10,'02.08 KARUMA-GULU'!C10,'04.08 KARUMA-GULU'!C10,'06.08 KARUMA-GULU'!C10,'03.08 KARUMA-GULU-24HRS'!C10,'05.08, KARUMA-GULU-24HRS'!C10,'7.08 KARUMA-GULU'!C10)</f>
        <v>2.5486194477791115</v>
      </c>
      <c r="D10" s="49">
        <f>AVERAGE('01.08 KARUMA-GULU'!D10,'02.08 KARUMA-GULU'!D10,'04.08 KARUMA-GULU'!D10,'06.08 KARUMA-GULU'!D10,'03.08 KARUMA-GULU-24HRS'!D10,'05.08, KARUMA-GULU-24HRS'!D10,'7.08 KARUMA-GULU'!D10)</f>
        <v>0.42857142857142855</v>
      </c>
      <c r="E10" s="49">
        <f>AVERAGE('01.08 KARUMA-GULU'!E10,'02.08 KARUMA-GULU'!E10,'04.08 KARUMA-GULU'!E10,'06.08 KARUMA-GULU'!E10,'03.08 KARUMA-GULU-24HRS'!E10,'05.08, KARUMA-GULU-24HRS'!E10,'7.08 KARUMA-GULU'!E10)</f>
        <v>1.4285714285714286</v>
      </c>
      <c r="F10" s="49">
        <f>AVERAGE('01.08 KARUMA-GULU'!F10,'02.08 KARUMA-GULU'!F10,'04.08 KARUMA-GULU'!F10,'06.08 KARUMA-GULU'!F10,'03.08 KARUMA-GULU-24HRS'!F10,'05.08, KARUMA-GULU-24HRS'!F10,'7.08 KARUMA-GULU'!F10)</f>
        <v>0.14285714285714285</v>
      </c>
      <c r="G10" s="49">
        <f>AVERAGE('01.08 KARUMA-GULU'!G10,'02.08 KARUMA-GULU'!G10,'04.08 KARUMA-GULU'!G10,'06.08 KARUMA-GULU'!G10,'03.08 KARUMA-GULU-24HRS'!G10,'05.08, KARUMA-GULU-24HRS'!G10,'7.08 KARUMA-GULU'!G10)</f>
        <v>0</v>
      </c>
      <c r="H10" s="49">
        <f>AVERAGE('01.08 KARUMA-GULU'!H10,'02.08 KARUMA-GULU'!H10,'04.08 KARUMA-GULU'!H10,'06.08 KARUMA-GULU'!H10,'03.08 KARUMA-GULU-24HRS'!H10,'05.08, KARUMA-GULU-24HRS'!H10,'7.08 KARUMA-GULU'!H10)</f>
        <v>0.26290516206482595</v>
      </c>
      <c r="I10" s="49">
        <f>AVERAGE('01.08 KARUMA-GULU'!I10,'02.08 KARUMA-GULU'!I10,'04.08 KARUMA-GULU'!I10,'06.08 KARUMA-GULU'!I10,'03.08 KARUMA-GULU-24HRS'!I10,'05.08, KARUMA-GULU-24HRS'!I10,'7.08 KARUMA-GULU'!I10)</f>
        <v>0.8571428571428571</v>
      </c>
      <c r="J10" s="49">
        <f>AVERAGE('01.08 KARUMA-GULU'!J10,'02.08 KARUMA-GULU'!J10,'04.08 KARUMA-GULU'!J10,'06.08 KARUMA-GULU'!J10,'03.08 KARUMA-GULU-24HRS'!J10,'05.08, KARUMA-GULU-24HRS'!J10,'7.08 KARUMA-GULU'!J10)</f>
        <v>0.26290516206482595</v>
      </c>
      <c r="K10" s="49">
        <f>AVERAGE('01.08 KARUMA-GULU'!K10,'02.08 KARUMA-GULU'!K10,'04.08 KARUMA-GULU'!K10,'06.08 KARUMA-GULU'!K10,'03.08 KARUMA-GULU-24HRS'!K10,'05.08, KARUMA-GULU-24HRS'!K10,'7.08 KARUMA-GULU'!K10)</f>
        <v>0</v>
      </c>
      <c r="L10" s="49">
        <f>AVERAGE('01.08 KARUMA-GULU'!L10,'02.08 KARUMA-GULU'!L10,'04.08 KARUMA-GULU'!L10,'06.08 KARUMA-GULU'!L10,'03.08 KARUMA-GULU-24HRS'!L10,'05.08, KARUMA-GULU-24HRS'!L10,'7.08 KARUMA-GULU'!L10)</f>
        <v>1.4285714285714286</v>
      </c>
      <c r="M10" s="49">
        <f>AVERAGE('01.08 KARUMA-GULU'!M10,'02.08 KARUMA-GULU'!M10,'04.08 KARUMA-GULU'!M10,'06.08 KARUMA-GULU'!M10,'03.08 KARUMA-GULU-24HRS'!M10,'05.08, KARUMA-GULU-24HRS'!M10,'7.08 KARUMA-GULU'!M10)</f>
        <v>56</v>
      </c>
      <c r="N10" s="49">
        <f>AVERAGE('01.08 KARUMA-GULU'!N10,'02.08 KARUMA-GULU'!N10,'04.08 KARUMA-GULU'!N10,'06.08 KARUMA-GULU'!N10,'03.08 KARUMA-GULU-24HRS'!N10,'05.08, KARUMA-GULU-24HRS'!N10,'7.08 KARUMA-GULU'!N10)</f>
        <v>0</v>
      </c>
      <c r="O10" s="15">
        <f t="shared" ref="O10:O73" si="0">SUM(C10:L10,N10)</f>
        <v>7.3601440576230495</v>
      </c>
      <c r="P10" s="15">
        <f t="shared" ref="P10:P73" si="1">SUM(C10:N10)</f>
        <v>63.360144057623046</v>
      </c>
      <c r="R10" s="1" t="s">
        <v>6</v>
      </c>
      <c r="S10" s="17">
        <f t="shared" ref="S10:AF10" si="2">SUM(C10:C13)</f>
        <v>13.434573829531812</v>
      </c>
      <c r="T10" s="17">
        <f t="shared" si="2"/>
        <v>3.7202881152460989</v>
      </c>
      <c r="U10" s="17">
        <f t="shared" si="2"/>
        <v>8.8235294117647065</v>
      </c>
      <c r="V10" s="17">
        <f t="shared" si="2"/>
        <v>2.0744297719087634</v>
      </c>
      <c r="W10" s="17">
        <f t="shared" si="2"/>
        <v>0</v>
      </c>
      <c r="X10" s="17">
        <f t="shared" si="2"/>
        <v>0.50300120048019203</v>
      </c>
      <c r="Y10" s="17">
        <f t="shared" si="2"/>
        <v>5.1716686674669869</v>
      </c>
      <c r="Z10" s="17">
        <f t="shared" si="2"/>
        <v>1.5486194477791115</v>
      </c>
      <c r="AA10" s="17">
        <f t="shared" si="2"/>
        <v>0</v>
      </c>
      <c r="AB10" s="17">
        <f t="shared" si="2"/>
        <v>8.1428571428571423</v>
      </c>
      <c r="AC10" s="17">
        <f t="shared" si="2"/>
        <v>239.42857142857144</v>
      </c>
      <c r="AD10" s="17">
        <f t="shared" si="2"/>
        <v>0</v>
      </c>
      <c r="AE10" s="31">
        <f t="shared" si="2"/>
        <v>43.418967587034814</v>
      </c>
      <c r="AF10" s="31">
        <f t="shared" si="2"/>
        <v>282.84753901560623</v>
      </c>
    </row>
    <row r="11" spans="2:32" s="6" customFormat="1" ht="23.1" customHeight="1" x14ac:dyDescent="0.25">
      <c r="B11" s="23" t="s">
        <v>38</v>
      </c>
      <c r="C11" s="49">
        <f>AVERAGE('01.08 KARUMA-GULU'!C11,'02.08 KARUMA-GULU'!C11,'04.08 KARUMA-GULU'!C11,'06.08 KARUMA-GULU'!C11,'03.08 KARUMA-GULU-24HRS'!C11,'05.08, KARUMA-GULU-24HRS'!C11,'7.08 KARUMA-GULU'!C11)</f>
        <v>3.1200480192076832</v>
      </c>
      <c r="D11" s="49">
        <f>AVERAGE('01.08 KARUMA-GULU'!D11,'02.08 KARUMA-GULU'!D11,'04.08 KARUMA-GULU'!D11,'06.08 KARUMA-GULU'!D11,'03.08 KARUMA-GULU-24HRS'!D11,'05.08, KARUMA-GULU-24HRS'!D11,'7.08 KARUMA-GULU'!D11)</f>
        <v>0.83433373349339734</v>
      </c>
      <c r="E11" s="49">
        <f>AVERAGE('01.08 KARUMA-GULU'!E11,'02.08 KARUMA-GULU'!E11,'04.08 KARUMA-GULU'!E11,'06.08 KARUMA-GULU'!E11,'03.08 KARUMA-GULU-24HRS'!E11,'05.08, KARUMA-GULU-24HRS'!E11,'7.08 KARUMA-GULU'!E11)</f>
        <v>1.8115246098439375</v>
      </c>
      <c r="F11" s="49">
        <f>AVERAGE('01.08 KARUMA-GULU'!F11,'02.08 KARUMA-GULU'!F11,'04.08 KARUMA-GULU'!F11,'06.08 KARUMA-GULU'!F11,'03.08 KARUMA-GULU-24HRS'!F11,'05.08, KARUMA-GULU-24HRS'!F11,'7.08 KARUMA-GULU'!F11)</f>
        <v>0.5714285714285714</v>
      </c>
      <c r="G11" s="49">
        <f>AVERAGE('01.08 KARUMA-GULU'!G11,'02.08 KARUMA-GULU'!G11,'04.08 KARUMA-GULU'!G11,'06.08 KARUMA-GULU'!G11,'03.08 KARUMA-GULU-24HRS'!G11,'05.08, KARUMA-GULU-24HRS'!G11,'7.08 KARUMA-GULU'!G11)</f>
        <v>0</v>
      </c>
      <c r="H11" s="49">
        <f>AVERAGE('01.08 KARUMA-GULU'!H11,'02.08 KARUMA-GULU'!H11,'04.08 KARUMA-GULU'!H11,'06.08 KARUMA-GULU'!H11,'03.08 KARUMA-GULU-24HRS'!H11,'05.08, KARUMA-GULU-24HRS'!H11,'7.08 KARUMA-GULU'!H11)</f>
        <v>0</v>
      </c>
      <c r="I11" s="49">
        <f>AVERAGE('01.08 KARUMA-GULU'!I11,'02.08 KARUMA-GULU'!I11,'04.08 KARUMA-GULU'!I11,'06.08 KARUMA-GULU'!I11,'03.08 KARUMA-GULU-24HRS'!I11,'05.08, KARUMA-GULU-24HRS'!I11,'7.08 KARUMA-GULU'!I11)</f>
        <v>0.83433373349339734</v>
      </c>
      <c r="J11" s="49">
        <f>AVERAGE('01.08 KARUMA-GULU'!J11,'02.08 KARUMA-GULU'!J11,'04.08 KARUMA-GULU'!J11,'06.08 KARUMA-GULU'!J11,'03.08 KARUMA-GULU-24HRS'!J11,'05.08, KARUMA-GULU-24HRS'!J11,'7.08 KARUMA-GULU'!J11)</f>
        <v>0.2857142857142857</v>
      </c>
      <c r="K11" s="49">
        <f>AVERAGE('01.08 KARUMA-GULU'!K11,'02.08 KARUMA-GULU'!K11,'04.08 KARUMA-GULU'!K11,'06.08 KARUMA-GULU'!K11,'03.08 KARUMA-GULU-24HRS'!K11,'05.08, KARUMA-GULU-24HRS'!K11,'7.08 KARUMA-GULU'!K11)</f>
        <v>0</v>
      </c>
      <c r="L11" s="49">
        <f>AVERAGE('01.08 KARUMA-GULU'!L11,'02.08 KARUMA-GULU'!L11,'04.08 KARUMA-GULU'!L11,'06.08 KARUMA-GULU'!L11,'03.08 KARUMA-GULU-24HRS'!L11,'05.08, KARUMA-GULU-24HRS'!L11,'7.08 KARUMA-GULU'!L11)</f>
        <v>3.2857142857142856</v>
      </c>
      <c r="M11" s="49">
        <f>AVERAGE('01.08 KARUMA-GULU'!M11,'02.08 KARUMA-GULU'!M11,'04.08 KARUMA-GULU'!M11,'06.08 KARUMA-GULU'!M11,'03.08 KARUMA-GULU-24HRS'!M11,'05.08, KARUMA-GULU-24HRS'!M11,'7.08 KARUMA-GULU'!M11)</f>
        <v>55.142857142857146</v>
      </c>
      <c r="N11" s="49">
        <f>AVERAGE('01.08 KARUMA-GULU'!N11,'02.08 KARUMA-GULU'!N11,'04.08 KARUMA-GULU'!N11,'06.08 KARUMA-GULU'!N11,'03.08 KARUMA-GULU-24HRS'!N11,'05.08, KARUMA-GULU-24HRS'!N11,'7.08 KARUMA-GULU'!N11)</f>
        <v>0</v>
      </c>
      <c r="O11" s="15">
        <f t="shared" si="0"/>
        <v>10.743097238895558</v>
      </c>
      <c r="P11" s="15">
        <f t="shared" si="1"/>
        <v>65.885954381752697</v>
      </c>
      <c r="R11" s="1" t="s">
        <v>7</v>
      </c>
      <c r="S11" s="17">
        <f t="shared" ref="S11:AF11" si="3">SUM(C14:C17)</f>
        <v>26.320528211284515</v>
      </c>
      <c r="T11" s="17">
        <f t="shared" si="3"/>
        <v>5.6578631452581032</v>
      </c>
      <c r="U11" s="17">
        <f t="shared" si="3"/>
        <v>13.818727490996398</v>
      </c>
      <c r="V11" s="17">
        <f t="shared" si="3"/>
        <v>3.811524609843937</v>
      </c>
      <c r="W11" s="17">
        <f t="shared" si="3"/>
        <v>0.42857142857142855</v>
      </c>
      <c r="X11" s="17">
        <f t="shared" si="3"/>
        <v>0.5258103241296519</v>
      </c>
      <c r="Y11" s="17">
        <f t="shared" si="3"/>
        <v>8.0804321728691484</v>
      </c>
      <c r="Z11" s="17">
        <f t="shared" si="3"/>
        <v>1.7142857142857142</v>
      </c>
      <c r="AA11" s="17">
        <f t="shared" si="3"/>
        <v>0.5714285714285714</v>
      </c>
      <c r="AB11" s="17">
        <f t="shared" si="3"/>
        <v>7.1200480192076832</v>
      </c>
      <c r="AC11" s="17">
        <f t="shared" si="3"/>
        <v>235.28571428571431</v>
      </c>
      <c r="AD11" s="17">
        <f t="shared" si="3"/>
        <v>0</v>
      </c>
      <c r="AE11" s="31">
        <f t="shared" si="3"/>
        <v>68.049219687875151</v>
      </c>
      <c r="AF11" s="31">
        <f t="shared" si="3"/>
        <v>303.33493397358944</v>
      </c>
    </row>
    <row r="12" spans="2:32" ht="23.1" customHeight="1" x14ac:dyDescent="0.25">
      <c r="B12" s="23" t="s">
        <v>39</v>
      </c>
      <c r="C12" s="49">
        <f>AVERAGE('01.08 KARUMA-GULU'!C12,'02.08 KARUMA-GULU'!C12,'04.08 KARUMA-GULU'!C12,'06.08 KARUMA-GULU'!C12,'03.08 KARUMA-GULU-24HRS'!C12,'05.08, KARUMA-GULU-24HRS'!C12,'7.08 KARUMA-GULU'!C12)</f>
        <v>3.6914765906362548</v>
      </c>
      <c r="D12" s="49">
        <f>AVERAGE('01.08 KARUMA-GULU'!D12,'02.08 KARUMA-GULU'!D12,'04.08 KARUMA-GULU'!D12,'06.08 KARUMA-GULU'!D12,'03.08 KARUMA-GULU-24HRS'!D12,'05.08, KARUMA-GULU-24HRS'!D12,'7.08 KARUMA-GULU'!D12)</f>
        <v>1.0972388955582233</v>
      </c>
      <c r="E12" s="49">
        <f>AVERAGE('01.08 KARUMA-GULU'!E12,'02.08 KARUMA-GULU'!E12,'04.08 KARUMA-GULU'!E12,'06.08 KARUMA-GULU'!E12,'03.08 KARUMA-GULU-24HRS'!E12,'05.08, KARUMA-GULU-24HRS'!E12,'7.08 KARUMA-GULU'!E12)</f>
        <v>2.3145258103241297</v>
      </c>
      <c r="F12" s="49">
        <f>AVERAGE('01.08 KARUMA-GULU'!F12,'02.08 KARUMA-GULU'!F12,'04.08 KARUMA-GULU'!F12,'06.08 KARUMA-GULU'!F12,'03.08 KARUMA-GULU-24HRS'!F12,'05.08, KARUMA-GULU-24HRS'!F12,'7.08 KARUMA-GULU'!F12)</f>
        <v>0.83433373349339734</v>
      </c>
      <c r="G12" s="49">
        <f>AVERAGE('01.08 KARUMA-GULU'!G12,'02.08 KARUMA-GULU'!G12,'04.08 KARUMA-GULU'!G12,'06.08 KARUMA-GULU'!G12,'03.08 KARUMA-GULU-24HRS'!G12,'05.08, KARUMA-GULU-24HRS'!G12,'7.08 KARUMA-GULU'!G12)</f>
        <v>0</v>
      </c>
      <c r="H12" s="49">
        <f>AVERAGE('01.08 KARUMA-GULU'!H12,'02.08 KARUMA-GULU'!H12,'04.08 KARUMA-GULU'!H12,'06.08 KARUMA-GULU'!H12,'03.08 KARUMA-GULU-24HRS'!H12,'05.08, KARUMA-GULU-24HRS'!H12,'7.08 KARUMA-GULU'!H12)</f>
        <v>0.24009603841536614</v>
      </c>
      <c r="I12" s="49">
        <f>AVERAGE('01.08 KARUMA-GULU'!I12,'02.08 KARUMA-GULU'!I12,'04.08 KARUMA-GULU'!I12,'06.08 KARUMA-GULU'!I12,'03.08 KARUMA-GULU-24HRS'!I12,'05.08, KARUMA-GULU-24HRS'!I12,'7.08 KARUMA-GULU'!I12)</f>
        <v>1.8343337334933973</v>
      </c>
      <c r="J12" s="49">
        <f>AVERAGE('01.08 KARUMA-GULU'!J12,'02.08 KARUMA-GULU'!J12,'04.08 KARUMA-GULU'!J12,'06.08 KARUMA-GULU'!J12,'03.08 KARUMA-GULU-24HRS'!J12,'05.08, KARUMA-GULU-24HRS'!J12,'7.08 KARUMA-GULU'!J12)</f>
        <v>0.42857142857142855</v>
      </c>
      <c r="K12" s="49">
        <f>AVERAGE('01.08 KARUMA-GULU'!K12,'02.08 KARUMA-GULU'!K12,'04.08 KARUMA-GULU'!K12,'06.08 KARUMA-GULU'!K12,'03.08 KARUMA-GULU-24HRS'!K12,'05.08, KARUMA-GULU-24HRS'!K12,'7.08 KARUMA-GULU'!K12)</f>
        <v>0</v>
      </c>
      <c r="L12" s="49">
        <f>AVERAGE('01.08 KARUMA-GULU'!L12,'02.08 KARUMA-GULU'!L12,'04.08 KARUMA-GULU'!L12,'06.08 KARUMA-GULU'!L12,'03.08 KARUMA-GULU-24HRS'!L12,'05.08, KARUMA-GULU-24HRS'!L12,'7.08 KARUMA-GULU'!L12)</f>
        <v>1.5714285714285714</v>
      </c>
      <c r="M12" s="49">
        <f>AVERAGE('01.08 KARUMA-GULU'!M12,'02.08 KARUMA-GULU'!M12,'04.08 KARUMA-GULU'!M12,'06.08 KARUMA-GULU'!M12,'03.08 KARUMA-GULU-24HRS'!M12,'05.08, KARUMA-GULU-24HRS'!M12,'7.08 KARUMA-GULU'!M12)</f>
        <v>63.857142857142854</v>
      </c>
      <c r="N12" s="49">
        <f>AVERAGE('01.08 KARUMA-GULU'!N12,'02.08 KARUMA-GULU'!N12,'04.08 KARUMA-GULU'!N12,'06.08 KARUMA-GULU'!N12,'03.08 KARUMA-GULU-24HRS'!N12,'05.08, KARUMA-GULU-24HRS'!N12,'7.08 KARUMA-GULU'!N12)</f>
        <v>0</v>
      </c>
      <c r="O12" s="15">
        <f t="shared" si="0"/>
        <v>12.012004801920767</v>
      </c>
      <c r="P12" s="15">
        <f t="shared" si="1"/>
        <v>75.869147659063628</v>
      </c>
      <c r="R12" s="1" t="s">
        <v>8</v>
      </c>
      <c r="S12" s="17">
        <f t="shared" ref="S12:AF12" si="4">SUM(C18:C21)</f>
        <v>22.498199279711883</v>
      </c>
      <c r="T12" s="17">
        <f t="shared" si="4"/>
        <v>6.2977190876350537</v>
      </c>
      <c r="U12" s="17">
        <f t="shared" si="4"/>
        <v>14.384153661464586</v>
      </c>
      <c r="V12" s="17">
        <f t="shared" si="4"/>
        <v>4.0804321728691475</v>
      </c>
      <c r="W12" s="17">
        <f t="shared" si="4"/>
        <v>0.26290516206482595</v>
      </c>
      <c r="X12" s="17">
        <f t="shared" si="4"/>
        <v>0.26290516206482595</v>
      </c>
      <c r="Y12" s="17">
        <f t="shared" si="4"/>
        <v>7.709483793517407</v>
      </c>
      <c r="Z12" s="17">
        <f t="shared" si="4"/>
        <v>1.857142857142857</v>
      </c>
      <c r="AA12" s="17">
        <f t="shared" si="4"/>
        <v>0.42857142857142855</v>
      </c>
      <c r="AB12" s="17">
        <f t="shared" si="4"/>
        <v>5.7887154861944783</v>
      </c>
      <c r="AC12" s="17">
        <f t="shared" si="4"/>
        <v>239.52857142857141</v>
      </c>
      <c r="AD12" s="17">
        <f t="shared" si="4"/>
        <v>0.14285714285714285</v>
      </c>
      <c r="AE12" s="31">
        <f t="shared" si="4"/>
        <v>63.71308523409364</v>
      </c>
      <c r="AF12" s="31">
        <f t="shared" si="4"/>
        <v>303.24165666266504</v>
      </c>
    </row>
    <row r="13" spans="2:32" ht="23.1" customHeight="1" x14ac:dyDescent="0.25">
      <c r="B13" s="23" t="s">
        <v>40</v>
      </c>
      <c r="C13" s="49">
        <f>AVERAGE('01.08 KARUMA-GULU'!C13,'02.08 KARUMA-GULU'!C13,'04.08 KARUMA-GULU'!C13,'06.08 KARUMA-GULU'!C13,'03.08 KARUMA-GULU-24HRS'!C13,'05.08, KARUMA-GULU-24HRS'!C13,'7.08 KARUMA-GULU'!C13)</f>
        <v>4.074429771908763</v>
      </c>
      <c r="D13" s="49">
        <f>AVERAGE('01.08 KARUMA-GULU'!D13,'02.08 KARUMA-GULU'!D13,'04.08 KARUMA-GULU'!D13,'06.08 KARUMA-GULU'!D13,'03.08 KARUMA-GULU-24HRS'!D13,'05.08, KARUMA-GULU-24HRS'!D13,'7.08 KARUMA-GULU'!D13)</f>
        <v>1.3601440576230492</v>
      </c>
      <c r="E13" s="49">
        <f>AVERAGE('01.08 KARUMA-GULU'!E13,'02.08 KARUMA-GULU'!E13,'04.08 KARUMA-GULU'!E13,'06.08 KARUMA-GULU'!E13,'03.08 KARUMA-GULU-24HRS'!E13,'05.08, KARUMA-GULU-24HRS'!E13,'7.08 KARUMA-GULU'!E13)</f>
        <v>3.26890756302521</v>
      </c>
      <c r="F13" s="49">
        <f>AVERAGE('01.08 KARUMA-GULU'!F13,'02.08 KARUMA-GULU'!F13,'04.08 KARUMA-GULU'!F13,'06.08 KARUMA-GULU'!F13,'03.08 KARUMA-GULU-24HRS'!F13,'05.08, KARUMA-GULU-24HRS'!F13,'7.08 KARUMA-GULU'!F13)</f>
        <v>0.5258103241296519</v>
      </c>
      <c r="G13" s="49">
        <f>AVERAGE('01.08 KARUMA-GULU'!G13,'02.08 KARUMA-GULU'!G13,'04.08 KARUMA-GULU'!G13,'06.08 KARUMA-GULU'!G13,'03.08 KARUMA-GULU-24HRS'!G13,'05.08, KARUMA-GULU-24HRS'!G13,'7.08 KARUMA-GULU'!G13)</f>
        <v>0</v>
      </c>
      <c r="H13" s="49">
        <f>AVERAGE('01.08 KARUMA-GULU'!H13,'02.08 KARUMA-GULU'!H13,'04.08 KARUMA-GULU'!H13,'06.08 KARUMA-GULU'!H13,'03.08 KARUMA-GULU-24HRS'!H13,'05.08, KARUMA-GULU-24HRS'!H13,'7.08 KARUMA-GULU'!H13)</f>
        <v>0</v>
      </c>
      <c r="I13" s="49">
        <f>AVERAGE('01.08 KARUMA-GULU'!I13,'02.08 KARUMA-GULU'!I13,'04.08 KARUMA-GULU'!I13,'06.08 KARUMA-GULU'!I13,'03.08 KARUMA-GULU-24HRS'!I13,'05.08, KARUMA-GULU-24HRS'!I13,'7.08 KARUMA-GULU'!I13)</f>
        <v>1.6458583433373348</v>
      </c>
      <c r="J13" s="49">
        <f>AVERAGE('01.08 KARUMA-GULU'!J13,'02.08 KARUMA-GULU'!J13,'04.08 KARUMA-GULU'!J13,'06.08 KARUMA-GULU'!J13,'03.08 KARUMA-GULU-24HRS'!J13,'05.08, KARUMA-GULU-24HRS'!J13,'7.08 KARUMA-GULU'!J13)</f>
        <v>0.5714285714285714</v>
      </c>
      <c r="K13" s="49">
        <f>AVERAGE('01.08 KARUMA-GULU'!K13,'02.08 KARUMA-GULU'!K13,'04.08 KARUMA-GULU'!K13,'06.08 KARUMA-GULU'!K13,'03.08 KARUMA-GULU-24HRS'!K13,'05.08, KARUMA-GULU-24HRS'!K13,'7.08 KARUMA-GULU'!K13)</f>
        <v>0</v>
      </c>
      <c r="L13" s="49">
        <f>AVERAGE('01.08 KARUMA-GULU'!L13,'02.08 KARUMA-GULU'!L13,'04.08 KARUMA-GULU'!L13,'06.08 KARUMA-GULU'!L13,'03.08 KARUMA-GULU-24HRS'!L13,'05.08, KARUMA-GULU-24HRS'!L13,'7.08 KARUMA-GULU'!L13)</f>
        <v>1.8571428571428572</v>
      </c>
      <c r="M13" s="49">
        <f>AVERAGE('01.08 KARUMA-GULU'!M13,'02.08 KARUMA-GULU'!M13,'04.08 KARUMA-GULU'!M13,'06.08 KARUMA-GULU'!M13,'03.08 KARUMA-GULU-24HRS'!M13,'05.08, KARUMA-GULU-24HRS'!M13,'7.08 KARUMA-GULU'!M13)</f>
        <v>64.428571428571431</v>
      </c>
      <c r="N13" s="49">
        <f>AVERAGE('01.08 KARUMA-GULU'!N13,'02.08 KARUMA-GULU'!N13,'04.08 KARUMA-GULU'!N13,'06.08 KARUMA-GULU'!N13,'03.08 KARUMA-GULU-24HRS'!N13,'05.08, KARUMA-GULU-24HRS'!N13,'7.08 KARUMA-GULU'!N13)</f>
        <v>0</v>
      </c>
      <c r="O13" s="15">
        <f t="shared" si="0"/>
        <v>13.303721488595437</v>
      </c>
      <c r="P13" s="15">
        <f t="shared" si="1"/>
        <v>77.732292917166873</v>
      </c>
      <c r="R13" s="1" t="s">
        <v>9</v>
      </c>
      <c r="S13" s="17">
        <f t="shared" ref="S13:AF13" si="5">SUM(C22:C25)</f>
        <v>20.618247298919567</v>
      </c>
      <c r="T13" s="17">
        <f t="shared" si="5"/>
        <v>7.26890756302521</v>
      </c>
      <c r="U13" s="17">
        <f t="shared" si="5"/>
        <v>16.183673469387756</v>
      </c>
      <c r="V13" s="17">
        <f t="shared" si="5"/>
        <v>3.9831932773109244</v>
      </c>
      <c r="W13" s="17">
        <f t="shared" si="5"/>
        <v>0.8571428571428571</v>
      </c>
      <c r="X13" s="17">
        <f t="shared" si="5"/>
        <v>0.78871548619447784</v>
      </c>
      <c r="Y13" s="17">
        <f t="shared" si="5"/>
        <v>6.1320528211284513</v>
      </c>
      <c r="Z13" s="17">
        <f t="shared" si="5"/>
        <v>2.1428571428571428</v>
      </c>
      <c r="AA13" s="17">
        <f t="shared" si="5"/>
        <v>0.42857142857142855</v>
      </c>
      <c r="AB13" s="17">
        <f t="shared" si="5"/>
        <v>6.1260504201680668</v>
      </c>
      <c r="AC13" s="17">
        <f t="shared" si="5"/>
        <v>198.64285714285714</v>
      </c>
      <c r="AD13" s="17">
        <f t="shared" si="5"/>
        <v>0</v>
      </c>
      <c r="AE13" s="31">
        <f t="shared" si="5"/>
        <v>64.529411764705884</v>
      </c>
      <c r="AF13" s="31">
        <f t="shared" si="5"/>
        <v>263.17226890756302</v>
      </c>
    </row>
    <row r="14" spans="2:32" ht="23.1" customHeight="1" x14ac:dyDescent="0.25">
      <c r="B14" s="23" t="s">
        <v>41</v>
      </c>
      <c r="C14" s="49">
        <f>AVERAGE('01.08 KARUMA-GULU'!C14,'02.08 KARUMA-GULU'!C14,'04.08 KARUMA-GULU'!C14,'06.08 KARUMA-GULU'!C14,'03.08 KARUMA-GULU-24HRS'!C14,'05.08, KARUMA-GULU-24HRS'!C14,'7.08 KARUMA-GULU'!C14)</f>
        <v>5.9543817527010807</v>
      </c>
      <c r="D14" s="49">
        <f>AVERAGE('01.08 KARUMA-GULU'!D14,'02.08 KARUMA-GULU'!D14,'04.08 KARUMA-GULU'!D14,'06.08 KARUMA-GULU'!D14,'03.08 KARUMA-GULU-24HRS'!D14,'05.08, KARUMA-GULU-24HRS'!D14,'7.08 KARUMA-GULU'!D14)</f>
        <v>1.6002400960384153</v>
      </c>
      <c r="E14" s="49">
        <f>AVERAGE('01.08 KARUMA-GULU'!E14,'02.08 KARUMA-GULU'!E14,'04.08 KARUMA-GULU'!E14,'06.08 KARUMA-GULU'!E14,'03.08 KARUMA-GULU-24HRS'!E14,'05.08, KARUMA-GULU-24HRS'!E14,'7.08 KARUMA-GULU'!E14)</f>
        <v>4.0348139255702282</v>
      </c>
      <c r="F14" s="49">
        <f>AVERAGE('01.08 KARUMA-GULU'!F14,'02.08 KARUMA-GULU'!F14,'04.08 KARUMA-GULU'!F14,'06.08 KARUMA-GULU'!F14,'03.08 KARUMA-GULU-24HRS'!F14,'05.08, KARUMA-GULU-24HRS'!F14,'7.08 KARUMA-GULU'!F14)</f>
        <v>0.8571428571428571</v>
      </c>
      <c r="G14" s="49">
        <f>AVERAGE('01.08 KARUMA-GULU'!G14,'02.08 KARUMA-GULU'!G14,'04.08 KARUMA-GULU'!G14,'06.08 KARUMA-GULU'!G14,'03.08 KARUMA-GULU-24HRS'!G14,'05.08, KARUMA-GULU-24HRS'!G14,'7.08 KARUMA-GULU'!G14)</f>
        <v>0.14285714285714285</v>
      </c>
      <c r="H14" s="49">
        <f>AVERAGE('01.08 KARUMA-GULU'!H14,'02.08 KARUMA-GULU'!H14,'04.08 KARUMA-GULU'!H14,'06.08 KARUMA-GULU'!H14,'03.08 KARUMA-GULU-24HRS'!H14,'05.08, KARUMA-GULU-24HRS'!H14,'7.08 KARUMA-GULU'!H14)</f>
        <v>0.14285714285714285</v>
      </c>
      <c r="I14" s="49">
        <f>AVERAGE('01.08 KARUMA-GULU'!I14,'02.08 KARUMA-GULU'!I14,'04.08 KARUMA-GULU'!I14,'06.08 KARUMA-GULU'!I14,'03.08 KARUMA-GULU-24HRS'!I14,'05.08, KARUMA-GULU-24HRS'!I14,'7.08 KARUMA-GULU'!I14)</f>
        <v>1.9771908763505404</v>
      </c>
      <c r="J14" s="49">
        <f>AVERAGE('01.08 KARUMA-GULU'!J14,'02.08 KARUMA-GULU'!J14,'04.08 KARUMA-GULU'!J14,'06.08 KARUMA-GULU'!J14,'03.08 KARUMA-GULU-24HRS'!J14,'05.08, KARUMA-GULU-24HRS'!J14,'7.08 KARUMA-GULU'!J14)</f>
        <v>0.14285714285714285</v>
      </c>
      <c r="K14" s="49">
        <f>AVERAGE('01.08 KARUMA-GULU'!K14,'02.08 KARUMA-GULU'!K14,'04.08 KARUMA-GULU'!K14,'06.08 KARUMA-GULU'!K14,'03.08 KARUMA-GULU-24HRS'!K14,'05.08, KARUMA-GULU-24HRS'!K14,'7.08 KARUMA-GULU'!K14)</f>
        <v>0.14285714285714285</v>
      </c>
      <c r="L14" s="49">
        <f>AVERAGE('01.08 KARUMA-GULU'!L14,'02.08 KARUMA-GULU'!L14,'04.08 KARUMA-GULU'!L14,'06.08 KARUMA-GULU'!L14,'03.08 KARUMA-GULU-24HRS'!L14,'05.08, KARUMA-GULU-24HRS'!L14,'7.08 KARUMA-GULU'!L14)</f>
        <v>1.5714285714285714</v>
      </c>
      <c r="M14" s="49">
        <f>AVERAGE('01.08 KARUMA-GULU'!M14,'02.08 KARUMA-GULU'!M14,'04.08 KARUMA-GULU'!M14,'06.08 KARUMA-GULU'!M14,'03.08 KARUMA-GULU-24HRS'!M14,'05.08, KARUMA-GULU-24HRS'!M14,'7.08 KARUMA-GULU'!M14)</f>
        <v>57.571428571428569</v>
      </c>
      <c r="N14" s="49">
        <f>AVERAGE('01.08 KARUMA-GULU'!N14,'02.08 KARUMA-GULU'!N14,'04.08 KARUMA-GULU'!N14,'06.08 KARUMA-GULU'!N14,'03.08 KARUMA-GULU-24HRS'!N14,'05.08, KARUMA-GULU-24HRS'!N14,'7.08 KARUMA-GULU'!N14)</f>
        <v>0</v>
      </c>
      <c r="O14" s="15">
        <f t="shared" si="0"/>
        <v>16.566626650660265</v>
      </c>
      <c r="P14" s="15">
        <f t="shared" si="1"/>
        <v>74.138055222088838</v>
      </c>
      <c r="R14" s="1" t="s">
        <v>10</v>
      </c>
      <c r="S14" s="17">
        <f t="shared" ref="S14:AF14" si="6">SUM(C26:C29)</f>
        <v>20.521008403361343</v>
      </c>
      <c r="T14" s="17">
        <f t="shared" si="6"/>
        <v>7.1320528211284522</v>
      </c>
      <c r="U14" s="17">
        <f t="shared" si="6"/>
        <v>16.218487394957982</v>
      </c>
      <c r="V14" s="17">
        <f t="shared" si="6"/>
        <v>3.623049219687875</v>
      </c>
      <c r="W14" s="17">
        <f t="shared" si="6"/>
        <v>0.42857142857142855</v>
      </c>
      <c r="X14" s="17">
        <f t="shared" si="6"/>
        <v>1.6686674669867947</v>
      </c>
      <c r="Y14" s="17">
        <f t="shared" si="6"/>
        <v>7.2064825930372152</v>
      </c>
      <c r="Z14" s="17">
        <f t="shared" si="6"/>
        <v>0.8571428571428571</v>
      </c>
      <c r="AA14" s="17">
        <f t="shared" si="6"/>
        <v>0.26290516206482595</v>
      </c>
      <c r="AB14" s="17">
        <f t="shared" si="6"/>
        <v>6.2292917166866744</v>
      </c>
      <c r="AC14" s="17">
        <f t="shared" si="6"/>
        <v>171.65714285714287</v>
      </c>
      <c r="AD14" s="17">
        <f t="shared" si="6"/>
        <v>0</v>
      </c>
      <c r="AE14" s="31">
        <f t="shared" si="6"/>
        <v>64.14765906362544</v>
      </c>
      <c r="AF14" s="31">
        <f t="shared" si="6"/>
        <v>235.80480192076831</v>
      </c>
    </row>
    <row r="15" spans="2:32" ht="23.1" customHeight="1" x14ac:dyDescent="0.25">
      <c r="B15" s="23" t="s">
        <v>42</v>
      </c>
      <c r="C15" s="49">
        <f>AVERAGE('01.08 KARUMA-GULU'!C15,'02.08 KARUMA-GULU'!C15,'04.08 KARUMA-GULU'!C15,'06.08 KARUMA-GULU'!C15,'03.08 KARUMA-GULU-24HRS'!C15,'05.08, KARUMA-GULU-24HRS'!C15,'7.08 KARUMA-GULU'!C15)</f>
        <v>5.4801920768307326</v>
      </c>
      <c r="D15" s="49">
        <f>AVERAGE('01.08 KARUMA-GULU'!D15,'02.08 KARUMA-GULU'!D15,'04.08 KARUMA-GULU'!D15,'06.08 KARUMA-GULU'!D15,'03.08 KARUMA-GULU-24HRS'!D15,'05.08, KARUMA-GULU-24HRS'!D15,'7.08 KARUMA-GULU'!D15)</f>
        <v>1.0972388955582233</v>
      </c>
      <c r="E15" s="49">
        <f>AVERAGE('01.08 KARUMA-GULU'!E15,'02.08 KARUMA-GULU'!E15,'04.08 KARUMA-GULU'!E15,'06.08 KARUMA-GULU'!E15,'03.08 KARUMA-GULU-24HRS'!E15,'05.08, KARUMA-GULU-24HRS'!E15,'7.08 KARUMA-GULU'!E15)</f>
        <v>2.623049219687875</v>
      </c>
      <c r="F15" s="49">
        <f>AVERAGE('01.08 KARUMA-GULU'!F15,'02.08 KARUMA-GULU'!F15,'04.08 KARUMA-GULU'!F15,'06.08 KARUMA-GULU'!F15,'03.08 KARUMA-GULU-24HRS'!F15,'05.08, KARUMA-GULU-24HRS'!F15,'7.08 KARUMA-GULU'!F15)</f>
        <v>0.69147659063625455</v>
      </c>
      <c r="G15" s="49">
        <f>AVERAGE('01.08 KARUMA-GULU'!G15,'02.08 KARUMA-GULU'!G15,'04.08 KARUMA-GULU'!G15,'06.08 KARUMA-GULU'!G15,'03.08 KARUMA-GULU-24HRS'!G15,'05.08, KARUMA-GULU-24HRS'!G15,'7.08 KARUMA-GULU'!G15)</f>
        <v>0</v>
      </c>
      <c r="H15" s="49">
        <f>AVERAGE('01.08 KARUMA-GULU'!H15,'02.08 KARUMA-GULU'!H15,'04.08 KARUMA-GULU'!H15,'06.08 KARUMA-GULU'!H15,'03.08 KARUMA-GULU-24HRS'!H15,'05.08, KARUMA-GULU-24HRS'!H15,'7.08 KARUMA-GULU'!H15)</f>
        <v>0</v>
      </c>
      <c r="I15" s="49">
        <f>AVERAGE('01.08 KARUMA-GULU'!I15,'02.08 KARUMA-GULU'!I15,'04.08 KARUMA-GULU'!I15,'06.08 KARUMA-GULU'!I15,'03.08 KARUMA-GULU-24HRS'!I15,'05.08, KARUMA-GULU-24HRS'!I15,'7.08 KARUMA-GULU'!I15)</f>
        <v>1.9771908763505404</v>
      </c>
      <c r="J15" s="49">
        <f>AVERAGE('01.08 KARUMA-GULU'!J15,'02.08 KARUMA-GULU'!J15,'04.08 KARUMA-GULU'!J15,'06.08 KARUMA-GULU'!J15,'03.08 KARUMA-GULU-24HRS'!J15,'05.08, KARUMA-GULU-24HRS'!J15,'7.08 KARUMA-GULU'!J15)</f>
        <v>0.14285714285714285</v>
      </c>
      <c r="K15" s="49">
        <f>AVERAGE('01.08 KARUMA-GULU'!K15,'02.08 KARUMA-GULU'!K15,'04.08 KARUMA-GULU'!K15,'06.08 KARUMA-GULU'!K15,'03.08 KARUMA-GULU-24HRS'!K15,'05.08, KARUMA-GULU-24HRS'!K15,'7.08 KARUMA-GULU'!K15)</f>
        <v>0</v>
      </c>
      <c r="L15" s="49">
        <f>AVERAGE('01.08 KARUMA-GULU'!L15,'02.08 KARUMA-GULU'!L15,'04.08 KARUMA-GULU'!L15,'06.08 KARUMA-GULU'!L15,'03.08 KARUMA-GULU-24HRS'!L15,'05.08, KARUMA-GULU-24HRS'!L15,'7.08 KARUMA-GULU'!L15)</f>
        <v>1.7142857142857142</v>
      </c>
      <c r="M15" s="49">
        <f>AVERAGE('01.08 KARUMA-GULU'!M15,'02.08 KARUMA-GULU'!M15,'04.08 KARUMA-GULU'!M15,'06.08 KARUMA-GULU'!M15,'03.08 KARUMA-GULU-24HRS'!M15,'05.08, KARUMA-GULU-24HRS'!M15,'7.08 KARUMA-GULU'!M15)</f>
        <v>59.142857142857146</v>
      </c>
      <c r="N15" s="49">
        <f>AVERAGE('01.08 KARUMA-GULU'!N15,'02.08 KARUMA-GULU'!N15,'04.08 KARUMA-GULU'!N15,'06.08 KARUMA-GULU'!N15,'03.08 KARUMA-GULU-24HRS'!N15,'05.08, KARUMA-GULU-24HRS'!N15,'7.08 KARUMA-GULU'!N15)</f>
        <v>0</v>
      </c>
      <c r="O15" s="15">
        <f t="shared" si="0"/>
        <v>13.726290516206483</v>
      </c>
      <c r="P15" s="15">
        <f t="shared" si="1"/>
        <v>72.869147659063628</v>
      </c>
      <c r="R15" s="1" t="s">
        <v>11</v>
      </c>
      <c r="S15" s="17">
        <f t="shared" ref="S15:AF15" si="7">SUM(C30:C33)</f>
        <v>21.709483793517407</v>
      </c>
      <c r="T15" s="17">
        <f t="shared" si="7"/>
        <v>6.6290516206482604</v>
      </c>
      <c r="U15" s="17">
        <f t="shared" si="7"/>
        <v>14.115246098439375</v>
      </c>
      <c r="V15" s="17">
        <f t="shared" si="7"/>
        <v>4.3601440576230486</v>
      </c>
      <c r="W15" s="17">
        <f t="shared" si="7"/>
        <v>0.54861944777911165</v>
      </c>
      <c r="X15" s="17">
        <f t="shared" si="7"/>
        <v>1.8115246098439373</v>
      </c>
      <c r="Y15" s="17">
        <f t="shared" si="7"/>
        <v>7.8235294117647056</v>
      </c>
      <c r="Z15" s="17">
        <f t="shared" si="7"/>
        <v>1.3829531812725091</v>
      </c>
      <c r="AA15" s="17">
        <f t="shared" si="7"/>
        <v>0</v>
      </c>
      <c r="AB15" s="17">
        <f t="shared" si="7"/>
        <v>5.0636254501800719</v>
      </c>
      <c r="AC15" s="17">
        <f t="shared" si="7"/>
        <v>182.51428571428573</v>
      </c>
      <c r="AD15" s="17">
        <f t="shared" si="7"/>
        <v>0</v>
      </c>
      <c r="AE15" s="31">
        <f t="shared" si="7"/>
        <v>63.444177671068431</v>
      </c>
      <c r="AF15" s="31">
        <f t="shared" si="7"/>
        <v>245.95846338535415</v>
      </c>
    </row>
    <row r="16" spans="2:32" ht="23.1" customHeight="1" x14ac:dyDescent="0.25">
      <c r="B16" s="23" t="s">
        <v>43</v>
      </c>
      <c r="C16" s="49">
        <f>AVERAGE('01.08 KARUMA-GULU'!C16,'02.08 KARUMA-GULU'!C16,'04.08 KARUMA-GULU'!C16,'06.08 KARUMA-GULU'!C16,'03.08 KARUMA-GULU-24HRS'!C16,'05.08, KARUMA-GULU-24HRS'!C16,'7.08 KARUMA-GULU'!C16)</f>
        <v>9.3829531812725087</v>
      </c>
      <c r="D16" s="49">
        <f>AVERAGE('01.08 KARUMA-GULU'!D16,'02.08 KARUMA-GULU'!D16,'04.08 KARUMA-GULU'!D16,'06.08 KARUMA-GULU'!D16,'03.08 KARUMA-GULU-24HRS'!D16,'05.08, KARUMA-GULU-24HRS'!D16,'7.08 KARUMA-GULU'!D16)</f>
        <v>1.3601440576230492</v>
      </c>
      <c r="E16" s="49">
        <f>AVERAGE('01.08 KARUMA-GULU'!E16,'02.08 KARUMA-GULU'!E16,'04.08 KARUMA-GULU'!E16,'06.08 KARUMA-GULU'!E16,'03.08 KARUMA-GULU-24HRS'!E16,'05.08, KARUMA-GULU-24HRS'!E16,'7.08 KARUMA-GULU'!E16)</f>
        <v>3.4117647058823528</v>
      </c>
      <c r="F16" s="49">
        <f>AVERAGE('01.08 KARUMA-GULU'!F16,'02.08 KARUMA-GULU'!F16,'04.08 KARUMA-GULU'!F16,'06.08 KARUMA-GULU'!F16,'03.08 KARUMA-GULU-24HRS'!F16,'05.08, KARUMA-GULU-24HRS'!F16,'7.08 KARUMA-GULU'!F16)</f>
        <v>1.1200480192076829</v>
      </c>
      <c r="G16" s="49">
        <f>AVERAGE('01.08 KARUMA-GULU'!G16,'02.08 KARUMA-GULU'!G16,'04.08 KARUMA-GULU'!G16,'06.08 KARUMA-GULU'!G16,'03.08 KARUMA-GULU-24HRS'!G16,'05.08, KARUMA-GULU-24HRS'!G16,'7.08 KARUMA-GULU'!G16)</f>
        <v>0.14285714285714285</v>
      </c>
      <c r="H16" s="49">
        <f>AVERAGE('01.08 KARUMA-GULU'!H16,'02.08 KARUMA-GULU'!H16,'04.08 KARUMA-GULU'!H16,'06.08 KARUMA-GULU'!H16,'03.08 KARUMA-GULU-24HRS'!H16,'05.08, KARUMA-GULU-24HRS'!H16,'7.08 KARUMA-GULU'!H16)</f>
        <v>0.38295318127250905</v>
      </c>
      <c r="I16" s="49">
        <f>AVERAGE('01.08 KARUMA-GULU'!I16,'02.08 KARUMA-GULU'!I16,'04.08 KARUMA-GULU'!I16,'06.08 KARUMA-GULU'!I16,'03.08 KARUMA-GULU-24HRS'!I16,'05.08, KARUMA-GULU-24HRS'!I16,'7.08 KARUMA-GULU'!I16)</f>
        <v>1.5774309723889555</v>
      </c>
      <c r="J16" s="49">
        <f>AVERAGE('01.08 KARUMA-GULU'!J16,'02.08 KARUMA-GULU'!J16,'04.08 KARUMA-GULU'!J16,'06.08 KARUMA-GULU'!J16,'03.08 KARUMA-GULU-24HRS'!J16,'05.08, KARUMA-GULU-24HRS'!J16,'7.08 KARUMA-GULU'!J16)</f>
        <v>0.5714285714285714</v>
      </c>
      <c r="K16" s="49">
        <f>AVERAGE('01.08 KARUMA-GULU'!K16,'02.08 KARUMA-GULU'!K16,'04.08 KARUMA-GULU'!K16,'06.08 KARUMA-GULU'!K16,'03.08 KARUMA-GULU-24HRS'!K16,'05.08, KARUMA-GULU-24HRS'!K16,'7.08 KARUMA-GULU'!K16)</f>
        <v>0</v>
      </c>
      <c r="L16" s="49">
        <f>AVERAGE('01.08 KARUMA-GULU'!L16,'02.08 KARUMA-GULU'!L16,'04.08 KARUMA-GULU'!L16,'06.08 KARUMA-GULU'!L16,'03.08 KARUMA-GULU-24HRS'!L16,'05.08, KARUMA-GULU-24HRS'!L16,'7.08 KARUMA-GULU'!L16)</f>
        <v>2.1200480192076832</v>
      </c>
      <c r="M16" s="49">
        <f>AVERAGE('01.08 KARUMA-GULU'!M16,'02.08 KARUMA-GULU'!M16,'04.08 KARUMA-GULU'!M16,'06.08 KARUMA-GULU'!M16,'03.08 KARUMA-GULU-24HRS'!M16,'05.08, KARUMA-GULU-24HRS'!M16,'7.08 KARUMA-GULU'!M16)</f>
        <v>58.428571428571431</v>
      </c>
      <c r="N16" s="49">
        <f>AVERAGE('01.08 KARUMA-GULU'!N16,'02.08 KARUMA-GULU'!N16,'04.08 KARUMA-GULU'!N16,'06.08 KARUMA-GULU'!N16,'03.08 KARUMA-GULU-24HRS'!N16,'05.08, KARUMA-GULU-24HRS'!N16,'7.08 KARUMA-GULU'!N16)</f>
        <v>0</v>
      </c>
      <c r="O16" s="15">
        <f t="shared" si="0"/>
        <v>20.069627851140456</v>
      </c>
      <c r="P16" s="15">
        <f t="shared" si="1"/>
        <v>78.498199279711883</v>
      </c>
      <c r="R16" s="1" t="s">
        <v>12</v>
      </c>
      <c r="S16" s="17">
        <f t="shared" ref="S16:AF16" si="8">SUM(C34:C37)</f>
        <v>18.252100840336134</v>
      </c>
      <c r="T16" s="17">
        <f t="shared" si="8"/>
        <v>9.0120048019207672</v>
      </c>
      <c r="U16" s="17">
        <f t="shared" si="8"/>
        <v>19.098439375750303</v>
      </c>
      <c r="V16" s="17">
        <f t="shared" si="8"/>
        <v>4.6458583433373351</v>
      </c>
      <c r="W16" s="17">
        <f t="shared" si="8"/>
        <v>0.85714285714285698</v>
      </c>
      <c r="X16" s="17">
        <f t="shared" si="8"/>
        <v>1.0972388955582233</v>
      </c>
      <c r="Y16" s="17">
        <f t="shared" si="8"/>
        <v>7.3037214885954373</v>
      </c>
      <c r="Z16" s="17">
        <f t="shared" si="8"/>
        <v>0.83433373349339723</v>
      </c>
      <c r="AA16" s="17">
        <f t="shared" si="8"/>
        <v>0.2857142857142857</v>
      </c>
      <c r="AB16" s="17">
        <f t="shared" si="8"/>
        <v>6.2809123649459782</v>
      </c>
      <c r="AC16" s="17">
        <f t="shared" si="8"/>
        <v>201.28571428571428</v>
      </c>
      <c r="AD16" s="17">
        <f t="shared" si="8"/>
        <v>0</v>
      </c>
      <c r="AE16" s="31">
        <f t="shared" si="8"/>
        <v>67.667466986794722</v>
      </c>
      <c r="AF16" s="31">
        <f t="shared" si="8"/>
        <v>268.95318127250903</v>
      </c>
    </row>
    <row r="17" spans="2:32" ht="23.1" customHeight="1" x14ac:dyDescent="0.25">
      <c r="B17" s="23" t="s">
        <v>44</v>
      </c>
      <c r="C17" s="49">
        <f>AVERAGE('01.08 KARUMA-GULU'!C17,'02.08 KARUMA-GULU'!C17,'04.08 KARUMA-GULU'!C17,'06.08 KARUMA-GULU'!C17,'03.08 KARUMA-GULU-24HRS'!C17,'05.08, KARUMA-GULU-24HRS'!C17,'7.08 KARUMA-GULU'!C17)</f>
        <v>5.5030012004801918</v>
      </c>
      <c r="D17" s="49">
        <f>AVERAGE('01.08 KARUMA-GULU'!D17,'02.08 KARUMA-GULU'!D17,'04.08 KARUMA-GULU'!D17,'06.08 KARUMA-GULU'!D17,'03.08 KARUMA-GULU-24HRS'!D17,'05.08, KARUMA-GULU-24HRS'!D17,'7.08 KARUMA-GULU'!D17)</f>
        <v>1.6002400960384153</v>
      </c>
      <c r="E17" s="49">
        <f>AVERAGE('01.08 KARUMA-GULU'!E17,'02.08 KARUMA-GULU'!E17,'04.08 KARUMA-GULU'!E17,'06.08 KARUMA-GULU'!E17,'03.08 KARUMA-GULU-24HRS'!E17,'05.08, KARUMA-GULU-24HRS'!E17,'7.08 KARUMA-GULU'!E17)</f>
        <v>3.7490996398559426</v>
      </c>
      <c r="F17" s="49">
        <f>AVERAGE('01.08 KARUMA-GULU'!F17,'02.08 KARUMA-GULU'!F17,'04.08 KARUMA-GULU'!F17,'06.08 KARUMA-GULU'!F17,'03.08 KARUMA-GULU-24HRS'!F17,'05.08, KARUMA-GULU-24HRS'!F17,'7.08 KARUMA-GULU'!F17)</f>
        <v>1.1428571428571428</v>
      </c>
      <c r="G17" s="49">
        <f>AVERAGE('01.08 KARUMA-GULU'!G17,'02.08 KARUMA-GULU'!G17,'04.08 KARUMA-GULU'!G17,'06.08 KARUMA-GULU'!G17,'03.08 KARUMA-GULU-24HRS'!G17,'05.08, KARUMA-GULU-24HRS'!G17,'7.08 KARUMA-GULU'!G17)</f>
        <v>0.14285714285714285</v>
      </c>
      <c r="H17" s="49">
        <f>AVERAGE('01.08 KARUMA-GULU'!H17,'02.08 KARUMA-GULU'!H17,'04.08 KARUMA-GULU'!H17,'06.08 KARUMA-GULU'!H17,'03.08 KARUMA-GULU-24HRS'!H17,'05.08, KARUMA-GULU-24HRS'!H17,'7.08 KARUMA-GULU'!H17)</f>
        <v>0</v>
      </c>
      <c r="I17" s="49">
        <f>AVERAGE('01.08 KARUMA-GULU'!I17,'02.08 KARUMA-GULU'!I17,'04.08 KARUMA-GULU'!I17,'06.08 KARUMA-GULU'!I17,'03.08 KARUMA-GULU-24HRS'!I17,'05.08, KARUMA-GULU-24HRS'!I17,'7.08 KARUMA-GULU'!I17)</f>
        <v>2.5486194477791115</v>
      </c>
      <c r="J17" s="49">
        <f>AVERAGE('01.08 KARUMA-GULU'!J17,'02.08 KARUMA-GULU'!J17,'04.08 KARUMA-GULU'!J17,'06.08 KARUMA-GULU'!J17,'03.08 KARUMA-GULU-24HRS'!J17,'05.08, KARUMA-GULU-24HRS'!J17,'7.08 KARUMA-GULU'!J17)</f>
        <v>0.8571428571428571</v>
      </c>
      <c r="K17" s="49">
        <f>AVERAGE('01.08 KARUMA-GULU'!K17,'02.08 KARUMA-GULU'!K17,'04.08 KARUMA-GULU'!K17,'06.08 KARUMA-GULU'!K17,'03.08 KARUMA-GULU-24HRS'!K17,'05.08, KARUMA-GULU-24HRS'!K17,'7.08 KARUMA-GULU'!K17)</f>
        <v>0.42857142857142855</v>
      </c>
      <c r="L17" s="49">
        <f>AVERAGE('01.08 KARUMA-GULU'!L17,'02.08 KARUMA-GULU'!L17,'04.08 KARUMA-GULU'!L17,'06.08 KARUMA-GULU'!L17,'03.08 KARUMA-GULU-24HRS'!L17,'05.08, KARUMA-GULU-24HRS'!L17,'7.08 KARUMA-GULU'!L17)</f>
        <v>1.7142857142857142</v>
      </c>
      <c r="M17" s="49">
        <f>AVERAGE('01.08 KARUMA-GULU'!M17,'02.08 KARUMA-GULU'!M17,'04.08 KARUMA-GULU'!M17,'06.08 KARUMA-GULU'!M17,'03.08 KARUMA-GULU-24HRS'!M17,'05.08, KARUMA-GULU-24HRS'!M17,'7.08 KARUMA-GULU'!M17)</f>
        <v>60.142857142857146</v>
      </c>
      <c r="N17" s="49">
        <f>AVERAGE('01.08 KARUMA-GULU'!N17,'02.08 KARUMA-GULU'!N17,'04.08 KARUMA-GULU'!N17,'06.08 KARUMA-GULU'!N17,'03.08 KARUMA-GULU-24HRS'!N17,'05.08, KARUMA-GULU-24HRS'!N17,'7.08 KARUMA-GULU'!N17)</f>
        <v>0</v>
      </c>
      <c r="O17" s="15">
        <f t="shared" si="0"/>
        <v>17.686674669867948</v>
      </c>
      <c r="P17" s="15">
        <f t="shared" si="1"/>
        <v>77.829531812725094</v>
      </c>
      <c r="R17" s="1" t="s">
        <v>13</v>
      </c>
      <c r="S17" s="17">
        <f t="shared" ref="S17:AF17" si="9">SUM(C38:C41)</f>
        <v>17.589435774309724</v>
      </c>
      <c r="T17" s="17">
        <f t="shared" si="9"/>
        <v>7.3661464585834331</v>
      </c>
      <c r="U17" s="17">
        <f t="shared" si="9"/>
        <v>16.566626650660265</v>
      </c>
      <c r="V17" s="17">
        <f t="shared" si="9"/>
        <v>5.0288115246098437</v>
      </c>
      <c r="W17" s="17">
        <f t="shared" si="9"/>
        <v>0.14285714285714285</v>
      </c>
      <c r="X17" s="17">
        <f t="shared" si="9"/>
        <v>0.66866746698679469</v>
      </c>
      <c r="Y17" s="17">
        <f t="shared" si="9"/>
        <v>6.6350540216086431</v>
      </c>
      <c r="Z17" s="17">
        <f t="shared" si="9"/>
        <v>1.0744297719087634</v>
      </c>
      <c r="AA17" s="17">
        <f t="shared" si="9"/>
        <v>0.71428571428571419</v>
      </c>
      <c r="AB17" s="17">
        <f t="shared" si="9"/>
        <v>4.2977190876350537</v>
      </c>
      <c r="AC17" s="17">
        <f t="shared" si="9"/>
        <v>179.41428571428571</v>
      </c>
      <c r="AD17" s="17">
        <f t="shared" si="9"/>
        <v>0.14285714285714285</v>
      </c>
      <c r="AE17" s="31">
        <f t="shared" si="9"/>
        <v>60.226890756302517</v>
      </c>
      <c r="AF17" s="31">
        <f t="shared" si="9"/>
        <v>239.64117647058822</v>
      </c>
    </row>
    <row r="18" spans="2:32" ht="23.1" customHeight="1" x14ac:dyDescent="0.25">
      <c r="B18" s="23" t="s">
        <v>45</v>
      </c>
      <c r="C18" s="49">
        <f>AVERAGE('01.08 KARUMA-GULU'!C18,'02.08 KARUMA-GULU'!C18,'04.08 KARUMA-GULU'!C18,'06.08 KARUMA-GULU'!C18,'03.08 KARUMA-GULU-24HRS'!C18,'05.08, KARUMA-GULU-24HRS'!C18,'7.08 KARUMA-GULU'!C18)</f>
        <v>6.343337334933973</v>
      </c>
      <c r="D18" s="49">
        <f>AVERAGE('01.08 KARUMA-GULU'!D18,'02.08 KARUMA-GULU'!D18,'04.08 KARUMA-GULU'!D18,'06.08 KARUMA-GULU'!D18,'03.08 KARUMA-GULU-24HRS'!D18,'05.08, KARUMA-GULU-24HRS'!D18,'7.08 KARUMA-GULU'!D18)</f>
        <v>1.765906362545018</v>
      </c>
      <c r="E18" s="49">
        <f>AVERAGE('01.08 KARUMA-GULU'!E18,'02.08 KARUMA-GULU'!E18,'04.08 KARUMA-GULU'!E18,'06.08 KARUMA-GULU'!E18,'03.08 KARUMA-GULU-24HRS'!E18,'05.08, KARUMA-GULU-24HRS'!E18,'7.08 KARUMA-GULU'!E18)</f>
        <v>4.0804321728691475</v>
      </c>
      <c r="F18" s="49">
        <f>AVERAGE('01.08 KARUMA-GULU'!F18,'02.08 KARUMA-GULU'!F18,'04.08 KARUMA-GULU'!F18,'06.08 KARUMA-GULU'!F18,'03.08 KARUMA-GULU-24HRS'!F18,'05.08, KARUMA-GULU-24HRS'!F18,'7.08 KARUMA-GULU'!F18)</f>
        <v>1.1200480192076829</v>
      </c>
      <c r="G18" s="49">
        <f>AVERAGE('01.08 KARUMA-GULU'!G18,'02.08 KARUMA-GULU'!G18,'04.08 KARUMA-GULU'!G18,'06.08 KARUMA-GULU'!G18,'03.08 KARUMA-GULU-24HRS'!G18,'05.08, KARUMA-GULU-24HRS'!G18,'7.08 KARUMA-GULU'!G18)</f>
        <v>0</v>
      </c>
      <c r="H18" s="49">
        <f>AVERAGE('01.08 KARUMA-GULU'!H18,'02.08 KARUMA-GULU'!H18,'04.08 KARUMA-GULU'!H18,'06.08 KARUMA-GULU'!H18,'03.08 KARUMA-GULU-24HRS'!H18,'05.08, KARUMA-GULU-24HRS'!H18,'7.08 KARUMA-GULU'!H18)</f>
        <v>0</v>
      </c>
      <c r="I18" s="49">
        <f>AVERAGE('01.08 KARUMA-GULU'!I18,'02.08 KARUMA-GULU'!I18,'04.08 KARUMA-GULU'!I18,'06.08 KARUMA-GULU'!I18,'03.08 KARUMA-GULU-24HRS'!I18,'05.08, KARUMA-GULU-24HRS'!I18,'7.08 KARUMA-GULU'!I18)</f>
        <v>2.0516206482593038</v>
      </c>
      <c r="J18" s="49">
        <f>AVERAGE('01.08 KARUMA-GULU'!J18,'02.08 KARUMA-GULU'!J18,'04.08 KARUMA-GULU'!J18,'06.08 KARUMA-GULU'!J18,'03.08 KARUMA-GULU-24HRS'!J18,'05.08, KARUMA-GULU-24HRS'!J18,'7.08 KARUMA-GULU'!J18)</f>
        <v>0.2857142857142857</v>
      </c>
      <c r="K18" s="49">
        <f>AVERAGE('01.08 KARUMA-GULU'!K18,'02.08 KARUMA-GULU'!K18,'04.08 KARUMA-GULU'!K18,'06.08 KARUMA-GULU'!K18,'03.08 KARUMA-GULU-24HRS'!K18,'05.08, KARUMA-GULU-24HRS'!K18,'7.08 KARUMA-GULU'!K18)</f>
        <v>0.2857142857142857</v>
      </c>
      <c r="L18" s="49">
        <f>AVERAGE('01.08 KARUMA-GULU'!L18,'02.08 KARUMA-GULU'!L18,'04.08 KARUMA-GULU'!L18,'06.08 KARUMA-GULU'!L18,'03.08 KARUMA-GULU-24HRS'!L18,'05.08, KARUMA-GULU-24HRS'!L18,'7.08 KARUMA-GULU'!L18)</f>
        <v>1.2857142857142858</v>
      </c>
      <c r="M18" s="49">
        <f>AVERAGE('01.08 KARUMA-GULU'!M18,'02.08 KARUMA-GULU'!M18,'04.08 KARUMA-GULU'!M18,'06.08 KARUMA-GULU'!M18,'03.08 KARUMA-GULU-24HRS'!M18,'05.08, KARUMA-GULU-24HRS'!M18,'7.08 KARUMA-GULU'!M18)</f>
        <v>63.142857142857146</v>
      </c>
      <c r="N18" s="49">
        <f>AVERAGE('01.08 KARUMA-GULU'!N18,'02.08 KARUMA-GULU'!N18,'04.08 KARUMA-GULU'!N18,'06.08 KARUMA-GULU'!N18,'03.08 KARUMA-GULU-24HRS'!N18,'05.08, KARUMA-GULU-24HRS'!N18,'7.08 KARUMA-GULU'!N18)</f>
        <v>0</v>
      </c>
      <c r="O18" s="15">
        <f t="shared" si="0"/>
        <v>17.218487394957986</v>
      </c>
      <c r="P18" s="15">
        <f t="shared" si="1"/>
        <v>80.361344537815128</v>
      </c>
      <c r="R18" s="1" t="s">
        <v>14</v>
      </c>
      <c r="S18" s="17">
        <f t="shared" ref="S18:AF18" si="10">SUM(C42:C45)</f>
        <v>20.063625450180073</v>
      </c>
      <c r="T18" s="17">
        <f t="shared" si="10"/>
        <v>6.9147659063625451</v>
      </c>
      <c r="U18" s="17">
        <f t="shared" si="10"/>
        <v>15.378151260504202</v>
      </c>
      <c r="V18" s="17">
        <f t="shared" si="10"/>
        <v>2.8859543817527009</v>
      </c>
      <c r="W18" s="17">
        <f t="shared" si="10"/>
        <v>0.14285714285714285</v>
      </c>
      <c r="X18" s="17">
        <f t="shared" si="10"/>
        <v>1.9543817527010803</v>
      </c>
      <c r="Y18" s="17">
        <f t="shared" si="10"/>
        <v>7.7779111644657863</v>
      </c>
      <c r="Z18" s="17">
        <f t="shared" si="10"/>
        <v>1.0972388955582233</v>
      </c>
      <c r="AA18" s="17">
        <f t="shared" si="10"/>
        <v>0.5714285714285714</v>
      </c>
      <c r="AB18" s="17">
        <f t="shared" si="10"/>
        <v>4.0348139255702282</v>
      </c>
      <c r="AC18" s="17">
        <f t="shared" si="10"/>
        <v>193</v>
      </c>
      <c r="AD18" s="17">
        <f t="shared" si="10"/>
        <v>0.14285714285714285</v>
      </c>
      <c r="AE18" s="31">
        <f t="shared" si="10"/>
        <v>60.963985594237698</v>
      </c>
      <c r="AF18" s="31">
        <f t="shared" si="10"/>
        <v>253.9639855942377</v>
      </c>
    </row>
    <row r="19" spans="2:32" ht="23.1" customHeight="1" x14ac:dyDescent="0.25">
      <c r="B19" s="23" t="s">
        <v>46</v>
      </c>
      <c r="C19" s="49">
        <f>AVERAGE('01.08 KARUMA-GULU'!C19,'02.08 KARUMA-GULU'!C19,'04.08 KARUMA-GULU'!C19,'06.08 KARUMA-GULU'!C19,'03.08 KARUMA-GULU-24HRS'!C19,'05.08, KARUMA-GULU-24HRS'!C19,'7.08 KARUMA-GULU'!C19)</f>
        <v>5.1716686674669869</v>
      </c>
      <c r="D19" s="49">
        <f>AVERAGE('01.08 KARUMA-GULU'!D19,'02.08 KARUMA-GULU'!D19,'04.08 KARUMA-GULU'!D19,'06.08 KARUMA-GULU'!D19,'03.08 KARUMA-GULU-24HRS'!D19,'05.08, KARUMA-GULU-24HRS'!D19,'7.08 KARUMA-GULU'!D19)</f>
        <v>0.97719087635054014</v>
      </c>
      <c r="E19" s="49">
        <f>AVERAGE('01.08 KARUMA-GULU'!E19,'02.08 KARUMA-GULU'!E19,'04.08 KARUMA-GULU'!E19,'06.08 KARUMA-GULU'!E19,'03.08 KARUMA-GULU-24HRS'!E19,'05.08, KARUMA-GULU-24HRS'!E19,'7.08 KARUMA-GULU'!E19)</f>
        <v>2.360144057623049</v>
      </c>
      <c r="F19" s="49">
        <f>AVERAGE('01.08 KARUMA-GULU'!F19,'02.08 KARUMA-GULU'!F19,'04.08 KARUMA-GULU'!F19,'06.08 KARUMA-GULU'!F19,'03.08 KARUMA-GULU-24HRS'!F19,'05.08, KARUMA-GULU-24HRS'!F19,'7.08 KARUMA-GULU'!F19)</f>
        <v>1.4573829531812723</v>
      </c>
      <c r="G19" s="49">
        <f>AVERAGE('01.08 KARUMA-GULU'!G19,'02.08 KARUMA-GULU'!G19,'04.08 KARUMA-GULU'!G19,'06.08 KARUMA-GULU'!G19,'03.08 KARUMA-GULU-24HRS'!G19,'05.08, KARUMA-GULU-24HRS'!G19,'7.08 KARUMA-GULU'!G19)</f>
        <v>0.14285714285714285</v>
      </c>
      <c r="H19" s="49">
        <f>AVERAGE('01.08 KARUMA-GULU'!H19,'02.08 KARUMA-GULU'!H19,'04.08 KARUMA-GULU'!H19,'06.08 KARUMA-GULU'!H19,'03.08 KARUMA-GULU-24HRS'!H19,'05.08, KARUMA-GULU-24HRS'!H19,'7.08 KARUMA-GULU'!H19)</f>
        <v>0.14285714285714285</v>
      </c>
      <c r="I19" s="49">
        <f>AVERAGE('01.08 KARUMA-GULU'!I19,'02.08 KARUMA-GULU'!I19,'04.08 KARUMA-GULU'!I19,'06.08 KARUMA-GULU'!I19,'03.08 KARUMA-GULU-24HRS'!I19,'05.08, KARUMA-GULU-24HRS'!I19,'7.08 KARUMA-GULU'!I19)</f>
        <v>1.765906362545018</v>
      </c>
      <c r="J19" s="49">
        <f>AVERAGE('01.08 KARUMA-GULU'!J19,'02.08 KARUMA-GULU'!J19,'04.08 KARUMA-GULU'!J19,'06.08 KARUMA-GULU'!J19,'03.08 KARUMA-GULU-24HRS'!J19,'05.08, KARUMA-GULU-24HRS'!J19,'7.08 KARUMA-GULU'!J19)</f>
        <v>0.5714285714285714</v>
      </c>
      <c r="K19" s="49">
        <f>AVERAGE('01.08 KARUMA-GULU'!K19,'02.08 KARUMA-GULU'!K19,'04.08 KARUMA-GULU'!K19,'06.08 KARUMA-GULU'!K19,'03.08 KARUMA-GULU-24HRS'!K19,'05.08, KARUMA-GULU-24HRS'!K19,'7.08 KARUMA-GULU'!K19)</f>
        <v>0</v>
      </c>
      <c r="L19" s="49">
        <f>AVERAGE('01.08 KARUMA-GULU'!L19,'02.08 KARUMA-GULU'!L19,'04.08 KARUMA-GULU'!L19,'06.08 KARUMA-GULU'!L19,'03.08 KARUMA-GULU-24HRS'!L19,'05.08, KARUMA-GULU-24HRS'!L19,'7.08 KARUMA-GULU'!L19)</f>
        <v>1.2629051620648259</v>
      </c>
      <c r="M19" s="49">
        <f>AVERAGE('01.08 KARUMA-GULU'!M19,'02.08 KARUMA-GULU'!M19,'04.08 KARUMA-GULU'!M19,'06.08 KARUMA-GULU'!M19,'03.08 KARUMA-GULU-24HRS'!M19,'05.08, KARUMA-GULU-24HRS'!M19,'7.08 KARUMA-GULU'!M19)</f>
        <v>54.857142857142854</v>
      </c>
      <c r="N19" s="49">
        <f>AVERAGE('01.08 KARUMA-GULU'!N19,'02.08 KARUMA-GULU'!N19,'04.08 KARUMA-GULU'!N19,'06.08 KARUMA-GULU'!N19,'03.08 KARUMA-GULU-24HRS'!N19,'05.08, KARUMA-GULU-24HRS'!N19,'7.08 KARUMA-GULU'!N19)</f>
        <v>0</v>
      </c>
      <c r="O19" s="15">
        <f t="shared" si="0"/>
        <v>13.852340936374546</v>
      </c>
      <c r="P19" s="15">
        <f t="shared" si="1"/>
        <v>68.709483793517393</v>
      </c>
      <c r="R19" s="1" t="s">
        <v>15</v>
      </c>
      <c r="S19" s="17">
        <f t="shared" ref="S19:AF19" si="11">SUM(C46:C49)</f>
        <v>28.315726290516206</v>
      </c>
      <c r="T19" s="17">
        <f t="shared" si="11"/>
        <v>8.1260504201680668</v>
      </c>
      <c r="U19" s="17">
        <f t="shared" si="11"/>
        <v>17.800720288115244</v>
      </c>
      <c r="V19" s="17">
        <f t="shared" si="11"/>
        <v>4.3145258103241293</v>
      </c>
      <c r="W19" s="17">
        <f t="shared" si="11"/>
        <v>0.5714285714285714</v>
      </c>
      <c r="X19" s="17">
        <f t="shared" si="11"/>
        <v>1.7887154861944778</v>
      </c>
      <c r="Y19" s="17">
        <f t="shared" si="11"/>
        <v>8.5726290516206483</v>
      </c>
      <c r="Z19" s="17">
        <f t="shared" si="11"/>
        <v>1.6458583433373351</v>
      </c>
      <c r="AA19" s="17">
        <f t="shared" si="11"/>
        <v>0.2857142857142857</v>
      </c>
      <c r="AB19" s="17">
        <f t="shared" si="11"/>
        <v>5.3949579831932777</v>
      </c>
      <c r="AC19" s="17">
        <f t="shared" si="11"/>
        <v>234.6571428571429</v>
      </c>
      <c r="AD19" s="17">
        <f t="shared" si="11"/>
        <v>0.2857142857142857</v>
      </c>
      <c r="AE19" s="31">
        <f t="shared" si="11"/>
        <v>77.102040816326522</v>
      </c>
      <c r="AF19" s="31">
        <f t="shared" si="11"/>
        <v>311.75918367346935</v>
      </c>
    </row>
    <row r="20" spans="2:32" ht="23.1" customHeight="1" x14ac:dyDescent="0.25">
      <c r="B20" s="23" t="s">
        <v>47</v>
      </c>
      <c r="C20" s="49">
        <f>AVERAGE('01.08 KARUMA-GULU'!C20,'02.08 KARUMA-GULU'!C20,'04.08 KARUMA-GULU'!C20,'06.08 KARUMA-GULU'!C20,'03.08 KARUMA-GULU-24HRS'!C20,'05.08, KARUMA-GULU-24HRS'!C20,'7.08 KARUMA-GULU'!C20)</f>
        <v>5.4573829531812725</v>
      </c>
      <c r="D20" s="49">
        <f>AVERAGE('01.08 KARUMA-GULU'!D20,'02.08 KARUMA-GULU'!D20,'04.08 KARUMA-GULU'!D20,'06.08 KARUMA-GULU'!D20,'03.08 KARUMA-GULU-24HRS'!D20,'05.08, KARUMA-GULU-24HRS'!D20,'7.08 KARUMA-GULU'!D20)</f>
        <v>1.7430972388955581</v>
      </c>
      <c r="E20" s="49">
        <f>AVERAGE('01.08 KARUMA-GULU'!E20,'02.08 KARUMA-GULU'!E20,'04.08 KARUMA-GULU'!E20,'06.08 KARUMA-GULU'!E20,'03.08 KARUMA-GULU-24HRS'!E20,'05.08, KARUMA-GULU-24HRS'!E20,'7.08 KARUMA-GULU'!E20)</f>
        <v>3.7719087635054018</v>
      </c>
      <c r="F20" s="49">
        <f>AVERAGE('01.08 KARUMA-GULU'!F20,'02.08 KARUMA-GULU'!F20,'04.08 KARUMA-GULU'!F20,'06.08 KARUMA-GULU'!F20,'03.08 KARUMA-GULU-24HRS'!F20,'05.08, KARUMA-GULU-24HRS'!F20,'7.08 KARUMA-GULU'!F20)</f>
        <v>1.0744297719087634</v>
      </c>
      <c r="G20" s="49">
        <f>AVERAGE('01.08 KARUMA-GULU'!G20,'02.08 KARUMA-GULU'!G20,'04.08 KARUMA-GULU'!G20,'06.08 KARUMA-GULU'!G20,'03.08 KARUMA-GULU-24HRS'!G20,'05.08, KARUMA-GULU-24HRS'!G20,'7.08 KARUMA-GULU'!G20)</f>
        <v>0.12004801920768307</v>
      </c>
      <c r="H20" s="49">
        <f>AVERAGE('01.08 KARUMA-GULU'!H20,'02.08 KARUMA-GULU'!H20,'04.08 KARUMA-GULU'!H20,'06.08 KARUMA-GULU'!H20,'03.08 KARUMA-GULU-24HRS'!H20,'05.08, KARUMA-GULU-24HRS'!H20,'7.08 KARUMA-GULU'!H20)</f>
        <v>0.12004801920768307</v>
      </c>
      <c r="I20" s="49">
        <f>AVERAGE('01.08 KARUMA-GULU'!I20,'02.08 KARUMA-GULU'!I20,'04.08 KARUMA-GULU'!I20,'06.08 KARUMA-GULU'!I20,'03.08 KARUMA-GULU-24HRS'!I20,'05.08, KARUMA-GULU-24HRS'!I20,'7.08 KARUMA-GULU'!I20)</f>
        <v>1.9831932773109244</v>
      </c>
      <c r="J20" s="49">
        <f>AVERAGE('01.08 KARUMA-GULU'!J20,'02.08 KARUMA-GULU'!J20,'04.08 KARUMA-GULU'!J20,'06.08 KARUMA-GULU'!J20,'03.08 KARUMA-GULU-24HRS'!J20,'05.08, KARUMA-GULU-24HRS'!J20,'7.08 KARUMA-GULU'!J20)</f>
        <v>0.42857142857142855</v>
      </c>
      <c r="K20" s="49">
        <f>AVERAGE('01.08 KARUMA-GULU'!K20,'02.08 KARUMA-GULU'!K20,'04.08 KARUMA-GULU'!K20,'06.08 KARUMA-GULU'!K20,'03.08 KARUMA-GULU-24HRS'!K20,'05.08, KARUMA-GULU-24HRS'!K20,'7.08 KARUMA-GULU'!K20)</f>
        <v>0</v>
      </c>
      <c r="L20" s="49">
        <f>AVERAGE('01.08 KARUMA-GULU'!L20,'02.08 KARUMA-GULU'!L20,'04.08 KARUMA-GULU'!L20,'06.08 KARUMA-GULU'!L20,'03.08 KARUMA-GULU-24HRS'!L20,'05.08, KARUMA-GULU-24HRS'!L20,'7.08 KARUMA-GULU'!L20)</f>
        <v>1.6914765906362546</v>
      </c>
      <c r="M20" s="49">
        <f>AVERAGE('01.08 KARUMA-GULU'!M20,'02.08 KARUMA-GULU'!M20,'04.08 KARUMA-GULU'!M20,'06.08 KARUMA-GULU'!M20,'03.08 KARUMA-GULU-24HRS'!M20,'05.08, KARUMA-GULU-24HRS'!M20,'7.08 KARUMA-GULU'!M20)</f>
        <v>62.285714285714285</v>
      </c>
      <c r="N20" s="49">
        <f>AVERAGE('01.08 KARUMA-GULU'!N20,'02.08 KARUMA-GULU'!N20,'04.08 KARUMA-GULU'!N20,'06.08 KARUMA-GULU'!N20,'03.08 KARUMA-GULU-24HRS'!N20,'05.08, KARUMA-GULU-24HRS'!N20,'7.08 KARUMA-GULU'!N20)</f>
        <v>0.14285714285714285</v>
      </c>
      <c r="O20" s="15">
        <f t="shared" si="0"/>
        <v>16.533013205282113</v>
      </c>
      <c r="P20" s="15">
        <f t="shared" si="1"/>
        <v>78.818727490996395</v>
      </c>
      <c r="R20" s="1" t="s">
        <v>16</v>
      </c>
      <c r="S20" s="17">
        <f t="shared" ref="S20:AF20" si="12">SUM(C50:C53)</f>
        <v>30.024009603841538</v>
      </c>
      <c r="T20" s="17">
        <f t="shared" si="12"/>
        <v>9.4861944777911162</v>
      </c>
      <c r="U20" s="17">
        <f t="shared" si="12"/>
        <v>20.212484993997599</v>
      </c>
      <c r="V20" s="17">
        <f t="shared" si="12"/>
        <v>6.1032412965186067</v>
      </c>
      <c r="W20" s="17">
        <f t="shared" si="12"/>
        <v>0.9543817527010805</v>
      </c>
      <c r="X20" s="17">
        <f t="shared" si="12"/>
        <v>3.1716686674669869</v>
      </c>
      <c r="Y20" s="17">
        <f t="shared" si="12"/>
        <v>8.2521008403361336</v>
      </c>
      <c r="Z20" s="17">
        <f t="shared" si="12"/>
        <v>1.7142857142857142</v>
      </c>
      <c r="AA20" s="17">
        <f t="shared" si="12"/>
        <v>0.97719087635054014</v>
      </c>
      <c r="AB20" s="17">
        <f t="shared" si="12"/>
        <v>5.1716686674669869</v>
      </c>
      <c r="AC20" s="17">
        <f t="shared" si="12"/>
        <v>285.72857142857146</v>
      </c>
      <c r="AD20" s="17">
        <f t="shared" si="12"/>
        <v>0</v>
      </c>
      <c r="AE20" s="31">
        <f t="shared" si="12"/>
        <v>86.067226890756302</v>
      </c>
      <c r="AF20" s="31">
        <f t="shared" si="12"/>
        <v>371.79579831932779</v>
      </c>
    </row>
    <row r="21" spans="2:32" ht="23.1" customHeight="1" x14ac:dyDescent="0.25">
      <c r="B21" s="23" t="s">
        <v>48</v>
      </c>
      <c r="C21" s="49">
        <f>AVERAGE('01.08 KARUMA-GULU'!C21,'02.08 KARUMA-GULU'!C21,'04.08 KARUMA-GULU'!C21,'06.08 KARUMA-GULU'!C21,'03.08 KARUMA-GULU-24HRS'!C21,'05.08, KARUMA-GULU-24HRS'!C21,'7.08 KARUMA-GULU'!C21)</f>
        <v>5.5258103241296519</v>
      </c>
      <c r="D21" s="49">
        <f>AVERAGE('01.08 KARUMA-GULU'!D21,'02.08 KARUMA-GULU'!D21,'04.08 KARUMA-GULU'!D21,'06.08 KARUMA-GULU'!D21,'03.08 KARUMA-GULU-24HRS'!D21,'05.08, KARUMA-GULU-24HRS'!D21,'7.08 KARUMA-GULU'!D21)</f>
        <v>1.8115246098439375</v>
      </c>
      <c r="E21" s="49">
        <f>AVERAGE('01.08 KARUMA-GULU'!E21,'02.08 KARUMA-GULU'!E21,'04.08 KARUMA-GULU'!E21,'06.08 KARUMA-GULU'!E21,'03.08 KARUMA-GULU-24HRS'!E21,'05.08, KARUMA-GULU-24HRS'!E21,'7.08 KARUMA-GULU'!E21)</f>
        <v>4.1716686674669869</v>
      </c>
      <c r="F21" s="49">
        <f>AVERAGE('01.08 KARUMA-GULU'!F21,'02.08 KARUMA-GULU'!F21,'04.08 KARUMA-GULU'!F21,'06.08 KARUMA-GULU'!F21,'03.08 KARUMA-GULU-24HRS'!F21,'05.08, KARUMA-GULU-24HRS'!F21,'7.08 KARUMA-GULU'!F21)</f>
        <v>0.42857142857142855</v>
      </c>
      <c r="G21" s="49">
        <f>AVERAGE('01.08 KARUMA-GULU'!G21,'02.08 KARUMA-GULU'!G21,'04.08 KARUMA-GULU'!G21,'06.08 KARUMA-GULU'!G21,'03.08 KARUMA-GULU-24HRS'!G21,'05.08, KARUMA-GULU-24HRS'!G21,'7.08 KARUMA-GULU'!G21)</f>
        <v>0</v>
      </c>
      <c r="H21" s="49">
        <f>AVERAGE('01.08 KARUMA-GULU'!H21,'02.08 KARUMA-GULU'!H21,'04.08 KARUMA-GULU'!H21,'06.08 KARUMA-GULU'!H21,'03.08 KARUMA-GULU-24HRS'!H21,'05.08, KARUMA-GULU-24HRS'!H21,'7.08 KARUMA-GULU'!H21)</f>
        <v>0</v>
      </c>
      <c r="I21" s="49">
        <f>AVERAGE('01.08 KARUMA-GULU'!I21,'02.08 KARUMA-GULU'!I21,'04.08 KARUMA-GULU'!I21,'06.08 KARUMA-GULU'!I21,'03.08 KARUMA-GULU-24HRS'!I21,'05.08, KARUMA-GULU-24HRS'!I21,'7.08 KARUMA-GULU'!I21)</f>
        <v>1.908763505402161</v>
      </c>
      <c r="J21" s="49">
        <f>AVERAGE('01.08 KARUMA-GULU'!J21,'02.08 KARUMA-GULU'!J21,'04.08 KARUMA-GULU'!J21,'06.08 KARUMA-GULU'!J21,'03.08 KARUMA-GULU-24HRS'!J21,'05.08, KARUMA-GULU-24HRS'!J21,'7.08 KARUMA-GULU'!J21)</f>
        <v>0.5714285714285714</v>
      </c>
      <c r="K21" s="49">
        <f>AVERAGE('01.08 KARUMA-GULU'!K21,'02.08 KARUMA-GULU'!K21,'04.08 KARUMA-GULU'!K21,'06.08 KARUMA-GULU'!K21,'03.08 KARUMA-GULU-24HRS'!K21,'05.08, KARUMA-GULU-24HRS'!K21,'7.08 KARUMA-GULU'!K21)</f>
        <v>0.14285714285714285</v>
      </c>
      <c r="L21" s="49">
        <f>AVERAGE('01.08 KARUMA-GULU'!L21,'02.08 KARUMA-GULU'!L21,'04.08 KARUMA-GULU'!L21,'06.08 KARUMA-GULU'!L21,'03.08 KARUMA-GULU-24HRS'!L21,'05.08, KARUMA-GULU-24HRS'!L21,'7.08 KARUMA-GULU'!L21)</f>
        <v>1.5486194477791118</v>
      </c>
      <c r="M21" s="49">
        <f>AVERAGE('01.08 KARUMA-GULU'!M21,'02.08 KARUMA-GULU'!M21,'04.08 KARUMA-GULU'!M21,'06.08 KARUMA-GULU'!M21,'03.08 KARUMA-GULU-24HRS'!M21,'05.08, KARUMA-GULU-24HRS'!M21,'7.08 KARUMA-GULU'!M21)</f>
        <v>59.24285714285714</v>
      </c>
      <c r="N21" s="49">
        <f>AVERAGE('01.08 KARUMA-GULU'!N21,'02.08 KARUMA-GULU'!N21,'04.08 KARUMA-GULU'!N21,'06.08 KARUMA-GULU'!N21,'03.08 KARUMA-GULU-24HRS'!N21,'05.08, KARUMA-GULU-24HRS'!N21,'7.08 KARUMA-GULU'!N21)</f>
        <v>0</v>
      </c>
      <c r="O21" s="15">
        <f t="shared" si="0"/>
        <v>16.109243697478991</v>
      </c>
      <c r="P21" s="15">
        <f t="shared" si="1"/>
        <v>75.352100840336135</v>
      </c>
      <c r="R21" s="36" t="s">
        <v>20</v>
      </c>
      <c r="S21" s="34">
        <f t="shared" ref="S21:AF21" si="13">SUM(C54:C57)</f>
        <v>28.686674669867948</v>
      </c>
      <c r="T21" s="17">
        <f t="shared" si="13"/>
        <v>10.891956782713084</v>
      </c>
      <c r="U21" s="17">
        <f t="shared" si="13"/>
        <v>23.024009603841534</v>
      </c>
      <c r="V21" s="17">
        <f t="shared" si="13"/>
        <v>4.1776710684273706</v>
      </c>
      <c r="W21" s="17">
        <f t="shared" si="13"/>
        <v>1.5486194477791115</v>
      </c>
      <c r="X21" s="17">
        <f t="shared" si="13"/>
        <v>2.1200480192076832</v>
      </c>
      <c r="Y21" s="17">
        <f t="shared" si="13"/>
        <v>8.1092436974789912</v>
      </c>
      <c r="Z21" s="17">
        <f t="shared" si="13"/>
        <v>2.8343337334933976</v>
      </c>
      <c r="AA21" s="17">
        <f t="shared" si="13"/>
        <v>0.5714285714285714</v>
      </c>
      <c r="AB21" s="17">
        <f t="shared" si="13"/>
        <v>7.0060024009603845</v>
      </c>
      <c r="AC21" s="17">
        <f t="shared" si="13"/>
        <v>244.17142857142855</v>
      </c>
      <c r="AD21" s="17">
        <f t="shared" si="13"/>
        <v>0</v>
      </c>
      <c r="AE21" s="31">
        <f t="shared" si="13"/>
        <v>88.969987995198068</v>
      </c>
      <c r="AF21" s="31">
        <f t="shared" si="13"/>
        <v>333.14141656662662</v>
      </c>
    </row>
    <row r="22" spans="2:32" ht="23.1" customHeight="1" x14ac:dyDescent="0.25">
      <c r="B22" s="23" t="s">
        <v>49</v>
      </c>
      <c r="C22" s="49">
        <f>AVERAGE('01.08 KARUMA-GULU'!C22,'02.08 KARUMA-GULU'!C22,'04.08 KARUMA-GULU'!C22,'06.08 KARUMA-GULU'!C22,'03.08 KARUMA-GULU-24HRS'!C22,'05.08, KARUMA-GULU-24HRS'!C22,'7.08 KARUMA-GULU'!C22)</f>
        <v>6.8403361344537812</v>
      </c>
      <c r="D22" s="49">
        <f>AVERAGE('01.08 KARUMA-GULU'!D22,'02.08 KARUMA-GULU'!D22,'04.08 KARUMA-GULU'!D22,'06.08 KARUMA-GULU'!D22,'03.08 KARUMA-GULU-24HRS'!D22,'05.08, KARUMA-GULU-24HRS'!D22,'7.08 KARUMA-GULU'!D22)</f>
        <v>2.2400960384153659</v>
      </c>
      <c r="E22" s="49">
        <f>AVERAGE('01.08 KARUMA-GULU'!E22,'02.08 KARUMA-GULU'!E22,'04.08 KARUMA-GULU'!E22,'06.08 KARUMA-GULU'!E22,'03.08 KARUMA-GULU-24HRS'!E22,'05.08, KARUMA-GULU-24HRS'!E22,'7.08 KARUMA-GULU'!E22)</f>
        <v>5.0288115246098437</v>
      </c>
      <c r="F22" s="49">
        <f>AVERAGE('01.08 KARUMA-GULU'!F22,'02.08 KARUMA-GULU'!F22,'04.08 KARUMA-GULU'!F22,'06.08 KARUMA-GULU'!F22,'03.08 KARUMA-GULU-24HRS'!F22,'05.08, KARUMA-GULU-24HRS'!F22,'7.08 KARUMA-GULU'!F22)</f>
        <v>0.69147659063625444</v>
      </c>
      <c r="G22" s="49">
        <f>AVERAGE('01.08 KARUMA-GULU'!G22,'02.08 KARUMA-GULU'!G22,'04.08 KARUMA-GULU'!G22,'06.08 KARUMA-GULU'!G22,'03.08 KARUMA-GULU-24HRS'!G22,'05.08, KARUMA-GULU-24HRS'!G22,'7.08 KARUMA-GULU'!G22)</f>
        <v>0.14285714285714285</v>
      </c>
      <c r="H22" s="49">
        <f>AVERAGE('01.08 KARUMA-GULU'!H22,'02.08 KARUMA-GULU'!H22,'04.08 KARUMA-GULU'!H22,'06.08 KARUMA-GULU'!H22,'03.08 KARUMA-GULU-24HRS'!H22,'05.08, KARUMA-GULU-24HRS'!H22,'7.08 KARUMA-GULU'!H22)</f>
        <v>0.26290516206482595</v>
      </c>
      <c r="I22" s="49">
        <f>AVERAGE('01.08 KARUMA-GULU'!I22,'02.08 KARUMA-GULU'!I22,'04.08 KARUMA-GULU'!I22,'06.08 KARUMA-GULU'!I22,'03.08 KARUMA-GULU-24HRS'!I22,'05.08, KARUMA-GULU-24HRS'!I22,'7.08 KARUMA-GULU'!I22)</f>
        <v>1.765906362545018</v>
      </c>
      <c r="J22" s="49">
        <f>AVERAGE('01.08 KARUMA-GULU'!J22,'02.08 KARUMA-GULU'!J22,'04.08 KARUMA-GULU'!J22,'06.08 KARUMA-GULU'!J22,'03.08 KARUMA-GULU-24HRS'!J22,'05.08, KARUMA-GULU-24HRS'!J22,'7.08 KARUMA-GULU'!J22)</f>
        <v>0.42857142857142855</v>
      </c>
      <c r="K22" s="49">
        <f>AVERAGE('01.08 KARUMA-GULU'!K22,'02.08 KARUMA-GULU'!K22,'04.08 KARUMA-GULU'!K22,'06.08 KARUMA-GULU'!K22,'03.08 KARUMA-GULU-24HRS'!K22,'05.08, KARUMA-GULU-24HRS'!K22,'7.08 KARUMA-GULU'!K22)</f>
        <v>0.2857142857142857</v>
      </c>
      <c r="L22" s="49">
        <f>AVERAGE('01.08 KARUMA-GULU'!L22,'02.08 KARUMA-GULU'!L22,'04.08 KARUMA-GULU'!L22,'06.08 KARUMA-GULU'!L22,'03.08 KARUMA-GULU-24HRS'!L22,'05.08, KARUMA-GULU-24HRS'!L22,'7.08 KARUMA-GULU'!L22)</f>
        <v>1.2629051620648259</v>
      </c>
      <c r="M22" s="49">
        <f>AVERAGE('01.08 KARUMA-GULU'!M22,'02.08 KARUMA-GULU'!M22,'04.08 KARUMA-GULU'!M22,'06.08 KARUMA-GULU'!M22,'03.08 KARUMA-GULU-24HRS'!M22,'05.08, KARUMA-GULU-24HRS'!M22,'7.08 KARUMA-GULU'!M22)</f>
        <v>56.285714285714285</v>
      </c>
      <c r="N22" s="49">
        <f>AVERAGE('01.08 KARUMA-GULU'!N22,'02.08 KARUMA-GULU'!N22,'04.08 KARUMA-GULU'!N22,'06.08 KARUMA-GULU'!N22,'03.08 KARUMA-GULU-24HRS'!N22,'05.08, KARUMA-GULU-24HRS'!N22,'7.08 KARUMA-GULU'!N22)</f>
        <v>0</v>
      </c>
      <c r="O22" s="15">
        <f t="shared" si="0"/>
        <v>18.94957983193277</v>
      </c>
      <c r="P22" s="15">
        <f t="shared" si="1"/>
        <v>75.235294117647058</v>
      </c>
      <c r="R22" s="1" t="s">
        <v>146</v>
      </c>
      <c r="S22" s="34">
        <f>SUM(C58:C61)</f>
        <v>11.983193277310924</v>
      </c>
      <c r="T22" s="34">
        <f t="shared" ref="T22:AF22" si="14">SUM(D58:D61)</f>
        <v>4.6806722689075642</v>
      </c>
      <c r="U22" s="34">
        <f t="shared" si="14"/>
        <v>10.361344537815128</v>
      </c>
      <c r="V22" s="34">
        <f t="shared" si="14"/>
        <v>4.7605042016806722</v>
      </c>
      <c r="W22" s="34">
        <f t="shared" si="14"/>
        <v>0.5</v>
      </c>
      <c r="X22" s="34">
        <f t="shared" si="14"/>
        <v>2.420168067226891</v>
      </c>
      <c r="Y22" s="34">
        <f t="shared" si="14"/>
        <v>5.7815126050420167</v>
      </c>
      <c r="Z22" s="34">
        <f t="shared" si="14"/>
        <v>3</v>
      </c>
      <c r="AA22" s="34">
        <f t="shared" si="14"/>
        <v>1</v>
      </c>
      <c r="AB22" s="34">
        <f t="shared" si="14"/>
        <v>6.6806722689075642</v>
      </c>
      <c r="AC22" s="34">
        <f t="shared" si="14"/>
        <v>195</v>
      </c>
      <c r="AD22" s="34">
        <f t="shared" si="14"/>
        <v>0</v>
      </c>
      <c r="AE22" s="31">
        <f t="shared" si="14"/>
        <v>51.168067226890763</v>
      </c>
      <c r="AF22" s="31">
        <f t="shared" si="14"/>
        <v>246.16806722689074</v>
      </c>
    </row>
    <row r="23" spans="2:32" ht="23.1" customHeight="1" x14ac:dyDescent="0.25">
      <c r="B23" s="23" t="s">
        <v>50</v>
      </c>
      <c r="C23" s="49">
        <f>AVERAGE('01.08 KARUMA-GULU'!C23,'02.08 KARUMA-GULU'!C23,'04.08 KARUMA-GULU'!C23,'06.08 KARUMA-GULU'!C23,'03.08 KARUMA-GULU-24HRS'!C23,'05.08, KARUMA-GULU-24HRS'!C23,'7.08 KARUMA-GULU'!C23)</f>
        <v>5.194477791116447</v>
      </c>
      <c r="D23" s="49">
        <f>AVERAGE('01.08 KARUMA-GULU'!D23,'02.08 KARUMA-GULU'!D23,'04.08 KARUMA-GULU'!D23,'06.08 KARUMA-GULU'!D23,'03.08 KARUMA-GULU-24HRS'!D23,'05.08, KARUMA-GULU-24HRS'!D23,'7.08 KARUMA-GULU'!D23)</f>
        <v>1.8115246098439375</v>
      </c>
      <c r="E23" s="49">
        <f>AVERAGE('01.08 KARUMA-GULU'!E23,'02.08 KARUMA-GULU'!E23,'04.08 KARUMA-GULU'!E23,'06.08 KARUMA-GULU'!E23,'03.08 KARUMA-GULU-24HRS'!E23,'05.08, KARUMA-GULU-24HRS'!E23,'7.08 KARUMA-GULU'!E23)</f>
        <v>4.1716686674669869</v>
      </c>
      <c r="F23" s="49">
        <f>AVERAGE('01.08 KARUMA-GULU'!F23,'02.08 KARUMA-GULU'!F23,'04.08 KARUMA-GULU'!F23,'06.08 KARUMA-GULU'!F23,'03.08 KARUMA-GULU-24HRS'!F23,'05.08, KARUMA-GULU-24HRS'!F23,'7.08 KARUMA-GULU'!F23)</f>
        <v>1.3601440576230492</v>
      </c>
      <c r="G23" s="49">
        <f>AVERAGE('01.08 KARUMA-GULU'!G23,'02.08 KARUMA-GULU'!G23,'04.08 KARUMA-GULU'!G23,'06.08 KARUMA-GULU'!G23,'03.08 KARUMA-GULU-24HRS'!G23,'05.08, KARUMA-GULU-24HRS'!G23,'7.08 KARUMA-GULU'!G23)</f>
        <v>0</v>
      </c>
      <c r="H23" s="49">
        <f>AVERAGE('01.08 KARUMA-GULU'!H23,'02.08 KARUMA-GULU'!H23,'04.08 KARUMA-GULU'!H23,'06.08 KARUMA-GULU'!H23,'03.08 KARUMA-GULU-24HRS'!H23,'05.08, KARUMA-GULU-24HRS'!H23,'7.08 KARUMA-GULU'!H23)</f>
        <v>0.26290516206482595</v>
      </c>
      <c r="I23" s="49">
        <f>AVERAGE('01.08 KARUMA-GULU'!I23,'02.08 KARUMA-GULU'!I23,'04.08 KARUMA-GULU'!I23,'06.08 KARUMA-GULU'!I23,'03.08 KARUMA-GULU-24HRS'!I23,'05.08, KARUMA-GULU-24HRS'!I23,'7.08 KARUMA-GULU'!I23)</f>
        <v>0.81152460984393759</v>
      </c>
      <c r="J23" s="49">
        <f>AVERAGE('01.08 KARUMA-GULU'!J23,'02.08 KARUMA-GULU'!J23,'04.08 KARUMA-GULU'!J23,'06.08 KARUMA-GULU'!J23,'03.08 KARUMA-GULU-24HRS'!J23,'05.08, KARUMA-GULU-24HRS'!J23,'7.08 KARUMA-GULU'!J23)</f>
        <v>0.42857142857142855</v>
      </c>
      <c r="K23" s="49">
        <f>AVERAGE('01.08 KARUMA-GULU'!K23,'02.08 KARUMA-GULU'!K23,'04.08 KARUMA-GULU'!K23,'06.08 KARUMA-GULU'!K23,'03.08 KARUMA-GULU-24HRS'!K23,'05.08, KARUMA-GULU-24HRS'!K23,'7.08 KARUMA-GULU'!K23)</f>
        <v>0.14285714285714285</v>
      </c>
      <c r="L23" s="49">
        <f>AVERAGE('01.08 KARUMA-GULU'!L23,'02.08 KARUMA-GULU'!L23,'04.08 KARUMA-GULU'!L23,'06.08 KARUMA-GULU'!L23,'03.08 KARUMA-GULU-24HRS'!L23,'05.08, KARUMA-GULU-24HRS'!L23,'7.08 KARUMA-GULU'!L23)</f>
        <v>1.6458583433373348</v>
      </c>
      <c r="M23" s="49">
        <f>AVERAGE('01.08 KARUMA-GULU'!M23,'02.08 KARUMA-GULU'!M23,'04.08 KARUMA-GULU'!M23,'06.08 KARUMA-GULU'!M23,'03.08 KARUMA-GULU-24HRS'!M23,'05.08, KARUMA-GULU-24HRS'!M23,'7.08 KARUMA-GULU'!M23)</f>
        <v>51.271428571428565</v>
      </c>
      <c r="N23" s="49">
        <f>AVERAGE('01.08 KARUMA-GULU'!N23,'02.08 KARUMA-GULU'!N23,'04.08 KARUMA-GULU'!N23,'06.08 KARUMA-GULU'!N23,'03.08 KARUMA-GULU-24HRS'!N23,'05.08, KARUMA-GULU-24HRS'!N23,'7.08 KARUMA-GULU'!N23)</f>
        <v>0</v>
      </c>
      <c r="O23" s="15">
        <f t="shared" si="0"/>
        <v>15.82953181272509</v>
      </c>
      <c r="P23" s="15">
        <f t="shared" si="1"/>
        <v>67.100960384153652</v>
      </c>
      <c r="R23" s="1" t="s">
        <v>147</v>
      </c>
      <c r="S23" s="34">
        <f>SUM(C62:C65)</f>
        <v>25.407563025210088</v>
      </c>
      <c r="T23" s="34">
        <f t="shared" ref="T23:AF23" si="15">SUM(D62:D65)</f>
        <v>5.1008403361344543</v>
      </c>
      <c r="U23" s="34">
        <f t="shared" si="15"/>
        <v>12.962184873949578</v>
      </c>
      <c r="V23" s="34">
        <f t="shared" si="15"/>
        <v>5.2605042016806722</v>
      </c>
      <c r="W23" s="34">
        <f t="shared" si="15"/>
        <v>0.92016806722689082</v>
      </c>
      <c r="X23" s="34">
        <f t="shared" si="15"/>
        <v>0</v>
      </c>
      <c r="Y23" s="34">
        <f t="shared" si="15"/>
        <v>3.0210084033613445</v>
      </c>
      <c r="Z23" s="34">
        <f t="shared" si="15"/>
        <v>2.3403361344537816</v>
      </c>
      <c r="AA23" s="34">
        <f t="shared" si="15"/>
        <v>0.42016806722689076</v>
      </c>
      <c r="AB23" s="34">
        <f t="shared" si="15"/>
        <v>8.7016806722689068</v>
      </c>
      <c r="AC23" s="34">
        <f t="shared" si="15"/>
        <v>171</v>
      </c>
      <c r="AD23" s="34">
        <f t="shared" si="15"/>
        <v>0</v>
      </c>
      <c r="AE23" s="31">
        <f t="shared" si="15"/>
        <v>64.134453781512605</v>
      </c>
      <c r="AF23" s="31">
        <f t="shared" si="15"/>
        <v>235.13445378151263</v>
      </c>
    </row>
    <row r="24" spans="2:32" ht="23.1" customHeight="1" x14ac:dyDescent="0.25">
      <c r="B24" s="23" t="s">
        <v>51</v>
      </c>
      <c r="C24" s="49">
        <f>AVERAGE('01.08 KARUMA-GULU'!C24,'02.08 KARUMA-GULU'!C24,'04.08 KARUMA-GULU'!C24,'06.08 KARUMA-GULU'!C24,'03.08 KARUMA-GULU-24HRS'!C24,'05.08, KARUMA-GULU-24HRS'!C24,'7.08 KARUMA-GULU'!C24)</f>
        <v>4.3145258103241293</v>
      </c>
      <c r="D24" s="49">
        <f>AVERAGE('01.08 KARUMA-GULU'!D24,'02.08 KARUMA-GULU'!D24,'04.08 KARUMA-GULU'!D24,'06.08 KARUMA-GULU'!D24,'03.08 KARUMA-GULU-24HRS'!D24,'05.08, KARUMA-GULU-24HRS'!D24,'7.08 KARUMA-GULU'!D24)</f>
        <v>1.405762304921969</v>
      </c>
      <c r="E24" s="49">
        <f>AVERAGE('01.08 KARUMA-GULU'!E24,'02.08 KARUMA-GULU'!E24,'04.08 KARUMA-GULU'!E24,'06.08 KARUMA-GULU'!E24,'03.08 KARUMA-GULU-24HRS'!E24,'05.08, KARUMA-GULU-24HRS'!E24,'7.08 KARUMA-GULU'!E24)</f>
        <v>3.0744297719087634</v>
      </c>
      <c r="F24" s="49">
        <f>AVERAGE('01.08 KARUMA-GULU'!F24,'02.08 KARUMA-GULU'!F24,'04.08 KARUMA-GULU'!F24,'06.08 KARUMA-GULU'!F24,'03.08 KARUMA-GULU-24HRS'!F24,'05.08, KARUMA-GULU-24HRS'!F24,'7.08 KARUMA-GULU'!F24)</f>
        <v>0.42857142857142855</v>
      </c>
      <c r="G24" s="49">
        <f>AVERAGE('01.08 KARUMA-GULU'!G24,'02.08 KARUMA-GULU'!G24,'04.08 KARUMA-GULU'!G24,'06.08 KARUMA-GULU'!G24,'03.08 KARUMA-GULU-24HRS'!G24,'05.08, KARUMA-GULU-24HRS'!G24,'7.08 KARUMA-GULU'!G24)</f>
        <v>0.42857142857142855</v>
      </c>
      <c r="H24" s="49">
        <f>AVERAGE('01.08 KARUMA-GULU'!H24,'02.08 KARUMA-GULU'!H24,'04.08 KARUMA-GULU'!H24,'06.08 KARUMA-GULU'!H24,'03.08 KARUMA-GULU-24HRS'!H24,'05.08, KARUMA-GULU-24HRS'!H24,'7.08 KARUMA-GULU'!H24)</f>
        <v>0</v>
      </c>
      <c r="I24" s="49">
        <f>AVERAGE('01.08 KARUMA-GULU'!I24,'02.08 KARUMA-GULU'!I24,'04.08 KARUMA-GULU'!I24,'06.08 KARUMA-GULU'!I24,'03.08 KARUMA-GULU-24HRS'!I24,'05.08, KARUMA-GULU-24HRS'!I24,'7.08 KARUMA-GULU'!I24)</f>
        <v>2.4573829531812725</v>
      </c>
      <c r="J24" s="49">
        <f>AVERAGE('01.08 KARUMA-GULU'!J24,'02.08 KARUMA-GULU'!J24,'04.08 KARUMA-GULU'!J24,'06.08 KARUMA-GULU'!J24,'03.08 KARUMA-GULU-24HRS'!J24,'05.08, KARUMA-GULU-24HRS'!J24,'7.08 KARUMA-GULU'!J24)</f>
        <v>1</v>
      </c>
      <c r="K24" s="49">
        <f>AVERAGE('01.08 KARUMA-GULU'!K24,'02.08 KARUMA-GULU'!K24,'04.08 KARUMA-GULU'!K24,'06.08 KARUMA-GULU'!K24,'03.08 KARUMA-GULU-24HRS'!K24,'05.08, KARUMA-GULU-24HRS'!K24,'7.08 KARUMA-GULU'!K24)</f>
        <v>0</v>
      </c>
      <c r="L24" s="49">
        <f>AVERAGE('01.08 KARUMA-GULU'!L24,'02.08 KARUMA-GULU'!L24,'04.08 KARUMA-GULU'!L24,'06.08 KARUMA-GULU'!L24,'03.08 KARUMA-GULU-24HRS'!L24,'05.08, KARUMA-GULU-24HRS'!L24,'7.08 KARUMA-GULU'!L24)</f>
        <v>1.405762304921969</v>
      </c>
      <c r="M24" s="49">
        <f>AVERAGE('01.08 KARUMA-GULU'!M24,'02.08 KARUMA-GULU'!M24,'04.08 KARUMA-GULU'!M24,'06.08 KARUMA-GULU'!M24,'03.08 KARUMA-GULU-24HRS'!M24,'05.08, KARUMA-GULU-24HRS'!M24,'7.08 KARUMA-GULU'!M24)</f>
        <v>45.228571428571435</v>
      </c>
      <c r="N24" s="49">
        <f>AVERAGE('01.08 KARUMA-GULU'!N24,'02.08 KARUMA-GULU'!N24,'04.08 KARUMA-GULU'!N24,'06.08 KARUMA-GULU'!N24,'03.08 KARUMA-GULU-24HRS'!N24,'05.08, KARUMA-GULU-24HRS'!N24,'7.08 KARUMA-GULU'!N24)</f>
        <v>0</v>
      </c>
      <c r="O24" s="15">
        <f t="shared" si="0"/>
        <v>14.515006002400961</v>
      </c>
      <c r="P24" s="15">
        <f t="shared" si="1"/>
        <v>59.743577430972394</v>
      </c>
      <c r="R24" s="1" t="s">
        <v>148</v>
      </c>
      <c r="S24" s="34">
        <f>SUM(C66:C69)</f>
        <v>27.24789915966387</v>
      </c>
      <c r="T24" s="34">
        <f t="shared" ref="T24:AF24" si="16">SUM(D66:D69)</f>
        <v>6.5210084033613454</v>
      </c>
      <c r="U24" s="34">
        <f t="shared" si="16"/>
        <v>14.80252100840336</v>
      </c>
      <c r="V24" s="34">
        <f t="shared" si="16"/>
        <v>2</v>
      </c>
      <c r="W24" s="34">
        <f t="shared" si="16"/>
        <v>0.42016806722689076</v>
      </c>
      <c r="X24" s="34">
        <f t="shared" si="16"/>
        <v>0</v>
      </c>
      <c r="Y24" s="34">
        <f t="shared" si="16"/>
        <v>6.0210084033613454</v>
      </c>
      <c r="Z24" s="34">
        <f t="shared" si="16"/>
        <v>3.3403361344537816</v>
      </c>
      <c r="AA24" s="34">
        <f t="shared" si="16"/>
        <v>0</v>
      </c>
      <c r="AB24" s="34">
        <f t="shared" si="16"/>
        <v>7.7226890756302531</v>
      </c>
      <c r="AC24" s="34">
        <f t="shared" si="16"/>
        <v>168</v>
      </c>
      <c r="AD24" s="34">
        <f t="shared" si="16"/>
        <v>0</v>
      </c>
      <c r="AE24" s="31">
        <f t="shared" si="16"/>
        <v>68.075630252100851</v>
      </c>
      <c r="AF24" s="31">
        <f t="shared" si="16"/>
        <v>236.07563025210084</v>
      </c>
    </row>
    <row r="25" spans="2:32" ht="23.1" customHeight="1" x14ac:dyDescent="0.25">
      <c r="B25" s="23" t="s">
        <v>52</v>
      </c>
      <c r="C25" s="49">
        <f>AVERAGE('01.08 KARUMA-GULU'!C25,'02.08 KARUMA-GULU'!C25,'04.08 KARUMA-GULU'!C25,'06.08 KARUMA-GULU'!C25,'03.08 KARUMA-GULU-24HRS'!C25,'05.08, KARUMA-GULU-24HRS'!C25,'7.08 KARUMA-GULU'!C25)</f>
        <v>4.26890756302521</v>
      </c>
      <c r="D25" s="49">
        <f>AVERAGE('01.08 KARUMA-GULU'!D25,'02.08 KARUMA-GULU'!D25,'04.08 KARUMA-GULU'!D25,'06.08 KARUMA-GULU'!D25,'03.08 KARUMA-GULU-24HRS'!D25,'05.08, KARUMA-GULU-24HRS'!D25,'7.08 KARUMA-GULU'!D25)</f>
        <v>1.8115246098439375</v>
      </c>
      <c r="E25" s="49">
        <f>AVERAGE('01.08 KARUMA-GULU'!E25,'02.08 KARUMA-GULU'!E25,'04.08 KARUMA-GULU'!E25,'06.08 KARUMA-GULU'!E25,'03.08 KARUMA-GULU-24HRS'!E25,'05.08, KARUMA-GULU-24HRS'!E25,'7.08 KARUMA-GULU'!E25)</f>
        <v>3.9087635054021606</v>
      </c>
      <c r="F25" s="49">
        <f>AVERAGE('01.08 KARUMA-GULU'!F25,'02.08 KARUMA-GULU'!F25,'04.08 KARUMA-GULU'!F25,'06.08 KARUMA-GULU'!F25,'03.08 KARUMA-GULU-24HRS'!F25,'05.08, KARUMA-GULU-24HRS'!F25,'7.08 KARUMA-GULU'!F25)</f>
        <v>1.503001200480192</v>
      </c>
      <c r="G25" s="49">
        <f>AVERAGE('01.08 KARUMA-GULU'!G25,'02.08 KARUMA-GULU'!G25,'04.08 KARUMA-GULU'!G25,'06.08 KARUMA-GULU'!G25,'03.08 KARUMA-GULU-24HRS'!G25,'05.08, KARUMA-GULU-24HRS'!G25,'7.08 KARUMA-GULU'!G25)</f>
        <v>0.2857142857142857</v>
      </c>
      <c r="H25" s="49">
        <f>AVERAGE('01.08 KARUMA-GULU'!H25,'02.08 KARUMA-GULU'!H25,'04.08 KARUMA-GULU'!H25,'06.08 KARUMA-GULU'!H25,'03.08 KARUMA-GULU-24HRS'!H25,'05.08, KARUMA-GULU-24HRS'!H25,'7.08 KARUMA-GULU'!H25)</f>
        <v>0.26290516206482595</v>
      </c>
      <c r="I25" s="49">
        <f>AVERAGE('01.08 KARUMA-GULU'!I25,'02.08 KARUMA-GULU'!I25,'04.08 KARUMA-GULU'!I25,'06.08 KARUMA-GULU'!I25,'03.08 KARUMA-GULU-24HRS'!I25,'05.08, KARUMA-GULU-24HRS'!I25,'7.08 KARUMA-GULU'!I25)</f>
        <v>1.0972388955582233</v>
      </c>
      <c r="J25" s="49">
        <f>AVERAGE('01.08 KARUMA-GULU'!J25,'02.08 KARUMA-GULU'!J25,'04.08 KARUMA-GULU'!J25,'06.08 KARUMA-GULU'!J25,'03.08 KARUMA-GULU-24HRS'!J25,'05.08, KARUMA-GULU-24HRS'!J25,'7.08 KARUMA-GULU'!J25)</f>
        <v>0.2857142857142857</v>
      </c>
      <c r="K25" s="49">
        <f>AVERAGE('01.08 KARUMA-GULU'!K25,'02.08 KARUMA-GULU'!K25,'04.08 KARUMA-GULU'!K25,'06.08 KARUMA-GULU'!K25,'03.08 KARUMA-GULU-24HRS'!K25,'05.08, KARUMA-GULU-24HRS'!K25,'7.08 KARUMA-GULU'!K25)</f>
        <v>0</v>
      </c>
      <c r="L25" s="49">
        <f>AVERAGE('01.08 KARUMA-GULU'!L25,'02.08 KARUMA-GULU'!L25,'04.08 KARUMA-GULU'!L25,'06.08 KARUMA-GULU'!L25,'03.08 KARUMA-GULU-24HRS'!L25,'05.08, KARUMA-GULU-24HRS'!L25,'7.08 KARUMA-GULU'!L25)</f>
        <v>1.8115246098439375</v>
      </c>
      <c r="M25" s="49">
        <f>AVERAGE('01.08 KARUMA-GULU'!M25,'02.08 KARUMA-GULU'!M25,'04.08 KARUMA-GULU'!M25,'06.08 KARUMA-GULU'!M25,'03.08 KARUMA-GULU-24HRS'!M25,'05.08, KARUMA-GULU-24HRS'!M25,'7.08 KARUMA-GULU'!M25)</f>
        <v>45.857142857142854</v>
      </c>
      <c r="N25" s="49">
        <f>AVERAGE('01.08 KARUMA-GULU'!N25,'02.08 KARUMA-GULU'!N25,'04.08 KARUMA-GULU'!N25,'06.08 KARUMA-GULU'!N25,'03.08 KARUMA-GULU-24HRS'!N25,'05.08, KARUMA-GULU-24HRS'!N25,'7.08 KARUMA-GULU'!N25)</f>
        <v>0</v>
      </c>
      <c r="O25" s="15">
        <f t="shared" si="0"/>
        <v>15.23529411764706</v>
      </c>
      <c r="P25" s="15">
        <f t="shared" si="1"/>
        <v>61.092436974789912</v>
      </c>
      <c r="R25" s="1" t="s">
        <v>149</v>
      </c>
      <c r="S25" s="34">
        <f>SUM(C70:C73)</f>
        <v>19.865546218487395</v>
      </c>
      <c r="T25" s="34">
        <f t="shared" ref="T25:AF25" si="17">SUM(D70:D73)</f>
        <v>8.7016806722689068</v>
      </c>
      <c r="U25" s="34">
        <f t="shared" si="17"/>
        <v>18.823529411764707</v>
      </c>
      <c r="V25" s="34">
        <f t="shared" si="17"/>
        <v>2.5</v>
      </c>
      <c r="W25" s="34">
        <f t="shared" si="17"/>
        <v>1.2605042016806722</v>
      </c>
      <c r="X25" s="34">
        <f t="shared" si="17"/>
        <v>0.42016806722689076</v>
      </c>
      <c r="Y25" s="34">
        <f t="shared" si="17"/>
        <v>9.4411764705882355</v>
      </c>
      <c r="Z25" s="34">
        <f t="shared" si="17"/>
        <v>3.6806722689075633</v>
      </c>
      <c r="AA25" s="34">
        <f t="shared" si="17"/>
        <v>0</v>
      </c>
      <c r="AB25" s="34">
        <f t="shared" si="17"/>
        <v>10.903361344537817</v>
      </c>
      <c r="AC25" s="34">
        <f t="shared" si="17"/>
        <v>104</v>
      </c>
      <c r="AD25" s="34">
        <f t="shared" si="17"/>
        <v>0</v>
      </c>
      <c r="AE25" s="31">
        <f t="shared" si="17"/>
        <v>75.596638655462186</v>
      </c>
      <c r="AF25" s="31">
        <f t="shared" si="17"/>
        <v>179.59663865546219</v>
      </c>
    </row>
    <row r="26" spans="2:32" ht="23.1" customHeight="1" x14ac:dyDescent="0.25">
      <c r="B26" s="23" t="s">
        <v>53</v>
      </c>
      <c r="C26" s="49">
        <f>AVERAGE('01.08 KARUMA-GULU'!C26,'02.08 KARUMA-GULU'!C26,'04.08 KARUMA-GULU'!C26,'06.08 KARUMA-GULU'!C26,'03.08 KARUMA-GULU-24HRS'!C26,'05.08, KARUMA-GULU-24HRS'!C26,'7.08 KARUMA-GULU'!C26)</f>
        <v>4.720288115246098</v>
      </c>
      <c r="D26" s="49">
        <f>AVERAGE('01.08 KARUMA-GULU'!D26,'02.08 KARUMA-GULU'!D26,'04.08 KARUMA-GULU'!D26,'06.08 KARUMA-GULU'!D26,'03.08 KARUMA-GULU-24HRS'!D26,'05.08, KARUMA-GULU-24HRS'!D26,'7.08 KARUMA-GULU'!D26)</f>
        <v>1.2400960384153663</v>
      </c>
      <c r="E26" s="49">
        <f>AVERAGE('01.08 KARUMA-GULU'!E26,'02.08 KARUMA-GULU'!E26,'04.08 KARUMA-GULU'!E26,'06.08 KARUMA-GULU'!E26,'03.08 KARUMA-GULU-24HRS'!E26,'05.08, KARUMA-GULU-24HRS'!E26,'7.08 KARUMA-GULU'!E26)</f>
        <v>3.1716686674669865</v>
      </c>
      <c r="F26" s="49">
        <f>AVERAGE('01.08 KARUMA-GULU'!F26,'02.08 KARUMA-GULU'!F26,'04.08 KARUMA-GULU'!F26,'06.08 KARUMA-GULU'!F26,'03.08 KARUMA-GULU-24HRS'!F26,'05.08, KARUMA-GULU-24HRS'!F26,'7.08 KARUMA-GULU'!F26)</f>
        <v>1.6458583433373348</v>
      </c>
      <c r="G26" s="49">
        <f>AVERAGE('01.08 KARUMA-GULU'!G26,'02.08 KARUMA-GULU'!G26,'04.08 KARUMA-GULU'!G26,'06.08 KARUMA-GULU'!G26,'03.08 KARUMA-GULU-24HRS'!G26,'05.08, KARUMA-GULU-24HRS'!G26,'7.08 KARUMA-GULU'!G26)</f>
        <v>0</v>
      </c>
      <c r="H26" s="49">
        <f>AVERAGE('01.08 KARUMA-GULU'!H26,'02.08 KARUMA-GULU'!H26,'04.08 KARUMA-GULU'!H26,'06.08 KARUMA-GULU'!H26,'03.08 KARUMA-GULU-24HRS'!H26,'05.08, KARUMA-GULU-24HRS'!H26,'7.08 KARUMA-GULU'!H26)</f>
        <v>0.5714285714285714</v>
      </c>
      <c r="I26" s="49">
        <f>AVERAGE('01.08 KARUMA-GULU'!I26,'02.08 KARUMA-GULU'!I26,'04.08 KARUMA-GULU'!I26,'06.08 KARUMA-GULU'!I26,'03.08 KARUMA-GULU-24HRS'!I26,'05.08, KARUMA-GULU-24HRS'!I26,'7.08 KARUMA-GULU'!I26)</f>
        <v>2.0744297719087634</v>
      </c>
      <c r="J26" s="49">
        <f>AVERAGE('01.08 KARUMA-GULU'!J26,'02.08 KARUMA-GULU'!J26,'04.08 KARUMA-GULU'!J26,'06.08 KARUMA-GULU'!J26,'03.08 KARUMA-GULU-24HRS'!J26,'05.08, KARUMA-GULU-24HRS'!J26,'7.08 KARUMA-GULU'!J26)</f>
        <v>0</v>
      </c>
      <c r="K26" s="49">
        <f>AVERAGE('01.08 KARUMA-GULU'!K26,'02.08 KARUMA-GULU'!K26,'04.08 KARUMA-GULU'!K26,'06.08 KARUMA-GULU'!K26,'03.08 KARUMA-GULU-24HRS'!K26,'05.08, KARUMA-GULU-24HRS'!K26,'7.08 KARUMA-GULU'!K26)</f>
        <v>0</v>
      </c>
      <c r="L26" s="49">
        <f>AVERAGE('01.08 KARUMA-GULU'!L26,'02.08 KARUMA-GULU'!L26,'04.08 KARUMA-GULU'!L26,'06.08 KARUMA-GULU'!L26,'03.08 KARUMA-GULU-24HRS'!L26,'05.08, KARUMA-GULU-24HRS'!L26,'7.08 KARUMA-GULU'!L26)</f>
        <v>0.54861944777911165</v>
      </c>
      <c r="M26" s="49">
        <f>AVERAGE('01.08 KARUMA-GULU'!M26,'02.08 KARUMA-GULU'!M26,'04.08 KARUMA-GULU'!M26,'06.08 KARUMA-GULU'!M26,'03.08 KARUMA-GULU-24HRS'!M26,'05.08, KARUMA-GULU-24HRS'!M26,'7.08 KARUMA-GULU'!M26)</f>
        <v>40.085714285714289</v>
      </c>
      <c r="N26" s="49">
        <f>AVERAGE('01.08 KARUMA-GULU'!N26,'02.08 KARUMA-GULU'!N26,'04.08 KARUMA-GULU'!N26,'06.08 KARUMA-GULU'!N26,'03.08 KARUMA-GULU-24HRS'!N26,'05.08, KARUMA-GULU-24HRS'!N26,'7.08 KARUMA-GULU'!N26)</f>
        <v>0</v>
      </c>
      <c r="O26" s="15">
        <f t="shared" si="0"/>
        <v>13.972388955582231</v>
      </c>
      <c r="P26" s="15">
        <f t="shared" si="1"/>
        <v>54.058103241296521</v>
      </c>
      <c r="R26" s="1" t="s">
        <v>150</v>
      </c>
      <c r="S26" s="34">
        <f>SUM(C74:C77)</f>
        <v>16.004201680672271</v>
      </c>
      <c r="T26" s="34">
        <f t="shared" ref="T26:AF26" si="18">SUM(D74:D77)</f>
        <v>7.4411764705882355</v>
      </c>
      <c r="U26" s="34">
        <f t="shared" si="18"/>
        <v>16.30252100840336</v>
      </c>
      <c r="V26" s="34">
        <f t="shared" si="18"/>
        <v>3.5</v>
      </c>
      <c r="W26" s="34">
        <f t="shared" si="18"/>
        <v>0.42016806722689076</v>
      </c>
      <c r="X26" s="34">
        <f t="shared" si="18"/>
        <v>0.92016806722689082</v>
      </c>
      <c r="Y26" s="34">
        <f t="shared" si="18"/>
        <v>7.4411764705882355</v>
      </c>
      <c r="Z26" s="34">
        <f t="shared" si="18"/>
        <v>1.9201680672268908</v>
      </c>
      <c r="AA26" s="34">
        <f t="shared" si="18"/>
        <v>0</v>
      </c>
      <c r="AB26" s="34">
        <f t="shared" si="18"/>
        <v>3.1806722689075633</v>
      </c>
      <c r="AC26" s="34">
        <f t="shared" si="18"/>
        <v>62.5</v>
      </c>
      <c r="AD26" s="34">
        <f t="shared" si="18"/>
        <v>0</v>
      </c>
      <c r="AE26" s="31">
        <f t="shared" si="18"/>
        <v>57.13025210084033</v>
      </c>
      <c r="AF26" s="31">
        <f t="shared" si="18"/>
        <v>119.63025210084034</v>
      </c>
    </row>
    <row r="27" spans="2:32" ht="23.1" customHeight="1" x14ac:dyDescent="0.25">
      <c r="B27" s="23" t="s">
        <v>54</v>
      </c>
      <c r="C27" s="49">
        <f>AVERAGE('01.08 KARUMA-GULU'!C27,'02.08 KARUMA-GULU'!C27,'04.08 KARUMA-GULU'!C27,'06.08 KARUMA-GULU'!C27,'03.08 KARUMA-GULU-24HRS'!C27,'05.08, KARUMA-GULU-24HRS'!C27,'7.08 KARUMA-GULU'!C27)</f>
        <v>4.7659063625450182</v>
      </c>
      <c r="D27" s="49">
        <f>AVERAGE('01.08 KARUMA-GULU'!D27,'02.08 KARUMA-GULU'!D27,'04.08 KARUMA-GULU'!D27,'06.08 KARUMA-GULU'!D27,'03.08 KARUMA-GULU-24HRS'!D27,'05.08, KARUMA-GULU-24HRS'!D27,'7.08 KARUMA-GULU'!D27)</f>
        <v>1.8859543817527009</v>
      </c>
      <c r="E27" s="49">
        <f>AVERAGE('01.08 KARUMA-GULU'!E27,'02.08 KARUMA-GULU'!E27,'04.08 KARUMA-GULU'!E27,'06.08 KARUMA-GULU'!E27,'03.08 KARUMA-GULU-24HRS'!E27,'05.08, KARUMA-GULU-24HRS'!E27,'7.08 KARUMA-GULU'!E27)</f>
        <v>4.0576230492196874</v>
      </c>
      <c r="F27" s="49">
        <f>AVERAGE('01.08 KARUMA-GULU'!F27,'02.08 KARUMA-GULU'!F27,'04.08 KARUMA-GULU'!F27,'06.08 KARUMA-GULU'!F27,'03.08 KARUMA-GULU-24HRS'!F27,'05.08, KARUMA-GULU-24HRS'!F27,'7.08 KARUMA-GULU'!F27)</f>
        <v>0.42857142857142855</v>
      </c>
      <c r="G27" s="49">
        <f>AVERAGE('01.08 KARUMA-GULU'!G27,'02.08 KARUMA-GULU'!G27,'04.08 KARUMA-GULU'!G27,'06.08 KARUMA-GULU'!G27,'03.08 KARUMA-GULU-24HRS'!G27,'05.08, KARUMA-GULU-24HRS'!G27,'7.08 KARUMA-GULU'!G27)</f>
        <v>0.14285714285714285</v>
      </c>
      <c r="H27" s="49">
        <f>AVERAGE('01.08 KARUMA-GULU'!H27,'02.08 KARUMA-GULU'!H27,'04.08 KARUMA-GULU'!H27,'06.08 KARUMA-GULU'!H27,'03.08 KARUMA-GULU-24HRS'!H27,'05.08, KARUMA-GULU-24HRS'!H27,'7.08 KARUMA-GULU'!H27)</f>
        <v>0.4057623049219688</v>
      </c>
      <c r="I27" s="49">
        <f>AVERAGE('01.08 KARUMA-GULU'!I27,'02.08 KARUMA-GULU'!I27,'04.08 KARUMA-GULU'!I27,'06.08 KARUMA-GULU'!I27,'03.08 KARUMA-GULU-24HRS'!I27,'05.08, KARUMA-GULU-24HRS'!I27,'7.08 KARUMA-GULU'!I27)</f>
        <v>1.2172869147659064</v>
      </c>
      <c r="J27" s="49">
        <f>AVERAGE('01.08 KARUMA-GULU'!J27,'02.08 KARUMA-GULU'!J27,'04.08 KARUMA-GULU'!J27,'06.08 KARUMA-GULU'!J27,'03.08 KARUMA-GULU-24HRS'!J27,'05.08, KARUMA-GULU-24HRS'!J27,'7.08 KARUMA-GULU'!J27)</f>
        <v>0.14285714285714285</v>
      </c>
      <c r="K27" s="49">
        <f>AVERAGE('01.08 KARUMA-GULU'!K27,'02.08 KARUMA-GULU'!K27,'04.08 KARUMA-GULU'!K27,'06.08 KARUMA-GULU'!K27,'03.08 KARUMA-GULU-24HRS'!K27,'05.08, KARUMA-GULU-24HRS'!K27,'7.08 KARUMA-GULU'!K27)</f>
        <v>0.14285714285714285</v>
      </c>
      <c r="L27" s="49">
        <f>AVERAGE('01.08 KARUMA-GULU'!L27,'02.08 KARUMA-GULU'!L27,'04.08 KARUMA-GULU'!L27,'06.08 KARUMA-GULU'!L27,'03.08 KARUMA-GULU-24HRS'!L27,'05.08, KARUMA-GULU-24HRS'!L27,'7.08 KARUMA-GULU'!L27)</f>
        <v>1.3829531812725089</v>
      </c>
      <c r="M27" s="49">
        <f>AVERAGE('01.08 KARUMA-GULU'!M27,'02.08 KARUMA-GULU'!M27,'04.08 KARUMA-GULU'!M27,'06.08 KARUMA-GULU'!M27,'03.08 KARUMA-GULU-24HRS'!M27,'05.08, KARUMA-GULU-24HRS'!M27,'7.08 KARUMA-GULU'!M27)</f>
        <v>41.228571428571435</v>
      </c>
      <c r="N27" s="49">
        <f>AVERAGE('01.08 KARUMA-GULU'!N27,'02.08 KARUMA-GULU'!N27,'04.08 KARUMA-GULU'!N27,'06.08 KARUMA-GULU'!N27,'03.08 KARUMA-GULU-24HRS'!N27,'05.08, KARUMA-GULU-24HRS'!N27,'7.08 KARUMA-GULU'!N27)</f>
        <v>0</v>
      </c>
      <c r="O27" s="15">
        <f t="shared" si="0"/>
        <v>14.572629051620648</v>
      </c>
      <c r="P27" s="15">
        <f t="shared" si="1"/>
        <v>55.80120048019208</v>
      </c>
      <c r="R27" s="1" t="s">
        <v>151</v>
      </c>
      <c r="S27" s="34">
        <f>SUM(C78:C81)</f>
        <v>20.525210084033613</v>
      </c>
      <c r="T27" s="34">
        <f t="shared" ref="T27:AF27" si="19">SUM(D78:D81)</f>
        <v>6.0210084033613445</v>
      </c>
      <c r="U27" s="34">
        <f t="shared" si="19"/>
        <v>12.96218487394958</v>
      </c>
      <c r="V27" s="34">
        <f t="shared" si="19"/>
        <v>3.6806722689075628</v>
      </c>
      <c r="W27" s="34">
        <f t="shared" si="19"/>
        <v>0.84033613445378152</v>
      </c>
      <c r="X27" s="34">
        <f t="shared" si="19"/>
        <v>1.3403361344537816</v>
      </c>
      <c r="Y27" s="34">
        <f t="shared" si="19"/>
        <v>7.4411764705882355</v>
      </c>
      <c r="Z27" s="34">
        <f t="shared" si="19"/>
        <v>2.6008403361344539</v>
      </c>
      <c r="AA27" s="34">
        <f t="shared" si="19"/>
        <v>0</v>
      </c>
      <c r="AB27" s="34">
        <f t="shared" si="19"/>
        <v>7.3025210084033612</v>
      </c>
      <c r="AC27" s="34">
        <f t="shared" si="19"/>
        <v>53</v>
      </c>
      <c r="AD27" s="34">
        <f t="shared" si="19"/>
        <v>0</v>
      </c>
      <c r="AE27" s="31">
        <f t="shared" si="19"/>
        <v>62.714285714285708</v>
      </c>
      <c r="AF27" s="31">
        <f t="shared" si="19"/>
        <v>115.71428571428571</v>
      </c>
    </row>
    <row r="28" spans="2:32" ht="23.1" customHeight="1" x14ac:dyDescent="0.25">
      <c r="B28" s="23" t="s">
        <v>55</v>
      </c>
      <c r="C28" s="49">
        <f>AVERAGE('01.08 KARUMA-GULU'!C28,'02.08 KARUMA-GULU'!C28,'04.08 KARUMA-GULU'!C28,'06.08 KARUMA-GULU'!C28,'03.08 KARUMA-GULU-24HRS'!C28,'05.08, KARUMA-GULU-24HRS'!C28,'7.08 KARUMA-GULU'!C28)</f>
        <v>6.5546218487394956</v>
      </c>
      <c r="D28" s="49">
        <f>AVERAGE('01.08 KARUMA-GULU'!D28,'02.08 KARUMA-GULU'!D28,'04.08 KARUMA-GULU'!D28,'06.08 KARUMA-GULU'!D28,'03.08 KARUMA-GULU-24HRS'!D28,'05.08, KARUMA-GULU-24HRS'!D28,'7.08 KARUMA-GULU'!D28)</f>
        <v>1.6686674669867947</v>
      </c>
      <c r="E28" s="49">
        <f>AVERAGE('01.08 KARUMA-GULU'!E28,'02.08 KARUMA-GULU'!E28,'04.08 KARUMA-GULU'!E28,'06.08 KARUMA-GULU'!E28,'03.08 KARUMA-GULU-24HRS'!E28,'05.08, KARUMA-GULU-24HRS'!E28,'7.08 KARUMA-GULU'!E28)</f>
        <v>3.8859543817527009</v>
      </c>
      <c r="F28" s="49">
        <f>AVERAGE('01.08 KARUMA-GULU'!F28,'02.08 KARUMA-GULU'!F28,'04.08 KARUMA-GULU'!F28,'06.08 KARUMA-GULU'!F28,'03.08 KARUMA-GULU-24HRS'!F28,'05.08, KARUMA-GULU-24HRS'!F28,'7.08 KARUMA-GULU'!F28)</f>
        <v>0.42857142857142855</v>
      </c>
      <c r="G28" s="49">
        <f>AVERAGE('01.08 KARUMA-GULU'!G28,'02.08 KARUMA-GULU'!G28,'04.08 KARUMA-GULU'!G28,'06.08 KARUMA-GULU'!G28,'03.08 KARUMA-GULU-24HRS'!G28,'05.08, KARUMA-GULU-24HRS'!G28,'7.08 KARUMA-GULU'!G28)</f>
        <v>0.14285714285714285</v>
      </c>
      <c r="H28" s="49">
        <f>AVERAGE('01.08 KARUMA-GULU'!H28,'02.08 KARUMA-GULU'!H28,'04.08 KARUMA-GULU'!H28,'06.08 KARUMA-GULU'!H28,'03.08 KARUMA-GULU-24HRS'!H28,'05.08, KARUMA-GULU-24HRS'!H28,'7.08 KARUMA-GULU'!H28)</f>
        <v>0.2857142857142857</v>
      </c>
      <c r="I28" s="49">
        <f>AVERAGE('01.08 KARUMA-GULU'!I28,'02.08 KARUMA-GULU'!I28,'04.08 KARUMA-GULU'!I28,'06.08 KARUMA-GULU'!I28,'03.08 KARUMA-GULU-24HRS'!I28,'05.08, KARUMA-GULU-24HRS'!I28,'7.08 KARUMA-GULU'!I28)</f>
        <v>2.0288115246098437</v>
      </c>
      <c r="J28" s="49">
        <f>AVERAGE('01.08 KARUMA-GULU'!J28,'02.08 KARUMA-GULU'!J28,'04.08 KARUMA-GULU'!J28,'06.08 KARUMA-GULU'!J28,'03.08 KARUMA-GULU-24HRS'!J28,'05.08, KARUMA-GULU-24HRS'!J28,'7.08 KARUMA-GULU'!J28)</f>
        <v>0.14285714285714285</v>
      </c>
      <c r="K28" s="49">
        <f>AVERAGE('01.08 KARUMA-GULU'!K28,'02.08 KARUMA-GULU'!K28,'04.08 KARUMA-GULU'!K28,'06.08 KARUMA-GULU'!K28,'03.08 KARUMA-GULU-24HRS'!K28,'05.08, KARUMA-GULU-24HRS'!K28,'7.08 KARUMA-GULU'!K28)</f>
        <v>0.12004801920768307</v>
      </c>
      <c r="L28" s="49">
        <f>AVERAGE('01.08 KARUMA-GULU'!L28,'02.08 KARUMA-GULU'!L28,'04.08 KARUMA-GULU'!L28,'06.08 KARUMA-GULU'!L28,'03.08 KARUMA-GULU-24HRS'!L28,'05.08, KARUMA-GULU-24HRS'!L28,'7.08 KARUMA-GULU'!L28)</f>
        <v>2.2917166866746697</v>
      </c>
      <c r="M28" s="49">
        <f>AVERAGE('01.08 KARUMA-GULU'!M28,'02.08 KARUMA-GULU'!M28,'04.08 KARUMA-GULU'!M28,'06.08 KARUMA-GULU'!M28,'03.08 KARUMA-GULU-24HRS'!M28,'05.08, KARUMA-GULU-24HRS'!M28,'7.08 KARUMA-GULU'!M28)</f>
        <v>45.042857142857144</v>
      </c>
      <c r="N28" s="49">
        <f>AVERAGE('01.08 KARUMA-GULU'!N28,'02.08 KARUMA-GULU'!N28,'04.08 KARUMA-GULU'!N28,'06.08 KARUMA-GULU'!N28,'03.08 KARUMA-GULU-24HRS'!N28,'05.08, KARUMA-GULU-24HRS'!N28,'7.08 KARUMA-GULU'!N28)</f>
        <v>0</v>
      </c>
      <c r="O28" s="15">
        <f t="shared" si="0"/>
        <v>17.549819927971186</v>
      </c>
      <c r="P28" s="15">
        <f t="shared" si="1"/>
        <v>62.59267707082833</v>
      </c>
      <c r="R28" s="1" t="s">
        <v>152</v>
      </c>
      <c r="S28" s="34">
        <f>SUM(C82:C85)</f>
        <v>14.323529411764705</v>
      </c>
      <c r="T28" s="34">
        <f t="shared" ref="T28:AF28" si="20">SUM(D82:D85)</f>
        <v>7.6218487394957988</v>
      </c>
      <c r="U28" s="34">
        <f t="shared" si="20"/>
        <v>16.243697478991599</v>
      </c>
      <c r="V28" s="34">
        <f t="shared" si="20"/>
        <v>4.6008403361344534</v>
      </c>
      <c r="W28" s="34">
        <f t="shared" si="20"/>
        <v>2.6008403361344539</v>
      </c>
      <c r="X28" s="34">
        <f t="shared" si="20"/>
        <v>2.2605042016806722</v>
      </c>
      <c r="Y28" s="34">
        <f t="shared" si="20"/>
        <v>5.5210084033613445</v>
      </c>
      <c r="Z28" s="34">
        <f t="shared" si="20"/>
        <v>0.92016806722689082</v>
      </c>
      <c r="AA28" s="34">
        <f t="shared" si="20"/>
        <v>0</v>
      </c>
      <c r="AB28" s="34">
        <f t="shared" si="20"/>
        <v>9.0420168067226889</v>
      </c>
      <c r="AC28" s="34">
        <f t="shared" si="20"/>
        <v>25</v>
      </c>
      <c r="AD28" s="34">
        <f t="shared" si="20"/>
        <v>0</v>
      </c>
      <c r="AE28" s="31">
        <f t="shared" si="20"/>
        <v>63.134453781512605</v>
      </c>
      <c r="AF28" s="31">
        <f t="shared" si="20"/>
        <v>88.134453781512605</v>
      </c>
    </row>
    <row r="29" spans="2:32" ht="23.1" customHeight="1" x14ac:dyDescent="0.25">
      <c r="B29" s="23" t="s">
        <v>56</v>
      </c>
      <c r="C29" s="49">
        <f>AVERAGE('01.08 KARUMA-GULU'!C29,'02.08 KARUMA-GULU'!C29,'04.08 KARUMA-GULU'!C29,'06.08 KARUMA-GULU'!C29,'03.08 KARUMA-GULU-24HRS'!C29,'05.08, KARUMA-GULU-24HRS'!C29,'7.08 KARUMA-GULU'!C29)</f>
        <v>4.4801920768307317</v>
      </c>
      <c r="D29" s="49">
        <f>AVERAGE('01.08 KARUMA-GULU'!D29,'02.08 KARUMA-GULU'!D29,'04.08 KARUMA-GULU'!D29,'06.08 KARUMA-GULU'!D29,'03.08 KARUMA-GULU-24HRS'!D29,'05.08, KARUMA-GULU-24HRS'!D29,'7.08 KARUMA-GULU'!D29)</f>
        <v>2.3373349339735898</v>
      </c>
      <c r="E29" s="49">
        <f>AVERAGE('01.08 KARUMA-GULU'!E29,'02.08 KARUMA-GULU'!E29,'04.08 KARUMA-GULU'!E29,'06.08 KARUMA-GULU'!E29,'03.08 KARUMA-GULU-24HRS'!E29,'05.08, KARUMA-GULU-24HRS'!E29,'7.08 KARUMA-GULU'!E29)</f>
        <v>5.1032412965186067</v>
      </c>
      <c r="F29" s="49">
        <f>AVERAGE('01.08 KARUMA-GULU'!F29,'02.08 KARUMA-GULU'!F29,'04.08 KARUMA-GULU'!F29,'06.08 KARUMA-GULU'!F29,'03.08 KARUMA-GULU-24HRS'!F29,'05.08, KARUMA-GULU-24HRS'!F29,'7.08 KARUMA-GULU'!F29)</f>
        <v>1.1200480192076829</v>
      </c>
      <c r="G29" s="49">
        <f>AVERAGE('01.08 KARUMA-GULU'!G29,'02.08 KARUMA-GULU'!G29,'04.08 KARUMA-GULU'!G29,'06.08 KARUMA-GULU'!G29,'03.08 KARUMA-GULU-24HRS'!G29,'05.08, KARUMA-GULU-24HRS'!G29,'7.08 KARUMA-GULU'!G29)</f>
        <v>0.14285714285714285</v>
      </c>
      <c r="H29" s="49">
        <f>AVERAGE('01.08 KARUMA-GULU'!H29,'02.08 KARUMA-GULU'!H29,'04.08 KARUMA-GULU'!H29,'06.08 KARUMA-GULU'!H29,'03.08 KARUMA-GULU-24HRS'!H29,'05.08, KARUMA-GULU-24HRS'!H29,'7.08 KARUMA-GULU'!H29)</f>
        <v>0.4057623049219688</v>
      </c>
      <c r="I29" s="49">
        <f>AVERAGE('01.08 KARUMA-GULU'!I29,'02.08 KARUMA-GULU'!I29,'04.08 KARUMA-GULU'!I29,'06.08 KARUMA-GULU'!I29,'03.08 KARUMA-GULU-24HRS'!I29,'05.08, KARUMA-GULU-24HRS'!I29,'7.08 KARUMA-GULU'!I29)</f>
        <v>1.8859543817527009</v>
      </c>
      <c r="J29" s="49">
        <f>AVERAGE('01.08 KARUMA-GULU'!J29,'02.08 KARUMA-GULU'!J29,'04.08 KARUMA-GULU'!J29,'06.08 KARUMA-GULU'!J29,'03.08 KARUMA-GULU-24HRS'!J29,'05.08, KARUMA-GULU-24HRS'!J29,'7.08 KARUMA-GULU'!J29)</f>
        <v>0.5714285714285714</v>
      </c>
      <c r="K29" s="49">
        <f>AVERAGE('01.08 KARUMA-GULU'!K29,'02.08 KARUMA-GULU'!K29,'04.08 KARUMA-GULU'!K29,'06.08 KARUMA-GULU'!K29,'03.08 KARUMA-GULU-24HRS'!K29,'05.08, KARUMA-GULU-24HRS'!K29,'7.08 KARUMA-GULU'!K29)</f>
        <v>0</v>
      </c>
      <c r="L29" s="49">
        <f>AVERAGE('01.08 KARUMA-GULU'!L29,'02.08 KARUMA-GULU'!L29,'04.08 KARUMA-GULU'!L29,'06.08 KARUMA-GULU'!L29,'03.08 KARUMA-GULU-24HRS'!L29,'05.08, KARUMA-GULU-24HRS'!L29,'7.08 KARUMA-GULU'!L29)</f>
        <v>2.0060024009603841</v>
      </c>
      <c r="M29" s="49">
        <f>AVERAGE('01.08 KARUMA-GULU'!M29,'02.08 KARUMA-GULU'!M29,'04.08 KARUMA-GULU'!M29,'06.08 KARUMA-GULU'!M29,'03.08 KARUMA-GULU-24HRS'!M29,'05.08, KARUMA-GULU-24HRS'!M29,'7.08 KARUMA-GULU'!M29)</f>
        <v>45.300000000000004</v>
      </c>
      <c r="N29" s="49">
        <f>AVERAGE('01.08 KARUMA-GULU'!N29,'02.08 KARUMA-GULU'!N29,'04.08 KARUMA-GULU'!N29,'06.08 KARUMA-GULU'!N29,'03.08 KARUMA-GULU-24HRS'!N29,'05.08, KARUMA-GULU-24HRS'!N29,'7.08 KARUMA-GULU'!N29)</f>
        <v>0</v>
      </c>
      <c r="O29" s="15">
        <f t="shared" si="0"/>
        <v>18.052821128451377</v>
      </c>
      <c r="P29" s="15">
        <f t="shared" si="1"/>
        <v>63.352821128451382</v>
      </c>
      <c r="R29" s="1" t="s">
        <v>153</v>
      </c>
      <c r="S29" s="34">
        <f>SUM(C86:C89)</f>
        <v>14.08403361344538</v>
      </c>
      <c r="T29" s="34">
        <f t="shared" ref="T29:AF29" si="21">SUM(D86:D89)</f>
        <v>4.1806722689075633</v>
      </c>
      <c r="U29" s="34">
        <f t="shared" si="21"/>
        <v>11.042016806722689</v>
      </c>
      <c r="V29" s="34">
        <f t="shared" si="21"/>
        <v>5.420168067226891</v>
      </c>
      <c r="W29" s="34">
        <f t="shared" si="21"/>
        <v>0.42016806722689076</v>
      </c>
      <c r="X29" s="34">
        <f t="shared" si="21"/>
        <v>1</v>
      </c>
      <c r="Y29" s="34">
        <f t="shared" si="21"/>
        <v>8.2815126050420176</v>
      </c>
      <c r="Z29" s="34">
        <f t="shared" si="21"/>
        <v>2</v>
      </c>
      <c r="AA29" s="34">
        <f t="shared" si="21"/>
        <v>0.5</v>
      </c>
      <c r="AB29" s="34">
        <f t="shared" si="21"/>
        <v>6.6218487394957988</v>
      </c>
      <c r="AC29" s="34">
        <f t="shared" si="21"/>
        <v>3</v>
      </c>
      <c r="AD29" s="34">
        <f t="shared" si="21"/>
        <v>0</v>
      </c>
      <c r="AE29" s="31">
        <f t="shared" si="21"/>
        <v>53.550420168067227</v>
      </c>
      <c r="AF29" s="31">
        <f t="shared" si="21"/>
        <v>56.550420168067227</v>
      </c>
    </row>
    <row r="30" spans="2:32" ht="23.1" customHeight="1" x14ac:dyDescent="0.25">
      <c r="B30" s="23" t="s">
        <v>57</v>
      </c>
      <c r="C30" s="49">
        <f>AVERAGE('01.08 KARUMA-GULU'!C30,'02.08 KARUMA-GULU'!C30,'04.08 KARUMA-GULU'!C30,'06.08 KARUMA-GULU'!C30,'03.08 KARUMA-GULU-24HRS'!C30,'05.08, KARUMA-GULU-24HRS'!C30,'7.08 KARUMA-GULU'!C30)</f>
        <v>5.4345738295318124</v>
      </c>
      <c r="D30" s="49">
        <f>AVERAGE('01.08 KARUMA-GULU'!D30,'02.08 KARUMA-GULU'!D30,'04.08 KARUMA-GULU'!D30,'06.08 KARUMA-GULU'!D30,'03.08 KARUMA-GULU-24HRS'!D30,'05.08, KARUMA-GULU-24HRS'!D30,'7.08 KARUMA-GULU'!D30)</f>
        <v>1.7887154861944778</v>
      </c>
      <c r="E30" s="49">
        <f>AVERAGE('01.08 KARUMA-GULU'!E30,'02.08 KARUMA-GULU'!E30,'04.08 KARUMA-GULU'!E30,'06.08 KARUMA-GULU'!E30,'03.08 KARUMA-GULU-24HRS'!E30,'05.08, KARUMA-GULU-24HRS'!E30,'7.08 KARUMA-GULU'!E30)</f>
        <v>3.7202881152460985</v>
      </c>
      <c r="F30" s="49">
        <f>AVERAGE('01.08 KARUMA-GULU'!F30,'02.08 KARUMA-GULU'!F30,'04.08 KARUMA-GULU'!F30,'06.08 KARUMA-GULU'!F30,'03.08 KARUMA-GULU-24HRS'!F30,'05.08, KARUMA-GULU-24HRS'!F30,'7.08 KARUMA-GULU'!F30)</f>
        <v>1.1200480192076829</v>
      </c>
      <c r="G30" s="49">
        <f>AVERAGE('01.08 KARUMA-GULU'!G30,'02.08 KARUMA-GULU'!G30,'04.08 KARUMA-GULU'!G30,'06.08 KARUMA-GULU'!G30,'03.08 KARUMA-GULU-24HRS'!G30,'05.08, KARUMA-GULU-24HRS'!G30,'7.08 KARUMA-GULU'!G30)</f>
        <v>0.2857142857142857</v>
      </c>
      <c r="H30" s="49">
        <f>AVERAGE('01.08 KARUMA-GULU'!H30,'02.08 KARUMA-GULU'!H30,'04.08 KARUMA-GULU'!H30,'06.08 KARUMA-GULU'!H30,'03.08 KARUMA-GULU-24HRS'!H30,'05.08, KARUMA-GULU-24HRS'!H30,'7.08 KARUMA-GULU'!H30)</f>
        <v>0.8571428571428571</v>
      </c>
      <c r="I30" s="49">
        <f>AVERAGE('01.08 KARUMA-GULU'!I30,'02.08 KARUMA-GULU'!I30,'04.08 KARUMA-GULU'!I30,'06.08 KARUMA-GULU'!I30,'03.08 KARUMA-GULU-24HRS'!I30,'05.08, KARUMA-GULU-24HRS'!I30,'7.08 KARUMA-GULU'!I30)</f>
        <v>3.5774309723889557</v>
      </c>
      <c r="J30" s="49">
        <f>AVERAGE('01.08 KARUMA-GULU'!J30,'02.08 KARUMA-GULU'!J30,'04.08 KARUMA-GULU'!J30,'06.08 KARUMA-GULU'!J30,'03.08 KARUMA-GULU-24HRS'!J30,'05.08, KARUMA-GULU-24HRS'!J30,'7.08 KARUMA-GULU'!J30)</f>
        <v>0.4057623049219688</v>
      </c>
      <c r="K30" s="49">
        <f>AVERAGE('01.08 KARUMA-GULU'!K30,'02.08 KARUMA-GULU'!K30,'04.08 KARUMA-GULU'!K30,'06.08 KARUMA-GULU'!K30,'03.08 KARUMA-GULU-24HRS'!K30,'05.08, KARUMA-GULU-24HRS'!K30,'7.08 KARUMA-GULU'!K30)</f>
        <v>0</v>
      </c>
      <c r="L30" s="49">
        <f>AVERAGE('01.08 KARUMA-GULU'!L30,'02.08 KARUMA-GULU'!L30,'04.08 KARUMA-GULU'!L30,'06.08 KARUMA-GULU'!L30,'03.08 KARUMA-GULU-24HRS'!L30,'05.08, KARUMA-GULU-24HRS'!L30,'7.08 KARUMA-GULU'!L30)</f>
        <v>1.1716686674669867</v>
      </c>
      <c r="M30" s="49">
        <f>AVERAGE('01.08 KARUMA-GULU'!M30,'02.08 KARUMA-GULU'!M30,'04.08 KARUMA-GULU'!M30,'06.08 KARUMA-GULU'!M30,'03.08 KARUMA-GULU-24HRS'!M30,'05.08, KARUMA-GULU-24HRS'!M30,'7.08 KARUMA-GULU'!M30)</f>
        <v>49.728571428571435</v>
      </c>
      <c r="N30" s="49">
        <f>AVERAGE('01.08 KARUMA-GULU'!N30,'02.08 KARUMA-GULU'!N30,'04.08 KARUMA-GULU'!N30,'06.08 KARUMA-GULU'!N30,'03.08 KARUMA-GULU-24HRS'!N30,'05.08, KARUMA-GULU-24HRS'!N30,'7.08 KARUMA-GULU'!N30)</f>
        <v>0</v>
      </c>
      <c r="O30" s="15">
        <f t="shared" si="0"/>
        <v>18.361344537815125</v>
      </c>
      <c r="P30" s="15">
        <f t="shared" si="1"/>
        <v>68.089915966386556</v>
      </c>
      <c r="R30" s="1" t="s">
        <v>154</v>
      </c>
      <c r="S30" s="34">
        <f>SUM(C90:C93)</f>
        <v>23.12605042016807</v>
      </c>
      <c r="T30" s="34">
        <f t="shared" ref="T30:AF30" si="22">SUM(D90:D93)</f>
        <v>10.281512605042018</v>
      </c>
      <c r="U30" s="34">
        <f t="shared" si="22"/>
        <v>22.403361344537814</v>
      </c>
      <c r="V30" s="34">
        <f t="shared" si="22"/>
        <v>1.4201680672268908</v>
      </c>
      <c r="W30" s="34">
        <f t="shared" si="22"/>
        <v>0</v>
      </c>
      <c r="X30" s="34">
        <f t="shared" si="22"/>
        <v>1.7605042016806725</v>
      </c>
      <c r="Y30" s="34">
        <f t="shared" si="22"/>
        <v>9.7815126050420176</v>
      </c>
      <c r="Z30" s="34">
        <f t="shared" si="22"/>
        <v>1.3403361344537816</v>
      </c>
      <c r="AA30" s="34">
        <f t="shared" si="22"/>
        <v>0.84033613445378152</v>
      </c>
      <c r="AB30" s="34">
        <f t="shared" si="22"/>
        <v>3.1806722689075633</v>
      </c>
      <c r="AC30" s="34">
        <f t="shared" si="22"/>
        <v>8</v>
      </c>
      <c r="AD30" s="34">
        <f t="shared" si="22"/>
        <v>0</v>
      </c>
      <c r="AE30" s="31">
        <f t="shared" si="22"/>
        <v>74.134453781512605</v>
      </c>
      <c r="AF30" s="31">
        <f t="shared" si="22"/>
        <v>82.134453781512605</v>
      </c>
    </row>
    <row r="31" spans="2:32" ht="23.1" customHeight="1" x14ac:dyDescent="0.25">
      <c r="B31" s="24" t="s">
        <v>58</v>
      </c>
      <c r="C31" s="49">
        <f>AVERAGE('01.08 KARUMA-GULU'!C31,'02.08 KARUMA-GULU'!C31,'04.08 KARUMA-GULU'!C31,'06.08 KARUMA-GULU'!C31,'03.08 KARUMA-GULU-24HRS'!C31,'05.08, KARUMA-GULU-24HRS'!C31,'7.08 KARUMA-GULU'!C31)</f>
        <v>5.3601440576230486</v>
      </c>
      <c r="D31" s="49">
        <f>AVERAGE('01.08 KARUMA-GULU'!D31,'02.08 KARUMA-GULU'!D31,'04.08 KARUMA-GULU'!D31,'06.08 KARUMA-GULU'!D31,'03.08 KARUMA-GULU-24HRS'!D31,'05.08, KARUMA-GULU-24HRS'!D31,'7.08 KARUMA-GULU'!D31)</f>
        <v>1.2629051620648259</v>
      </c>
      <c r="E31" s="49">
        <f>AVERAGE('01.08 KARUMA-GULU'!E31,'02.08 KARUMA-GULU'!E31,'04.08 KARUMA-GULU'!E31,'06.08 KARUMA-GULU'!E31,'03.08 KARUMA-GULU-24HRS'!E31,'05.08, KARUMA-GULU-24HRS'!E31,'7.08 KARUMA-GULU'!E31)</f>
        <v>2.6686674669867947</v>
      </c>
      <c r="F31" s="49">
        <f>AVERAGE('01.08 KARUMA-GULU'!F31,'02.08 KARUMA-GULU'!F31,'04.08 KARUMA-GULU'!F31,'06.08 KARUMA-GULU'!F31,'03.08 KARUMA-GULU-24HRS'!F31,'05.08, KARUMA-GULU-24HRS'!F31,'7.08 KARUMA-GULU'!F31)</f>
        <v>0.8571428571428571</v>
      </c>
      <c r="G31" s="49">
        <f>AVERAGE('01.08 KARUMA-GULU'!G31,'02.08 KARUMA-GULU'!G31,'04.08 KARUMA-GULU'!G31,'06.08 KARUMA-GULU'!G31,'03.08 KARUMA-GULU-24HRS'!G31,'05.08, KARUMA-GULU-24HRS'!G31,'7.08 KARUMA-GULU'!G31)</f>
        <v>0.26290516206482595</v>
      </c>
      <c r="H31" s="49">
        <f>AVERAGE('01.08 KARUMA-GULU'!H31,'02.08 KARUMA-GULU'!H31,'04.08 KARUMA-GULU'!H31,'06.08 KARUMA-GULU'!H31,'03.08 KARUMA-GULU-24HRS'!H31,'05.08, KARUMA-GULU-24HRS'!H31,'7.08 KARUMA-GULU'!H31)</f>
        <v>0.5714285714285714</v>
      </c>
      <c r="I31" s="49">
        <f>AVERAGE('01.08 KARUMA-GULU'!I31,'02.08 KARUMA-GULU'!I31,'04.08 KARUMA-GULU'!I31,'06.08 KARUMA-GULU'!I31,'03.08 KARUMA-GULU-24HRS'!I31,'05.08, KARUMA-GULU-24HRS'!I31,'7.08 KARUMA-GULU'!I31)</f>
        <v>1.2172869147659064</v>
      </c>
      <c r="J31" s="49">
        <f>AVERAGE('01.08 KARUMA-GULU'!J31,'02.08 KARUMA-GULU'!J31,'04.08 KARUMA-GULU'!J31,'06.08 KARUMA-GULU'!J31,'03.08 KARUMA-GULU-24HRS'!J31,'05.08, KARUMA-GULU-24HRS'!J31,'7.08 KARUMA-GULU'!J31)</f>
        <v>0.42857142857142855</v>
      </c>
      <c r="K31" s="49">
        <f>AVERAGE('01.08 KARUMA-GULU'!K31,'02.08 KARUMA-GULU'!K31,'04.08 KARUMA-GULU'!K31,'06.08 KARUMA-GULU'!K31,'03.08 KARUMA-GULU-24HRS'!K31,'05.08, KARUMA-GULU-24HRS'!K31,'7.08 KARUMA-GULU'!K31)</f>
        <v>0</v>
      </c>
      <c r="L31" s="49">
        <f>AVERAGE('01.08 KARUMA-GULU'!L31,'02.08 KARUMA-GULU'!L31,'04.08 KARUMA-GULU'!L31,'06.08 KARUMA-GULU'!L31,'03.08 KARUMA-GULU-24HRS'!L31,'05.08, KARUMA-GULU-24HRS'!L31,'7.08 KARUMA-GULU'!L31)</f>
        <v>1.6002400960384153</v>
      </c>
      <c r="M31" s="49">
        <f>AVERAGE('01.08 KARUMA-GULU'!M31,'02.08 KARUMA-GULU'!M31,'04.08 KARUMA-GULU'!M31,'06.08 KARUMA-GULU'!M31,'03.08 KARUMA-GULU-24HRS'!M31,'05.08, KARUMA-GULU-24HRS'!M31,'7.08 KARUMA-GULU'!M31)</f>
        <v>40.9</v>
      </c>
      <c r="N31" s="49">
        <f>AVERAGE('01.08 KARUMA-GULU'!N31,'02.08 KARUMA-GULU'!N31,'04.08 KARUMA-GULU'!N31,'06.08 KARUMA-GULU'!N31,'03.08 KARUMA-GULU-24HRS'!N31,'05.08, KARUMA-GULU-24HRS'!N31,'7.08 KARUMA-GULU'!N31)</f>
        <v>0</v>
      </c>
      <c r="O31" s="15">
        <f t="shared" si="0"/>
        <v>14.229291716686676</v>
      </c>
      <c r="P31" s="15">
        <f t="shared" si="1"/>
        <v>55.129291716686673</v>
      </c>
      <c r="R31" s="1" t="s">
        <v>155</v>
      </c>
      <c r="S31" s="34">
        <f>SUM(C94:C97)</f>
        <v>20.205882352941174</v>
      </c>
      <c r="T31" s="34">
        <f t="shared" ref="T31:AF31" si="23">SUM(D94:D97)</f>
        <v>11.382352941176471</v>
      </c>
      <c r="U31" s="34">
        <f t="shared" si="23"/>
        <v>24.184873949579831</v>
      </c>
      <c r="V31" s="34">
        <f t="shared" si="23"/>
        <v>8.7605042016806731</v>
      </c>
      <c r="W31" s="34">
        <f t="shared" si="23"/>
        <v>0.84033613445378152</v>
      </c>
      <c r="X31" s="34">
        <f t="shared" si="23"/>
        <v>0.92016806722689082</v>
      </c>
      <c r="Y31" s="34">
        <f t="shared" si="23"/>
        <v>11.861344537815127</v>
      </c>
      <c r="Z31" s="34">
        <f t="shared" si="23"/>
        <v>1.7605042016806722</v>
      </c>
      <c r="AA31" s="34">
        <f t="shared" si="23"/>
        <v>0</v>
      </c>
      <c r="AB31" s="34">
        <f t="shared" si="23"/>
        <v>2.1806722689075628</v>
      </c>
      <c r="AC31" s="34">
        <f t="shared" si="23"/>
        <v>0</v>
      </c>
      <c r="AD31" s="34">
        <f t="shared" si="23"/>
        <v>0</v>
      </c>
      <c r="AE31" s="31">
        <f t="shared" si="23"/>
        <v>82.096638655462172</v>
      </c>
      <c r="AF31" s="31">
        <f t="shared" si="23"/>
        <v>82.096638655462172</v>
      </c>
    </row>
    <row r="32" spans="2:32" ht="23.1" customHeight="1" x14ac:dyDescent="0.25">
      <c r="B32" s="24" t="s">
        <v>59</v>
      </c>
      <c r="C32" s="49">
        <f>AVERAGE('01.08 KARUMA-GULU'!C32,'02.08 KARUMA-GULU'!C32,'04.08 KARUMA-GULU'!C32,'06.08 KARUMA-GULU'!C32,'03.08 KARUMA-GULU-24HRS'!C32,'05.08, KARUMA-GULU-24HRS'!C32,'7.08 KARUMA-GULU'!C32)</f>
        <v>5.4801920768307326</v>
      </c>
      <c r="D32" s="49">
        <f>AVERAGE('01.08 KARUMA-GULU'!D32,'02.08 KARUMA-GULU'!D32,'04.08 KARUMA-GULU'!D32,'06.08 KARUMA-GULU'!D32,'03.08 KARUMA-GULU-24HRS'!D32,'05.08, KARUMA-GULU-24HRS'!D32,'7.08 KARUMA-GULU'!D32)</f>
        <v>1.7887154861944778</v>
      </c>
      <c r="E32" s="49">
        <f>AVERAGE('01.08 KARUMA-GULU'!E32,'02.08 KARUMA-GULU'!E32,'04.08 KARUMA-GULU'!E32,'06.08 KARUMA-GULU'!E32,'03.08 KARUMA-GULU-24HRS'!E32,'05.08, KARUMA-GULU-24HRS'!E32,'7.08 KARUMA-GULU'!E32)</f>
        <v>4.1488595438175269</v>
      </c>
      <c r="F32" s="49">
        <f>AVERAGE('01.08 KARUMA-GULU'!F32,'02.08 KARUMA-GULU'!F32,'04.08 KARUMA-GULU'!F32,'06.08 KARUMA-GULU'!F32,'03.08 KARUMA-GULU-24HRS'!F32,'05.08, KARUMA-GULU-24HRS'!F32,'7.08 KARUMA-GULU'!F32)</f>
        <v>1.2857142857142858</v>
      </c>
      <c r="G32" s="49">
        <f>AVERAGE('01.08 KARUMA-GULU'!G32,'02.08 KARUMA-GULU'!G32,'04.08 KARUMA-GULU'!G32,'06.08 KARUMA-GULU'!G32,'03.08 KARUMA-GULU-24HRS'!G32,'05.08, KARUMA-GULU-24HRS'!G32,'7.08 KARUMA-GULU'!G32)</f>
        <v>0</v>
      </c>
      <c r="H32" s="49">
        <f>AVERAGE('01.08 KARUMA-GULU'!H32,'02.08 KARUMA-GULU'!H32,'04.08 KARUMA-GULU'!H32,'06.08 KARUMA-GULU'!H32,'03.08 KARUMA-GULU-24HRS'!H32,'05.08, KARUMA-GULU-24HRS'!H32,'7.08 KARUMA-GULU'!H32)</f>
        <v>0.14285714285714285</v>
      </c>
      <c r="I32" s="49">
        <f>AVERAGE('01.08 KARUMA-GULU'!I32,'02.08 KARUMA-GULU'!I32,'04.08 KARUMA-GULU'!I32,'06.08 KARUMA-GULU'!I32,'03.08 KARUMA-GULU-24HRS'!I32,'05.08, KARUMA-GULU-24HRS'!I32,'7.08 KARUMA-GULU'!I32)</f>
        <v>1.6230492196878752</v>
      </c>
      <c r="J32" s="49">
        <f>AVERAGE('01.08 KARUMA-GULU'!J32,'02.08 KARUMA-GULU'!J32,'04.08 KARUMA-GULU'!J32,'06.08 KARUMA-GULU'!J32,'03.08 KARUMA-GULU-24HRS'!J32,'05.08, KARUMA-GULU-24HRS'!J32,'7.08 KARUMA-GULU'!J32)</f>
        <v>0</v>
      </c>
      <c r="K32" s="49">
        <f>AVERAGE('01.08 KARUMA-GULU'!K32,'02.08 KARUMA-GULU'!K32,'04.08 KARUMA-GULU'!K32,'06.08 KARUMA-GULU'!K32,'03.08 KARUMA-GULU-24HRS'!K32,'05.08, KARUMA-GULU-24HRS'!K32,'7.08 KARUMA-GULU'!K32)</f>
        <v>0</v>
      </c>
      <c r="L32" s="49">
        <f>AVERAGE('01.08 KARUMA-GULU'!L32,'02.08 KARUMA-GULU'!L32,'04.08 KARUMA-GULU'!L32,'06.08 KARUMA-GULU'!L32,'03.08 KARUMA-GULU-24HRS'!L32,'05.08, KARUMA-GULU-24HRS'!L32,'7.08 KARUMA-GULU'!L32)</f>
        <v>1.405762304921969</v>
      </c>
      <c r="M32" s="49">
        <f>AVERAGE('01.08 KARUMA-GULU'!M32,'02.08 KARUMA-GULU'!M32,'04.08 KARUMA-GULU'!M32,'06.08 KARUMA-GULU'!M32,'03.08 KARUMA-GULU-24HRS'!M32,'05.08, KARUMA-GULU-24HRS'!M32,'7.08 KARUMA-GULU'!M32)</f>
        <v>44.671428571428571</v>
      </c>
      <c r="N32" s="49">
        <f>AVERAGE('01.08 KARUMA-GULU'!N32,'02.08 KARUMA-GULU'!N32,'04.08 KARUMA-GULU'!N32,'06.08 KARUMA-GULU'!N32,'03.08 KARUMA-GULU-24HRS'!N32,'05.08, KARUMA-GULU-24HRS'!N32,'7.08 KARUMA-GULU'!N32)</f>
        <v>0</v>
      </c>
      <c r="O32" s="15">
        <f t="shared" si="0"/>
        <v>15.875150060024012</v>
      </c>
      <c r="P32" s="15">
        <f t="shared" si="1"/>
        <v>60.546578631452583</v>
      </c>
      <c r="R32" s="1" t="s">
        <v>156</v>
      </c>
      <c r="S32" s="34">
        <f>SUM(C98:C101)</f>
        <v>27.428571428571431</v>
      </c>
      <c r="T32" s="34">
        <f t="shared" ref="T32:AF32" si="24">SUM(D98:D101)</f>
        <v>16.80252100840336</v>
      </c>
      <c r="U32" s="34">
        <f t="shared" si="24"/>
        <v>35.945378151260499</v>
      </c>
      <c r="V32" s="34">
        <f t="shared" si="24"/>
        <v>5.5210084033613445</v>
      </c>
      <c r="W32" s="34">
        <f t="shared" si="24"/>
        <v>0</v>
      </c>
      <c r="X32" s="34">
        <f t="shared" si="24"/>
        <v>2.2605042016806722</v>
      </c>
      <c r="Y32" s="34">
        <f t="shared" si="24"/>
        <v>9.9411764705882355</v>
      </c>
      <c r="Z32" s="34">
        <f t="shared" si="24"/>
        <v>1.3403361344537816</v>
      </c>
      <c r="AA32" s="34">
        <f t="shared" si="24"/>
        <v>0.84033613445378152</v>
      </c>
      <c r="AB32" s="34">
        <f t="shared" si="24"/>
        <v>5.9411764705882355</v>
      </c>
      <c r="AC32" s="34">
        <f t="shared" si="24"/>
        <v>7</v>
      </c>
      <c r="AD32" s="34">
        <f t="shared" si="24"/>
        <v>0</v>
      </c>
      <c r="AE32" s="31">
        <f t="shared" si="24"/>
        <v>106.02100840336134</v>
      </c>
      <c r="AF32" s="31">
        <f t="shared" si="24"/>
        <v>113.02100840336134</v>
      </c>
    </row>
    <row r="33" spans="2:32" ht="23.1" customHeight="1" x14ac:dyDescent="0.25">
      <c r="B33" s="23" t="s">
        <v>60</v>
      </c>
      <c r="C33" s="49">
        <f>AVERAGE('01.08 KARUMA-GULU'!C33,'02.08 KARUMA-GULU'!C33,'04.08 KARUMA-GULU'!C33,'06.08 KARUMA-GULU'!C33,'03.08 KARUMA-GULU-24HRS'!C33,'05.08, KARUMA-GULU-24HRS'!C33,'7.08 KARUMA-GULU'!C33)</f>
        <v>5.4345738295318124</v>
      </c>
      <c r="D33" s="49">
        <f>AVERAGE('01.08 KARUMA-GULU'!D33,'02.08 KARUMA-GULU'!D33,'04.08 KARUMA-GULU'!D33,'06.08 KARUMA-GULU'!D33,'03.08 KARUMA-GULU-24HRS'!D33,'05.08, KARUMA-GULU-24HRS'!D33,'7.08 KARUMA-GULU'!D33)</f>
        <v>1.7887154861944778</v>
      </c>
      <c r="E33" s="49">
        <f>AVERAGE('01.08 KARUMA-GULU'!E33,'02.08 KARUMA-GULU'!E33,'04.08 KARUMA-GULU'!E33,'06.08 KARUMA-GULU'!E33,'03.08 KARUMA-GULU-24HRS'!E33,'05.08, KARUMA-GULU-24HRS'!E33,'7.08 KARUMA-GULU'!E33)</f>
        <v>3.5774309723889557</v>
      </c>
      <c r="F33" s="49">
        <f>AVERAGE('01.08 KARUMA-GULU'!F33,'02.08 KARUMA-GULU'!F33,'04.08 KARUMA-GULU'!F33,'06.08 KARUMA-GULU'!F33,'03.08 KARUMA-GULU-24HRS'!F33,'05.08, KARUMA-GULU-24HRS'!F33,'7.08 KARUMA-GULU'!F33)</f>
        <v>1.0972388955582233</v>
      </c>
      <c r="G33" s="49">
        <f>AVERAGE('01.08 KARUMA-GULU'!G33,'02.08 KARUMA-GULU'!G33,'04.08 KARUMA-GULU'!G33,'06.08 KARUMA-GULU'!G33,'03.08 KARUMA-GULU-24HRS'!G33,'05.08, KARUMA-GULU-24HRS'!G33,'7.08 KARUMA-GULU'!G33)</f>
        <v>0</v>
      </c>
      <c r="H33" s="49">
        <f>AVERAGE('01.08 KARUMA-GULU'!H33,'02.08 KARUMA-GULU'!H33,'04.08 KARUMA-GULU'!H33,'06.08 KARUMA-GULU'!H33,'03.08 KARUMA-GULU-24HRS'!H33,'05.08, KARUMA-GULU-24HRS'!H33,'7.08 KARUMA-GULU'!H33)</f>
        <v>0.24009603841536614</v>
      </c>
      <c r="I33" s="49">
        <f>AVERAGE('01.08 KARUMA-GULU'!I33,'02.08 KARUMA-GULU'!I33,'04.08 KARUMA-GULU'!I33,'06.08 KARUMA-GULU'!I33,'03.08 KARUMA-GULU-24HRS'!I33,'05.08, KARUMA-GULU-24HRS'!I33,'7.08 KARUMA-GULU'!I33)</f>
        <v>1.405762304921969</v>
      </c>
      <c r="J33" s="49">
        <f>AVERAGE('01.08 KARUMA-GULU'!J33,'02.08 KARUMA-GULU'!J33,'04.08 KARUMA-GULU'!J33,'06.08 KARUMA-GULU'!J33,'03.08 KARUMA-GULU-24HRS'!J33,'05.08, KARUMA-GULU-24HRS'!J33,'7.08 KARUMA-GULU'!J33)</f>
        <v>0.54861944777911165</v>
      </c>
      <c r="K33" s="49">
        <f>AVERAGE('01.08 KARUMA-GULU'!K33,'02.08 KARUMA-GULU'!K33,'04.08 KARUMA-GULU'!K33,'06.08 KARUMA-GULU'!K33,'03.08 KARUMA-GULU-24HRS'!K33,'05.08, KARUMA-GULU-24HRS'!K33,'7.08 KARUMA-GULU'!K33)</f>
        <v>0</v>
      </c>
      <c r="L33" s="49">
        <f>AVERAGE('01.08 KARUMA-GULU'!L33,'02.08 KARUMA-GULU'!L33,'04.08 KARUMA-GULU'!L33,'06.08 KARUMA-GULU'!L33,'03.08 KARUMA-GULU-24HRS'!L33,'05.08, KARUMA-GULU-24HRS'!L33,'7.08 KARUMA-GULU'!L33)</f>
        <v>0.88595438175270114</v>
      </c>
      <c r="M33" s="49">
        <f>AVERAGE('01.08 KARUMA-GULU'!M33,'02.08 KARUMA-GULU'!M33,'04.08 KARUMA-GULU'!M33,'06.08 KARUMA-GULU'!M33,'03.08 KARUMA-GULU-24HRS'!M33,'05.08, KARUMA-GULU-24HRS'!M33,'7.08 KARUMA-GULU'!M33)</f>
        <v>47.214285714285715</v>
      </c>
      <c r="N33" s="49">
        <f>AVERAGE('01.08 KARUMA-GULU'!N33,'02.08 KARUMA-GULU'!N33,'04.08 KARUMA-GULU'!N33,'06.08 KARUMA-GULU'!N33,'03.08 KARUMA-GULU-24HRS'!N33,'05.08, KARUMA-GULU-24HRS'!N33,'7.08 KARUMA-GULU'!N33)</f>
        <v>0</v>
      </c>
      <c r="O33" s="15">
        <f t="shared" si="0"/>
        <v>14.97839135654262</v>
      </c>
      <c r="P33" s="15">
        <f t="shared" si="1"/>
        <v>62.192677070828339</v>
      </c>
      <c r="R33" s="1" t="s">
        <v>157</v>
      </c>
      <c r="S33" s="34">
        <f>SUM(C102:C105)</f>
        <v>28.487394957983195</v>
      </c>
      <c r="T33" s="34">
        <f t="shared" ref="T33:AF33" si="25">SUM(D102:D105)</f>
        <v>19.945378151260506</v>
      </c>
      <c r="U33" s="34">
        <f t="shared" si="25"/>
        <v>41.231092436974791</v>
      </c>
      <c r="V33" s="34">
        <f t="shared" si="25"/>
        <v>13.281512605042018</v>
      </c>
      <c r="W33" s="34">
        <f t="shared" si="25"/>
        <v>0.92016806722689082</v>
      </c>
      <c r="X33" s="34">
        <f t="shared" si="25"/>
        <v>3.3403361344537816</v>
      </c>
      <c r="Y33" s="34">
        <f t="shared" si="25"/>
        <v>11.281512605042016</v>
      </c>
      <c r="Z33" s="34">
        <f t="shared" si="25"/>
        <v>1.2605042016806722</v>
      </c>
      <c r="AA33" s="34">
        <f t="shared" si="25"/>
        <v>0.84033613445378152</v>
      </c>
      <c r="AB33" s="34">
        <f t="shared" si="25"/>
        <v>11.882352941176471</v>
      </c>
      <c r="AC33" s="34">
        <f t="shared" si="25"/>
        <v>28</v>
      </c>
      <c r="AD33" s="34">
        <f t="shared" si="25"/>
        <v>0</v>
      </c>
      <c r="AE33" s="31">
        <f t="shared" si="25"/>
        <v>132.47058823529414</v>
      </c>
      <c r="AF33" s="31">
        <f t="shared" si="25"/>
        <v>160.47058823529412</v>
      </c>
    </row>
    <row r="34" spans="2:32" ht="23.1" customHeight="1" x14ac:dyDescent="0.25">
      <c r="B34" s="24" t="s">
        <v>61</v>
      </c>
      <c r="C34" s="49">
        <f>AVERAGE('01.08 KARUMA-GULU'!C34,'02.08 KARUMA-GULU'!C34,'04.08 KARUMA-GULU'!C34,'06.08 KARUMA-GULU'!C34,'03.08 KARUMA-GULU-24HRS'!C34,'05.08, KARUMA-GULU-24HRS'!C34,'7.08 KARUMA-GULU'!C34)</f>
        <v>3.6686674669867947</v>
      </c>
      <c r="D34" s="49">
        <f>AVERAGE('01.08 KARUMA-GULU'!D34,'02.08 KARUMA-GULU'!D34,'04.08 KARUMA-GULU'!D34,'06.08 KARUMA-GULU'!D34,'03.08 KARUMA-GULU-24HRS'!D34,'05.08, KARUMA-GULU-24HRS'!D34,'7.08 KARUMA-GULU'!D34)</f>
        <v>1.8571428571428572</v>
      </c>
      <c r="E34" s="49">
        <f>AVERAGE('01.08 KARUMA-GULU'!E34,'02.08 KARUMA-GULU'!E34,'04.08 KARUMA-GULU'!E34,'06.08 KARUMA-GULU'!E34,'03.08 KARUMA-GULU-24HRS'!E34,'05.08, KARUMA-GULU-24HRS'!E34,'7.08 KARUMA-GULU'!E34)</f>
        <v>4.2629051620648264</v>
      </c>
      <c r="F34" s="49">
        <f>AVERAGE('01.08 KARUMA-GULU'!F34,'02.08 KARUMA-GULU'!F34,'04.08 KARUMA-GULU'!F34,'06.08 KARUMA-GULU'!F34,'03.08 KARUMA-GULU-24HRS'!F34,'05.08, KARUMA-GULU-24HRS'!F34,'7.08 KARUMA-GULU'!F34)</f>
        <v>0.97719087635054014</v>
      </c>
      <c r="G34" s="49">
        <f>AVERAGE('01.08 KARUMA-GULU'!G34,'02.08 KARUMA-GULU'!G34,'04.08 KARUMA-GULU'!G34,'06.08 KARUMA-GULU'!G34,'03.08 KARUMA-GULU-24HRS'!G34,'05.08, KARUMA-GULU-24HRS'!G34,'7.08 KARUMA-GULU'!G34)</f>
        <v>0.14285714285714285</v>
      </c>
      <c r="H34" s="49">
        <f>AVERAGE('01.08 KARUMA-GULU'!H34,'02.08 KARUMA-GULU'!H34,'04.08 KARUMA-GULU'!H34,'06.08 KARUMA-GULU'!H34,'03.08 KARUMA-GULU-24HRS'!H34,'05.08, KARUMA-GULU-24HRS'!H34,'7.08 KARUMA-GULU'!H34)</f>
        <v>0.26290516206482595</v>
      </c>
      <c r="I34" s="49">
        <f>AVERAGE('01.08 KARUMA-GULU'!I34,'02.08 KARUMA-GULU'!I34,'04.08 KARUMA-GULU'!I34,'06.08 KARUMA-GULU'!I34,'03.08 KARUMA-GULU-24HRS'!I34,'05.08, KARUMA-GULU-24HRS'!I34,'7.08 KARUMA-GULU'!I34)</f>
        <v>2.3145258103241297</v>
      </c>
      <c r="J34" s="49">
        <f>AVERAGE('01.08 KARUMA-GULU'!J34,'02.08 KARUMA-GULU'!J34,'04.08 KARUMA-GULU'!J34,'06.08 KARUMA-GULU'!J34,'03.08 KARUMA-GULU-24HRS'!J34,'05.08, KARUMA-GULU-24HRS'!J34,'7.08 KARUMA-GULU'!J34)</f>
        <v>0.2857142857142857</v>
      </c>
      <c r="K34" s="49">
        <f>AVERAGE('01.08 KARUMA-GULU'!K34,'02.08 KARUMA-GULU'!K34,'04.08 KARUMA-GULU'!K34,'06.08 KARUMA-GULU'!K34,'03.08 KARUMA-GULU-24HRS'!K34,'05.08, KARUMA-GULU-24HRS'!K34,'7.08 KARUMA-GULU'!K34)</f>
        <v>0.14285714285714285</v>
      </c>
      <c r="L34" s="49">
        <f>AVERAGE('01.08 KARUMA-GULU'!L34,'02.08 KARUMA-GULU'!L34,'04.08 KARUMA-GULU'!L34,'06.08 KARUMA-GULU'!L34,'03.08 KARUMA-GULU-24HRS'!L34,'05.08, KARUMA-GULU-24HRS'!L34,'7.08 KARUMA-GULU'!L34)</f>
        <v>2.7719087635054018</v>
      </c>
      <c r="M34" s="49">
        <f>AVERAGE('01.08 KARUMA-GULU'!M34,'02.08 KARUMA-GULU'!M34,'04.08 KARUMA-GULU'!M34,'06.08 KARUMA-GULU'!M34,'03.08 KARUMA-GULU-24HRS'!M34,'05.08, KARUMA-GULU-24HRS'!M34,'7.08 KARUMA-GULU'!M34)</f>
        <v>48.157142857142858</v>
      </c>
      <c r="N34" s="49">
        <f>AVERAGE('01.08 KARUMA-GULU'!N34,'02.08 KARUMA-GULU'!N34,'04.08 KARUMA-GULU'!N34,'06.08 KARUMA-GULU'!N34,'03.08 KARUMA-GULU-24HRS'!N34,'05.08, KARUMA-GULU-24HRS'!N34,'7.08 KARUMA-GULU'!N34)</f>
        <v>0</v>
      </c>
      <c r="O34" s="15">
        <f t="shared" si="0"/>
        <v>16.686674669867948</v>
      </c>
      <c r="P34" s="15">
        <f t="shared" si="1"/>
        <v>64.843817527010799</v>
      </c>
      <c r="R34" s="51" t="s">
        <v>90</v>
      </c>
      <c r="S34" s="52">
        <f t="shared" ref="S34:AF34" si="26">MAX(S10:S12)</f>
        <v>26.320528211284515</v>
      </c>
      <c r="T34" s="52">
        <f t="shared" si="26"/>
        <v>6.2977190876350537</v>
      </c>
      <c r="U34" s="52">
        <f t="shared" si="26"/>
        <v>14.384153661464586</v>
      </c>
      <c r="V34" s="52">
        <f t="shared" si="26"/>
        <v>4.0804321728691475</v>
      </c>
      <c r="W34" s="52">
        <f t="shared" si="26"/>
        <v>0.42857142857142855</v>
      </c>
      <c r="X34" s="52">
        <f t="shared" si="26"/>
        <v>0.5258103241296519</v>
      </c>
      <c r="Y34" s="52">
        <f t="shared" si="26"/>
        <v>8.0804321728691484</v>
      </c>
      <c r="Z34" s="52">
        <f t="shared" si="26"/>
        <v>1.857142857142857</v>
      </c>
      <c r="AA34" s="52">
        <f t="shared" si="26"/>
        <v>0.5714285714285714</v>
      </c>
      <c r="AB34" s="52">
        <f t="shared" si="26"/>
        <v>8.1428571428571423</v>
      </c>
      <c r="AC34" s="52">
        <f t="shared" si="26"/>
        <v>239.52857142857141</v>
      </c>
      <c r="AD34" s="52">
        <f t="shared" si="26"/>
        <v>0.14285714285714285</v>
      </c>
      <c r="AE34" s="40">
        <f t="shared" si="26"/>
        <v>68.049219687875151</v>
      </c>
      <c r="AF34" s="40">
        <f t="shared" si="26"/>
        <v>303.33493397358944</v>
      </c>
    </row>
    <row r="35" spans="2:32" ht="23.1" customHeight="1" x14ac:dyDescent="0.25">
      <c r="B35" s="24" t="s">
        <v>62</v>
      </c>
      <c r="C35" s="49">
        <f>AVERAGE('01.08 KARUMA-GULU'!C35,'02.08 KARUMA-GULU'!C35,'04.08 KARUMA-GULU'!C35,'06.08 KARUMA-GULU'!C35,'03.08 KARUMA-GULU-24HRS'!C35,'05.08, KARUMA-GULU-24HRS'!C35,'7.08 KARUMA-GULU'!C35)</f>
        <v>3.7659063625450178</v>
      </c>
      <c r="D35" s="49">
        <f>AVERAGE('01.08 KARUMA-GULU'!D35,'02.08 KARUMA-GULU'!D35,'04.08 KARUMA-GULU'!D35,'06.08 KARUMA-GULU'!D35,'03.08 KARUMA-GULU-24HRS'!D35,'05.08, KARUMA-GULU-24HRS'!D35,'7.08 KARUMA-GULU'!D35)</f>
        <v>1.9315726290516206</v>
      </c>
      <c r="E35" s="49">
        <f>AVERAGE('01.08 KARUMA-GULU'!E35,'02.08 KARUMA-GULU'!E35,'04.08 KARUMA-GULU'!E35,'06.08 KARUMA-GULU'!E35,'03.08 KARUMA-GULU-24HRS'!E35,'05.08, KARUMA-GULU-24HRS'!E35,'7.08 KARUMA-GULU'!E35)</f>
        <v>4.1260504201680677</v>
      </c>
      <c r="F35" s="49">
        <f>AVERAGE('01.08 KARUMA-GULU'!F35,'02.08 KARUMA-GULU'!F35,'04.08 KARUMA-GULU'!F35,'06.08 KARUMA-GULU'!F35,'03.08 KARUMA-GULU-24HRS'!F35,'05.08, KARUMA-GULU-24HRS'!F35,'7.08 KARUMA-GULU'!F35)</f>
        <v>0.5714285714285714</v>
      </c>
      <c r="G35" s="49">
        <f>AVERAGE('01.08 KARUMA-GULU'!G35,'02.08 KARUMA-GULU'!G35,'04.08 KARUMA-GULU'!G35,'06.08 KARUMA-GULU'!G35,'03.08 KARUMA-GULU-24HRS'!G35,'05.08, KARUMA-GULU-24HRS'!G35,'7.08 KARUMA-GULU'!G35)</f>
        <v>0.42857142857142855</v>
      </c>
      <c r="H35" s="49">
        <f>AVERAGE('01.08 KARUMA-GULU'!H35,'02.08 KARUMA-GULU'!H35,'04.08 KARUMA-GULU'!H35,'06.08 KARUMA-GULU'!H35,'03.08 KARUMA-GULU-24HRS'!H35,'05.08, KARUMA-GULU-24HRS'!H35,'7.08 KARUMA-GULU'!H35)</f>
        <v>0</v>
      </c>
      <c r="I35" s="49">
        <f>AVERAGE('01.08 KARUMA-GULU'!I35,'02.08 KARUMA-GULU'!I35,'04.08 KARUMA-GULU'!I35,'06.08 KARUMA-GULU'!I35,'03.08 KARUMA-GULU-24HRS'!I35,'05.08, KARUMA-GULU-24HRS'!I35,'7.08 KARUMA-GULU'!I35)</f>
        <v>1.765906362545018</v>
      </c>
      <c r="J35" s="49">
        <f>AVERAGE('01.08 KARUMA-GULU'!J35,'02.08 KARUMA-GULU'!J35,'04.08 KARUMA-GULU'!J35,'06.08 KARUMA-GULU'!J35,'03.08 KARUMA-GULU-24HRS'!J35,'05.08, KARUMA-GULU-24HRS'!J35,'7.08 KARUMA-GULU'!J35)</f>
        <v>0.12004801920768307</v>
      </c>
      <c r="K35" s="49">
        <f>AVERAGE('01.08 KARUMA-GULU'!K35,'02.08 KARUMA-GULU'!K35,'04.08 KARUMA-GULU'!K35,'06.08 KARUMA-GULU'!K35,'03.08 KARUMA-GULU-24HRS'!K35,'05.08, KARUMA-GULU-24HRS'!K35,'7.08 KARUMA-GULU'!K35)</f>
        <v>0</v>
      </c>
      <c r="L35" s="49">
        <f>AVERAGE('01.08 KARUMA-GULU'!L35,'02.08 KARUMA-GULU'!L35,'04.08 KARUMA-GULU'!L35,'06.08 KARUMA-GULU'!L35,'03.08 KARUMA-GULU-24HRS'!L35,'05.08, KARUMA-GULU-24HRS'!L35,'7.08 KARUMA-GULU'!L35)</f>
        <v>1.3601440576230492</v>
      </c>
      <c r="M35" s="49">
        <f>AVERAGE('01.08 KARUMA-GULU'!M35,'02.08 KARUMA-GULU'!M35,'04.08 KARUMA-GULU'!M35,'06.08 KARUMA-GULU'!M35,'03.08 KARUMA-GULU-24HRS'!M35,'05.08, KARUMA-GULU-24HRS'!M35,'7.08 KARUMA-GULU'!M35)</f>
        <v>52.18571428571429</v>
      </c>
      <c r="N35" s="49">
        <f>AVERAGE('01.08 KARUMA-GULU'!N35,'02.08 KARUMA-GULU'!N35,'04.08 KARUMA-GULU'!N35,'06.08 KARUMA-GULU'!N35,'03.08 KARUMA-GULU-24HRS'!N35,'05.08, KARUMA-GULU-24HRS'!N35,'7.08 KARUMA-GULU'!N35)</f>
        <v>0</v>
      </c>
      <c r="O35" s="15">
        <f t="shared" si="0"/>
        <v>14.069627851140456</v>
      </c>
      <c r="P35" s="15">
        <f t="shared" si="1"/>
        <v>66.25534213685475</v>
      </c>
      <c r="R35" s="51" t="s">
        <v>91</v>
      </c>
      <c r="S35" s="52">
        <f t="shared" ref="S35:AF35" si="27">MAX(S13:S18)</f>
        <v>21.709483793517407</v>
      </c>
      <c r="T35" s="52">
        <f t="shared" si="27"/>
        <v>9.0120048019207672</v>
      </c>
      <c r="U35" s="52">
        <f t="shared" si="27"/>
        <v>19.098439375750303</v>
      </c>
      <c r="V35" s="52">
        <f t="shared" si="27"/>
        <v>5.0288115246098437</v>
      </c>
      <c r="W35" s="52">
        <f t="shared" si="27"/>
        <v>0.8571428571428571</v>
      </c>
      <c r="X35" s="52">
        <f t="shared" si="27"/>
        <v>1.9543817527010803</v>
      </c>
      <c r="Y35" s="52">
        <f t="shared" si="27"/>
        <v>7.8235294117647056</v>
      </c>
      <c r="Z35" s="52">
        <f t="shared" si="27"/>
        <v>2.1428571428571428</v>
      </c>
      <c r="AA35" s="52">
        <f t="shared" si="27"/>
        <v>0.71428571428571419</v>
      </c>
      <c r="AB35" s="52">
        <f t="shared" si="27"/>
        <v>6.2809123649459782</v>
      </c>
      <c r="AC35" s="52">
        <f t="shared" si="27"/>
        <v>201.28571428571428</v>
      </c>
      <c r="AD35" s="52">
        <f t="shared" si="27"/>
        <v>0.14285714285714285</v>
      </c>
      <c r="AE35" s="40">
        <f t="shared" si="27"/>
        <v>67.667466986794722</v>
      </c>
      <c r="AF35" s="40">
        <f t="shared" si="27"/>
        <v>268.95318127250903</v>
      </c>
    </row>
    <row r="36" spans="2:32" ht="23.1" customHeight="1" x14ac:dyDescent="0.25">
      <c r="B36" s="24" t="s">
        <v>63</v>
      </c>
      <c r="C36" s="49">
        <f>AVERAGE('01.08 KARUMA-GULU'!C36,'02.08 KARUMA-GULU'!C36,'04.08 KARUMA-GULU'!C36,'06.08 KARUMA-GULU'!C36,'03.08 KARUMA-GULU-24HRS'!C36,'05.08, KARUMA-GULU-24HRS'!C36,'7.08 KARUMA-GULU'!C36)</f>
        <v>6.194477791116447</v>
      </c>
      <c r="D36" s="49">
        <f>AVERAGE('01.08 KARUMA-GULU'!D36,'02.08 KARUMA-GULU'!D36,'04.08 KARUMA-GULU'!D36,'06.08 KARUMA-GULU'!D36,'03.08 KARUMA-GULU-24HRS'!D36,'05.08, KARUMA-GULU-24HRS'!D36,'7.08 KARUMA-GULU'!D36)</f>
        <v>2.3145258103241297</v>
      </c>
      <c r="E36" s="49">
        <f>AVERAGE('01.08 KARUMA-GULU'!E36,'02.08 KARUMA-GULU'!E36,'04.08 KARUMA-GULU'!E36,'06.08 KARUMA-GULU'!E36,'03.08 KARUMA-GULU-24HRS'!E36,'05.08, KARUMA-GULU-24HRS'!E36,'7.08 KARUMA-GULU'!E36)</f>
        <v>4.7719087635054018</v>
      </c>
      <c r="F36" s="49">
        <f>AVERAGE('01.08 KARUMA-GULU'!F36,'02.08 KARUMA-GULU'!F36,'04.08 KARUMA-GULU'!F36,'06.08 KARUMA-GULU'!F36,'03.08 KARUMA-GULU-24HRS'!F36,'05.08, KARUMA-GULU-24HRS'!F36,'7.08 KARUMA-GULU'!F36)</f>
        <v>1.405762304921969</v>
      </c>
      <c r="G36" s="49">
        <f>AVERAGE('01.08 KARUMA-GULU'!G36,'02.08 KARUMA-GULU'!G36,'04.08 KARUMA-GULU'!G36,'06.08 KARUMA-GULU'!G36,'03.08 KARUMA-GULU-24HRS'!G36,'05.08, KARUMA-GULU-24HRS'!G36,'7.08 KARUMA-GULU'!G36)</f>
        <v>0.14285714285714285</v>
      </c>
      <c r="H36" s="49">
        <f>AVERAGE('01.08 KARUMA-GULU'!H36,'02.08 KARUMA-GULU'!H36,'04.08 KARUMA-GULU'!H36,'06.08 KARUMA-GULU'!H36,'03.08 KARUMA-GULU-24HRS'!H36,'05.08, KARUMA-GULU-24HRS'!H36,'7.08 KARUMA-GULU'!H36)</f>
        <v>0.5714285714285714</v>
      </c>
      <c r="I36" s="49">
        <f>AVERAGE('01.08 KARUMA-GULU'!I36,'02.08 KARUMA-GULU'!I36,'04.08 KARUMA-GULU'!I36,'06.08 KARUMA-GULU'!I36,'03.08 KARUMA-GULU-24HRS'!I36,'05.08, KARUMA-GULU-24HRS'!I36,'7.08 KARUMA-GULU'!I36)</f>
        <v>1.3373349339735896</v>
      </c>
      <c r="J36" s="49">
        <f>AVERAGE('01.08 KARUMA-GULU'!J36,'02.08 KARUMA-GULU'!J36,'04.08 KARUMA-GULU'!J36,'06.08 KARUMA-GULU'!J36,'03.08 KARUMA-GULU-24HRS'!J36,'05.08, KARUMA-GULU-24HRS'!J36,'7.08 KARUMA-GULU'!J36)</f>
        <v>0.14285714285714285</v>
      </c>
      <c r="K36" s="49">
        <f>AVERAGE('01.08 KARUMA-GULU'!K36,'02.08 KARUMA-GULU'!K36,'04.08 KARUMA-GULU'!K36,'06.08 KARUMA-GULU'!K36,'03.08 KARUMA-GULU-24HRS'!K36,'05.08, KARUMA-GULU-24HRS'!K36,'7.08 KARUMA-GULU'!K36)</f>
        <v>0.14285714285714285</v>
      </c>
      <c r="L36" s="49">
        <f>AVERAGE('01.08 KARUMA-GULU'!L36,'02.08 KARUMA-GULU'!L36,'04.08 KARUMA-GULU'!L36,'06.08 KARUMA-GULU'!L36,'03.08 KARUMA-GULU-24HRS'!L36,'05.08, KARUMA-GULU-24HRS'!L36,'7.08 KARUMA-GULU'!L36)</f>
        <v>1.6230492196878752</v>
      </c>
      <c r="M36" s="49">
        <f>AVERAGE('01.08 KARUMA-GULU'!M36,'02.08 KARUMA-GULU'!M36,'04.08 KARUMA-GULU'!M36,'06.08 KARUMA-GULU'!M36,'03.08 KARUMA-GULU-24HRS'!M36,'05.08, KARUMA-GULU-24HRS'!M36,'7.08 KARUMA-GULU'!M36)</f>
        <v>53.457142857142856</v>
      </c>
      <c r="N36" s="49">
        <f>AVERAGE('01.08 KARUMA-GULU'!N36,'02.08 KARUMA-GULU'!N36,'04.08 KARUMA-GULU'!N36,'06.08 KARUMA-GULU'!N36,'03.08 KARUMA-GULU-24HRS'!N36,'05.08, KARUMA-GULU-24HRS'!N36,'7.08 KARUMA-GULU'!N36)</f>
        <v>0</v>
      </c>
      <c r="O36" s="15">
        <f t="shared" si="0"/>
        <v>18.647058823529413</v>
      </c>
      <c r="P36" s="15">
        <f t="shared" si="1"/>
        <v>72.104201680672276</v>
      </c>
      <c r="R36" s="51" t="s">
        <v>92</v>
      </c>
      <c r="S36" s="52">
        <f t="shared" ref="S36:AF36" si="28">MAX(S19:S21)</f>
        <v>30.024009603841538</v>
      </c>
      <c r="T36" s="52">
        <f t="shared" si="28"/>
        <v>10.891956782713084</v>
      </c>
      <c r="U36" s="52">
        <f t="shared" si="28"/>
        <v>23.024009603841534</v>
      </c>
      <c r="V36" s="52">
        <f t="shared" si="28"/>
        <v>6.1032412965186067</v>
      </c>
      <c r="W36" s="52">
        <f t="shared" si="28"/>
        <v>1.5486194477791115</v>
      </c>
      <c r="X36" s="52">
        <f t="shared" si="28"/>
        <v>3.1716686674669869</v>
      </c>
      <c r="Y36" s="52">
        <f t="shared" si="28"/>
        <v>8.5726290516206483</v>
      </c>
      <c r="Z36" s="52">
        <f t="shared" si="28"/>
        <v>2.8343337334933976</v>
      </c>
      <c r="AA36" s="52">
        <f t="shared" si="28"/>
        <v>0.97719087635054014</v>
      </c>
      <c r="AB36" s="52">
        <f t="shared" si="28"/>
        <v>7.0060024009603845</v>
      </c>
      <c r="AC36" s="52">
        <f t="shared" si="28"/>
        <v>285.72857142857146</v>
      </c>
      <c r="AD36" s="52">
        <f t="shared" si="28"/>
        <v>0.2857142857142857</v>
      </c>
      <c r="AE36" s="40">
        <f t="shared" si="28"/>
        <v>88.969987995198068</v>
      </c>
      <c r="AF36" s="40">
        <f t="shared" si="28"/>
        <v>371.79579831932779</v>
      </c>
    </row>
    <row r="37" spans="2:32" ht="23.1" customHeight="1" x14ac:dyDescent="0.25">
      <c r="B37" s="23" t="s">
        <v>64</v>
      </c>
      <c r="C37" s="49">
        <f>AVERAGE('01.08 KARUMA-GULU'!C37,'02.08 KARUMA-GULU'!C37,'04.08 KARUMA-GULU'!C37,'06.08 KARUMA-GULU'!C37,'03.08 KARUMA-GULU-24HRS'!C37,'05.08, KARUMA-GULU-24HRS'!C37,'7.08 KARUMA-GULU'!C37)</f>
        <v>4.6230492196878759</v>
      </c>
      <c r="D37" s="49">
        <f>AVERAGE('01.08 KARUMA-GULU'!D37,'02.08 KARUMA-GULU'!D37,'04.08 KARUMA-GULU'!D37,'06.08 KARUMA-GULU'!D37,'03.08 KARUMA-GULU-24HRS'!D37,'05.08, KARUMA-GULU-24HRS'!D37,'7.08 KARUMA-GULU'!D37)</f>
        <v>2.9087635054021606</v>
      </c>
      <c r="E37" s="49">
        <f>AVERAGE('01.08 KARUMA-GULU'!E37,'02.08 KARUMA-GULU'!E37,'04.08 KARUMA-GULU'!E37,'06.08 KARUMA-GULU'!E37,'03.08 KARUMA-GULU-24HRS'!E37,'05.08, KARUMA-GULU-24HRS'!E37,'7.08 KARUMA-GULU'!E37)</f>
        <v>5.9375750300120052</v>
      </c>
      <c r="F37" s="49">
        <f>AVERAGE('01.08 KARUMA-GULU'!F37,'02.08 KARUMA-GULU'!F37,'04.08 KARUMA-GULU'!F37,'06.08 KARUMA-GULU'!F37,'03.08 KARUMA-GULU-24HRS'!F37,'05.08, KARUMA-GULU-24HRS'!F37,'7.08 KARUMA-GULU'!F37)</f>
        <v>1.6914765906362546</v>
      </c>
      <c r="G37" s="49">
        <f>AVERAGE('01.08 KARUMA-GULU'!G37,'02.08 KARUMA-GULU'!G37,'04.08 KARUMA-GULU'!G37,'06.08 KARUMA-GULU'!G37,'03.08 KARUMA-GULU-24HRS'!G37,'05.08, KARUMA-GULU-24HRS'!G37,'7.08 KARUMA-GULU'!G37)</f>
        <v>0.14285714285714285</v>
      </c>
      <c r="H37" s="49">
        <f>AVERAGE('01.08 KARUMA-GULU'!H37,'02.08 KARUMA-GULU'!H37,'04.08 KARUMA-GULU'!H37,'06.08 KARUMA-GULU'!H37,'03.08 KARUMA-GULU-24HRS'!H37,'05.08, KARUMA-GULU-24HRS'!H37,'7.08 KARUMA-GULU'!H37)</f>
        <v>0.26290516206482595</v>
      </c>
      <c r="I37" s="49">
        <f>AVERAGE('01.08 KARUMA-GULU'!I37,'02.08 KARUMA-GULU'!I37,'04.08 KARUMA-GULU'!I37,'06.08 KARUMA-GULU'!I37,'03.08 KARUMA-GULU-24HRS'!I37,'05.08, KARUMA-GULU-24HRS'!I37,'7.08 KARUMA-GULU'!I37)</f>
        <v>1.8859543817527009</v>
      </c>
      <c r="J37" s="49">
        <f>AVERAGE('01.08 KARUMA-GULU'!J37,'02.08 KARUMA-GULU'!J37,'04.08 KARUMA-GULU'!J37,'06.08 KARUMA-GULU'!J37,'03.08 KARUMA-GULU-24HRS'!J37,'05.08, KARUMA-GULU-24HRS'!J37,'7.08 KARUMA-GULU'!J37)</f>
        <v>0.2857142857142857</v>
      </c>
      <c r="K37" s="49">
        <f>AVERAGE('01.08 KARUMA-GULU'!K37,'02.08 KARUMA-GULU'!K37,'04.08 KARUMA-GULU'!K37,'06.08 KARUMA-GULU'!K37,'03.08 KARUMA-GULU-24HRS'!K37,'05.08, KARUMA-GULU-24HRS'!K37,'7.08 KARUMA-GULU'!K37)</f>
        <v>0</v>
      </c>
      <c r="L37" s="49">
        <f>AVERAGE('01.08 KARUMA-GULU'!L37,'02.08 KARUMA-GULU'!L37,'04.08 KARUMA-GULU'!L37,'06.08 KARUMA-GULU'!L37,'03.08 KARUMA-GULU-24HRS'!L37,'05.08, KARUMA-GULU-24HRS'!L37,'7.08 KARUMA-GULU'!L37)</f>
        <v>0.5258103241296519</v>
      </c>
      <c r="M37" s="49">
        <f>AVERAGE('01.08 KARUMA-GULU'!M37,'02.08 KARUMA-GULU'!M37,'04.08 KARUMA-GULU'!M37,'06.08 KARUMA-GULU'!M37,'03.08 KARUMA-GULU-24HRS'!M37,'05.08, KARUMA-GULU-24HRS'!M37,'7.08 KARUMA-GULU'!M37)</f>
        <v>47.48571428571428</v>
      </c>
      <c r="N37" s="49">
        <f>AVERAGE('01.08 KARUMA-GULU'!N37,'02.08 KARUMA-GULU'!N37,'04.08 KARUMA-GULU'!N37,'06.08 KARUMA-GULU'!N37,'03.08 KARUMA-GULU-24HRS'!N37,'05.08, KARUMA-GULU-24HRS'!N37,'7.08 KARUMA-GULU'!N37)</f>
        <v>0</v>
      </c>
      <c r="O37" s="15">
        <f t="shared" si="0"/>
        <v>18.264105642256901</v>
      </c>
      <c r="P37" s="15">
        <f t="shared" si="1"/>
        <v>65.749819927971174</v>
      </c>
      <c r="R37" s="37" t="s">
        <v>85</v>
      </c>
      <c r="S37" s="53">
        <f t="shared" ref="S37:AF37" si="29">SUM(S10:S12)</f>
        <v>62.253301320528209</v>
      </c>
      <c r="T37" s="54">
        <f t="shared" si="29"/>
        <v>15.675870348139256</v>
      </c>
      <c r="U37" s="54">
        <f t="shared" si="29"/>
        <v>37.026410564225692</v>
      </c>
      <c r="V37" s="54">
        <f t="shared" si="29"/>
        <v>9.9663865546218489</v>
      </c>
      <c r="W37" s="54">
        <f t="shared" si="29"/>
        <v>0.69147659063625455</v>
      </c>
      <c r="X37" s="54">
        <f t="shared" si="29"/>
        <v>1.2917166866746699</v>
      </c>
      <c r="Y37" s="54">
        <f t="shared" si="29"/>
        <v>20.961584633853541</v>
      </c>
      <c r="Z37" s="54">
        <f t="shared" si="29"/>
        <v>5.1200480192076823</v>
      </c>
      <c r="AA37" s="54">
        <f t="shared" si="29"/>
        <v>1</v>
      </c>
      <c r="AB37" s="54">
        <f t="shared" si="29"/>
        <v>21.051620648259302</v>
      </c>
      <c r="AC37" s="54">
        <f t="shared" si="29"/>
        <v>714.24285714285725</v>
      </c>
      <c r="AD37" s="54">
        <f t="shared" si="29"/>
        <v>0.14285714285714285</v>
      </c>
      <c r="AE37" s="55">
        <f t="shared" si="29"/>
        <v>175.18127250900361</v>
      </c>
      <c r="AF37" s="55">
        <f t="shared" si="29"/>
        <v>889.42412965186077</v>
      </c>
    </row>
    <row r="38" spans="2:32" ht="23.1" customHeight="1" x14ac:dyDescent="0.25">
      <c r="B38" s="24" t="s">
        <v>65</v>
      </c>
      <c r="C38" s="49">
        <f>AVERAGE('01.08 KARUMA-GULU'!C38,'02.08 KARUMA-GULU'!C38,'04.08 KARUMA-GULU'!C38,'06.08 KARUMA-GULU'!C38,'03.08 KARUMA-GULU-24HRS'!C38,'05.08, KARUMA-GULU-24HRS'!C38,'7.08 KARUMA-GULU'!C38)</f>
        <v>3.8343337334933976</v>
      </c>
      <c r="D38" s="49">
        <f>AVERAGE('01.08 KARUMA-GULU'!D38,'02.08 KARUMA-GULU'!D38,'04.08 KARUMA-GULU'!D38,'06.08 KARUMA-GULU'!D38,'03.08 KARUMA-GULU-24HRS'!D38,'05.08, KARUMA-GULU-24HRS'!D38,'7.08 KARUMA-GULU'!D38)</f>
        <v>1.6914765906362546</v>
      </c>
      <c r="E38" s="49">
        <f>AVERAGE('01.08 KARUMA-GULU'!E38,'02.08 KARUMA-GULU'!E38,'04.08 KARUMA-GULU'!E38,'06.08 KARUMA-GULU'!E38,'03.08 KARUMA-GULU-24HRS'!E38,'05.08, KARUMA-GULU-24HRS'!E38,'7.08 KARUMA-GULU'!E38)</f>
        <v>3.6686674669867947</v>
      </c>
      <c r="F38" s="49">
        <f>AVERAGE('01.08 KARUMA-GULU'!F38,'02.08 KARUMA-GULU'!F38,'04.08 KARUMA-GULU'!F38,'06.08 KARUMA-GULU'!F38,'03.08 KARUMA-GULU-24HRS'!F38,'05.08, KARUMA-GULU-24HRS'!F38,'7.08 KARUMA-GULU'!F38)</f>
        <v>1.1200480192076829</v>
      </c>
      <c r="G38" s="49">
        <f>AVERAGE('01.08 KARUMA-GULU'!G38,'02.08 KARUMA-GULU'!G38,'04.08 KARUMA-GULU'!G38,'06.08 KARUMA-GULU'!G38,'03.08 KARUMA-GULU-24HRS'!G38,'05.08, KARUMA-GULU-24HRS'!G38,'7.08 KARUMA-GULU'!G38)</f>
        <v>0</v>
      </c>
      <c r="H38" s="49">
        <f>AVERAGE('01.08 KARUMA-GULU'!H38,'02.08 KARUMA-GULU'!H38,'04.08 KARUMA-GULU'!H38,'06.08 KARUMA-GULU'!H38,'03.08 KARUMA-GULU-24HRS'!H38,'05.08, KARUMA-GULU-24HRS'!H38,'7.08 KARUMA-GULU'!H38)</f>
        <v>0.5258103241296519</v>
      </c>
      <c r="I38" s="49">
        <f>AVERAGE('01.08 KARUMA-GULU'!I38,'02.08 KARUMA-GULU'!I38,'04.08 KARUMA-GULU'!I38,'06.08 KARUMA-GULU'!I38,'03.08 KARUMA-GULU-24HRS'!I38,'05.08, KARUMA-GULU-24HRS'!I38,'7.08 KARUMA-GULU'!I38)</f>
        <v>2.26890756302521</v>
      </c>
      <c r="J38" s="49">
        <f>AVERAGE('01.08 KARUMA-GULU'!J38,'02.08 KARUMA-GULU'!J38,'04.08 KARUMA-GULU'!J38,'06.08 KARUMA-GULU'!J38,'03.08 KARUMA-GULU-24HRS'!J38,'05.08, KARUMA-GULU-24HRS'!J38,'7.08 KARUMA-GULU'!J38)</f>
        <v>0.26290516206482595</v>
      </c>
      <c r="K38" s="49">
        <f>AVERAGE('01.08 KARUMA-GULU'!K38,'02.08 KARUMA-GULU'!K38,'04.08 KARUMA-GULU'!K38,'06.08 KARUMA-GULU'!K38,'03.08 KARUMA-GULU-24HRS'!K38,'05.08, KARUMA-GULU-24HRS'!K38,'7.08 KARUMA-GULU'!K38)</f>
        <v>0.14285714285714285</v>
      </c>
      <c r="L38" s="49">
        <f>AVERAGE('01.08 KARUMA-GULU'!L38,'02.08 KARUMA-GULU'!L38,'04.08 KARUMA-GULU'!L38,'06.08 KARUMA-GULU'!L38,'03.08 KARUMA-GULU-24HRS'!L38,'05.08, KARUMA-GULU-24HRS'!L38,'7.08 KARUMA-GULU'!L38)</f>
        <v>0.90876350540216089</v>
      </c>
      <c r="M38" s="49">
        <f>AVERAGE('01.08 KARUMA-GULU'!M38,'02.08 KARUMA-GULU'!M38,'04.08 KARUMA-GULU'!M38,'06.08 KARUMA-GULU'!M38,'03.08 KARUMA-GULU-24HRS'!M38,'05.08, KARUMA-GULU-24HRS'!M38,'7.08 KARUMA-GULU'!M38)</f>
        <v>48.699999999999996</v>
      </c>
      <c r="N38" s="49">
        <f>AVERAGE('01.08 KARUMA-GULU'!N38,'02.08 KARUMA-GULU'!N38,'04.08 KARUMA-GULU'!N38,'06.08 KARUMA-GULU'!N38,'03.08 KARUMA-GULU-24HRS'!N38,'05.08, KARUMA-GULU-24HRS'!N38,'7.08 KARUMA-GULU'!N38)</f>
        <v>0</v>
      </c>
      <c r="O38" s="15">
        <f t="shared" si="0"/>
        <v>14.423769507803121</v>
      </c>
      <c r="P38" s="15">
        <f t="shared" si="1"/>
        <v>63.123769507803118</v>
      </c>
      <c r="R38" s="28" t="s">
        <v>86</v>
      </c>
      <c r="S38" s="54">
        <f t="shared" ref="S38:AF38" si="30">SUM(S13:S18)</f>
        <v>118.75390156062423</v>
      </c>
      <c r="T38" s="54">
        <f t="shared" si="30"/>
        <v>44.322929171668676</v>
      </c>
      <c r="U38" s="54">
        <f t="shared" si="30"/>
        <v>97.560624249699885</v>
      </c>
      <c r="V38" s="54">
        <f t="shared" si="30"/>
        <v>24.527010804321726</v>
      </c>
      <c r="W38" s="54">
        <f t="shared" si="30"/>
        <v>2.9771908763505399</v>
      </c>
      <c r="X38" s="54">
        <f t="shared" si="30"/>
        <v>7.9891956782713081</v>
      </c>
      <c r="Y38" s="54">
        <f t="shared" si="30"/>
        <v>42.878751500600238</v>
      </c>
      <c r="Z38" s="54">
        <f t="shared" si="30"/>
        <v>7.3889555822328932</v>
      </c>
      <c r="AA38" s="54">
        <f t="shared" si="30"/>
        <v>2.2629051620648255</v>
      </c>
      <c r="AB38" s="54">
        <f t="shared" si="30"/>
        <v>32.032412965186069</v>
      </c>
      <c r="AC38" s="54">
        <f t="shared" si="30"/>
        <v>1126.5142857142855</v>
      </c>
      <c r="AD38" s="54">
        <f t="shared" si="30"/>
        <v>0.2857142857142857</v>
      </c>
      <c r="AE38" s="55">
        <f t="shared" si="30"/>
        <v>380.9795918367347</v>
      </c>
      <c r="AF38" s="55">
        <f t="shared" si="30"/>
        <v>1507.4938775510204</v>
      </c>
    </row>
    <row r="39" spans="2:32" ht="23.1" customHeight="1" x14ac:dyDescent="0.25">
      <c r="B39" s="24" t="s">
        <v>66</v>
      </c>
      <c r="C39" s="49">
        <f>AVERAGE('01.08 KARUMA-GULU'!C39,'02.08 KARUMA-GULU'!C39,'04.08 KARUMA-GULU'!C39,'06.08 KARUMA-GULU'!C39,'03.08 KARUMA-GULU-24HRS'!C39,'05.08, KARUMA-GULU-24HRS'!C39,'7.08 KARUMA-GULU'!C39)</f>
        <v>3.9087635054021606</v>
      </c>
      <c r="D39" s="49">
        <f>AVERAGE('01.08 KARUMA-GULU'!D39,'02.08 KARUMA-GULU'!D39,'04.08 KARUMA-GULU'!D39,'06.08 KARUMA-GULU'!D39,'03.08 KARUMA-GULU-24HRS'!D39,'05.08, KARUMA-GULU-24HRS'!D39,'7.08 KARUMA-GULU'!D39)</f>
        <v>1.9543817527010803</v>
      </c>
      <c r="E39" s="49">
        <f>AVERAGE('01.08 KARUMA-GULU'!E39,'02.08 KARUMA-GULU'!E39,'04.08 KARUMA-GULU'!E39,'06.08 KARUMA-GULU'!E39,'03.08 KARUMA-GULU-24HRS'!E39,'05.08, KARUMA-GULU-24HRS'!E39,'7.08 KARUMA-GULU'!E39)</f>
        <v>4.1944777911164461</v>
      </c>
      <c r="F39" s="49">
        <f>AVERAGE('01.08 KARUMA-GULU'!F39,'02.08 KARUMA-GULU'!F39,'04.08 KARUMA-GULU'!F39,'06.08 KARUMA-GULU'!F39,'03.08 KARUMA-GULU-24HRS'!F39,'05.08, KARUMA-GULU-24HRS'!F39,'7.08 KARUMA-GULU'!F39)</f>
        <v>0.97719087635054014</v>
      </c>
      <c r="G39" s="49">
        <f>AVERAGE('01.08 KARUMA-GULU'!G39,'02.08 KARUMA-GULU'!G39,'04.08 KARUMA-GULU'!G39,'06.08 KARUMA-GULU'!G39,'03.08 KARUMA-GULU-24HRS'!G39,'05.08, KARUMA-GULU-24HRS'!G39,'7.08 KARUMA-GULU'!G39)</f>
        <v>0</v>
      </c>
      <c r="H39" s="49">
        <f>AVERAGE('01.08 KARUMA-GULU'!H39,'02.08 KARUMA-GULU'!H39,'04.08 KARUMA-GULU'!H39,'06.08 KARUMA-GULU'!H39,'03.08 KARUMA-GULU-24HRS'!H39,'05.08, KARUMA-GULU-24HRS'!H39,'7.08 KARUMA-GULU'!H39)</f>
        <v>0</v>
      </c>
      <c r="I39" s="49">
        <f>AVERAGE('01.08 KARUMA-GULU'!I39,'02.08 KARUMA-GULU'!I39,'04.08 KARUMA-GULU'!I39,'06.08 KARUMA-GULU'!I39,'03.08 KARUMA-GULU-24HRS'!I39,'05.08, KARUMA-GULU-24HRS'!I39,'7.08 KARUMA-GULU'!I39)</f>
        <v>0.64585834333733494</v>
      </c>
      <c r="J39" s="49">
        <f>AVERAGE('01.08 KARUMA-GULU'!J39,'02.08 KARUMA-GULU'!J39,'04.08 KARUMA-GULU'!J39,'06.08 KARUMA-GULU'!J39,'03.08 KARUMA-GULU-24HRS'!J39,'05.08, KARUMA-GULU-24HRS'!J39,'7.08 KARUMA-GULU'!J39)</f>
        <v>0.26290516206482595</v>
      </c>
      <c r="K39" s="49">
        <f>AVERAGE('01.08 KARUMA-GULU'!K39,'02.08 KARUMA-GULU'!K39,'04.08 KARUMA-GULU'!K39,'06.08 KARUMA-GULU'!K39,'03.08 KARUMA-GULU-24HRS'!K39,'05.08, KARUMA-GULU-24HRS'!K39,'7.08 KARUMA-GULU'!K39)</f>
        <v>0.14285714285714285</v>
      </c>
      <c r="L39" s="49">
        <f>AVERAGE('01.08 KARUMA-GULU'!L39,'02.08 KARUMA-GULU'!L39,'04.08 KARUMA-GULU'!L39,'06.08 KARUMA-GULU'!L39,'03.08 KARUMA-GULU-24HRS'!L39,'05.08, KARUMA-GULU-24HRS'!L39,'7.08 KARUMA-GULU'!L39)</f>
        <v>1.3601440576230492</v>
      </c>
      <c r="M39" s="49">
        <f>AVERAGE('01.08 KARUMA-GULU'!M39,'02.08 KARUMA-GULU'!M39,'04.08 KARUMA-GULU'!M39,'06.08 KARUMA-GULU'!M39,'03.08 KARUMA-GULU-24HRS'!M39,'05.08, KARUMA-GULU-24HRS'!M39,'7.08 KARUMA-GULU'!M39)</f>
        <v>48.557142857142857</v>
      </c>
      <c r="N39" s="49">
        <f>AVERAGE('01.08 KARUMA-GULU'!N39,'02.08 KARUMA-GULU'!N39,'04.08 KARUMA-GULU'!N39,'06.08 KARUMA-GULU'!N39,'03.08 KARUMA-GULU-24HRS'!N39,'05.08, KARUMA-GULU-24HRS'!N39,'7.08 KARUMA-GULU'!N39)</f>
        <v>0.14285714285714285</v>
      </c>
      <c r="O39" s="15">
        <f t="shared" si="0"/>
        <v>13.589435774309722</v>
      </c>
      <c r="P39" s="15">
        <f t="shared" si="1"/>
        <v>62.146578631452584</v>
      </c>
      <c r="R39" s="29" t="s">
        <v>87</v>
      </c>
      <c r="S39" s="54">
        <f t="shared" ref="S39:AF39" si="31">SUM(S19:S21)</f>
        <v>87.026410564225699</v>
      </c>
      <c r="T39" s="54">
        <f t="shared" si="31"/>
        <v>28.504201680672267</v>
      </c>
      <c r="U39" s="54">
        <f t="shared" si="31"/>
        <v>61.037214885954377</v>
      </c>
      <c r="V39" s="54">
        <f t="shared" si="31"/>
        <v>14.595438175270106</v>
      </c>
      <c r="W39" s="54">
        <f t="shared" si="31"/>
        <v>3.0744297719087634</v>
      </c>
      <c r="X39" s="54">
        <f t="shared" si="31"/>
        <v>7.0804321728691484</v>
      </c>
      <c r="Y39" s="54">
        <f t="shared" si="31"/>
        <v>24.933973589435773</v>
      </c>
      <c r="Z39" s="54">
        <f t="shared" si="31"/>
        <v>6.194477791116447</v>
      </c>
      <c r="AA39" s="54">
        <f t="shared" si="31"/>
        <v>1.8343337334933973</v>
      </c>
      <c r="AB39" s="54">
        <f t="shared" si="31"/>
        <v>17.572629051620648</v>
      </c>
      <c r="AC39" s="54">
        <f t="shared" si="31"/>
        <v>764.55714285714294</v>
      </c>
      <c r="AD39" s="54">
        <f t="shared" si="31"/>
        <v>0.2857142857142857</v>
      </c>
      <c r="AE39" s="55">
        <f t="shared" si="31"/>
        <v>252.13925570228091</v>
      </c>
      <c r="AF39" s="55">
        <f t="shared" si="31"/>
        <v>1016.6963985594238</v>
      </c>
    </row>
    <row r="40" spans="2:32" ht="23.1" customHeight="1" x14ac:dyDescent="0.25">
      <c r="B40" s="24" t="s">
        <v>67</v>
      </c>
      <c r="C40" s="49">
        <f>AVERAGE('01.08 KARUMA-GULU'!C40,'02.08 KARUMA-GULU'!C40,'04.08 KARUMA-GULU'!C40,'06.08 KARUMA-GULU'!C40,'03.08 KARUMA-GULU-24HRS'!C40,'05.08, KARUMA-GULU-24HRS'!C40,'7.08 KARUMA-GULU'!C40)</f>
        <v>4.720288115246098</v>
      </c>
      <c r="D40" s="49">
        <f>AVERAGE('01.08 KARUMA-GULU'!D40,'02.08 KARUMA-GULU'!D40,'04.08 KARUMA-GULU'!D40,'06.08 KARUMA-GULU'!D40,'03.08 KARUMA-GULU-24HRS'!D40,'05.08, KARUMA-GULU-24HRS'!D40,'7.08 KARUMA-GULU'!D40)</f>
        <v>1.765906362545018</v>
      </c>
      <c r="E40" s="49">
        <f>AVERAGE('01.08 KARUMA-GULU'!E40,'02.08 KARUMA-GULU'!E40,'04.08 KARUMA-GULU'!E40,'06.08 KARUMA-GULU'!E40,'03.08 KARUMA-GULU-24HRS'!E40,'05.08, KARUMA-GULU-24HRS'!E40,'7.08 KARUMA-GULU'!E40)</f>
        <v>4.0804321728691475</v>
      </c>
      <c r="F40" s="49">
        <f>AVERAGE('01.08 KARUMA-GULU'!F40,'02.08 KARUMA-GULU'!F40,'04.08 KARUMA-GULU'!F40,'06.08 KARUMA-GULU'!F40,'03.08 KARUMA-GULU-24HRS'!F40,'05.08, KARUMA-GULU-24HRS'!F40,'7.08 KARUMA-GULU'!F40)</f>
        <v>1.8115246098439375</v>
      </c>
      <c r="G40" s="49">
        <f>AVERAGE('01.08 KARUMA-GULU'!G40,'02.08 KARUMA-GULU'!G40,'04.08 KARUMA-GULU'!G40,'06.08 KARUMA-GULU'!G40,'03.08 KARUMA-GULU-24HRS'!G40,'05.08, KARUMA-GULU-24HRS'!G40,'7.08 KARUMA-GULU'!G40)</f>
        <v>0.14285714285714285</v>
      </c>
      <c r="H40" s="49">
        <f>AVERAGE('01.08 KARUMA-GULU'!H40,'02.08 KARUMA-GULU'!H40,'04.08 KARUMA-GULU'!H40,'06.08 KARUMA-GULU'!H40,'03.08 KARUMA-GULU-24HRS'!H40,'05.08, KARUMA-GULU-24HRS'!H40,'7.08 KARUMA-GULU'!H40)</f>
        <v>0.14285714285714285</v>
      </c>
      <c r="I40" s="49">
        <f>AVERAGE('01.08 KARUMA-GULU'!I40,'02.08 KARUMA-GULU'!I40,'04.08 KARUMA-GULU'!I40,'06.08 KARUMA-GULU'!I40,'03.08 KARUMA-GULU-24HRS'!I40,'05.08, KARUMA-GULU-24HRS'!I40,'7.08 KARUMA-GULU'!I40)</f>
        <v>1.6914765906362546</v>
      </c>
      <c r="J40" s="49">
        <f>AVERAGE('01.08 KARUMA-GULU'!J40,'02.08 KARUMA-GULU'!J40,'04.08 KARUMA-GULU'!J40,'06.08 KARUMA-GULU'!J40,'03.08 KARUMA-GULU-24HRS'!J40,'05.08, KARUMA-GULU-24HRS'!J40,'7.08 KARUMA-GULU'!J40)</f>
        <v>0.14285714285714285</v>
      </c>
      <c r="K40" s="49">
        <f>AVERAGE('01.08 KARUMA-GULU'!K40,'02.08 KARUMA-GULU'!K40,'04.08 KARUMA-GULU'!K40,'06.08 KARUMA-GULU'!K40,'03.08 KARUMA-GULU-24HRS'!K40,'05.08, KARUMA-GULU-24HRS'!K40,'7.08 KARUMA-GULU'!K40)</f>
        <v>0.42857142857142855</v>
      </c>
      <c r="L40" s="49">
        <f>AVERAGE('01.08 KARUMA-GULU'!L40,'02.08 KARUMA-GULU'!L40,'04.08 KARUMA-GULU'!L40,'06.08 KARUMA-GULU'!L40,'03.08 KARUMA-GULU-24HRS'!L40,'05.08, KARUMA-GULU-24HRS'!L40,'7.08 KARUMA-GULU'!L40)</f>
        <v>1.0972388955582233</v>
      </c>
      <c r="M40" s="49">
        <f>AVERAGE('01.08 KARUMA-GULU'!M40,'02.08 KARUMA-GULU'!M40,'04.08 KARUMA-GULU'!M40,'06.08 KARUMA-GULU'!M40,'03.08 KARUMA-GULU-24HRS'!M40,'05.08, KARUMA-GULU-24HRS'!M40,'7.08 KARUMA-GULU'!M40)</f>
        <v>43.5</v>
      </c>
      <c r="N40" s="49">
        <f>AVERAGE('01.08 KARUMA-GULU'!N40,'02.08 KARUMA-GULU'!N40,'04.08 KARUMA-GULU'!N40,'06.08 KARUMA-GULU'!N40,'03.08 KARUMA-GULU-24HRS'!N40,'05.08, KARUMA-GULU-24HRS'!N40,'7.08 KARUMA-GULU'!N40)</f>
        <v>0</v>
      </c>
      <c r="O40" s="15">
        <f t="shared" si="0"/>
        <v>16.024009603841534</v>
      </c>
      <c r="P40" s="15">
        <f t="shared" si="1"/>
        <v>59.524009603841534</v>
      </c>
      <c r="R40" s="5" t="s">
        <v>17</v>
      </c>
      <c r="S40" s="54">
        <f t="shared" ref="S40:AF40" si="32">SUM(S10:S21)</f>
        <v>268.03361344537814</v>
      </c>
      <c r="T40" s="54">
        <f t="shared" si="32"/>
        <v>88.503001200480199</v>
      </c>
      <c r="U40" s="54">
        <f t="shared" si="32"/>
        <v>195.62424969987998</v>
      </c>
      <c r="V40" s="54">
        <f t="shared" si="32"/>
        <v>49.088835534213679</v>
      </c>
      <c r="W40" s="54">
        <f t="shared" si="32"/>
        <v>6.7430972388955581</v>
      </c>
      <c r="X40" s="54">
        <f t="shared" si="32"/>
        <v>16.361344537815125</v>
      </c>
      <c r="Y40" s="54">
        <f t="shared" si="32"/>
        <v>88.774309723889544</v>
      </c>
      <c r="Z40" s="54">
        <f t="shared" si="32"/>
        <v>18.70348139255702</v>
      </c>
      <c r="AA40" s="54">
        <f t="shared" si="32"/>
        <v>5.0972388955582222</v>
      </c>
      <c r="AB40" s="54">
        <f t="shared" si="32"/>
        <v>70.656662665066023</v>
      </c>
      <c r="AC40" s="54">
        <f t="shared" si="32"/>
        <v>2605.3142857142852</v>
      </c>
      <c r="AD40" s="54">
        <f t="shared" si="32"/>
        <v>0.71428571428571419</v>
      </c>
      <c r="AE40" s="55">
        <f t="shared" si="32"/>
        <v>808.30012004801904</v>
      </c>
      <c r="AF40" s="55">
        <f t="shared" si="32"/>
        <v>3413.6144057623046</v>
      </c>
    </row>
    <row r="41" spans="2:32" ht="23.1" customHeight="1" x14ac:dyDescent="0.25">
      <c r="B41" s="23" t="s">
        <v>68</v>
      </c>
      <c r="C41" s="49">
        <f>AVERAGE('01.08 KARUMA-GULU'!C41,'02.08 KARUMA-GULU'!C41,'04.08 KARUMA-GULU'!C41,'06.08 KARUMA-GULU'!C41,'03.08 KARUMA-GULU-24HRS'!C41,'05.08, KARUMA-GULU-24HRS'!C41,'7.08 KARUMA-GULU'!C41)</f>
        <v>5.1260504201680677</v>
      </c>
      <c r="D41" s="49">
        <f>AVERAGE('01.08 KARUMA-GULU'!D41,'02.08 KARUMA-GULU'!D41,'04.08 KARUMA-GULU'!D41,'06.08 KARUMA-GULU'!D41,'03.08 KARUMA-GULU-24HRS'!D41,'05.08, KARUMA-GULU-24HRS'!D41,'7.08 KARUMA-GULU'!D41)</f>
        <v>1.9543817527010803</v>
      </c>
      <c r="E41" s="49">
        <f>AVERAGE('01.08 KARUMA-GULU'!E41,'02.08 KARUMA-GULU'!E41,'04.08 KARUMA-GULU'!E41,'06.08 KARUMA-GULU'!E41,'03.08 KARUMA-GULU-24HRS'!E41,'05.08, KARUMA-GULU-24HRS'!E41,'7.08 KARUMA-GULU'!E41)</f>
        <v>4.6230492196878759</v>
      </c>
      <c r="F41" s="49">
        <f>AVERAGE('01.08 KARUMA-GULU'!F41,'02.08 KARUMA-GULU'!F41,'04.08 KARUMA-GULU'!F41,'06.08 KARUMA-GULU'!F41,'03.08 KARUMA-GULU-24HRS'!F41,'05.08, KARUMA-GULU-24HRS'!F41,'7.08 KARUMA-GULU'!F41)</f>
        <v>1.1200480192076829</v>
      </c>
      <c r="G41" s="49">
        <f>AVERAGE('01.08 KARUMA-GULU'!G41,'02.08 KARUMA-GULU'!G41,'04.08 KARUMA-GULU'!G41,'06.08 KARUMA-GULU'!G41,'03.08 KARUMA-GULU-24HRS'!G41,'05.08, KARUMA-GULU-24HRS'!G41,'7.08 KARUMA-GULU'!G41)</f>
        <v>0</v>
      </c>
      <c r="H41" s="49">
        <f>AVERAGE('01.08 KARUMA-GULU'!H41,'02.08 KARUMA-GULU'!H41,'04.08 KARUMA-GULU'!H41,'06.08 KARUMA-GULU'!H41,'03.08 KARUMA-GULU-24HRS'!H41,'05.08, KARUMA-GULU-24HRS'!H41,'7.08 KARUMA-GULU'!H41)</f>
        <v>0</v>
      </c>
      <c r="I41" s="49">
        <f>AVERAGE('01.08 KARUMA-GULU'!I41,'02.08 KARUMA-GULU'!I41,'04.08 KARUMA-GULU'!I41,'06.08 KARUMA-GULU'!I41,'03.08 KARUMA-GULU-24HRS'!I41,'05.08, KARUMA-GULU-24HRS'!I41,'7.08 KARUMA-GULU'!I41)</f>
        <v>2.0288115246098437</v>
      </c>
      <c r="J41" s="49">
        <f>AVERAGE('01.08 KARUMA-GULU'!J41,'02.08 KARUMA-GULU'!J41,'04.08 KARUMA-GULU'!J41,'06.08 KARUMA-GULU'!J41,'03.08 KARUMA-GULU-24HRS'!J41,'05.08, KARUMA-GULU-24HRS'!J41,'7.08 KARUMA-GULU'!J41)</f>
        <v>0.4057623049219688</v>
      </c>
      <c r="K41" s="49">
        <f>AVERAGE('01.08 KARUMA-GULU'!K41,'02.08 KARUMA-GULU'!K41,'04.08 KARUMA-GULU'!K41,'06.08 KARUMA-GULU'!K41,'03.08 KARUMA-GULU-24HRS'!K41,'05.08, KARUMA-GULU-24HRS'!K41,'7.08 KARUMA-GULU'!K41)</f>
        <v>0</v>
      </c>
      <c r="L41" s="49">
        <f>AVERAGE('01.08 KARUMA-GULU'!L41,'02.08 KARUMA-GULU'!L41,'04.08 KARUMA-GULU'!L41,'06.08 KARUMA-GULU'!L41,'03.08 KARUMA-GULU-24HRS'!L41,'05.08, KARUMA-GULU-24HRS'!L41,'7.08 KARUMA-GULU'!L41)</f>
        <v>0.93157262905162064</v>
      </c>
      <c r="M41" s="49">
        <f>AVERAGE('01.08 KARUMA-GULU'!M41,'02.08 KARUMA-GULU'!M41,'04.08 KARUMA-GULU'!M41,'06.08 KARUMA-GULU'!M41,'03.08 KARUMA-GULU-24HRS'!M41,'05.08, KARUMA-GULU-24HRS'!M41,'7.08 KARUMA-GULU'!M41)</f>
        <v>38.657142857142858</v>
      </c>
      <c r="N41" s="49">
        <f>AVERAGE('01.08 KARUMA-GULU'!N41,'02.08 KARUMA-GULU'!N41,'04.08 KARUMA-GULU'!N41,'06.08 KARUMA-GULU'!N41,'03.08 KARUMA-GULU-24HRS'!N41,'05.08, KARUMA-GULU-24HRS'!N41,'7.08 KARUMA-GULU'!N41)</f>
        <v>0</v>
      </c>
      <c r="O41" s="15">
        <f t="shared" si="0"/>
        <v>16.18967587034814</v>
      </c>
      <c r="P41" s="15">
        <f t="shared" si="1"/>
        <v>54.846818727490998</v>
      </c>
      <c r="R41" s="5" t="s">
        <v>176</v>
      </c>
      <c r="S41" s="54">
        <f>SUM(S10:S33)</f>
        <v>516.72268907563034</v>
      </c>
      <c r="T41" s="54">
        <f t="shared" ref="T41:AD41" si="33">SUM(T10:T33)</f>
        <v>197.18367346938777</v>
      </c>
      <c r="U41" s="54">
        <f t="shared" si="33"/>
        <v>432.88895558223288</v>
      </c>
      <c r="V41" s="54">
        <f t="shared" si="33"/>
        <v>109.79471788715486</v>
      </c>
      <c r="W41" s="54">
        <f t="shared" si="33"/>
        <v>15.885954381752702</v>
      </c>
      <c r="X41" s="54">
        <f t="shared" si="33"/>
        <v>33.00420168067226</v>
      </c>
      <c r="Y41" s="54">
        <f t="shared" si="33"/>
        <v>184.58943577430972</v>
      </c>
      <c r="Z41" s="54">
        <f t="shared" si="33"/>
        <v>44.20768307322929</v>
      </c>
      <c r="AA41" s="54">
        <f t="shared" si="33"/>
        <v>9.5384153661464577</v>
      </c>
      <c r="AB41" s="54">
        <f t="shared" si="33"/>
        <v>153.99699879951976</v>
      </c>
      <c r="AC41" s="54">
        <f t="shared" si="33"/>
        <v>3429.8142857142852</v>
      </c>
      <c r="AD41" s="54">
        <f t="shared" si="33"/>
        <v>0.71428571428571419</v>
      </c>
      <c r="AE41" s="55">
        <f>SUM(AE10:AE33)</f>
        <v>1698.5270108043214</v>
      </c>
      <c r="AF41" s="55">
        <f>SUM(AF10:AF33)</f>
        <v>5128.3412965186062</v>
      </c>
    </row>
    <row r="42" spans="2:32" ht="23.1" customHeight="1" x14ac:dyDescent="0.25">
      <c r="B42" s="24" t="s">
        <v>69</v>
      </c>
      <c r="C42" s="49">
        <f>AVERAGE('01.08 KARUMA-GULU'!C42,'02.08 KARUMA-GULU'!C42,'04.08 KARUMA-GULU'!C42,'06.08 KARUMA-GULU'!C42,'03.08 KARUMA-GULU-24HRS'!C42,'05.08, KARUMA-GULU-24HRS'!C42,'7.08 KARUMA-GULU'!C42)</f>
        <v>4.5258103241296519</v>
      </c>
      <c r="D42" s="49">
        <f>AVERAGE('01.08 KARUMA-GULU'!D42,'02.08 KARUMA-GULU'!D42,'04.08 KARUMA-GULU'!D42,'06.08 KARUMA-GULU'!D42,'03.08 KARUMA-GULU-24HRS'!D42,'05.08, KARUMA-GULU-24HRS'!D42,'7.08 KARUMA-GULU'!D42)</f>
        <v>1.5486194477791118</v>
      </c>
      <c r="E42" s="49">
        <f>AVERAGE('01.08 KARUMA-GULU'!E42,'02.08 KARUMA-GULU'!E42,'04.08 KARUMA-GULU'!E42,'06.08 KARUMA-GULU'!E42,'03.08 KARUMA-GULU-24HRS'!E42,'05.08, KARUMA-GULU-24HRS'!E42,'7.08 KARUMA-GULU'!E42)</f>
        <v>3.6458583433373346</v>
      </c>
      <c r="F42" s="49">
        <f>AVERAGE('01.08 KARUMA-GULU'!F42,'02.08 KARUMA-GULU'!F42,'04.08 KARUMA-GULU'!F42,'06.08 KARUMA-GULU'!F42,'03.08 KARUMA-GULU-24HRS'!F42,'05.08, KARUMA-GULU-24HRS'!F42,'7.08 KARUMA-GULU'!F42)</f>
        <v>0.14285714285714285</v>
      </c>
      <c r="G42" s="49">
        <f>AVERAGE('01.08 KARUMA-GULU'!G42,'02.08 KARUMA-GULU'!G42,'04.08 KARUMA-GULU'!G42,'06.08 KARUMA-GULU'!G42,'03.08 KARUMA-GULU-24HRS'!G42,'05.08, KARUMA-GULU-24HRS'!G42,'7.08 KARUMA-GULU'!G42)</f>
        <v>0</v>
      </c>
      <c r="H42" s="49">
        <f>AVERAGE('01.08 KARUMA-GULU'!H42,'02.08 KARUMA-GULU'!H42,'04.08 KARUMA-GULU'!H42,'06.08 KARUMA-GULU'!H42,'03.08 KARUMA-GULU-24HRS'!H42,'05.08, KARUMA-GULU-24HRS'!H42,'7.08 KARUMA-GULU'!H42)</f>
        <v>1.0972388955582233</v>
      </c>
      <c r="I42" s="49">
        <f>AVERAGE('01.08 KARUMA-GULU'!I42,'02.08 KARUMA-GULU'!I42,'04.08 KARUMA-GULU'!I42,'06.08 KARUMA-GULU'!I42,'03.08 KARUMA-GULU-24HRS'!I42,'05.08, KARUMA-GULU-24HRS'!I42,'7.08 KARUMA-GULU'!I42)</f>
        <v>2.5774309723889557</v>
      </c>
      <c r="J42" s="49">
        <f>AVERAGE('01.08 KARUMA-GULU'!J42,'02.08 KARUMA-GULU'!J42,'04.08 KARUMA-GULU'!J42,'06.08 KARUMA-GULU'!J42,'03.08 KARUMA-GULU-24HRS'!J42,'05.08, KARUMA-GULU-24HRS'!J42,'7.08 KARUMA-GULU'!J42)</f>
        <v>0.2857142857142857</v>
      </c>
      <c r="K42" s="49">
        <f>AVERAGE('01.08 KARUMA-GULU'!K42,'02.08 KARUMA-GULU'!K42,'04.08 KARUMA-GULU'!K42,'06.08 KARUMA-GULU'!K42,'03.08 KARUMA-GULU-24HRS'!K42,'05.08, KARUMA-GULU-24HRS'!K42,'7.08 KARUMA-GULU'!K42)</f>
        <v>0.2857142857142857</v>
      </c>
      <c r="L42" s="49">
        <f>AVERAGE('01.08 KARUMA-GULU'!L42,'02.08 KARUMA-GULU'!L42,'04.08 KARUMA-GULU'!L42,'06.08 KARUMA-GULU'!L42,'03.08 KARUMA-GULU-24HRS'!L42,'05.08, KARUMA-GULU-24HRS'!L42,'7.08 KARUMA-GULU'!L42)</f>
        <v>1</v>
      </c>
      <c r="M42" s="49">
        <f>AVERAGE('01.08 KARUMA-GULU'!M42,'02.08 KARUMA-GULU'!M42,'04.08 KARUMA-GULU'!M42,'06.08 KARUMA-GULU'!M42,'03.08 KARUMA-GULU-24HRS'!M42,'05.08, KARUMA-GULU-24HRS'!M42,'7.08 KARUMA-GULU'!M42)</f>
        <v>44.528571428571425</v>
      </c>
      <c r="N42" s="49">
        <f>AVERAGE('01.08 KARUMA-GULU'!N42,'02.08 KARUMA-GULU'!N42,'04.08 KARUMA-GULU'!N42,'06.08 KARUMA-GULU'!N42,'03.08 KARUMA-GULU-24HRS'!N42,'05.08, KARUMA-GULU-24HRS'!N42,'7.08 KARUMA-GULU'!N42)</f>
        <v>0.14285714285714285</v>
      </c>
      <c r="O42" s="15">
        <f t="shared" si="0"/>
        <v>15.252100840336137</v>
      </c>
      <c r="P42" s="15">
        <f t="shared" si="1"/>
        <v>59.780672268907566</v>
      </c>
      <c r="R42" s="5" t="s">
        <v>160</v>
      </c>
      <c r="S42" s="48">
        <f>S41/S40</f>
        <v>1.9278279408076253</v>
      </c>
      <c r="T42" s="48">
        <f t="shared" ref="T42:AF42" si="34">T41/T40</f>
        <v>2.2279885517409763</v>
      </c>
      <c r="U42" s="48">
        <f t="shared" si="34"/>
        <v>2.2128593783559873</v>
      </c>
      <c r="V42" s="48">
        <f t="shared" si="34"/>
        <v>2.2366535423442815</v>
      </c>
      <c r="W42" s="48">
        <f t="shared" si="34"/>
        <v>2.3558839238027418</v>
      </c>
      <c r="X42" s="48">
        <f t="shared" si="34"/>
        <v>2.0172059578839234</v>
      </c>
      <c r="Y42" s="48">
        <f t="shared" si="34"/>
        <v>2.0793114173281588</v>
      </c>
      <c r="Z42" s="48">
        <f t="shared" si="34"/>
        <v>2.3636071887034662</v>
      </c>
      <c r="AA42" s="48">
        <f t="shared" si="34"/>
        <v>1.8712906264719738</v>
      </c>
      <c r="AB42" s="48">
        <f t="shared" si="34"/>
        <v>2.179511358037276</v>
      </c>
      <c r="AC42" s="48">
        <f t="shared" si="34"/>
        <v>1.3164685368367952</v>
      </c>
      <c r="AD42" s="48">
        <f t="shared" si="34"/>
        <v>1</v>
      </c>
      <c r="AE42" s="56">
        <f t="shared" si="34"/>
        <v>2.1013568706428205</v>
      </c>
      <c r="AF42" s="56">
        <f t="shared" si="34"/>
        <v>1.5023200300132846</v>
      </c>
    </row>
    <row r="43" spans="2:32" ht="23.1" customHeight="1" x14ac:dyDescent="0.25">
      <c r="B43" s="23" t="s">
        <v>70</v>
      </c>
      <c r="C43" s="49">
        <f>AVERAGE('01.08 KARUMA-GULU'!C43,'02.08 KARUMA-GULU'!C43,'04.08 KARUMA-GULU'!C43,'06.08 KARUMA-GULU'!C43,'03.08 KARUMA-GULU-24HRS'!C43,'05.08, KARUMA-GULU-24HRS'!C43,'7.08 KARUMA-GULU'!C43)</f>
        <v>4.4345738295318124</v>
      </c>
      <c r="D43" s="49">
        <f>AVERAGE('01.08 KARUMA-GULU'!D43,'02.08 KARUMA-GULU'!D43,'04.08 KARUMA-GULU'!D43,'06.08 KARUMA-GULU'!D43,'03.08 KARUMA-GULU-24HRS'!D43,'05.08, KARUMA-GULU-24HRS'!D43,'7.08 KARUMA-GULU'!D43)</f>
        <v>2.0288115246098437</v>
      </c>
      <c r="E43" s="49">
        <f>AVERAGE('01.08 KARUMA-GULU'!E43,'02.08 KARUMA-GULU'!E43,'04.08 KARUMA-GULU'!E43,'06.08 KARUMA-GULU'!E43,'03.08 KARUMA-GULU-24HRS'!E43,'05.08, KARUMA-GULU-24HRS'!E43,'7.08 KARUMA-GULU'!E43)</f>
        <v>4.343337334933973</v>
      </c>
      <c r="F43" s="49">
        <f>AVERAGE('01.08 KARUMA-GULU'!F43,'02.08 KARUMA-GULU'!F43,'04.08 KARUMA-GULU'!F43,'06.08 KARUMA-GULU'!F43,'03.08 KARUMA-GULU-24HRS'!F43,'05.08, KARUMA-GULU-24HRS'!F43,'7.08 KARUMA-GULU'!F43)</f>
        <v>0.97719087635054014</v>
      </c>
      <c r="G43" s="49">
        <f>AVERAGE('01.08 KARUMA-GULU'!G43,'02.08 KARUMA-GULU'!G43,'04.08 KARUMA-GULU'!G43,'06.08 KARUMA-GULU'!G43,'03.08 KARUMA-GULU-24HRS'!G43,'05.08, KARUMA-GULU-24HRS'!G43,'7.08 KARUMA-GULU'!G43)</f>
        <v>0.14285714285714285</v>
      </c>
      <c r="H43" s="49">
        <f>AVERAGE('01.08 KARUMA-GULU'!H43,'02.08 KARUMA-GULU'!H43,'04.08 KARUMA-GULU'!H43,'06.08 KARUMA-GULU'!H43,'03.08 KARUMA-GULU-24HRS'!H43,'05.08, KARUMA-GULU-24HRS'!H43,'7.08 KARUMA-GULU'!H43)</f>
        <v>0.2857142857142857</v>
      </c>
      <c r="I43" s="49">
        <f>AVERAGE('01.08 KARUMA-GULU'!I43,'02.08 KARUMA-GULU'!I43,'04.08 KARUMA-GULU'!I43,'06.08 KARUMA-GULU'!I43,'03.08 KARUMA-GULU-24HRS'!I43,'05.08, KARUMA-GULU-24HRS'!I43,'7.08 KARUMA-GULU'!I43)</f>
        <v>1.765906362545018</v>
      </c>
      <c r="J43" s="49">
        <f>AVERAGE('01.08 KARUMA-GULU'!J43,'02.08 KARUMA-GULU'!J43,'04.08 KARUMA-GULU'!J43,'06.08 KARUMA-GULU'!J43,'03.08 KARUMA-GULU-24HRS'!J43,'05.08, KARUMA-GULU-24HRS'!J43,'7.08 KARUMA-GULU'!J43)</f>
        <v>0.26290516206482595</v>
      </c>
      <c r="K43" s="49">
        <f>AVERAGE('01.08 KARUMA-GULU'!K43,'02.08 KARUMA-GULU'!K43,'04.08 KARUMA-GULU'!K43,'06.08 KARUMA-GULU'!K43,'03.08 KARUMA-GULU-24HRS'!K43,'05.08, KARUMA-GULU-24HRS'!K43,'7.08 KARUMA-GULU'!K43)</f>
        <v>0</v>
      </c>
      <c r="L43" s="49">
        <f>AVERAGE('01.08 KARUMA-GULU'!L43,'02.08 KARUMA-GULU'!L43,'04.08 KARUMA-GULU'!L43,'06.08 KARUMA-GULU'!L43,'03.08 KARUMA-GULU-24HRS'!L43,'05.08, KARUMA-GULU-24HRS'!L43,'7.08 KARUMA-GULU'!L43)</f>
        <v>0.64585834333733494</v>
      </c>
      <c r="M43" s="49">
        <f>AVERAGE('01.08 KARUMA-GULU'!M43,'02.08 KARUMA-GULU'!M43,'04.08 KARUMA-GULU'!M43,'06.08 KARUMA-GULU'!M43,'03.08 KARUMA-GULU-24HRS'!M43,'05.08, KARUMA-GULU-24HRS'!M43,'7.08 KARUMA-GULU'!M43)</f>
        <v>49.1</v>
      </c>
      <c r="N43" s="49">
        <f>AVERAGE('01.08 KARUMA-GULU'!N43,'02.08 KARUMA-GULU'!N43,'04.08 KARUMA-GULU'!N43,'06.08 KARUMA-GULU'!N43,'03.08 KARUMA-GULU-24HRS'!N43,'05.08, KARUMA-GULU-24HRS'!N43,'7.08 KARUMA-GULU'!N43)</f>
        <v>0</v>
      </c>
      <c r="O43" s="15">
        <f t="shared" si="0"/>
        <v>14.887154861944776</v>
      </c>
      <c r="P43" s="15">
        <f t="shared" si="1"/>
        <v>63.987154861944774</v>
      </c>
    </row>
    <row r="44" spans="2:32" ht="23.1" customHeight="1" x14ac:dyDescent="0.25">
      <c r="B44" s="25" t="s">
        <v>71</v>
      </c>
      <c r="C44" s="49">
        <f>AVERAGE('01.08 KARUMA-GULU'!C44,'02.08 KARUMA-GULU'!C44,'04.08 KARUMA-GULU'!C44,'06.08 KARUMA-GULU'!C44,'03.08 KARUMA-GULU-24HRS'!C44,'05.08, KARUMA-GULU-24HRS'!C44,'7.08 KARUMA-GULU'!C44)</f>
        <v>4.6458583433373351</v>
      </c>
      <c r="D44" s="49">
        <f>AVERAGE('01.08 KARUMA-GULU'!D44,'02.08 KARUMA-GULU'!D44,'04.08 KARUMA-GULU'!D44,'06.08 KARUMA-GULU'!D44,'03.08 KARUMA-GULU-24HRS'!D44,'05.08, KARUMA-GULU-24HRS'!D44,'7.08 KARUMA-GULU'!D44)</f>
        <v>1.2629051620648259</v>
      </c>
      <c r="E44" s="49">
        <f>AVERAGE('01.08 KARUMA-GULU'!E44,'02.08 KARUMA-GULU'!E44,'04.08 KARUMA-GULU'!E44,'06.08 KARUMA-GULU'!E44,'03.08 KARUMA-GULU-24HRS'!E44,'05.08, KARUMA-GULU-24HRS'!E44,'7.08 KARUMA-GULU'!E44)</f>
        <v>2.9543817527010807</v>
      </c>
      <c r="F44" s="49">
        <f>AVERAGE('01.08 KARUMA-GULU'!F44,'02.08 KARUMA-GULU'!F44,'04.08 KARUMA-GULU'!F44,'06.08 KARUMA-GULU'!F44,'03.08 KARUMA-GULU-24HRS'!F44,'05.08, KARUMA-GULU-24HRS'!F44,'7.08 KARUMA-GULU'!F44)</f>
        <v>1.1200480192076829</v>
      </c>
      <c r="G44" s="49">
        <f>AVERAGE('01.08 KARUMA-GULU'!G44,'02.08 KARUMA-GULU'!G44,'04.08 KARUMA-GULU'!G44,'06.08 KARUMA-GULU'!G44,'03.08 KARUMA-GULU-24HRS'!G44,'05.08, KARUMA-GULU-24HRS'!G44,'7.08 KARUMA-GULU'!G44)</f>
        <v>0</v>
      </c>
      <c r="H44" s="49">
        <f>AVERAGE('01.08 KARUMA-GULU'!H44,'02.08 KARUMA-GULU'!H44,'04.08 KARUMA-GULU'!H44,'06.08 KARUMA-GULU'!H44,'03.08 KARUMA-GULU-24HRS'!H44,'05.08, KARUMA-GULU-24HRS'!H44,'7.08 KARUMA-GULU'!H44)</f>
        <v>0.2857142857142857</v>
      </c>
      <c r="I44" s="49">
        <f>AVERAGE('01.08 KARUMA-GULU'!I44,'02.08 KARUMA-GULU'!I44,'04.08 KARUMA-GULU'!I44,'06.08 KARUMA-GULU'!I44,'03.08 KARUMA-GULU-24HRS'!I44,'05.08, KARUMA-GULU-24HRS'!I44,'7.08 KARUMA-GULU'!I44)</f>
        <v>1.765906362545018</v>
      </c>
      <c r="J44" s="49">
        <f>AVERAGE('01.08 KARUMA-GULU'!J44,'02.08 KARUMA-GULU'!J44,'04.08 KARUMA-GULU'!J44,'06.08 KARUMA-GULU'!J44,'03.08 KARUMA-GULU-24HRS'!J44,'05.08, KARUMA-GULU-24HRS'!J44,'7.08 KARUMA-GULU'!J44)</f>
        <v>0.26290516206482595</v>
      </c>
      <c r="K44" s="49">
        <f>AVERAGE('01.08 KARUMA-GULU'!K44,'02.08 KARUMA-GULU'!K44,'04.08 KARUMA-GULU'!K44,'06.08 KARUMA-GULU'!K44,'03.08 KARUMA-GULU-24HRS'!K44,'05.08, KARUMA-GULU-24HRS'!K44,'7.08 KARUMA-GULU'!K44)</f>
        <v>0.14285714285714285</v>
      </c>
      <c r="L44" s="49">
        <f>AVERAGE('01.08 KARUMA-GULU'!L44,'02.08 KARUMA-GULU'!L44,'04.08 KARUMA-GULU'!L44,'06.08 KARUMA-GULU'!L44,'03.08 KARUMA-GULU-24HRS'!L44,'05.08, KARUMA-GULU-24HRS'!L44,'7.08 KARUMA-GULU'!L44)</f>
        <v>0.93157262905162064</v>
      </c>
      <c r="M44" s="49">
        <f>AVERAGE('01.08 KARUMA-GULU'!M44,'02.08 KARUMA-GULU'!M44,'04.08 KARUMA-GULU'!M44,'06.08 KARUMA-GULU'!M44,'03.08 KARUMA-GULU-24HRS'!M44,'05.08, KARUMA-GULU-24HRS'!M44,'7.08 KARUMA-GULU'!M44)</f>
        <v>50.699999999999996</v>
      </c>
      <c r="N44" s="49">
        <f>AVERAGE('01.08 KARUMA-GULU'!N44,'02.08 KARUMA-GULU'!N44,'04.08 KARUMA-GULU'!N44,'06.08 KARUMA-GULU'!N44,'03.08 KARUMA-GULU-24HRS'!N44,'05.08, KARUMA-GULU-24HRS'!N44,'7.08 KARUMA-GULU'!N44)</f>
        <v>0</v>
      </c>
      <c r="O44" s="15">
        <f t="shared" si="0"/>
        <v>13.372148859543817</v>
      </c>
      <c r="P44" s="15">
        <f t="shared" si="1"/>
        <v>64.072148859543816</v>
      </c>
    </row>
    <row r="45" spans="2:32" ht="23.1" customHeight="1" x14ac:dyDescent="0.25">
      <c r="B45" s="23" t="s">
        <v>72</v>
      </c>
      <c r="C45" s="49">
        <f>AVERAGE('01.08 KARUMA-GULU'!C45,'02.08 KARUMA-GULU'!C45,'04.08 KARUMA-GULU'!C45,'06.08 KARUMA-GULU'!C45,'03.08 KARUMA-GULU-24HRS'!C45,'05.08, KARUMA-GULU-24HRS'!C45,'7.08 KARUMA-GULU'!C45)</f>
        <v>6.4573829531812725</v>
      </c>
      <c r="D45" s="49">
        <f>AVERAGE('01.08 KARUMA-GULU'!D45,'02.08 KARUMA-GULU'!D45,'04.08 KARUMA-GULU'!D45,'06.08 KARUMA-GULU'!D45,'03.08 KARUMA-GULU-24HRS'!D45,'05.08, KARUMA-GULU-24HRS'!D45,'7.08 KARUMA-GULU'!D45)</f>
        <v>2.0744297719087634</v>
      </c>
      <c r="E45" s="49">
        <f>AVERAGE('01.08 KARUMA-GULU'!E45,'02.08 KARUMA-GULU'!E45,'04.08 KARUMA-GULU'!E45,'06.08 KARUMA-GULU'!E45,'03.08 KARUMA-GULU-24HRS'!E45,'05.08, KARUMA-GULU-24HRS'!E45,'7.08 KARUMA-GULU'!E45)</f>
        <v>4.4345738295318124</v>
      </c>
      <c r="F45" s="49">
        <f>AVERAGE('01.08 KARUMA-GULU'!F45,'02.08 KARUMA-GULU'!F45,'04.08 KARUMA-GULU'!F45,'06.08 KARUMA-GULU'!F45,'03.08 KARUMA-GULU-24HRS'!F45,'05.08, KARUMA-GULU-24HRS'!F45,'7.08 KARUMA-GULU'!F45)</f>
        <v>0.64585834333733494</v>
      </c>
      <c r="G45" s="49">
        <f>AVERAGE('01.08 KARUMA-GULU'!G45,'02.08 KARUMA-GULU'!G45,'04.08 KARUMA-GULU'!G45,'06.08 KARUMA-GULU'!G45,'03.08 KARUMA-GULU-24HRS'!G45,'05.08, KARUMA-GULU-24HRS'!G45,'7.08 KARUMA-GULU'!G45)</f>
        <v>0</v>
      </c>
      <c r="H45" s="49">
        <f>AVERAGE('01.08 KARUMA-GULU'!H45,'02.08 KARUMA-GULU'!H45,'04.08 KARUMA-GULU'!H45,'06.08 KARUMA-GULU'!H45,'03.08 KARUMA-GULU-24HRS'!H45,'05.08, KARUMA-GULU-24HRS'!H45,'7.08 KARUMA-GULU'!H45)</f>
        <v>0.2857142857142857</v>
      </c>
      <c r="I45" s="49">
        <f>AVERAGE('01.08 KARUMA-GULU'!I45,'02.08 KARUMA-GULU'!I45,'04.08 KARUMA-GULU'!I45,'06.08 KARUMA-GULU'!I45,'03.08 KARUMA-GULU-24HRS'!I45,'05.08, KARUMA-GULU-24HRS'!I45,'7.08 KARUMA-GULU'!I45)</f>
        <v>1.6686674669867947</v>
      </c>
      <c r="J45" s="49">
        <f>AVERAGE('01.08 KARUMA-GULU'!J45,'02.08 KARUMA-GULU'!J45,'04.08 KARUMA-GULU'!J45,'06.08 KARUMA-GULU'!J45,'03.08 KARUMA-GULU-24HRS'!J45,'05.08, KARUMA-GULU-24HRS'!J45,'7.08 KARUMA-GULU'!J45)</f>
        <v>0.2857142857142857</v>
      </c>
      <c r="K45" s="49">
        <f>AVERAGE('01.08 KARUMA-GULU'!K45,'02.08 KARUMA-GULU'!K45,'04.08 KARUMA-GULU'!K45,'06.08 KARUMA-GULU'!K45,'03.08 KARUMA-GULU-24HRS'!K45,'05.08, KARUMA-GULU-24HRS'!K45,'7.08 KARUMA-GULU'!K45)</f>
        <v>0.14285714285714285</v>
      </c>
      <c r="L45" s="49">
        <f>AVERAGE('01.08 KARUMA-GULU'!L45,'02.08 KARUMA-GULU'!L45,'04.08 KARUMA-GULU'!L45,'06.08 KARUMA-GULU'!L45,'03.08 KARUMA-GULU-24HRS'!L45,'05.08, KARUMA-GULU-24HRS'!L45,'7.08 KARUMA-GULU'!L45)</f>
        <v>1.4573829531812723</v>
      </c>
      <c r="M45" s="49">
        <f>AVERAGE('01.08 KARUMA-GULU'!M45,'02.08 KARUMA-GULU'!M45,'04.08 KARUMA-GULU'!M45,'06.08 KARUMA-GULU'!M45,'03.08 KARUMA-GULU-24HRS'!M45,'05.08, KARUMA-GULU-24HRS'!M45,'7.08 KARUMA-GULU'!M45)</f>
        <v>48.671428571428571</v>
      </c>
      <c r="N45" s="49">
        <f>AVERAGE('01.08 KARUMA-GULU'!N45,'02.08 KARUMA-GULU'!N45,'04.08 KARUMA-GULU'!N45,'06.08 KARUMA-GULU'!N45,'03.08 KARUMA-GULU-24HRS'!N45,'05.08, KARUMA-GULU-24HRS'!N45,'7.08 KARUMA-GULU'!N45)</f>
        <v>0</v>
      </c>
      <c r="O45" s="15">
        <f t="shared" si="0"/>
        <v>17.452581032412965</v>
      </c>
      <c r="P45" s="15">
        <f t="shared" si="1"/>
        <v>66.124009603841529</v>
      </c>
    </row>
    <row r="46" spans="2:32" ht="23.1" customHeight="1" x14ac:dyDescent="0.25">
      <c r="B46" s="24" t="s">
        <v>73</v>
      </c>
      <c r="C46" s="49">
        <f>AVERAGE('01.08 KARUMA-GULU'!C46,'02.08 KARUMA-GULU'!C46,'04.08 KARUMA-GULU'!C46,'06.08 KARUMA-GULU'!C46,'03.08 KARUMA-GULU-24HRS'!C46,'05.08, KARUMA-GULU-24HRS'!C46,'7.08 KARUMA-GULU'!C46)</f>
        <v>7.0516206482593038</v>
      </c>
      <c r="D46" s="49">
        <f>AVERAGE('01.08 KARUMA-GULU'!D46,'02.08 KARUMA-GULU'!D46,'04.08 KARUMA-GULU'!D46,'06.08 KARUMA-GULU'!D46,'03.08 KARUMA-GULU-24HRS'!D46,'05.08, KARUMA-GULU-24HRS'!D46,'7.08 KARUMA-GULU'!D46)</f>
        <v>1.9771908763505404</v>
      </c>
      <c r="E46" s="49">
        <f>AVERAGE('01.08 KARUMA-GULU'!E46,'02.08 KARUMA-GULU'!E46,'04.08 KARUMA-GULU'!E46,'06.08 KARUMA-GULU'!E46,'03.08 KARUMA-GULU-24HRS'!E46,'05.08, KARUMA-GULU-24HRS'!E46,'7.08 KARUMA-GULU'!E46)</f>
        <v>4.074429771908763</v>
      </c>
      <c r="F46" s="49">
        <f>AVERAGE('01.08 KARUMA-GULU'!F46,'02.08 KARUMA-GULU'!F46,'04.08 KARUMA-GULU'!F46,'06.08 KARUMA-GULU'!F46,'03.08 KARUMA-GULU-24HRS'!F46,'05.08, KARUMA-GULU-24HRS'!F46,'7.08 KARUMA-GULU'!F46)</f>
        <v>0.64585834333733494</v>
      </c>
      <c r="G46" s="49">
        <f>AVERAGE('01.08 KARUMA-GULU'!G46,'02.08 KARUMA-GULU'!G46,'04.08 KARUMA-GULU'!G46,'06.08 KARUMA-GULU'!G46,'03.08 KARUMA-GULU-24HRS'!G46,'05.08, KARUMA-GULU-24HRS'!G46,'7.08 KARUMA-GULU'!G46)</f>
        <v>0.14285714285714285</v>
      </c>
      <c r="H46" s="49">
        <f>AVERAGE('01.08 KARUMA-GULU'!H46,'02.08 KARUMA-GULU'!H46,'04.08 KARUMA-GULU'!H46,'06.08 KARUMA-GULU'!H46,'03.08 KARUMA-GULU-24HRS'!H46,'05.08, KARUMA-GULU-24HRS'!H46,'7.08 KARUMA-GULU'!H46)</f>
        <v>0.4057623049219688</v>
      </c>
      <c r="I46" s="49">
        <f>AVERAGE('01.08 KARUMA-GULU'!I46,'02.08 KARUMA-GULU'!I46,'04.08 KARUMA-GULU'!I46,'06.08 KARUMA-GULU'!I46,'03.08 KARUMA-GULU-24HRS'!I46,'05.08, KARUMA-GULU-24HRS'!I46,'7.08 KARUMA-GULU'!I46)</f>
        <v>2.1488595438175269</v>
      </c>
      <c r="J46" s="49">
        <f>AVERAGE('01.08 KARUMA-GULU'!J46,'02.08 KARUMA-GULU'!J46,'04.08 KARUMA-GULU'!J46,'06.08 KARUMA-GULU'!J46,'03.08 KARUMA-GULU-24HRS'!J46,'05.08, KARUMA-GULU-24HRS'!J46,'7.08 KARUMA-GULU'!J46)</f>
        <v>0.2857142857142857</v>
      </c>
      <c r="K46" s="49">
        <f>AVERAGE('01.08 KARUMA-GULU'!K46,'02.08 KARUMA-GULU'!K46,'04.08 KARUMA-GULU'!K46,'06.08 KARUMA-GULU'!K46,'03.08 KARUMA-GULU-24HRS'!K46,'05.08, KARUMA-GULU-24HRS'!K46,'7.08 KARUMA-GULU'!K46)</f>
        <v>0</v>
      </c>
      <c r="L46" s="49">
        <f>AVERAGE('01.08 KARUMA-GULU'!L46,'02.08 KARUMA-GULU'!L46,'04.08 KARUMA-GULU'!L46,'06.08 KARUMA-GULU'!L46,'03.08 KARUMA-GULU-24HRS'!L46,'05.08, KARUMA-GULU-24HRS'!L46,'7.08 KARUMA-GULU'!L46)</f>
        <v>1.411764705882353</v>
      </c>
      <c r="M46" s="49">
        <f>AVERAGE('01.08 KARUMA-GULU'!M46,'02.08 KARUMA-GULU'!M46,'04.08 KARUMA-GULU'!M46,'06.08 KARUMA-GULU'!M46,'03.08 KARUMA-GULU-24HRS'!M46,'05.08, KARUMA-GULU-24HRS'!M46,'7.08 KARUMA-GULU'!M46)</f>
        <v>50.328571428571429</v>
      </c>
      <c r="N46" s="49">
        <f>AVERAGE('01.08 KARUMA-GULU'!N46,'02.08 KARUMA-GULU'!N46,'04.08 KARUMA-GULU'!N46,'06.08 KARUMA-GULU'!N46,'03.08 KARUMA-GULU-24HRS'!N46,'05.08, KARUMA-GULU-24HRS'!N46,'7.08 KARUMA-GULU'!N46)</f>
        <v>0.14285714285714285</v>
      </c>
      <c r="O46" s="15">
        <f t="shared" si="0"/>
        <v>18.28691476590636</v>
      </c>
      <c r="P46" s="15">
        <f t="shared" si="1"/>
        <v>68.615486194477782</v>
      </c>
      <c r="R46" s="8"/>
      <c r="T46"/>
    </row>
    <row r="47" spans="2:32" ht="23.1" customHeight="1" x14ac:dyDescent="0.25">
      <c r="B47" s="24" t="s">
        <v>74</v>
      </c>
      <c r="C47" s="49">
        <f>AVERAGE('01.08 KARUMA-GULU'!C47,'02.08 KARUMA-GULU'!C47,'04.08 KARUMA-GULU'!C47,'06.08 KARUMA-GULU'!C47,'03.08 KARUMA-GULU-24HRS'!C47,'05.08, KARUMA-GULU-24HRS'!C47,'7.08 KARUMA-GULU'!C47)</f>
        <v>6.9831932773109244</v>
      </c>
      <c r="D47" s="49">
        <f>AVERAGE('01.08 KARUMA-GULU'!D47,'02.08 KARUMA-GULU'!D47,'04.08 KARUMA-GULU'!D47,'06.08 KARUMA-GULU'!D47,'03.08 KARUMA-GULU-24HRS'!D47,'05.08, KARUMA-GULU-24HRS'!D47,'7.08 KARUMA-GULU'!D47)</f>
        <v>2.4285714285714284</v>
      </c>
      <c r="E47" s="49">
        <f>AVERAGE('01.08 KARUMA-GULU'!E47,'02.08 KARUMA-GULU'!E47,'04.08 KARUMA-GULU'!E47,'06.08 KARUMA-GULU'!E47,'03.08 KARUMA-GULU-24HRS'!E47,'05.08, KARUMA-GULU-24HRS'!E47,'7.08 KARUMA-GULU'!E47)</f>
        <v>5</v>
      </c>
      <c r="F47" s="49">
        <f>AVERAGE('01.08 KARUMA-GULU'!F47,'02.08 KARUMA-GULU'!F47,'04.08 KARUMA-GULU'!F47,'06.08 KARUMA-GULU'!F47,'03.08 KARUMA-GULU-24HRS'!F47,'05.08, KARUMA-GULU-24HRS'!F47,'7.08 KARUMA-GULU'!F47)</f>
        <v>0.97719087635054014</v>
      </c>
      <c r="G47" s="49">
        <f>AVERAGE('01.08 KARUMA-GULU'!G47,'02.08 KARUMA-GULU'!G47,'04.08 KARUMA-GULU'!G47,'06.08 KARUMA-GULU'!G47,'03.08 KARUMA-GULU-24HRS'!G47,'05.08, KARUMA-GULU-24HRS'!G47,'7.08 KARUMA-GULU'!G47)</f>
        <v>0.14285714285714285</v>
      </c>
      <c r="H47" s="49">
        <f>AVERAGE('01.08 KARUMA-GULU'!H47,'02.08 KARUMA-GULU'!H47,'04.08 KARUMA-GULU'!H47,'06.08 KARUMA-GULU'!H47,'03.08 KARUMA-GULU-24HRS'!H47,'05.08, KARUMA-GULU-24HRS'!H47,'7.08 KARUMA-GULU'!H47)</f>
        <v>0.54861944777911165</v>
      </c>
      <c r="I47" s="49">
        <f>AVERAGE('01.08 KARUMA-GULU'!I47,'02.08 KARUMA-GULU'!I47,'04.08 KARUMA-GULU'!I47,'06.08 KARUMA-GULU'!I47,'03.08 KARUMA-GULU-24HRS'!I47,'05.08, KARUMA-GULU-24HRS'!I47,'7.08 KARUMA-GULU'!I47)</f>
        <v>1.8631452581032413</v>
      </c>
      <c r="J47" s="49">
        <f>AVERAGE('01.08 KARUMA-GULU'!J47,'02.08 KARUMA-GULU'!J47,'04.08 KARUMA-GULU'!J47,'06.08 KARUMA-GULU'!J47,'03.08 KARUMA-GULU-24HRS'!J47,'05.08, KARUMA-GULU-24HRS'!J47,'7.08 KARUMA-GULU'!J47)</f>
        <v>0.5258103241296519</v>
      </c>
      <c r="K47" s="49">
        <f>AVERAGE('01.08 KARUMA-GULU'!K47,'02.08 KARUMA-GULU'!K47,'04.08 KARUMA-GULU'!K47,'06.08 KARUMA-GULU'!K47,'03.08 KARUMA-GULU-24HRS'!K47,'05.08, KARUMA-GULU-24HRS'!K47,'7.08 KARUMA-GULU'!K47)</f>
        <v>0.2857142857142857</v>
      </c>
      <c r="L47" s="49">
        <f>AVERAGE('01.08 KARUMA-GULU'!L47,'02.08 KARUMA-GULU'!L47,'04.08 KARUMA-GULU'!L47,'06.08 KARUMA-GULU'!L47,'03.08 KARUMA-GULU-24HRS'!L47,'05.08, KARUMA-GULU-24HRS'!L47,'7.08 KARUMA-GULU'!L47)</f>
        <v>1.7142857142857142</v>
      </c>
      <c r="M47" s="49">
        <f>AVERAGE('01.08 KARUMA-GULU'!M47,'02.08 KARUMA-GULU'!M47,'04.08 KARUMA-GULU'!M47,'06.08 KARUMA-GULU'!M47,'03.08 KARUMA-GULU-24HRS'!M47,'05.08, KARUMA-GULU-24HRS'!M47,'7.08 KARUMA-GULU'!M47)</f>
        <v>49.571428571428569</v>
      </c>
      <c r="N47" s="49">
        <f>AVERAGE('01.08 KARUMA-GULU'!N47,'02.08 KARUMA-GULU'!N47,'04.08 KARUMA-GULU'!N47,'06.08 KARUMA-GULU'!N47,'03.08 KARUMA-GULU-24HRS'!N47,'05.08, KARUMA-GULU-24HRS'!N47,'7.08 KARUMA-GULU'!N47)</f>
        <v>0</v>
      </c>
      <c r="O47" s="15">
        <f t="shared" si="0"/>
        <v>20.469387755102041</v>
      </c>
      <c r="P47" s="15">
        <f t="shared" si="1"/>
        <v>70.040816326530603</v>
      </c>
      <c r="R47" s="8"/>
      <c r="T47"/>
    </row>
    <row r="48" spans="2:32" ht="23.1" customHeight="1" x14ac:dyDescent="0.25">
      <c r="B48" s="24" t="s">
        <v>75</v>
      </c>
      <c r="C48" s="49">
        <f>AVERAGE('01.08 KARUMA-GULU'!C48,'02.08 KARUMA-GULU'!C48,'04.08 KARUMA-GULU'!C48,'06.08 KARUMA-GULU'!C48,'03.08 KARUMA-GULU-24HRS'!C48,'05.08, KARUMA-GULU-24HRS'!C48,'7.08 KARUMA-GULU'!C48)</f>
        <v>6.2917166866746692</v>
      </c>
      <c r="D48" s="49">
        <f>AVERAGE('01.08 KARUMA-GULU'!D48,'02.08 KARUMA-GULU'!D48,'04.08 KARUMA-GULU'!D48,'06.08 KARUMA-GULU'!D48,'03.08 KARUMA-GULU-24HRS'!D48,'05.08, KARUMA-GULU-24HRS'!D48,'7.08 KARUMA-GULU'!D48)</f>
        <v>1.503001200480192</v>
      </c>
      <c r="E48" s="49">
        <f>AVERAGE('01.08 KARUMA-GULU'!E48,'02.08 KARUMA-GULU'!E48,'04.08 KARUMA-GULU'!E48,'06.08 KARUMA-GULU'!E48,'03.08 KARUMA-GULU-24HRS'!E48,'05.08, KARUMA-GULU-24HRS'!E48,'7.08 KARUMA-GULU'!E48)</f>
        <v>3.7202881152460985</v>
      </c>
      <c r="F48" s="49">
        <f>AVERAGE('01.08 KARUMA-GULU'!F48,'02.08 KARUMA-GULU'!F48,'04.08 KARUMA-GULU'!F48,'06.08 KARUMA-GULU'!F48,'03.08 KARUMA-GULU-24HRS'!F48,'05.08, KARUMA-GULU-24HRS'!F48,'7.08 KARUMA-GULU'!F48)</f>
        <v>1.5486194477791118</v>
      </c>
      <c r="G48" s="49">
        <f>AVERAGE('01.08 KARUMA-GULU'!G48,'02.08 KARUMA-GULU'!G48,'04.08 KARUMA-GULU'!G48,'06.08 KARUMA-GULU'!G48,'03.08 KARUMA-GULU-24HRS'!G48,'05.08, KARUMA-GULU-24HRS'!G48,'7.08 KARUMA-GULU'!G48)</f>
        <v>0.2857142857142857</v>
      </c>
      <c r="H48" s="49">
        <f>AVERAGE('01.08 KARUMA-GULU'!H48,'02.08 KARUMA-GULU'!H48,'04.08 KARUMA-GULU'!H48,'06.08 KARUMA-GULU'!H48,'03.08 KARUMA-GULU-24HRS'!H48,'05.08, KARUMA-GULU-24HRS'!H48,'7.08 KARUMA-GULU'!H48)</f>
        <v>0.14285714285714285</v>
      </c>
      <c r="I48" s="49">
        <f>AVERAGE('01.08 KARUMA-GULU'!I48,'02.08 KARUMA-GULU'!I48,'04.08 KARUMA-GULU'!I48,'06.08 KARUMA-GULU'!I48,'03.08 KARUMA-GULU-24HRS'!I48,'05.08, KARUMA-GULU-24HRS'!I48,'7.08 KARUMA-GULU'!I48)</f>
        <v>2.531812725090036</v>
      </c>
      <c r="J48" s="49">
        <f>AVERAGE('01.08 KARUMA-GULU'!J48,'02.08 KARUMA-GULU'!J48,'04.08 KARUMA-GULU'!J48,'06.08 KARUMA-GULU'!J48,'03.08 KARUMA-GULU-24HRS'!J48,'05.08, KARUMA-GULU-24HRS'!J48,'7.08 KARUMA-GULU'!J48)</f>
        <v>0.4057623049219688</v>
      </c>
      <c r="K48" s="49">
        <f>AVERAGE('01.08 KARUMA-GULU'!K48,'02.08 KARUMA-GULU'!K48,'04.08 KARUMA-GULU'!K48,'06.08 KARUMA-GULU'!K48,'03.08 KARUMA-GULU-24HRS'!K48,'05.08, KARUMA-GULU-24HRS'!K48,'7.08 KARUMA-GULU'!K48)</f>
        <v>0</v>
      </c>
      <c r="L48" s="49">
        <f>AVERAGE('01.08 KARUMA-GULU'!L48,'02.08 KARUMA-GULU'!L48,'04.08 KARUMA-GULU'!L48,'06.08 KARUMA-GULU'!L48,'03.08 KARUMA-GULU-24HRS'!L48,'05.08, KARUMA-GULU-24HRS'!L48,'7.08 KARUMA-GULU'!L48)</f>
        <v>1.0288115246098439</v>
      </c>
      <c r="M48" s="49">
        <f>AVERAGE('01.08 KARUMA-GULU'!M48,'02.08 KARUMA-GULU'!M48,'04.08 KARUMA-GULU'!M48,'06.08 KARUMA-GULU'!M48,'03.08 KARUMA-GULU-24HRS'!M48,'05.08, KARUMA-GULU-24HRS'!M48,'7.08 KARUMA-GULU'!M48)</f>
        <v>66.328571428571436</v>
      </c>
      <c r="N48" s="49">
        <f>AVERAGE('01.08 KARUMA-GULU'!N48,'02.08 KARUMA-GULU'!N48,'04.08 KARUMA-GULU'!N48,'06.08 KARUMA-GULU'!N48,'03.08 KARUMA-GULU-24HRS'!N48,'05.08, KARUMA-GULU-24HRS'!N48,'7.08 KARUMA-GULU'!N48)</f>
        <v>0</v>
      </c>
      <c r="O48" s="15">
        <f t="shared" si="0"/>
        <v>17.458583433373345</v>
      </c>
      <c r="P48" s="15">
        <f t="shared" si="1"/>
        <v>83.787154861944785</v>
      </c>
      <c r="R48" s="8"/>
      <c r="T48"/>
    </row>
    <row r="49" spans="2:20" ht="23.1" customHeight="1" x14ac:dyDescent="0.25">
      <c r="B49" s="23" t="s">
        <v>76</v>
      </c>
      <c r="C49" s="49">
        <f>AVERAGE('01.08 KARUMA-GULU'!C49,'02.08 KARUMA-GULU'!C49,'04.08 KARUMA-GULU'!C49,'06.08 KARUMA-GULU'!C49,'03.08 KARUMA-GULU-24HRS'!C49,'05.08, KARUMA-GULU-24HRS'!C49,'7.08 KARUMA-GULU'!C49)</f>
        <v>7.9891956782713089</v>
      </c>
      <c r="D49" s="49">
        <f>AVERAGE('01.08 KARUMA-GULU'!D49,'02.08 KARUMA-GULU'!D49,'04.08 KARUMA-GULU'!D49,'06.08 KARUMA-GULU'!D49,'03.08 KARUMA-GULU-24HRS'!D49,'05.08, KARUMA-GULU-24HRS'!D49,'7.08 KARUMA-GULU'!D49)</f>
        <v>2.2172869147659062</v>
      </c>
      <c r="E49" s="49">
        <f>AVERAGE('01.08 KARUMA-GULU'!E49,'02.08 KARUMA-GULU'!E49,'04.08 KARUMA-GULU'!E49,'06.08 KARUMA-GULU'!E49,'03.08 KARUMA-GULU-24HRS'!E49,'05.08, KARUMA-GULU-24HRS'!E49,'7.08 KARUMA-GULU'!E49)</f>
        <v>5.0060024009603836</v>
      </c>
      <c r="F49" s="49">
        <f>AVERAGE('01.08 KARUMA-GULU'!F49,'02.08 KARUMA-GULU'!F49,'04.08 KARUMA-GULU'!F49,'06.08 KARUMA-GULU'!F49,'03.08 KARUMA-GULU-24HRS'!F49,'05.08, KARUMA-GULU-24HRS'!F49,'7.08 KARUMA-GULU'!F49)</f>
        <v>1.1428571428571428</v>
      </c>
      <c r="G49" s="49">
        <f>AVERAGE('01.08 KARUMA-GULU'!G49,'02.08 KARUMA-GULU'!G49,'04.08 KARUMA-GULU'!G49,'06.08 KARUMA-GULU'!G49,'03.08 KARUMA-GULU-24HRS'!G49,'05.08, KARUMA-GULU-24HRS'!G49,'7.08 KARUMA-GULU'!G49)</f>
        <v>0</v>
      </c>
      <c r="H49" s="49">
        <f>AVERAGE('01.08 KARUMA-GULU'!H49,'02.08 KARUMA-GULU'!H49,'04.08 KARUMA-GULU'!H49,'06.08 KARUMA-GULU'!H49,'03.08 KARUMA-GULU-24HRS'!H49,'05.08, KARUMA-GULU-24HRS'!H49,'7.08 KARUMA-GULU'!H49)</f>
        <v>0.69147659063625444</v>
      </c>
      <c r="I49" s="49">
        <f>AVERAGE('01.08 KARUMA-GULU'!I49,'02.08 KARUMA-GULU'!I49,'04.08 KARUMA-GULU'!I49,'06.08 KARUMA-GULU'!I49,'03.08 KARUMA-GULU-24HRS'!I49,'05.08, KARUMA-GULU-24HRS'!I49,'7.08 KARUMA-GULU'!I49)</f>
        <v>2.0288115246098437</v>
      </c>
      <c r="J49" s="49">
        <f>AVERAGE('01.08 KARUMA-GULU'!J49,'02.08 KARUMA-GULU'!J49,'04.08 KARUMA-GULU'!J49,'06.08 KARUMA-GULU'!J49,'03.08 KARUMA-GULU-24HRS'!J49,'05.08, KARUMA-GULU-24HRS'!J49,'7.08 KARUMA-GULU'!J49)</f>
        <v>0.42857142857142855</v>
      </c>
      <c r="K49" s="49">
        <f>AVERAGE('01.08 KARUMA-GULU'!K49,'02.08 KARUMA-GULU'!K49,'04.08 KARUMA-GULU'!K49,'06.08 KARUMA-GULU'!K49,'03.08 KARUMA-GULU-24HRS'!K49,'05.08, KARUMA-GULU-24HRS'!K49,'7.08 KARUMA-GULU'!K49)</f>
        <v>0</v>
      </c>
      <c r="L49" s="49">
        <f>AVERAGE('01.08 KARUMA-GULU'!L49,'02.08 KARUMA-GULU'!L49,'04.08 KARUMA-GULU'!L49,'06.08 KARUMA-GULU'!L49,'03.08 KARUMA-GULU-24HRS'!L49,'05.08, KARUMA-GULU-24HRS'!L49,'7.08 KARUMA-GULU'!L49)</f>
        <v>1.2400960384153663</v>
      </c>
      <c r="M49" s="49">
        <f>AVERAGE('01.08 KARUMA-GULU'!M49,'02.08 KARUMA-GULU'!M49,'04.08 KARUMA-GULU'!M49,'06.08 KARUMA-GULU'!M49,'03.08 KARUMA-GULU-24HRS'!M49,'05.08, KARUMA-GULU-24HRS'!M49,'7.08 KARUMA-GULU'!M49)</f>
        <v>68.428571428571431</v>
      </c>
      <c r="N49" s="49">
        <f>AVERAGE('01.08 KARUMA-GULU'!N49,'02.08 KARUMA-GULU'!N49,'04.08 KARUMA-GULU'!N49,'06.08 KARUMA-GULU'!N49,'03.08 KARUMA-GULU-24HRS'!N49,'05.08, KARUMA-GULU-24HRS'!N49,'7.08 KARUMA-GULU'!N49)</f>
        <v>0.14285714285714285</v>
      </c>
      <c r="O49" s="15">
        <f t="shared" si="0"/>
        <v>20.887154861944776</v>
      </c>
      <c r="P49" s="15">
        <f t="shared" si="1"/>
        <v>89.31572629051621</v>
      </c>
      <c r="R49" s="8"/>
      <c r="T49"/>
    </row>
    <row r="50" spans="2:20" ht="23.1" customHeight="1" x14ac:dyDescent="0.25">
      <c r="B50" s="24" t="s">
        <v>77</v>
      </c>
      <c r="C50" s="49">
        <f>AVERAGE('01.08 KARUMA-GULU'!C50,'02.08 KARUMA-GULU'!C50,'04.08 KARUMA-GULU'!C50,'06.08 KARUMA-GULU'!C50,'03.08 KARUMA-GULU-24HRS'!C50,'05.08, KARUMA-GULU-24HRS'!C50,'7.08 KARUMA-GULU'!C50)</f>
        <v>6.3373349339735894</v>
      </c>
      <c r="D50" s="49">
        <f>AVERAGE('01.08 KARUMA-GULU'!D50,'02.08 KARUMA-GULU'!D50,'04.08 KARUMA-GULU'!D50,'06.08 KARUMA-GULU'!D50,'03.08 KARUMA-GULU-24HRS'!D50,'05.08, KARUMA-GULU-24HRS'!D50,'7.08 KARUMA-GULU'!D50)</f>
        <v>2.1716686674669865</v>
      </c>
      <c r="E50" s="49">
        <f>AVERAGE('01.08 KARUMA-GULU'!E50,'02.08 KARUMA-GULU'!E50,'04.08 KARUMA-GULU'!E50,'06.08 KARUMA-GULU'!E50,'03.08 KARUMA-GULU-24HRS'!E50,'05.08, KARUMA-GULU-24HRS'!E50,'7.08 KARUMA-GULU'!E50)</f>
        <v>4.8919567827130859</v>
      </c>
      <c r="F50" s="49">
        <f>AVERAGE('01.08 KARUMA-GULU'!F50,'02.08 KARUMA-GULU'!F50,'04.08 KARUMA-GULU'!F50,'06.08 KARUMA-GULU'!F50,'03.08 KARUMA-GULU-24HRS'!F50,'05.08, KARUMA-GULU-24HRS'!F50,'7.08 KARUMA-GULU'!F50)</f>
        <v>0.93157262905162064</v>
      </c>
      <c r="G50" s="49">
        <f>AVERAGE('01.08 KARUMA-GULU'!G50,'02.08 KARUMA-GULU'!G50,'04.08 KARUMA-GULU'!G50,'06.08 KARUMA-GULU'!G50,'03.08 KARUMA-GULU-24HRS'!G50,'05.08, KARUMA-GULU-24HRS'!G50,'7.08 KARUMA-GULU'!G50)</f>
        <v>0.2857142857142857</v>
      </c>
      <c r="H50" s="49">
        <f>AVERAGE('01.08 KARUMA-GULU'!H50,'02.08 KARUMA-GULU'!H50,'04.08 KARUMA-GULU'!H50,'06.08 KARUMA-GULU'!H50,'03.08 KARUMA-GULU-24HRS'!H50,'05.08, KARUMA-GULU-24HRS'!H50,'7.08 KARUMA-GULU'!H50)</f>
        <v>0.14285714285714285</v>
      </c>
      <c r="I50" s="49">
        <f>AVERAGE('01.08 KARUMA-GULU'!I50,'02.08 KARUMA-GULU'!I50,'04.08 KARUMA-GULU'!I50,'06.08 KARUMA-GULU'!I50,'03.08 KARUMA-GULU-24HRS'!I50,'05.08, KARUMA-GULU-24HRS'!I50,'7.08 KARUMA-GULU'!I50)</f>
        <v>2.0972388955582231</v>
      </c>
      <c r="J50" s="49">
        <f>AVERAGE('01.08 KARUMA-GULU'!J50,'02.08 KARUMA-GULU'!J50,'04.08 KARUMA-GULU'!J50,'06.08 KARUMA-GULU'!J50,'03.08 KARUMA-GULU-24HRS'!J50,'05.08, KARUMA-GULU-24HRS'!J50,'7.08 KARUMA-GULU'!J50)</f>
        <v>0.42857142857142855</v>
      </c>
      <c r="K50" s="49">
        <f>AVERAGE('01.08 KARUMA-GULU'!K50,'02.08 KARUMA-GULU'!K50,'04.08 KARUMA-GULU'!K50,'06.08 KARUMA-GULU'!K50,'03.08 KARUMA-GULU-24HRS'!K50,'05.08, KARUMA-GULU-24HRS'!K50,'7.08 KARUMA-GULU'!K50)</f>
        <v>0.54861944777911165</v>
      </c>
      <c r="L50" s="49">
        <f>AVERAGE('01.08 KARUMA-GULU'!L50,'02.08 KARUMA-GULU'!L50,'04.08 KARUMA-GULU'!L50,'06.08 KARUMA-GULU'!L50,'03.08 KARUMA-GULU-24HRS'!L50,'05.08, KARUMA-GULU-24HRS'!L50,'7.08 KARUMA-GULU'!L50)</f>
        <v>1.2629051620648259</v>
      </c>
      <c r="M50" s="49">
        <f>AVERAGE('01.08 KARUMA-GULU'!M50,'02.08 KARUMA-GULU'!M50,'04.08 KARUMA-GULU'!M50,'06.08 KARUMA-GULU'!M50,'03.08 KARUMA-GULU-24HRS'!M50,'05.08, KARUMA-GULU-24HRS'!M50,'7.08 KARUMA-GULU'!M50)</f>
        <v>67.885714285714286</v>
      </c>
      <c r="N50" s="49">
        <f>AVERAGE('01.08 KARUMA-GULU'!N50,'02.08 KARUMA-GULU'!N50,'04.08 KARUMA-GULU'!N50,'06.08 KARUMA-GULU'!N50,'03.08 KARUMA-GULU-24HRS'!N50,'05.08, KARUMA-GULU-24HRS'!N50,'7.08 KARUMA-GULU'!N50)</f>
        <v>0</v>
      </c>
      <c r="O50" s="15">
        <f t="shared" si="0"/>
        <v>19.098439375750296</v>
      </c>
      <c r="P50" s="15">
        <f t="shared" si="1"/>
        <v>86.984153661464575</v>
      </c>
      <c r="R50" s="8"/>
      <c r="T50"/>
    </row>
    <row r="51" spans="2:20" ht="23.1" customHeight="1" x14ac:dyDescent="0.25">
      <c r="B51" s="24" t="s">
        <v>78</v>
      </c>
      <c r="C51" s="49">
        <f>AVERAGE('01.08 KARUMA-GULU'!C51,'02.08 KARUMA-GULU'!C51,'04.08 KARUMA-GULU'!C51,'06.08 KARUMA-GULU'!C51,'03.08 KARUMA-GULU-24HRS'!C51,'05.08, KARUMA-GULU-24HRS'!C51,'7.08 KARUMA-GULU'!C51)</f>
        <v>8.1032412965186076</v>
      </c>
      <c r="D51" s="49">
        <f>AVERAGE('01.08 KARUMA-GULU'!D51,'02.08 KARUMA-GULU'!D51,'04.08 KARUMA-GULU'!D51,'06.08 KARUMA-GULU'!D51,'03.08 KARUMA-GULU-24HRS'!D51,'05.08, KARUMA-GULU-24HRS'!D51,'7.08 KARUMA-GULU'!D51)</f>
        <v>1.9543817527010803</v>
      </c>
      <c r="E51" s="49">
        <f>AVERAGE('01.08 KARUMA-GULU'!E51,'02.08 KARUMA-GULU'!E51,'04.08 KARUMA-GULU'!E51,'06.08 KARUMA-GULU'!E51,'03.08 KARUMA-GULU-24HRS'!E51,'05.08, KARUMA-GULU-24HRS'!E51,'7.08 KARUMA-GULU'!E51)</f>
        <v>4.7430972388955581</v>
      </c>
      <c r="F51" s="49">
        <f>AVERAGE('01.08 KARUMA-GULU'!F51,'02.08 KARUMA-GULU'!F51,'04.08 KARUMA-GULU'!F51,'06.08 KARUMA-GULU'!F51,'03.08 KARUMA-GULU-24HRS'!F51,'05.08, KARUMA-GULU-24HRS'!F51,'7.08 KARUMA-GULU'!F51)</f>
        <v>2.2172869147659062</v>
      </c>
      <c r="G51" s="49">
        <f>AVERAGE('01.08 KARUMA-GULU'!G51,'02.08 KARUMA-GULU'!G51,'04.08 KARUMA-GULU'!G51,'06.08 KARUMA-GULU'!G51,'03.08 KARUMA-GULU-24HRS'!G51,'05.08, KARUMA-GULU-24HRS'!G51,'7.08 KARUMA-GULU'!G51)</f>
        <v>0.26290516206482595</v>
      </c>
      <c r="H51" s="49">
        <f>AVERAGE('01.08 KARUMA-GULU'!H51,'02.08 KARUMA-GULU'!H51,'04.08 KARUMA-GULU'!H51,'06.08 KARUMA-GULU'!H51,'03.08 KARUMA-GULU-24HRS'!H51,'05.08, KARUMA-GULU-24HRS'!H51,'7.08 KARUMA-GULU'!H51)</f>
        <v>0.5714285714285714</v>
      </c>
      <c r="I51" s="49">
        <f>AVERAGE('01.08 KARUMA-GULU'!I51,'02.08 KARUMA-GULU'!I51,'04.08 KARUMA-GULU'!I51,'06.08 KARUMA-GULU'!I51,'03.08 KARUMA-GULU-24HRS'!I51,'05.08, KARUMA-GULU-24HRS'!I51,'7.08 KARUMA-GULU'!I51)</f>
        <v>2.7887154861944774</v>
      </c>
      <c r="J51" s="49">
        <f>AVERAGE('01.08 KARUMA-GULU'!J51,'02.08 KARUMA-GULU'!J51,'04.08 KARUMA-GULU'!J51,'06.08 KARUMA-GULU'!J51,'03.08 KARUMA-GULU-24HRS'!J51,'05.08, KARUMA-GULU-24HRS'!J51,'7.08 KARUMA-GULU'!J51)</f>
        <v>0.14285714285714285</v>
      </c>
      <c r="K51" s="49">
        <f>AVERAGE('01.08 KARUMA-GULU'!K51,'02.08 KARUMA-GULU'!K51,'04.08 KARUMA-GULU'!K51,'06.08 KARUMA-GULU'!K51,'03.08 KARUMA-GULU-24HRS'!K51,'05.08, KARUMA-GULU-24HRS'!K51,'7.08 KARUMA-GULU'!K51)</f>
        <v>0.2857142857142857</v>
      </c>
      <c r="L51" s="49">
        <f>AVERAGE('01.08 KARUMA-GULU'!L51,'02.08 KARUMA-GULU'!L51,'04.08 KARUMA-GULU'!L51,'06.08 KARUMA-GULU'!L51,'03.08 KARUMA-GULU-24HRS'!L51,'05.08, KARUMA-GULU-24HRS'!L51,'7.08 KARUMA-GULU'!L51)</f>
        <v>1.0972388955582233</v>
      </c>
      <c r="M51" s="49">
        <f>AVERAGE('01.08 KARUMA-GULU'!M51,'02.08 KARUMA-GULU'!M51,'04.08 KARUMA-GULU'!M51,'06.08 KARUMA-GULU'!M51,'03.08 KARUMA-GULU-24HRS'!M51,'05.08, KARUMA-GULU-24HRS'!M51,'7.08 KARUMA-GULU'!M51)</f>
        <v>71.871428571428581</v>
      </c>
      <c r="N51" s="49">
        <f>AVERAGE('01.08 KARUMA-GULU'!N51,'02.08 KARUMA-GULU'!N51,'04.08 KARUMA-GULU'!N51,'06.08 KARUMA-GULU'!N51,'03.08 KARUMA-GULU-24HRS'!N51,'05.08, KARUMA-GULU-24HRS'!N51,'7.08 KARUMA-GULU'!N51)</f>
        <v>0</v>
      </c>
      <c r="O51" s="15">
        <f t="shared" si="0"/>
        <v>22.166866746698677</v>
      </c>
      <c r="P51" s="15">
        <f t="shared" si="1"/>
        <v>94.038295318127254</v>
      </c>
      <c r="R51" s="8"/>
      <c r="T51"/>
    </row>
    <row r="52" spans="2:20" ht="23.1" customHeight="1" x14ac:dyDescent="0.25">
      <c r="B52" s="24" t="s">
        <v>79</v>
      </c>
      <c r="C52" s="49">
        <f>AVERAGE('01.08 KARUMA-GULU'!C52,'02.08 KARUMA-GULU'!C52,'04.08 KARUMA-GULU'!C52,'06.08 KARUMA-GULU'!C52,'03.08 KARUMA-GULU-24HRS'!C52,'05.08, KARUMA-GULU-24HRS'!C52,'7.08 KARUMA-GULU'!C52)</f>
        <v>8.9831932773109244</v>
      </c>
      <c r="D52" s="49">
        <f>AVERAGE('01.08 KARUMA-GULU'!D52,'02.08 KARUMA-GULU'!D52,'04.08 KARUMA-GULU'!D52,'06.08 KARUMA-GULU'!D52,'03.08 KARUMA-GULU-24HRS'!D52,'05.08, KARUMA-GULU-24HRS'!D52,'7.08 KARUMA-GULU'!D52)</f>
        <v>2.6914765906362548</v>
      </c>
      <c r="E52" s="49">
        <f>AVERAGE('01.08 KARUMA-GULU'!E52,'02.08 KARUMA-GULU'!E52,'04.08 KARUMA-GULU'!E52,'06.08 KARUMA-GULU'!E52,'03.08 KARUMA-GULU-24HRS'!E52,'05.08, KARUMA-GULU-24HRS'!E52,'7.08 KARUMA-GULU'!E52)</f>
        <v>5.2400960384153663</v>
      </c>
      <c r="F52" s="49">
        <f>AVERAGE('01.08 KARUMA-GULU'!F52,'02.08 KARUMA-GULU'!F52,'04.08 KARUMA-GULU'!F52,'06.08 KARUMA-GULU'!F52,'03.08 KARUMA-GULU-24HRS'!F52,'05.08, KARUMA-GULU-24HRS'!F52,'7.08 KARUMA-GULU'!F52)</f>
        <v>1.8571428571428572</v>
      </c>
      <c r="G52" s="49">
        <f>AVERAGE('01.08 KARUMA-GULU'!G52,'02.08 KARUMA-GULU'!G52,'04.08 KARUMA-GULU'!G52,'06.08 KARUMA-GULU'!G52,'03.08 KARUMA-GULU-24HRS'!G52,'05.08, KARUMA-GULU-24HRS'!G52,'7.08 KARUMA-GULU'!G52)</f>
        <v>0.26290516206482595</v>
      </c>
      <c r="H52" s="49">
        <f>AVERAGE('01.08 KARUMA-GULU'!H52,'02.08 KARUMA-GULU'!H52,'04.08 KARUMA-GULU'!H52,'06.08 KARUMA-GULU'!H52,'03.08 KARUMA-GULU-24HRS'!H52,'05.08, KARUMA-GULU-24HRS'!H52,'7.08 KARUMA-GULU'!H52)</f>
        <v>1.3601440576230492</v>
      </c>
      <c r="I52" s="49">
        <f>AVERAGE('01.08 KARUMA-GULU'!I52,'02.08 KARUMA-GULU'!I52,'04.08 KARUMA-GULU'!I52,'06.08 KARUMA-GULU'!I52,'03.08 KARUMA-GULU-24HRS'!I52,'05.08, KARUMA-GULU-24HRS'!I52,'7.08 KARUMA-GULU'!I52)</f>
        <v>1.0516206482593038</v>
      </c>
      <c r="J52" s="49">
        <f>AVERAGE('01.08 KARUMA-GULU'!J52,'02.08 KARUMA-GULU'!J52,'04.08 KARUMA-GULU'!J52,'06.08 KARUMA-GULU'!J52,'03.08 KARUMA-GULU-24HRS'!J52,'05.08, KARUMA-GULU-24HRS'!J52,'7.08 KARUMA-GULU'!J52)</f>
        <v>0.2857142857142857</v>
      </c>
      <c r="K52" s="49">
        <f>AVERAGE('01.08 KARUMA-GULU'!K52,'02.08 KARUMA-GULU'!K52,'04.08 KARUMA-GULU'!K52,'06.08 KARUMA-GULU'!K52,'03.08 KARUMA-GULU-24HRS'!K52,'05.08, KARUMA-GULU-24HRS'!K52,'7.08 KARUMA-GULU'!K52)</f>
        <v>0</v>
      </c>
      <c r="L52" s="49">
        <f>AVERAGE('01.08 KARUMA-GULU'!L52,'02.08 KARUMA-GULU'!L52,'04.08 KARUMA-GULU'!L52,'06.08 KARUMA-GULU'!L52,'03.08 KARUMA-GULU-24HRS'!L52,'05.08, KARUMA-GULU-24HRS'!L52,'7.08 KARUMA-GULU'!L52)</f>
        <v>1.6686674669867947</v>
      </c>
      <c r="M52" s="49">
        <f>AVERAGE('01.08 KARUMA-GULU'!M52,'02.08 KARUMA-GULU'!M52,'04.08 KARUMA-GULU'!M52,'06.08 KARUMA-GULU'!M52,'03.08 KARUMA-GULU-24HRS'!M52,'05.08, KARUMA-GULU-24HRS'!M52,'7.08 KARUMA-GULU'!M52)</f>
        <v>79.8</v>
      </c>
      <c r="N52" s="49">
        <f>AVERAGE('01.08 KARUMA-GULU'!N52,'02.08 KARUMA-GULU'!N52,'04.08 KARUMA-GULU'!N52,'06.08 KARUMA-GULU'!N52,'03.08 KARUMA-GULU-24HRS'!N52,'05.08, KARUMA-GULU-24HRS'!N52,'7.08 KARUMA-GULU'!N52)</f>
        <v>0</v>
      </c>
      <c r="O52" s="15">
        <f t="shared" si="0"/>
        <v>23.40096038415366</v>
      </c>
      <c r="P52" s="15">
        <f t="shared" si="1"/>
        <v>103.20096038415366</v>
      </c>
      <c r="R52" s="8"/>
      <c r="T52"/>
    </row>
    <row r="53" spans="2:20" ht="23.1" customHeight="1" x14ac:dyDescent="0.25">
      <c r="B53" s="23" t="s">
        <v>80</v>
      </c>
      <c r="C53" s="49">
        <f>AVERAGE('01.08 KARUMA-GULU'!C53,'02.08 KARUMA-GULU'!C53,'04.08 KARUMA-GULU'!C53,'06.08 KARUMA-GULU'!C53,'03.08 KARUMA-GULU-24HRS'!C53,'05.08, KARUMA-GULU-24HRS'!C53,'7.08 KARUMA-GULU'!C53)</f>
        <v>6.6002400960384149</v>
      </c>
      <c r="D53" s="49">
        <f>AVERAGE('01.08 KARUMA-GULU'!D53,'02.08 KARUMA-GULU'!D53,'04.08 KARUMA-GULU'!D53,'06.08 KARUMA-GULU'!D53,'03.08 KARUMA-GULU-24HRS'!D53,'05.08, KARUMA-GULU-24HRS'!D53,'7.08 KARUMA-GULU'!D53)</f>
        <v>2.6686674669867947</v>
      </c>
      <c r="E53" s="49">
        <f>AVERAGE('01.08 KARUMA-GULU'!E53,'02.08 KARUMA-GULU'!E53,'04.08 KARUMA-GULU'!E53,'06.08 KARUMA-GULU'!E53,'03.08 KARUMA-GULU-24HRS'!E53,'05.08, KARUMA-GULU-24HRS'!E53,'7.08 KARUMA-GULU'!E53)</f>
        <v>5.3373349339735894</v>
      </c>
      <c r="F53" s="49">
        <f>AVERAGE('01.08 KARUMA-GULU'!F53,'02.08 KARUMA-GULU'!F53,'04.08 KARUMA-GULU'!F53,'06.08 KARUMA-GULU'!F53,'03.08 KARUMA-GULU-24HRS'!F53,'05.08, KARUMA-GULU-24HRS'!F53,'7.08 KARUMA-GULU'!F53)</f>
        <v>1.0972388955582233</v>
      </c>
      <c r="G53" s="49">
        <f>AVERAGE('01.08 KARUMA-GULU'!G53,'02.08 KARUMA-GULU'!G53,'04.08 KARUMA-GULU'!G53,'06.08 KARUMA-GULU'!G53,'03.08 KARUMA-GULU-24HRS'!G53,'05.08, KARUMA-GULU-24HRS'!G53,'7.08 KARUMA-GULU'!G53)</f>
        <v>0.14285714285714285</v>
      </c>
      <c r="H53" s="49">
        <f>AVERAGE('01.08 KARUMA-GULU'!H53,'02.08 KARUMA-GULU'!H53,'04.08 KARUMA-GULU'!H53,'06.08 KARUMA-GULU'!H53,'03.08 KARUMA-GULU-24HRS'!H53,'05.08, KARUMA-GULU-24HRS'!H53,'7.08 KARUMA-GULU'!H53)</f>
        <v>1.0972388955582233</v>
      </c>
      <c r="I53" s="49">
        <f>AVERAGE('01.08 KARUMA-GULU'!I53,'02.08 KARUMA-GULU'!I53,'04.08 KARUMA-GULU'!I53,'06.08 KARUMA-GULU'!I53,'03.08 KARUMA-GULU-24HRS'!I53,'05.08, KARUMA-GULU-24HRS'!I53,'7.08 KARUMA-GULU'!I53)</f>
        <v>2.3145258103241297</v>
      </c>
      <c r="J53" s="49">
        <f>AVERAGE('01.08 KARUMA-GULU'!J53,'02.08 KARUMA-GULU'!J53,'04.08 KARUMA-GULU'!J53,'06.08 KARUMA-GULU'!J53,'03.08 KARUMA-GULU-24HRS'!J53,'05.08, KARUMA-GULU-24HRS'!J53,'7.08 KARUMA-GULU'!J53)</f>
        <v>0.8571428571428571</v>
      </c>
      <c r="K53" s="49">
        <f>AVERAGE('01.08 KARUMA-GULU'!K53,'02.08 KARUMA-GULU'!K53,'04.08 KARUMA-GULU'!K53,'06.08 KARUMA-GULU'!K53,'03.08 KARUMA-GULU-24HRS'!K53,'05.08, KARUMA-GULU-24HRS'!K53,'7.08 KARUMA-GULU'!K53)</f>
        <v>0.14285714285714285</v>
      </c>
      <c r="L53" s="49">
        <f>AVERAGE('01.08 KARUMA-GULU'!L53,'02.08 KARUMA-GULU'!L53,'04.08 KARUMA-GULU'!L53,'06.08 KARUMA-GULU'!L53,'03.08 KARUMA-GULU-24HRS'!L53,'05.08, KARUMA-GULU-24HRS'!L53,'7.08 KARUMA-GULU'!L53)</f>
        <v>1.1428571428571428</v>
      </c>
      <c r="M53" s="49">
        <f>AVERAGE('01.08 KARUMA-GULU'!M53,'02.08 KARUMA-GULU'!M53,'04.08 KARUMA-GULU'!M53,'06.08 KARUMA-GULU'!M53,'03.08 KARUMA-GULU-24HRS'!M53,'05.08, KARUMA-GULU-24HRS'!M53,'7.08 KARUMA-GULU'!M53)</f>
        <v>66.171428571428564</v>
      </c>
      <c r="N53" s="49">
        <f>AVERAGE('01.08 KARUMA-GULU'!N53,'02.08 KARUMA-GULU'!N53,'04.08 KARUMA-GULU'!N53,'06.08 KARUMA-GULU'!N53,'03.08 KARUMA-GULU-24HRS'!N53,'05.08, KARUMA-GULU-24HRS'!N53,'7.08 KARUMA-GULU'!N53)</f>
        <v>0</v>
      </c>
      <c r="O53" s="15">
        <f t="shared" si="0"/>
        <v>21.400960384153663</v>
      </c>
      <c r="P53" s="15">
        <f t="shared" si="1"/>
        <v>87.572388955582227</v>
      </c>
      <c r="R53" s="8"/>
      <c r="T53"/>
    </row>
    <row r="54" spans="2:20" ht="23.1" customHeight="1" x14ac:dyDescent="0.25">
      <c r="B54" s="23" t="s">
        <v>81</v>
      </c>
      <c r="C54" s="49">
        <f>AVERAGE('01.08 KARUMA-GULU'!C54,'02.08 KARUMA-GULU'!C54,'04.08 KARUMA-GULU'!C54,'06.08 KARUMA-GULU'!C54,'03.08 KARUMA-GULU-24HRS'!C54,'05.08, KARUMA-GULU-24HRS'!C54,'7.08 KARUMA-GULU'!C54)</f>
        <v>7.6230492196878759</v>
      </c>
      <c r="D54" s="49">
        <f>AVERAGE('01.08 KARUMA-GULU'!D54,'02.08 KARUMA-GULU'!D54,'04.08 KARUMA-GULU'!D54,'06.08 KARUMA-GULU'!D54,'03.08 KARUMA-GULU-24HRS'!D54,'05.08, KARUMA-GULU-24HRS'!D54,'7.08 KARUMA-GULU'!D54)</f>
        <v>3.1716686674669865</v>
      </c>
      <c r="E54" s="49">
        <f>AVERAGE('01.08 KARUMA-GULU'!E54,'02.08 KARUMA-GULU'!E54,'04.08 KARUMA-GULU'!E54,'06.08 KARUMA-GULU'!E54,'03.08 KARUMA-GULU-24HRS'!E54,'05.08, KARUMA-GULU-24HRS'!E54,'7.08 KARUMA-GULU'!E54)</f>
        <v>6.343337334933973</v>
      </c>
      <c r="F54" s="49">
        <f>AVERAGE('01.08 KARUMA-GULU'!F54,'02.08 KARUMA-GULU'!F54,'04.08 KARUMA-GULU'!F54,'06.08 KARUMA-GULU'!F54,'03.08 KARUMA-GULU-24HRS'!F54,'05.08, KARUMA-GULU-24HRS'!F54,'7.08 KARUMA-GULU'!F54)</f>
        <v>0.93157262905162064</v>
      </c>
      <c r="G54" s="49">
        <f>AVERAGE('01.08 KARUMA-GULU'!G54,'02.08 KARUMA-GULU'!G54,'04.08 KARUMA-GULU'!G54,'06.08 KARUMA-GULU'!G54,'03.08 KARUMA-GULU-24HRS'!G54,'05.08, KARUMA-GULU-24HRS'!G54,'7.08 KARUMA-GULU'!G54)</f>
        <v>0.54861944777911165</v>
      </c>
      <c r="H54" s="49">
        <f>AVERAGE('01.08 KARUMA-GULU'!H54,'02.08 KARUMA-GULU'!H54,'04.08 KARUMA-GULU'!H54,'06.08 KARUMA-GULU'!H54,'03.08 KARUMA-GULU-24HRS'!H54,'05.08, KARUMA-GULU-24HRS'!H54,'7.08 KARUMA-GULU'!H54)</f>
        <v>0</v>
      </c>
      <c r="I54" s="49">
        <f>AVERAGE('01.08 KARUMA-GULU'!I54,'02.08 KARUMA-GULU'!I54,'04.08 KARUMA-GULU'!I54,'06.08 KARUMA-GULU'!I54,'03.08 KARUMA-GULU-24HRS'!I54,'05.08, KARUMA-GULU-24HRS'!I54,'7.08 KARUMA-GULU'!I54)</f>
        <v>1.6458583433373348</v>
      </c>
      <c r="J54" s="49">
        <f>AVERAGE('01.08 KARUMA-GULU'!J54,'02.08 KARUMA-GULU'!J54,'04.08 KARUMA-GULU'!J54,'06.08 KARUMA-GULU'!J54,'03.08 KARUMA-GULU-24HRS'!J54,'05.08, KARUMA-GULU-24HRS'!J54,'7.08 KARUMA-GULU'!J54)</f>
        <v>0.4057623049219688</v>
      </c>
      <c r="K54" s="49">
        <f>AVERAGE('01.08 KARUMA-GULU'!K54,'02.08 KARUMA-GULU'!K54,'04.08 KARUMA-GULU'!K54,'06.08 KARUMA-GULU'!K54,'03.08 KARUMA-GULU-24HRS'!K54,'05.08, KARUMA-GULU-24HRS'!K54,'7.08 KARUMA-GULU'!K54)</f>
        <v>0</v>
      </c>
      <c r="L54" s="49">
        <f>AVERAGE('01.08 KARUMA-GULU'!L54,'02.08 KARUMA-GULU'!L54,'04.08 KARUMA-GULU'!L54,'06.08 KARUMA-GULU'!L54,'03.08 KARUMA-GULU-24HRS'!L54,'05.08, KARUMA-GULU-24HRS'!L54,'7.08 KARUMA-GULU'!L54)</f>
        <v>1.8115246098439375</v>
      </c>
      <c r="M54" s="49">
        <f>AVERAGE('01.08 KARUMA-GULU'!M54,'02.08 KARUMA-GULU'!M54,'04.08 KARUMA-GULU'!M54,'06.08 KARUMA-GULU'!M54,'03.08 KARUMA-GULU-24HRS'!M54,'05.08, KARUMA-GULU-24HRS'!M54,'7.08 KARUMA-GULU'!M54)</f>
        <v>64.55714285714285</v>
      </c>
      <c r="N54" s="49">
        <f>AVERAGE('01.08 KARUMA-GULU'!N54,'02.08 KARUMA-GULU'!N54,'04.08 KARUMA-GULU'!N54,'06.08 KARUMA-GULU'!N54,'03.08 KARUMA-GULU-24HRS'!N54,'05.08, KARUMA-GULU-24HRS'!N54,'7.08 KARUMA-GULU'!N54)</f>
        <v>0</v>
      </c>
      <c r="O54" s="15">
        <f t="shared" si="0"/>
        <v>22.481392557022801</v>
      </c>
      <c r="P54" s="15">
        <f t="shared" si="1"/>
        <v>87.038535414165651</v>
      </c>
      <c r="R54" s="8"/>
      <c r="T54"/>
    </row>
    <row r="55" spans="2:20" ht="23.1" customHeight="1" x14ac:dyDescent="0.25">
      <c r="B55" s="23" t="s">
        <v>82</v>
      </c>
      <c r="C55" s="49">
        <f>AVERAGE('01.08 KARUMA-GULU'!C55,'02.08 KARUMA-GULU'!C55,'04.08 KARUMA-GULU'!C55,'06.08 KARUMA-GULU'!C55,'03.08 KARUMA-GULU-24HRS'!C55,'05.08, KARUMA-GULU-24HRS'!C55,'7.08 KARUMA-GULU'!C55)</f>
        <v>5.8403361344537812</v>
      </c>
      <c r="D55" s="49">
        <f>AVERAGE('01.08 KARUMA-GULU'!D55,'02.08 KARUMA-GULU'!D55,'04.08 KARUMA-GULU'!D55,'06.08 KARUMA-GULU'!D55,'03.08 KARUMA-GULU-24HRS'!D55,'05.08, KARUMA-GULU-24HRS'!D55,'7.08 KARUMA-GULU'!D55)</f>
        <v>2.3829531812725091</v>
      </c>
      <c r="E55" s="49">
        <f>AVERAGE('01.08 KARUMA-GULU'!E55,'02.08 KARUMA-GULU'!E55,'04.08 KARUMA-GULU'!E55,'06.08 KARUMA-GULU'!E55,'03.08 KARUMA-GULU-24HRS'!E55,'05.08, KARUMA-GULU-24HRS'!E55,'7.08 KARUMA-GULU'!E55)</f>
        <v>5.4801920768307326</v>
      </c>
      <c r="F55" s="49">
        <f>AVERAGE('01.08 KARUMA-GULU'!F55,'02.08 KARUMA-GULU'!F55,'04.08 KARUMA-GULU'!F55,'06.08 KARUMA-GULU'!F55,'03.08 KARUMA-GULU-24HRS'!F55,'05.08, KARUMA-GULU-24HRS'!F55,'7.08 KARUMA-GULU'!F55)</f>
        <v>0.64585834333733494</v>
      </c>
      <c r="G55" s="49">
        <f>AVERAGE('01.08 KARUMA-GULU'!G55,'02.08 KARUMA-GULU'!G55,'04.08 KARUMA-GULU'!G55,'06.08 KARUMA-GULU'!G55,'03.08 KARUMA-GULU-24HRS'!G55,'05.08, KARUMA-GULU-24HRS'!G55,'7.08 KARUMA-GULU'!G55)</f>
        <v>0.42857142857142855</v>
      </c>
      <c r="H55" s="49">
        <f>AVERAGE('01.08 KARUMA-GULU'!H55,'02.08 KARUMA-GULU'!H55,'04.08 KARUMA-GULU'!H55,'06.08 KARUMA-GULU'!H55,'03.08 KARUMA-GULU-24HRS'!H55,'05.08, KARUMA-GULU-24HRS'!H55,'7.08 KARUMA-GULU'!H55)</f>
        <v>0.8571428571428571</v>
      </c>
      <c r="I55" s="49">
        <f>AVERAGE('01.08 KARUMA-GULU'!I55,'02.08 KARUMA-GULU'!I55,'04.08 KARUMA-GULU'!I55,'06.08 KARUMA-GULU'!I55,'03.08 KARUMA-GULU-24HRS'!I55,'05.08, KARUMA-GULU-24HRS'!I55,'7.08 KARUMA-GULU'!I55)</f>
        <v>2.4573829531812725</v>
      </c>
      <c r="J55" s="49">
        <f>AVERAGE('01.08 KARUMA-GULU'!J55,'02.08 KARUMA-GULU'!J55,'04.08 KARUMA-GULU'!J55,'06.08 KARUMA-GULU'!J55,'03.08 KARUMA-GULU-24HRS'!J55,'05.08, KARUMA-GULU-24HRS'!J55,'7.08 KARUMA-GULU'!J55)</f>
        <v>1.2857142857142858</v>
      </c>
      <c r="K55" s="49">
        <f>AVERAGE('01.08 KARUMA-GULU'!K55,'02.08 KARUMA-GULU'!K55,'04.08 KARUMA-GULU'!K55,'06.08 KARUMA-GULU'!K55,'03.08 KARUMA-GULU-24HRS'!K55,'05.08, KARUMA-GULU-24HRS'!K55,'7.08 KARUMA-GULU'!K55)</f>
        <v>0.2857142857142857</v>
      </c>
      <c r="L55" s="49">
        <f>AVERAGE('01.08 KARUMA-GULU'!L55,'02.08 KARUMA-GULU'!L55,'04.08 KARUMA-GULU'!L55,'06.08 KARUMA-GULU'!L55,'03.08 KARUMA-GULU-24HRS'!L55,'05.08, KARUMA-GULU-24HRS'!L55,'7.08 KARUMA-GULU'!L55)</f>
        <v>1.405762304921969</v>
      </c>
      <c r="M55" s="49">
        <f>AVERAGE('01.08 KARUMA-GULU'!M55,'02.08 KARUMA-GULU'!M55,'04.08 KARUMA-GULU'!M55,'06.08 KARUMA-GULU'!M55,'03.08 KARUMA-GULU-24HRS'!M55,'05.08, KARUMA-GULU-24HRS'!M55,'7.08 KARUMA-GULU'!M55)</f>
        <v>60.471428571428575</v>
      </c>
      <c r="N55" s="49">
        <f>AVERAGE('01.08 KARUMA-GULU'!N55,'02.08 KARUMA-GULU'!N55,'04.08 KARUMA-GULU'!N55,'06.08 KARUMA-GULU'!N55,'03.08 KARUMA-GULU-24HRS'!N55,'05.08, KARUMA-GULU-24HRS'!N55,'7.08 KARUMA-GULU'!N55)</f>
        <v>0</v>
      </c>
      <c r="O55" s="15">
        <f t="shared" si="0"/>
        <v>21.069627851140453</v>
      </c>
      <c r="P55" s="15">
        <f t="shared" si="1"/>
        <v>81.541056422569028</v>
      </c>
      <c r="R55" s="8"/>
      <c r="T55"/>
    </row>
    <row r="56" spans="2:20" ht="23.1" customHeight="1" x14ac:dyDescent="0.25">
      <c r="B56" s="23" t="s">
        <v>83</v>
      </c>
      <c r="C56" s="49">
        <f>AVERAGE('01.08 KARUMA-GULU'!C56,'02.08 KARUMA-GULU'!C56,'04.08 KARUMA-GULU'!C56,'06.08 KARUMA-GULU'!C56,'03.08 KARUMA-GULU-24HRS'!C56,'05.08, KARUMA-GULU-24HRS'!C56,'7.08 KARUMA-GULU'!C56)</f>
        <v>6.1260504201680677</v>
      </c>
      <c r="D56" s="49">
        <f>AVERAGE('01.08 KARUMA-GULU'!D56,'02.08 KARUMA-GULU'!D56,'04.08 KARUMA-GULU'!D56,'06.08 KARUMA-GULU'!D56,'03.08 KARUMA-GULU-24HRS'!D56,'05.08, KARUMA-GULU-24HRS'!D56,'7.08 KARUMA-GULU'!D56)</f>
        <v>3.0744297719087634</v>
      </c>
      <c r="E56" s="49">
        <f>AVERAGE('01.08 KARUMA-GULU'!E56,'02.08 KARUMA-GULU'!E56,'04.08 KARUMA-GULU'!E56,'06.08 KARUMA-GULU'!E56,'03.08 KARUMA-GULU-24HRS'!E56,'05.08, KARUMA-GULU-24HRS'!E56,'7.08 KARUMA-GULU'!E56)</f>
        <v>6.4117647058823533</v>
      </c>
      <c r="F56" s="49">
        <f>AVERAGE('01.08 KARUMA-GULU'!F56,'02.08 KARUMA-GULU'!F56,'04.08 KARUMA-GULU'!F56,'06.08 KARUMA-GULU'!F56,'03.08 KARUMA-GULU-24HRS'!F56,'05.08, KARUMA-GULU-24HRS'!F56,'7.08 KARUMA-GULU'!F56)</f>
        <v>2.0972388955582231</v>
      </c>
      <c r="G56" s="49">
        <f>AVERAGE('01.08 KARUMA-GULU'!G56,'02.08 KARUMA-GULU'!G56,'04.08 KARUMA-GULU'!G56,'06.08 KARUMA-GULU'!G56,'03.08 KARUMA-GULU-24HRS'!G56,'05.08, KARUMA-GULU-24HRS'!G56,'7.08 KARUMA-GULU'!G56)</f>
        <v>0.42857142857142855</v>
      </c>
      <c r="H56" s="49">
        <f>AVERAGE('01.08 KARUMA-GULU'!H56,'02.08 KARUMA-GULU'!H56,'04.08 KARUMA-GULU'!H56,'06.08 KARUMA-GULU'!H56,'03.08 KARUMA-GULU-24HRS'!H56,'05.08, KARUMA-GULU-24HRS'!H56,'7.08 KARUMA-GULU'!H56)</f>
        <v>1</v>
      </c>
      <c r="I56" s="49">
        <f>AVERAGE('01.08 KARUMA-GULU'!I56,'02.08 KARUMA-GULU'!I56,'04.08 KARUMA-GULU'!I56,'06.08 KARUMA-GULU'!I56,'03.08 KARUMA-GULU-24HRS'!I56,'05.08, KARUMA-GULU-24HRS'!I56,'7.08 KARUMA-GULU'!I56)</f>
        <v>2.4801920768307322</v>
      </c>
      <c r="J56" s="49">
        <f>AVERAGE('01.08 KARUMA-GULU'!J56,'02.08 KARUMA-GULU'!J56,'04.08 KARUMA-GULU'!J56,'06.08 KARUMA-GULU'!J56,'03.08 KARUMA-GULU-24HRS'!J56,'05.08, KARUMA-GULU-24HRS'!J56,'7.08 KARUMA-GULU'!J56)</f>
        <v>0.2857142857142857</v>
      </c>
      <c r="K56" s="49">
        <f>AVERAGE('01.08 KARUMA-GULU'!K56,'02.08 KARUMA-GULU'!K56,'04.08 KARUMA-GULU'!K56,'06.08 KARUMA-GULU'!K56,'03.08 KARUMA-GULU-24HRS'!K56,'05.08, KARUMA-GULU-24HRS'!K56,'7.08 KARUMA-GULU'!K56)</f>
        <v>0</v>
      </c>
      <c r="L56" s="49">
        <f>AVERAGE('01.08 KARUMA-GULU'!L56,'02.08 KARUMA-GULU'!L56,'04.08 KARUMA-GULU'!L56,'06.08 KARUMA-GULU'!L56,'03.08 KARUMA-GULU-24HRS'!L56,'05.08, KARUMA-GULU-24HRS'!L56,'7.08 KARUMA-GULU'!L56)</f>
        <v>1.9543817527010803</v>
      </c>
      <c r="M56" s="49">
        <f>AVERAGE('01.08 KARUMA-GULU'!M56,'02.08 KARUMA-GULU'!M56,'04.08 KARUMA-GULU'!M56,'06.08 KARUMA-GULU'!M56,'03.08 KARUMA-GULU-24HRS'!M56,'05.08, KARUMA-GULU-24HRS'!M56,'7.08 KARUMA-GULU'!M56)</f>
        <v>61</v>
      </c>
      <c r="N56" s="49">
        <f>AVERAGE('01.08 KARUMA-GULU'!N56,'02.08 KARUMA-GULU'!N56,'04.08 KARUMA-GULU'!N56,'06.08 KARUMA-GULU'!N56,'03.08 KARUMA-GULU-24HRS'!N56,'05.08, KARUMA-GULU-24HRS'!N56,'7.08 KARUMA-GULU'!N56)</f>
        <v>0</v>
      </c>
      <c r="O56" s="15">
        <f t="shared" si="0"/>
        <v>23.858343337334933</v>
      </c>
      <c r="P56" s="15">
        <f t="shared" si="1"/>
        <v>84.858343337334929</v>
      </c>
      <c r="R56" s="8"/>
      <c r="T56"/>
    </row>
    <row r="57" spans="2:20" ht="23.1" customHeight="1" x14ac:dyDescent="0.25">
      <c r="B57" s="23" t="s">
        <v>84</v>
      </c>
      <c r="C57" s="49">
        <f>AVERAGE('01.08 KARUMA-GULU'!C57,'02.08 KARUMA-GULU'!C57,'04.08 KARUMA-GULU'!C57,'06.08 KARUMA-GULU'!C57,'03.08 KARUMA-GULU-24HRS'!C57,'05.08, KARUMA-GULU-24HRS'!C57,'7.08 KARUMA-GULU'!C57)</f>
        <v>9.097238895558224</v>
      </c>
      <c r="D57" s="49">
        <f>AVERAGE('01.08 KARUMA-GULU'!D57,'02.08 KARUMA-GULU'!D57,'04.08 KARUMA-GULU'!D57,'06.08 KARUMA-GULU'!D57,'03.08 KARUMA-GULU-24HRS'!D57,'05.08, KARUMA-GULU-24HRS'!D57,'7.08 KARUMA-GULU'!D57)</f>
        <v>2.2629051620648259</v>
      </c>
      <c r="E57" s="49">
        <f>AVERAGE('01.08 KARUMA-GULU'!E57,'02.08 KARUMA-GULU'!E57,'04.08 KARUMA-GULU'!E57,'06.08 KARUMA-GULU'!E57,'03.08 KARUMA-GULU-24HRS'!E57,'05.08, KARUMA-GULU-24HRS'!E57,'7.08 KARUMA-GULU'!E57)</f>
        <v>4.7887154861944774</v>
      </c>
      <c r="F57" s="49">
        <f>AVERAGE('01.08 KARUMA-GULU'!F57,'02.08 KARUMA-GULU'!F57,'04.08 KARUMA-GULU'!F57,'06.08 KARUMA-GULU'!F57,'03.08 KARUMA-GULU-24HRS'!F57,'05.08, KARUMA-GULU-24HRS'!F57,'7.08 KARUMA-GULU'!F57)</f>
        <v>0.50300120048019203</v>
      </c>
      <c r="G57" s="49">
        <f>AVERAGE('01.08 KARUMA-GULU'!G57,'02.08 KARUMA-GULU'!G57,'04.08 KARUMA-GULU'!G57,'06.08 KARUMA-GULU'!G57,'03.08 KARUMA-GULU-24HRS'!G57,'05.08, KARUMA-GULU-24HRS'!G57,'7.08 KARUMA-GULU'!G57)</f>
        <v>0.14285714285714285</v>
      </c>
      <c r="H57" s="49">
        <f>AVERAGE('01.08 KARUMA-GULU'!H57,'02.08 KARUMA-GULU'!H57,'04.08 KARUMA-GULU'!H57,'06.08 KARUMA-GULU'!H57,'03.08 KARUMA-GULU-24HRS'!H57,'05.08, KARUMA-GULU-24HRS'!H57,'7.08 KARUMA-GULU'!H57)</f>
        <v>0.26290516206482595</v>
      </c>
      <c r="I57" s="49">
        <f>AVERAGE('01.08 KARUMA-GULU'!I57,'02.08 KARUMA-GULU'!I57,'04.08 KARUMA-GULU'!I57,'06.08 KARUMA-GULU'!I57,'03.08 KARUMA-GULU-24HRS'!I57,'05.08, KARUMA-GULU-24HRS'!I57,'7.08 KARUMA-GULU'!I57)</f>
        <v>1.5258103241296517</v>
      </c>
      <c r="J57" s="49">
        <f>AVERAGE('01.08 KARUMA-GULU'!J57,'02.08 KARUMA-GULU'!J57,'04.08 KARUMA-GULU'!J57,'06.08 KARUMA-GULU'!J57,'03.08 KARUMA-GULU-24HRS'!J57,'05.08, KARUMA-GULU-24HRS'!J57,'7.08 KARUMA-GULU'!J57)</f>
        <v>0.8571428571428571</v>
      </c>
      <c r="K57" s="49">
        <f>AVERAGE('01.08 KARUMA-GULU'!K57,'02.08 KARUMA-GULU'!K57,'04.08 KARUMA-GULU'!K57,'06.08 KARUMA-GULU'!K57,'03.08 KARUMA-GULU-24HRS'!K57,'05.08, KARUMA-GULU-24HRS'!K57,'7.08 KARUMA-GULU'!K57)</f>
        <v>0.2857142857142857</v>
      </c>
      <c r="L57" s="49">
        <f>AVERAGE('01.08 KARUMA-GULU'!L57,'02.08 KARUMA-GULU'!L57,'04.08 KARUMA-GULU'!L57,'06.08 KARUMA-GULU'!L57,'03.08 KARUMA-GULU-24HRS'!L57,'05.08, KARUMA-GULU-24HRS'!L57,'7.08 KARUMA-GULU'!L57)</f>
        <v>1.8343337334933973</v>
      </c>
      <c r="M57" s="49">
        <f>AVERAGE('01.08 KARUMA-GULU'!M57,'02.08 KARUMA-GULU'!M57,'04.08 KARUMA-GULU'!M57,'06.08 KARUMA-GULU'!M57,'03.08 KARUMA-GULU-24HRS'!M57,'05.08, KARUMA-GULU-24HRS'!M57,'7.08 KARUMA-GULU'!M57)</f>
        <v>58.142857142857146</v>
      </c>
      <c r="N57" s="49">
        <f>AVERAGE('01.08 KARUMA-GULU'!N57,'02.08 KARUMA-GULU'!N57,'04.08 KARUMA-GULU'!N57,'06.08 KARUMA-GULU'!N57,'03.08 KARUMA-GULU-24HRS'!N57,'05.08, KARUMA-GULU-24HRS'!N57,'7.08 KARUMA-GULU'!N57)</f>
        <v>0</v>
      </c>
      <c r="O57" s="15">
        <f t="shared" si="0"/>
        <v>21.560624249699877</v>
      </c>
      <c r="P57" s="15">
        <f t="shared" si="1"/>
        <v>79.703481392557023</v>
      </c>
      <c r="R57" s="8"/>
      <c r="T57"/>
    </row>
    <row r="58" spans="2:20" ht="23.1" customHeight="1" x14ac:dyDescent="0.25">
      <c r="B58" s="23" t="s">
        <v>99</v>
      </c>
      <c r="C58" s="49">
        <f>AVERAGE('03.08 KARUMA-GULU-24HRS'!C58,'05.08, KARUMA-GULU-24HRS'!C58)</f>
        <v>3.6806722689075633</v>
      </c>
      <c r="D58" s="49">
        <f>AVERAGE('03.08 KARUMA-GULU-24HRS'!D58,'05.08, KARUMA-GULU-24HRS'!D58)</f>
        <v>1.4201680672268908</v>
      </c>
      <c r="E58" s="49">
        <f>AVERAGE('03.08 KARUMA-GULU-24HRS'!E58,'05.08, KARUMA-GULU-24HRS'!E58)</f>
        <v>3.3403361344537816</v>
      </c>
      <c r="F58" s="49">
        <f>AVERAGE('03.08 KARUMA-GULU-24HRS'!F58,'05.08, KARUMA-GULU-24HRS'!F58)</f>
        <v>2</v>
      </c>
      <c r="G58" s="49">
        <f>AVERAGE('03.08 KARUMA-GULU-24HRS'!G58,'05.08, KARUMA-GULU-24HRS'!G58)</f>
        <v>0.5</v>
      </c>
      <c r="H58" s="49">
        <f>AVERAGE('03.08 KARUMA-GULU-24HRS'!H58,'05.08, KARUMA-GULU-24HRS'!H58)</f>
        <v>1.9201680672268908</v>
      </c>
      <c r="I58" s="49">
        <f>AVERAGE('03.08 KARUMA-GULU-24HRS'!I58,'05.08, KARUMA-GULU-24HRS'!I58)</f>
        <v>3.2605042016806722</v>
      </c>
      <c r="J58" s="49">
        <f>AVERAGE('03.08 KARUMA-GULU-24HRS'!J58,'05.08, KARUMA-GULU-24HRS'!J58)</f>
        <v>0.5</v>
      </c>
      <c r="K58" s="49">
        <f>AVERAGE('03.08 KARUMA-GULU-24HRS'!K58,'05.08, KARUMA-GULU-24HRS'!K58)</f>
        <v>0.5</v>
      </c>
      <c r="L58" s="49">
        <f>AVERAGE('03.08 KARUMA-GULU-24HRS'!L58,'05.08, KARUMA-GULU-24HRS'!L58)</f>
        <v>2.3403361344537816</v>
      </c>
      <c r="M58" s="49">
        <f>AVERAGE('03.08 KARUMA-GULU-24HRS'!M58,'05.08, KARUMA-GULU-24HRS'!M58)</f>
        <v>55</v>
      </c>
      <c r="N58" s="49">
        <f>AVERAGE('03.08 KARUMA-GULU-24HRS'!N58,'05.08, KARUMA-GULU-24HRS'!N58)</f>
        <v>0</v>
      </c>
      <c r="O58" s="15">
        <f t="shared" si="0"/>
        <v>19.462184873949582</v>
      </c>
      <c r="P58" s="15">
        <f t="shared" si="1"/>
        <v>74.462184873949582</v>
      </c>
      <c r="R58" s="8"/>
      <c r="T58"/>
    </row>
    <row r="59" spans="2:20" ht="23.1" customHeight="1" x14ac:dyDescent="0.25">
      <c r="B59" s="23" t="s">
        <v>100</v>
      </c>
      <c r="C59" s="49">
        <f>AVERAGE('03.08 KARUMA-GULU-24HRS'!C59,'05.08, KARUMA-GULU-24HRS'!C59)</f>
        <v>2.7605042016806722</v>
      </c>
      <c r="D59" s="49">
        <f>AVERAGE('03.08 KARUMA-GULU-24HRS'!D59,'05.08, KARUMA-GULU-24HRS'!D59)</f>
        <v>1</v>
      </c>
      <c r="E59" s="49">
        <f>AVERAGE('03.08 KARUMA-GULU-24HRS'!E59,'05.08, KARUMA-GULU-24HRS'!E59)</f>
        <v>2.5</v>
      </c>
      <c r="F59" s="49">
        <f>AVERAGE('03.08 KARUMA-GULU-24HRS'!F59,'05.08, KARUMA-GULU-24HRS'!F59)</f>
        <v>2.2605042016806722</v>
      </c>
      <c r="G59" s="49">
        <f>AVERAGE('03.08 KARUMA-GULU-24HRS'!G59,'05.08, KARUMA-GULU-24HRS'!G59)</f>
        <v>0</v>
      </c>
      <c r="H59" s="49">
        <f>AVERAGE('03.08 KARUMA-GULU-24HRS'!H59,'05.08, KARUMA-GULU-24HRS'!H59)</f>
        <v>0</v>
      </c>
      <c r="I59" s="49">
        <f>AVERAGE('03.08 KARUMA-GULU-24HRS'!I59,'05.08, KARUMA-GULU-24HRS'!I59)</f>
        <v>0.42016806722689076</v>
      </c>
      <c r="J59" s="49">
        <f>AVERAGE('03.08 KARUMA-GULU-24HRS'!J59,'05.08, KARUMA-GULU-24HRS'!J59)</f>
        <v>0.5</v>
      </c>
      <c r="K59" s="49">
        <f>AVERAGE('03.08 KARUMA-GULU-24HRS'!K59,'05.08, KARUMA-GULU-24HRS'!K59)</f>
        <v>0.5</v>
      </c>
      <c r="L59" s="49">
        <f>AVERAGE('03.08 KARUMA-GULU-24HRS'!L59,'05.08, KARUMA-GULU-24HRS'!L59)</f>
        <v>2</v>
      </c>
      <c r="M59" s="49">
        <f>AVERAGE('03.08 KARUMA-GULU-24HRS'!M59,'05.08, KARUMA-GULU-24HRS'!M59)</f>
        <v>57</v>
      </c>
      <c r="N59" s="49">
        <f>AVERAGE('03.08 KARUMA-GULU-24HRS'!N59,'05.08, KARUMA-GULU-24HRS'!N59)</f>
        <v>0</v>
      </c>
      <c r="O59" s="15">
        <f t="shared" si="0"/>
        <v>11.941176470588236</v>
      </c>
      <c r="P59" s="15">
        <f t="shared" si="1"/>
        <v>68.941176470588232</v>
      </c>
      <c r="R59" s="8"/>
      <c r="T59"/>
    </row>
    <row r="60" spans="2:20" ht="23.1" customHeight="1" x14ac:dyDescent="0.25">
      <c r="B60" s="23" t="s">
        <v>101</v>
      </c>
      <c r="C60" s="49">
        <f>AVERAGE('03.08 KARUMA-GULU-24HRS'!C60,'05.08, KARUMA-GULU-24HRS'!C60)</f>
        <v>2.9411764705882355</v>
      </c>
      <c r="D60" s="49">
        <f>AVERAGE('03.08 KARUMA-GULU-24HRS'!D60,'05.08, KARUMA-GULU-24HRS'!D60)</f>
        <v>0.92016806722689082</v>
      </c>
      <c r="E60" s="49">
        <f>AVERAGE('03.08 KARUMA-GULU-24HRS'!E60,'05.08, KARUMA-GULU-24HRS'!E60)</f>
        <v>1.8403361344537816</v>
      </c>
      <c r="F60" s="49">
        <f>AVERAGE('03.08 KARUMA-GULU-24HRS'!F60,'05.08, KARUMA-GULU-24HRS'!F60)</f>
        <v>0</v>
      </c>
      <c r="G60" s="49">
        <f>AVERAGE('03.08 KARUMA-GULU-24HRS'!G60,'05.08, KARUMA-GULU-24HRS'!G60)</f>
        <v>0</v>
      </c>
      <c r="H60" s="49">
        <f>AVERAGE('03.08 KARUMA-GULU-24HRS'!H60,'05.08, KARUMA-GULU-24HRS'!H60)</f>
        <v>0.5</v>
      </c>
      <c r="I60" s="49">
        <f>AVERAGE('03.08 KARUMA-GULU-24HRS'!I60,'05.08, KARUMA-GULU-24HRS'!I60)</f>
        <v>1.2605042016806722</v>
      </c>
      <c r="J60" s="49">
        <f>AVERAGE('03.08 KARUMA-GULU-24HRS'!J60,'05.08, KARUMA-GULU-24HRS'!J60)</f>
        <v>0.5</v>
      </c>
      <c r="K60" s="49">
        <f>AVERAGE('03.08 KARUMA-GULU-24HRS'!K60,'05.08, KARUMA-GULU-24HRS'!K60)</f>
        <v>0</v>
      </c>
      <c r="L60" s="49">
        <f>AVERAGE('03.08 KARUMA-GULU-24HRS'!L60,'05.08, KARUMA-GULU-24HRS'!L60)</f>
        <v>0.92016806722689082</v>
      </c>
      <c r="M60" s="49">
        <f>AVERAGE('03.08 KARUMA-GULU-24HRS'!M60,'05.08, KARUMA-GULU-24HRS'!M60)</f>
        <v>42</v>
      </c>
      <c r="N60" s="49">
        <f>AVERAGE('03.08 KARUMA-GULU-24HRS'!N60,'05.08, KARUMA-GULU-24HRS'!N60)</f>
        <v>0</v>
      </c>
      <c r="O60" s="15">
        <f t="shared" si="0"/>
        <v>8.882352941176471</v>
      </c>
      <c r="P60" s="15">
        <f t="shared" si="1"/>
        <v>50.882352941176471</v>
      </c>
      <c r="R60" s="8"/>
      <c r="T60"/>
    </row>
    <row r="61" spans="2:20" ht="23.1" customHeight="1" x14ac:dyDescent="0.25">
      <c r="B61" s="23" t="s">
        <v>102</v>
      </c>
      <c r="C61" s="49">
        <f>AVERAGE('03.08 KARUMA-GULU-24HRS'!C61,'05.08, KARUMA-GULU-24HRS'!C61)</f>
        <v>2.6008403361344539</v>
      </c>
      <c r="D61" s="49">
        <f>AVERAGE('03.08 KARUMA-GULU-24HRS'!D61,'05.08, KARUMA-GULU-24HRS'!D61)</f>
        <v>1.3403361344537816</v>
      </c>
      <c r="E61" s="49">
        <f>AVERAGE('03.08 KARUMA-GULU-24HRS'!E61,'05.08, KARUMA-GULU-24HRS'!E61)</f>
        <v>2.6806722689075633</v>
      </c>
      <c r="F61" s="49">
        <f>AVERAGE('03.08 KARUMA-GULU-24HRS'!F61,'05.08, KARUMA-GULU-24HRS'!F61)</f>
        <v>0.5</v>
      </c>
      <c r="G61" s="49">
        <f>AVERAGE('03.08 KARUMA-GULU-24HRS'!G61,'05.08, KARUMA-GULU-24HRS'!G61)</f>
        <v>0</v>
      </c>
      <c r="H61" s="49">
        <f>AVERAGE('03.08 KARUMA-GULU-24HRS'!H61,'05.08, KARUMA-GULU-24HRS'!H61)</f>
        <v>0</v>
      </c>
      <c r="I61" s="49">
        <f>AVERAGE('03.08 KARUMA-GULU-24HRS'!I61,'05.08, KARUMA-GULU-24HRS'!I61)</f>
        <v>0.84033613445378152</v>
      </c>
      <c r="J61" s="49">
        <f>AVERAGE('03.08 KARUMA-GULU-24HRS'!J61,'05.08, KARUMA-GULU-24HRS'!J61)</f>
        <v>1.5</v>
      </c>
      <c r="K61" s="49">
        <f>AVERAGE('03.08 KARUMA-GULU-24HRS'!K61,'05.08, KARUMA-GULU-24HRS'!K61)</f>
        <v>0</v>
      </c>
      <c r="L61" s="49">
        <f>AVERAGE('03.08 KARUMA-GULU-24HRS'!L61,'05.08, KARUMA-GULU-24HRS'!L61)</f>
        <v>1.4201680672268908</v>
      </c>
      <c r="M61" s="49">
        <f>AVERAGE('03.08 KARUMA-GULU-24HRS'!M61,'05.08, KARUMA-GULU-24HRS'!M61)</f>
        <v>41</v>
      </c>
      <c r="N61" s="49">
        <f>AVERAGE('03.08 KARUMA-GULU-24HRS'!N61,'05.08, KARUMA-GULU-24HRS'!N61)</f>
        <v>0</v>
      </c>
      <c r="O61" s="15">
        <f t="shared" si="0"/>
        <v>10.882352941176471</v>
      </c>
      <c r="P61" s="15">
        <f t="shared" si="1"/>
        <v>51.882352941176471</v>
      </c>
      <c r="R61" s="8"/>
      <c r="T61"/>
    </row>
    <row r="62" spans="2:20" ht="23.1" customHeight="1" x14ac:dyDescent="0.25">
      <c r="B62" s="23" t="s">
        <v>107</v>
      </c>
      <c r="C62" s="49">
        <f>AVERAGE('03.08 KARUMA-GULU-24HRS'!C62,'05.08, KARUMA-GULU-24HRS'!C62)</f>
        <v>5.6218487394957988</v>
      </c>
      <c r="D62" s="49">
        <f>AVERAGE('03.08 KARUMA-GULU-24HRS'!D62,'05.08, KARUMA-GULU-24HRS'!D62)</f>
        <v>0.92016806722689082</v>
      </c>
      <c r="E62" s="49">
        <f>AVERAGE('03.08 KARUMA-GULU-24HRS'!E62,'05.08, KARUMA-GULU-24HRS'!E62)</f>
        <v>2.7605042016806722</v>
      </c>
      <c r="F62" s="49">
        <f>AVERAGE('03.08 KARUMA-GULU-24HRS'!F62,'05.08, KARUMA-GULU-24HRS'!F62)</f>
        <v>2.5</v>
      </c>
      <c r="G62" s="49">
        <f>AVERAGE('03.08 KARUMA-GULU-24HRS'!G62,'05.08, KARUMA-GULU-24HRS'!G62)</f>
        <v>0</v>
      </c>
      <c r="H62" s="49">
        <f>AVERAGE('03.08 KARUMA-GULU-24HRS'!H62,'05.08, KARUMA-GULU-24HRS'!H62)</f>
        <v>0</v>
      </c>
      <c r="I62" s="49">
        <f>AVERAGE('03.08 KARUMA-GULU-24HRS'!I62,'05.08, KARUMA-GULU-24HRS'!I62)</f>
        <v>0.42016806722689076</v>
      </c>
      <c r="J62" s="49">
        <f>AVERAGE('03.08 KARUMA-GULU-24HRS'!J62,'05.08, KARUMA-GULU-24HRS'!J62)</f>
        <v>0</v>
      </c>
      <c r="K62" s="49">
        <f>AVERAGE('03.08 KARUMA-GULU-24HRS'!K62,'05.08, KARUMA-GULU-24HRS'!K62)</f>
        <v>0</v>
      </c>
      <c r="L62" s="49">
        <f>AVERAGE('03.08 KARUMA-GULU-24HRS'!L62,'05.08, KARUMA-GULU-24HRS'!L62)</f>
        <v>0.92016806722689082</v>
      </c>
      <c r="M62" s="49">
        <f>AVERAGE('03.08 KARUMA-GULU-24HRS'!M62,'05.08, KARUMA-GULU-24HRS'!M62)</f>
        <v>45</v>
      </c>
      <c r="N62" s="49">
        <f>AVERAGE('03.08 KARUMA-GULU-24HRS'!N62,'05.08, KARUMA-GULU-24HRS'!N62)</f>
        <v>0</v>
      </c>
      <c r="O62" s="15">
        <f t="shared" si="0"/>
        <v>13.142857142857144</v>
      </c>
      <c r="P62" s="15">
        <f t="shared" si="1"/>
        <v>58.142857142857146</v>
      </c>
      <c r="R62" s="8"/>
      <c r="T62"/>
    </row>
    <row r="63" spans="2:20" ht="23.1" customHeight="1" x14ac:dyDescent="0.25">
      <c r="B63" s="23" t="s">
        <v>108</v>
      </c>
      <c r="C63" s="49">
        <f>AVERAGE('03.08 KARUMA-GULU-24HRS'!C63,'05.08, KARUMA-GULU-24HRS'!C63)</f>
        <v>6.5420168067226889</v>
      </c>
      <c r="D63" s="49">
        <f>AVERAGE('03.08 KARUMA-GULU-24HRS'!D63,'05.08, KARUMA-GULU-24HRS'!D63)</f>
        <v>2.2605042016806722</v>
      </c>
      <c r="E63" s="49">
        <f>AVERAGE('03.08 KARUMA-GULU-24HRS'!E63,'05.08, KARUMA-GULU-24HRS'!E63)</f>
        <v>5.0210084033613445</v>
      </c>
      <c r="F63" s="49">
        <f>AVERAGE('03.08 KARUMA-GULU-24HRS'!F63,'05.08, KARUMA-GULU-24HRS'!F63)</f>
        <v>0</v>
      </c>
      <c r="G63" s="49">
        <f>AVERAGE('03.08 KARUMA-GULU-24HRS'!G63,'05.08, KARUMA-GULU-24HRS'!G63)</f>
        <v>0</v>
      </c>
      <c r="H63" s="49">
        <f>AVERAGE('03.08 KARUMA-GULU-24HRS'!H63,'05.08, KARUMA-GULU-24HRS'!H63)</f>
        <v>0</v>
      </c>
      <c r="I63" s="49">
        <f>AVERAGE('03.08 KARUMA-GULU-24HRS'!I63,'05.08, KARUMA-GULU-24HRS'!I63)</f>
        <v>0.42016806722689076</v>
      </c>
      <c r="J63" s="49">
        <f>AVERAGE('03.08 KARUMA-GULU-24HRS'!J63,'05.08, KARUMA-GULU-24HRS'!J63)</f>
        <v>0.5</v>
      </c>
      <c r="K63" s="49">
        <f>AVERAGE('03.08 KARUMA-GULU-24HRS'!K63,'05.08, KARUMA-GULU-24HRS'!K63)</f>
        <v>0</v>
      </c>
      <c r="L63" s="49">
        <f>AVERAGE('03.08 KARUMA-GULU-24HRS'!L63,'05.08, KARUMA-GULU-24HRS'!L63)</f>
        <v>2.8403361344537816</v>
      </c>
      <c r="M63" s="49">
        <f>AVERAGE('03.08 KARUMA-GULU-24HRS'!M63,'05.08, KARUMA-GULU-24HRS'!M63)</f>
        <v>43</v>
      </c>
      <c r="N63" s="49">
        <f>AVERAGE('03.08 KARUMA-GULU-24HRS'!N63,'05.08, KARUMA-GULU-24HRS'!N63)</f>
        <v>0</v>
      </c>
      <c r="O63" s="15">
        <f t="shared" si="0"/>
        <v>17.584033613445378</v>
      </c>
      <c r="P63" s="15">
        <f t="shared" si="1"/>
        <v>60.584033613445378</v>
      </c>
      <c r="R63" s="8"/>
      <c r="T63"/>
    </row>
    <row r="64" spans="2:20" ht="23.1" customHeight="1" x14ac:dyDescent="0.25">
      <c r="B64" s="23" t="s">
        <v>109</v>
      </c>
      <c r="C64" s="49">
        <f>AVERAGE('03.08 KARUMA-GULU-24HRS'!C64,'05.08, KARUMA-GULU-24HRS'!C64)</f>
        <v>10.063025210084035</v>
      </c>
      <c r="D64" s="49">
        <f>AVERAGE('03.08 KARUMA-GULU-24HRS'!D64,'05.08, KARUMA-GULU-24HRS'!D64)</f>
        <v>0.5</v>
      </c>
      <c r="E64" s="49">
        <f>AVERAGE('03.08 KARUMA-GULU-24HRS'!E64,'05.08, KARUMA-GULU-24HRS'!E64)</f>
        <v>1.9201680672268908</v>
      </c>
      <c r="F64" s="49">
        <f>AVERAGE('03.08 KARUMA-GULU-24HRS'!F64,'05.08, KARUMA-GULU-24HRS'!F64)</f>
        <v>1</v>
      </c>
      <c r="G64" s="49">
        <f>AVERAGE('03.08 KARUMA-GULU-24HRS'!G64,'05.08, KARUMA-GULU-24HRS'!G64)</f>
        <v>0.5</v>
      </c>
      <c r="H64" s="49">
        <f>AVERAGE('03.08 KARUMA-GULU-24HRS'!H64,'05.08, KARUMA-GULU-24HRS'!H64)</f>
        <v>0</v>
      </c>
      <c r="I64" s="49">
        <f>AVERAGE('03.08 KARUMA-GULU-24HRS'!I64,'05.08, KARUMA-GULU-24HRS'!I64)</f>
        <v>0.42016806722689076</v>
      </c>
      <c r="J64" s="49">
        <f>AVERAGE('03.08 KARUMA-GULU-24HRS'!J64,'05.08, KARUMA-GULU-24HRS'!J64)</f>
        <v>0</v>
      </c>
      <c r="K64" s="49">
        <f>AVERAGE('03.08 KARUMA-GULU-24HRS'!K64,'05.08, KARUMA-GULU-24HRS'!K64)</f>
        <v>0</v>
      </c>
      <c r="L64" s="49">
        <f>AVERAGE('03.08 KARUMA-GULU-24HRS'!L64,'05.08, KARUMA-GULU-24HRS'!L64)</f>
        <v>1.7605042016806722</v>
      </c>
      <c r="M64" s="49">
        <f>AVERAGE('03.08 KARUMA-GULU-24HRS'!M64,'05.08, KARUMA-GULU-24HRS'!M64)</f>
        <v>41</v>
      </c>
      <c r="N64" s="49">
        <f>AVERAGE('03.08 KARUMA-GULU-24HRS'!N64,'05.08, KARUMA-GULU-24HRS'!N64)</f>
        <v>0</v>
      </c>
      <c r="O64" s="15">
        <f t="shared" si="0"/>
        <v>16.163865546218489</v>
      </c>
      <c r="P64" s="15">
        <f t="shared" si="1"/>
        <v>57.163865546218489</v>
      </c>
      <c r="R64" s="8"/>
      <c r="T64"/>
    </row>
    <row r="65" spans="2:20" ht="23.1" customHeight="1" x14ac:dyDescent="0.25">
      <c r="B65" s="23" t="s">
        <v>158</v>
      </c>
      <c r="C65" s="49">
        <f>AVERAGE('03.08 KARUMA-GULU-24HRS'!C65,'05.08, KARUMA-GULU-24HRS'!C65)</f>
        <v>3.1806722689075633</v>
      </c>
      <c r="D65" s="49">
        <f>AVERAGE('03.08 KARUMA-GULU-24HRS'!D65,'05.08, KARUMA-GULU-24HRS'!D65)</f>
        <v>1.4201680672268908</v>
      </c>
      <c r="E65" s="49">
        <f>AVERAGE('03.08 KARUMA-GULU-24HRS'!E65,'05.08, KARUMA-GULU-24HRS'!E65)</f>
        <v>3.2605042016806722</v>
      </c>
      <c r="F65" s="49">
        <f>AVERAGE('03.08 KARUMA-GULU-24HRS'!F65,'05.08, KARUMA-GULU-24HRS'!F65)</f>
        <v>1.7605042016806722</v>
      </c>
      <c r="G65" s="49">
        <f>AVERAGE('03.08 KARUMA-GULU-24HRS'!G65,'05.08, KARUMA-GULU-24HRS'!G65)</f>
        <v>0.42016806722689076</v>
      </c>
      <c r="H65" s="49">
        <f>AVERAGE('03.08 KARUMA-GULU-24HRS'!H65,'05.08, KARUMA-GULU-24HRS'!H65)</f>
        <v>0</v>
      </c>
      <c r="I65" s="49">
        <f>AVERAGE('03.08 KARUMA-GULU-24HRS'!I65,'05.08, KARUMA-GULU-24HRS'!I65)</f>
        <v>1.7605042016806722</v>
      </c>
      <c r="J65" s="49">
        <f>AVERAGE('03.08 KARUMA-GULU-24HRS'!J65,'05.08, KARUMA-GULU-24HRS'!J65)</f>
        <v>1.8403361344537816</v>
      </c>
      <c r="K65" s="49">
        <f>AVERAGE('03.08 KARUMA-GULU-24HRS'!K65,'05.08, KARUMA-GULU-24HRS'!K65)</f>
        <v>0.42016806722689076</v>
      </c>
      <c r="L65" s="49">
        <f>AVERAGE('03.08 KARUMA-GULU-24HRS'!L65,'05.08, KARUMA-GULU-24HRS'!L65)</f>
        <v>3.1806722689075633</v>
      </c>
      <c r="M65" s="49">
        <f>AVERAGE('03.08 KARUMA-GULU-24HRS'!M65,'05.08, KARUMA-GULU-24HRS'!M65)</f>
        <v>42</v>
      </c>
      <c r="N65" s="49">
        <f>AVERAGE('03.08 KARUMA-GULU-24HRS'!N65,'05.08, KARUMA-GULU-24HRS'!N65)</f>
        <v>0</v>
      </c>
      <c r="O65" s="15">
        <f t="shared" si="0"/>
        <v>17.243697478991599</v>
      </c>
      <c r="P65" s="15">
        <f t="shared" si="1"/>
        <v>59.243697478991599</v>
      </c>
      <c r="R65" s="8"/>
      <c r="T65"/>
    </row>
    <row r="66" spans="2:20" ht="23.1" customHeight="1" x14ac:dyDescent="0.25">
      <c r="B66" s="23" t="s">
        <v>103</v>
      </c>
      <c r="C66" s="49">
        <f>AVERAGE('03.08 KARUMA-GULU-24HRS'!C66,'05.08, KARUMA-GULU-24HRS'!C66)</f>
        <v>5.7016806722689077</v>
      </c>
      <c r="D66" s="49">
        <f>AVERAGE('03.08 KARUMA-GULU-24HRS'!D66,'05.08, KARUMA-GULU-24HRS'!D66)</f>
        <v>1.8403361344537816</v>
      </c>
      <c r="E66" s="49">
        <f>AVERAGE('03.08 KARUMA-GULU-24HRS'!E66,'05.08, KARUMA-GULU-24HRS'!E66)</f>
        <v>3.6806722689075633</v>
      </c>
      <c r="F66" s="49">
        <f>AVERAGE('03.08 KARUMA-GULU-24HRS'!F66,'05.08, KARUMA-GULU-24HRS'!F66)</f>
        <v>0.5</v>
      </c>
      <c r="G66" s="49">
        <f>AVERAGE('03.08 KARUMA-GULU-24HRS'!G66,'05.08, KARUMA-GULU-24HRS'!G66)</f>
        <v>0</v>
      </c>
      <c r="H66" s="49">
        <f>AVERAGE('03.08 KARUMA-GULU-24HRS'!H66,'05.08, KARUMA-GULU-24HRS'!H66)</f>
        <v>0</v>
      </c>
      <c r="I66" s="49">
        <f>AVERAGE('03.08 KARUMA-GULU-24HRS'!I66,'05.08, KARUMA-GULU-24HRS'!I66)</f>
        <v>3.1806722689075633</v>
      </c>
      <c r="J66" s="49">
        <f>AVERAGE('03.08 KARUMA-GULU-24HRS'!J66,'05.08, KARUMA-GULU-24HRS'!J66)</f>
        <v>1</v>
      </c>
      <c r="K66" s="49">
        <f>AVERAGE('03.08 KARUMA-GULU-24HRS'!K66,'05.08, KARUMA-GULU-24HRS'!K66)</f>
        <v>0</v>
      </c>
      <c r="L66" s="49">
        <f>AVERAGE('03.08 KARUMA-GULU-24HRS'!L66,'05.08, KARUMA-GULU-24HRS'!L66)</f>
        <v>1.680672268907563</v>
      </c>
      <c r="M66" s="49">
        <f>AVERAGE('03.08 KARUMA-GULU-24HRS'!M66,'05.08, KARUMA-GULU-24HRS'!M66)</f>
        <v>43</v>
      </c>
      <c r="N66" s="49">
        <f>AVERAGE('03.08 KARUMA-GULU-24HRS'!N66,'05.08, KARUMA-GULU-24HRS'!N66)</f>
        <v>0</v>
      </c>
      <c r="O66" s="15">
        <f t="shared" si="0"/>
        <v>17.584033613445381</v>
      </c>
      <c r="P66" s="15">
        <f t="shared" si="1"/>
        <v>60.584033613445385</v>
      </c>
      <c r="R66" s="8"/>
      <c r="T66"/>
    </row>
    <row r="67" spans="2:20" ht="23.1" customHeight="1" x14ac:dyDescent="0.25">
      <c r="B67" s="23" t="s">
        <v>104</v>
      </c>
      <c r="C67" s="49">
        <f>AVERAGE('03.08 KARUMA-GULU-24HRS'!C67,'05.08, KARUMA-GULU-24HRS'!C67)</f>
        <v>4.0210084033613445</v>
      </c>
      <c r="D67" s="49">
        <f>AVERAGE('03.08 KARUMA-GULU-24HRS'!D67,'05.08, KARUMA-GULU-24HRS'!D67)</f>
        <v>1.8403361344537816</v>
      </c>
      <c r="E67" s="49">
        <f>AVERAGE('03.08 KARUMA-GULU-24HRS'!E67,'05.08, KARUMA-GULU-24HRS'!E67)</f>
        <v>4.1008403361344534</v>
      </c>
      <c r="F67" s="49">
        <f>AVERAGE('03.08 KARUMA-GULU-24HRS'!F67,'05.08, KARUMA-GULU-24HRS'!F67)</f>
        <v>0.5</v>
      </c>
      <c r="G67" s="49">
        <f>AVERAGE('03.08 KARUMA-GULU-24HRS'!G67,'05.08, KARUMA-GULU-24HRS'!G67)</f>
        <v>0.42016806722689076</v>
      </c>
      <c r="H67" s="49">
        <f>AVERAGE('03.08 KARUMA-GULU-24HRS'!H67,'05.08, KARUMA-GULU-24HRS'!H67)</f>
        <v>0</v>
      </c>
      <c r="I67" s="49">
        <f>AVERAGE('03.08 KARUMA-GULU-24HRS'!I67,'05.08, KARUMA-GULU-24HRS'!I67)</f>
        <v>0.92016806722689082</v>
      </c>
      <c r="J67" s="49">
        <f>AVERAGE('03.08 KARUMA-GULU-24HRS'!J67,'05.08, KARUMA-GULU-24HRS'!J67)</f>
        <v>0.42016806722689076</v>
      </c>
      <c r="K67" s="49">
        <f>AVERAGE('03.08 KARUMA-GULU-24HRS'!K67,'05.08, KARUMA-GULU-24HRS'!K67)</f>
        <v>0</v>
      </c>
      <c r="L67" s="49">
        <f>AVERAGE('03.08 KARUMA-GULU-24HRS'!L67,'05.08, KARUMA-GULU-24HRS'!L67)</f>
        <v>2.1806722689075633</v>
      </c>
      <c r="M67" s="49">
        <f>AVERAGE('03.08 KARUMA-GULU-24HRS'!M67,'05.08, KARUMA-GULU-24HRS'!M67)</f>
        <v>43</v>
      </c>
      <c r="N67" s="49">
        <f>AVERAGE('03.08 KARUMA-GULU-24HRS'!N67,'05.08, KARUMA-GULU-24HRS'!N67)</f>
        <v>0</v>
      </c>
      <c r="O67" s="15">
        <f t="shared" si="0"/>
        <v>14.403361344537817</v>
      </c>
      <c r="P67" s="15">
        <f t="shared" si="1"/>
        <v>57.403361344537814</v>
      </c>
      <c r="R67" s="8"/>
      <c r="T67"/>
    </row>
    <row r="68" spans="2:20" ht="23.1" customHeight="1" x14ac:dyDescent="0.25">
      <c r="B68" s="23" t="s">
        <v>105</v>
      </c>
      <c r="C68" s="49">
        <f>AVERAGE('03.08 KARUMA-GULU-24HRS'!C68,'05.08, KARUMA-GULU-24HRS'!C68)</f>
        <v>9.302521008403362</v>
      </c>
      <c r="D68" s="49">
        <f>AVERAGE('03.08 KARUMA-GULU-24HRS'!D68,'05.08, KARUMA-GULU-24HRS'!D68)</f>
        <v>1.4201680672268908</v>
      </c>
      <c r="E68" s="49">
        <f>AVERAGE('03.08 KARUMA-GULU-24HRS'!E68,'05.08, KARUMA-GULU-24HRS'!E68)</f>
        <v>3.2605042016806722</v>
      </c>
      <c r="F68" s="49">
        <f>AVERAGE('03.08 KARUMA-GULU-24HRS'!F68,'05.08, KARUMA-GULU-24HRS'!F68)</f>
        <v>0</v>
      </c>
      <c r="G68" s="49">
        <f>AVERAGE('03.08 KARUMA-GULU-24HRS'!G68,'05.08, KARUMA-GULU-24HRS'!G68)</f>
        <v>0</v>
      </c>
      <c r="H68" s="49">
        <f>AVERAGE('03.08 KARUMA-GULU-24HRS'!H68,'05.08, KARUMA-GULU-24HRS'!H68)</f>
        <v>0</v>
      </c>
      <c r="I68" s="49">
        <f>AVERAGE('03.08 KARUMA-GULU-24HRS'!I68,'05.08, KARUMA-GULU-24HRS'!I68)</f>
        <v>1.9201680672268908</v>
      </c>
      <c r="J68" s="49">
        <f>AVERAGE('03.08 KARUMA-GULU-24HRS'!J68,'05.08, KARUMA-GULU-24HRS'!J68)</f>
        <v>0</v>
      </c>
      <c r="K68" s="49">
        <f>AVERAGE('03.08 KARUMA-GULU-24HRS'!K68,'05.08, KARUMA-GULU-24HRS'!K68)</f>
        <v>0</v>
      </c>
      <c r="L68" s="49">
        <f>AVERAGE('03.08 KARUMA-GULU-24HRS'!L68,'05.08, KARUMA-GULU-24HRS'!L68)</f>
        <v>2.1806722689075633</v>
      </c>
      <c r="M68" s="49">
        <f>AVERAGE('03.08 KARUMA-GULU-24HRS'!M68,'05.08, KARUMA-GULU-24HRS'!M68)</f>
        <v>44</v>
      </c>
      <c r="N68" s="49">
        <f>AVERAGE('03.08 KARUMA-GULU-24HRS'!N68,'05.08, KARUMA-GULU-24HRS'!N68)</f>
        <v>0</v>
      </c>
      <c r="O68" s="15">
        <f t="shared" si="0"/>
        <v>18.084033613445378</v>
      </c>
      <c r="P68" s="15">
        <f t="shared" si="1"/>
        <v>62.084033613445378</v>
      </c>
      <c r="R68" s="8"/>
      <c r="T68"/>
    </row>
    <row r="69" spans="2:20" ht="23.1" customHeight="1" x14ac:dyDescent="0.25">
      <c r="B69" s="23" t="s">
        <v>106</v>
      </c>
      <c r="C69" s="49">
        <f>AVERAGE('03.08 KARUMA-GULU-24HRS'!C69,'05.08, KARUMA-GULU-24HRS'!C69)</f>
        <v>8.2226890756302531</v>
      </c>
      <c r="D69" s="49">
        <f>AVERAGE('03.08 KARUMA-GULU-24HRS'!D69,'05.08, KARUMA-GULU-24HRS'!D69)</f>
        <v>1.4201680672268908</v>
      </c>
      <c r="E69" s="49">
        <f>AVERAGE('03.08 KARUMA-GULU-24HRS'!E69,'05.08, KARUMA-GULU-24HRS'!E69)</f>
        <v>3.7605042016806722</v>
      </c>
      <c r="F69" s="49">
        <f>AVERAGE('03.08 KARUMA-GULU-24HRS'!F69,'05.08, KARUMA-GULU-24HRS'!F69)</f>
        <v>1</v>
      </c>
      <c r="G69" s="49">
        <f>AVERAGE('03.08 KARUMA-GULU-24HRS'!G69,'05.08, KARUMA-GULU-24HRS'!G69)</f>
        <v>0</v>
      </c>
      <c r="H69" s="49">
        <f>AVERAGE('03.08 KARUMA-GULU-24HRS'!H69,'05.08, KARUMA-GULU-24HRS'!H69)</f>
        <v>0</v>
      </c>
      <c r="I69" s="49">
        <f>AVERAGE('03.08 KARUMA-GULU-24HRS'!I69,'05.08, KARUMA-GULU-24HRS'!I69)</f>
        <v>0</v>
      </c>
      <c r="J69" s="49">
        <f>AVERAGE('03.08 KARUMA-GULU-24HRS'!J69,'05.08, KARUMA-GULU-24HRS'!J69)</f>
        <v>1.9201680672268908</v>
      </c>
      <c r="K69" s="49">
        <f>AVERAGE('03.08 KARUMA-GULU-24HRS'!K69,'05.08, KARUMA-GULU-24HRS'!K69)</f>
        <v>0</v>
      </c>
      <c r="L69" s="49">
        <f>AVERAGE('03.08 KARUMA-GULU-24HRS'!L69,'05.08, KARUMA-GULU-24HRS'!L69)</f>
        <v>1.680672268907563</v>
      </c>
      <c r="M69" s="49">
        <f>AVERAGE('03.08 KARUMA-GULU-24HRS'!M69,'05.08, KARUMA-GULU-24HRS'!M69)</f>
        <v>38</v>
      </c>
      <c r="N69" s="49">
        <f>AVERAGE('03.08 KARUMA-GULU-24HRS'!N69,'05.08, KARUMA-GULU-24HRS'!N69)</f>
        <v>0</v>
      </c>
      <c r="O69" s="15">
        <f t="shared" si="0"/>
        <v>18.004201680672271</v>
      </c>
      <c r="P69" s="15">
        <f t="shared" si="1"/>
        <v>56.004201680672267</v>
      </c>
      <c r="R69" s="8"/>
      <c r="T69"/>
    </row>
    <row r="70" spans="2:20" ht="23.1" customHeight="1" x14ac:dyDescent="0.25">
      <c r="B70" s="23" t="s">
        <v>110</v>
      </c>
      <c r="C70" s="49">
        <f>AVERAGE('03.08 KARUMA-GULU-24HRS'!C70,'05.08, KARUMA-GULU-24HRS'!C70)</f>
        <v>5.7016806722689077</v>
      </c>
      <c r="D70" s="49">
        <f>AVERAGE('03.08 KARUMA-GULU-24HRS'!D70,'05.08, KARUMA-GULU-24HRS'!D70)</f>
        <v>1.8403361344537816</v>
      </c>
      <c r="E70" s="49">
        <f>AVERAGE('03.08 KARUMA-GULU-24HRS'!E70,'05.08, KARUMA-GULU-24HRS'!E70)</f>
        <v>4.1806722689075633</v>
      </c>
      <c r="F70" s="49">
        <f>AVERAGE('03.08 KARUMA-GULU-24HRS'!F70,'05.08, KARUMA-GULU-24HRS'!F70)</f>
        <v>1</v>
      </c>
      <c r="G70" s="49">
        <f>AVERAGE('03.08 KARUMA-GULU-24HRS'!G70,'05.08, KARUMA-GULU-24HRS'!G70)</f>
        <v>0.42016806722689076</v>
      </c>
      <c r="H70" s="49">
        <f>AVERAGE('03.08 KARUMA-GULU-24HRS'!H70,'05.08, KARUMA-GULU-24HRS'!H70)</f>
        <v>0</v>
      </c>
      <c r="I70" s="49">
        <f>AVERAGE('03.08 KARUMA-GULU-24HRS'!I70,'05.08, KARUMA-GULU-24HRS'!I70)</f>
        <v>1.9201680672268908</v>
      </c>
      <c r="J70" s="49">
        <f>AVERAGE('03.08 KARUMA-GULU-24HRS'!J70,'05.08, KARUMA-GULU-24HRS'!J70)</f>
        <v>0.5</v>
      </c>
      <c r="K70" s="49">
        <f>AVERAGE('03.08 KARUMA-GULU-24HRS'!K70,'05.08, KARUMA-GULU-24HRS'!K70)</f>
        <v>0</v>
      </c>
      <c r="L70" s="49">
        <f>AVERAGE('03.08 KARUMA-GULU-24HRS'!L70,'05.08, KARUMA-GULU-24HRS'!L70)</f>
        <v>1.680672268907563</v>
      </c>
      <c r="M70" s="49">
        <f>AVERAGE('03.08 KARUMA-GULU-24HRS'!M70,'05.08, KARUMA-GULU-24HRS'!M70)</f>
        <v>25</v>
      </c>
      <c r="N70" s="49">
        <f>AVERAGE('03.08 KARUMA-GULU-24HRS'!N70,'05.08, KARUMA-GULU-24HRS'!N70)</f>
        <v>0</v>
      </c>
      <c r="O70" s="15">
        <f t="shared" si="0"/>
        <v>17.243697478991599</v>
      </c>
      <c r="P70" s="15">
        <f t="shared" si="1"/>
        <v>42.243697478991599</v>
      </c>
      <c r="R70" s="8"/>
      <c r="T70"/>
    </row>
    <row r="71" spans="2:20" ht="23.1" customHeight="1" x14ac:dyDescent="0.25">
      <c r="B71" s="23" t="s">
        <v>111</v>
      </c>
      <c r="C71" s="49">
        <f>AVERAGE('03.08 KARUMA-GULU-24HRS'!C71,'05.08, KARUMA-GULU-24HRS'!C71)</f>
        <v>6.1218487394957988</v>
      </c>
      <c r="D71" s="49">
        <f>AVERAGE('03.08 KARUMA-GULU-24HRS'!D71,'05.08, KARUMA-GULU-24HRS'!D71)</f>
        <v>2.3403361344537816</v>
      </c>
      <c r="E71" s="49">
        <f>AVERAGE('03.08 KARUMA-GULU-24HRS'!E71,'05.08, KARUMA-GULU-24HRS'!E71)</f>
        <v>5.1806722689075633</v>
      </c>
      <c r="F71" s="49">
        <f>AVERAGE('03.08 KARUMA-GULU-24HRS'!F71,'05.08, KARUMA-GULU-24HRS'!F71)</f>
        <v>0.5</v>
      </c>
      <c r="G71" s="49">
        <f>AVERAGE('03.08 KARUMA-GULU-24HRS'!G71,'05.08, KARUMA-GULU-24HRS'!G71)</f>
        <v>0</v>
      </c>
      <c r="H71" s="49">
        <f>AVERAGE('03.08 KARUMA-GULU-24HRS'!H71,'05.08, KARUMA-GULU-24HRS'!H71)</f>
        <v>0.42016806722689076</v>
      </c>
      <c r="I71" s="49">
        <f>AVERAGE('03.08 KARUMA-GULU-24HRS'!I71,'05.08, KARUMA-GULU-24HRS'!I71)</f>
        <v>1.9201680672268908</v>
      </c>
      <c r="J71" s="49">
        <f>AVERAGE('03.08 KARUMA-GULU-24HRS'!J71,'05.08, KARUMA-GULU-24HRS'!J71)</f>
        <v>2.3403361344537816</v>
      </c>
      <c r="K71" s="49">
        <f>AVERAGE('03.08 KARUMA-GULU-24HRS'!K71,'05.08, KARUMA-GULU-24HRS'!K71)</f>
        <v>0</v>
      </c>
      <c r="L71" s="49">
        <f>AVERAGE('03.08 KARUMA-GULU-24HRS'!L71,'05.08, KARUMA-GULU-24HRS'!L71)</f>
        <v>5.2016806722689077</v>
      </c>
      <c r="M71" s="49">
        <f>AVERAGE('03.08 KARUMA-GULU-24HRS'!M71,'05.08, KARUMA-GULU-24HRS'!M71)</f>
        <v>28</v>
      </c>
      <c r="N71" s="49">
        <f>AVERAGE('03.08 KARUMA-GULU-24HRS'!N71,'05.08, KARUMA-GULU-24HRS'!N71)</f>
        <v>0</v>
      </c>
      <c r="O71" s="15">
        <f t="shared" si="0"/>
        <v>24.025210084033613</v>
      </c>
      <c r="P71" s="15">
        <f t="shared" si="1"/>
        <v>52.025210084033617</v>
      </c>
      <c r="R71" s="8"/>
      <c r="T71"/>
    </row>
    <row r="72" spans="2:20" ht="23.1" customHeight="1" x14ac:dyDescent="0.25">
      <c r="B72" s="23" t="s">
        <v>112</v>
      </c>
      <c r="C72" s="49">
        <f>AVERAGE('03.08 KARUMA-GULU-24HRS'!C72,'05.08, KARUMA-GULU-24HRS'!C72)</f>
        <v>5.2815126050420176</v>
      </c>
      <c r="D72" s="49">
        <f>AVERAGE('03.08 KARUMA-GULU-24HRS'!D72,'05.08, KARUMA-GULU-24HRS'!D72)</f>
        <v>1.3403361344537816</v>
      </c>
      <c r="E72" s="49">
        <f>AVERAGE('03.08 KARUMA-GULU-24HRS'!E72,'05.08, KARUMA-GULU-24HRS'!E72)</f>
        <v>3.1008403361344539</v>
      </c>
      <c r="F72" s="49">
        <f>AVERAGE('03.08 KARUMA-GULU-24HRS'!F72,'05.08, KARUMA-GULU-24HRS'!F72)</f>
        <v>1</v>
      </c>
      <c r="G72" s="49">
        <f>AVERAGE('03.08 KARUMA-GULU-24HRS'!G72,'05.08, KARUMA-GULU-24HRS'!G72)</f>
        <v>0.42016806722689076</v>
      </c>
      <c r="H72" s="49">
        <f>AVERAGE('03.08 KARUMA-GULU-24HRS'!H72,'05.08, KARUMA-GULU-24HRS'!H72)</f>
        <v>0</v>
      </c>
      <c r="I72" s="49">
        <f>AVERAGE('03.08 KARUMA-GULU-24HRS'!I72,'05.08, KARUMA-GULU-24HRS'!I72)</f>
        <v>3.6806722689075633</v>
      </c>
      <c r="J72" s="49">
        <f>AVERAGE('03.08 KARUMA-GULU-24HRS'!J72,'05.08, KARUMA-GULU-24HRS'!J72)</f>
        <v>0.84033613445378152</v>
      </c>
      <c r="K72" s="49">
        <f>AVERAGE('03.08 KARUMA-GULU-24HRS'!K72,'05.08, KARUMA-GULU-24HRS'!K72)</f>
        <v>0</v>
      </c>
      <c r="L72" s="49">
        <f>AVERAGE('03.08 KARUMA-GULU-24HRS'!L72,'05.08, KARUMA-GULU-24HRS'!L72)</f>
        <v>2.1806722689075633</v>
      </c>
      <c r="M72" s="49">
        <f>AVERAGE('03.08 KARUMA-GULU-24HRS'!M72,'05.08, KARUMA-GULU-24HRS'!M72)</f>
        <v>26</v>
      </c>
      <c r="N72" s="49">
        <f>AVERAGE('03.08 KARUMA-GULU-24HRS'!N72,'05.08, KARUMA-GULU-24HRS'!N72)</f>
        <v>0</v>
      </c>
      <c r="O72" s="15">
        <f t="shared" si="0"/>
        <v>17.844537815126053</v>
      </c>
      <c r="P72" s="15">
        <f t="shared" si="1"/>
        <v>43.844537815126053</v>
      </c>
      <c r="R72" s="8"/>
      <c r="T72"/>
    </row>
    <row r="73" spans="2:20" ht="23.1" customHeight="1" x14ac:dyDescent="0.25">
      <c r="B73" s="23" t="s">
        <v>113</v>
      </c>
      <c r="C73" s="49">
        <f>AVERAGE('03.08 KARUMA-GULU-24HRS'!C73,'05.08, KARUMA-GULU-24HRS'!C73)</f>
        <v>2.7605042016806722</v>
      </c>
      <c r="D73" s="49">
        <f>AVERAGE('03.08 KARUMA-GULU-24HRS'!D73,'05.08, KARUMA-GULU-24HRS'!D73)</f>
        <v>3.1806722689075633</v>
      </c>
      <c r="E73" s="49">
        <f>AVERAGE('03.08 KARUMA-GULU-24HRS'!E73,'05.08, KARUMA-GULU-24HRS'!E73)</f>
        <v>6.3613445378151265</v>
      </c>
      <c r="F73" s="49">
        <f>AVERAGE('03.08 KARUMA-GULU-24HRS'!F73,'05.08, KARUMA-GULU-24HRS'!F73)</f>
        <v>0</v>
      </c>
      <c r="G73" s="49">
        <f>AVERAGE('03.08 KARUMA-GULU-24HRS'!G73,'05.08, KARUMA-GULU-24HRS'!G73)</f>
        <v>0.42016806722689076</v>
      </c>
      <c r="H73" s="49">
        <f>AVERAGE('03.08 KARUMA-GULU-24HRS'!H73,'05.08, KARUMA-GULU-24HRS'!H73)</f>
        <v>0</v>
      </c>
      <c r="I73" s="49">
        <f>AVERAGE('03.08 KARUMA-GULU-24HRS'!I73,'05.08, KARUMA-GULU-24HRS'!I73)</f>
        <v>1.9201680672268908</v>
      </c>
      <c r="J73" s="49">
        <f>AVERAGE('03.08 KARUMA-GULU-24HRS'!J73,'05.08, KARUMA-GULU-24HRS'!J73)</f>
        <v>0</v>
      </c>
      <c r="K73" s="49">
        <f>AVERAGE('03.08 KARUMA-GULU-24HRS'!K73,'05.08, KARUMA-GULU-24HRS'!K73)</f>
        <v>0</v>
      </c>
      <c r="L73" s="49">
        <f>AVERAGE('03.08 KARUMA-GULU-24HRS'!L73,'05.08, KARUMA-GULU-24HRS'!L73)</f>
        <v>1.8403361344537816</v>
      </c>
      <c r="M73" s="49">
        <f>AVERAGE('03.08 KARUMA-GULU-24HRS'!M73,'05.08, KARUMA-GULU-24HRS'!M73)</f>
        <v>25</v>
      </c>
      <c r="N73" s="49">
        <f>AVERAGE('03.08 KARUMA-GULU-24HRS'!N73,'05.08, KARUMA-GULU-24HRS'!N73)</f>
        <v>0</v>
      </c>
      <c r="O73" s="15">
        <f t="shared" si="0"/>
        <v>16.483193277310924</v>
      </c>
      <c r="P73" s="15">
        <f t="shared" si="1"/>
        <v>41.483193277310924</v>
      </c>
      <c r="R73" s="8"/>
      <c r="T73"/>
    </row>
    <row r="74" spans="2:20" ht="23.1" customHeight="1" x14ac:dyDescent="0.25">
      <c r="B74" s="23" t="s">
        <v>114</v>
      </c>
      <c r="C74" s="49">
        <f>AVERAGE('03.08 KARUMA-GULU-24HRS'!C74,'05.08, KARUMA-GULU-24HRS'!C74)</f>
        <v>5.9411764705882355</v>
      </c>
      <c r="D74" s="49">
        <f>AVERAGE('03.08 KARUMA-GULU-24HRS'!D74,'05.08, KARUMA-GULU-24HRS'!D74)</f>
        <v>0.92016806722689082</v>
      </c>
      <c r="E74" s="49">
        <f>AVERAGE('03.08 KARUMA-GULU-24HRS'!E74,'05.08, KARUMA-GULU-24HRS'!E74)</f>
        <v>1.8403361344537816</v>
      </c>
      <c r="F74" s="49">
        <f>AVERAGE('03.08 KARUMA-GULU-24HRS'!F74,'05.08, KARUMA-GULU-24HRS'!F74)</f>
        <v>1</v>
      </c>
      <c r="G74" s="49">
        <f>AVERAGE('03.08 KARUMA-GULU-24HRS'!G74,'05.08, KARUMA-GULU-24HRS'!G74)</f>
        <v>0</v>
      </c>
      <c r="H74" s="49">
        <f>AVERAGE('03.08 KARUMA-GULU-24HRS'!H74,'05.08, KARUMA-GULU-24HRS'!H74)</f>
        <v>0</v>
      </c>
      <c r="I74" s="49">
        <f>AVERAGE('03.08 KARUMA-GULU-24HRS'!I74,'05.08, KARUMA-GULU-24HRS'!I74)</f>
        <v>1.5</v>
      </c>
      <c r="J74" s="49">
        <f>AVERAGE('03.08 KARUMA-GULU-24HRS'!J74,'05.08, KARUMA-GULU-24HRS'!J74)</f>
        <v>0</v>
      </c>
      <c r="K74" s="49">
        <f>AVERAGE('03.08 KARUMA-GULU-24HRS'!K74,'05.08, KARUMA-GULU-24HRS'!K74)</f>
        <v>0</v>
      </c>
      <c r="L74" s="49">
        <f>AVERAGE('03.08 KARUMA-GULU-24HRS'!L74,'05.08, KARUMA-GULU-24HRS'!L74)</f>
        <v>0.42016806722689076</v>
      </c>
      <c r="M74" s="49">
        <f>AVERAGE('03.08 KARUMA-GULU-24HRS'!M74,'05.08, KARUMA-GULU-24HRS'!M74)</f>
        <v>21</v>
      </c>
      <c r="N74" s="49">
        <f>AVERAGE('03.08 KARUMA-GULU-24HRS'!N74,'05.08, KARUMA-GULU-24HRS'!N74)</f>
        <v>0</v>
      </c>
      <c r="O74" s="15">
        <f t="shared" ref="O74:O105" si="35">SUM(C74:L74,N74)</f>
        <v>11.6218487394958</v>
      </c>
      <c r="P74" s="15">
        <f t="shared" ref="P74:P105" si="36">SUM(C74:N74)</f>
        <v>32.621848739495803</v>
      </c>
      <c r="R74" s="8"/>
      <c r="T74"/>
    </row>
    <row r="75" spans="2:20" ht="23.1" customHeight="1" x14ac:dyDescent="0.25">
      <c r="B75" s="23" t="s">
        <v>115</v>
      </c>
      <c r="C75" s="49">
        <f>AVERAGE('03.08 KARUMA-GULU-24HRS'!C75,'05.08, KARUMA-GULU-24HRS'!C75)</f>
        <v>3.8613445378151261</v>
      </c>
      <c r="D75" s="49">
        <f>AVERAGE('03.08 KARUMA-GULU-24HRS'!D75,'05.08, KARUMA-GULU-24HRS'!D75)</f>
        <v>1.3403361344537816</v>
      </c>
      <c r="E75" s="49">
        <f>AVERAGE('03.08 KARUMA-GULU-24HRS'!E75,'05.08, KARUMA-GULU-24HRS'!E75)</f>
        <v>3.1806722689075633</v>
      </c>
      <c r="F75" s="49">
        <f>AVERAGE('03.08 KARUMA-GULU-24HRS'!F75,'05.08, KARUMA-GULU-24HRS'!F75)</f>
        <v>0</v>
      </c>
      <c r="G75" s="49">
        <f>AVERAGE('03.08 KARUMA-GULU-24HRS'!G75,'05.08, KARUMA-GULU-24HRS'!G75)</f>
        <v>0</v>
      </c>
      <c r="H75" s="49">
        <f>AVERAGE('03.08 KARUMA-GULU-24HRS'!H75,'05.08, KARUMA-GULU-24HRS'!H75)</f>
        <v>0.42016806722689076</v>
      </c>
      <c r="I75" s="49">
        <f>AVERAGE('03.08 KARUMA-GULU-24HRS'!I75,'05.08, KARUMA-GULU-24HRS'!I75)</f>
        <v>2.7605042016806722</v>
      </c>
      <c r="J75" s="49">
        <f>AVERAGE('03.08 KARUMA-GULU-24HRS'!J75,'05.08, KARUMA-GULU-24HRS'!J75)</f>
        <v>1</v>
      </c>
      <c r="K75" s="49">
        <f>AVERAGE('03.08 KARUMA-GULU-24HRS'!K75,'05.08, KARUMA-GULU-24HRS'!K75)</f>
        <v>0</v>
      </c>
      <c r="L75" s="49">
        <f>AVERAGE('03.08 KARUMA-GULU-24HRS'!L75,'05.08, KARUMA-GULU-24HRS'!L75)</f>
        <v>1</v>
      </c>
      <c r="M75" s="49">
        <f>AVERAGE('03.08 KARUMA-GULU-24HRS'!M75,'05.08, KARUMA-GULU-24HRS'!M75)</f>
        <v>15</v>
      </c>
      <c r="N75" s="49">
        <f>AVERAGE('03.08 KARUMA-GULU-24HRS'!N75,'05.08, KARUMA-GULU-24HRS'!N75)</f>
        <v>0</v>
      </c>
      <c r="O75" s="15">
        <f t="shared" si="35"/>
        <v>13.563025210084035</v>
      </c>
      <c r="P75" s="15">
        <f t="shared" si="36"/>
        <v>28.563025210084035</v>
      </c>
      <c r="R75" s="8"/>
      <c r="T75"/>
    </row>
    <row r="76" spans="2:20" ht="23.1" customHeight="1" x14ac:dyDescent="0.25">
      <c r="B76" s="23" t="s">
        <v>116</v>
      </c>
      <c r="C76" s="49">
        <f>AVERAGE('03.08 KARUMA-GULU-24HRS'!C76,'05.08, KARUMA-GULU-24HRS'!C76)</f>
        <v>2.6008403361344539</v>
      </c>
      <c r="D76" s="49">
        <f>AVERAGE('03.08 KARUMA-GULU-24HRS'!D76,'05.08, KARUMA-GULU-24HRS'!D76)</f>
        <v>1.3403361344537816</v>
      </c>
      <c r="E76" s="49">
        <f>AVERAGE('03.08 KARUMA-GULU-24HRS'!E76,'05.08, KARUMA-GULU-24HRS'!E76)</f>
        <v>3.1008403361344539</v>
      </c>
      <c r="F76" s="49">
        <f>AVERAGE('03.08 KARUMA-GULU-24HRS'!F76,'05.08, KARUMA-GULU-24HRS'!F76)</f>
        <v>1.5</v>
      </c>
      <c r="G76" s="49">
        <f>AVERAGE('03.08 KARUMA-GULU-24HRS'!G76,'05.08, KARUMA-GULU-24HRS'!G76)</f>
        <v>0</v>
      </c>
      <c r="H76" s="49">
        <f>AVERAGE('03.08 KARUMA-GULU-24HRS'!H76,'05.08, KARUMA-GULU-24HRS'!H76)</f>
        <v>0.5</v>
      </c>
      <c r="I76" s="49">
        <f>AVERAGE('03.08 KARUMA-GULU-24HRS'!I76,'05.08, KARUMA-GULU-24HRS'!I76)</f>
        <v>0.92016806722689082</v>
      </c>
      <c r="J76" s="49">
        <f>AVERAGE('03.08 KARUMA-GULU-24HRS'!J76,'05.08, KARUMA-GULU-24HRS'!J76)</f>
        <v>0.5</v>
      </c>
      <c r="K76" s="49">
        <f>AVERAGE('03.08 KARUMA-GULU-24HRS'!K76,'05.08, KARUMA-GULU-24HRS'!K76)</f>
        <v>0</v>
      </c>
      <c r="L76" s="49">
        <f>AVERAGE('03.08 KARUMA-GULU-24HRS'!L76,'05.08, KARUMA-GULU-24HRS'!L76)</f>
        <v>0</v>
      </c>
      <c r="M76" s="49">
        <f>AVERAGE('03.08 KARUMA-GULU-24HRS'!M76,'05.08, KARUMA-GULU-24HRS'!M76)</f>
        <v>13</v>
      </c>
      <c r="N76" s="49">
        <f>AVERAGE('03.08 KARUMA-GULU-24HRS'!N76,'05.08, KARUMA-GULU-24HRS'!N76)</f>
        <v>0</v>
      </c>
      <c r="O76" s="15">
        <f t="shared" si="35"/>
        <v>10.46218487394958</v>
      </c>
      <c r="P76" s="15">
        <f t="shared" si="36"/>
        <v>23.462184873949582</v>
      </c>
      <c r="R76" s="8"/>
      <c r="T76"/>
    </row>
    <row r="77" spans="2:20" ht="23.1" customHeight="1" x14ac:dyDescent="0.25">
      <c r="B77" s="23" t="s">
        <v>117</v>
      </c>
      <c r="C77" s="49">
        <f>AVERAGE('03.08 KARUMA-GULU-24HRS'!C77,'05.08, KARUMA-GULU-24HRS'!C77)</f>
        <v>3.6008403361344539</v>
      </c>
      <c r="D77" s="49">
        <f>AVERAGE('03.08 KARUMA-GULU-24HRS'!D77,'05.08, KARUMA-GULU-24HRS'!D77)</f>
        <v>3.8403361344537816</v>
      </c>
      <c r="E77" s="49">
        <f>AVERAGE('03.08 KARUMA-GULU-24HRS'!E77,'05.08, KARUMA-GULU-24HRS'!E77)</f>
        <v>8.1806722689075624</v>
      </c>
      <c r="F77" s="49">
        <f>AVERAGE('03.08 KARUMA-GULU-24HRS'!F77,'05.08, KARUMA-GULU-24HRS'!F77)</f>
        <v>1</v>
      </c>
      <c r="G77" s="49">
        <f>AVERAGE('03.08 KARUMA-GULU-24HRS'!G77,'05.08, KARUMA-GULU-24HRS'!G77)</f>
        <v>0.42016806722689076</v>
      </c>
      <c r="H77" s="49">
        <f>AVERAGE('03.08 KARUMA-GULU-24HRS'!H77,'05.08, KARUMA-GULU-24HRS'!H77)</f>
        <v>0</v>
      </c>
      <c r="I77" s="49">
        <f>AVERAGE('03.08 KARUMA-GULU-24HRS'!I77,'05.08, KARUMA-GULU-24HRS'!I77)</f>
        <v>2.2605042016806722</v>
      </c>
      <c r="J77" s="49">
        <f>AVERAGE('03.08 KARUMA-GULU-24HRS'!J77,'05.08, KARUMA-GULU-24HRS'!J77)</f>
        <v>0.42016806722689076</v>
      </c>
      <c r="K77" s="49">
        <f>AVERAGE('03.08 KARUMA-GULU-24HRS'!K77,'05.08, KARUMA-GULU-24HRS'!K77)</f>
        <v>0</v>
      </c>
      <c r="L77" s="49">
        <f>AVERAGE('03.08 KARUMA-GULU-24HRS'!L77,'05.08, KARUMA-GULU-24HRS'!L77)</f>
        <v>1.7605042016806722</v>
      </c>
      <c r="M77" s="49">
        <f>AVERAGE('03.08 KARUMA-GULU-24HRS'!M77,'05.08, KARUMA-GULU-24HRS'!M77)</f>
        <v>13.5</v>
      </c>
      <c r="N77" s="49">
        <f>AVERAGE('03.08 KARUMA-GULU-24HRS'!N77,'05.08, KARUMA-GULU-24HRS'!N77)</f>
        <v>0</v>
      </c>
      <c r="O77" s="15">
        <f t="shared" si="35"/>
        <v>21.483193277310917</v>
      </c>
      <c r="P77" s="15">
        <f t="shared" si="36"/>
        <v>34.983193277310917</v>
      </c>
      <c r="R77" s="8"/>
      <c r="T77"/>
    </row>
    <row r="78" spans="2:20" ht="23.1" customHeight="1" x14ac:dyDescent="0.25">
      <c r="B78" s="24" t="s">
        <v>118</v>
      </c>
      <c r="C78" s="49">
        <f>AVERAGE('03.08 KARUMA-GULU-24HRS'!C78,'05.08, KARUMA-GULU-24HRS'!C78)</f>
        <v>5.8613445378151265</v>
      </c>
      <c r="D78" s="49">
        <f>AVERAGE('03.08 KARUMA-GULU-24HRS'!D78,'05.08, KARUMA-GULU-24HRS'!D78)</f>
        <v>1.3403361344537816</v>
      </c>
      <c r="E78" s="49">
        <f>AVERAGE('03.08 KARUMA-GULU-24HRS'!E78,'05.08, KARUMA-GULU-24HRS'!E78)</f>
        <v>3.1806722689075633</v>
      </c>
      <c r="F78" s="49">
        <f>AVERAGE('03.08 KARUMA-GULU-24HRS'!F78,'05.08, KARUMA-GULU-24HRS'!F78)</f>
        <v>1.5</v>
      </c>
      <c r="G78" s="49">
        <f>AVERAGE('03.08 KARUMA-GULU-24HRS'!G78,'05.08, KARUMA-GULU-24HRS'!G78)</f>
        <v>0.42016806722689076</v>
      </c>
      <c r="H78" s="49">
        <f>AVERAGE('03.08 KARUMA-GULU-24HRS'!H78,'05.08, KARUMA-GULU-24HRS'!H78)</f>
        <v>0.92016806722689082</v>
      </c>
      <c r="I78" s="49">
        <f>AVERAGE('03.08 KARUMA-GULU-24HRS'!I78,'05.08, KARUMA-GULU-24HRS'!I78)</f>
        <v>2.3403361344537816</v>
      </c>
      <c r="J78" s="49">
        <f>AVERAGE('03.08 KARUMA-GULU-24HRS'!J78,'05.08, KARUMA-GULU-24HRS'!J78)</f>
        <v>0.92016806722689082</v>
      </c>
      <c r="K78" s="49">
        <f>AVERAGE('03.08 KARUMA-GULU-24HRS'!K78,'05.08, KARUMA-GULU-24HRS'!K78)</f>
        <v>0</v>
      </c>
      <c r="L78" s="49">
        <f>AVERAGE('03.08 KARUMA-GULU-24HRS'!L78,'05.08, KARUMA-GULU-24HRS'!L78)</f>
        <v>1.2605042016806722</v>
      </c>
      <c r="M78" s="49">
        <f>AVERAGE('03.08 KARUMA-GULU-24HRS'!M78,'05.08, KARUMA-GULU-24HRS'!M78)</f>
        <v>14</v>
      </c>
      <c r="N78" s="49">
        <f>AVERAGE('03.08 KARUMA-GULU-24HRS'!N78,'05.08, KARUMA-GULU-24HRS'!N78)</f>
        <v>0</v>
      </c>
      <c r="O78" s="15">
        <f t="shared" si="35"/>
        <v>17.743697478991596</v>
      </c>
      <c r="P78" s="15">
        <f t="shared" si="36"/>
        <v>31.743697478991596</v>
      </c>
      <c r="R78" s="8"/>
      <c r="T78"/>
    </row>
    <row r="79" spans="2:20" ht="23.1" customHeight="1" x14ac:dyDescent="0.25">
      <c r="B79" s="23" t="s">
        <v>119</v>
      </c>
      <c r="C79" s="49">
        <f>AVERAGE('03.08 KARUMA-GULU-24HRS'!C79,'05.08, KARUMA-GULU-24HRS'!C79)</f>
        <v>4.3613445378151265</v>
      </c>
      <c r="D79" s="49">
        <f>AVERAGE('03.08 KARUMA-GULU-24HRS'!D79,'05.08, KARUMA-GULU-24HRS'!D79)</f>
        <v>1.4201680672268908</v>
      </c>
      <c r="E79" s="49">
        <f>AVERAGE('03.08 KARUMA-GULU-24HRS'!E79,'05.08, KARUMA-GULU-24HRS'!E79)</f>
        <v>2.8403361344537816</v>
      </c>
      <c r="F79" s="49">
        <f>AVERAGE('03.08 KARUMA-GULU-24HRS'!F79,'05.08, KARUMA-GULU-24HRS'!F79)</f>
        <v>0.5</v>
      </c>
      <c r="G79" s="49">
        <f>AVERAGE('03.08 KARUMA-GULU-24HRS'!G79,'05.08, KARUMA-GULU-24HRS'!G79)</f>
        <v>0.42016806722689076</v>
      </c>
      <c r="H79" s="49">
        <f>AVERAGE('03.08 KARUMA-GULU-24HRS'!H79,'05.08, KARUMA-GULU-24HRS'!H79)</f>
        <v>0.42016806722689076</v>
      </c>
      <c r="I79" s="49">
        <f>AVERAGE('03.08 KARUMA-GULU-24HRS'!I79,'05.08, KARUMA-GULU-24HRS'!I79)</f>
        <v>0.92016806722689082</v>
      </c>
      <c r="J79" s="49">
        <f>AVERAGE('03.08 KARUMA-GULU-24HRS'!J79,'05.08, KARUMA-GULU-24HRS'!J79)</f>
        <v>0.84033613445378152</v>
      </c>
      <c r="K79" s="49">
        <f>AVERAGE('03.08 KARUMA-GULU-24HRS'!K79,'05.08, KARUMA-GULU-24HRS'!K79)</f>
        <v>0</v>
      </c>
      <c r="L79" s="49">
        <f>AVERAGE('03.08 KARUMA-GULU-24HRS'!L79,'05.08, KARUMA-GULU-24HRS'!L79)</f>
        <v>2.6008403361344539</v>
      </c>
      <c r="M79" s="49">
        <f>AVERAGE('03.08 KARUMA-GULU-24HRS'!M79,'05.08, KARUMA-GULU-24HRS'!M79)</f>
        <v>13.5</v>
      </c>
      <c r="N79" s="49">
        <f>AVERAGE('03.08 KARUMA-GULU-24HRS'!N79,'05.08, KARUMA-GULU-24HRS'!N79)</f>
        <v>0</v>
      </c>
      <c r="O79" s="15">
        <f t="shared" si="35"/>
        <v>14.323529411764708</v>
      </c>
      <c r="P79" s="15">
        <f t="shared" si="36"/>
        <v>27.82352941176471</v>
      </c>
      <c r="R79" s="8"/>
      <c r="T79"/>
    </row>
    <row r="80" spans="2:20" ht="23.1" customHeight="1" x14ac:dyDescent="0.25">
      <c r="B80" s="25" t="s">
        <v>120</v>
      </c>
      <c r="C80" s="49">
        <f>AVERAGE('03.08 KARUMA-GULU-24HRS'!C80,'05.08, KARUMA-GULU-24HRS'!C80)</f>
        <v>5.7016806722689077</v>
      </c>
      <c r="D80" s="49">
        <f>AVERAGE('03.08 KARUMA-GULU-24HRS'!D80,'05.08, KARUMA-GULU-24HRS'!D80)</f>
        <v>2.3403361344537816</v>
      </c>
      <c r="E80" s="49">
        <f>AVERAGE('03.08 KARUMA-GULU-24HRS'!E80,'05.08, KARUMA-GULU-24HRS'!E80)</f>
        <v>5.1008403361344534</v>
      </c>
      <c r="F80" s="49">
        <f>AVERAGE('03.08 KARUMA-GULU-24HRS'!F80,'05.08, KARUMA-GULU-24HRS'!F80)</f>
        <v>1.2605042016806722</v>
      </c>
      <c r="G80" s="49">
        <f>AVERAGE('03.08 KARUMA-GULU-24HRS'!G80,'05.08, KARUMA-GULU-24HRS'!G80)</f>
        <v>0</v>
      </c>
      <c r="H80" s="49">
        <f>AVERAGE('03.08 KARUMA-GULU-24HRS'!H80,'05.08, KARUMA-GULU-24HRS'!H80)</f>
        <v>0</v>
      </c>
      <c r="I80" s="49">
        <f>AVERAGE('03.08 KARUMA-GULU-24HRS'!I80,'05.08, KARUMA-GULU-24HRS'!I80)</f>
        <v>1.9201680672268908</v>
      </c>
      <c r="J80" s="49">
        <f>AVERAGE('03.08 KARUMA-GULU-24HRS'!J80,'05.08, KARUMA-GULU-24HRS'!J80)</f>
        <v>0</v>
      </c>
      <c r="K80" s="49">
        <f>AVERAGE('03.08 KARUMA-GULU-24HRS'!K80,'05.08, KARUMA-GULU-24HRS'!K80)</f>
        <v>0</v>
      </c>
      <c r="L80" s="49">
        <f>AVERAGE('03.08 KARUMA-GULU-24HRS'!L80,'05.08, KARUMA-GULU-24HRS'!L80)</f>
        <v>2.1806722689075633</v>
      </c>
      <c r="M80" s="49">
        <f>AVERAGE('03.08 KARUMA-GULU-24HRS'!M80,'05.08, KARUMA-GULU-24HRS'!M80)</f>
        <v>10.5</v>
      </c>
      <c r="N80" s="49">
        <f>AVERAGE('03.08 KARUMA-GULU-24HRS'!N80,'05.08, KARUMA-GULU-24HRS'!N80)</f>
        <v>0</v>
      </c>
      <c r="O80" s="15">
        <f t="shared" si="35"/>
        <v>18.504201680672267</v>
      </c>
      <c r="P80" s="15">
        <f t="shared" si="36"/>
        <v>29.004201680672267</v>
      </c>
      <c r="R80" s="8"/>
      <c r="T80"/>
    </row>
    <row r="81" spans="2:20" ht="23.1" customHeight="1" x14ac:dyDescent="0.25">
      <c r="B81" s="23" t="s">
        <v>121</v>
      </c>
      <c r="C81" s="49">
        <f>AVERAGE('03.08 KARUMA-GULU-24HRS'!C81,'05.08, KARUMA-GULU-24HRS'!C81)</f>
        <v>4.6008403361344534</v>
      </c>
      <c r="D81" s="49">
        <f>AVERAGE('03.08 KARUMA-GULU-24HRS'!D81,'05.08, KARUMA-GULU-24HRS'!D81)</f>
        <v>0.92016806722689082</v>
      </c>
      <c r="E81" s="49">
        <f>AVERAGE('03.08 KARUMA-GULU-24HRS'!E81,'05.08, KARUMA-GULU-24HRS'!E81)</f>
        <v>1.8403361344537816</v>
      </c>
      <c r="F81" s="49">
        <f>AVERAGE('03.08 KARUMA-GULU-24HRS'!F81,'05.08, KARUMA-GULU-24HRS'!F81)</f>
        <v>0.42016806722689076</v>
      </c>
      <c r="G81" s="49">
        <f>AVERAGE('03.08 KARUMA-GULU-24HRS'!G81,'05.08, KARUMA-GULU-24HRS'!G81)</f>
        <v>0</v>
      </c>
      <c r="H81" s="49">
        <f>AVERAGE('03.08 KARUMA-GULU-24HRS'!H81,'05.08, KARUMA-GULU-24HRS'!H81)</f>
        <v>0</v>
      </c>
      <c r="I81" s="49">
        <f>AVERAGE('03.08 KARUMA-GULU-24HRS'!I81,'05.08, KARUMA-GULU-24HRS'!I81)</f>
        <v>2.2605042016806722</v>
      </c>
      <c r="J81" s="49">
        <f>AVERAGE('03.08 KARUMA-GULU-24HRS'!J81,'05.08, KARUMA-GULU-24HRS'!J81)</f>
        <v>0.84033613445378152</v>
      </c>
      <c r="K81" s="49">
        <f>AVERAGE('03.08 KARUMA-GULU-24HRS'!K81,'05.08, KARUMA-GULU-24HRS'!K81)</f>
        <v>0</v>
      </c>
      <c r="L81" s="49">
        <f>AVERAGE('03.08 KARUMA-GULU-24HRS'!L81,'05.08, KARUMA-GULU-24HRS'!L81)</f>
        <v>1.2605042016806722</v>
      </c>
      <c r="M81" s="49">
        <f>AVERAGE('03.08 KARUMA-GULU-24HRS'!M81,'05.08, KARUMA-GULU-24HRS'!M81)</f>
        <v>15</v>
      </c>
      <c r="N81" s="49">
        <f>AVERAGE('03.08 KARUMA-GULU-24HRS'!N81,'05.08, KARUMA-GULU-24HRS'!N81)</f>
        <v>0</v>
      </c>
      <c r="O81" s="15">
        <f t="shared" si="35"/>
        <v>12.142857142857142</v>
      </c>
      <c r="P81" s="15">
        <f t="shared" si="36"/>
        <v>27.142857142857142</v>
      </c>
      <c r="R81" s="8"/>
      <c r="T81"/>
    </row>
    <row r="82" spans="2:20" ht="23.1" customHeight="1" x14ac:dyDescent="0.25">
      <c r="B82" s="24" t="s">
        <v>122</v>
      </c>
      <c r="C82" s="49">
        <f>AVERAGE('03.08 KARUMA-GULU-24HRS'!C82,'05.08, KARUMA-GULU-24HRS'!C82)</f>
        <v>4.0210084033613445</v>
      </c>
      <c r="D82" s="49">
        <f>AVERAGE('03.08 KARUMA-GULU-24HRS'!D82,'05.08, KARUMA-GULU-24HRS'!D82)</f>
        <v>2.2605042016806722</v>
      </c>
      <c r="E82" s="49">
        <f>AVERAGE('03.08 KARUMA-GULU-24HRS'!E82,'05.08, KARUMA-GULU-24HRS'!E82)</f>
        <v>4.5210084033613445</v>
      </c>
      <c r="F82" s="49">
        <f>AVERAGE('03.08 KARUMA-GULU-24HRS'!F82,'05.08, KARUMA-GULU-24HRS'!F82)</f>
        <v>0.5</v>
      </c>
      <c r="G82" s="49">
        <f>AVERAGE('03.08 KARUMA-GULU-24HRS'!G82,'05.08, KARUMA-GULU-24HRS'!G82)</f>
        <v>0.42016806722689076</v>
      </c>
      <c r="H82" s="49">
        <f>AVERAGE('03.08 KARUMA-GULU-24HRS'!H82,'05.08, KARUMA-GULU-24HRS'!H82)</f>
        <v>0.5</v>
      </c>
      <c r="I82" s="49">
        <f>AVERAGE('03.08 KARUMA-GULU-24HRS'!I82,'05.08, KARUMA-GULU-24HRS'!I82)</f>
        <v>2.7605042016806722</v>
      </c>
      <c r="J82" s="49">
        <f>AVERAGE('03.08 KARUMA-GULU-24HRS'!J82,'05.08, KARUMA-GULU-24HRS'!J82)</f>
        <v>0.42016806722689076</v>
      </c>
      <c r="K82" s="49">
        <f>AVERAGE('03.08 KARUMA-GULU-24HRS'!K82,'05.08, KARUMA-GULU-24HRS'!K82)</f>
        <v>0</v>
      </c>
      <c r="L82" s="49">
        <f>AVERAGE('03.08 KARUMA-GULU-24HRS'!L82,'05.08, KARUMA-GULU-24HRS'!L82)</f>
        <v>3.1806722689075633</v>
      </c>
      <c r="M82" s="49">
        <f>AVERAGE('03.08 KARUMA-GULU-24HRS'!M82,'05.08, KARUMA-GULU-24HRS'!M82)</f>
        <v>9</v>
      </c>
      <c r="N82" s="49">
        <f>AVERAGE('03.08 KARUMA-GULU-24HRS'!N82,'05.08, KARUMA-GULU-24HRS'!N82)</f>
        <v>0</v>
      </c>
      <c r="O82" s="15">
        <f t="shared" si="35"/>
        <v>18.584033613445378</v>
      </c>
      <c r="P82" s="15">
        <f t="shared" si="36"/>
        <v>27.584033613445378</v>
      </c>
      <c r="R82" s="8"/>
      <c r="T82"/>
    </row>
    <row r="83" spans="2:20" ht="23.1" customHeight="1" x14ac:dyDescent="0.25">
      <c r="B83" s="23" t="s">
        <v>123</v>
      </c>
      <c r="C83" s="49">
        <f>AVERAGE('03.08 KARUMA-GULU-24HRS'!C83,'05.08, KARUMA-GULU-24HRS'!C83)</f>
        <v>2.6008403361344539</v>
      </c>
      <c r="D83" s="49">
        <f>AVERAGE('03.08 KARUMA-GULU-24HRS'!D83,'05.08, KARUMA-GULU-24HRS'!D83)</f>
        <v>1.2605042016806722</v>
      </c>
      <c r="E83" s="49">
        <f>AVERAGE('03.08 KARUMA-GULU-24HRS'!E83,'05.08, KARUMA-GULU-24HRS'!E83)</f>
        <v>3.0210084033613445</v>
      </c>
      <c r="F83" s="49">
        <f>AVERAGE('03.08 KARUMA-GULU-24HRS'!F83,'05.08, KARUMA-GULU-24HRS'!F83)</f>
        <v>0</v>
      </c>
      <c r="G83" s="49">
        <f>AVERAGE('03.08 KARUMA-GULU-24HRS'!G83,'05.08, KARUMA-GULU-24HRS'!G83)</f>
        <v>1.2605042016806722</v>
      </c>
      <c r="H83" s="49">
        <f>AVERAGE('03.08 KARUMA-GULU-24HRS'!H83,'05.08, KARUMA-GULU-24HRS'!H83)</f>
        <v>0</v>
      </c>
      <c r="I83" s="49">
        <f>AVERAGE('03.08 KARUMA-GULU-24HRS'!I83,'05.08, KARUMA-GULU-24HRS'!I83)</f>
        <v>0.5</v>
      </c>
      <c r="J83" s="49">
        <f>AVERAGE('03.08 KARUMA-GULU-24HRS'!J83,'05.08, KARUMA-GULU-24HRS'!J83)</f>
        <v>0</v>
      </c>
      <c r="K83" s="49">
        <f>AVERAGE('03.08 KARUMA-GULU-24HRS'!K83,'05.08, KARUMA-GULU-24HRS'!K83)</f>
        <v>0</v>
      </c>
      <c r="L83" s="49">
        <f>AVERAGE('03.08 KARUMA-GULU-24HRS'!L83,'05.08, KARUMA-GULU-24HRS'!L83)</f>
        <v>1.8403361344537816</v>
      </c>
      <c r="M83" s="49">
        <f>AVERAGE('03.08 KARUMA-GULU-24HRS'!M83,'05.08, KARUMA-GULU-24HRS'!M83)</f>
        <v>9</v>
      </c>
      <c r="N83" s="49">
        <f>AVERAGE('03.08 KARUMA-GULU-24HRS'!N83,'05.08, KARUMA-GULU-24HRS'!N83)</f>
        <v>0</v>
      </c>
      <c r="O83" s="15">
        <f t="shared" si="35"/>
        <v>10.483193277310924</v>
      </c>
      <c r="P83" s="15">
        <f t="shared" si="36"/>
        <v>19.483193277310924</v>
      </c>
      <c r="R83" s="8"/>
      <c r="T83"/>
    </row>
    <row r="84" spans="2:20" ht="23.1" customHeight="1" x14ac:dyDescent="0.25">
      <c r="B84" s="25" t="s">
        <v>124</v>
      </c>
      <c r="C84" s="49">
        <f>AVERAGE('03.08 KARUMA-GULU-24HRS'!C84,'05.08, KARUMA-GULU-24HRS'!C84)</f>
        <v>2.6806722689075633</v>
      </c>
      <c r="D84" s="49">
        <f>AVERAGE('03.08 KARUMA-GULU-24HRS'!D84,'05.08, KARUMA-GULU-24HRS'!D84)</f>
        <v>1.8403361344537816</v>
      </c>
      <c r="E84" s="49">
        <f>AVERAGE('03.08 KARUMA-GULU-24HRS'!E84,'05.08, KARUMA-GULU-24HRS'!E84)</f>
        <v>4.1806722689075633</v>
      </c>
      <c r="F84" s="49">
        <f>AVERAGE('03.08 KARUMA-GULU-24HRS'!F84,'05.08, KARUMA-GULU-24HRS'!F84)</f>
        <v>2.2605042016806722</v>
      </c>
      <c r="G84" s="49">
        <f>AVERAGE('03.08 KARUMA-GULU-24HRS'!G84,'05.08, KARUMA-GULU-24HRS'!G84)</f>
        <v>0.92016806722689082</v>
      </c>
      <c r="H84" s="49">
        <f>AVERAGE('03.08 KARUMA-GULU-24HRS'!H84,'05.08, KARUMA-GULU-24HRS'!H84)</f>
        <v>1.2605042016806722</v>
      </c>
      <c r="I84" s="49">
        <f>AVERAGE('03.08 KARUMA-GULU-24HRS'!I84,'05.08, KARUMA-GULU-24HRS'!I84)</f>
        <v>0.92016806722689082</v>
      </c>
      <c r="J84" s="49">
        <f>AVERAGE('03.08 KARUMA-GULU-24HRS'!J84,'05.08, KARUMA-GULU-24HRS'!J84)</f>
        <v>0.5</v>
      </c>
      <c r="K84" s="49">
        <f>AVERAGE('03.08 KARUMA-GULU-24HRS'!K84,'05.08, KARUMA-GULU-24HRS'!K84)</f>
        <v>0</v>
      </c>
      <c r="L84" s="49">
        <f>AVERAGE('03.08 KARUMA-GULU-24HRS'!L84,'05.08, KARUMA-GULU-24HRS'!L84)</f>
        <v>2.7605042016806722</v>
      </c>
      <c r="M84" s="49">
        <f>AVERAGE('03.08 KARUMA-GULU-24HRS'!M84,'05.08, KARUMA-GULU-24HRS'!M84)</f>
        <v>5</v>
      </c>
      <c r="N84" s="49">
        <f>AVERAGE('03.08 KARUMA-GULU-24HRS'!N84,'05.08, KARUMA-GULU-24HRS'!N84)</f>
        <v>0</v>
      </c>
      <c r="O84" s="15">
        <f t="shared" si="35"/>
        <v>17.323529411764707</v>
      </c>
      <c r="P84" s="15">
        <f t="shared" si="36"/>
        <v>22.323529411764707</v>
      </c>
      <c r="R84" s="8"/>
      <c r="T84"/>
    </row>
    <row r="85" spans="2:20" ht="23.1" customHeight="1" x14ac:dyDescent="0.25">
      <c r="B85" s="23" t="s">
        <v>125</v>
      </c>
      <c r="C85" s="49">
        <f>AVERAGE('03.08 KARUMA-GULU-24HRS'!C85,'05.08, KARUMA-GULU-24HRS'!C85)</f>
        <v>5.0210084033613445</v>
      </c>
      <c r="D85" s="49">
        <f>AVERAGE('03.08 KARUMA-GULU-24HRS'!D85,'05.08, KARUMA-GULU-24HRS'!D85)</f>
        <v>2.2605042016806722</v>
      </c>
      <c r="E85" s="49">
        <f>AVERAGE('03.08 KARUMA-GULU-24HRS'!E85,'05.08, KARUMA-GULU-24HRS'!E85)</f>
        <v>4.5210084033613445</v>
      </c>
      <c r="F85" s="49">
        <f>AVERAGE('03.08 KARUMA-GULU-24HRS'!F85,'05.08, KARUMA-GULU-24HRS'!F85)</f>
        <v>1.8403361344537816</v>
      </c>
      <c r="G85" s="49">
        <f>AVERAGE('03.08 KARUMA-GULU-24HRS'!G85,'05.08, KARUMA-GULU-24HRS'!G85)</f>
        <v>0</v>
      </c>
      <c r="H85" s="49">
        <f>AVERAGE('03.08 KARUMA-GULU-24HRS'!H85,'05.08, KARUMA-GULU-24HRS'!H85)</f>
        <v>0.5</v>
      </c>
      <c r="I85" s="49">
        <f>AVERAGE('03.08 KARUMA-GULU-24HRS'!I85,'05.08, KARUMA-GULU-24HRS'!I85)</f>
        <v>1.3403361344537816</v>
      </c>
      <c r="J85" s="49">
        <f>AVERAGE('03.08 KARUMA-GULU-24HRS'!J85,'05.08, KARUMA-GULU-24HRS'!J85)</f>
        <v>0</v>
      </c>
      <c r="K85" s="49">
        <f>AVERAGE('03.08 KARUMA-GULU-24HRS'!K85,'05.08, KARUMA-GULU-24HRS'!K85)</f>
        <v>0</v>
      </c>
      <c r="L85" s="49">
        <f>AVERAGE('03.08 KARUMA-GULU-24HRS'!L85,'05.08, KARUMA-GULU-24HRS'!L85)</f>
        <v>1.2605042016806722</v>
      </c>
      <c r="M85" s="49">
        <f>AVERAGE('03.08 KARUMA-GULU-24HRS'!M85,'05.08, KARUMA-GULU-24HRS'!M85)</f>
        <v>2</v>
      </c>
      <c r="N85" s="49">
        <f>AVERAGE('03.08 KARUMA-GULU-24HRS'!N85,'05.08, KARUMA-GULU-24HRS'!N85)</f>
        <v>0</v>
      </c>
      <c r="O85" s="15">
        <f t="shared" si="35"/>
        <v>16.743697478991596</v>
      </c>
      <c r="P85" s="15">
        <f t="shared" si="36"/>
        <v>18.743697478991596</v>
      </c>
      <c r="R85" s="8"/>
      <c r="T85"/>
    </row>
    <row r="86" spans="2:20" ht="23.1" customHeight="1" x14ac:dyDescent="0.25">
      <c r="B86" s="24" t="s">
        <v>126</v>
      </c>
      <c r="C86" s="49">
        <f>AVERAGE('03.08 KARUMA-GULU-24HRS'!C86,'05.08, KARUMA-GULU-24HRS'!C86)</f>
        <v>4.1008403361344534</v>
      </c>
      <c r="D86" s="49">
        <f>AVERAGE('03.08 KARUMA-GULU-24HRS'!D86,'05.08, KARUMA-GULU-24HRS'!D86)</f>
        <v>0.5</v>
      </c>
      <c r="E86" s="49">
        <f>AVERAGE('03.08 KARUMA-GULU-24HRS'!E86,'05.08, KARUMA-GULU-24HRS'!E86)</f>
        <v>1.9201680672268908</v>
      </c>
      <c r="F86" s="49">
        <f>AVERAGE('03.08 KARUMA-GULU-24HRS'!F86,'05.08, KARUMA-GULU-24HRS'!F86)</f>
        <v>1.5</v>
      </c>
      <c r="G86" s="49">
        <f>AVERAGE('03.08 KARUMA-GULU-24HRS'!G86,'05.08, KARUMA-GULU-24HRS'!G86)</f>
        <v>0</v>
      </c>
      <c r="H86" s="49">
        <f>AVERAGE('03.08 KARUMA-GULU-24HRS'!H86,'05.08, KARUMA-GULU-24HRS'!H86)</f>
        <v>0</v>
      </c>
      <c r="I86" s="49">
        <f>AVERAGE('03.08 KARUMA-GULU-24HRS'!I86,'05.08, KARUMA-GULU-24HRS'!I86)</f>
        <v>3.1008403361344539</v>
      </c>
      <c r="J86" s="49">
        <f>AVERAGE('03.08 KARUMA-GULU-24HRS'!J86,'05.08, KARUMA-GULU-24HRS'!J86)</f>
        <v>0.5</v>
      </c>
      <c r="K86" s="49">
        <f>AVERAGE('03.08 KARUMA-GULU-24HRS'!K86,'05.08, KARUMA-GULU-24HRS'!K86)</f>
        <v>0</v>
      </c>
      <c r="L86" s="49">
        <f>AVERAGE('03.08 KARUMA-GULU-24HRS'!L86,'05.08, KARUMA-GULU-24HRS'!L86)</f>
        <v>0</v>
      </c>
      <c r="M86" s="49">
        <f>AVERAGE('03.08 KARUMA-GULU-24HRS'!M86,'05.08, KARUMA-GULU-24HRS'!M86)</f>
        <v>0</v>
      </c>
      <c r="N86" s="49">
        <f>AVERAGE('03.08 KARUMA-GULU-24HRS'!N86,'05.08, KARUMA-GULU-24HRS'!N86)</f>
        <v>0</v>
      </c>
      <c r="O86" s="15">
        <f t="shared" si="35"/>
        <v>11.621848739495798</v>
      </c>
      <c r="P86" s="15">
        <f t="shared" si="36"/>
        <v>11.621848739495798</v>
      </c>
      <c r="R86" s="8"/>
      <c r="T86"/>
    </row>
    <row r="87" spans="2:20" ht="23.1" customHeight="1" x14ac:dyDescent="0.25">
      <c r="B87" s="23" t="s">
        <v>127</v>
      </c>
      <c r="C87" s="49">
        <f>AVERAGE('03.08 KARUMA-GULU-24HRS'!C87,'05.08, KARUMA-GULU-24HRS'!C87)</f>
        <v>1.5</v>
      </c>
      <c r="D87" s="49">
        <f>AVERAGE('03.08 KARUMA-GULU-24HRS'!D87,'05.08, KARUMA-GULU-24HRS'!D87)</f>
        <v>1</v>
      </c>
      <c r="E87" s="49">
        <f>AVERAGE('03.08 KARUMA-GULU-24HRS'!E87,'05.08, KARUMA-GULU-24HRS'!E87)</f>
        <v>2.4201680672268906</v>
      </c>
      <c r="F87" s="49">
        <f>AVERAGE('03.08 KARUMA-GULU-24HRS'!F87,'05.08, KARUMA-GULU-24HRS'!F87)</f>
        <v>1.9201680672268908</v>
      </c>
      <c r="G87" s="49">
        <f>AVERAGE('03.08 KARUMA-GULU-24HRS'!G87,'05.08, KARUMA-GULU-24HRS'!G87)</f>
        <v>0</v>
      </c>
      <c r="H87" s="49">
        <f>AVERAGE('03.08 KARUMA-GULU-24HRS'!H87,'05.08, KARUMA-GULU-24HRS'!H87)</f>
        <v>0.5</v>
      </c>
      <c r="I87" s="49">
        <f>AVERAGE('03.08 KARUMA-GULU-24HRS'!I87,'05.08, KARUMA-GULU-24HRS'!I87)</f>
        <v>1.5</v>
      </c>
      <c r="J87" s="49">
        <f>AVERAGE('03.08 KARUMA-GULU-24HRS'!J87,'05.08, KARUMA-GULU-24HRS'!J87)</f>
        <v>1</v>
      </c>
      <c r="K87" s="49">
        <f>AVERAGE('03.08 KARUMA-GULU-24HRS'!K87,'05.08, KARUMA-GULU-24HRS'!K87)</f>
        <v>0</v>
      </c>
      <c r="L87" s="49">
        <f>AVERAGE('03.08 KARUMA-GULU-24HRS'!L87,'05.08, KARUMA-GULU-24HRS'!L87)</f>
        <v>0</v>
      </c>
      <c r="M87" s="49">
        <f>AVERAGE('03.08 KARUMA-GULU-24HRS'!M87,'05.08, KARUMA-GULU-24HRS'!M87)</f>
        <v>1</v>
      </c>
      <c r="N87" s="49">
        <f>AVERAGE('03.08 KARUMA-GULU-24HRS'!N87,'05.08, KARUMA-GULU-24HRS'!N87)</f>
        <v>0</v>
      </c>
      <c r="O87" s="15">
        <f t="shared" si="35"/>
        <v>9.8403361344537821</v>
      </c>
      <c r="P87" s="15">
        <f t="shared" si="36"/>
        <v>10.840336134453782</v>
      </c>
      <c r="R87" s="8"/>
      <c r="T87"/>
    </row>
    <row r="88" spans="2:20" ht="23.1" customHeight="1" x14ac:dyDescent="0.25">
      <c r="B88" s="25" t="s">
        <v>128</v>
      </c>
      <c r="C88" s="49">
        <f>AVERAGE('03.08 KARUMA-GULU-24HRS'!C88,'05.08, KARUMA-GULU-24HRS'!C88)</f>
        <v>5.1218487394957988</v>
      </c>
      <c r="D88" s="49">
        <f>AVERAGE('03.08 KARUMA-GULU-24HRS'!D88,'05.08, KARUMA-GULU-24HRS'!D88)</f>
        <v>1.7605042016806722</v>
      </c>
      <c r="E88" s="49">
        <f>AVERAGE('03.08 KARUMA-GULU-24HRS'!E88,'05.08, KARUMA-GULU-24HRS'!E88)</f>
        <v>4.4411764705882355</v>
      </c>
      <c r="F88" s="49">
        <f>AVERAGE('03.08 KARUMA-GULU-24HRS'!F88,'05.08, KARUMA-GULU-24HRS'!F88)</f>
        <v>2</v>
      </c>
      <c r="G88" s="49">
        <f>AVERAGE('03.08 KARUMA-GULU-24HRS'!G88,'05.08, KARUMA-GULU-24HRS'!G88)</f>
        <v>0.42016806722689076</v>
      </c>
      <c r="H88" s="49">
        <f>AVERAGE('03.08 KARUMA-GULU-24HRS'!H88,'05.08, KARUMA-GULU-24HRS'!H88)</f>
        <v>0.5</v>
      </c>
      <c r="I88" s="49">
        <f>AVERAGE('03.08 KARUMA-GULU-24HRS'!I88,'05.08, KARUMA-GULU-24HRS'!I88)</f>
        <v>0.92016806722689082</v>
      </c>
      <c r="J88" s="49">
        <f>AVERAGE('03.08 KARUMA-GULU-24HRS'!J88,'05.08, KARUMA-GULU-24HRS'!J88)</f>
        <v>0</v>
      </c>
      <c r="K88" s="49">
        <f>AVERAGE('03.08 KARUMA-GULU-24HRS'!K88,'05.08, KARUMA-GULU-24HRS'!K88)</f>
        <v>0.5</v>
      </c>
      <c r="L88" s="49">
        <f>AVERAGE('03.08 KARUMA-GULU-24HRS'!L88,'05.08, KARUMA-GULU-24HRS'!L88)</f>
        <v>1.4201680672268908</v>
      </c>
      <c r="M88" s="49">
        <f>AVERAGE('03.08 KARUMA-GULU-24HRS'!M88,'05.08, KARUMA-GULU-24HRS'!M88)</f>
        <v>2</v>
      </c>
      <c r="N88" s="49">
        <f>AVERAGE('03.08 KARUMA-GULU-24HRS'!N88,'05.08, KARUMA-GULU-24HRS'!N88)</f>
        <v>0</v>
      </c>
      <c r="O88" s="15">
        <f t="shared" si="35"/>
        <v>17.084033613445378</v>
      </c>
      <c r="P88" s="15">
        <f t="shared" si="36"/>
        <v>19.084033613445378</v>
      </c>
      <c r="R88" s="8"/>
      <c r="T88"/>
    </row>
    <row r="89" spans="2:20" ht="23.1" customHeight="1" x14ac:dyDescent="0.25">
      <c r="B89" s="23" t="s">
        <v>129</v>
      </c>
      <c r="C89" s="49">
        <f>AVERAGE('03.08 KARUMA-GULU-24HRS'!C89,'05.08, KARUMA-GULU-24HRS'!C89)</f>
        <v>3.3613445378151261</v>
      </c>
      <c r="D89" s="49">
        <f>AVERAGE('03.08 KARUMA-GULU-24HRS'!D89,'05.08, KARUMA-GULU-24HRS'!D89)</f>
        <v>0.92016806722689082</v>
      </c>
      <c r="E89" s="49">
        <f>AVERAGE('03.08 KARUMA-GULU-24HRS'!E89,'05.08, KARUMA-GULU-24HRS'!E89)</f>
        <v>2.2605042016806722</v>
      </c>
      <c r="F89" s="49">
        <f>AVERAGE('03.08 KARUMA-GULU-24HRS'!F89,'05.08, KARUMA-GULU-24HRS'!F89)</f>
        <v>0</v>
      </c>
      <c r="G89" s="49">
        <f>AVERAGE('03.08 KARUMA-GULU-24HRS'!G89,'05.08, KARUMA-GULU-24HRS'!G89)</f>
        <v>0</v>
      </c>
      <c r="H89" s="49">
        <f>AVERAGE('03.08 KARUMA-GULU-24HRS'!H89,'05.08, KARUMA-GULU-24HRS'!H89)</f>
        <v>0</v>
      </c>
      <c r="I89" s="49">
        <f>AVERAGE('03.08 KARUMA-GULU-24HRS'!I89,'05.08, KARUMA-GULU-24HRS'!I89)</f>
        <v>2.7605042016806722</v>
      </c>
      <c r="J89" s="49">
        <f>AVERAGE('03.08 KARUMA-GULU-24HRS'!J89,'05.08, KARUMA-GULU-24HRS'!J89)</f>
        <v>0.5</v>
      </c>
      <c r="K89" s="49">
        <f>AVERAGE('03.08 KARUMA-GULU-24HRS'!K89,'05.08, KARUMA-GULU-24HRS'!K89)</f>
        <v>0</v>
      </c>
      <c r="L89" s="49">
        <f>AVERAGE('03.08 KARUMA-GULU-24HRS'!L89,'05.08, KARUMA-GULU-24HRS'!L89)</f>
        <v>5.2016806722689077</v>
      </c>
      <c r="M89" s="49">
        <f>AVERAGE('03.08 KARUMA-GULU-24HRS'!M89,'05.08, KARUMA-GULU-24HRS'!M89)</f>
        <v>0</v>
      </c>
      <c r="N89" s="49">
        <f>AVERAGE('03.08 KARUMA-GULU-24HRS'!N89,'05.08, KARUMA-GULU-24HRS'!N89)</f>
        <v>0</v>
      </c>
      <c r="O89" s="15">
        <f t="shared" si="35"/>
        <v>15.004201680672267</v>
      </c>
      <c r="P89" s="15">
        <f t="shared" si="36"/>
        <v>15.004201680672267</v>
      </c>
      <c r="R89" s="8"/>
      <c r="T89"/>
    </row>
    <row r="90" spans="2:20" ht="23.1" customHeight="1" x14ac:dyDescent="0.25">
      <c r="B90" s="24" t="s">
        <v>130</v>
      </c>
      <c r="C90" s="49">
        <f>AVERAGE('03.08 KARUMA-GULU-24HRS'!C90,'05.08, KARUMA-GULU-24HRS'!C90)</f>
        <v>3.1008403361344539</v>
      </c>
      <c r="D90" s="49">
        <f>AVERAGE('03.08 KARUMA-GULU-24HRS'!D90,'05.08, KARUMA-GULU-24HRS'!D90)</f>
        <v>2.3403361344537816</v>
      </c>
      <c r="E90" s="49">
        <f>AVERAGE('03.08 KARUMA-GULU-24HRS'!E90,'05.08, KARUMA-GULU-24HRS'!E90)</f>
        <v>5.1008403361344534</v>
      </c>
      <c r="F90" s="49">
        <f>AVERAGE('03.08 KARUMA-GULU-24HRS'!F90,'05.08, KARUMA-GULU-24HRS'!F90)</f>
        <v>0</v>
      </c>
      <c r="G90" s="49">
        <f>AVERAGE('03.08 KARUMA-GULU-24HRS'!G90,'05.08, KARUMA-GULU-24HRS'!G90)</f>
        <v>0</v>
      </c>
      <c r="H90" s="49">
        <f>AVERAGE('03.08 KARUMA-GULU-24HRS'!H90,'05.08, KARUMA-GULU-24HRS'!H90)</f>
        <v>0.92016806722689082</v>
      </c>
      <c r="I90" s="49">
        <f>AVERAGE('03.08 KARUMA-GULU-24HRS'!I90,'05.08, KARUMA-GULU-24HRS'!I90)</f>
        <v>1.3403361344537816</v>
      </c>
      <c r="J90" s="49">
        <f>AVERAGE('03.08 KARUMA-GULU-24HRS'!J90,'05.08, KARUMA-GULU-24HRS'!J90)</f>
        <v>0</v>
      </c>
      <c r="K90" s="49">
        <f>AVERAGE('03.08 KARUMA-GULU-24HRS'!K90,'05.08, KARUMA-GULU-24HRS'!K90)</f>
        <v>0.42016806722689076</v>
      </c>
      <c r="L90" s="49">
        <f>AVERAGE('03.08 KARUMA-GULU-24HRS'!L90,'05.08, KARUMA-GULU-24HRS'!L90)</f>
        <v>1.2605042016806722</v>
      </c>
      <c r="M90" s="49">
        <f>AVERAGE('03.08 KARUMA-GULU-24HRS'!M90,'05.08, KARUMA-GULU-24HRS'!M90)</f>
        <v>3</v>
      </c>
      <c r="N90" s="49">
        <f>AVERAGE('03.08 KARUMA-GULU-24HRS'!N90,'05.08, KARUMA-GULU-24HRS'!N90)</f>
        <v>0</v>
      </c>
      <c r="O90" s="15">
        <f t="shared" si="35"/>
        <v>14.483193277310924</v>
      </c>
      <c r="P90" s="15">
        <f t="shared" si="36"/>
        <v>17.483193277310924</v>
      </c>
      <c r="R90" s="8"/>
      <c r="T90"/>
    </row>
    <row r="91" spans="2:20" ht="23.1" customHeight="1" x14ac:dyDescent="0.25">
      <c r="B91" s="23" t="s">
        <v>131</v>
      </c>
      <c r="C91" s="49">
        <f>AVERAGE('03.08 KARUMA-GULU-24HRS'!C91,'05.08, KARUMA-GULU-24HRS'!C91)</f>
        <v>3.6008403361344539</v>
      </c>
      <c r="D91" s="49">
        <f>AVERAGE('03.08 KARUMA-GULU-24HRS'!D91,'05.08, KARUMA-GULU-24HRS'!D91)</f>
        <v>1.8403361344537816</v>
      </c>
      <c r="E91" s="49">
        <f>AVERAGE('03.08 KARUMA-GULU-24HRS'!E91,'05.08, KARUMA-GULU-24HRS'!E91)</f>
        <v>3.6806722689075633</v>
      </c>
      <c r="F91" s="49">
        <f>AVERAGE('03.08 KARUMA-GULU-24HRS'!F91,'05.08, KARUMA-GULU-24HRS'!F91)</f>
        <v>1.4201680672268908</v>
      </c>
      <c r="G91" s="49">
        <f>AVERAGE('03.08 KARUMA-GULU-24HRS'!G91,'05.08, KARUMA-GULU-24HRS'!G91)</f>
        <v>0</v>
      </c>
      <c r="H91" s="49">
        <f>AVERAGE('03.08 KARUMA-GULU-24HRS'!H91,'05.08, KARUMA-GULU-24HRS'!H91)</f>
        <v>0.42016806722689076</v>
      </c>
      <c r="I91" s="49">
        <f>AVERAGE('03.08 KARUMA-GULU-24HRS'!I91,'05.08, KARUMA-GULU-24HRS'!I91)</f>
        <v>0.92016806722689082</v>
      </c>
      <c r="J91" s="49">
        <f>AVERAGE('03.08 KARUMA-GULU-24HRS'!J91,'05.08, KARUMA-GULU-24HRS'!J91)</f>
        <v>0.42016806722689076</v>
      </c>
      <c r="K91" s="49">
        <f>AVERAGE('03.08 KARUMA-GULU-24HRS'!K91,'05.08, KARUMA-GULU-24HRS'!K91)</f>
        <v>0</v>
      </c>
      <c r="L91" s="49">
        <f>AVERAGE('03.08 KARUMA-GULU-24HRS'!L91,'05.08, KARUMA-GULU-24HRS'!L91)</f>
        <v>0.42016806722689076</v>
      </c>
      <c r="M91" s="49">
        <f>AVERAGE('03.08 KARUMA-GULU-24HRS'!M91,'05.08, KARUMA-GULU-24HRS'!M91)</f>
        <v>3</v>
      </c>
      <c r="N91" s="49">
        <f>AVERAGE('03.08 KARUMA-GULU-24HRS'!N91,'05.08, KARUMA-GULU-24HRS'!N91)</f>
        <v>0</v>
      </c>
      <c r="O91" s="15">
        <f t="shared" si="35"/>
        <v>12.722689075630255</v>
      </c>
      <c r="P91" s="15">
        <f t="shared" si="36"/>
        <v>15.722689075630255</v>
      </c>
      <c r="R91" s="8"/>
      <c r="T91"/>
    </row>
    <row r="92" spans="2:20" ht="23.1" customHeight="1" x14ac:dyDescent="0.25">
      <c r="B92" s="25" t="s">
        <v>132</v>
      </c>
      <c r="C92" s="49">
        <f>AVERAGE('03.08 KARUMA-GULU-24HRS'!C92,'05.08, KARUMA-GULU-24HRS'!C92)</f>
        <v>7.2016806722689077</v>
      </c>
      <c r="D92" s="49">
        <f>AVERAGE('03.08 KARUMA-GULU-24HRS'!D92,'05.08, KARUMA-GULU-24HRS'!D92)</f>
        <v>2.8403361344537816</v>
      </c>
      <c r="E92" s="49">
        <f>AVERAGE('03.08 KARUMA-GULU-24HRS'!E92,'05.08, KARUMA-GULU-24HRS'!E92)</f>
        <v>6.6008403361344534</v>
      </c>
      <c r="F92" s="49">
        <f>AVERAGE('03.08 KARUMA-GULU-24HRS'!F92,'05.08, KARUMA-GULU-24HRS'!F92)</f>
        <v>0</v>
      </c>
      <c r="G92" s="49">
        <f>AVERAGE('03.08 KARUMA-GULU-24HRS'!G92,'05.08, KARUMA-GULU-24HRS'!G92)</f>
        <v>0</v>
      </c>
      <c r="H92" s="49">
        <f>AVERAGE('03.08 KARUMA-GULU-24HRS'!H92,'05.08, KARUMA-GULU-24HRS'!H92)</f>
        <v>0.42016806722689076</v>
      </c>
      <c r="I92" s="49">
        <f>AVERAGE('03.08 KARUMA-GULU-24HRS'!I92,'05.08, KARUMA-GULU-24HRS'!I92)</f>
        <v>3.1806722689075633</v>
      </c>
      <c r="J92" s="49">
        <f>AVERAGE('03.08 KARUMA-GULU-24HRS'!J92,'05.08, KARUMA-GULU-24HRS'!J92)</f>
        <v>0</v>
      </c>
      <c r="K92" s="49">
        <f>AVERAGE('03.08 KARUMA-GULU-24HRS'!K92,'05.08, KARUMA-GULU-24HRS'!K92)</f>
        <v>0</v>
      </c>
      <c r="L92" s="49">
        <f>AVERAGE('03.08 KARUMA-GULU-24HRS'!L92,'05.08, KARUMA-GULU-24HRS'!L92)</f>
        <v>1</v>
      </c>
      <c r="M92" s="49">
        <f>AVERAGE('03.08 KARUMA-GULU-24HRS'!M92,'05.08, KARUMA-GULU-24HRS'!M92)</f>
        <v>2</v>
      </c>
      <c r="N92" s="49">
        <f>AVERAGE('03.08 KARUMA-GULU-24HRS'!N92,'05.08, KARUMA-GULU-24HRS'!N92)</f>
        <v>0</v>
      </c>
      <c r="O92" s="15">
        <f t="shared" si="35"/>
        <v>21.243697478991596</v>
      </c>
      <c r="P92" s="15">
        <f t="shared" si="36"/>
        <v>23.243697478991596</v>
      </c>
      <c r="R92" s="8"/>
      <c r="T92"/>
    </row>
    <row r="93" spans="2:20" ht="23.1" customHeight="1" x14ac:dyDescent="0.25">
      <c r="B93" s="23" t="s">
        <v>133</v>
      </c>
      <c r="C93" s="49">
        <f>AVERAGE('03.08 KARUMA-GULU-24HRS'!C93,'05.08, KARUMA-GULU-24HRS'!C93)</f>
        <v>9.2226890756302531</v>
      </c>
      <c r="D93" s="49">
        <f>AVERAGE('03.08 KARUMA-GULU-24HRS'!D93,'05.08, KARUMA-GULU-24HRS'!D93)</f>
        <v>3.2605042016806722</v>
      </c>
      <c r="E93" s="49">
        <f>AVERAGE('03.08 KARUMA-GULU-24HRS'!E93,'05.08, KARUMA-GULU-24HRS'!E93)</f>
        <v>7.0210084033613445</v>
      </c>
      <c r="F93" s="49">
        <f>AVERAGE('03.08 KARUMA-GULU-24HRS'!F93,'05.08, KARUMA-GULU-24HRS'!F93)</f>
        <v>0</v>
      </c>
      <c r="G93" s="49">
        <f>AVERAGE('03.08 KARUMA-GULU-24HRS'!G93,'05.08, KARUMA-GULU-24HRS'!G93)</f>
        <v>0</v>
      </c>
      <c r="H93" s="49">
        <f>AVERAGE('03.08 KARUMA-GULU-24HRS'!H93,'05.08, KARUMA-GULU-24HRS'!H93)</f>
        <v>0</v>
      </c>
      <c r="I93" s="49">
        <f>AVERAGE('03.08 KARUMA-GULU-24HRS'!I93,'05.08, KARUMA-GULU-24HRS'!I93)</f>
        <v>4.3403361344537812</v>
      </c>
      <c r="J93" s="49">
        <f>AVERAGE('03.08 KARUMA-GULU-24HRS'!J93,'05.08, KARUMA-GULU-24HRS'!J93)</f>
        <v>0.92016806722689082</v>
      </c>
      <c r="K93" s="49">
        <f>AVERAGE('03.08 KARUMA-GULU-24HRS'!K93,'05.08, KARUMA-GULU-24HRS'!K93)</f>
        <v>0.42016806722689076</v>
      </c>
      <c r="L93" s="49">
        <f>AVERAGE('03.08 KARUMA-GULU-24HRS'!L93,'05.08, KARUMA-GULU-24HRS'!L93)</f>
        <v>0.5</v>
      </c>
      <c r="M93" s="49">
        <f>AVERAGE('03.08 KARUMA-GULU-24HRS'!M93,'05.08, KARUMA-GULU-24HRS'!M93)</f>
        <v>0</v>
      </c>
      <c r="N93" s="49">
        <f>AVERAGE('03.08 KARUMA-GULU-24HRS'!N93,'05.08, KARUMA-GULU-24HRS'!N93)</f>
        <v>0</v>
      </c>
      <c r="O93" s="15">
        <f t="shared" si="35"/>
        <v>25.684873949579828</v>
      </c>
      <c r="P93" s="15">
        <f t="shared" si="36"/>
        <v>25.684873949579828</v>
      </c>
      <c r="R93" s="8"/>
      <c r="T93"/>
    </row>
    <row r="94" spans="2:20" ht="23.1" customHeight="1" x14ac:dyDescent="0.25">
      <c r="B94" s="24" t="s">
        <v>134</v>
      </c>
      <c r="C94" s="49">
        <f>AVERAGE('03.08 KARUMA-GULU-24HRS'!C94,'05.08, KARUMA-GULU-24HRS'!C94)</f>
        <v>6.5420168067226889</v>
      </c>
      <c r="D94" s="49">
        <f>AVERAGE('03.08 KARUMA-GULU-24HRS'!D94,'05.08, KARUMA-GULU-24HRS'!D94)</f>
        <v>5.1008403361344534</v>
      </c>
      <c r="E94" s="49">
        <f>AVERAGE('03.08 KARUMA-GULU-24HRS'!E94,'05.08, KARUMA-GULU-24HRS'!E94)</f>
        <v>10.201680672268907</v>
      </c>
      <c r="F94" s="49">
        <f>AVERAGE('03.08 KARUMA-GULU-24HRS'!F94,'05.08, KARUMA-GULU-24HRS'!F94)</f>
        <v>3</v>
      </c>
      <c r="G94" s="49">
        <f>AVERAGE('03.08 KARUMA-GULU-24HRS'!G94,'05.08, KARUMA-GULU-24HRS'!G94)</f>
        <v>0.42016806722689076</v>
      </c>
      <c r="H94" s="49">
        <f>AVERAGE('03.08 KARUMA-GULU-24HRS'!H94,'05.08, KARUMA-GULU-24HRS'!H94)</f>
        <v>0.92016806722689082</v>
      </c>
      <c r="I94" s="49">
        <f>AVERAGE('03.08 KARUMA-GULU-24HRS'!I94,'05.08, KARUMA-GULU-24HRS'!I94)</f>
        <v>4.2605042016806722</v>
      </c>
      <c r="J94" s="49">
        <f>AVERAGE('03.08 KARUMA-GULU-24HRS'!J94,'05.08, KARUMA-GULU-24HRS'!J94)</f>
        <v>0</v>
      </c>
      <c r="K94" s="49">
        <f>AVERAGE('03.08 KARUMA-GULU-24HRS'!K94,'05.08, KARUMA-GULU-24HRS'!K94)</f>
        <v>0</v>
      </c>
      <c r="L94" s="49">
        <f>AVERAGE('03.08 KARUMA-GULU-24HRS'!L94,'05.08, KARUMA-GULU-24HRS'!L94)</f>
        <v>0.92016806722689082</v>
      </c>
      <c r="M94" s="49">
        <f>AVERAGE('03.08 KARUMA-GULU-24HRS'!M94,'05.08, KARUMA-GULU-24HRS'!M94)</f>
        <v>0</v>
      </c>
      <c r="N94" s="49">
        <f>AVERAGE('03.08 KARUMA-GULU-24HRS'!N94,'05.08, KARUMA-GULU-24HRS'!N94)</f>
        <v>0</v>
      </c>
      <c r="O94" s="15">
        <f t="shared" si="35"/>
        <v>31.365546218487388</v>
      </c>
      <c r="P94" s="15">
        <f t="shared" si="36"/>
        <v>31.365546218487388</v>
      </c>
      <c r="R94" s="8"/>
      <c r="T94"/>
    </row>
    <row r="95" spans="2:20" ht="23.1" customHeight="1" x14ac:dyDescent="0.25">
      <c r="B95" s="23" t="s">
        <v>135</v>
      </c>
      <c r="C95" s="49">
        <f>AVERAGE('03.08 KARUMA-GULU-24HRS'!C95,'05.08, KARUMA-GULU-24HRS'!C95)</f>
        <v>3.4411764705882355</v>
      </c>
      <c r="D95" s="49">
        <f>AVERAGE('03.08 KARUMA-GULU-24HRS'!D95,'05.08, KARUMA-GULU-24HRS'!D95)</f>
        <v>2.1806722689075633</v>
      </c>
      <c r="E95" s="49">
        <f>AVERAGE('03.08 KARUMA-GULU-24HRS'!E95,'05.08, KARUMA-GULU-24HRS'!E95)</f>
        <v>4.8613445378151265</v>
      </c>
      <c r="F95" s="49">
        <f>AVERAGE('03.08 KARUMA-GULU-24HRS'!F95,'05.08, KARUMA-GULU-24HRS'!F95)</f>
        <v>0.42016806722689076</v>
      </c>
      <c r="G95" s="49">
        <f>AVERAGE('03.08 KARUMA-GULU-24HRS'!G95,'05.08, KARUMA-GULU-24HRS'!G95)</f>
        <v>0</v>
      </c>
      <c r="H95" s="49">
        <f>AVERAGE('03.08 KARUMA-GULU-24HRS'!H95,'05.08, KARUMA-GULU-24HRS'!H95)</f>
        <v>0</v>
      </c>
      <c r="I95" s="49">
        <f>AVERAGE('03.08 KARUMA-GULU-24HRS'!I95,'05.08, KARUMA-GULU-24HRS'!I95)</f>
        <v>1.9201680672268908</v>
      </c>
      <c r="J95" s="49">
        <f>AVERAGE('03.08 KARUMA-GULU-24HRS'!J95,'05.08, KARUMA-GULU-24HRS'!J95)</f>
        <v>0.42016806722689076</v>
      </c>
      <c r="K95" s="49">
        <f>AVERAGE('03.08 KARUMA-GULU-24HRS'!K95,'05.08, KARUMA-GULU-24HRS'!K95)</f>
        <v>0</v>
      </c>
      <c r="L95" s="49">
        <f>AVERAGE('03.08 KARUMA-GULU-24HRS'!L95,'05.08, KARUMA-GULU-24HRS'!L95)</f>
        <v>0.84033613445378152</v>
      </c>
      <c r="M95" s="49">
        <f>AVERAGE('03.08 KARUMA-GULU-24HRS'!M95,'05.08, KARUMA-GULU-24HRS'!M95)</f>
        <v>0</v>
      </c>
      <c r="N95" s="49">
        <f>AVERAGE('03.08 KARUMA-GULU-24HRS'!N95,'05.08, KARUMA-GULU-24HRS'!N95)</f>
        <v>0</v>
      </c>
      <c r="O95" s="15">
        <f t="shared" si="35"/>
        <v>14.08403361344538</v>
      </c>
      <c r="P95" s="15">
        <f t="shared" si="36"/>
        <v>14.08403361344538</v>
      </c>
      <c r="R95" s="8"/>
      <c r="T95"/>
    </row>
    <row r="96" spans="2:20" ht="23.1" customHeight="1" x14ac:dyDescent="0.25">
      <c r="B96" s="25" t="s">
        <v>136</v>
      </c>
      <c r="C96" s="49">
        <f>AVERAGE('03.08 KARUMA-GULU-24HRS'!C96,'05.08, KARUMA-GULU-24HRS'!C96)</f>
        <v>5.7016806722689077</v>
      </c>
      <c r="D96" s="49">
        <f>AVERAGE('03.08 KARUMA-GULU-24HRS'!D96,'05.08, KARUMA-GULU-24HRS'!D96)</f>
        <v>1.3403361344537816</v>
      </c>
      <c r="E96" s="49">
        <f>AVERAGE('03.08 KARUMA-GULU-24HRS'!E96,'05.08, KARUMA-GULU-24HRS'!E96)</f>
        <v>3.1008403361344539</v>
      </c>
      <c r="F96" s="49">
        <f>AVERAGE('03.08 KARUMA-GULU-24HRS'!F96,'05.08, KARUMA-GULU-24HRS'!F96)</f>
        <v>1.5</v>
      </c>
      <c r="G96" s="49">
        <f>AVERAGE('03.08 KARUMA-GULU-24HRS'!G96,'05.08, KARUMA-GULU-24HRS'!G96)</f>
        <v>0.42016806722689076</v>
      </c>
      <c r="H96" s="49">
        <f>AVERAGE('03.08 KARUMA-GULU-24HRS'!H96,'05.08, KARUMA-GULU-24HRS'!H96)</f>
        <v>0</v>
      </c>
      <c r="I96" s="49">
        <f>AVERAGE('03.08 KARUMA-GULU-24HRS'!I96,'05.08, KARUMA-GULU-24HRS'!I96)</f>
        <v>3.7605042016806722</v>
      </c>
      <c r="J96" s="49">
        <f>AVERAGE('03.08 KARUMA-GULU-24HRS'!J96,'05.08, KARUMA-GULU-24HRS'!J96)</f>
        <v>0.42016806722689076</v>
      </c>
      <c r="K96" s="49">
        <f>AVERAGE('03.08 KARUMA-GULU-24HRS'!K96,'05.08, KARUMA-GULU-24HRS'!K96)</f>
        <v>0</v>
      </c>
      <c r="L96" s="49">
        <f>AVERAGE('03.08 KARUMA-GULU-24HRS'!L96,'05.08, KARUMA-GULU-24HRS'!L96)</f>
        <v>0</v>
      </c>
      <c r="M96" s="49">
        <f>AVERAGE('03.08 KARUMA-GULU-24HRS'!M96,'05.08, KARUMA-GULU-24HRS'!M96)</f>
        <v>0</v>
      </c>
      <c r="N96" s="49">
        <f>AVERAGE('03.08 KARUMA-GULU-24HRS'!N96,'05.08, KARUMA-GULU-24HRS'!N96)</f>
        <v>0</v>
      </c>
      <c r="O96" s="15">
        <f t="shared" si="35"/>
        <v>16.243697478991596</v>
      </c>
      <c r="P96" s="15">
        <f t="shared" si="36"/>
        <v>16.243697478991596</v>
      </c>
      <c r="R96" s="8"/>
      <c r="T96"/>
    </row>
    <row r="97" spans="2:20" ht="23.1" customHeight="1" x14ac:dyDescent="0.25">
      <c r="B97" s="23" t="s">
        <v>137</v>
      </c>
      <c r="C97" s="49">
        <f>AVERAGE('03.08 KARUMA-GULU-24HRS'!C97,'05.08, KARUMA-GULU-24HRS'!C97)</f>
        <v>4.5210084033613445</v>
      </c>
      <c r="D97" s="49">
        <f>AVERAGE('03.08 KARUMA-GULU-24HRS'!D97,'05.08, KARUMA-GULU-24HRS'!D97)</f>
        <v>2.7605042016806722</v>
      </c>
      <c r="E97" s="49">
        <f>AVERAGE('03.08 KARUMA-GULU-24HRS'!E97,'05.08, KARUMA-GULU-24HRS'!E97)</f>
        <v>6.0210084033613445</v>
      </c>
      <c r="F97" s="49">
        <f>AVERAGE('03.08 KARUMA-GULU-24HRS'!F97,'05.08, KARUMA-GULU-24HRS'!F97)</f>
        <v>3.8403361344537816</v>
      </c>
      <c r="G97" s="49">
        <f>AVERAGE('03.08 KARUMA-GULU-24HRS'!G97,'05.08, KARUMA-GULU-24HRS'!G97)</f>
        <v>0</v>
      </c>
      <c r="H97" s="49">
        <f>AVERAGE('03.08 KARUMA-GULU-24HRS'!H97,'05.08, KARUMA-GULU-24HRS'!H97)</f>
        <v>0</v>
      </c>
      <c r="I97" s="49">
        <f>AVERAGE('03.08 KARUMA-GULU-24HRS'!I97,'05.08, KARUMA-GULU-24HRS'!I97)</f>
        <v>1.9201680672268908</v>
      </c>
      <c r="J97" s="49">
        <f>AVERAGE('03.08 KARUMA-GULU-24HRS'!J97,'05.08, KARUMA-GULU-24HRS'!J97)</f>
        <v>0.92016806722689082</v>
      </c>
      <c r="K97" s="49">
        <f>AVERAGE('03.08 KARUMA-GULU-24HRS'!K97,'05.08, KARUMA-GULU-24HRS'!K97)</f>
        <v>0</v>
      </c>
      <c r="L97" s="49">
        <f>AVERAGE('03.08 KARUMA-GULU-24HRS'!L97,'05.08, KARUMA-GULU-24HRS'!L97)</f>
        <v>0.42016806722689076</v>
      </c>
      <c r="M97" s="49">
        <f>AVERAGE('03.08 KARUMA-GULU-24HRS'!M97,'05.08, KARUMA-GULU-24HRS'!M97)</f>
        <v>0</v>
      </c>
      <c r="N97" s="49">
        <f>AVERAGE('03.08 KARUMA-GULU-24HRS'!N97,'05.08, KARUMA-GULU-24HRS'!N97)</f>
        <v>0</v>
      </c>
      <c r="O97" s="15">
        <f t="shared" si="35"/>
        <v>20.40336134453781</v>
      </c>
      <c r="P97" s="15">
        <f t="shared" si="36"/>
        <v>20.40336134453781</v>
      </c>
      <c r="R97" s="8"/>
      <c r="T97"/>
    </row>
    <row r="98" spans="2:20" ht="23.1" customHeight="1" x14ac:dyDescent="0.25">
      <c r="B98" s="24" t="s">
        <v>138</v>
      </c>
      <c r="C98" s="49">
        <f>AVERAGE('03.08 KARUMA-GULU-24HRS'!C98,'05.08, KARUMA-GULU-24HRS'!C98)</f>
        <v>4.5210084033613445</v>
      </c>
      <c r="D98" s="49">
        <f>AVERAGE('03.08 KARUMA-GULU-24HRS'!D98,'05.08, KARUMA-GULU-24HRS'!D98)</f>
        <v>3.8403361344537816</v>
      </c>
      <c r="E98" s="49">
        <f>AVERAGE('03.08 KARUMA-GULU-24HRS'!E98,'05.08, KARUMA-GULU-24HRS'!E98)</f>
        <v>8.1008403361344534</v>
      </c>
      <c r="F98" s="49">
        <f>AVERAGE('03.08 KARUMA-GULU-24HRS'!F98,'05.08, KARUMA-GULU-24HRS'!F98)</f>
        <v>0.5</v>
      </c>
      <c r="G98" s="49">
        <f>AVERAGE('03.08 KARUMA-GULU-24HRS'!G98,'05.08, KARUMA-GULU-24HRS'!G98)</f>
        <v>0</v>
      </c>
      <c r="H98" s="49">
        <f>AVERAGE('03.08 KARUMA-GULU-24HRS'!H98,'05.08, KARUMA-GULU-24HRS'!H98)</f>
        <v>0.92016806722689082</v>
      </c>
      <c r="I98" s="49">
        <f>AVERAGE('03.08 KARUMA-GULU-24HRS'!I98,'05.08, KARUMA-GULU-24HRS'!I98)</f>
        <v>2.3403361344537816</v>
      </c>
      <c r="J98" s="49">
        <f>AVERAGE('03.08 KARUMA-GULU-24HRS'!J98,'05.08, KARUMA-GULU-24HRS'!J98)</f>
        <v>0.42016806722689076</v>
      </c>
      <c r="K98" s="49">
        <f>AVERAGE('03.08 KARUMA-GULU-24HRS'!K98,'05.08, KARUMA-GULU-24HRS'!K98)</f>
        <v>0</v>
      </c>
      <c r="L98" s="49">
        <f>AVERAGE('03.08 KARUMA-GULU-24HRS'!L98,'05.08, KARUMA-GULU-24HRS'!L98)</f>
        <v>0</v>
      </c>
      <c r="M98" s="49">
        <f>AVERAGE('03.08 KARUMA-GULU-24HRS'!M98,'05.08, KARUMA-GULU-24HRS'!M98)</f>
        <v>0</v>
      </c>
      <c r="N98" s="49">
        <f>AVERAGE('03.08 KARUMA-GULU-24HRS'!N98,'05.08, KARUMA-GULU-24HRS'!N98)</f>
        <v>0</v>
      </c>
      <c r="O98" s="15">
        <f t="shared" si="35"/>
        <v>20.642857142857142</v>
      </c>
      <c r="P98" s="15">
        <f t="shared" si="36"/>
        <v>20.642857142857142</v>
      </c>
      <c r="R98" s="8"/>
      <c r="T98"/>
    </row>
    <row r="99" spans="2:20" ht="23.1" customHeight="1" x14ac:dyDescent="0.25">
      <c r="B99" s="23" t="s">
        <v>139</v>
      </c>
      <c r="C99" s="49">
        <f>AVERAGE('03.08 KARUMA-GULU-24HRS'!C99,'05.08, KARUMA-GULU-24HRS'!C99)</f>
        <v>8.6428571428571423</v>
      </c>
      <c r="D99" s="49">
        <f>AVERAGE('03.08 KARUMA-GULU-24HRS'!D99,'05.08, KARUMA-GULU-24HRS'!D99)</f>
        <v>4.2605042016806722</v>
      </c>
      <c r="E99" s="49">
        <f>AVERAGE('03.08 KARUMA-GULU-24HRS'!E99,'05.08, KARUMA-GULU-24HRS'!E99)</f>
        <v>9.4411764705882355</v>
      </c>
      <c r="F99" s="49">
        <f>AVERAGE('03.08 KARUMA-GULU-24HRS'!F99,'05.08, KARUMA-GULU-24HRS'!F99)</f>
        <v>0.92016806722689082</v>
      </c>
      <c r="G99" s="49">
        <f>AVERAGE('03.08 KARUMA-GULU-24HRS'!G99,'05.08, KARUMA-GULU-24HRS'!G99)</f>
        <v>0</v>
      </c>
      <c r="H99" s="49">
        <f>AVERAGE('03.08 KARUMA-GULU-24HRS'!H99,'05.08, KARUMA-GULU-24HRS'!H99)</f>
        <v>0.42016806722689076</v>
      </c>
      <c r="I99" s="49">
        <f>AVERAGE('03.08 KARUMA-GULU-24HRS'!I99,'05.08, KARUMA-GULU-24HRS'!I99)</f>
        <v>2.6806722689075633</v>
      </c>
      <c r="J99" s="49">
        <f>AVERAGE('03.08 KARUMA-GULU-24HRS'!J99,'05.08, KARUMA-GULU-24HRS'!J99)</f>
        <v>0.92016806722689082</v>
      </c>
      <c r="K99" s="49">
        <f>AVERAGE('03.08 KARUMA-GULU-24HRS'!K99,'05.08, KARUMA-GULU-24HRS'!K99)</f>
        <v>0.42016806722689076</v>
      </c>
      <c r="L99" s="49">
        <f>AVERAGE('03.08 KARUMA-GULU-24HRS'!L99,'05.08, KARUMA-GULU-24HRS'!L99)</f>
        <v>1.9201680672268908</v>
      </c>
      <c r="M99" s="49">
        <f>AVERAGE('03.08 KARUMA-GULU-24HRS'!M99,'05.08, KARUMA-GULU-24HRS'!M99)</f>
        <v>0</v>
      </c>
      <c r="N99" s="49">
        <f>AVERAGE('03.08 KARUMA-GULU-24HRS'!N99,'05.08, KARUMA-GULU-24HRS'!N99)</f>
        <v>0</v>
      </c>
      <c r="O99" s="15">
        <f t="shared" si="35"/>
        <v>29.62605042016806</v>
      </c>
      <c r="P99" s="15">
        <f t="shared" si="36"/>
        <v>29.62605042016806</v>
      </c>
      <c r="R99" s="8"/>
      <c r="T99"/>
    </row>
    <row r="100" spans="2:20" ht="23.1" customHeight="1" x14ac:dyDescent="0.25">
      <c r="B100" s="25" t="s">
        <v>140</v>
      </c>
      <c r="C100" s="49">
        <f>AVERAGE('03.08 KARUMA-GULU-24HRS'!C100,'05.08, KARUMA-GULU-24HRS'!C100)</f>
        <v>8.302521008403362</v>
      </c>
      <c r="D100" s="49">
        <f>AVERAGE('03.08 KARUMA-GULU-24HRS'!D100,'05.08, KARUMA-GULU-24HRS'!D100)</f>
        <v>3.6806722689075633</v>
      </c>
      <c r="E100" s="49">
        <f>AVERAGE('03.08 KARUMA-GULU-24HRS'!E100,'05.08, KARUMA-GULU-24HRS'!E100)</f>
        <v>7.8613445378151265</v>
      </c>
      <c r="F100" s="49">
        <f>AVERAGE('03.08 KARUMA-GULU-24HRS'!F100,'05.08, KARUMA-GULU-24HRS'!F100)</f>
        <v>2.7605042016806722</v>
      </c>
      <c r="G100" s="49">
        <f>AVERAGE('03.08 KARUMA-GULU-24HRS'!G100,'05.08, KARUMA-GULU-24HRS'!G100)</f>
        <v>0</v>
      </c>
      <c r="H100" s="49">
        <f>AVERAGE('03.08 KARUMA-GULU-24HRS'!H100,'05.08, KARUMA-GULU-24HRS'!H100)</f>
        <v>0.92016806722689082</v>
      </c>
      <c r="I100" s="49">
        <f>AVERAGE('03.08 KARUMA-GULU-24HRS'!I100,'05.08, KARUMA-GULU-24HRS'!I100)</f>
        <v>3.5</v>
      </c>
      <c r="J100" s="49">
        <f>AVERAGE('03.08 KARUMA-GULU-24HRS'!J100,'05.08, KARUMA-GULU-24HRS'!J100)</f>
        <v>0</v>
      </c>
      <c r="K100" s="49">
        <f>AVERAGE('03.08 KARUMA-GULU-24HRS'!K100,'05.08, KARUMA-GULU-24HRS'!K100)</f>
        <v>0</v>
      </c>
      <c r="L100" s="49">
        <f>AVERAGE('03.08 KARUMA-GULU-24HRS'!L100,'05.08, KARUMA-GULU-24HRS'!L100)</f>
        <v>2.6806722689075633</v>
      </c>
      <c r="M100" s="49">
        <f>AVERAGE('03.08 KARUMA-GULU-24HRS'!M100,'05.08, KARUMA-GULU-24HRS'!M100)</f>
        <v>2</v>
      </c>
      <c r="N100" s="49">
        <f>AVERAGE('03.08 KARUMA-GULU-24HRS'!N100,'05.08, KARUMA-GULU-24HRS'!N100)</f>
        <v>0</v>
      </c>
      <c r="O100" s="15">
        <f t="shared" si="35"/>
        <v>29.705882352941178</v>
      </c>
      <c r="P100" s="15">
        <f t="shared" si="36"/>
        <v>31.705882352941178</v>
      </c>
      <c r="R100" s="8"/>
      <c r="T100"/>
    </row>
    <row r="101" spans="2:20" ht="23.1" customHeight="1" x14ac:dyDescent="0.25">
      <c r="B101" s="23" t="s">
        <v>141</v>
      </c>
      <c r="C101" s="49">
        <f>AVERAGE('03.08 KARUMA-GULU-24HRS'!C101,'05.08, KARUMA-GULU-24HRS'!C101)</f>
        <v>5.96218487394958</v>
      </c>
      <c r="D101" s="49">
        <f>AVERAGE('03.08 KARUMA-GULU-24HRS'!D101,'05.08, KARUMA-GULU-24HRS'!D101)</f>
        <v>5.0210084033613445</v>
      </c>
      <c r="E101" s="49">
        <f>AVERAGE('03.08 KARUMA-GULU-24HRS'!E101,'05.08, KARUMA-GULU-24HRS'!E101)</f>
        <v>10.542016806722689</v>
      </c>
      <c r="F101" s="49">
        <f>AVERAGE('03.08 KARUMA-GULU-24HRS'!F101,'05.08, KARUMA-GULU-24HRS'!F101)</f>
        <v>1.3403361344537816</v>
      </c>
      <c r="G101" s="49">
        <f>AVERAGE('03.08 KARUMA-GULU-24HRS'!G101,'05.08, KARUMA-GULU-24HRS'!G101)</f>
        <v>0</v>
      </c>
      <c r="H101" s="49">
        <f>AVERAGE('03.08 KARUMA-GULU-24HRS'!H101,'05.08, KARUMA-GULU-24HRS'!H101)</f>
        <v>0</v>
      </c>
      <c r="I101" s="49">
        <f>AVERAGE('03.08 KARUMA-GULU-24HRS'!I101,'05.08, KARUMA-GULU-24HRS'!I101)</f>
        <v>1.4201680672268908</v>
      </c>
      <c r="J101" s="49">
        <f>AVERAGE('03.08 KARUMA-GULU-24HRS'!J101,'05.08, KARUMA-GULU-24HRS'!J101)</f>
        <v>0</v>
      </c>
      <c r="K101" s="49">
        <f>AVERAGE('03.08 KARUMA-GULU-24HRS'!K101,'05.08, KARUMA-GULU-24HRS'!K101)</f>
        <v>0.42016806722689076</v>
      </c>
      <c r="L101" s="49">
        <f>AVERAGE('03.08 KARUMA-GULU-24HRS'!L101,'05.08, KARUMA-GULU-24HRS'!L101)</f>
        <v>1.3403361344537816</v>
      </c>
      <c r="M101" s="49">
        <f>AVERAGE('03.08 KARUMA-GULU-24HRS'!M101,'05.08, KARUMA-GULU-24HRS'!M101)</f>
        <v>5</v>
      </c>
      <c r="N101" s="49">
        <f>AVERAGE('03.08 KARUMA-GULU-24HRS'!N101,'05.08, KARUMA-GULU-24HRS'!N101)</f>
        <v>0</v>
      </c>
      <c r="O101" s="15">
        <f t="shared" si="35"/>
        <v>26.046218487394956</v>
      </c>
      <c r="P101" s="15">
        <f t="shared" si="36"/>
        <v>31.046218487394956</v>
      </c>
      <c r="R101" s="8"/>
      <c r="T101"/>
    </row>
    <row r="102" spans="2:20" ht="23.1" customHeight="1" x14ac:dyDescent="0.25">
      <c r="B102" s="24" t="s">
        <v>142</v>
      </c>
      <c r="C102" s="49">
        <f>AVERAGE('03.08 KARUMA-GULU-24HRS'!C102,'05.08, KARUMA-GULU-24HRS'!C102)</f>
        <v>6.6218487394957988</v>
      </c>
      <c r="D102" s="49">
        <f>AVERAGE('03.08 KARUMA-GULU-24HRS'!D102,'05.08, KARUMA-GULU-24HRS'!D102)</f>
        <v>5.7815126050420176</v>
      </c>
      <c r="E102" s="49">
        <f>AVERAGE('03.08 KARUMA-GULU-24HRS'!E102,'05.08, KARUMA-GULU-24HRS'!E102)</f>
        <v>11.983193277310924</v>
      </c>
      <c r="F102" s="49">
        <f>AVERAGE('03.08 KARUMA-GULU-24HRS'!F102,'05.08, KARUMA-GULU-24HRS'!F102)</f>
        <v>2.2605042016806722</v>
      </c>
      <c r="G102" s="49">
        <f>AVERAGE('03.08 KARUMA-GULU-24HRS'!G102,'05.08, KARUMA-GULU-24HRS'!G102)</f>
        <v>0</v>
      </c>
      <c r="H102" s="49">
        <f>AVERAGE('03.08 KARUMA-GULU-24HRS'!H102,'05.08, KARUMA-GULU-24HRS'!H102)</f>
        <v>1.5</v>
      </c>
      <c r="I102" s="49">
        <f>AVERAGE('03.08 KARUMA-GULU-24HRS'!I102,'05.08, KARUMA-GULU-24HRS'!I102)</f>
        <v>0.5</v>
      </c>
      <c r="J102" s="49">
        <f>AVERAGE('03.08 KARUMA-GULU-24HRS'!J102,'05.08, KARUMA-GULU-24HRS'!J102)</f>
        <v>0</v>
      </c>
      <c r="K102" s="49">
        <f>AVERAGE('03.08 KARUMA-GULU-24HRS'!K102,'05.08, KARUMA-GULU-24HRS'!K102)</f>
        <v>0</v>
      </c>
      <c r="L102" s="49">
        <f>AVERAGE('03.08 KARUMA-GULU-24HRS'!L102,'05.08, KARUMA-GULU-24HRS'!L102)</f>
        <v>3.0210084033613445</v>
      </c>
      <c r="M102" s="49">
        <f>AVERAGE('03.08 KARUMA-GULU-24HRS'!M102,'05.08, KARUMA-GULU-24HRS'!M102)</f>
        <v>5.5</v>
      </c>
      <c r="N102" s="49">
        <f>AVERAGE('03.08 KARUMA-GULU-24HRS'!N102,'05.08, KARUMA-GULU-24HRS'!N102)</f>
        <v>0</v>
      </c>
      <c r="O102" s="15">
        <f t="shared" si="35"/>
        <v>31.668067226890756</v>
      </c>
      <c r="P102" s="15">
        <f t="shared" si="36"/>
        <v>37.168067226890756</v>
      </c>
      <c r="R102" s="8"/>
      <c r="T102"/>
    </row>
    <row r="103" spans="2:20" ht="23.1" customHeight="1" x14ac:dyDescent="0.25">
      <c r="B103" s="23" t="s">
        <v>143</v>
      </c>
      <c r="C103" s="49">
        <f>AVERAGE('03.08 KARUMA-GULU-24HRS'!C103,'05.08, KARUMA-GULU-24HRS'!C103)</f>
        <v>6.96218487394958</v>
      </c>
      <c r="D103" s="49">
        <f>AVERAGE('03.08 KARUMA-GULU-24HRS'!D103,'05.08, KARUMA-GULU-24HRS'!D103)</f>
        <v>3.1806722689075633</v>
      </c>
      <c r="E103" s="49">
        <f>AVERAGE('03.08 KARUMA-GULU-24HRS'!E103,'05.08, KARUMA-GULU-24HRS'!E103)</f>
        <v>7.2815126050420176</v>
      </c>
      <c r="F103" s="49">
        <f>AVERAGE('03.08 KARUMA-GULU-24HRS'!F103,'05.08, KARUMA-GULU-24HRS'!F103)</f>
        <v>1.8403361344537816</v>
      </c>
      <c r="G103" s="49">
        <f>AVERAGE('03.08 KARUMA-GULU-24HRS'!G103,'05.08, KARUMA-GULU-24HRS'!G103)</f>
        <v>0.5</v>
      </c>
      <c r="H103" s="49">
        <f>AVERAGE('03.08 KARUMA-GULU-24HRS'!H103,'05.08, KARUMA-GULU-24HRS'!H103)</f>
        <v>0.92016806722689082</v>
      </c>
      <c r="I103" s="49">
        <f>AVERAGE('03.08 KARUMA-GULU-24HRS'!I103,'05.08, KARUMA-GULU-24HRS'!I103)</f>
        <v>4.1008403361344534</v>
      </c>
      <c r="J103" s="49">
        <f>AVERAGE('03.08 KARUMA-GULU-24HRS'!J103,'05.08, KARUMA-GULU-24HRS'!J103)</f>
        <v>0.84033613445378152</v>
      </c>
      <c r="K103" s="49">
        <f>AVERAGE('03.08 KARUMA-GULU-24HRS'!K103,'05.08, KARUMA-GULU-24HRS'!K103)</f>
        <v>0.84033613445378152</v>
      </c>
      <c r="L103" s="49">
        <f>AVERAGE('03.08 KARUMA-GULU-24HRS'!L103,'05.08, KARUMA-GULU-24HRS'!L103)</f>
        <v>3.6806722689075633</v>
      </c>
      <c r="M103" s="49">
        <f>AVERAGE('03.08 KARUMA-GULU-24HRS'!M103,'05.08, KARUMA-GULU-24HRS'!M103)</f>
        <v>6</v>
      </c>
      <c r="N103" s="49">
        <f>AVERAGE('03.08 KARUMA-GULU-24HRS'!N103,'05.08, KARUMA-GULU-24HRS'!N103)</f>
        <v>0</v>
      </c>
      <c r="O103" s="15">
        <f t="shared" si="35"/>
        <v>30.147058823529413</v>
      </c>
      <c r="P103" s="15">
        <f t="shared" si="36"/>
        <v>36.147058823529413</v>
      </c>
      <c r="R103" s="8"/>
      <c r="T103"/>
    </row>
    <row r="104" spans="2:20" ht="23.1" customHeight="1" x14ac:dyDescent="0.25">
      <c r="B104" s="25" t="s">
        <v>144</v>
      </c>
      <c r="C104" s="49">
        <f>AVERAGE('03.08 KARUMA-GULU-24HRS'!C104,'05.08, KARUMA-GULU-24HRS'!C104)</f>
        <v>7.1218487394957988</v>
      </c>
      <c r="D104" s="49">
        <f>AVERAGE('03.08 KARUMA-GULU-24HRS'!D104,'05.08, KARUMA-GULU-24HRS'!D104)</f>
        <v>5.7016806722689077</v>
      </c>
      <c r="E104" s="49">
        <f>AVERAGE('03.08 KARUMA-GULU-24HRS'!E104,'05.08, KARUMA-GULU-24HRS'!E104)</f>
        <v>11.403361344537815</v>
      </c>
      <c r="F104" s="49">
        <f>AVERAGE('03.08 KARUMA-GULU-24HRS'!F104,'05.08, KARUMA-GULU-24HRS'!F104)</f>
        <v>4.6806722689075633</v>
      </c>
      <c r="G104" s="49">
        <f>AVERAGE('03.08 KARUMA-GULU-24HRS'!G104,'05.08, KARUMA-GULU-24HRS'!G104)</f>
        <v>0.42016806722689076</v>
      </c>
      <c r="H104" s="49">
        <f>AVERAGE('03.08 KARUMA-GULU-24HRS'!H104,'05.08, KARUMA-GULU-24HRS'!H104)</f>
        <v>0.42016806722689076</v>
      </c>
      <c r="I104" s="49">
        <f>AVERAGE('03.08 KARUMA-GULU-24HRS'!I104,'05.08, KARUMA-GULU-24HRS'!I104)</f>
        <v>3.7605042016806722</v>
      </c>
      <c r="J104" s="49">
        <f>AVERAGE('03.08 KARUMA-GULU-24HRS'!J104,'05.08, KARUMA-GULU-24HRS'!J104)</f>
        <v>0</v>
      </c>
      <c r="K104" s="49">
        <f>AVERAGE('03.08 KARUMA-GULU-24HRS'!K104,'05.08, KARUMA-GULU-24HRS'!K104)</f>
        <v>0</v>
      </c>
      <c r="L104" s="49">
        <f>AVERAGE('03.08 KARUMA-GULU-24HRS'!L104,'05.08, KARUMA-GULU-24HRS'!L104)</f>
        <v>3.1806722689075633</v>
      </c>
      <c r="M104" s="49">
        <f>AVERAGE('03.08 KARUMA-GULU-24HRS'!M104,'05.08, KARUMA-GULU-24HRS'!M104)</f>
        <v>7</v>
      </c>
      <c r="N104" s="49">
        <f>AVERAGE('03.08 KARUMA-GULU-24HRS'!N104,'05.08, KARUMA-GULU-24HRS'!N104)</f>
        <v>0</v>
      </c>
      <c r="O104" s="15">
        <f t="shared" si="35"/>
        <v>36.689075630252105</v>
      </c>
      <c r="P104" s="15">
        <f t="shared" si="36"/>
        <v>43.689075630252105</v>
      </c>
      <c r="R104" s="8"/>
      <c r="T104"/>
    </row>
    <row r="105" spans="2:20" ht="23.1" customHeight="1" x14ac:dyDescent="0.25">
      <c r="B105" s="23" t="s">
        <v>145</v>
      </c>
      <c r="C105" s="49">
        <f>AVERAGE('03.08 KARUMA-GULU-24HRS'!C105,'05.08, KARUMA-GULU-24HRS'!C105)</f>
        <v>7.7815126050420176</v>
      </c>
      <c r="D105" s="49">
        <f>AVERAGE('03.08 KARUMA-GULU-24HRS'!D105,'05.08, KARUMA-GULU-24HRS'!D105)</f>
        <v>5.2815126050420176</v>
      </c>
      <c r="E105" s="49">
        <f>AVERAGE('03.08 KARUMA-GULU-24HRS'!E105,'05.08, KARUMA-GULU-24HRS'!E105)</f>
        <v>10.563025210084035</v>
      </c>
      <c r="F105" s="49">
        <f>AVERAGE('03.08 KARUMA-GULU-24HRS'!F105,'05.08, KARUMA-GULU-24HRS'!F105)</f>
        <v>4.5</v>
      </c>
      <c r="G105" s="49">
        <f>AVERAGE('03.08 KARUMA-GULU-24HRS'!G105,'05.08, KARUMA-GULU-24HRS'!G105)</f>
        <v>0</v>
      </c>
      <c r="H105" s="49">
        <f>AVERAGE('03.08 KARUMA-GULU-24HRS'!H105,'05.08, KARUMA-GULU-24HRS'!H105)</f>
        <v>0.5</v>
      </c>
      <c r="I105" s="49">
        <f>AVERAGE('03.08 KARUMA-GULU-24HRS'!I105,'05.08, KARUMA-GULU-24HRS'!I105)</f>
        <v>2.9201680672268906</v>
      </c>
      <c r="J105" s="49">
        <f>AVERAGE('03.08 KARUMA-GULU-24HRS'!J105,'05.08, KARUMA-GULU-24HRS'!J105)</f>
        <v>0.42016806722689076</v>
      </c>
      <c r="K105" s="49">
        <f>AVERAGE('03.08 KARUMA-GULU-24HRS'!K105,'05.08, KARUMA-GULU-24HRS'!K105)</f>
        <v>0</v>
      </c>
      <c r="L105" s="49">
        <f>AVERAGE('03.08 KARUMA-GULU-24HRS'!L105,'05.08, KARUMA-GULU-24HRS'!L105)</f>
        <v>2</v>
      </c>
      <c r="M105" s="49">
        <f>AVERAGE('03.08 KARUMA-GULU-24HRS'!M105,'05.08, KARUMA-GULU-24HRS'!M105)</f>
        <v>9.5</v>
      </c>
      <c r="N105" s="49">
        <f>AVERAGE('03.08 KARUMA-GULU-24HRS'!N105,'05.08, KARUMA-GULU-24HRS'!N105)</f>
        <v>0</v>
      </c>
      <c r="O105" s="15">
        <f t="shared" si="35"/>
        <v>33.966386554621849</v>
      </c>
      <c r="P105" s="15">
        <f t="shared" si="36"/>
        <v>43.466386554621849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516.72268907563057</v>
      </c>
      <c r="D106" s="16">
        <f t="shared" ref="D106:P106" si="37">SUM(D10:D105)</f>
        <v>197.18367346938783</v>
      </c>
      <c r="E106" s="16">
        <f t="shared" si="37"/>
        <v>432.88895558223305</v>
      </c>
      <c r="F106" s="16">
        <f t="shared" si="37"/>
        <v>109.79471788715489</v>
      </c>
      <c r="G106" s="16">
        <f t="shared" si="37"/>
        <v>15.885954381752706</v>
      </c>
      <c r="H106" s="16">
        <f t="shared" si="37"/>
        <v>33.004201680672253</v>
      </c>
      <c r="I106" s="16">
        <f t="shared" si="37"/>
        <v>184.58943577430981</v>
      </c>
      <c r="J106" s="16">
        <f t="shared" si="37"/>
        <v>44.207683073229269</v>
      </c>
      <c r="K106" s="16">
        <f t="shared" si="37"/>
        <v>9.5384153661464595</v>
      </c>
      <c r="L106" s="16">
        <f t="shared" si="37"/>
        <v>153.99699879951976</v>
      </c>
      <c r="M106" s="16">
        <f t="shared" si="37"/>
        <v>3429.8142857142861</v>
      </c>
      <c r="N106" s="16">
        <f t="shared" si="37"/>
        <v>0.71428571428571419</v>
      </c>
      <c r="O106" s="16">
        <f t="shared" si="37"/>
        <v>1698.5270108043221</v>
      </c>
      <c r="P106" s="16">
        <f t="shared" si="37"/>
        <v>5128.3412965186062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0.10075824895398629</v>
      </c>
      <c r="D107" s="43">
        <f t="shared" si="38"/>
        <v>3.8449795375991594E-2</v>
      </c>
      <c r="E107" s="43">
        <f t="shared" si="38"/>
        <v>8.4411104985563534E-2</v>
      </c>
      <c r="F107" s="43">
        <f t="shared" si="38"/>
        <v>2.1409401507986498E-2</v>
      </c>
      <c r="G107" s="43">
        <f t="shared" si="38"/>
        <v>3.0976788523292991E-3</v>
      </c>
      <c r="H107" s="43">
        <f t="shared" si="38"/>
        <v>6.4356484431091357E-3</v>
      </c>
      <c r="I107" s="43">
        <f t="shared" si="38"/>
        <v>3.5993984234165353E-2</v>
      </c>
      <c r="J107" s="43">
        <f t="shared" si="38"/>
        <v>8.620269306810726E-3</v>
      </c>
      <c r="K107" s="43">
        <f t="shared" si="38"/>
        <v>1.8599416097016882E-3</v>
      </c>
      <c r="L107" s="43">
        <f t="shared" si="38"/>
        <v>3.0028617421399235E-2</v>
      </c>
      <c r="M107" s="43">
        <f t="shared" si="38"/>
        <v>0.6687960272930018</v>
      </c>
      <c r="N107" s="43">
        <f t="shared" si="38"/>
        <v>1.3928201595525823E-4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0.30421811710308994</v>
      </c>
      <c r="D108" s="44">
        <f t="shared" ref="D108:N108" si="39">D106/$O$106</f>
        <v>0.11609098484457617</v>
      </c>
      <c r="E108" s="44">
        <f t="shared" si="39"/>
        <v>0.25486139038627498</v>
      </c>
      <c r="F108" s="44">
        <f t="shared" si="39"/>
        <v>6.4641137402438237E-2</v>
      </c>
      <c r="G108" s="44">
        <f t="shared" si="39"/>
        <v>9.3527828999493239E-3</v>
      </c>
      <c r="H108" s="44">
        <f t="shared" si="39"/>
        <v>1.9431072612170832E-2</v>
      </c>
      <c r="I108" s="44">
        <f t="shared" si="39"/>
        <v>0.1086761850710276</v>
      </c>
      <c r="J108" s="44">
        <f t="shared" si="39"/>
        <v>2.6027070980929011E-2</v>
      </c>
      <c r="K108" s="44">
        <f t="shared" si="39"/>
        <v>5.6156983701010615E-3</v>
      </c>
      <c r="L108" s="44">
        <f t="shared" si="39"/>
        <v>9.0665027885895005E-2</v>
      </c>
      <c r="M108" s="44"/>
      <c r="N108" s="44">
        <f t="shared" si="39"/>
        <v>4.2053244354793665E-4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E103" sqref="E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'7.08 KARUMA-GULU'!C3:G3</f>
        <v>MCC - C5- STN116 -GULU-KARUMA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'Avg Week KARUMA-GULU'!G5:H5</f>
        <v>xxx</v>
      </c>
      <c r="H5" s="67"/>
      <c r="I5" s="14"/>
      <c r="J5" s="2" t="s">
        <v>5</v>
      </c>
      <c r="K5" s="66" t="str">
        <f>'Avg Week KARUMA-GULU'!K5:L5</f>
        <v>xxx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KARUMA-GULU'!K6:L6</f>
        <v>xxx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GULU-KARUMA'!C10+'Avg Week KARUMA-GULU'!C10</f>
        <v>3.9771908763505399</v>
      </c>
      <c r="D10" s="49">
        <f>'Avg Week GULU-KARUMA'!D10+'Avg Week KARUMA-GULU'!D10</f>
        <v>1</v>
      </c>
      <c r="E10" s="49">
        <f>'Avg Week GULU-KARUMA'!E10+'Avg Week KARUMA-GULU'!E10</f>
        <v>2.7142857142857144</v>
      </c>
      <c r="F10" s="49">
        <f>'Avg Week GULU-KARUMA'!F10+'Avg Week KARUMA-GULU'!F10</f>
        <v>1.2857142857142856</v>
      </c>
      <c r="G10" s="49">
        <f>'Avg Week GULU-KARUMA'!G10+'Avg Week KARUMA-GULU'!G10</f>
        <v>0.2857142857142857</v>
      </c>
      <c r="H10" s="49">
        <f>'Avg Week GULU-KARUMA'!H10+'Avg Week KARUMA-GULU'!H10</f>
        <v>0.54861944777911165</v>
      </c>
      <c r="I10" s="49">
        <f>'Avg Week GULU-KARUMA'!I10+'Avg Week KARUMA-GULU'!I10</f>
        <v>1.1428571428571428</v>
      </c>
      <c r="J10" s="49">
        <f>'Avg Week GULU-KARUMA'!J10+'Avg Week KARUMA-GULU'!J10</f>
        <v>1.1200480192076832</v>
      </c>
      <c r="K10" s="49">
        <f>'Avg Week GULU-KARUMA'!K10+'Avg Week KARUMA-GULU'!K10</f>
        <v>0.14285714285714285</v>
      </c>
      <c r="L10" s="49">
        <f>'Avg Week GULU-KARUMA'!L10+'Avg Week KARUMA-GULU'!L10</f>
        <v>2.4285714285714288</v>
      </c>
      <c r="M10" s="49">
        <f>'Avg Week GULU-KARUMA'!M10+'Avg Week KARUMA-GULU'!M10</f>
        <v>91</v>
      </c>
      <c r="N10" s="49">
        <f>'Avg Week GULU-KARUMA'!N10+'Avg Week KARUMA-GULU'!N10</f>
        <v>0</v>
      </c>
      <c r="O10" s="15">
        <f t="shared" ref="O10:O73" si="0">SUM(C10:L10,N10)</f>
        <v>14.645858343337336</v>
      </c>
      <c r="P10" s="15">
        <f t="shared" ref="P10:P73" si="1">SUM(C10:N10)</f>
        <v>105.64585834333734</v>
      </c>
      <c r="R10" s="1" t="s">
        <v>6</v>
      </c>
      <c r="S10" s="17">
        <f t="shared" ref="S10:AF10" si="2">SUM(C10:C13)</f>
        <v>21.006002400960384</v>
      </c>
      <c r="T10" s="17">
        <f t="shared" si="2"/>
        <v>9.0060024009603836</v>
      </c>
      <c r="U10" s="17">
        <f t="shared" si="2"/>
        <v>21.109243697478995</v>
      </c>
      <c r="V10" s="17">
        <f t="shared" si="2"/>
        <v>6.6458583433373342</v>
      </c>
      <c r="W10" s="17">
        <f t="shared" si="2"/>
        <v>0.71428571428571419</v>
      </c>
      <c r="X10" s="17">
        <f t="shared" si="2"/>
        <v>2.7887154861944778</v>
      </c>
      <c r="Y10" s="17">
        <f t="shared" si="2"/>
        <v>8.7430972388955581</v>
      </c>
      <c r="Z10" s="17">
        <f t="shared" si="2"/>
        <v>3.2629051620648259</v>
      </c>
      <c r="AA10" s="17">
        <f t="shared" si="2"/>
        <v>0.2857142857142857</v>
      </c>
      <c r="AB10" s="17">
        <f t="shared" si="2"/>
        <v>10</v>
      </c>
      <c r="AC10" s="17">
        <f t="shared" si="2"/>
        <v>415.42857142857144</v>
      </c>
      <c r="AD10" s="17">
        <f t="shared" si="2"/>
        <v>0.14285714285714285</v>
      </c>
      <c r="AE10" s="31">
        <f t="shared" si="2"/>
        <v>83.704681872749106</v>
      </c>
      <c r="AF10" s="31">
        <f t="shared" si="2"/>
        <v>499.13325330132056</v>
      </c>
    </row>
    <row r="11" spans="2:32" s="6" customFormat="1" ht="23.1" customHeight="1" x14ac:dyDescent="0.25">
      <c r="B11" s="23" t="s">
        <v>38</v>
      </c>
      <c r="C11" s="49">
        <f>'Avg Week GULU-KARUMA'!C11+'Avg Week KARUMA-GULU'!C11</f>
        <v>4.8343337334933976</v>
      </c>
      <c r="D11" s="49">
        <f>'Avg Week GULU-KARUMA'!D11+'Avg Week KARUMA-GULU'!D11</f>
        <v>2.1200480192076832</v>
      </c>
      <c r="E11" s="49">
        <f>'Avg Week GULU-KARUMA'!E11+'Avg Week KARUMA-GULU'!E11</f>
        <v>4.6686674669867951</v>
      </c>
      <c r="F11" s="49">
        <f>'Avg Week GULU-KARUMA'!F11+'Avg Week KARUMA-GULU'!F11</f>
        <v>1.5714285714285714</v>
      </c>
      <c r="G11" s="49">
        <f>'Avg Week GULU-KARUMA'!G11+'Avg Week KARUMA-GULU'!G11</f>
        <v>0</v>
      </c>
      <c r="H11" s="49">
        <f>'Avg Week GULU-KARUMA'!H11+'Avg Week KARUMA-GULU'!H11</f>
        <v>0.2857142857142857</v>
      </c>
      <c r="I11" s="49">
        <f>'Avg Week GULU-KARUMA'!I11+'Avg Week KARUMA-GULU'!I11</f>
        <v>1.6914765906362543</v>
      </c>
      <c r="J11" s="49">
        <f>'Avg Week GULU-KARUMA'!J11+'Avg Week KARUMA-GULU'!J11</f>
        <v>0.71428571428571419</v>
      </c>
      <c r="K11" s="49">
        <f>'Avg Week GULU-KARUMA'!K11+'Avg Week KARUMA-GULU'!K11</f>
        <v>0</v>
      </c>
      <c r="L11" s="49">
        <f>'Avg Week GULU-KARUMA'!L11+'Avg Week KARUMA-GULU'!L11</f>
        <v>3.4285714285714284</v>
      </c>
      <c r="M11" s="49">
        <f>'Avg Week GULU-KARUMA'!M11+'Avg Week KARUMA-GULU'!M11</f>
        <v>90</v>
      </c>
      <c r="N11" s="49">
        <f>'Avg Week GULU-KARUMA'!N11+'Avg Week KARUMA-GULU'!N11</f>
        <v>0</v>
      </c>
      <c r="O11" s="15">
        <f t="shared" si="0"/>
        <v>19.314525810324128</v>
      </c>
      <c r="P11" s="15">
        <f t="shared" si="1"/>
        <v>109.31452581032413</v>
      </c>
      <c r="R11" s="1" t="s">
        <v>7</v>
      </c>
      <c r="S11" s="17">
        <f t="shared" ref="S11:AF11" si="3">SUM(C14:C17)</f>
        <v>40.749099639855942</v>
      </c>
      <c r="T11" s="17">
        <f t="shared" si="3"/>
        <v>14.372148859543817</v>
      </c>
      <c r="U11" s="17">
        <f t="shared" si="3"/>
        <v>33.03301320528211</v>
      </c>
      <c r="V11" s="17">
        <f t="shared" si="3"/>
        <v>8.525810324129651</v>
      </c>
      <c r="W11" s="17">
        <f t="shared" si="3"/>
        <v>1.1428571428571428</v>
      </c>
      <c r="X11" s="17">
        <f t="shared" si="3"/>
        <v>2.8115246098439375</v>
      </c>
      <c r="Y11" s="17">
        <f t="shared" si="3"/>
        <v>16.223289315726291</v>
      </c>
      <c r="Z11" s="17">
        <f t="shared" si="3"/>
        <v>4.7142857142857135</v>
      </c>
      <c r="AA11" s="17">
        <f t="shared" si="3"/>
        <v>0.71428571428571419</v>
      </c>
      <c r="AB11" s="17">
        <f t="shared" si="3"/>
        <v>8.977190876350539</v>
      </c>
      <c r="AC11" s="17">
        <f t="shared" si="3"/>
        <v>452.57142857142856</v>
      </c>
      <c r="AD11" s="17">
        <f t="shared" si="3"/>
        <v>0.2857142857142857</v>
      </c>
      <c r="AE11" s="31">
        <f t="shared" si="3"/>
        <v>131.54921968787517</v>
      </c>
      <c r="AF11" s="31">
        <f t="shared" si="3"/>
        <v>584.12064825930372</v>
      </c>
    </row>
    <row r="12" spans="2:32" ht="23.1" customHeight="1" x14ac:dyDescent="0.25">
      <c r="B12" s="23" t="s">
        <v>39</v>
      </c>
      <c r="C12" s="49">
        <f>'Avg Week GULU-KARUMA'!C12+'Avg Week KARUMA-GULU'!C12</f>
        <v>5.2629051620648264</v>
      </c>
      <c r="D12" s="49">
        <f>'Avg Week GULU-KARUMA'!D12+'Avg Week KARUMA-GULU'!D12</f>
        <v>2.8115246098439375</v>
      </c>
      <c r="E12" s="49">
        <f>'Avg Week GULU-KARUMA'!E12+'Avg Week KARUMA-GULU'!E12</f>
        <v>6.3145258103241293</v>
      </c>
      <c r="F12" s="49">
        <f>'Avg Week GULU-KARUMA'!F12+'Avg Week KARUMA-GULU'!F12</f>
        <v>1.4057623049219687</v>
      </c>
      <c r="G12" s="49">
        <f>'Avg Week GULU-KARUMA'!G12+'Avg Week KARUMA-GULU'!G12</f>
        <v>0.14285714285714285</v>
      </c>
      <c r="H12" s="49">
        <f>'Avg Week GULU-KARUMA'!H12+'Avg Week KARUMA-GULU'!H12</f>
        <v>1.5258103241296519</v>
      </c>
      <c r="I12" s="49">
        <f>'Avg Week GULU-KARUMA'!I12+'Avg Week KARUMA-GULU'!I12</f>
        <v>2.8343337334933976</v>
      </c>
      <c r="J12" s="49">
        <f>'Avg Week GULU-KARUMA'!J12+'Avg Week KARUMA-GULU'!J12</f>
        <v>0.42857142857142855</v>
      </c>
      <c r="K12" s="49">
        <f>'Avg Week GULU-KARUMA'!K12+'Avg Week KARUMA-GULU'!K12</f>
        <v>0</v>
      </c>
      <c r="L12" s="49">
        <f>'Avg Week GULU-KARUMA'!L12+'Avg Week KARUMA-GULU'!L12</f>
        <v>2.1428571428571428</v>
      </c>
      <c r="M12" s="49">
        <f>'Avg Week GULU-KARUMA'!M12+'Avg Week KARUMA-GULU'!M12</f>
        <v>109</v>
      </c>
      <c r="N12" s="49">
        <f>'Avg Week GULU-KARUMA'!N12+'Avg Week KARUMA-GULU'!N12</f>
        <v>0</v>
      </c>
      <c r="O12" s="15">
        <f t="shared" si="0"/>
        <v>22.869147659063625</v>
      </c>
      <c r="P12" s="15">
        <f t="shared" si="1"/>
        <v>131.86914765906363</v>
      </c>
      <c r="R12" s="1" t="s">
        <v>8</v>
      </c>
      <c r="S12" s="17">
        <f t="shared" ref="S12:AF12" si="4">SUM(C18:C21)</f>
        <v>40.212484993997592</v>
      </c>
      <c r="T12" s="17">
        <f t="shared" si="4"/>
        <v>15.154861944777911</v>
      </c>
      <c r="U12" s="17">
        <f t="shared" si="4"/>
        <v>34.527010804321726</v>
      </c>
      <c r="V12" s="17">
        <f t="shared" si="4"/>
        <v>10.794717887154862</v>
      </c>
      <c r="W12" s="17">
        <f t="shared" si="4"/>
        <v>1.1200480192076832</v>
      </c>
      <c r="X12" s="17">
        <f t="shared" si="4"/>
        <v>1.6914765906362546</v>
      </c>
      <c r="Y12" s="17">
        <f t="shared" si="4"/>
        <v>18.423769507803122</v>
      </c>
      <c r="Z12" s="17">
        <f t="shared" si="4"/>
        <v>4.8571428571428577</v>
      </c>
      <c r="AA12" s="17">
        <f t="shared" si="4"/>
        <v>0.71428571428571419</v>
      </c>
      <c r="AB12" s="17">
        <f t="shared" si="4"/>
        <v>10.217286914765905</v>
      </c>
      <c r="AC12" s="17">
        <f t="shared" si="4"/>
        <v>445.95714285714286</v>
      </c>
      <c r="AD12" s="17">
        <f t="shared" si="4"/>
        <v>0.2857142857142857</v>
      </c>
      <c r="AE12" s="31">
        <f t="shared" si="4"/>
        <v>137.9987995198079</v>
      </c>
      <c r="AF12" s="31">
        <f t="shared" si="4"/>
        <v>583.95594237695082</v>
      </c>
    </row>
    <row r="13" spans="2:32" ht="23.1" customHeight="1" x14ac:dyDescent="0.25">
      <c r="B13" s="23" t="s">
        <v>40</v>
      </c>
      <c r="C13" s="49">
        <f>'Avg Week GULU-KARUMA'!C13+'Avg Week KARUMA-GULU'!C13</f>
        <v>6.9315726290516206</v>
      </c>
      <c r="D13" s="49">
        <f>'Avg Week GULU-KARUMA'!D13+'Avg Week KARUMA-GULU'!D13</f>
        <v>3.0744297719087634</v>
      </c>
      <c r="E13" s="49">
        <f>'Avg Week GULU-KARUMA'!E13+'Avg Week KARUMA-GULU'!E13</f>
        <v>7.4117647058823533</v>
      </c>
      <c r="F13" s="49">
        <f>'Avg Week GULU-KARUMA'!F13+'Avg Week KARUMA-GULU'!F13</f>
        <v>2.3829531812725091</v>
      </c>
      <c r="G13" s="49">
        <f>'Avg Week GULU-KARUMA'!G13+'Avg Week KARUMA-GULU'!G13</f>
        <v>0.2857142857142857</v>
      </c>
      <c r="H13" s="49">
        <f>'Avg Week GULU-KARUMA'!H13+'Avg Week KARUMA-GULU'!H13</f>
        <v>0.42857142857142855</v>
      </c>
      <c r="I13" s="49">
        <f>'Avg Week GULU-KARUMA'!I13+'Avg Week KARUMA-GULU'!I13</f>
        <v>3.0744297719087634</v>
      </c>
      <c r="J13" s="49">
        <f>'Avg Week GULU-KARUMA'!J13+'Avg Week KARUMA-GULU'!J13</f>
        <v>1</v>
      </c>
      <c r="K13" s="49">
        <f>'Avg Week GULU-KARUMA'!K13+'Avg Week KARUMA-GULU'!K13</f>
        <v>0.14285714285714285</v>
      </c>
      <c r="L13" s="49">
        <f>'Avg Week GULU-KARUMA'!L13+'Avg Week KARUMA-GULU'!L13</f>
        <v>2</v>
      </c>
      <c r="M13" s="49">
        <f>'Avg Week GULU-KARUMA'!M13+'Avg Week KARUMA-GULU'!M13</f>
        <v>125.42857142857143</v>
      </c>
      <c r="N13" s="49">
        <f>'Avg Week GULU-KARUMA'!N13+'Avg Week KARUMA-GULU'!N13</f>
        <v>0.14285714285714285</v>
      </c>
      <c r="O13" s="15">
        <f t="shared" si="0"/>
        <v>26.875150060024009</v>
      </c>
      <c r="P13" s="15">
        <f t="shared" si="1"/>
        <v>152.30372148859544</v>
      </c>
      <c r="R13" s="1" t="s">
        <v>9</v>
      </c>
      <c r="S13" s="17">
        <f t="shared" ref="S13:AF13" si="5">SUM(C22:C25)</f>
        <v>40.61824729891957</v>
      </c>
      <c r="T13" s="17">
        <f t="shared" si="5"/>
        <v>14.983193277310923</v>
      </c>
      <c r="U13" s="17">
        <f t="shared" si="5"/>
        <v>34.683673469387756</v>
      </c>
      <c r="V13" s="17">
        <f t="shared" si="5"/>
        <v>9.4117647058823533</v>
      </c>
      <c r="W13" s="17">
        <f t="shared" si="5"/>
        <v>1.4285714285714286</v>
      </c>
      <c r="X13" s="17">
        <f t="shared" si="5"/>
        <v>3.2172869147659062</v>
      </c>
      <c r="Y13" s="17">
        <f t="shared" si="5"/>
        <v>16.560624249699881</v>
      </c>
      <c r="Z13" s="17">
        <f t="shared" si="5"/>
        <v>5.8571428571428577</v>
      </c>
      <c r="AA13" s="17">
        <f t="shared" si="5"/>
        <v>1.7142857142857142</v>
      </c>
      <c r="AB13" s="17">
        <f t="shared" si="5"/>
        <v>14.983193277310924</v>
      </c>
      <c r="AC13" s="17">
        <f t="shared" si="5"/>
        <v>398.78571428571422</v>
      </c>
      <c r="AD13" s="17">
        <f t="shared" si="5"/>
        <v>0.2857142857142857</v>
      </c>
      <c r="AE13" s="31">
        <f t="shared" si="5"/>
        <v>143.74369747899158</v>
      </c>
      <c r="AF13" s="31">
        <f t="shared" si="5"/>
        <v>542.52941176470597</v>
      </c>
    </row>
    <row r="14" spans="2:32" ht="23.1" customHeight="1" x14ac:dyDescent="0.25">
      <c r="B14" s="23" t="s">
        <v>41</v>
      </c>
      <c r="C14" s="49">
        <f>'Avg Week GULU-KARUMA'!C14+'Avg Week KARUMA-GULU'!C14</f>
        <v>9.097238895558224</v>
      </c>
      <c r="D14" s="49">
        <f>'Avg Week GULU-KARUMA'!D14+'Avg Week KARUMA-GULU'!D14</f>
        <v>4.1716686674669869</v>
      </c>
      <c r="E14" s="49">
        <f>'Avg Week GULU-KARUMA'!E14+'Avg Week KARUMA-GULU'!E14</f>
        <v>9.1776710684273723</v>
      </c>
      <c r="F14" s="49">
        <f>'Avg Week GULU-KARUMA'!F14+'Avg Week KARUMA-GULU'!F14</f>
        <v>1.1428571428571428</v>
      </c>
      <c r="G14" s="49">
        <f>'Avg Week GULU-KARUMA'!G14+'Avg Week KARUMA-GULU'!G14</f>
        <v>0.2857142857142857</v>
      </c>
      <c r="H14" s="49">
        <f>'Avg Week GULU-KARUMA'!H14+'Avg Week KARUMA-GULU'!H14</f>
        <v>0.42857142857142855</v>
      </c>
      <c r="I14" s="49">
        <f>'Avg Week GULU-KARUMA'!I14+'Avg Week KARUMA-GULU'!I14</f>
        <v>3.4057623049219687</v>
      </c>
      <c r="J14" s="49">
        <f>'Avg Week GULU-KARUMA'!J14+'Avg Week KARUMA-GULU'!J14</f>
        <v>0.42857142857142855</v>
      </c>
      <c r="K14" s="49">
        <f>'Avg Week GULU-KARUMA'!K14+'Avg Week KARUMA-GULU'!K14</f>
        <v>0.14285714285714285</v>
      </c>
      <c r="L14" s="49">
        <f>'Avg Week GULU-KARUMA'!L14+'Avg Week KARUMA-GULU'!L14</f>
        <v>1.8571428571428572</v>
      </c>
      <c r="M14" s="49">
        <f>'Avg Week GULU-KARUMA'!M14+'Avg Week KARUMA-GULU'!M14</f>
        <v>109</v>
      </c>
      <c r="N14" s="49">
        <f>'Avg Week GULU-KARUMA'!N14+'Avg Week KARUMA-GULU'!N14</f>
        <v>0.14285714285714285</v>
      </c>
      <c r="O14" s="15">
        <f t="shared" si="0"/>
        <v>30.280912364945973</v>
      </c>
      <c r="P14" s="15">
        <f t="shared" si="1"/>
        <v>139.28091236494598</v>
      </c>
      <c r="R14" s="1" t="s">
        <v>10</v>
      </c>
      <c r="S14" s="17">
        <f t="shared" ref="S14:AF14" si="6">SUM(C26:C29)</f>
        <v>41.092436974789919</v>
      </c>
      <c r="T14" s="17">
        <f t="shared" si="6"/>
        <v>18.13205282112845</v>
      </c>
      <c r="U14" s="17">
        <f t="shared" si="6"/>
        <v>41.075630252100837</v>
      </c>
      <c r="V14" s="17">
        <f t="shared" si="6"/>
        <v>9.051620648259302</v>
      </c>
      <c r="W14" s="17">
        <f t="shared" si="6"/>
        <v>0.5714285714285714</v>
      </c>
      <c r="X14" s="17">
        <f t="shared" si="6"/>
        <v>3.811524609843937</v>
      </c>
      <c r="Y14" s="17">
        <f t="shared" si="6"/>
        <v>19.063625450180073</v>
      </c>
      <c r="Z14" s="17">
        <f t="shared" si="6"/>
        <v>5</v>
      </c>
      <c r="AA14" s="17">
        <f t="shared" si="6"/>
        <v>0.54861944777911165</v>
      </c>
      <c r="AB14" s="17">
        <f t="shared" si="6"/>
        <v>18.657863145258105</v>
      </c>
      <c r="AC14" s="17">
        <f t="shared" si="6"/>
        <v>359.51428571428573</v>
      </c>
      <c r="AD14" s="17">
        <f t="shared" si="6"/>
        <v>0</v>
      </c>
      <c r="AE14" s="31">
        <f t="shared" si="6"/>
        <v>157.00480192076833</v>
      </c>
      <c r="AF14" s="31">
        <f t="shared" si="6"/>
        <v>516.51908763505401</v>
      </c>
    </row>
    <row r="15" spans="2:32" ht="23.1" customHeight="1" x14ac:dyDescent="0.25">
      <c r="B15" s="23" t="s">
        <v>42</v>
      </c>
      <c r="C15" s="49">
        <f>'Avg Week GULU-KARUMA'!C15+'Avg Week KARUMA-GULU'!C15</f>
        <v>8.9087635054021614</v>
      </c>
      <c r="D15" s="49">
        <f>'Avg Week GULU-KARUMA'!D15+'Avg Week KARUMA-GULU'!D15</f>
        <v>2.8115246098439375</v>
      </c>
      <c r="E15" s="49">
        <f>'Avg Week GULU-KARUMA'!E15+'Avg Week KARUMA-GULU'!E15</f>
        <v>6.7659063625450182</v>
      </c>
      <c r="F15" s="49">
        <f>'Avg Week GULU-KARUMA'!F15+'Avg Week KARUMA-GULU'!F15</f>
        <v>1.8343337334933973</v>
      </c>
      <c r="G15" s="49">
        <f>'Avg Week GULU-KARUMA'!G15+'Avg Week KARUMA-GULU'!G15</f>
        <v>0.14285714285714285</v>
      </c>
      <c r="H15" s="49">
        <f>'Avg Week GULU-KARUMA'!H15+'Avg Week KARUMA-GULU'!H15</f>
        <v>0.5714285714285714</v>
      </c>
      <c r="I15" s="49">
        <f>'Avg Week GULU-KARUMA'!I15+'Avg Week KARUMA-GULU'!I15</f>
        <v>4.4057623049219687</v>
      </c>
      <c r="J15" s="49">
        <f>'Avg Week GULU-KARUMA'!J15+'Avg Week KARUMA-GULU'!J15</f>
        <v>1.2857142857142856</v>
      </c>
      <c r="K15" s="49">
        <f>'Avg Week GULU-KARUMA'!K15+'Avg Week KARUMA-GULU'!K15</f>
        <v>0</v>
      </c>
      <c r="L15" s="49">
        <f>'Avg Week GULU-KARUMA'!L15+'Avg Week KARUMA-GULU'!L15</f>
        <v>1.7142857142857142</v>
      </c>
      <c r="M15" s="49">
        <f>'Avg Week GULU-KARUMA'!M15+'Avg Week KARUMA-GULU'!M15</f>
        <v>120.71428571428572</v>
      </c>
      <c r="N15" s="49">
        <f>'Avg Week GULU-KARUMA'!N15+'Avg Week KARUMA-GULU'!N15</f>
        <v>0.14285714285714285</v>
      </c>
      <c r="O15" s="15">
        <f t="shared" si="0"/>
        <v>28.58343337334934</v>
      </c>
      <c r="P15" s="15">
        <f t="shared" si="1"/>
        <v>149.29771908763504</v>
      </c>
      <c r="R15" s="1" t="s">
        <v>11</v>
      </c>
      <c r="S15" s="17">
        <f t="shared" ref="S15:AF15" si="7">SUM(C30:C33)</f>
        <v>42.566626650660261</v>
      </c>
      <c r="T15" s="17">
        <f t="shared" si="7"/>
        <v>16.057623049219686</v>
      </c>
      <c r="U15" s="17">
        <f t="shared" si="7"/>
        <v>34.686674669867948</v>
      </c>
      <c r="V15" s="17">
        <f t="shared" si="7"/>
        <v>8.074429771908763</v>
      </c>
      <c r="W15" s="17">
        <f t="shared" si="7"/>
        <v>0.69147659063625455</v>
      </c>
      <c r="X15" s="17">
        <f t="shared" si="7"/>
        <v>3.3829531812725087</v>
      </c>
      <c r="Y15" s="17">
        <f t="shared" si="7"/>
        <v>18.109243697478991</v>
      </c>
      <c r="Z15" s="17">
        <f t="shared" si="7"/>
        <v>4.8115246098439375</v>
      </c>
      <c r="AA15" s="17">
        <f t="shared" si="7"/>
        <v>0.5714285714285714</v>
      </c>
      <c r="AB15" s="17">
        <f t="shared" si="7"/>
        <v>22.063625450180073</v>
      </c>
      <c r="AC15" s="17">
        <f t="shared" si="7"/>
        <v>371.51428571428573</v>
      </c>
      <c r="AD15" s="17">
        <f t="shared" si="7"/>
        <v>0.2857142857142857</v>
      </c>
      <c r="AE15" s="31">
        <f t="shared" si="7"/>
        <v>151.30132052821128</v>
      </c>
      <c r="AF15" s="31">
        <f t="shared" si="7"/>
        <v>522.81560624249687</v>
      </c>
    </row>
    <row r="16" spans="2:32" ht="23.1" customHeight="1" x14ac:dyDescent="0.25">
      <c r="B16" s="23" t="s">
        <v>43</v>
      </c>
      <c r="C16" s="49">
        <f>'Avg Week GULU-KARUMA'!C16+'Avg Week KARUMA-GULU'!C16</f>
        <v>12.811524609843937</v>
      </c>
      <c r="D16" s="49">
        <f>'Avg Week GULU-KARUMA'!D16+'Avg Week KARUMA-GULU'!D16</f>
        <v>3.3601440576230495</v>
      </c>
      <c r="E16" s="49">
        <f>'Avg Week GULU-KARUMA'!E16+'Avg Week KARUMA-GULU'!E16</f>
        <v>8.0546218487394956</v>
      </c>
      <c r="F16" s="49">
        <f>'Avg Week GULU-KARUMA'!F16+'Avg Week KARUMA-GULU'!F16</f>
        <v>3.1200480192076832</v>
      </c>
      <c r="G16" s="49">
        <f>'Avg Week GULU-KARUMA'!G16+'Avg Week KARUMA-GULU'!G16</f>
        <v>0.42857142857142855</v>
      </c>
      <c r="H16" s="49">
        <f>'Avg Week GULU-KARUMA'!H16+'Avg Week KARUMA-GULU'!H16</f>
        <v>1.3829531812725091</v>
      </c>
      <c r="I16" s="49">
        <f>'Avg Week GULU-KARUMA'!I16+'Avg Week KARUMA-GULU'!I16</f>
        <v>4.2917166866746701</v>
      </c>
      <c r="J16" s="49">
        <f>'Avg Week GULU-KARUMA'!J16+'Avg Week KARUMA-GULU'!J16</f>
        <v>1.1428571428571428</v>
      </c>
      <c r="K16" s="49">
        <f>'Avg Week GULU-KARUMA'!K16+'Avg Week KARUMA-GULU'!K16</f>
        <v>0.14285714285714285</v>
      </c>
      <c r="L16" s="49">
        <f>'Avg Week GULU-KARUMA'!L16+'Avg Week KARUMA-GULU'!L16</f>
        <v>3.2629051620648259</v>
      </c>
      <c r="M16" s="49">
        <f>'Avg Week GULU-KARUMA'!M16+'Avg Week KARUMA-GULU'!M16</f>
        <v>111.85714285714286</v>
      </c>
      <c r="N16" s="49">
        <f>'Avg Week GULU-KARUMA'!N16+'Avg Week KARUMA-GULU'!N16</f>
        <v>0</v>
      </c>
      <c r="O16" s="15">
        <f t="shared" si="0"/>
        <v>37.998199279711891</v>
      </c>
      <c r="P16" s="15">
        <f t="shared" si="1"/>
        <v>149.85534213685474</v>
      </c>
      <c r="R16" s="1" t="s">
        <v>12</v>
      </c>
      <c r="S16" s="17">
        <f t="shared" ref="S16:AF16" si="8">SUM(C34:C37)</f>
        <v>36.966386554621849</v>
      </c>
      <c r="T16" s="17">
        <f t="shared" si="8"/>
        <v>18.58343337334934</v>
      </c>
      <c r="U16" s="17">
        <f t="shared" si="8"/>
        <v>40.955582232893157</v>
      </c>
      <c r="V16" s="17">
        <f t="shared" si="8"/>
        <v>9.3601440576230495</v>
      </c>
      <c r="W16" s="17">
        <f t="shared" si="8"/>
        <v>1</v>
      </c>
      <c r="X16" s="17">
        <f t="shared" si="8"/>
        <v>2.6686674669867947</v>
      </c>
      <c r="Y16" s="17">
        <f t="shared" si="8"/>
        <v>16.732292917166866</v>
      </c>
      <c r="Z16" s="17">
        <f t="shared" si="8"/>
        <v>4.5486194477791111</v>
      </c>
      <c r="AA16" s="17">
        <f t="shared" si="8"/>
        <v>0.5714285714285714</v>
      </c>
      <c r="AB16" s="17">
        <f t="shared" si="8"/>
        <v>17.995198079231692</v>
      </c>
      <c r="AC16" s="17">
        <f t="shared" si="8"/>
        <v>375</v>
      </c>
      <c r="AD16" s="17">
        <f t="shared" si="8"/>
        <v>0</v>
      </c>
      <c r="AE16" s="31">
        <f t="shared" si="8"/>
        <v>149.38175270108044</v>
      </c>
      <c r="AF16" s="31">
        <f t="shared" si="8"/>
        <v>524.38175270108047</v>
      </c>
    </row>
    <row r="17" spans="2:32" ht="23.1" customHeight="1" x14ac:dyDescent="0.25">
      <c r="B17" s="23" t="s">
        <v>44</v>
      </c>
      <c r="C17" s="49">
        <f>'Avg Week GULU-KARUMA'!C17+'Avg Week KARUMA-GULU'!C17</f>
        <v>9.9315726290516206</v>
      </c>
      <c r="D17" s="49">
        <f>'Avg Week GULU-KARUMA'!D17+'Avg Week KARUMA-GULU'!D17</f>
        <v>4.0288115246098437</v>
      </c>
      <c r="E17" s="49">
        <f>'Avg Week GULU-KARUMA'!E17+'Avg Week KARUMA-GULU'!E17</f>
        <v>9.0348139255702282</v>
      </c>
      <c r="F17" s="49">
        <f>'Avg Week GULU-KARUMA'!F17+'Avg Week KARUMA-GULU'!F17</f>
        <v>2.4285714285714288</v>
      </c>
      <c r="G17" s="49">
        <f>'Avg Week GULU-KARUMA'!G17+'Avg Week KARUMA-GULU'!G17</f>
        <v>0.2857142857142857</v>
      </c>
      <c r="H17" s="49">
        <f>'Avg Week GULU-KARUMA'!H17+'Avg Week KARUMA-GULU'!H17</f>
        <v>0.42857142857142855</v>
      </c>
      <c r="I17" s="49">
        <f>'Avg Week GULU-KARUMA'!I17+'Avg Week KARUMA-GULU'!I17</f>
        <v>4.1200480192076832</v>
      </c>
      <c r="J17" s="49">
        <f>'Avg Week GULU-KARUMA'!J17+'Avg Week KARUMA-GULU'!J17</f>
        <v>1.8571428571428572</v>
      </c>
      <c r="K17" s="49">
        <f>'Avg Week GULU-KARUMA'!K17+'Avg Week KARUMA-GULU'!K17</f>
        <v>0.42857142857142855</v>
      </c>
      <c r="L17" s="49">
        <f>'Avg Week GULU-KARUMA'!L17+'Avg Week KARUMA-GULU'!L17</f>
        <v>2.1428571428571428</v>
      </c>
      <c r="M17" s="49">
        <f>'Avg Week GULU-KARUMA'!M17+'Avg Week KARUMA-GULU'!M17</f>
        <v>111</v>
      </c>
      <c r="N17" s="49">
        <f>'Avg Week GULU-KARUMA'!N17+'Avg Week KARUMA-GULU'!N17</f>
        <v>0</v>
      </c>
      <c r="O17" s="15">
        <f t="shared" si="0"/>
        <v>34.686674669867948</v>
      </c>
      <c r="P17" s="15">
        <f t="shared" si="1"/>
        <v>145.68667466986795</v>
      </c>
      <c r="R17" s="1" t="s">
        <v>13</v>
      </c>
      <c r="S17" s="17">
        <f t="shared" ref="S17:AF17" si="9">SUM(C38:C41)</f>
        <v>32.160864345738297</v>
      </c>
      <c r="T17" s="17">
        <f t="shared" si="9"/>
        <v>16.509003601440575</v>
      </c>
      <c r="U17" s="17">
        <f t="shared" si="9"/>
        <v>36.995198079231692</v>
      </c>
      <c r="V17" s="17">
        <f t="shared" si="9"/>
        <v>10.171668667466989</v>
      </c>
      <c r="W17" s="17">
        <f t="shared" si="9"/>
        <v>0.71428571428571419</v>
      </c>
      <c r="X17" s="17">
        <f t="shared" si="9"/>
        <v>3.5258103241296515</v>
      </c>
      <c r="Y17" s="17">
        <f t="shared" si="9"/>
        <v>17.4921968787515</v>
      </c>
      <c r="Z17" s="17">
        <f t="shared" si="9"/>
        <v>4.5030012004801918</v>
      </c>
      <c r="AA17" s="17">
        <f t="shared" si="9"/>
        <v>1.2857142857142856</v>
      </c>
      <c r="AB17" s="17">
        <f t="shared" si="9"/>
        <v>12.58343337334934</v>
      </c>
      <c r="AC17" s="17">
        <f t="shared" si="9"/>
        <v>347.98571428571427</v>
      </c>
      <c r="AD17" s="17">
        <f t="shared" si="9"/>
        <v>0.14285714285714285</v>
      </c>
      <c r="AE17" s="31">
        <f t="shared" si="9"/>
        <v>136.08403361344537</v>
      </c>
      <c r="AF17" s="31">
        <f t="shared" si="9"/>
        <v>484.06974789915967</v>
      </c>
    </row>
    <row r="18" spans="2:32" ht="23.1" customHeight="1" x14ac:dyDescent="0.25">
      <c r="B18" s="23" t="s">
        <v>45</v>
      </c>
      <c r="C18" s="49">
        <f>'Avg Week GULU-KARUMA'!C18+'Avg Week KARUMA-GULU'!C18</f>
        <v>10.914765906362543</v>
      </c>
      <c r="D18" s="49">
        <f>'Avg Week GULU-KARUMA'!D18+'Avg Week KARUMA-GULU'!D18</f>
        <v>3.7659063625450182</v>
      </c>
      <c r="E18" s="49">
        <f>'Avg Week GULU-KARUMA'!E18+'Avg Week KARUMA-GULU'!E18</f>
        <v>8.8661464585834331</v>
      </c>
      <c r="F18" s="49">
        <f>'Avg Week GULU-KARUMA'!F18+'Avg Week KARUMA-GULU'!F18</f>
        <v>2.5486194477791115</v>
      </c>
      <c r="G18" s="49">
        <f>'Avg Week GULU-KARUMA'!G18+'Avg Week KARUMA-GULU'!G18</f>
        <v>0.2857142857142857</v>
      </c>
      <c r="H18" s="49">
        <f>'Avg Week GULU-KARUMA'!H18+'Avg Week KARUMA-GULU'!H18</f>
        <v>0.14285714285714285</v>
      </c>
      <c r="I18" s="49">
        <f>'Avg Week GULU-KARUMA'!I18+'Avg Week KARUMA-GULU'!I18</f>
        <v>4.1944777911164461</v>
      </c>
      <c r="J18" s="49">
        <f>'Avg Week GULU-KARUMA'!J18+'Avg Week KARUMA-GULU'!J18</f>
        <v>0.5714285714285714</v>
      </c>
      <c r="K18" s="49">
        <f>'Avg Week GULU-KARUMA'!K18+'Avg Week KARUMA-GULU'!K18</f>
        <v>0.2857142857142857</v>
      </c>
      <c r="L18" s="49">
        <f>'Avg Week GULU-KARUMA'!L18+'Avg Week KARUMA-GULU'!L18</f>
        <v>2.1428571428571428</v>
      </c>
      <c r="M18" s="49">
        <f>'Avg Week GULU-KARUMA'!M18+'Avg Week KARUMA-GULU'!M18</f>
        <v>114.57142857142858</v>
      </c>
      <c r="N18" s="49">
        <f>'Avg Week GULU-KARUMA'!N18+'Avg Week KARUMA-GULU'!N18</f>
        <v>0</v>
      </c>
      <c r="O18" s="15">
        <f t="shared" si="0"/>
        <v>33.718487394957975</v>
      </c>
      <c r="P18" s="15">
        <f t="shared" si="1"/>
        <v>148.28991596638656</v>
      </c>
      <c r="R18" s="1" t="s">
        <v>14</v>
      </c>
      <c r="S18" s="17">
        <f t="shared" ref="S18:AF18" si="10">SUM(C42:C45)</f>
        <v>37.063625450180069</v>
      </c>
      <c r="T18" s="17">
        <f t="shared" si="10"/>
        <v>14.771908763505401</v>
      </c>
      <c r="U18" s="17">
        <f t="shared" si="10"/>
        <v>33.021008403361343</v>
      </c>
      <c r="V18" s="17">
        <f t="shared" si="10"/>
        <v>7.7430972388955581</v>
      </c>
      <c r="W18" s="17">
        <f t="shared" si="10"/>
        <v>0.5714285714285714</v>
      </c>
      <c r="X18" s="17">
        <f t="shared" si="10"/>
        <v>4.0972388955582231</v>
      </c>
      <c r="Y18" s="17">
        <f t="shared" si="10"/>
        <v>18.349339735894358</v>
      </c>
      <c r="Z18" s="17">
        <f t="shared" si="10"/>
        <v>4.5258103241296519</v>
      </c>
      <c r="AA18" s="17">
        <f t="shared" si="10"/>
        <v>1.4285714285714284</v>
      </c>
      <c r="AB18" s="17">
        <f t="shared" si="10"/>
        <v>14.177671068427371</v>
      </c>
      <c r="AC18" s="17">
        <f t="shared" si="10"/>
        <v>370</v>
      </c>
      <c r="AD18" s="17">
        <f t="shared" si="10"/>
        <v>0.71428571428571419</v>
      </c>
      <c r="AE18" s="31">
        <f t="shared" si="10"/>
        <v>136.46398559423767</v>
      </c>
      <c r="AF18" s="31">
        <f t="shared" si="10"/>
        <v>506.46398559423767</v>
      </c>
    </row>
    <row r="19" spans="2:32" ht="23.1" customHeight="1" x14ac:dyDescent="0.25">
      <c r="B19" s="23" t="s">
        <v>46</v>
      </c>
      <c r="C19" s="49">
        <f>'Avg Week GULU-KARUMA'!C19+'Avg Week KARUMA-GULU'!C19</f>
        <v>9.8859543817527005</v>
      </c>
      <c r="D19" s="49">
        <f>'Avg Week GULU-KARUMA'!D19+'Avg Week KARUMA-GULU'!D19</f>
        <v>2.9771908763505399</v>
      </c>
      <c r="E19" s="49">
        <f>'Avg Week GULU-KARUMA'!E19+'Avg Week KARUMA-GULU'!E19</f>
        <v>7.4315726290516206</v>
      </c>
      <c r="F19" s="49">
        <f>'Avg Week GULU-KARUMA'!F19+'Avg Week KARUMA-GULU'!F19</f>
        <v>4.0288115246098437</v>
      </c>
      <c r="G19" s="49">
        <f>'Avg Week GULU-KARUMA'!G19+'Avg Week KARUMA-GULU'!G19</f>
        <v>0.2857142857142857</v>
      </c>
      <c r="H19" s="49">
        <f>'Avg Week GULU-KARUMA'!H19+'Avg Week KARUMA-GULU'!H19</f>
        <v>0.42857142857142855</v>
      </c>
      <c r="I19" s="49">
        <f>'Avg Week GULU-KARUMA'!I19+'Avg Week KARUMA-GULU'!I19</f>
        <v>4.3373349339735894</v>
      </c>
      <c r="J19" s="49">
        <f>'Avg Week GULU-KARUMA'!J19+'Avg Week KARUMA-GULU'!J19</f>
        <v>1.1428571428571428</v>
      </c>
      <c r="K19" s="49">
        <f>'Avg Week GULU-KARUMA'!K19+'Avg Week KARUMA-GULU'!K19</f>
        <v>0.14285714285714285</v>
      </c>
      <c r="L19" s="49">
        <f>'Avg Week GULU-KARUMA'!L19+'Avg Week KARUMA-GULU'!L19</f>
        <v>2.1200480192076832</v>
      </c>
      <c r="M19" s="49">
        <f>'Avg Week GULU-KARUMA'!M19+'Avg Week KARUMA-GULU'!M19</f>
        <v>104.42857142857142</v>
      </c>
      <c r="N19" s="49">
        <f>'Avg Week GULU-KARUMA'!N19+'Avg Week KARUMA-GULU'!N19</f>
        <v>0</v>
      </c>
      <c r="O19" s="15">
        <f t="shared" si="0"/>
        <v>32.780912364945976</v>
      </c>
      <c r="P19" s="15">
        <f t="shared" si="1"/>
        <v>137.20948379351739</v>
      </c>
      <c r="R19" s="1" t="s">
        <v>15</v>
      </c>
      <c r="S19" s="17">
        <f t="shared" ref="S19:AF19" si="11">SUM(C46:C49)</f>
        <v>47.458583433373349</v>
      </c>
      <c r="T19" s="17">
        <f t="shared" si="11"/>
        <v>15.840336134453782</v>
      </c>
      <c r="U19" s="17">
        <f t="shared" si="11"/>
        <v>34.800720288115244</v>
      </c>
      <c r="V19" s="17">
        <f t="shared" si="11"/>
        <v>8.6002400960384158</v>
      </c>
      <c r="W19" s="17">
        <f t="shared" si="11"/>
        <v>1.1428571428571428</v>
      </c>
      <c r="X19" s="17">
        <f t="shared" si="11"/>
        <v>5.5030012004801918</v>
      </c>
      <c r="Y19" s="17">
        <f t="shared" si="11"/>
        <v>20.429771908763506</v>
      </c>
      <c r="Z19" s="17">
        <f t="shared" si="11"/>
        <v>4.5030012004801918</v>
      </c>
      <c r="AA19" s="17">
        <f t="shared" si="11"/>
        <v>0.5714285714285714</v>
      </c>
      <c r="AB19" s="17">
        <f t="shared" si="11"/>
        <v>12.53781512605042</v>
      </c>
      <c r="AC19" s="17">
        <f t="shared" si="11"/>
        <v>426.08571428571435</v>
      </c>
      <c r="AD19" s="17">
        <f t="shared" si="11"/>
        <v>0.2857142857142857</v>
      </c>
      <c r="AE19" s="31">
        <f t="shared" si="11"/>
        <v>151.67346938775509</v>
      </c>
      <c r="AF19" s="31">
        <f t="shared" si="11"/>
        <v>577.75918367346935</v>
      </c>
    </row>
    <row r="20" spans="2:32" ht="23.1" customHeight="1" x14ac:dyDescent="0.25">
      <c r="B20" s="23" t="s">
        <v>47</v>
      </c>
      <c r="C20" s="49">
        <f>'Avg Week GULU-KARUMA'!C20+'Avg Week KARUMA-GULU'!C20</f>
        <v>9.8859543817527005</v>
      </c>
      <c r="D20" s="49">
        <f>'Avg Week GULU-KARUMA'!D20+'Avg Week KARUMA-GULU'!D20</f>
        <v>4.1716686674669869</v>
      </c>
      <c r="E20" s="49">
        <f>'Avg Week GULU-KARUMA'!E20+'Avg Week KARUMA-GULU'!E20</f>
        <v>8.9861944777911162</v>
      </c>
      <c r="F20" s="49">
        <f>'Avg Week GULU-KARUMA'!F20+'Avg Week KARUMA-GULU'!F20</f>
        <v>2.7887154861944774</v>
      </c>
      <c r="G20" s="49">
        <f>'Avg Week GULU-KARUMA'!G20+'Avg Week KARUMA-GULU'!G20</f>
        <v>0.54861944777911165</v>
      </c>
      <c r="H20" s="49">
        <f>'Avg Week GULU-KARUMA'!H20+'Avg Week KARUMA-GULU'!H20</f>
        <v>0.69147659063625444</v>
      </c>
      <c r="I20" s="49">
        <f>'Avg Week GULU-KARUMA'!I20+'Avg Week KARUMA-GULU'!I20</f>
        <v>4.9831932773109244</v>
      </c>
      <c r="J20" s="49">
        <f>'Avg Week GULU-KARUMA'!J20+'Avg Week KARUMA-GULU'!J20</f>
        <v>2</v>
      </c>
      <c r="K20" s="49">
        <f>'Avg Week GULU-KARUMA'!K20+'Avg Week KARUMA-GULU'!K20</f>
        <v>0.14285714285714285</v>
      </c>
      <c r="L20" s="49">
        <f>'Avg Week GULU-KARUMA'!L20+'Avg Week KARUMA-GULU'!L20</f>
        <v>2.6914765906362543</v>
      </c>
      <c r="M20" s="49">
        <f>'Avg Week GULU-KARUMA'!M20+'Avg Week KARUMA-GULU'!M20</f>
        <v>110.28571428571428</v>
      </c>
      <c r="N20" s="49">
        <f>'Avg Week GULU-KARUMA'!N20+'Avg Week KARUMA-GULU'!N20</f>
        <v>0.14285714285714285</v>
      </c>
      <c r="O20" s="15">
        <f t="shared" si="0"/>
        <v>37.033013205282117</v>
      </c>
      <c r="P20" s="15">
        <f t="shared" si="1"/>
        <v>147.31872749099639</v>
      </c>
      <c r="R20" s="1" t="s">
        <v>16</v>
      </c>
      <c r="S20" s="17">
        <f t="shared" ref="S20:AF20" si="12">SUM(C50:C53)</f>
        <v>49.024009603841534</v>
      </c>
      <c r="T20" s="17">
        <f t="shared" si="12"/>
        <v>17.629051620648259</v>
      </c>
      <c r="U20" s="17">
        <f t="shared" si="12"/>
        <v>38.855342136854745</v>
      </c>
      <c r="V20" s="17">
        <f t="shared" si="12"/>
        <v>12.960384153661463</v>
      </c>
      <c r="W20" s="17">
        <f t="shared" si="12"/>
        <v>1.3829531812725089</v>
      </c>
      <c r="X20" s="17">
        <f t="shared" si="12"/>
        <v>6.0288115246098437</v>
      </c>
      <c r="Y20" s="17">
        <f t="shared" si="12"/>
        <v>17.823529411764707</v>
      </c>
      <c r="Z20" s="17">
        <f t="shared" si="12"/>
        <v>6.1428571428571432</v>
      </c>
      <c r="AA20" s="17">
        <f t="shared" si="12"/>
        <v>1.9771908763505401</v>
      </c>
      <c r="AB20" s="17">
        <f t="shared" si="12"/>
        <v>13.457382953181272</v>
      </c>
      <c r="AC20" s="17">
        <f t="shared" si="12"/>
        <v>502.72857142857146</v>
      </c>
      <c r="AD20" s="17">
        <f t="shared" si="12"/>
        <v>0</v>
      </c>
      <c r="AE20" s="31">
        <f t="shared" si="12"/>
        <v>165.281512605042</v>
      </c>
      <c r="AF20" s="31">
        <f t="shared" si="12"/>
        <v>668.01008403361345</v>
      </c>
    </row>
    <row r="21" spans="2:32" ht="23.1" customHeight="1" x14ac:dyDescent="0.25">
      <c r="B21" s="23" t="s">
        <v>48</v>
      </c>
      <c r="C21" s="49">
        <f>'Avg Week GULU-KARUMA'!C21+'Avg Week KARUMA-GULU'!C21</f>
        <v>9.525810324129651</v>
      </c>
      <c r="D21" s="49">
        <f>'Avg Week GULU-KARUMA'!D21+'Avg Week KARUMA-GULU'!D21</f>
        <v>4.2400960384153663</v>
      </c>
      <c r="E21" s="49">
        <f>'Avg Week GULU-KARUMA'!E21+'Avg Week KARUMA-GULU'!E21</f>
        <v>9.2430972388955581</v>
      </c>
      <c r="F21" s="49">
        <f>'Avg Week GULU-KARUMA'!F21+'Avg Week KARUMA-GULU'!F21</f>
        <v>1.4285714285714286</v>
      </c>
      <c r="G21" s="49">
        <f>'Avg Week GULU-KARUMA'!G21+'Avg Week KARUMA-GULU'!G21</f>
        <v>0</v>
      </c>
      <c r="H21" s="49">
        <f>'Avg Week GULU-KARUMA'!H21+'Avg Week KARUMA-GULU'!H21</f>
        <v>0.42857142857142855</v>
      </c>
      <c r="I21" s="49">
        <f>'Avg Week GULU-KARUMA'!I21+'Avg Week KARUMA-GULU'!I21</f>
        <v>4.9087635054021614</v>
      </c>
      <c r="J21" s="49">
        <f>'Avg Week GULU-KARUMA'!J21+'Avg Week KARUMA-GULU'!J21</f>
        <v>1.1428571428571428</v>
      </c>
      <c r="K21" s="49">
        <f>'Avg Week GULU-KARUMA'!K21+'Avg Week KARUMA-GULU'!K21</f>
        <v>0.14285714285714285</v>
      </c>
      <c r="L21" s="49">
        <f>'Avg Week GULU-KARUMA'!L21+'Avg Week KARUMA-GULU'!L21</f>
        <v>3.2629051620648259</v>
      </c>
      <c r="M21" s="49">
        <f>'Avg Week GULU-KARUMA'!M21+'Avg Week KARUMA-GULU'!M21</f>
        <v>116.67142857142858</v>
      </c>
      <c r="N21" s="49">
        <f>'Avg Week GULU-KARUMA'!N21+'Avg Week KARUMA-GULU'!N21</f>
        <v>0.14285714285714285</v>
      </c>
      <c r="O21" s="15">
        <f t="shared" si="0"/>
        <v>34.466386554621849</v>
      </c>
      <c r="P21" s="15">
        <f t="shared" si="1"/>
        <v>151.13781512605041</v>
      </c>
      <c r="R21" s="36" t="s">
        <v>20</v>
      </c>
      <c r="S21" s="34">
        <f t="shared" ref="S21:AF21" si="13">SUM(C54:C57)</f>
        <v>44.829531812725094</v>
      </c>
      <c r="T21" s="17">
        <f t="shared" si="13"/>
        <v>17.749099639855942</v>
      </c>
      <c r="U21" s="17">
        <f t="shared" si="13"/>
        <v>38.095438175270111</v>
      </c>
      <c r="V21" s="17">
        <f t="shared" si="13"/>
        <v>10.034813925570228</v>
      </c>
      <c r="W21" s="17">
        <f t="shared" si="13"/>
        <v>2.5486194477791115</v>
      </c>
      <c r="X21" s="17">
        <f t="shared" si="13"/>
        <v>4.2629051620648255</v>
      </c>
      <c r="Y21" s="17">
        <f t="shared" si="13"/>
        <v>16.537815126050418</v>
      </c>
      <c r="Z21" s="17">
        <f t="shared" si="13"/>
        <v>5.548619447779112</v>
      </c>
      <c r="AA21" s="17">
        <f t="shared" si="13"/>
        <v>1.1428571428571428</v>
      </c>
      <c r="AB21" s="17">
        <f t="shared" si="13"/>
        <v>13.863145258103241</v>
      </c>
      <c r="AC21" s="17">
        <f t="shared" si="13"/>
        <v>449.17142857142852</v>
      </c>
      <c r="AD21" s="17">
        <f t="shared" si="13"/>
        <v>0</v>
      </c>
      <c r="AE21" s="31">
        <f t="shared" si="13"/>
        <v>154.61284513805521</v>
      </c>
      <c r="AF21" s="31">
        <f t="shared" si="13"/>
        <v>603.78427370948373</v>
      </c>
    </row>
    <row r="22" spans="2:32" ht="23.1" customHeight="1" x14ac:dyDescent="0.25">
      <c r="B22" s="23" t="s">
        <v>49</v>
      </c>
      <c r="C22" s="49">
        <f>'Avg Week GULU-KARUMA'!C22+'Avg Week KARUMA-GULU'!C22</f>
        <v>12.126050420168067</v>
      </c>
      <c r="D22" s="49">
        <f>'Avg Week GULU-KARUMA'!D22+'Avg Week KARUMA-GULU'!D22</f>
        <v>4.2400960384153663</v>
      </c>
      <c r="E22" s="49">
        <f>'Avg Week GULU-KARUMA'!E22+'Avg Week KARUMA-GULU'!E22</f>
        <v>9.6716686674669869</v>
      </c>
      <c r="F22" s="49">
        <f>'Avg Week GULU-KARUMA'!F22+'Avg Week KARUMA-GULU'!F22</f>
        <v>2.1200480192076832</v>
      </c>
      <c r="G22" s="49">
        <f>'Avg Week GULU-KARUMA'!G22+'Avg Week KARUMA-GULU'!G22</f>
        <v>0.5714285714285714</v>
      </c>
      <c r="H22" s="49">
        <f>'Avg Week GULU-KARUMA'!H22+'Avg Week KARUMA-GULU'!H22</f>
        <v>0.69147659063625455</v>
      </c>
      <c r="I22" s="49">
        <f>'Avg Week GULU-KARUMA'!I22+'Avg Week KARUMA-GULU'!I22</f>
        <v>4.7659063625450182</v>
      </c>
      <c r="J22" s="49">
        <f>'Avg Week GULU-KARUMA'!J22+'Avg Week KARUMA-GULU'!J22</f>
        <v>1.8571428571428572</v>
      </c>
      <c r="K22" s="49">
        <f>'Avg Week GULU-KARUMA'!K22+'Avg Week KARUMA-GULU'!K22</f>
        <v>0.5714285714285714</v>
      </c>
      <c r="L22" s="49">
        <f>'Avg Week GULU-KARUMA'!L22+'Avg Week KARUMA-GULU'!L22</f>
        <v>3.4057623049219687</v>
      </c>
      <c r="M22" s="49">
        <f>'Avg Week GULU-KARUMA'!M22+'Avg Week KARUMA-GULU'!M22</f>
        <v>111</v>
      </c>
      <c r="N22" s="49">
        <f>'Avg Week GULU-KARUMA'!N22+'Avg Week KARUMA-GULU'!N22</f>
        <v>0</v>
      </c>
      <c r="O22" s="15">
        <f t="shared" si="0"/>
        <v>40.021008403361343</v>
      </c>
      <c r="P22" s="15">
        <f t="shared" si="1"/>
        <v>151.02100840336135</v>
      </c>
      <c r="R22" s="1" t="s">
        <v>146</v>
      </c>
      <c r="S22" s="34">
        <f>SUM(C58:C61)</f>
        <v>24.483193277310924</v>
      </c>
      <c r="T22" s="34">
        <f t="shared" ref="T22:AF22" si="14">SUM(D58:D61)</f>
        <v>9.6806722689075642</v>
      </c>
      <c r="U22" s="34">
        <f t="shared" si="14"/>
        <v>21.361344537815128</v>
      </c>
      <c r="V22" s="34">
        <f t="shared" si="14"/>
        <v>7.7605042016806722</v>
      </c>
      <c r="W22" s="34">
        <f t="shared" si="14"/>
        <v>0.5</v>
      </c>
      <c r="X22" s="34">
        <f t="shared" si="14"/>
        <v>4.420168067226891</v>
      </c>
      <c r="Y22" s="34">
        <f t="shared" si="14"/>
        <v>12.781512605042018</v>
      </c>
      <c r="Z22" s="34">
        <f t="shared" si="14"/>
        <v>3.5</v>
      </c>
      <c r="AA22" s="34">
        <f t="shared" si="14"/>
        <v>1</v>
      </c>
      <c r="AB22" s="34">
        <f t="shared" si="14"/>
        <v>8.6806722689075642</v>
      </c>
      <c r="AC22" s="34">
        <f t="shared" si="14"/>
        <v>425</v>
      </c>
      <c r="AD22" s="34">
        <f t="shared" si="14"/>
        <v>1.5</v>
      </c>
      <c r="AE22" s="31">
        <f t="shared" si="14"/>
        <v>95.668067226890741</v>
      </c>
      <c r="AF22" s="31">
        <f t="shared" si="14"/>
        <v>520.6680672268908</v>
      </c>
    </row>
    <row r="23" spans="2:32" ht="23.1" customHeight="1" x14ac:dyDescent="0.25">
      <c r="B23" s="23" t="s">
        <v>50</v>
      </c>
      <c r="C23" s="49">
        <f>'Avg Week GULU-KARUMA'!C23+'Avg Week KARUMA-GULU'!C23</f>
        <v>9.9087635054021614</v>
      </c>
      <c r="D23" s="49">
        <f>'Avg Week GULU-KARUMA'!D23+'Avg Week KARUMA-GULU'!D23</f>
        <v>3.3829531812725087</v>
      </c>
      <c r="E23" s="49">
        <f>'Avg Week GULU-KARUMA'!E23+'Avg Week KARUMA-GULU'!E23</f>
        <v>8.2430972388955581</v>
      </c>
      <c r="F23" s="49">
        <f>'Avg Week GULU-KARUMA'!F23+'Avg Week KARUMA-GULU'!F23</f>
        <v>2.3601440576230495</v>
      </c>
      <c r="G23" s="49">
        <f>'Avg Week GULU-KARUMA'!G23+'Avg Week KARUMA-GULU'!G23</f>
        <v>0</v>
      </c>
      <c r="H23" s="49">
        <f>'Avg Week GULU-KARUMA'!H23+'Avg Week KARUMA-GULU'!H23</f>
        <v>1.2629051620648259</v>
      </c>
      <c r="I23" s="49">
        <f>'Avg Week GULU-KARUMA'!I23+'Avg Week KARUMA-GULU'!I23</f>
        <v>3.3829531812725091</v>
      </c>
      <c r="J23" s="49">
        <f>'Avg Week GULU-KARUMA'!J23+'Avg Week KARUMA-GULU'!J23</f>
        <v>0.5714285714285714</v>
      </c>
      <c r="K23" s="49">
        <f>'Avg Week GULU-KARUMA'!K23+'Avg Week KARUMA-GULU'!K23</f>
        <v>0.2857142857142857</v>
      </c>
      <c r="L23" s="49">
        <f>'Avg Week GULU-KARUMA'!L23+'Avg Week KARUMA-GULU'!L23</f>
        <v>3.6458583433373351</v>
      </c>
      <c r="M23" s="49">
        <f>'Avg Week GULU-KARUMA'!M23+'Avg Week KARUMA-GULU'!M23</f>
        <v>101.98571428571428</v>
      </c>
      <c r="N23" s="49">
        <f>'Avg Week GULU-KARUMA'!N23+'Avg Week KARUMA-GULU'!N23</f>
        <v>0</v>
      </c>
      <c r="O23" s="15">
        <f t="shared" si="0"/>
        <v>33.043817527010802</v>
      </c>
      <c r="P23" s="15">
        <f t="shared" si="1"/>
        <v>135.02953181272508</v>
      </c>
      <c r="R23" s="1" t="s">
        <v>147</v>
      </c>
      <c r="S23" s="34">
        <f>SUM(C62:C65)</f>
        <v>53.407563025210088</v>
      </c>
      <c r="T23" s="34">
        <f t="shared" ref="T23:AF23" si="15">SUM(D62:D65)</f>
        <v>15.100840336134455</v>
      </c>
      <c r="U23" s="34">
        <f t="shared" si="15"/>
        <v>35.962184873949582</v>
      </c>
      <c r="V23" s="34">
        <f t="shared" si="15"/>
        <v>7.7605042016806722</v>
      </c>
      <c r="W23" s="34">
        <f t="shared" si="15"/>
        <v>1.4201680672268908</v>
      </c>
      <c r="X23" s="34">
        <f t="shared" si="15"/>
        <v>1</v>
      </c>
      <c r="Y23" s="34">
        <f t="shared" si="15"/>
        <v>10.521008403361344</v>
      </c>
      <c r="Z23" s="34">
        <f t="shared" si="15"/>
        <v>3.3403361344537816</v>
      </c>
      <c r="AA23" s="34">
        <f t="shared" si="15"/>
        <v>0.92016806722689082</v>
      </c>
      <c r="AB23" s="34">
        <f t="shared" si="15"/>
        <v>14.201680672268907</v>
      </c>
      <c r="AC23" s="34">
        <f t="shared" si="15"/>
        <v>342</v>
      </c>
      <c r="AD23" s="34">
        <f t="shared" si="15"/>
        <v>0</v>
      </c>
      <c r="AE23" s="31">
        <f t="shared" si="15"/>
        <v>143.6344537815126</v>
      </c>
      <c r="AF23" s="31">
        <f t="shared" si="15"/>
        <v>485.6344537815126</v>
      </c>
    </row>
    <row r="24" spans="2:32" ht="23.1" customHeight="1" x14ac:dyDescent="0.25">
      <c r="B24" s="23" t="s">
        <v>51</v>
      </c>
      <c r="C24" s="49">
        <f>'Avg Week GULU-KARUMA'!C24+'Avg Week KARUMA-GULU'!C24</f>
        <v>8.6002400960384158</v>
      </c>
      <c r="D24" s="49">
        <f>'Avg Week GULU-KARUMA'!D24+'Avg Week KARUMA-GULU'!D24</f>
        <v>3.4057623049219687</v>
      </c>
      <c r="E24" s="49">
        <f>'Avg Week GULU-KARUMA'!E24+'Avg Week KARUMA-GULU'!E24</f>
        <v>8.0030012004801918</v>
      </c>
      <c r="F24" s="49">
        <f>'Avg Week GULU-KARUMA'!F24+'Avg Week KARUMA-GULU'!F24</f>
        <v>2.1428571428571428</v>
      </c>
      <c r="G24" s="49">
        <f>'Avg Week GULU-KARUMA'!G24+'Avg Week KARUMA-GULU'!G24</f>
        <v>0.42857142857142855</v>
      </c>
      <c r="H24" s="49">
        <f>'Avg Week GULU-KARUMA'!H24+'Avg Week KARUMA-GULU'!H24</f>
        <v>0.42857142857142855</v>
      </c>
      <c r="I24" s="49">
        <f>'Avg Week GULU-KARUMA'!I24+'Avg Week KARUMA-GULU'!I24</f>
        <v>5.3145258103241293</v>
      </c>
      <c r="J24" s="49">
        <f>'Avg Week GULU-KARUMA'!J24+'Avg Week KARUMA-GULU'!J24</f>
        <v>2.2857142857142856</v>
      </c>
      <c r="K24" s="49">
        <f>'Avg Week GULU-KARUMA'!K24+'Avg Week KARUMA-GULU'!K24</f>
        <v>0.2857142857142857</v>
      </c>
      <c r="L24" s="49">
        <f>'Avg Week GULU-KARUMA'!L24+'Avg Week KARUMA-GULU'!L24</f>
        <v>3.4057623049219687</v>
      </c>
      <c r="M24" s="49">
        <f>'Avg Week GULU-KARUMA'!M24+'Avg Week KARUMA-GULU'!M24</f>
        <v>91.228571428571428</v>
      </c>
      <c r="N24" s="49">
        <f>'Avg Week GULU-KARUMA'!N24+'Avg Week KARUMA-GULU'!N24</f>
        <v>0.2857142857142857</v>
      </c>
      <c r="O24" s="15">
        <f t="shared" si="0"/>
        <v>34.586434573829528</v>
      </c>
      <c r="P24" s="15">
        <f t="shared" si="1"/>
        <v>125.81500600240096</v>
      </c>
      <c r="R24" s="1" t="s">
        <v>148</v>
      </c>
      <c r="S24" s="34">
        <f>SUM(C66:C69)</f>
        <v>61.747899159663859</v>
      </c>
      <c r="T24" s="34">
        <f t="shared" ref="T24:AF24" si="16">SUM(D66:D69)</f>
        <v>15.521008403361346</v>
      </c>
      <c r="U24" s="34">
        <f t="shared" si="16"/>
        <v>35.80252100840336</v>
      </c>
      <c r="V24" s="34">
        <f t="shared" si="16"/>
        <v>6.5</v>
      </c>
      <c r="W24" s="34">
        <f t="shared" si="16"/>
        <v>1.4201680672268908</v>
      </c>
      <c r="X24" s="34">
        <f t="shared" si="16"/>
        <v>0.5</v>
      </c>
      <c r="Y24" s="34">
        <f t="shared" si="16"/>
        <v>18.521008403361343</v>
      </c>
      <c r="Z24" s="34">
        <f t="shared" si="16"/>
        <v>4.3403361344537821</v>
      </c>
      <c r="AA24" s="34">
        <f t="shared" si="16"/>
        <v>0</v>
      </c>
      <c r="AB24" s="34">
        <f t="shared" si="16"/>
        <v>17.222689075630253</v>
      </c>
      <c r="AC24" s="34">
        <f t="shared" si="16"/>
        <v>336</v>
      </c>
      <c r="AD24" s="34">
        <f t="shared" si="16"/>
        <v>0</v>
      </c>
      <c r="AE24" s="31">
        <f t="shared" si="16"/>
        <v>161.57563025210084</v>
      </c>
      <c r="AF24" s="31">
        <f t="shared" si="16"/>
        <v>497.57563025210084</v>
      </c>
    </row>
    <row r="25" spans="2:32" ht="23.1" customHeight="1" x14ac:dyDescent="0.25">
      <c r="B25" s="23" t="s">
        <v>52</v>
      </c>
      <c r="C25" s="49">
        <f>'Avg Week GULU-KARUMA'!C25+'Avg Week KARUMA-GULU'!C25</f>
        <v>9.9831932773109244</v>
      </c>
      <c r="D25" s="49">
        <f>'Avg Week GULU-KARUMA'!D25+'Avg Week KARUMA-GULU'!D25</f>
        <v>3.9543817527010803</v>
      </c>
      <c r="E25" s="49">
        <f>'Avg Week GULU-KARUMA'!E25+'Avg Week KARUMA-GULU'!E25</f>
        <v>8.7659063625450173</v>
      </c>
      <c r="F25" s="49">
        <f>'Avg Week GULU-KARUMA'!F25+'Avg Week KARUMA-GULU'!F25</f>
        <v>2.7887154861944778</v>
      </c>
      <c r="G25" s="49">
        <f>'Avg Week GULU-KARUMA'!G25+'Avg Week KARUMA-GULU'!G25</f>
        <v>0.42857142857142855</v>
      </c>
      <c r="H25" s="49">
        <f>'Avg Week GULU-KARUMA'!H25+'Avg Week KARUMA-GULU'!H25</f>
        <v>0.83433373349339734</v>
      </c>
      <c r="I25" s="49">
        <f>'Avg Week GULU-KARUMA'!I25+'Avg Week KARUMA-GULU'!I25</f>
        <v>3.0972388955582231</v>
      </c>
      <c r="J25" s="49">
        <f>'Avg Week GULU-KARUMA'!J25+'Avg Week KARUMA-GULU'!J25</f>
        <v>1.1428571428571428</v>
      </c>
      <c r="K25" s="49">
        <f>'Avg Week GULU-KARUMA'!K25+'Avg Week KARUMA-GULU'!K25</f>
        <v>0.5714285714285714</v>
      </c>
      <c r="L25" s="49">
        <f>'Avg Week GULU-KARUMA'!L25+'Avg Week KARUMA-GULU'!L25</f>
        <v>4.5258103241296519</v>
      </c>
      <c r="M25" s="49">
        <f>'Avg Week GULU-KARUMA'!M25+'Avg Week KARUMA-GULU'!M25</f>
        <v>94.571428571428569</v>
      </c>
      <c r="N25" s="49">
        <f>'Avg Week GULU-KARUMA'!N25+'Avg Week KARUMA-GULU'!N25</f>
        <v>0</v>
      </c>
      <c r="O25" s="15">
        <f t="shared" si="0"/>
        <v>36.092436974789919</v>
      </c>
      <c r="P25" s="15">
        <f t="shared" si="1"/>
        <v>130.66386554621849</v>
      </c>
      <c r="R25" s="1" t="s">
        <v>149</v>
      </c>
      <c r="S25" s="34">
        <f>SUM(C70:C73)</f>
        <v>47.865546218487395</v>
      </c>
      <c r="T25" s="34">
        <f t="shared" ref="T25:AF25" si="17">SUM(D70:D73)</f>
        <v>17.20168067226891</v>
      </c>
      <c r="U25" s="34">
        <f t="shared" si="17"/>
        <v>37.82352941176471</v>
      </c>
      <c r="V25" s="34">
        <f t="shared" si="17"/>
        <v>6</v>
      </c>
      <c r="W25" s="34">
        <f t="shared" si="17"/>
        <v>2.7605042016806722</v>
      </c>
      <c r="X25" s="34">
        <f t="shared" si="17"/>
        <v>2.420168067226891</v>
      </c>
      <c r="Y25" s="34">
        <f t="shared" si="17"/>
        <v>19.441176470588239</v>
      </c>
      <c r="Z25" s="34">
        <f t="shared" si="17"/>
        <v>5.6806722689075633</v>
      </c>
      <c r="AA25" s="34">
        <f t="shared" si="17"/>
        <v>0</v>
      </c>
      <c r="AB25" s="34">
        <f t="shared" si="17"/>
        <v>24.403361344537817</v>
      </c>
      <c r="AC25" s="34">
        <f t="shared" si="17"/>
        <v>208</v>
      </c>
      <c r="AD25" s="34">
        <f t="shared" si="17"/>
        <v>0.5</v>
      </c>
      <c r="AE25" s="31">
        <f t="shared" si="17"/>
        <v>164.09663865546219</v>
      </c>
      <c r="AF25" s="31">
        <f t="shared" si="17"/>
        <v>372.09663865546219</v>
      </c>
    </row>
    <row r="26" spans="2:32" ht="23.1" customHeight="1" x14ac:dyDescent="0.25">
      <c r="B26" s="23" t="s">
        <v>53</v>
      </c>
      <c r="C26" s="49">
        <f>'Avg Week GULU-KARUMA'!C26+'Avg Week KARUMA-GULU'!C26</f>
        <v>10.720288115246099</v>
      </c>
      <c r="D26" s="49">
        <f>'Avg Week GULU-KARUMA'!D26+'Avg Week KARUMA-GULU'!D26</f>
        <v>2.6686674669867951</v>
      </c>
      <c r="E26" s="49">
        <f>'Avg Week GULU-KARUMA'!E26+'Avg Week KARUMA-GULU'!E26</f>
        <v>6.8859543817527005</v>
      </c>
      <c r="F26" s="49">
        <f>'Avg Week GULU-KARUMA'!F26+'Avg Week KARUMA-GULU'!F26</f>
        <v>3.5030012004801918</v>
      </c>
      <c r="G26" s="49">
        <f>'Avg Week GULU-KARUMA'!G26+'Avg Week KARUMA-GULU'!G26</f>
        <v>0</v>
      </c>
      <c r="H26" s="49">
        <f>'Avg Week GULU-KARUMA'!H26+'Avg Week KARUMA-GULU'!H26</f>
        <v>0.8571428571428571</v>
      </c>
      <c r="I26" s="49">
        <f>'Avg Week GULU-KARUMA'!I26+'Avg Week KARUMA-GULU'!I26</f>
        <v>5.6458583433373351</v>
      </c>
      <c r="J26" s="49">
        <f>'Avg Week GULU-KARUMA'!J26+'Avg Week KARUMA-GULU'!J26</f>
        <v>0.5714285714285714</v>
      </c>
      <c r="K26" s="49">
        <f>'Avg Week GULU-KARUMA'!K26+'Avg Week KARUMA-GULU'!K26</f>
        <v>0.14285714285714285</v>
      </c>
      <c r="L26" s="49">
        <f>'Avg Week GULU-KARUMA'!L26+'Avg Week KARUMA-GULU'!L26</f>
        <v>3.6914765906362543</v>
      </c>
      <c r="M26" s="49">
        <f>'Avg Week GULU-KARUMA'!M26+'Avg Week KARUMA-GULU'!M26</f>
        <v>88.228571428571428</v>
      </c>
      <c r="N26" s="49">
        <f>'Avg Week GULU-KARUMA'!N26+'Avg Week KARUMA-GULU'!N26</f>
        <v>0</v>
      </c>
      <c r="O26" s="15">
        <f t="shared" si="0"/>
        <v>34.686674669867948</v>
      </c>
      <c r="P26" s="15">
        <f t="shared" si="1"/>
        <v>122.91524609843938</v>
      </c>
      <c r="R26" s="1" t="s">
        <v>150</v>
      </c>
      <c r="S26" s="34">
        <f>SUM(C74:C77)</f>
        <v>39.004201680672267</v>
      </c>
      <c r="T26" s="34">
        <f t="shared" ref="T26:AF26" si="18">SUM(D74:D77)</f>
        <v>17.441176470588239</v>
      </c>
      <c r="U26" s="34">
        <f t="shared" si="18"/>
        <v>37.80252100840336</v>
      </c>
      <c r="V26" s="34">
        <f t="shared" si="18"/>
        <v>5.5</v>
      </c>
      <c r="W26" s="34">
        <f t="shared" si="18"/>
        <v>0.92016806722689082</v>
      </c>
      <c r="X26" s="34">
        <f t="shared" si="18"/>
        <v>2.420168067226891</v>
      </c>
      <c r="Y26" s="34">
        <f t="shared" si="18"/>
        <v>18.941176470588236</v>
      </c>
      <c r="Z26" s="34">
        <f t="shared" si="18"/>
        <v>2.420168067226891</v>
      </c>
      <c r="AA26" s="34">
        <f t="shared" si="18"/>
        <v>0.5</v>
      </c>
      <c r="AB26" s="34">
        <f t="shared" si="18"/>
        <v>12.680672268907564</v>
      </c>
      <c r="AC26" s="34">
        <f t="shared" si="18"/>
        <v>126.5</v>
      </c>
      <c r="AD26" s="34">
        <f t="shared" si="18"/>
        <v>0</v>
      </c>
      <c r="AE26" s="31">
        <f t="shared" si="18"/>
        <v>137.63025210084035</v>
      </c>
      <c r="AF26" s="31">
        <f t="shared" si="18"/>
        <v>264.13025210084032</v>
      </c>
    </row>
    <row r="27" spans="2:32" ht="23.1" customHeight="1" x14ac:dyDescent="0.25">
      <c r="B27" s="23" t="s">
        <v>54</v>
      </c>
      <c r="C27" s="49">
        <f>'Avg Week GULU-KARUMA'!C27+'Avg Week KARUMA-GULU'!C27</f>
        <v>9.1944777911164479</v>
      </c>
      <c r="D27" s="49">
        <f>'Avg Week GULU-KARUMA'!D27+'Avg Week KARUMA-GULU'!D27</f>
        <v>5.4573829531812725</v>
      </c>
      <c r="E27" s="49">
        <f>'Avg Week GULU-KARUMA'!E27+'Avg Week KARUMA-GULU'!E27</f>
        <v>11.986194477791116</v>
      </c>
      <c r="F27" s="49">
        <f>'Avg Week GULU-KARUMA'!F27+'Avg Week KARUMA-GULU'!F27</f>
        <v>1.2857142857142856</v>
      </c>
      <c r="G27" s="49">
        <f>'Avg Week GULU-KARUMA'!G27+'Avg Week KARUMA-GULU'!G27</f>
        <v>0.14285714285714285</v>
      </c>
      <c r="H27" s="49">
        <f>'Avg Week GULU-KARUMA'!H27+'Avg Week KARUMA-GULU'!H27</f>
        <v>0.97719087635054014</v>
      </c>
      <c r="I27" s="49">
        <f>'Avg Week GULU-KARUMA'!I27+'Avg Week KARUMA-GULU'!I27</f>
        <v>3.9315726290516206</v>
      </c>
      <c r="J27" s="49">
        <f>'Avg Week GULU-KARUMA'!J27+'Avg Week KARUMA-GULU'!J27</f>
        <v>1.1428571428571428</v>
      </c>
      <c r="K27" s="49">
        <f>'Avg Week GULU-KARUMA'!K27+'Avg Week KARUMA-GULU'!K27</f>
        <v>0.14285714285714285</v>
      </c>
      <c r="L27" s="49">
        <f>'Avg Week GULU-KARUMA'!L27+'Avg Week KARUMA-GULU'!L27</f>
        <v>3.8115246098439375</v>
      </c>
      <c r="M27" s="49">
        <f>'Avg Week GULU-KARUMA'!M27+'Avg Week KARUMA-GULU'!M27</f>
        <v>88.371428571428581</v>
      </c>
      <c r="N27" s="49">
        <f>'Avg Week GULU-KARUMA'!N27+'Avg Week KARUMA-GULU'!N27</f>
        <v>0</v>
      </c>
      <c r="O27" s="15">
        <f t="shared" si="0"/>
        <v>38.072629051620652</v>
      </c>
      <c r="P27" s="15">
        <f t="shared" si="1"/>
        <v>126.44405762304923</v>
      </c>
      <c r="R27" s="1" t="s">
        <v>151</v>
      </c>
      <c r="S27" s="34">
        <f>SUM(C78:C81)</f>
        <v>45.525210084033617</v>
      </c>
      <c r="T27" s="34">
        <f t="shared" ref="T27:AF27" si="19">SUM(D78:D81)</f>
        <v>14.021008403361346</v>
      </c>
      <c r="U27" s="34">
        <f t="shared" si="19"/>
        <v>29.462184873949582</v>
      </c>
      <c r="V27" s="34">
        <f t="shared" si="19"/>
        <v>7.1806722689075633</v>
      </c>
      <c r="W27" s="34">
        <f t="shared" si="19"/>
        <v>2.3403361344537816</v>
      </c>
      <c r="X27" s="34">
        <f t="shared" si="19"/>
        <v>3.3403361344537816</v>
      </c>
      <c r="Y27" s="34">
        <f t="shared" si="19"/>
        <v>17.941176470588236</v>
      </c>
      <c r="Z27" s="34">
        <f t="shared" si="19"/>
        <v>6.1008403361344534</v>
      </c>
      <c r="AA27" s="34">
        <f t="shared" si="19"/>
        <v>0</v>
      </c>
      <c r="AB27" s="34">
        <f t="shared" si="19"/>
        <v>22.80252100840336</v>
      </c>
      <c r="AC27" s="34">
        <f t="shared" si="19"/>
        <v>108</v>
      </c>
      <c r="AD27" s="34">
        <f t="shared" si="19"/>
        <v>0.5</v>
      </c>
      <c r="AE27" s="31">
        <f t="shared" si="19"/>
        <v>149.21428571428572</v>
      </c>
      <c r="AF27" s="31">
        <f t="shared" si="19"/>
        <v>257.21428571428578</v>
      </c>
    </row>
    <row r="28" spans="2:32" ht="23.1" customHeight="1" x14ac:dyDescent="0.25">
      <c r="B28" s="23" t="s">
        <v>55</v>
      </c>
      <c r="C28" s="49">
        <f>'Avg Week GULU-KARUMA'!C28+'Avg Week KARUMA-GULU'!C28</f>
        <v>11.554621848739496</v>
      </c>
      <c r="D28" s="49">
        <f>'Avg Week GULU-KARUMA'!D28+'Avg Week KARUMA-GULU'!D28</f>
        <v>4.8115246098439375</v>
      </c>
      <c r="E28" s="49">
        <f>'Avg Week GULU-KARUMA'!E28+'Avg Week KARUMA-GULU'!E28</f>
        <v>10.671668667466987</v>
      </c>
      <c r="F28" s="49">
        <f>'Avg Week GULU-KARUMA'!F28+'Avg Week KARUMA-GULU'!F28</f>
        <v>2</v>
      </c>
      <c r="G28" s="49">
        <f>'Avg Week GULU-KARUMA'!G28+'Avg Week KARUMA-GULU'!G28</f>
        <v>0.2857142857142857</v>
      </c>
      <c r="H28" s="49">
        <f>'Avg Week GULU-KARUMA'!H28+'Avg Week KARUMA-GULU'!H28</f>
        <v>0.42857142857142855</v>
      </c>
      <c r="I28" s="49">
        <f>'Avg Week GULU-KARUMA'!I28+'Avg Week KARUMA-GULU'!I28</f>
        <v>4.7430972388955581</v>
      </c>
      <c r="J28" s="49">
        <f>'Avg Week GULU-KARUMA'!J28+'Avg Week KARUMA-GULU'!J28</f>
        <v>1.857142857142857</v>
      </c>
      <c r="K28" s="49">
        <f>'Avg Week GULU-KARUMA'!K28+'Avg Week KARUMA-GULU'!K28</f>
        <v>0.26290516206482595</v>
      </c>
      <c r="L28" s="49">
        <f>'Avg Week GULU-KARUMA'!L28+'Avg Week KARUMA-GULU'!L28</f>
        <v>5.4345738295318124</v>
      </c>
      <c r="M28" s="49">
        <f>'Avg Week GULU-KARUMA'!M28+'Avg Week KARUMA-GULU'!M28</f>
        <v>96.614285714285714</v>
      </c>
      <c r="N28" s="49">
        <f>'Avg Week GULU-KARUMA'!N28+'Avg Week KARUMA-GULU'!N28</f>
        <v>0</v>
      </c>
      <c r="O28" s="15">
        <f t="shared" si="0"/>
        <v>42.049819927971178</v>
      </c>
      <c r="P28" s="15">
        <f t="shared" si="1"/>
        <v>138.66410564225689</v>
      </c>
      <c r="R28" s="1" t="s">
        <v>152</v>
      </c>
      <c r="S28" s="34">
        <f>SUM(C82:C85)</f>
        <v>31.823529411764703</v>
      </c>
      <c r="T28" s="34">
        <f t="shared" ref="T28:AF28" si="20">SUM(D82:D85)</f>
        <v>19.1218487394958</v>
      </c>
      <c r="U28" s="34">
        <f t="shared" si="20"/>
        <v>40.743697478991599</v>
      </c>
      <c r="V28" s="34">
        <f t="shared" si="20"/>
        <v>8.6008403361344534</v>
      </c>
      <c r="W28" s="34">
        <f t="shared" si="20"/>
        <v>5.1008403361344543</v>
      </c>
      <c r="X28" s="34">
        <f t="shared" si="20"/>
        <v>4.7605042016806722</v>
      </c>
      <c r="Y28" s="34">
        <f t="shared" si="20"/>
        <v>17.521008403361343</v>
      </c>
      <c r="Z28" s="34">
        <f t="shared" si="20"/>
        <v>1.9201680672268908</v>
      </c>
      <c r="AA28" s="34">
        <f t="shared" si="20"/>
        <v>0</v>
      </c>
      <c r="AB28" s="34">
        <f t="shared" si="20"/>
        <v>24.542016806722689</v>
      </c>
      <c r="AC28" s="34">
        <f t="shared" si="20"/>
        <v>51</v>
      </c>
      <c r="AD28" s="34">
        <f t="shared" si="20"/>
        <v>0</v>
      </c>
      <c r="AE28" s="31">
        <f t="shared" si="20"/>
        <v>154.1344537815126</v>
      </c>
      <c r="AF28" s="31">
        <f t="shared" si="20"/>
        <v>205.1344537815126</v>
      </c>
    </row>
    <row r="29" spans="2:32" ht="23.1" customHeight="1" x14ac:dyDescent="0.25">
      <c r="B29" s="23" t="s">
        <v>56</v>
      </c>
      <c r="C29" s="49">
        <f>'Avg Week GULU-KARUMA'!C29+'Avg Week KARUMA-GULU'!C29</f>
        <v>9.623049219687875</v>
      </c>
      <c r="D29" s="49">
        <f>'Avg Week GULU-KARUMA'!D29+'Avg Week KARUMA-GULU'!D29</f>
        <v>5.194477791116447</v>
      </c>
      <c r="E29" s="49">
        <f>'Avg Week GULU-KARUMA'!E29+'Avg Week KARUMA-GULU'!E29</f>
        <v>11.531812725090035</v>
      </c>
      <c r="F29" s="49">
        <f>'Avg Week GULU-KARUMA'!F29+'Avg Week KARUMA-GULU'!F29</f>
        <v>2.2629051620648255</v>
      </c>
      <c r="G29" s="49">
        <f>'Avg Week GULU-KARUMA'!G29+'Avg Week KARUMA-GULU'!G29</f>
        <v>0.14285714285714285</v>
      </c>
      <c r="H29" s="49">
        <f>'Avg Week GULU-KARUMA'!H29+'Avg Week KARUMA-GULU'!H29</f>
        <v>1.5486194477791115</v>
      </c>
      <c r="I29" s="49">
        <f>'Avg Week GULU-KARUMA'!I29+'Avg Week KARUMA-GULU'!I29</f>
        <v>4.7430972388955581</v>
      </c>
      <c r="J29" s="49">
        <f>'Avg Week GULU-KARUMA'!J29+'Avg Week KARUMA-GULU'!J29</f>
        <v>1.4285714285714284</v>
      </c>
      <c r="K29" s="49">
        <f>'Avg Week GULU-KARUMA'!K29+'Avg Week KARUMA-GULU'!K29</f>
        <v>0</v>
      </c>
      <c r="L29" s="49">
        <f>'Avg Week GULU-KARUMA'!L29+'Avg Week KARUMA-GULU'!L29</f>
        <v>5.7202881152460989</v>
      </c>
      <c r="M29" s="49">
        <f>'Avg Week GULU-KARUMA'!M29+'Avg Week KARUMA-GULU'!M29</f>
        <v>86.300000000000011</v>
      </c>
      <c r="N29" s="49">
        <f>'Avg Week GULU-KARUMA'!N29+'Avg Week KARUMA-GULU'!N29</f>
        <v>0</v>
      </c>
      <c r="O29" s="15">
        <f t="shared" si="0"/>
        <v>42.195678271308523</v>
      </c>
      <c r="P29" s="15">
        <f t="shared" si="1"/>
        <v>128.49567827130852</v>
      </c>
      <c r="R29" s="1" t="s">
        <v>153</v>
      </c>
      <c r="S29" s="34">
        <f>SUM(C86:C89)</f>
        <v>35.084033613445378</v>
      </c>
      <c r="T29" s="34">
        <f t="shared" ref="T29:AF29" si="21">SUM(D86:D89)</f>
        <v>10.680672268907562</v>
      </c>
      <c r="U29" s="34">
        <f t="shared" si="21"/>
        <v>26.542016806722689</v>
      </c>
      <c r="V29" s="34">
        <f t="shared" si="21"/>
        <v>8.420168067226891</v>
      </c>
      <c r="W29" s="34">
        <f t="shared" si="21"/>
        <v>0.92016806722689082</v>
      </c>
      <c r="X29" s="34">
        <f t="shared" si="21"/>
        <v>2</v>
      </c>
      <c r="Y29" s="34">
        <f t="shared" si="21"/>
        <v>20.781512605042018</v>
      </c>
      <c r="Z29" s="34">
        <f t="shared" si="21"/>
        <v>3.5</v>
      </c>
      <c r="AA29" s="34">
        <f t="shared" si="21"/>
        <v>0.5</v>
      </c>
      <c r="AB29" s="34">
        <f t="shared" si="21"/>
        <v>18.121848739495796</v>
      </c>
      <c r="AC29" s="34">
        <f t="shared" si="21"/>
        <v>6</v>
      </c>
      <c r="AD29" s="34">
        <f t="shared" si="21"/>
        <v>0</v>
      </c>
      <c r="AE29" s="31">
        <f t="shared" si="21"/>
        <v>126.55042016806722</v>
      </c>
      <c r="AF29" s="31">
        <f t="shared" si="21"/>
        <v>132.55042016806721</v>
      </c>
    </row>
    <row r="30" spans="2:32" ht="23.1" customHeight="1" x14ac:dyDescent="0.25">
      <c r="B30" s="23" t="s">
        <v>57</v>
      </c>
      <c r="C30" s="49">
        <f>'Avg Week GULU-KARUMA'!C30+'Avg Week KARUMA-GULU'!C30</f>
        <v>10.291716686674668</v>
      </c>
      <c r="D30" s="49">
        <f>'Avg Week GULU-KARUMA'!D30+'Avg Week KARUMA-GULU'!D30</f>
        <v>3.6458583433373351</v>
      </c>
      <c r="E30" s="49">
        <f>'Avg Week GULU-KARUMA'!E30+'Avg Week KARUMA-GULU'!E30</f>
        <v>8.2917166866746701</v>
      </c>
      <c r="F30" s="49">
        <f>'Avg Week GULU-KARUMA'!F30+'Avg Week KARUMA-GULU'!F30</f>
        <v>2.1200480192076832</v>
      </c>
      <c r="G30" s="49">
        <f>'Avg Week GULU-KARUMA'!G30+'Avg Week KARUMA-GULU'!G30</f>
        <v>0.2857142857142857</v>
      </c>
      <c r="H30" s="49">
        <f>'Avg Week GULU-KARUMA'!H30+'Avg Week KARUMA-GULU'!H30</f>
        <v>0.8571428571428571</v>
      </c>
      <c r="I30" s="49">
        <f>'Avg Week GULU-KARUMA'!I30+'Avg Week KARUMA-GULU'!I30</f>
        <v>7.0060024009603836</v>
      </c>
      <c r="J30" s="49">
        <f>'Avg Week GULU-KARUMA'!J30+'Avg Week KARUMA-GULU'!J30</f>
        <v>1.6914765906362546</v>
      </c>
      <c r="K30" s="49">
        <f>'Avg Week GULU-KARUMA'!K30+'Avg Week KARUMA-GULU'!K30</f>
        <v>0.14285714285714285</v>
      </c>
      <c r="L30" s="49">
        <f>'Avg Week GULU-KARUMA'!L30+'Avg Week KARUMA-GULU'!L30</f>
        <v>5.3145258103241302</v>
      </c>
      <c r="M30" s="49">
        <f>'Avg Week GULU-KARUMA'!M30+'Avg Week KARUMA-GULU'!M30</f>
        <v>99.01428571428572</v>
      </c>
      <c r="N30" s="49">
        <f>'Avg Week GULU-KARUMA'!N30+'Avg Week KARUMA-GULU'!N30</f>
        <v>0.14285714285714285</v>
      </c>
      <c r="O30" s="15">
        <f t="shared" si="0"/>
        <v>39.789915966386559</v>
      </c>
      <c r="P30" s="15">
        <f t="shared" si="1"/>
        <v>138.80420168067226</v>
      </c>
      <c r="R30" s="1" t="s">
        <v>154</v>
      </c>
      <c r="S30" s="34">
        <f>SUM(C90:C93)</f>
        <v>49.12605042016807</v>
      </c>
      <c r="T30" s="34">
        <f t="shared" ref="T30:AF30" si="22">SUM(D90:D93)</f>
        <v>19.781512605042018</v>
      </c>
      <c r="U30" s="34">
        <f t="shared" si="22"/>
        <v>42.903361344537814</v>
      </c>
      <c r="V30" s="34">
        <f t="shared" si="22"/>
        <v>4.420168067226891</v>
      </c>
      <c r="W30" s="34">
        <f t="shared" si="22"/>
        <v>0</v>
      </c>
      <c r="X30" s="34">
        <f t="shared" si="22"/>
        <v>4.2605042016806731</v>
      </c>
      <c r="Y30" s="34">
        <f t="shared" si="22"/>
        <v>22.281512605042018</v>
      </c>
      <c r="Z30" s="34">
        <f t="shared" si="22"/>
        <v>3.3403361344537816</v>
      </c>
      <c r="AA30" s="34">
        <f t="shared" si="22"/>
        <v>1.8403361344537816</v>
      </c>
      <c r="AB30" s="34">
        <f t="shared" si="22"/>
        <v>10.680672268907562</v>
      </c>
      <c r="AC30" s="34">
        <f t="shared" si="22"/>
        <v>16</v>
      </c>
      <c r="AD30" s="34">
        <f t="shared" si="22"/>
        <v>2</v>
      </c>
      <c r="AE30" s="31">
        <f t="shared" si="22"/>
        <v>160.6344537815126</v>
      </c>
      <c r="AF30" s="31">
        <f t="shared" si="22"/>
        <v>176.6344537815126</v>
      </c>
    </row>
    <row r="31" spans="2:32" ht="23.1" customHeight="1" x14ac:dyDescent="0.25">
      <c r="B31" s="24" t="s">
        <v>58</v>
      </c>
      <c r="C31" s="49">
        <f>'Avg Week GULU-KARUMA'!C31+'Avg Week KARUMA-GULU'!C31</f>
        <v>10.503001200480192</v>
      </c>
      <c r="D31" s="49">
        <f>'Avg Week GULU-KARUMA'!D31+'Avg Week KARUMA-GULU'!D31</f>
        <v>3.2629051620648259</v>
      </c>
      <c r="E31" s="49">
        <f>'Avg Week GULU-KARUMA'!E31+'Avg Week KARUMA-GULU'!E31</f>
        <v>6.9543817527010798</v>
      </c>
      <c r="F31" s="49">
        <f>'Avg Week GULU-KARUMA'!F31+'Avg Week KARUMA-GULU'!F31</f>
        <v>2.1428571428571428</v>
      </c>
      <c r="G31" s="49">
        <f>'Avg Week GULU-KARUMA'!G31+'Avg Week KARUMA-GULU'!G31</f>
        <v>0.4057623049219688</v>
      </c>
      <c r="H31" s="49">
        <f>'Avg Week GULU-KARUMA'!H31+'Avg Week KARUMA-GULU'!H31</f>
        <v>1</v>
      </c>
      <c r="I31" s="49">
        <f>'Avg Week GULU-KARUMA'!I31+'Avg Week KARUMA-GULU'!I31</f>
        <v>4.2172869147659062</v>
      </c>
      <c r="J31" s="49">
        <f>'Avg Week GULU-KARUMA'!J31+'Avg Week KARUMA-GULU'!J31</f>
        <v>1.2857142857142856</v>
      </c>
      <c r="K31" s="49">
        <f>'Avg Week GULU-KARUMA'!K31+'Avg Week KARUMA-GULU'!K31</f>
        <v>0.2857142857142857</v>
      </c>
      <c r="L31" s="49">
        <f>'Avg Week GULU-KARUMA'!L31+'Avg Week KARUMA-GULU'!L31</f>
        <v>7.4573829531812716</v>
      </c>
      <c r="M31" s="49">
        <f>'Avg Week GULU-KARUMA'!M31+'Avg Week KARUMA-GULU'!M31</f>
        <v>85.185714285714283</v>
      </c>
      <c r="N31" s="49">
        <f>'Avg Week GULU-KARUMA'!N31+'Avg Week KARUMA-GULU'!N31</f>
        <v>0</v>
      </c>
      <c r="O31" s="15">
        <f t="shared" si="0"/>
        <v>37.515006002400959</v>
      </c>
      <c r="P31" s="15">
        <f t="shared" si="1"/>
        <v>122.70072028811524</v>
      </c>
      <c r="R31" s="1" t="s">
        <v>155</v>
      </c>
      <c r="S31" s="34">
        <f>SUM(C94:C97)</f>
        <v>49.205882352941174</v>
      </c>
      <c r="T31" s="34">
        <f t="shared" ref="T31:AF31" si="23">SUM(D94:D97)</f>
        <v>21.882352941176471</v>
      </c>
      <c r="U31" s="34">
        <f t="shared" si="23"/>
        <v>46.184873949579831</v>
      </c>
      <c r="V31" s="34">
        <f t="shared" si="23"/>
        <v>12.760504201680673</v>
      </c>
      <c r="W31" s="34">
        <f t="shared" si="23"/>
        <v>1.8403361344537816</v>
      </c>
      <c r="X31" s="34">
        <f t="shared" si="23"/>
        <v>2.920168067226891</v>
      </c>
      <c r="Y31" s="34">
        <f t="shared" si="23"/>
        <v>28.361344537815121</v>
      </c>
      <c r="Z31" s="34">
        <f t="shared" si="23"/>
        <v>4.7605042016806722</v>
      </c>
      <c r="AA31" s="34">
        <f t="shared" si="23"/>
        <v>0</v>
      </c>
      <c r="AB31" s="34">
        <f t="shared" si="23"/>
        <v>11.180672268907564</v>
      </c>
      <c r="AC31" s="34">
        <f t="shared" si="23"/>
        <v>0</v>
      </c>
      <c r="AD31" s="34">
        <f t="shared" si="23"/>
        <v>0</v>
      </c>
      <c r="AE31" s="31">
        <f t="shared" si="23"/>
        <v>179.09663865546219</v>
      </c>
      <c r="AF31" s="31">
        <f t="shared" si="23"/>
        <v>179.09663865546219</v>
      </c>
    </row>
    <row r="32" spans="2:32" ht="23.1" customHeight="1" x14ac:dyDescent="0.25">
      <c r="B32" s="24" t="s">
        <v>59</v>
      </c>
      <c r="C32" s="49">
        <f>'Avg Week GULU-KARUMA'!C32+'Avg Week KARUMA-GULU'!C32</f>
        <v>10.765906362545017</v>
      </c>
      <c r="D32" s="49">
        <f>'Avg Week GULU-KARUMA'!D32+'Avg Week KARUMA-GULU'!D32</f>
        <v>4.2172869147659062</v>
      </c>
      <c r="E32" s="49">
        <f>'Avg Week GULU-KARUMA'!E32+'Avg Week KARUMA-GULU'!E32</f>
        <v>9.0774309723889566</v>
      </c>
      <c r="F32" s="49">
        <f>'Avg Week GULU-KARUMA'!F32+'Avg Week KARUMA-GULU'!F32</f>
        <v>1.5714285714285716</v>
      </c>
      <c r="G32" s="49">
        <f>'Avg Week GULU-KARUMA'!G32+'Avg Week KARUMA-GULU'!G32</f>
        <v>0</v>
      </c>
      <c r="H32" s="49">
        <f>'Avg Week GULU-KARUMA'!H32+'Avg Week KARUMA-GULU'!H32</f>
        <v>0.42857142857142855</v>
      </c>
      <c r="I32" s="49">
        <f>'Avg Week GULU-KARUMA'!I32+'Avg Week KARUMA-GULU'!I32</f>
        <v>3.7659063625450182</v>
      </c>
      <c r="J32" s="49">
        <f>'Avg Week GULU-KARUMA'!J32+'Avg Week KARUMA-GULU'!J32</f>
        <v>0.42857142857142855</v>
      </c>
      <c r="K32" s="49">
        <f>'Avg Week GULU-KARUMA'!K32+'Avg Week KARUMA-GULU'!K32</f>
        <v>0.14285714285714285</v>
      </c>
      <c r="L32" s="49">
        <f>'Avg Week GULU-KARUMA'!L32+'Avg Week KARUMA-GULU'!L32</f>
        <v>3.8343337334933976</v>
      </c>
      <c r="M32" s="49">
        <f>'Avg Week GULU-KARUMA'!M32+'Avg Week KARUMA-GULU'!M32</f>
        <v>91.957142857142856</v>
      </c>
      <c r="N32" s="49">
        <f>'Avg Week GULU-KARUMA'!N32+'Avg Week KARUMA-GULU'!N32</f>
        <v>0</v>
      </c>
      <c r="O32" s="15">
        <f t="shared" si="0"/>
        <v>34.232292917166866</v>
      </c>
      <c r="P32" s="15">
        <f t="shared" si="1"/>
        <v>126.18943577430971</v>
      </c>
      <c r="R32" s="1" t="s">
        <v>156</v>
      </c>
      <c r="S32" s="34">
        <f>SUM(C98:C101)</f>
        <v>55.428571428571431</v>
      </c>
      <c r="T32" s="34">
        <f t="shared" ref="T32:AF32" si="24">SUM(D98:D101)</f>
        <v>29.30252100840336</v>
      </c>
      <c r="U32" s="34">
        <f t="shared" si="24"/>
        <v>62.945378151260499</v>
      </c>
      <c r="V32" s="34">
        <f t="shared" si="24"/>
        <v>12.521008403361346</v>
      </c>
      <c r="W32" s="34">
        <f t="shared" si="24"/>
        <v>1</v>
      </c>
      <c r="X32" s="34">
        <f t="shared" si="24"/>
        <v>6.2605042016806731</v>
      </c>
      <c r="Y32" s="34">
        <f t="shared" si="24"/>
        <v>20.441176470588239</v>
      </c>
      <c r="Z32" s="34">
        <f t="shared" si="24"/>
        <v>2.3403361344537816</v>
      </c>
      <c r="AA32" s="34">
        <f t="shared" si="24"/>
        <v>2.3403361344537816</v>
      </c>
      <c r="AB32" s="34">
        <f t="shared" si="24"/>
        <v>11.941176470588236</v>
      </c>
      <c r="AC32" s="34">
        <f t="shared" si="24"/>
        <v>13</v>
      </c>
      <c r="AD32" s="34">
        <f t="shared" si="24"/>
        <v>0</v>
      </c>
      <c r="AE32" s="31">
        <f t="shared" si="24"/>
        <v>204.52100840336135</v>
      </c>
      <c r="AF32" s="31">
        <f t="shared" si="24"/>
        <v>217.52100840336135</v>
      </c>
    </row>
    <row r="33" spans="2:32" ht="23.1" customHeight="1" x14ac:dyDescent="0.25">
      <c r="B33" s="23" t="s">
        <v>60</v>
      </c>
      <c r="C33" s="49">
        <f>'Avg Week GULU-KARUMA'!C33+'Avg Week KARUMA-GULU'!C33</f>
        <v>11.006002400960384</v>
      </c>
      <c r="D33" s="49">
        <f>'Avg Week GULU-KARUMA'!D33+'Avg Week KARUMA-GULU'!D33</f>
        <v>4.9315726290516206</v>
      </c>
      <c r="E33" s="49">
        <f>'Avg Week GULU-KARUMA'!E33+'Avg Week KARUMA-GULU'!E33</f>
        <v>10.363145258103241</v>
      </c>
      <c r="F33" s="49">
        <f>'Avg Week GULU-KARUMA'!F33+'Avg Week KARUMA-GULU'!F33</f>
        <v>2.2400960384153663</v>
      </c>
      <c r="G33" s="49">
        <f>'Avg Week GULU-KARUMA'!G33+'Avg Week KARUMA-GULU'!G33</f>
        <v>0</v>
      </c>
      <c r="H33" s="49">
        <f>'Avg Week GULU-KARUMA'!H33+'Avg Week KARUMA-GULU'!H33</f>
        <v>1.0972388955582233</v>
      </c>
      <c r="I33" s="49">
        <f>'Avg Week GULU-KARUMA'!I33+'Avg Week KARUMA-GULU'!I33</f>
        <v>3.1200480192076832</v>
      </c>
      <c r="J33" s="49">
        <f>'Avg Week GULU-KARUMA'!J33+'Avg Week KARUMA-GULU'!J33</f>
        <v>1.4057623049219687</v>
      </c>
      <c r="K33" s="49">
        <f>'Avg Week GULU-KARUMA'!K33+'Avg Week KARUMA-GULU'!K33</f>
        <v>0</v>
      </c>
      <c r="L33" s="49">
        <f>'Avg Week GULU-KARUMA'!L33+'Avg Week KARUMA-GULU'!L33</f>
        <v>5.4573829531812725</v>
      </c>
      <c r="M33" s="49">
        <f>'Avg Week GULU-KARUMA'!M33+'Avg Week KARUMA-GULU'!M33</f>
        <v>95.357142857142861</v>
      </c>
      <c r="N33" s="49">
        <f>'Avg Week GULU-KARUMA'!N33+'Avg Week KARUMA-GULU'!N33</f>
        <v>0.14285714285714285</v>
      </c>
      <c r="O33" s="15">
        <f t="shared" si="0"/>
        <v>39.764105642256908</v>
      </c>
      <c r="P33" s="15">
        <f t="shared" si="1"/>
        <v>135.12124849939977</v>
      </c>
      <c r="R33" s="1" t="s">
        <v>157</v>
      </c>
      <c r="S33" s="34">
        <f>SUM(C102:C105)</f>
        <v>60.487394957983192</v>
      </c>
      <c r="T33" s="34">
        <f t="shared" ref="T33:AF33" si="25">SUM(D102:D105)</f>
        <v>41.445378151260506</v>
      </c>
      <c r="U33" s="34">
        <f t="shared" si="25"/>
        <v>86.231092436974791</v>
      </c>
      <c r="V33" s="34">
        <f t="shared" si="25"/>
        <v>23.281512605042018</v>
      </c>
      <c r="W33" s="34">
        <f t="shared" si="25"/>
        <v>1.9201680672268908</v>
      </c>
      <c r="X33" s="34">
        <f t="shared" si="25"/>
        <v>4.8403361344537821</v>
      </c>
      <c r="Y33" s="34">
        <f t="shared" si="25"/>
        <v>22.781512605042018</v>
      </c>
      <c r="Z33" s="34">
        <f t="shared" si="25"/>
        <v>3.2605042016806722</v>
      </c>
      <c r="AA33" s="34">
        <f t="shared" si="25"/>
        <v>1.8403361344537816</v>
      </c>
      <c r="AB33" s="34">
        <f t="shared" si="25"/>
        <v>21.882352941176471</v>
      </c>
      <c r="AC33" s="34">
        <f t="shared" si="25"/>
        <v>55</v>
      </c>
      <c r="AD33" s="34">
        <f t="shared" si="25"/>
        <v>0</v>
      </c>
      <c r="AE33" s="31">
        <f t="shared" si="25"/>
        <v>267.97058823529414</v>
      </c>
      <c r="AF33" s="31">
        <f t="shared" si="25"/>
        <v>322.97058823529414</v>
      </c>
    </row>
    <row r="34" spans="2:32" ht="23.1" customHeight="1" x14ac:dyDescent="0.25">
      <c r="B34" s="24" t="s">
        <v>61</v>
      </c>
      <c r="C34" s="49">
        <f>'Avg Week GULU-KARUMA'!C34+'Avg Week KARUMA-GULU'!C34</f>
        <v>8.097238895558224</v>
      </c>
      <c r="D34" s="49">
        <f>'Avg Week GULU-KARUMA'!D34+'Avg Week KARUMA-GULU'!D34</f>
        <v>3.5714285714285712</v>
      </c>
      <c r="E34" s="49">
        <f>'Avg Week GULU-KARUMA'!E34+'Avg Week KARUMA-GULU'!E34</f>
        <v>8.4771908763505408</v>
      </c>
      <c r="F34" s="49">
        <f>'Avg Week GULU-KARUMA'!F34+'Avg Week KARUMA-GULU'!F34</f>
        <v>2.5486194477791115</v>
      </c>
      <c r="G34" s="49">
        <f>'Avg Week GULU-KARUMA'!G34+'Avg Week KARUMA-GULU'!G34</f>
        <v>0.14285714285714285</v>
      </c>
      <c r="H34" s="49">
        <f>'Avg Week GULU-KARUMA'!H34+'Avg Week KARUMA-GULU'!H34</f>
        <v>0.69147659063625455</v>
      </c>
      <c r="I34" s="49">
        <f>'Avg Week GULU-KARUMA'!I34+'Avg Week KARUMA-GULU'!I34</f>
        <v>4.3145258103241293</v>
      </c>
      <c r="J34" s="49">
        <f>'Avg Week GULU-KARUMA'!J34+'Avg Week KARUMA-GULU'!J34</f>
        <v>1.2857142857142856</v>
      </c>
      <c r="K34" s="49">
        <f>'Avg Week GULU-KARUMA'!K34+'Avg Week KARUMA-GULU'!K34</f>
        <v>0.2857142857142857</v>
      </c>
      <c r="L34" s="49">
        <f>'Avg Week GULU-KARUMA'!L34+'Avg Week KARUMA-GULU'!L34</f>
        <v>5.3433373349339739</v>
      </c>
      <c r="M34" s="49">
        <f>'Avg Week GULU-KARUMA'!M34+'Avg Week KARUMA-GULU'!M34</f>
        <v>92.300000000000011</v>
      </c>
      <c r="N34" s="49">
        <f>'Avg Week GULU-KARUMA'!N34+'Avg Week KARUMA-GULU'!N34</f>
        <v>0</v>
      </c>
      <c r="O34" s="15">
        <f t="shared" si="0"/>
        <v>34.758103241296524</v>
      </c>
      <c r="P34" s="15">
        <f t="shared" si="1"/>
        <v>127.05810324129654</v>
      </c>
      <c r="R34" s="51" t="s">
        <v>90</v>
      </c>
      <c r="S34" s="52">
        <f t="shared" ref="S34:AF34" si="26">MAX(S10:S12)</f>
        <v>40.749099639855942</v>
      </c>
      <c r="T34" s="52">
        <f t="shared" si="26"/>
        <v>15.154861944777911</v>
      </c>
      <c r="U34" s="52">
        <f t="shared" si="26"/>
        <v>34.527010804321726</v>
      </c>
      <c r="V34" s="52">
        <f t="shared" si="26"/>
        <v>10.794717887154862</v>
      </c>
      <c r="W34" s="52">
        <f t="shared" si="26"/>
        <v>1.1428571428571428</v>
      </c>
      <c r="X34" s="52">
        <f t="shared" si="26"/>
        <v>2.8115246098439375</v>
      </c>
      <c r="Y34" s="52">
        <f t="shared" si="26"/>
        <v>18.423769507803122</v>
      </c>
      <c r="Z34" s="52">
        <f t="shared" si="26"/>
        <v>4.8571428571428577</v>
      </c>
      <c r="AA34" s="52">
        <f t="shared" si="26"/>
        <v>0.71428571428571419</v>
      </c>
      <c r="AB34" s="52">
        <f t="shared" si="26"/>
        <v>10.217286914765905</v>
      </c>
      <c r="AC34" s="52">
        <f t="shared" si="26"/>
        <v>452.57142857142856</v>
      </c>
      <c r="AD34" s="52">
        <f t="shared" si="26"/>
        <v>0.2857142857142857</v>
      </c>
      <c r="AE34" s="40">
        <f t="shared" si="26"/>
        <v>137.9987995198079</v>
      </c>
      <c r="AF34" s="40">
        <f t="shared" si="26"/>
        <v>584.12064825930372</v>
      </c>
    </row>
    <row r="35" spans="2:32" ht="23.1" customHeight="1" x14ac:dyDescent="0.25">
      <c r="B35" s="24" t="s">
        <v>62</v>
      </c>
      <c r="C35" s="49">
        <f>'Avg Week GULU-KARUMA'!C35+'Avg Week KARUMA-GULU'!C35</f>
        <v>8.1944777911164461</v>
      </c>
      <c r="D35" s="49">
        <f>'Avg Week GULU-KARUMA'!D35+'Avg Week KARUMA-GULU'!D35</f>
        <v>3.9315726290516206</v>
      </c>
      <c r="E35" s="49">
        <f>'Avg Week GULU-KARUMA'!E35+'Avg Week KARUMA-GULU'!E35</f>
        <v>8.7689075630252109</v>
      </c>
      <c r="F35" s="49">
        <f>'Avg Week GULU-KARUMA'!F35+'Avg Week KARUMA-GULU'!F35</f>
        <v>1.5714285714285714</v>
      </c>
      <c r="G35" s="49">
        <f>'Avg Week GULU-KARUMA'!G35+'Avg Week KARUMA-GULU'!G35</f>
        <v>0.42857142857142855</v>
      </c>
      <c r="H35" s="49">
        <f>'Avg Week GULU-KARUMA'!H35+'Avg Week KARUMA-GULU'!H35</f>
        <v>0.2857142857142857</v>
      </c>
      <c r="I35" s="49">
        <f>'Avg Week GULU-KARUMA'!I35+'Avg Week KARUMA-GULU'!I35</f>
        <v>3.623049219687875</v>
      </c>
      <c r="J35" s="49">
        <f>'Avg Week GULU-KARUMA'!J35+'Avg Week KARUMA-GULU'!J35</f>
        <v>0.97719087635054014</v>
      </c>
      <c r="K35" s="49">
        <f>'Avg Week GULU-KARUMA'!K35+'Avg Week KARUMA-GULU'!K35</f>
        <v>0</v>
      </c>
      <c r="L35" s="49">
        <f>'Avg Week GULU-KARUMA'!L35+'Avg Week KARUMA-GULU'!L35</f>
        <v>3.7887154861944774</v>
      </c>
      <c r="M35" s="49">
        <f>'Avg Week GULU-KARUMA'!M35+'Avg Week KARUMA-GULU'!M35</f>
        <v>99.471428571428575</v>
      </c>
      <c r="N35" s="49">
        <f>'Avg Week GULU-KARUMA'!N35+'Avg Week KARUMA-GULU'!N35</f>
        <v>0</v>
      </c>
      <c r="O35" s="15">
        <f t="shared" si="0"/>
        <v>31.569627851140456</v>
      </c>
      <c r="P35" s="15">
        <f t="shared" si="1"/>
        <v>131.04105642256903</v>
      </c>
      <c r="R35" s="51" t="s">
        <v>91</v>
      </c>
      <c r="S35" s="52">
        <f t="shared" ref="S35:AF35" si="27">MAX(S13:S18)</f>
        <v>42.566626650660261</v>
      </c>
      <c r="T35" s="52">
        <f t="shared" si="27"/>
        <v>18.58343337334934</v>
      </c>
      <c r="U35" s="52">
        <f t="shared" si="27"/>
        <v>41.075630252100837</v>
      </c>
      <c r="V35" s="52">
        <f t="shared" si="27"/>
        <v>10.171668667466989</v>
      </c>
      <c r="W35" s="52">
        <f t="shared" si="27"/>
        <v>1.4285714285714286</v>
      </c>
      <c r="X35" s="52">
        <f t="shared" si="27"/>
        <v>4.0972388955582231</v>
      </c>
      <c r="Y35" s="52">
        <f t="shared" si="27"/>
        <v>19.063625450180073</v>
      </c>
      <c r="Z35" s="52">
        <f t="shared" si="27"/>
        <v>5.8571428571428577</v>
      </c>
      <c r="AA35" s="52">
        <f t="shared" si="27"/>
        <v>1.7142857142857142</v>
      </c>
      <c r="AB35" s="52">
        <f t="shared" si="27"/>
        <v>22.063625450180073</v>
      </c>
      <c r="AC35" s="52">
        <f t="shared" si="27"/>
        <v>398.78571428571422</v>
      </c>
      <c r="AD35" s="52">
        <f t="shared" si="27"/>
        <v>0.71428571428571419</v>
      </c>
      <c r="AE35" s="40">
        <f t="shared" si="27"/>
        <v>157.00480192076833</v>
      </c>
      <c r="AF35" s="40">
        <f t="shared" si="27"/>
        <v>542.52941176470597</v>
      </c>
    </row>
    <row r="36" spans="2:32" ht="23.1" customHeight="1" x14ac:dyDescent="0.25">
      <c r="B36" s="24" t="s">
        <v>63</v>
      </c>
      <c r="C36" s="49">
        <f>'Avg Week GULU-KARUMA'!C36+'Avg Week KARUMA-GULU'!C36</f>
        <v>11.480192076830733</v>
      </c>
      <c r="D36" s="49">
        <f>'Avg Week GULU-KARUMA'!D36+'Avg Week KARUMA-GULU'!D36</f>
        <v>5.6002400960384158</v>
      </c>
      <c r="E36" s="49">
        <f>'Avg Week GULU-KARUMA'!E36+'Avg Week KARUMA-GULU'!E36</f>
        <v>11.986194477791116</v>
      </c>
      <c r="F36" s="49">
        <f>'Avg Week GULU-KARUMA'!F36+'Avg Week KARUMA-GULU'!F36</f>
        <v>2.548619447779112</v>
      </c>
      <c r="G36" s="49">
        <f>'Avg Week GULU-KARUMA'!G36+'Avg Week KARUMA-GULU'!G36</f>
        <v>0.2857142857142857</v>
      </c>
      <c r="H36" s="49">
        <f>'Avg Week GULU-KARUMA'!H36+'Avg Week KARUMA-GULU'!H36</f>
        <v>0.8571428571428571</v>
      </c>
      <c r="I36" s="49">
        <f>'Avg Week GULU-KARUMA'!I36+'Avg Week KARUMA-GULU'!I36</f>
        <v>4.0516206482593038</v>
      </c>
      <c r="J36" s="49">
        <f>'Avg Week GULU-KARUMA'!J36+'Avg Week KARUMA-GULU'!J36</f>
        <v>1.7142857142857142</v>
      </c>
      <c r="K36" s="49">
        <f>'Avg Week GULU-KARUMA'!K36+'Avg Week KARUMA-GULU'!K36</f>
        <v>0.14285714285714285</v>
      </c>
      <c r="L36" s="49">
        <f>'Avg Week GULU-KARUMA'!L36+'Avg Week KARUMA-GULU'!L36</f>
        <v>5.194477791116447</v>
      </c>
      <c r="M36" s="49">
        <f>'Avg Week GULU-KARUMA'!M36+'Avg Week KARUMA-GULU'!M36</f>
        <v>97.742857142857133</v>
      </c>
      <c r="N36" s="49">
        <f>'Avg Week GULU-KARUMA'!N36+'Avg Week KARUMA-GULU'!N36</f>
        <v>0</v>
      </c>
      <c r="O36" s="15">
        <f t="shared" si="0"/>
        <v>43.861344537815128</v>
      </c>
      <c r="P36" s="15">
        <f t="shared" si="1"/>
        <v>141.60420168067225</v>
      </c>
      <c r="R36" s="51" t="s">
        <v>92</v>
      </c>
      <c r="S36" s="52">
        <f t="shared" ref="S36:AF36" si="28">MAX(S19:S21)</f>
        <v>49.024009603841534</v>
      </c>
      <c r="T36" s="52">
        <f t="shared" si="28"/>
        <v>17.749099639855942</v>
      </c>
      <c r="U36" s="52">
        <f t="shared" si="28"/>
        <v>38.855342136854745</v>
      </c>
      <c r="V36" s="52">
        <f t="shared" si="28"/>
        <v>12.960384153661463</v>
      </c>
      <c r="W36" s="52">
        <f t="shared" si="28"/>
        <v>2.5486194477791115</v>
      </c>
      <c r="X36" s="52">
        <f t="shared" si="28"/>
        <v>6.0288115246098437</v>
      </c>
      <c r="Y36" s="52">
        <f t="shared" si="28"/>
        <v>20.429771908763506</v>
      </c>
      <c r="Z36" s="52">
        <f t="shared" si="28"/>
        <v>6.1428571428571432</v>
      </c>
      <c r="AA36" s="52">
        <f t="shared" si="28"/>
        <v>1.9771908763505401</v>
      </c>
      <c r="AB36" s="52">
        <f t="shared" si="28"/>
        <v>13.863145258103241</v>
      </c>
      <c r="AC36" s="52">
        <f t="shared" si="28"/>
        <v>502.72857142857146</v>
      </c>
      <c r="AD36" s="52">
        <f t="shared" si="28"/>
        <v>0.2857142857142857</v>
      </c>
      <c r="AE36" s="40">
        <f t="shared" si="28"/>
        <v>165.281512605042</v>
      </c>
      <c r="AF36" s="40">
        <f t="shared" si="28"/>
        <v>668.01008403361345</v>
      </c>
    </row>
    <row r="37" spans="2:32" ht="23.1" customHeight="1" x14ac:dyDescent="0.25">
      <c r="B37" s="23" t="s">
        <v>64</v>
      </c>
      <c r="C37" s="49">
        <f>'Avg Week GULU-KARUMA'!C37+'Avg Week KARUMA-GULU'!C37</f>
        <v>9.1944777911164479</v>
      </c>
      <c r="D37" s="49">
        <f>'Avg Week GULU-KARUMA'!D37+'Avg Week KARUMA-GULU'!D37</f>
        <v>5.4801920768307326</v>
      </c>
      <c r="E37" s="49">
        <f>'Avg Week GULU-KARUMA'!E37+'Avg Week KARUMA-GULU'!E37</f>
        <v>11.723289315726291</v>
      </c>
      <c r="F37" s="49">
        <f>'Avg Week GULU-KARUMA'!F37+'Avg Week KARUMA-GULU'!F37</f>
        <v>2.6914765906362543</v>
      </c>
      <c r="G37" s="49">
        <f>'Avg Week GULU-KARUMA'!G37+'Avg Week KARUMA-GULU'!G37</f>
        <v>0.14285714285714285</v>
      </c>
      <c r="H37" s="49">
        <f>'Avg Week GULU-KARUMA'!H37+'Avg Week KARUMA-GULU'!H37</f>
        <v>0.83433373349339734</v>
      </c>
      <c r="I37" s="49">
        <f>'Avg Week GULU-KARUMA'!I37+'Avg Week KARUMA-GULU'!I37</f>
        <v>4.7430972388955581</v>
      </c>
      <c r="J37" s="49">
        <f>'Avg Week GULU-KARUMA'!J37+'Avg Week KARUMA-GULU'!J37</f>
        <v>0.5714285714285714</v>
      </c>
      <c r="K37" s="49">
        <f>'Avg Week GULU-KARUMA'!K37+'Avg Week KARUMA-GULU'!K37</f>
        <v>0.14285714285714285</v>
      </c>
      <c r="L37" s="49">
        <f>'Avg Week GULU-KARUMA'!L37+'Avg Week KARUMA-GULU'!L37</f>
        <v>3.6686674669867947</v>
      </c>
      <c r="M37" s="49">
        <f>'Avg Week GULU-KARUMA'!M37+'Avg Week KARUMA-GULU'!M37</f>
        <v>85.48571428571428</v>
      </c>
      <c r="N37" s="49">
        <f>'Avg Week GULU-KARUMA'!N37+'Avg Week KARUMA-GULU'!N37</f>
        <v>0</v>
      </c>
      <c r="O37" s="15">
        <f t="shared" si="0"/>
        <v>39.192677070828339</v>
      </c>
      <c r="P37" s="15">
        <f t="shared" si="1"/>
        <v>124.67839135654262</v>
      </c>
      <c r="R37" s="37" t="s">
        <v>85</v>
      </c>
      <c r="S37" s="53">
        <f t="shared" ref="S37:AF37" si="29">SUM(S10:S12)</f>
        <v>101.96758703481392</v>
      </c>
      <c r="T37" s="54">
        <f t="shared" si="29"/>
        <v>38.53301320528211</v>
      </c>
      <c r="U37" s="54">
        <f t="shared" si="29"/>
        <v>88.669267707082838</v>
      </c>
      <c r="V37" s="54">
        <f t="shared" si="29"/>
        <v>25.966386554621849</v>
      </c>
      <c r="W37" s="54">
        <f t="shared" si="29"/>
        <v>2.9771908763505399</v>
      </c>
      <c r="X37" s="54">
        <f t="shared" si="29"/>
        <v>7.2917166866746701</v>
      </c>
      <c r="Y37" s="54">
        <f t="shared" si="29"/>
        <v>43.390156062424971</v>
      </c>
      <c r="Z37" s="54">
        <f t="shared" si="29"/>
        <v>12.834333733493397</v>
      </c>
      <c r="AA37" s="54">
        <f t="shared" si="29"/>
        <v>1.714285714285714</v>
      </c>
      <c r="AB37" s="54">
        <f t="shared" si="29"/>
        <v>29.194477791116448</v>
      </c>
      <c r="AC37" s="54">
        <f t="shared" si="29"/>
        <v>1313.9571428571428</v>
      </c>
      <c r="AD37" s="54">
        <f t="shared" si="29"/>
        <v>0.71428571428571419</v>
      </c>
      <c r="AE37" s="55">
        <f t="shared" si="29"/>
        <v>353.25270108043219</v>
      </c>
      <c r="AF37" s="55">
        <f t="shared" si="29"/>
        <v>1667.2098439375752</v>
      </c>
    </row>
    <row r="38" spans="2:32" ht="23.1" customHeight="1" x14ac:dyDescent="0.25">
      <c r="B38" s="24" t="s">
        <v>65</v>
      </c>
      <c r="C38" s="49">
        <f>'Avg Week GULU-KARUMA'!C38+'Avg Week KARUMA-GULU'!C38</f>
        <v>7.2629051620648255</v>
      </c>
      <c r="D38" s="49">
        <f>'Avg Week GULU-KARUMA'!D38+'Avg Week KARUMA-GULU'!D38</f>
        <v>4.6914765906362543</v>
      </c>
      <c r="E38" s="49">
        <f>'Avg Week GULU-KARUMA'!E38+'Avg Week KARUMA-GULU'!E38</f>
        <v>9.8829531812725087</v>
      </c>
      <c r="F38" s="49">
        <f>'Avg Week GULU-KARUMA'!F38+'Avg Week KARUMA-GULU'!F38</f>
        <v>2.5486194477791115</v>
      </c>
      <c r="G38" s="49">
        <f>'Avg Week GULU-KARUMA'!G38+'Avg Week KARUMA-GULU'!G38</f>
        <v>0</v>
      </c>
      <c r="H38" s="49">
        <f>'Avg Week GULU-KARUMA'!H38+'Avg Week KARUMA-GULU'!H38</f>
        <v>1.5258103241296519</v>
      </c>
      <c r="I38" s="49">
        <f>'Avg Week GULU-KARUMA'!I38+'Avg Week KARUMA-GULU'!I38</f>
        <v>5.26890756302521</v>
      </c>
      <c r="J38" s="49">
        <f>'Avg Week GULU-KARUMA'!J38+'Avg Week KARUMA-GULU'!J38</f>
        <v>1.4057623049219687</v>
      </c>
      <c r="K38" s="49">
        <f>'Avg Week GULU-KARUMA'!K38+'Avg Week KARUMA-GULU'!K38</f>
        <v>0.42857142857142855</v>
      </c>
      <c r="L38" s="49">
        <f>'Avg Week GULU-KARUMA'!L38+'Avg Week KARUMA-GULU'!L38</f>
        <v>3.0516206482593038</v>
      </c>
      <c r="M38" s="49">
        <f>'Avg Week GULU-KARUMA'!M38+'Avg Week KARUMA-GULU'!M38</f>
        <v>87.414285714285711</v>
      </c>
      <c r="N38" s="49">
        <f>'Avg Week GULU-KARUMA'!N38+'Avg Week KARUMA-GULU'!N38</f>
        <v>0</v>
      </c>
      <c r="O38" s="15">
        <f t="shared" si="0"/>
        <v>36.066626650660261</v>
      </c>
      <c r="P38" s="15">
        <f t="shared" si="1"/>
        <v>123.48091236494597</v>
      </c>
      <c r="R38" s="28" t="s">
        <v>86</v>
      </c>
      <c r="S38" s="54">
        <f t="shared" ref="S38:AF38" si="30">SUM(S13:S18)</f>
        <v>230.46818727490995</v>
      </c>
      <c r="T38" s="54">
        <f t="shared" si="30"/>
        <v>99.03721488595437</v>
      </c>
      <c r="U38" s="54">
        <f t="shared" si="30"/>
        <v>221.41776710684275</v>
      </c>
      <c r="V38" s="54">
        <f t="shared" si="30"/>
        <v>53.812725090036011</v>
      </c>
      <c r="W38" s="54">
        <f t="shared" si="30"/>
        <v>4.9771908763505399</v>
      </c>
      <c r="X38" s="54">
        <f t="shared" si="30"/>
        <v>20.703481392557023</v>
      </c>
      <c r="Y38" s="54">
        <f t="shared" si="30"/>
        <v>106.30732292917168</v>
      </c>
      <c r="Z38" s="54">
        <f t="shared" si="30"/>
        <v>29.24609843937575</v>
      </c>
      <c r="AA38" s="54">
        <f t="shared" si="30"/>
        <v>6.1200480192076832</v>
      </c>
      <c r="AB38" s="54">
        <f t="shared" si="30"/>
        <v>100.4609843937575</v>
      </c>
      <c r="AC38" s="54">
        <f t="shared" si="30"/>
        <v>2222.8000000000002</v>
      </c>
      <c r="AD38" s="54">
        <f t="shared" si="30"/>
        <v>1.4285714285714284</v>
      </c>
      <c r="AE38" s="55">
        <f t="shared" si="30"/>
        <v>873.9795918367347</v>
      </c>
      <c r="AF38" s="55">
        <f t="shared" si="30"/>
        <v>3096.7795918367347</v>
      </c>
    </row>
    <row r="39" spans="2:32" ht="23.1" customHeight="1" x14ac:dyDescent="0.25">
      <c r="B39" s="24" t="s">
        <v>66</v>
      </c>
      <c r="C39" s="49">
        <f>'Avg Week GULU-KARUMA'!C39+'Avg Week KARUMA-GULU'!C39</f>
        <v>7.1944777911164461</v>
      </c>
      <c r="D39" s="49">
        <f>'Avg Week GULU-KARUMA'!D39+'Avg Week KARUMA-GULU'!D39</f>
        <v>3.6686674669867942</v>
      </c>
      <c r="E39" s="49">
        <f>'Avg Week GULU-KARUMA'!E39+'Avg Week KARUMA-GULU'!E39</f>
        <v>8.4087635054021597</v>
      </c>
      <c r="F39" s="49">
        <f>'Avg Week GULU-KARUMA'!F39+'Avg Week KARUMA-GULU'!F39</f>
        <v>2.1200480192076832</v>
      </c>
      <c r="G39" s="49">
        <f>'Avg Week GULU-KARUMA'!G39+'Avg Week KARUMA-GULU'!G39</f>
        <v>0.14285714285714285</v>
      </c>
      <c r="H39" s="49">
        <f>'Avg Week GULU-KARUMA'!H39+'Avg Week KARUMA-GULU'!H39</f>
        <v>0.8571428571428571</v>
      </c>
      <c r="I39" s="49">
        <f>'Avg Week GULU-KARUMA'!I39+'Avg Week KARUMA-GULU'!I39</f>
        <v>2.2172869147659062</v>
      </c>
      <c r="J39" s="49">
        <f>'Avg Week GULU-KARUMA'!J39+'Avg Week KARUMA-GULU'!J39</f>
        <v>1.1200480192076832</v>
      </c>
      <c r="K39" s="49">
        <f>'Avg Week GULU-KARUMA'!K39+'Avg Week KARUMA-GULU'!K39</f>
        <v>0.14285714285714285</v>
      </c>
      <c r="L39" s="49">
        <f>'Avg Week GULU-KARUMA'!L39+'Avg Week KARUMA-GULU'!L39</f>
        <v>3.9315726290516206</v>
      </c>
      <c r="M39" s="49">
        <f>'Avg Week GULU-KARUMA'!M39+'Avg Week KARUMA-GULU'!M39</f>
        <v>94.985714285714295</v>
      </c>
      <c r="N39" s="49">
        <f>'Avg Week GULU-KARUMA'!N39+'Avg Week KARUMA-GULU'!N39</f>
        <v>0.14285714285714285</v>
      </c>
      <c r="O39" s="15">
        <f t="shared" si="0"/>
        <v>29.946578631452578</v>
      </c>
      <c r="P39" s="15">
        <f t="shared" si="1"/>
        <v>124.93229291716688</v>
      </c>
      <c r="R39" s="29" t="s">
        <v>87</v>
      </c>
      <c r="S39" s="54">
        <f t="shared" ref="S39:AF39" si="31">SUM(S19:S21)</f>
        <v>141.31212484993998</v>
      </c>
      <c r="T39" s="54">
        <f t="shared" si="31"/>
        <v>51.218487394957982</v>
      </c>
      <c r="U39" s="54">
        <f t="shared" si="31"/>
        <v>111.75150060024009</v>
      </c>
      <c r="V39" s="54">
        <f t="shared" si="31"/>
        <v>31.595438175270104</v>
      </c>
      <c r="W39" s="54">
        <f t="shared" si="31"/>
        <v>5.074429771908763</v>
      </c>
      <c r="X39" s="54">
        <f t="shared" si="31"/>
        <v>15.79471788715486</v>
      </c>
      <c r="Y39" s="54">
        <f t="shared" si="31"/>
        <v>54.791116446578627</v>
      </c>
      <c r="Z39" s="54">
        <f t="shared" si="31"/>
        <v>16.194477791116448</v>
      </c>
      <c r="AA39" s="54">
        <f t="shared" si="31"/>
        <v>3.6914765906362543</v>
      </c>
      <c r="AB39" s="54">
        <f t="shared" si="31"/>
        <v>39.858343337334929</v>
      </c>
      <c r="AC39" s="54">
        <f t="shared" si="31"/>
        <v>1377.9857142857143</v>
      </c>
      <c r="AD39" s="54">
        <f t="shared" si="31"/>
        <v>0.2857142857142857</v>
      </c>
      <c r="AE39" s="55">
        <f t="shared" si="31"/>
        <v>471.56782713085232</v>
      </c>
      <c r="AF39" s="55">
        <f t="shared" si="31"/>
        <v>1849.5535414165665</v>
      </c>
    </row>
    <row r="40" spans="2:32" ht="23.1" customHeight="1" x14ac:dyDescent="0.25">
      <c r="B40" s="24" t="s">
        <v>67</v>
      </c>
      <c r="C40" s="49">
        <f>'Avg Week GULU-KARUMA'!C40+'Avg Week KARUMA-GULU'!C40</f>
        <v>8.4345738295318124</v>
      </c>
      <c r="D40" s="49">
        <f>'Avg Week GULU-KARUMA'!D40+'Avg Week KARUMA-GULU'!D40</f>
        <v>4.1944777911164461</v>
      </c>
      <c r="E40" s="49">
        <f>'Avg Week GULU-KARUMA'!E40+'Avg Week KARUMA-GULU'!E40</f>
        <v>9.6518607442977178</v>
      </c>
      <c r="F40" s="49">
        <f>'Avg Week GULU-KARUMA'!F40+'Avg Week KARUMA-GULU'!F40</f>
        <v>3.5258103241296519</v>
      </c>
      <c r="G40" s="49">
        <f>'Avg Week GULU-KARUMA'!G40+'Avg Week KARUMA-GULU'!G40</f>
        <v>0.14285714285714285</v>
      </c>
      <c r="H40" s="49">
        <f>'Avg Week GULU-KARUMA'!H40+'Avg Week KARUMA-GULU'!H40</f>
        <v>0.71428571428571419</v>
      </c>
      <c r="I40" s="49">
        <f>'Avg Week GULU-KARUMA'!I40+'Avg Week KARUMA-GULU'!I40</f>
        <v>4.6914765906362543</v>
      </c>
      <c r="J40" s="49">
        <f>'Avg Week GULU-KARUMA'!J40+'Avg Week KARUMA-GULU'!J40</f>
        <v>0.5714285714285714</v>
      </c>
      <c r="K40" s="49">
        <f>'Avg Week GULU-KARUMA'!K40+'Avg Week KARUMA-GULU'!K40</f>
        <v>0.42857142857142855</v>
      </c>
      <c r="L40" s="49">
        <f>'Avg Week GULU-KARUMA'!L40+'Avg Week KARUMA-GULU'!L40</f>
        <v>2.8115246098439375</v>
      </c>
      <c r="M40" s="49">
        <f>'Avg Week GULU-KARUMA'!M40+'Avg Week KARUMA-GULU'!M40</f>
        <v>83.071428571428569</v>
      </c>
      <c r="N40" s="49">
        <f>'Avg Week GULU-KARUMA'!N40+'Avg Week KARUMA-GULU'!N40</f>
        <v>0</v>
      </c>
      <c r="O40" s="15">
        <f t="shared" si="0"/>
        <v>35.166866746698673</v>
      </c>
      <c r="P40" s="15">
        <f t="shared" si="1"/>
        <v>118.23829531812724</v>
      </c>
      <c r="R40" s="5" t="s">
        <v>17</v>
      </c>
      <c r="S40" s="54">
        <f t="shared" ref="S40:AF40" si="32">SUM(S10:S21)</f>
        <v>473.7478991596638</v>
      </c>
      <c r="T40" s="54">
        <f t="shared" si="32"/>
        <v>188.78871548619446</v>
      </c>
      <c r="U40" s="54">
        <f t="shared" si="32"/>
        <v>421.83853541416568</v>
      </c>
      <c r="V40" s="54">
        <f t="shared" si="32"/>
        <v>111.37454981992798</v>
      </c>
      <c r="W40" s="54">
        <f t="shared" si="32"/>
        <v>13.028811524609843</v>
      </c>
      <c r="X40" s="54">
        <f t="shared" si="32"/>
        <v>43.789915966386552</v>
      </c>
      <c r="Y40" s="54">
        <f t="shared" si="32"/>
        <v>204.48859543817525</v>
      </c>
      <c r="Z40" s="54">
        <f t="shared" si="32"/>
        <v>58.274909963985593</v>
      </c>
      <c r="AA40" s="54">
        <f t="shared" si="32"/>
        <v>11.525810324129651</v>
      </c>
      <c r="AB40" s="54">
        <f t="shared" si="32"/>
        <v>169.51380552220886</v>
      </c>
      <c r="AC40" s="54">
        <f t="shared" si="32"/>
        <v>4914.7428571428572</v>
      </c>
      <c r="AD40" s="54">
        <f t="shared" si="32"/>
        <v>2.4285714285714279</v>
      </c>
      <c r="AE40" s="55">
        <f t="shared" si="32"/>
        <v>1698.8001200480194</v>
      </c>
      <c r="AF40" s="55">
        <f t="shared" si="32"/>
        <v>6613.5429771908757</v>
      </c>
    </row>
    <row r="41" spans="2:32" ht="23.1" customHeight="1" x14ac:dyDescent="0.25">
      <c r="B41" s="23" t="s">
        <v>68</v>
      </c>
      <c r="C41" s="49">
        <f>'Avg Week GULU-KARUMA'!C41+'Avg Week KARUMA-GULU'!C41</f>
        <v>9.2689075630252109</v>
      </c>
      <c r="D41" s="49">
        <f>'Avg Week GULU-KARUMA'!D41+'Avg Week KARUMA-GULU'!D41</f>
        <v>3.9543817527010803</v>
      </c>
      <c r="E41" s="49">
        <f>'Avg Week GULU-KARUMA'!E41+'Avg Week KARUMA-GULU'!E41</f>
        <v>9.0516206482593056</v>
      </c>
      <c r="F41" s="49">
        <f>'Avg Week GULU-KARUMA'!F41+'Avg Week KARUMA-GULU'!F41</f>
        <v>1.9771908763505399</v>
      </c>
      <c r="G41" s="49">
        <f>'Avg Week GULU-KARUMA'!G41+'Avg Week KARUMA-GULU'!G41</f>
        <v>0.42857142857142855</v>
      </c>
      <c r="H41" s="49">
        <f>'Avg Week GULU-KARUMA'!H41+'Avg Week KARUMA-GULU'!H41</f>
        <v>0.42857142857142855</v>
      </c>
      <c r="I41" s="49">
        <f>'Avg Week GULU-KARUMA'!I41+'Avg Week KARUMA-GULU'!I41</f>
        <v>5.3145258103241293</v>
      </c>
      <c r="J41" s="49">
        <f>'Avg Week GULU-KARUMA'!J41+'Avg Week KARUMA-GULU'!J41</f>
        <v>1.4057623049219687</v>
      </c>
      <c r="K41" s="49">
        <f>'Avg Week GULU-KARUMA'!K41+'Avg Week KARUMA-GULU'!K41</f>
        <v>0.2857142857142857</v>
      </c>
      <c r="L41" s="49">
        <f>'Avg Week GULU-KARUMA'!L41+'Avg Week KARUMA-GULU'!L41</f>
        <v>2.7887154861944778</v>
      </c>
      <c r="M41" s="49">
        <f>'Avg Week GULU-KARUMA'!M41+'Avg Week KARUMA-GULU'!M41</f>
        <v>82.514285714285705</v>
      </c>
      <c r="N41" s="49">
        <f>'Avg Week GULU-KARUMA'!N41+'Avg Week KARUMA-GULU'!N41</f>
        <v>0</v>
      </c>
      <c r="O41" s="15">
        <f t="shared" si="0"/>
        <v>34.903961584633855</v>
      </c>
      <c r="P41" s="15">
        <f t="shared" si="1"/>
        <v>117.41824729891957</v>
      </c>
      <c r="R41" s="5" t="s">
        <v>176</v>
      </c>
      <c r="S41" s="54">
        <f>SUM(S10:S33)</f>
        <v>1026.9369747899161</v>
      </c>
      <c r="T41" s="54">
        <f t="shared" ref="T41:AD41" si="33">SUM(T10:T33)</f>
        <v>419.96938775510205</v>
      </c>
      <c r="U41" s="54">
        <f t="shared" si="33"/>
        <v>925.60324129651872</v>
      </c>
      <c r="V41" s="54">
        <f t="shared" si="33"/>
        <v>222.08043217286917</v>
      </c>
      <c r="W41" s="54">
        <f t="shared" si="33"/>
        <v>33.171668667466982</v>
      </c>
      <c r="X41" s="54">
        <f t="shared" si="33"/>
        <v>82.932773109243698</v>
      </c>
      <c r="Y41" s="54">
        <f t="shared" si="33"/>
        <v>434.80372148859539</v>
      </c>
      <c r="Z41" s="54">
        <f t="shared" si="33"/>
        <v>102.77911164465786</v>
      </c>
      <c r="AA41" s="54">
        <f t="shared" si="33"/>
        <v>20.466986794717887</v>
      </c>
      <c r="AB41" s="54">
        <f t="shared" si="33"/>
        <v>367.8541416566627</v>
      </c>
      <c r="AC41" s="54">
        <f t="shared" si="33"/>
        <v>6601.2428571428572</v>
      </c>
      <c r="AD41" s="54">
        <f t="shared" si="33"/>
        <v>6.9285714285714279</v>
      </c>
      <c r="AE41" s="55">
        <f>SUM(AE10:AE33)</f>
        <v>3643.5270108043223</v>
      </c>
      <c r="AF41" s="55">
        <f>SUM(AF10:AF33)</f>
        <v>10244.76986794718</v>
      </c>
    </row>
    <row r="42" spans="2:32" ht="23.1" customHeight="1" x14ac:dyDescent="0.25">
      <c r="B42" s="24" t="s">
        <v>69</v>
      </c>
      <c r="C42" s="49">
        <f>'Avg Week GULU-KARUMA'!C42+'Avg Week KARUMA-GULU'!C42</f>
        <v>9.8115246098439375</v>
      </c>
      <c r="D42" s="49">
        <f>'Avg Week GULU-KARUMA'!D42+'Avg Week KARUMA-GULU'!D42</f>
        <v>3.4057623049219687</v>
      </c>
      <c r="E42" s="49">
        <f>'Avg Week GULU-KARUMA'!E42+'Avg Week KARUMA-GULU'!E42</f>
        <v>7.9315726290516206</v>
      </c>
      <c r="F42" s="49">
        <f>'Avg Week GULU-KARUMA'!F42+'Avg Week KARUMA-GULU'!F42</f>
        <v>0.5714285714285714</v>
      </c>
      <c r="G42" s="49">
        <f>'Avg Week GULU-KARUMA'!G42+'Avg Week KARUMA-GULU'!G42</f>
        <v>0.14285714285714285</v>
      </c>
      <c r="H42" s="49">
        <f>'Avg Week GULU-KARUMA'!H42+'Avg Week KARUMA-GULU'!H42</f>
        <v>1.5258103241296519</v>
      </c>
      <c r="I42" s="49">
        <f>'Avg Week GULU-KARUMA'!I42+'Avg Week KARUMA-GULU'!I42</f>
        <v>5.8631452581032413</v>
      </c>
      <c r="J42" s="49">
        <f>'Avg Week GULU-KARUMA'!J42+'Avg Week KARUMA-GULU'!J42</f>
        <v>1.1428571428571428</v>
      </c>
      <c r="K42" s="49">
        <f>'Avg Week GULU-KARUMA'!K42+'Avg Week KARUMA-GULU'!K42</f>
        <v>0.5714285714285714</v>
      </c>
      <c r="L42" s="49">
        <f>'Avg Week GULU-KARUMA'!L42+'Avg Week KARUMA-GULU'!L42</f>
        <v>3</v>
      </c>
      <c r="M42" s="49">
        <f>'Avg Week GULU-KARUMA'!M42+'Avg Week KARUMA-GULU'!M42</f>
        <v>88.528571428571425</v>
      </c>
      <c r="N42" s="49">
        <f>'Avg Week GULU-KARUMA'!N42+'Avg Week KARUMA-GULU'!N42</f>
        <v>0.14285714285714285</v>
      </c>
      <c r="O42" s="15">
        <f t="shared" si="0"/>
        <v>34.109243697478995</v>
      </c>
      <c r="P42" s="15">
        <f t="shared" si="1"/>
        <v>122.63781512605041</v>
      </c>
      <c r="R42" s="5" t="s">
        <v>160</v>
      </c>
      <c r="S42" s="48">
        <f>S41/S40</f>
        <v>2.1676866042287504</v>
      </c>
      <c r="T42" s="48">
        <f t="shared" ref="T42:AF42" si="34">T41/T40</f>
        <v>2.2245470905055926</v>
      </c>
      <c r="U42" s="48">
        <f t="shared" si="34"/>
        <v>2.1942121536804393</v>
      </c>
      <c r="V42" s="48">
        <f t="shared" si="34"/>
        <v>1.9939962274319591</v>
      </c>
      <c r="W42" s="48">
        <f t="shared" si="34"/>
        <v>2.5460241407905646</v>
      </c>
      <c r="X42" s="48">
        <f t="shared" si="34"/>
        <v>1.8938783342928422</v>
      </c>
      <c r="Y42" s="48">
        <f t="shared" si="34"/>
        <v>2.1262981466370001</v>
      </c>
      <c r="Z42" s="48">
        <f t="shared" si="34"/>
        <v>1.7636940444554312</v>
      </c>
      <c r="AA42" s="48">
        <f t="shared" si="34"/>
        <v>1.7757525257785649</v>
      </c>
      <c r="AB42" s="48">
        <f t="shared" si="34"/>
        <v>2.1700541765518224</v>
      </c>
      <c r="AC42" s="48">
        <f t="shared" si="34"/>
        <v>1.343151218491303</v>
      </c>
      <c r="AD42" s="48">
        <f t="shared" si="34"/>
        <v>2.8529411764705888</v>
      </c>
      <c r="AE42" s="56">
        <f t="shared" si="34"/>
        <v>2.1447649831231068</v>
      </c>
      <c r="AF42" s="56">
        <f t="shared" si="34"/>
        <v>1.5490592415109214</v>
      </c>
    </row>
    <row r="43" spans="2:32" ht="23.1" customHeight="1" x14ac:dyDescent="0.25">
      <c r="B43" s="23" t="s">
        <v>70</v>
      </c>
      <c r="C43" s="49">
        <f>'Avg Week GULU-KARUMA'!C43+'Avg Week KARUMA-GULU'!C43</f>
        <v>10.148859543817526</v>
      </c>
      <c r="D43" s="49">
        <f>'Avg Week GULU-KARUMA'!D43+'Avg Week KARUMA-GULU'!D43</f>
        <v>5.0288115246098437</v>
      </c>
      <c r="E43" s="49">
        <f>'Avg Week GULU-KARUMA'!E43+'Avg Week KARUMA-GULU'!E43</f>
        <v>10.70048019207683</v>
      </c>
      <c r="F43" s="49">
        <f>'Avg Week GULU-KARUMA'!F43+'Avg Week KARUMA-GULU'!F43</f>
        <v>2.5486194477791115</v>
      </c>
      <c r="G43" s="49">
        <f>'Avg Week GULU-KARUMA'!G43+'Avg Week KARUMA-GULU'!G43</f>
        <v>0.42857142857142855</v>
      </c>
      <c r="H43" s="49">
        <f>'Avg Week GULU-KARUMA'!H43+'Avg Week KARUMA-GULU'!H43</f>
        <v>0.71428571428571419</v>
      </c>
      <c r="I43" s="49">
        <f>'Avg Week GULU-KARUMA'!I43+'Avg Week KARUMA-GULU'!I43</f>
        <v>4.1944777911164461</v>
      </c>
      <c r="J43" s="49">
        <f>'Avg Week GULU-KARUMA'!J43+'Avg Week KARUMA-GULU'!J43</f>
        <v>0.4057623049219688</v>
      </c>
      <c r="K43" s="49">
        <f>'Avg Week GULU-KARUMA'!K43+'Avg Week KARUMA-GULU'!K43</f>
        <v>0.2857142857142857</v>
      </c>
      <c r="L43" s="49">
        <f>'Avg Week GULU-KARUMA'!L43+'Avg Week KARUMA-GULU'!L43</f>
        <v>3.6458583433373351</v>
      </c>
      <c r="M43" s="49">
        <f>'Avg Week GULU-KARUMA'!M43+'Avg Week KARUMA-GULU'!M43</f>
        <v>90.1</v>
      </c>
      <c r="N43" s="49">
        <f>'Avg Week GULU-KARUMA'!N43+'Avg Week KARUMA-GULU'!N43</f>
        <v>0.5714285714285714</v>
      </c>
      <c r="O43" s="15">
        <f t="shared" si="0"/>
        <v>38.672869147659057</v>
      </c>
      <c r="P43" s="15">
        <f t="shared" si="1"/>
        <v>128.77286914765907</v>
      </c>
    </row>
    <row r="44" spans="2:32" ht="23.1" customHeight="1" x14ac:dyDescent="0.25">
      <c r="B44" s="25" t="s">
        <v>71</v>
      </c>
      <c r="C44" s="49">
        <f>'Avg Week GULU-KARUMA'!C44+'Avg Week KARUMA-GULU'!C44</f>
        <v>7.2172869147659071</v>
      </c>
      <c r="D44" s="49">
        <f>'Avg Week GULU-KARUMA'!D44+'Avg Week KARUMA-GULU'!D44</f>
        <v>2.6914765906362543</v>
      </c>
      <c r="E44" s="49">
        <f>'Avg Week GULU-KARUMA'!E44+'Avg Week KARUMA-GULU'!E44</f>
        <v>6.3115246098439375</v>
      </c>
      <c r="F44" s="49">
        <f>'Avg Week GULU-KARUMA'!F44+'Avg Week KARUMA-GULU'!F44</f>
        <v>2.4057623049219687</v>
      </c>
      <c r="G44" s="49">
        <f>'Avg Week GULU-KARUMA'!G44+'Avg Week KARUMA-GULU'!G44</f>
        <v>0</v>
      </c>
      <c r="H44" s="49">
        <f>'Avg Week GULU-KARUMA'!H44+'Avg Week KARUMA-GULU'!H44</f>
        <v>0.5714285714285714</v>
      </c>
      <c r="I44" s="49">
        <f>'Avg Week GULU-KARUMA'!I44+'Avg Week KARUMA-GULU'!I44</f>
        <v>3.9087635054021606</v>
      </c>
      <c r="J44" s="49">
        <f>'Avg Week GULU-KARUMA'!J44+'Avg Week KARUMA-GULU'!J44</f>
        <v>1.1200480192076832</v>
      </c>
      <c r="K44" s="49">
        <f>'Avg Week GULU-KARUMA'!K44+'Avg Week KARUMA-GULU'!K44</f>
        <v>0.2857142857142857</v>
      </c>
      <c r="L44" s="49">
        <f>'Avg Week GULU-KARUMA'!L44+'Avg Week KARUMA-GULU'!L44</f>
        <v>3.360144057623049</v>
      </c>
      <c r="M44" s="49">
        <f>'Avg Week GULU-KARUMA'!M44+'Avg Week KARUMA-GULU'!M44</f>
        <v>99.699999999999989</v>
      </c>
      <c r="N44" s="49">
        <f>'Avg Week GULU-KARUMA'!N44+'Avg Week KARUMA-GULU'!N44</f>
        <v>0</v>
      </c>
      <c r="O44" s="15">
        <f t="shared" si="0"/>
        <v>27.872148859543817</v>
      </c>
      <c r="P44" s="15">
        <f t="shared" si="1"/>
        <v>127.5721488595438</v>
      </c>
    </row>
    <row r="45" spans="2:32" ht="23.1" customHeight="1" x14ac:dyDescent="0.25">
      <c r="B45" s="23" t="s">
        <v>72</v>
      </c>
      <c r="C45" s="49">
        <f>'Avg Week GULU-KARUMA'!C45+'Avg Week KARUMA-GULU'!C45</f>
        <v>9.8859543817527005</v>
      </c>
      <c r="D45" s="49">
        <f>'Avg Week GULU-KARUMA'!D45+'Avg Week KARUMA-GULU'!D45</f>
        <v>3.6458583433373351</v>
      </c>
      <c r="E45" s="49">
        <f>'Avg Week GULU-KARUMA'!E45+'Avg Week KARUMA-GULU'!E45</f>
        <v>8.0774309723889548</v>
      </c>
      <c r="F45" s="49">
        <f>'Avg Week GULU-KARUMA'!F45+'Avg Week KARUMA-GULU'!F45</f>
        <v>2.2172869147659062</v>
      </c>
      <c r="G45" s="49">
        <f>'Avg Week GULU-KARUMA'!G45+'Avg Week KARUMA-GULU'!G45</f>
        <v>0</v>
      </c>
      <c r="H45" s="49">
        <f>'Avg Week GULU-KARUMA'!H45+'Avg Week KARUMA-GULU'!H45</f>
        <v>1.2857142857142856</v>
      </c>
      <c r="I45" s="49">
        <f>'Avg Week GULU-KARUMA'!I45+'Avg Week KARUMA-GULU'!I45</f>
        <v>4.3829531812725087</v>
      </c>
      <c r="J45" s="49">
        <f>'Avg Week GULU-KARUMA'!J45+'Avg Week KARUMA-GULU'!J45</f>
        <v>1.8571428571428572</v>
      </c>
      <c r="K45" s="49">
        <f>'Avg Week GULU-KARUMA'!K45+'Avg Week KARUMA-GULU'!K45</f>
        <v>0.2857142857142857</v>
      </c>
      <c r="L45" s="49">
        <f>'Avg Week GULU-KARUMA'!L45+'Avg Week KARUMA-GULU'!L45</f>
        <v>4.1716686674669869</v>
      </c>
      <c r="M45" s="49">
        <f>'Avg Week GULU-KARUMA'!M45+'Avg Week KARUMA-GULU'!M45</f>
        <v>91.671428571428578</v>
      </c>
      <c r="N45" s="49">
        <f>'Avg Week GULU-KARUMA'!N45+'Avg Week KARUMA-GULU'!N45</f>
        <v>0</v>
      </c>
      <c r="O45" s="15">
        <f t="shared" si="0"/>
        <v>35.809723889555819</v>
      </c>
      <c r="P45" s="15">
        <f t="shared" si="1"/>
        <v>127.48115246098439</v>
      </c>
    </row>
    <row r="46" spans="2:32" ht="23.1" customHeight="1" x14ac:dyDescent="0.25">
      <c r="B46" s="24" t="s">
        <v>73</v>
      </c>
      <c r="C46" s="49">
        <f>'Avg Week GULU-KARUMA'!C46+'Avg Week KARUMA-GULU'!C46</f>
        <v>12.194477791116448</v>
      </c>
      <c r="D46" s="49">
        <f>'Avg Week GULU-KARUMA'!D46+'Avg Week KARUMA-GULU'!D46</f>
        <v>3.6914765906362543</v>
      </c>
      <c r="E46" s="49">
        <f>'Avg Week GULU-KARUMA'!E46+'Avg Week KARUMA-GULU'!E46</f>
        <v>8.2887154861944765</v>
      </c>
      <c r="F46" s="49">
        <f>'Avg Week GULU-KARUMA'!F46+'Avg Week KARUMA-GULU'!F46</f>
        <v>2.360144057623049</v>
      </c>
      <c r="G46" s="49">
        <f>'Avg Week GULU-KARUMA'!G46+'Avg Week KARUMA-GULU'!G46</f>
        <v>0.14285714285714285</v>
      </c>
      <c r="H46" s="49">
        <f>'Avg Week GULU-KARUMA'!H46+'Avg Week KARUMA-GULU'!H46</f>
        <v>1.5486194477791115</v>
      </c>
      <c r="I46" s="49">
        <f>'Avg Week GULU-KARUMA'!I46+'Avg Week KARUMA-GULU'!I46</f>
        <v>5.0060024009603836</v>
      </c>
      <c r="J46" s="49">
        <f>'Avg Week GULU-KARUMA'!J46+'Avg Week KARUMA-GULU'!J46</f>
        <v>0.71428571428571419</v>
      </c>
      <c r="K46" s="49">
        <f>'Avg Week GULU-KARUMA'!K46+'Avg Week KARUMA-GULU'!K46</f>
        <v>0.2857142857142857</v>
      </c>
      <c r="L46" s="49">
        <f>'Avg Week GULU-KARUMA'!L46+'Avg Week KARUMA-GULU'!L46</f>
        <v>4.4117647058823533</v>
      </c>
      <c r="M46" s="49">
        <f>'Avg Week GULU-KARUMA'!M46+'Avg Week KARUMA-GULU'!M46</f>
        <v>97.471428571428575</v>
      </c>
      <c r="N46" s="49">
        <f>'Avg Week GULU-KARUMA'!N46+'Avg Week KARUMA-GULU'!N46</f>
        <v>0.14285714285714285</v>
      </c>
      <c r="O46" s="15">
        <f t="shared" si="0"/>
        <v>38.786914765906367</v>
      </c>
      <c r="P46" s="15">
        <f t="shared" si="1"/>
        <v>136.25834333733494</v>
      </c>
      <c r="R46" s="8"/>
      <c r="T46"/>
    </row>
    <row r="47" spans="2:32" ht="23.1" customHeight="1" x14ac:dyDescent="0.25">
      <c r="B47" s="24" t="s">
        <v>74</v>
      </c>
      <c r="C47" s="49">
        <f>'Avg Week GULU-KARUMA'!C47+'Avg Week KARUMA-GULU'!C47</f>
        <v>10.69747899159664</v>
      </c>
      <c r="D47" s="49">
        <f>'Avg Week GULU-KARUMA'!D47+'Avg Week KARUMA-GULU'!D47</f>
        <v>4.4285714285714288</v>
      </c>
      <c r="E47" s="49">
        <f>'Avg Week GULU-KARUMA'!E47+'Avg Week KARUMA-GULU'!E47</f>
        <v>9.4285714285714288</v>
      </c>
      <c r="F47" s="49">
        <f>'Avg Week GULU-KARUMA'!F47+'Avg Week KARUMA-GULU'!F47</f>
        <v>1.9771908763505401</v>
      </c>
      <c r="G47" s="49">
        <f>'Avg Week GULU-KARUMA'!G47+'Avg Week KARUMA-GULU'!G47</f>
        <v>0.42857142857142855</v>
      </c>
      <c r="H47" s="49">
        <f>'Avg Week GULU-KARUMA'!H47+'Avg Week KARUMA-GULU'!H47</f>
        <v>1.6914765906362543</v>
      </c>
      <c r="I47" s="49">
        <f>'Avg Week GULU-KARUMA'!I47+'Avg Week KARUMA-GULU'!I47</f>
        <v>5.1488595438175269</v>
      </c>
      <c r="J47" s="49">
        <f>'Avg Week GULU-KARUMA'!J47+'Avg Week KARUMA-GULU'!J47</f>
        <v>1.0972388955582233</v>
      </c>
      <c r="K47" s="49">
        <f>'Avg Week GULU-KARUMA'!K47+'Avg Week KARUMA-GULU'!K47</f>
        <v>0.2857142857142857</v>
      </c>
      <c r="L47" s="49">
        <f>'Avg Week GULU-KARUMA'!L47+'Avg Week KARUMA-GULU'!L47</f>
        <v>2.8571428571428568</v>
      </c>
      <c r="M47" s="49">
        <f>'Avg Week GULU-KARUMA'!M47+'Avg Week KARUMA-GULU'!M47</f>
        <v>95.714285714285722</v>
      </c>
      <c r="N47" s="49">
        <f>'Avg Week GULU-KARUMA'!N47+'Avg Week KARUMA-GULU'!N47</f>
        <v>0</v>
      </c>
      <c r="O47" s="15">
        <f t="shared" si="0"/>
        <v>38.04081632653061</v>
      </c>
      <c r="P47" s="15">
        <f t="shared" si="1"/>
        <v>133.75510204081633</v>
      </c>
      <c r="R47" s="8"/>
      <c r="T47"/>
    </row>
    <row r="48" spans="2:32" ht="23.1" customHeight="1" x14ac:dyDescent="0.25">
      <c r="B48" s="24" t="s">
        <v>75</v>
      </c>
      <c r="C48" s="49">
        <f>'Avg Week GULU-KARUMA'!C48+'Avg Week KARUMA-GULU'!C48</f>
        <v>10.577430972388955</v>
      </c>
      <c r="D48" s="49">
        <f>'Avg Week GULU-KARUMA'!D48+'Avg Week KARUMA-GULU'!D48</f>
        <v>4.0744297719087639</v>
      </c>
      <c r="E48" s="49">
        <f>'Avg Week GULU-KARUMA'!E48+'Avg Week KARUMA-GULU'!E48</f>
        <v>8.8631452581032413</v>
      </c>
      <c r="F48" s="49">
        <f>'Avg Week GULU-KARUMA'!F48+'Avg Week KARUMA-GULU'!F48</f>
        <v>2.1200480192076832</v>
      </c>
      <c r="G48" s="49">
        <f>'Avg Week GULU-KARUMA'!G48+'Avg Week KARUMA-GULU'!G48</f>
        <v>0.2857142857142857</v>
      </c>
      <c r="H48" s="49">
        <f>'Avg Week GULU-KARUMA'!H48+'Avg Week KARUMA-GULU'!H48</f>
        <v>0.71428571428571419</v>
      </c>
      <c r="I48" s="49">
        <f>'Avg Week GULU-KARUMA'!I48+'Avg Week KARUMA-GULU'!I48</f>
        <v>5.6746698679471788</v>
      </c>
      <c r="J48" s="49">
        <f>'Avg Week GULU-KARUMA'!J48+'Avg Week KARUMA-GULU'!J48</f>
        <v>0.83433373349339734</v>
      </c>
      <c r="K48" s="49">
        <f>'Avg Week GULU-KARUMA'!K48+'Avg Week KARUMA-GULU'!K48</f>
        <v>0</v>
      </c>
      <c r="L48" s="49">
        <f>'Avg Week GULU-KARUMA'!L48+'Avg Week KARUMA-GULU'!L48</f>
        <v>2.4573829531812725</v>
      </c>
      <c r="M48" s="49">
        <f>'Avg Week GULU-KARUMA'!M48+'Avg Week KARUMA-GULU'!M48</f>
        <v>120.18571428571428</v>
      </c>
      <c r="N48" s="49">
        <f>'Avg Week GULU-KARUMA'!N48+'Avg Week KARUMA-GULU'!N48</f>
        <v>0</v>
      </c>
      <c r="O48" s="15">
        <f t="shared" si="0"/>
        <v>35.601440576230488</v>
      </c>
      <c r="P48" s="15">
        <f t="shared" si="1"/>
        <v>155.78715486194477</v>
      </c>
      <c r="R48" s="8"/>
      <c r="T48"/>
    </row>
    <row r="49" spans="2:20" ht="23.1" customHeight="1" x14ac:dyDescent="0.25">
      <c r="B49" s="23" t="s">
        <v>76</v>
      </c>
      <c r="C49" s="49">
        <f>'Avg Week GULU-KARUMA'!C49+'Avg Week KARUMA-GULU'!C49</f>
        <v>13.989195678271308</v>
      </c>
      <c r="D49" s="49">
        <f>'Avg Week GULU-KARUMA'!D49+'Avg Week KARUMA-GULU'!D49</f>
        <v>3.6458583433373351</v>
      </c>
      <c r="E49" s="49">
        <f>'Avg Week GULU-KARUMA'!E49+'Avg Week KARUMA-GULU'!E49</f>
        <v>8.2202881152460989</v>
      </c>
      <c r="F49" s="49">
        <f>'Avg Week GULU-KARUMA'!F49+'Avg Week KARUMA-GULU'!F49</f>
        <v>2.1428571428571428</v>
      </c>
      <c r="G49" s="49">
        <f>'Avg Week GULU-KARUMA'!G49+'Avg Week KARUMA-GULU'!G49</f>
        <v>0.2857142857142857</v>
      </c>
      <c r="H49" s="49">
        <f>'Avg Week GULU-KARUMA'!H49+'Avg Week KARUMA-GULU'!H49</f>
        <v>1.5486194477791115</v>
      </c>
      <c r="I49" s="49">
        <f>'Avg Week GULU-KARUMA'!I49+'Avg Week KARUMA-GULU'!I49</f>
        <v>4.6002400960384158</v>
      </c>
      <c r="J49" s="49">
        <f>'Avg Week GULU-KARUMA'!J49+'Avg Week KARUMA-GULU'!J49</f>
        <v>1.8571428571428572</v>
      </c>
      <c r="K49" s="49">
        <f>'Avg Week GULU-KARUMA'!K49+'Avg Week KARUMA-GULU'!K49</f>
        <v>0</v>
      </c>
      <c r="L49" s="49">
        <f>'Avg Week GULU-KARUMA'!L49+'Avg Week KARUMA-GULU'!L49</f>
        <v>2.8115246098439375</v>
      </c>
      <c r="M49" s="49">
        <f>'Avg Week GULU-KARUMA'!M49+'Avg Week KARUMA-GULU'!M49</f>
        <v>112.71428571428572</v>
      </c>
      <c r="N49" s="49">
        <f>'Avg Week GULU-KARUMA'!N49+'Avg Week KARUMA-GULU'!N49</f>
        <v>0.14285714285714285</v>
      </c>
      <c r="O49" s="15">
        <f t="shared" si="0"/>
        <v>39.244297719087633</v>
      </c>
      <c r="P49" s="15">
        <f t="shared" si="1"/>
        <v>151.95858343337335</v>
      </c>
      <c r="R49" s="8"/>
      <c r="T49"/>
    </row>
    <row r="50" spans="2:20" ht="23.1" customHeight="1" x14ac:dyDescent="0.25">
      <c r="B50" s="24" t="s">
        <v>77</v>
      </c>
      <c r="C50" s="49">
        <f>'Avg Week GULU-KARUMA'!C50+'Avg Week KARUMA-GULU'!C50</f>
        <v>10.623049219687875</v>
      </c>
      <c r="D50" s="49">
        <f>'Avg Week GULU-KARUMA'!D50+'Avg Week KARUMA-GULU'!D50</f>
        <v>3.8859543817527005</v>
      </c>
      <c r="E50" s="49">
        <f>'Avg Week GULU-KARUMA'!E50+'Avg Week KARUMA-GULU'!E50</f>
        <v>9.03481392557023</v>
      </c>
      <c r="F50" s="49">
        <f>'Avg Week GULU-KARUMA'!F50+'Avg Week KARUMA-GULU'!F50</f>
        <v>2.9315726290516206</v>
      </c>
      <c r="G50" s="49">
        <f>'Avg Week GULU-KARUMA'!G50+'Avg Week KARUMA-GULU'!G50</f>
        <v>0.42857142857142855</v>
      </c>
      <c r="H50" s="49">
        <f>'Avg Week GULU-KARUMA'!H50+'Avg Week KARUMA-GULU'!H50</f>
        <v>1.1428571428571428</v>
      </c>
      <c r="I50" s="49">
        <f>'Avg Week GULU-KARUMA'!I50+'Avg Week KARUMA-GULU'!I50</f>
        <v>4.525810324129651</v>
      </c>
      <c r="J50" s="49">
        <f>'Avg Week GULU-KARUMA'!J50+'Avg Week KARUMA-GULU'!J50</f>
        <v>1.7142857142857144</v>
      </c>
      <c r="K50" s="49">
        <f>'Avg Week GULU-KARUMA'!K50+'Avg Week KARUMA-GULU'!K50</f>
        <v>0.97719087635054014</v>
      </c>
      <c r="L50" s="49">
        <f>'Avg Week GULU-KARUMA'!L50+'Avg Week KARUMA-GULU'!L50</f>
        <v>2.8343337334933976</v>
      </c>
      <c r="M50" s="49">
        <f>'Avg Week GULU-KARUMA'!M50+'Avg Week KARUMA-GULU'!M50</f>
        <v>115.88571428571429</v>
      </c>
      <c r="N50" s="49">
        <f>'Avg Week GULU-KARUMA'!N50+'Avg Week KARUMA-GULU'!N50</f>
        <v>0</v>
      </c>
      <c r="O50" s="15">
        <f t="shared" si="0"/>
        <v>38.098439375750296</v>
      </c>
      <c r="P50" s="15">
        <f t="shared" si="1"/>
        <v>153.98415366146457</v>
      </c>
      <c r="R50" s="8"/>
      <c r="T50"/>
    </row>
    <row r="51" spans="2:20" ht="23.1" customHeight="1" x14ac:dyDescent="0.25">
      <c r="B51" s="24" t="s">
        <v>78</v>
      </c>
      <c r="C51" s="49">
        <f>'Avg Week GULU-KARUMA'!C51+'Avg Week KARUMA-GULU'!C51</f>
        <v>12.24609843937575</v>
      </c>
      <c r="D51" s="49">
        <f>'Avg Week GULU-KARUMA'!D51+'Avg Week KARUMA-GULU'!D51</f>
        <v>4.5258103241296519</v>
      </c>
      <c r="E51" s="49">
        <f>'Avg Week GULU-KARUMA'!E51+'Avg Week KARUMA-GULU'!E51</f>
        <v>10.314525810324129</v>
      </c>
      <c r="F51" s="49">
        <f>'Avg Week GULU-KARUMA'!F51+'Avg Week KARUMA-GULU'!F51</f>
        <v>3.6458583433373351</v>
      </c>
      <c r="G51" s="49">
        <f>'Avg Week GULU-KARUMA'!G51+'Avg Week KARUMA-GULU'!G51</f>
        <v>0.4057623049219688</v>
      </c>
      <c r="H51" s="49">
        <f>'Avg Week GULU-KARUMA'!H51+'Avg Week KARUMA-GULU'!H51</f>
        <v>1.4285714285714284</v>
      </c>
      <c r="I51" s="49">
        <f>'Avg Week GULU-KARUMA'!I51+'Avg Week KARUMA-GULU'!I51</f>
        <v>4.2172869147659062</v>
      </c>
      <c r="J51" s="49">
        <f>'Avg Week GULU-KARUMA'!J51+'Avg Week KARUMA-GULU'!J51</f>
        <v>1.7142857142857142</v>
      </c>
      <c r="K51" s="49">
        <f>'Avg Week GULU-KARUMA'!K51+'Avg Week KARUMA-GULU'!K51</f>
        <v>0.2857142857142857</v>
      </c>
      <c r="L51" s="49">
        <f>'Avg Week GULU-KARUMA'!L51+'Avg Week KARUMA-GULU'!L51</f>
        <v>3.8115246098439375</v>
      </c>
      <c r="M51" s="49">
        <f>'Avg Week GULU-KARUMA'!M51+'Avg Week KARUMA-GULU'!M51</f>
        <v>132.58571428571429</v>
      </c>
      <c r="N51" s="49">
        <f>'Avg Week GULU-KARUMA'!N51+'Avg Week KARUMA-GULU'!N51</f>
        <v>0</v>
      </c>
      <c r="O51" s="15">
        <f t="shared" si="0"/>
        <v>42.595438175270104</v>
      </c>
      <c r="P51" s="15">
        <f t="shared" si="1"/>
        <v>175.18115246098438</v>
      </c>
      <c r="R51" s="8"/>
      <c r="T51"/>
    </row>
    <row r="52" spans="2:20" ht="23.1" customHeight="1" x14ac:dyDescent="0.25">
      <c r="B52" s="24" t="s">
        <v>79</v>
      </c>
      <c r="C52" s="49">
        <f>'Avg Week GULU-KARUMA'!C52+'Avg Week KARUMA-GULU'!C52</f>
        <v>13.840336134453782</v>
      </c>
      <c r="D52" s="49">
        <f>'Avg Week GULU-KARUMA'!D52+'Avg Week KARUMA-GULU'!D52</f>
        <v>5.1200480192076832</v>
      </c>
      <c r="E52" s="49">
        <f>'Avg Week GULU-KARUMA'!E52+'Avg Week KARUMA-GULU'!E52</f>
        <v>10.811524609843937</v>
      </c>
      <c r="F52" s="49">
        <f>'Avg Week GULU-KARUMA'!F52+'Avg Week KARUMA-GULU'!F52</f>
        <v>4.4285714285714288</v>
      </c>
      <c r="G52" s="49">
        <f>'Avg Week GULU-KARUMA'!G52+'Avg Week KARUMA-GULU'!G52</f>
        <v>0.4057623049219688</v>
      </c>
      <c r="H52" s="49">
        <f>'Avg Week GULU-KARUMA'!H52+'Avg Week KARUMA-GULU'!H52</f>
        <v>1.9315726290516206</v>
      </c>
      <c r="I52" s="49">
        <f>'Avg Week GULU-KARUMA'!I52+'Avg Week KARUMA-GULU'!I52</f>
        <v>3.908763505402161</v>
      </c>
      <c r="J52" s="49">
        <f>'Avg Week GULU-KARUMA'!J52+'Avg Week KARUMA-GULU'!J52</f>
        <v>0.71428571428571419</v>
      </c>
      <c r="K52" s="49">
        <f>'Avg Week GULU-KARUMA'!K52+'Avg Week KARUMA-GULU'!K52</f>
        <v>0.2857142857142857</v>
      </c>
      <c r="L52" s="49">
        <f>'Avg Week GULU-KARUMA'!L52+'Avg Week KARUMA-GULU'!L52</f>
        <v>3.6686674669867947</v>
      </c>
      <c r="M52" s="49">
        <f>'Avg Week GULU-KARUMA'!M52+'Avg Week KARUMA-GULU'!M52</f>
        <v>135.80000000000001</v>
      </c>
      <c r="N52" s="49">
        <f>'Avg Week GULU-KARUMA'!N52+'Avg Week KARUMA-GULU'!N52</f>
        <v>0</v>
      </c>
      <c r="O52" s="15">
        <f t="shared" si="0"/>
        <v>45.115246098439385</v>
      </c>
      <c r="P52" s="15">
        <f t="shared" si="1"/>
        <v>180.91524609843941</v>
      </c>
      <c r="R52" s="8"/>
      <c r="T52"/>
    </row>
    <row r="53" spans="2:20" ht="23.1" customHeight="1" x14ac:dyDescent="0.25">
      <c r="B53" s="23" t="s">
        <v>80</v>
      </c>
      <c r="C53" s="49">
        <f>'Avg Week GULU-KARUMA'!C53+'Avg Week KARUMA-GULU'!C53</f>
        <v>12.314525810324129</v>
      </c>
      <c r="D53" s="49">
        <f>'Avg Week GULU-KARUMA'!D53+'Avg Week KARUMA-GULU'!D53</f>
        <v>4.0972388955582231</v>
      </c>
      <c r="E53" s="49">
        <f>'Avg Week GULU-KARUMA'!E53+'Avg Week KARUMA-GULU'!E53</f>
        <v>8.6944777911164461</v>
      </c>
      <c r="F53" s="49">
        <f>'Avg Week GULU-KARUMA'!F53+'Avg Week KARUMA-GULU'!F53</f>
        <v>1.9543817527010803</v>
      </c>
      <c r="G53" s="49">
        <f>'Avg Week GULU-KARUMA'!G53+'Avg Week KARUMA-GULU'!G53</f>
        <v>0.14285714285714285</v>
      </c>
      <c r="H53" s="49">
        <f>'Avg Week GULU-KARUMA'!H53+'Avg Week KARUMA-GULU'!H53</f>
        <v>1.5258103241296519</v>
      </c>
      <c r="I53" s="49">
        <f>'Avg Week GULU-KARUMA'!I53+'Avg Week KARUMA-GULU'!I53</f>
        <v>5.1716686674669869</v>
      </c>
      <c r="J53" s="49">
        <f>'Avg Week GULU-KARUMA'!J53+'Avg Week KARUMA-GULU'!J53</f>
        <v>2</v>
      </c>
      <c r="K53" s="49">
        <f>'Avg Week GULU-KARUMA'!K53+'Avg Week KARUMA-GULU'!K53</f>
        <v>0.42857142857142855</v>
      </c>
      <c r="L53" s="49">
        <f>'Avg Week GULU-KARUMA'!L53+'Avg Week KARUMA-GULU'!L53</f>
        <v>3.1428571428571428</v>
      </c>
      <c r="M53" s="49">
        <f>'Avg Week GULU-KARUMA'!M53+'Avg Week KARUMA-GULU'!M53</f>
        <v>118.45714285714286</v>
      </c>
      <c r="N53" s="49">
        <f>'Avg Week GULU-KARUMA'!N53+'Avg Week KARUMA-GULU'!N53</f>
        <v>0</v>
      </c>
      <c r="O53" s="15">
        <f t="shared" si="0"/>
        <v>39.472388955582232</v>
      </c>
      <c r="P53" s="15">
        <f t="shared" si="1"/>
        <v>157.92953181272509</v>
      </c>
      <c r="R53" s="8"/>
      <c r="T53"/>
    </row>
    <row r="54" spans="2:20" ht="23.1" customHeight="1" x14ac:dyDescent="0.25">
      <c r="B54" s="23" t="s">
        <v>81</v>
      </c>
      <c r="C54" s="49">
        <f>'Avg Week GULU-KARUMA'!C54+'Avg Week KARUMA-GULU'!C54</f>
        <v>12.33733493397359</v>
      </c>
      <c r="D54" s="49">
        <f>'Avg Week GULU-KARUMA'!D54+'Avg Week KARUMA-GULU'!D54</f>
        <v>5.6002400960384149</v>
      </c>
      <c r="E54" s="49">
        <f>'Avg Week GULU-KARUMA'!E54+'Avg Week KARUMA-GULU'!E54</f>
        <v>11.129051620648259</v>
      </c>
      <c r="F54" s="49">
        <f>'Avg Week GULU-KARUMA'!F54+'Avg Week KARUMA-GULU'!F54</f>
        <v>2.6458583433373351</v>
      </c>
      <c r="G54" s="49">
        <f>'Avg Week GULU-KARUMA'!G54+'Avg Week KARUMA-GULU'!G54</f>
        <v>1.1200480192076832</v>
      </c>
      <c r="H54" s="49">
        <f>'Avg Week GULU-KARUMA'!H54+'Avg Week KARUMA-GULU'!H54</f>
        <v>0.5714285714285714</v>
      </c>
      <c r="I54" s="49">
        <f>'Avg Week GULU-KARUMA'!I54+'Avg Week KARUMA-GULU'!I54</f>
        <v>4.7887154861944774</v>
      </c>
      <c r="J54" s="49">
        <f>'Avg Week GULU-KARUMA'!J54+'Avg Week KARUMA-GULU'!J54</f>
        <v>1.4057623049219687</v>
      </c>
      <c r="K54" s="49">
        <f>'Avg Week GULU-KARUMA'!K54+'Avg Week KARUMA-GULU'!K54</f>
        <v>0</v>
      </c>
      <c r="L54" s="49">
        <f>'Avg Week GULU-KARUMA'!L54+'Avg Week KARUMA-GULU'!L54</f>
        <v>3.8115246098439375</v>
      </c>
      <c r="M54" s="49">
        <f>'Avg Week GULU-KARUMA'!M54+'Avg Week KARUMA-GULU'!M54</f>
        <v>107.84285714285713</v>
      </c>
      <c r="N54" s="49">
        <f>'Avg Week GULU-KARUMA'!N54+'Avg Week KARUMA-GULU'!N54</f>
        <v>0</v>
      </c>
      <c r="O54" s="15">
        <f t="shared" si="0"/>
        <v>43.409963985594231</v>
      </c>
      <c r="P54" s="15">
        <f t="shared" si="1"/>
        <v>151.25282112845136</v>
      </c>
      <c r="R54" s="8"/>
      <c r="T54"/>
    </row>
    <row r="55" spans="2:20" ht="23.1" customHeight="1" x14ac:dyDescent="0.25">
      <c r="B55" s="23" t="s">
        <v>82</v>
      </c>
      <c r="C55" s="49">
        <f>'Avg Week GULU-KARUMA'!C55+'Avg Week KARUMA-GULU'!C55</f>
        <v>9.1260504201680668</v>
      </c>
      <c r="D55" s="49">
        <f>'Avg Week GULU-KARUMA'!D55+'Avg Week KARUMA-GULU'!D55</f>
        <v>3.5258103241296519</v>
      </c>
      <c r="E55" s="49">
        <f>'Avg Week GULU-KARUMA'!E55+'Avg Week KARUMA-GULU'!E55</f>
        <v>8.0516206482593038</v>
      </c>
      <c r="F55" s="49">
        <f>'Avg Week GULU-KARUMA'!F55+'Avg Week KARUMA-GULU'!F55</f>
        <v>2.5030012004801923</v>
      </c>
      <c r="G55" s="49">
        <f>'Avg Week GULU-KARUMA'!G55+'Avg Week KARUMA-GULU'!G55</f>
        <v>0.71428571428571419</v>
      </c>
      <c r="H55" s="49">
        <f>'Avg Week GULU-KARUMA'!H55+'Avg Week KARUMA-GULU'!H55</f>
        <v>1.2857142857142856</v>
      </c>
      <c r="I55" s="49">
        <f>'Avg Week GULU-KARUMA'!I55+'Avg Week KARUMA-GULU'!I55</f>
        <v>4.6002400960384158</v>
      </c>
      <c r="J55" s="49">
        <f>'Avg Week GULU-KARUMA'!J55+'Avg Week KARUMA-GULU'!J55</f>
        <v>1.8571428571428572</v>
      </c>
      <c r="K55" s="49">
        <f>'Avg Week GULU-KARUMA'!K55+'Avg Week KARUMA-GULU'!K55</f>
        <v>0.5714285714285714</v>
      </c>
      <c r="L55" s="49">
        <f>'Avg Week GULU-KARUMA'!L55+'Avg Week KARUMA-GULU'!L55</f>
        <v>2.8343337334933976</v>
      </c>
      <c r="M55" s="49">
        <f>'Avg Week GULU-KARUMA'!M55+'Avg Week KARUMA-GULU'!M55</f>
        <v>108.18571428571428</v>
      </c>
      <c r="N55" s="49">
        <f>'Avg Week GULU-KARUMA'!N55+'Avg Week KARUMA-GULU'!N55</f>
        <v>0</v>
      </c>
      <c r="O55" s="15">
        <f t="shared" si="0"/>
        <v>35.069627851140453</v>
      </c>
      <c r="P55" s="15">
        <f t="shared" si="1"/>
        <v>143.25534213685472</v>
      </c>
      <c r="R55" s="8"/>
      <c r="T55"/>
    </row>
    <row r="56" spans="2:20" ht="23.1" customHeight="1" x14ac:dyDescent="0.25">
      <c r="B56" s="23" t="s">
        <v>83</v>
      </c>
      <c r="C56" s="49">
        <f>'Avg Week GULU-KARUMA'!C56+'Avg Week KARUMA-GULU'!C56</f>
        <v>10.69747899159664</v>
      </c>
      <c r="D56" s="49">
        <f>'Avg Week GULU-KARUMA'!D56+'Avg Week KARUMA-GULU'!D56</f>
        <v>4.9315726290516206</v>
      </c>
      <c r="E56" s="49">
        <f>'Avg Week GULU-KARUMA'!E56+'Avg Week KARUMA-GULU'!E56</f>
        <v>10.840336134453782</v>
      </c>
      <c r="F56" s="49">
        <f>'Avg Week GULU-KARUMA'!F56+'Avg Week KARUMA-GULU'!F56</f>
        <v>2.9543817527010803</v>
      </c>
      <c r="G56" s="49">
        <f>'Avg Week GULU-KARUMA'!G56+'Avg Week KARUMA-GULU'!G56</f>
        <v>0.5714285714285714</v>
      </c>
      <c r="H56" s="49">
        <f>'Avg Week GULU-KARUMA'!H56+'Avg Week KARUMA-GULU'!H56</f>
        <v>1.1428571428571428</v>
      </c>
      <c r="I56" s="49">
        <f>'Avg Week GULU-KARUMA'!I56+'Avg Week KARUMA-GULU'!I56</f>
        <v>3.9087635054021606</v>
      </c>
      <c r="J56" s="49">
        <f>'Avg Week GULU-KARUMA'!J56+'Avg Week KARUMA-GULU'!J56</f>
        <v>0.8571428571428571</v>
      </c>
      <c r="K56" s="49">
        <f>'Avg Week GULU-KARUMA'!K56+'Avg Week KARUMA-GULU'!K56</f>
        <v>0</v>
      </c>
      <c r="L56" s="49">
        <f>'Avg Week GULU-KARUMA'!L56+'Avg Week KARUMA-GULU'!L56</f>
        <v>3.6686674669867942</v>
      </c>
      <c r="M56" s="49">
        <f>'Avg Week GULU-KARUMA'!M56+'Avg Week KARUMA-GULU'!M56</f>
        <v>112.85714285714286</v>
      </c>
      <c r="N56" s="49">
        <f>'Avg Week GULU-KARUMA'!N56+'Avg Week KARUMA-GULU'!N56</f>
        <v>0</v>
      </c>
      <c r="O56" s="15">
        <f t="shared" si="0"/>
        <v>39.572629051620652</v>
      </c>
      <c r="P56" s="15">
        <f t="shared" si="1"/>
        <v>152.42977190876351</v>
      </c>
      <c r="R56" s="8"/>
      <c r="T56"/>
    </row>
    <row r="57" spans="2:20" ht="23.1" customHeight="1" x14ac:dyDescent="0.25">
      <c r="B57" s="23" t="s">
        <v>84</v>
      </c>
      <c r="C57" s="49">
        <f>'Avg Week GULU-KARUMA'!C57+'Avg Week KARUMA-GULU'!C57</f>
        <v>12.668667466986795</v>
      </c>
      <c r="D57" s="49">
        <f>'Avg Week GULU-KARUMA'!D57+'Avg Week KARUMA-GULU'!D57</f>
        <v>3.6914765906362543</v>
      </c>
      <c r="E57" s="49">
        <f>'Avg Week GULU-KARUMA'!E57+'Avg Week KARUMA-GULU'!E57</f>
        <v>8.074429771908763</v>
      </c>
      <c r="F57" s="49">
        <f>'Avg Week GULU-KARUMA'!F57+'Avg Week KARUMA-GULU'!F57</f>
        <v>1.9315726290516206</v>
      </c>
      <c r="G57" s="49">
        <f>'Avg Week GULU-KARUMA'!G57+'Avg Week KARUMA-GULU'!G57</f>
        <v>0.14285714285714285</v>
      </c>
      <c r="H57" s="49">
        <f>'Avg Week GULU-KARUMA'!H57+'Avg Week KARUMA-GULU'!H57</f>
        <v>1.2629051620648259</v>
      </c>
      <c r="I57" s="49">
        <f>'Avg Week GULU-KARUMA'!I57+'Avg Week KARUMA-GULU'!I57</f>
        <v>3.2400960384153659</v>
      </c>
      <c r="J57" s="49">
        <f>'Avg Week GULU-KARUMA'!J57+'Avg Week KARUMA-GULU'!J57</f>
        <v>1.4285714285714284</v>
      </c>
      <c r="K57" s="49">
        <f>'Avg Week GULU-KARUMA'!K57+'Avg Week KARUMA-GULU'!K57</f>
        <v>0.5714285714285714</v>
      </c>
      <c r="L57" s="49">
        <f>'Avg Week GULU-KARUMA'!L57+'Avg Week KARUMA-GULU'!L57</f>
        <v>3.5486194477791115</v>
      </c>
      <c r="M57" s="49">
        <f>'Avg Week GULU-KARUMA'!M57+'Avg Week KARUMA-GULU'!M57</f>
        <v>120.28571428571429</v>
      </c>
      <c r="N57" s="49">
        <f>'Avg Week GULU-KARUMA'!N57+'Avg Week KARUMA-GULU'!N57</f>
        <v>0</v>
      </c>
      <c r="O57" s="15">
        <f t="shared" si="0"/>
        <v>36.560624249699877</v>
      </c>
      <c r="P57" s="15">
        <f t="shared" si="1"/>
        <v>156.84633853541416</v>
      </c>
      <c r="R57" s="8"/>
      <c r="T57"/>
    </row>
    <row r="58" spans="2:20" ht="23.1" customHeight="1" x14ac:dyDescent="0.25">
      <c r="B58" s="23" t="s">
        <v>99</v>
      </c>
      <c r="C58" s="49">
        <f>'Avg Week GULU-KARUMA'!C58+'Avg Week KARUMA-GULU'!C58</f>
        <v>6.1806722689075633</v>
      </c>
      <c r="D58" s="49">
        <f>'Avg Week GULU-KARUMA'!D58+'Avg Week KARUMA-GULU'!D58</f>
        <v>1.9201680672268908</v>
      </c>
      <c r="E58" s="49">
        <f>'Avg Week GULU-KARUMA'!E58+'Avg Week KARUMA-GULU'!E58</f>
        <v>4.3403361344537821</v>
      </c>
      <c r="F58" s="49">
        <f>'Avg Week GULU-KARUMA'!F58+'Avg Week KARUMA-GULU'!F58</f>
        <v>2</v>
      </c>
      <c r="G58" s="49">
        <f>'Avg Week GULU-KARUMA'!G58+'Avg Week KARUMA-GULU'!G58</f>
        <v>0.5</v>
      </c>
      <c r="H58" s="49">
        <f>'Avg Week GULU-KARUMA'!H58+'Avg Week KARUMA-GULU'!H58</f>
        <v>2.920168067226891</v>
      </c>
      <c r="I58" s="49">
        <f>'Avg Week GULU-KARUMA'!I58+'Avg Week KARUMA-GULU'!I58</f>
        <v>4.7605042016806722</v>
      </c>
      <c r="J58" s="49">
        <f>'Avg Week GULU-KARUMA'!J58+'Avg Week KARUMA-GULU'!J58</f>
        <v>1</v>
      </c>
      <c r="K58" s="49">
        <f>'Avg Week GULU-KARUMA'!K58+'Avg Week KARUMA-GULU'!K58</f>
        <v>0.5</v>
      </c>
      <c r="L58" s="49">
        <f>'Avg Week GULU-KARUMA'!L58+'Avg Week KARUMA-GULU'!L58</f>
        <v>3.3403361344537816</v>
      </c>
      <c r="M58" s="49">
        <f>'Avg Week GULU-KARUMA'!M58+'Avg Week KARUMA-GULU'!M58</f>
        <v>105</v>
      </c>
      <c r="N58" s="49">
        <f>'Avg Week GULU-KARUMA'!N58+'Avg Week KARUMA-GULU'!N58</f>
        <v>1.5</v>
      </c>
      <c r="O58" s="15">
        <f t="shared" si="0"/>
        <v>28.962184873949582</v>
      </c>
      <c r="P58" s="15">
        <f t="shared" si="1"/>
        <v>133.96218487394958</v>
      </c>
      <c r="R58" s="8"/>
      <c r="T58"/>
    </row>
    <row r="59" spans="2:20" ht="23.1" customHeight="1" x14ac:dyDescent="0.25">
      <c r="B59" s="23" t="s">
        <v>100</v>
      </c>
      <c r="C59" s="49">
        <f>'Avg Week GULU-KARUMA'!C59+'Avg Week KARUMA-GULU'!C59</f>
        <v>4.7605042016806722</v>
      </c>
      <c r="D59" s="49">
        <f>'Avg Week GULU-KARUMA'!D59+'Avg Week KARUMA-GULU'!D59</f>
        <v>1.5</v>
      </c>
      <c r="E59" s="49">
        <f>'Avg Week GULU-KARUMA'!E59+'Avg Week KARUMA-GULU'!E59</f>
        <v>3.5</v>
      </c>
      <c r="F59" s="49">
        <f>'Avg Week GULU-KARUMA'!F59+'Avg Week KARUMA-GULU'!F59</f>
        <v>3.7605042016806722</v>
      </c>
      <c r="G59" s="49">
        <f>'Avg Week GULU-KARUMA'!G59+'Avg Week KARUMA-GULU'!G59</f>
        <v>0</v>
      </c>
      <c r="H59" s="49">
        <f>'Avg Week GULU-KARUMA'!H59+'Avg Week KARUMA-GULU'!H59</f>
        <v>0</v>
      </c>
      <c r="I59" s="49">
        <f>'Avg Week GULU-KARUMA'!I59+'Avg Week KARUMA-GULU'!I59</f>
        <v>1.4201680672268908</v>
      </c>
      <c r="J59" s="49">
        <f>'Avg Week GULU-KARUMA'!J59+'Avg Week KARUMA-GULU'!J59</f>
        <v>0.5</v>
      </c>
      <c r="K59" s="49">
        <f>'Avg Week GULU-KARUMA'!K59+'Avg Week KARUMA-GULU'!K59</f>
        <v>0.5</v>
      </c>
      <c r="L59" s="49">
        <f>'Avg Week GULU-KARUMA'!L59+'Avg Week KARUMA-GULU'!L59</f>
        <v>2</v>
      </c>
      <c r="M59" s="49">
        <f>'Avg Week GULU-KARUMA'!M59+'Avg Week KARUMA-GULU'!M59</f>
        <v>119</v>
      </c>
      <c r="N59" s="49">
        <f>'Avg Week GULU-KARUMA'!N59+'Avg Week KARUMA-GULU'!N59</f>
        <v>0</v>
      </c>
      <c r="O59" s="15">
        <f t="shared" si="0"/>
        <v>17.941176470588232</v>
      </c>
      <c r="P59" s="15">
        <f t="shared" si="1"/>
        <v>136.94117647058823</v>
      </c>
      <c r="R59" s="8"/>
      <c r="T59"/>
    </row>
    <row r="60" spans="2:20" ht="23.1" customHeight="1" x14ac:dyDescent="0.25">
      <c r="B60" s="23" t="s">
        <v>101</v>
      </c>
      <c r="C60" s="49">
        <f>'Avg Week GULU-KARUMA'!C60+'Avg Week KARUMA-GULU'!C60</f>
        <v>6.9411764705882355</v>
      </c>
      <c r="D60" s="49">
        <f>'Avg Week GULU-KARUMA'!D60+'Avg Week KARUMA-GULU'!D60</f>
        <v>2.420168067226891</v>
      </c>
      <c r="E60" s="49">
        <f>'Avg Week GULU-KARUMA'!E60+'Avg Week KARUMA-GULU'!E60</f>
        <v>5.3403361344537821</v>
      </c>
      <c r="F60" s="49">
        <f>'Avg Week GULU-KARUMA'!F60+'Avg Week KARUMA-GULU'!F60</f>
        <v>0.5</v>
      </c>
      <c r="G60" s="49">
        <f>'Avg Week GULU-KARUMA'!G60+'Avg Week KARUMA-GULU'!G60</f>
        <v>0</v>
      </c>
      <c r="H60" s="49">
        <f>'Avg Week GULU-KARUMA'!H60+'Avg Week KARUMA-GULU'!H60</f>
        <v>1.5</v>
      </c>
      <c r="I60" s="49">
        <f>'Avg Week GULU-KARUMA'!I60+'Avg Week KARUMA-GULU'!I60</f>
        <v>3.2605042016806722</v>
      </c>
      <c r="J60" s="49">
        <f>'Avg Week GULU-KARUMA'!J60+'Avg Week KARUMA-GULU'!J60</f>
        <v>0.5</v>
      </c>
      <c r="K60" s="49">
        <f>'Avg Week GULU-KARUMA'!K60+'Avg Week KARUMA-GULU'!K60</f>
        <v>0</v>
      </c>
      <c r="L60" s="49">
        <f>'Avg Week GULU-KARUMA'!L60+'Avg Week KARUMA-GULU'!L60</f>
        <v>1.4201680672268908</v>
      </c>
      <c r="M60" s="49">
        <f>'Avg Week GULU-KARUMA'!M60+'Avg Week KARUMA-GULU'!M60</f>
        <v>99</v>
      </c>
      <c r="N60" s="49">
        <f>'Avg Week GULU-KARUMA'!N60+'Avg Week KARUMA-GULU'!N60</f>
        <v>0</v>
      </c>
      <c r="O60" s="15">
        <f t="shared" si="0"/>
        <v>21.882352941176467</v>
      </c>
      <c r="P60" s="15">
        <f t="shared" si="1"/>
        <v>120.88235294117646</v>
      </c>
      <c r="R60" s="8"/>
      <c r="T60"/>
    </row>
    <row r="61" spans="2:20" ht="23.1" customHeight="1" x14ac:dyDescent="0.25">
      <c r="B61" s="23" t="s">
        <v>102</v>
      </c>
      <c r="C61" s="49">
        <f>'Avg Week GULU-KARUMA'!C61+'Avg Week KARUMA-GULU'!C61</f>
        <v>6.6008403361344534</v>
      </c>
      <c r="D61" s="49">
        <f>'Avg Week GULU-KARUMA'!D61+'Avg Week KARUMA-GULU'!D61</f>
        <v>3.8403361344537816</v>
      </c>
      <c r="E61" s="49">
        <f>'Avg Week GULU-KARUMA'!E61+'Avg Week KARUMA-GULU'!E61</f>
        <v>8.1806722689075642</v>
      </c>
      <c r="F61" s="49">
        <f>'Avg Week GULU-KARUMA'!F61+'Avg Week KARUMA-GULU'!F61</f>
        <v>1.5</v>
      </c>
      <c r="G61" s="49">
        <f>'Avg Week GULU-KARUMA'!G61+'Avg Week KARUMA-GULU'!G61</f>
        <v>0</v>
      </c>
      <c r="H61" s="49">
        <f>'Avg Week GULU-KARUMA'!H61+'Avg Week KARUMA-GULU'!H61</f>
        <v>0</v>
      </c>
      <c r="I61" s="49">
        <f>'Avg Week GULU-KARUMA'!I61+'Avg Week KARUMA-GULU'!I61</f>
        <v>3.3403361344537816</v>
      </c>
      <c r="J61" s="49">
        <f>'Avg Week GULU-KARUMA'!J61+'Avg Week KARUMA-GULU'!J61</f>
        <v>1.5</v>
      </c>
      <c r="K61" s="49">
        <f>'Avg Week GULU-KARUMA'!K61+'Avg Week KARUMA-GULU'!K61</f>
        <v>0</v>
      </c>
      <c r="L61" s="49">
        <f>'Avg Week GULU-KARUMA'!L61+'Avg Week KARUMA-GULU'!L61</f>
        <v>1.9201680672268908</v>
      </c>
      <c r="M61" s="49">
        <f>'Avg Week GULU-KARUMA'!M61+'Avg Week KARUMA-GULU'!M61</f>
        <v>102</v>
      </c>
      <c r="N61" s="49">
        <f>'Avg Week GULU-KARUMA'!N61+'Avg Week KARUMA-GULU'!N61</f>
        <v>0</v>
      </c>
      <c r="O61" s="15">
        <f t="shared" si="0"/>
        <v>26.882352941176471</v>
      </c>
      <c r="P61" s="15">
        <f t="shared" si="1"/>
        <v>128.88235294117646</v>
      </c>
      <c r="R61" s="8"/>
      <c r="T61"/>
    </row>
    <row r="62" spans="2:20" ht="23.1" customHeight="1" x14ac:dyDescent="0.25">
      <c r="B62" s="23" t="s">
        <v>107</v>
      </c>
      <c r="C62" s="49">
        <f>'Avg Week GULU-KARUMA'!C62+'Avg Week KARUMA-GULU'!C62</f>
        <v>12.1218487394958</v>
      </c>
      <c r="D62" s="49">
        <f>'Avg Week GULU-KARUMA'!D62+'Avg Week KARUMA-GULU'!D62</f>
        <v>3.920168067226891</v>
      </c>
      <c r="E62" s="49">
        <f>'Avg Week GULU-KARUMA'!E62+'Avg Week KARUMA-GULU'!E62</f>
        <v>9.7605042016806713</v>
      </c>
      <c r="F62" s="49">
        <f>'Avg Week GULU-KARUMA'!F62+'Avg Week KARUMA-GULU'!F62</f>
        <v>2.5</v>
      </c>
      <c r="G62" s="49">
        <f>'Avg Week GULU-KARUMA'!G62+'Avg Week KARUMA-GULU'!G62</f>
        <v>0</v>
      </c>
      <c r="H62" s="49">
        <f>'Avg Week GULU-KARUMA'!H62+'Avg Week KARUMA-GULU'!H62</f>
        <v>0</v>
      </c>
      <c r="I62" s="49">
        <f>'Avg Week GULU-KARUMA'!I62+'Avg Week KARUMA-GULU'!I62</f>
        <v>1.4201680672268908</v>
      </c>
      <c r="J62" s="49">
        <f>'Avg Week GULU-KARUMA'!J62+'Avg Week KARUMA-GULU'!J62</f>
        <v>0</v>
      </c>
      <c r="K62" s="49">
        <f>'Avg Week GULU-KARUMA'!K62+'Avg Week KARUMA-GULU'!K62</f>
        <v>0</v>
      </c>
      <c r="L62" s="49">
        <f>'Avg Week GULU-KARUMA'!L62+'Avg Week KARUMA-GULU'!L62</f>
        <v>1.4201680672268908</v>
      </c>
      <c r="M62" s="49">
        <f>'Avg Week GULU-KARUMA'!M62+'Avg Week KARUMA-GULU'!M62</f>
        <v>90</v>
      </c>
      <c r="N62" s="49">
        <f>'Avg Week GULU-KARUMA'!N62+'Avg Week KARUMA-GULU'!N62</f>
        <v>0</v>
      </c>
      <c r="O62" s="15">
        <f t="shared" si="0"/>
        <v>31.142857142857142</v>
      </c>
      <c r="P62" s="15">
        <f t="shared" si="1"/>
        <v>121.14285714285714</v>
      </c>
      <c r="R62" s="8"/>
      <c r="T62"/>
    </row>
    <row r="63" spans="2:20" ht="23.1" customHeight="1" x14ac:dyDescent="0.25">
      <c r="B63" s="23" t="s">
        <v>108</v>
      </c>
      <c r="C63" s="49">
        <f>'Avg Week GULU-KARUMA'!C63+'Avg Week KARUMA-GULU'!C63</f>
        <v>14.542016806722689</v>
      </c>
      <c r="D63" s="49">
        <f>'Avg Week GULU-KARUMA'!D63+'Avg Week KARUMA-GULU'!D63</f>
        <v>4.7605042016806722</v>
      </c>
      <c r="E63" s="49">
        <f>'Avg Week GULU-KARUMA'!E63+'Avg Week KARUMA-GULU'!E63</f>
        <v>10.021008403361344</v>
      </c>
      <c r="F63" s="49">
        <f>'Avg Week GULU-KARUMA'!F63+'Avg Week KARUMA-GULU'!F63</f>
        <v>0.5</v>
      </c>
      <c r="G63" s="49">
        <f>'Avg Week GULU-KARUMA'!G63+'Avg Week KARUMA-GULU'!G63</f>
        <v>0</v>
      </c>
      <c r="H63" s="49">
        <f>'Avg Week GULU-KARUMA'!H63+'Avg Week KARUMA-GULU'!H63</f>
        <v>0</v>
      </c>
      <c r="I63" s="49">
        <f>'Avg Week GULU-KARUMA'!I63+'Avg Week KARUMA-GULU'!I63</f>
        <v>1.4201680672268908</v>
      </c>
      <c r="J63" s="49">
        <f>'Avg Week GULU-KARUMA'!J63+'Avg Week KARUMA-GULU'!J63</f>
        <v>0.5</v>
      </c>
      <c r="K63" s="49">
        <f>'Avg Week GULU-KARUMA'!K63+'Avg Week KARUMA-GULU'!K63</f>
        <v>0</v>
      </c>
      <c r="L63" s="49">
        <f>'Avg Week GULU-KARUMA'!L63+'Avg Week KARUMA-GULU'!L63</f>
        <v>3.8403361344537816</v>
      </c>
      <c r="M63" s="49">
        <f>'Avg Week GULU-KARUMA'!M63+'Avg Week KARUMA-GULU'!M63</f>
        <v>86</v>
      </c>
      <c r="N63" s="49">
        <f>'Avg Week GULU-KARUMA'!N63+'Avg Week KARUMA-GULU'!N63</f>
        <v>0</v>
      </c>
      <c r="O63" s="15">
        <f t="shared" si="0"/>
        <v>35.584033613445371</v>
      </c>
      <c r="P63" s="15">
        <f t="shared" si="1"/>
        <v>121.58403361344537</v>
      </c>
      <c r="R63" s="8"/>
      <c r="T63"/>
    </row>
    <row r="64" spans="2:20" ht="23.1" customHeight="1" x14ac:dyDescent="0.25">
      <c r="B64" s="23" t="s">
        <v>109</v>
      </c>
      <c r="C64" s="49">
        <f>'Avg Week GULU-KARUMA'!C64+'Avg Week KARUMA-GULU'!C64</f>
        <v>20.063025210084035</v>
      </c>
      <c r="D64" s="49">
        <f>'Avg Week GULU-KARUMA'!D64+'Avg Week KARUMA-GULU'!D64</f>
        <v>2</v>
      </c>
      <c r="E64" s="49">
        <f>'Avg Week GULU-KARUMA'!E64+'Avg Week KARUMA-GULU'!E64</f>
        <v>5.920168067226891</v>
      </c>
      <c r="F64" s="49">
        <f>'Avg Week GULU-KARUMA'!F64+'Avg Week KARUMA-GULU'!F64</f>
        <v>1.5</v>
      </c>
      <c r="G64" s="49">
        <f>'Avg Week GULU-KARUMA'!G64+'Avg Week KARUMA-GULU'!G64</f>
        <v>0.5</v>
      </c>
      <c r="H64" s="49">
        <f>'Avg Week GULU-KARUMA'!H64+'Avg Week KARUMA-GULU'!H64</f>
        <v>1</v>
      </c>
      <c r="I64" s="49">
        <f>'Avg Week GULU-KARUMA'!I64+'Avg Week KARUMA-GULU'!I64</f>
        <v>3.9201680672268906</v>
      </c>
      <c r="J64" s="49">
        <f>'Avg Week GULU-KARUMA'!J64+'Avg Week KARUMA-GULU'!J64</f>
        <v>0</v>
      </c>
      <c r="K64" s="49">
        <f>'Avg Week GULU-KARUMA'!K64+'Avg Week KARUMA-GULU'!K64</f>
        <v>0</v>
      </c>
      <c r="L64" s="49">
        <f>'Avg Week GULU-KARUMA'!L64+'Avg Week KARUMA-GULU'!L64</f>
        <v>3.7605042016806722</v>
      </c>
      <c r="M64" s="49">
        <f>'Avg Week GULU-KARUMA'!M64+'Avg Week KARUMA-GULU'!M64</f>
        <v>82</v>
      </c>
      <c r="N64" s="49">
        <f>'Avg Week GULU-KARUMA'!N64+'Avg Week KARUMA-GULU'!N64</f>
        <v>0</v>
      </c>
      <c r="O64" s="15">
        <f t="shared" si="0"/>
        <v>38.663865546218489</v>
      </c>
      <c r="P64" s="15">
        <f t="shared" si="1"/>
        <v>120.66386554621849</v>
      </c>
      <c r="R64" s="8"/>
      <c r="T64"/>
    </row>
    <row r="65" spans="2:20" ht="23.1" customHeight="1" x14ac:dyDescent="0.25">
      <c r="B65" s="23" t="s">
        <v>158</v>
      </c>
      <c r="C65" s="49">
        <f>'Avg Week GULU-KARUMA'!C65+'Avg Week KARUMA-GULU'!C65</f>
        <v>6.6806722689075633</v>
      </c>
      <c r="D65" s="49">
        <f>'Avg Week GULU-KARUMA'!D65+'Avg Week KARUMA-GULU'!D65</f>
        <v>4.420168067226891</v>
      </c>
      <c r="E65" s="49">
        <f>'Avg Week GULU-KARUMA'!E65+'Avg Week KARUMA-GULU'!E65</f>
        <v>10.260504201680671</v>
      </c>
      <c r="F65" s="49">
        <f>'Avg Week GULU-KARUMA'!F65+'Avg Week KARUMA-GULU'!F65</f>
        <v>3.2605042016806722</v>
      </c>
      <c r="G65" s="49">
        <f>'Avg Week GULU-KARUMA'!G65+'Avg Week KARUMA-GULU'!G65</f>
        <v>0.92016806722689082</v>
      </c>
      <c r="H65" s="49">
        <f>'Avg Week GULU-KARUMA'!H65+'Avg Week KARUMA-GULU'!H65</f>
        <v>0</v>
      </c>
      <c r="I65" s="49">
        <f>'Avg Week GULU-KARUMA'!I65+'Avg Week KARUMA-GULU'!I65</f>
        <v>3.7605042016806722</v>
      </c>
      <c r="J65" s="49">
        <f>'Avg Week GULU-KARUMA'!J65+'Avg Week KARUMA-GULU'!J65</f>
        <v>2.8403361344537816</v>
      </c>
      <c r="K65" s="49">
        <f>'Avg Week GULU-KARUMA'!K65+'Avg Week KARUMA-GULU'!K65</f>
        <v>0.92016806722689082</v>
      </c>
      <c r="L65" s="49">
        <f>'Avg Week GULU-KARUMA'!L65+'Avg Week KARUMA-GULU'!L65</f>
        <v>5.1806722689075633</v>
      </c>
      <c r="M65" s="49">
        <f>'Avg Week GULU-KARUMA'!M65+'Avg Week KARUMA-GULU'!M65</f>
        <v>84</v>
      </c>
      <c r="N65" s="49">
        <f>'Avg Week GULU-KARUMA'!N65+'Avg Week KARUMA-GULU'!N65</f>
        <v>0</v>
      </c>
      <c r="O65" s="15">
        <f t="shared" si="0"/>
        <v>38.243697478991592</v>
      </c>
      <c r="P65" s="15">
        <f t="shared" si="1"/>
        <v>122.24369747899159</v>
      </c>
      <c r="R65" s="8"/>
      <c r="T65"/>
    </row>
    <row r="66" spans="2:20" ht="23.1" customHeight="1" x14ac:dyDescent="0.25">
      <c r="B66" s="23" t="s">
        <v>103</v>
      </c>
      <c r="C66" s="49">
        <f>'Avg Week GULU-KARUMA'!C66+'Avg Week KARUMA-GULU'!C66</f>
        <v>15.701680672268907</v>
      </c>
      <c r="D66" s="49">
        <f>'Avg Week GULU-KARUMA'!D66+'Avg Week KARUMA-GULU'!D66</f>
        <v>4.8403361344537821</v>
      </c>
      <c r="E66" s="49">
        <f>'Avg Week GULU-KARUMA'!E66+'Avg Week KARUMA-GULU'!E66</f>
        <v>10.180672268907564</v>
      </c>
      <c r="F66" s="49">
        <f>'Avg Week GULU-KARUMA'!F66+'Avg Week KARUMA-GULU'!F66</f>
        <v>1</v>
      </c>
      <c r="G66" s="49">
        <f>'Avg Week GULU-KARUMA'!G66+'Avg Week KARUMA-GULU'!G66</f>
        <v>0</v>
      </c>
      <c r="H66" s="49">
        <f>'Avg Week GULU-KARUMA'!H66+'Avg Week KARUMA-GULU'!H66</f>
        <v>0</v>
      </c>
      <c r="I66" s="49">
        <f>'Avg Week GULU-KARUMA'!I66+'Avg Week KARUMA-GULU'!I66</f>
        <v>7.1806722689075633</v>
      </c>
      <c r="J66" s="49">
        <f>'Avg Week GULU-KARUMA'!J66+'Avg Week KARUMA-GULU'!J66</f>
        <v>1</v>
      </c>
      <c r="K66" s="49">
        <f>'Avg Week GULU-KARUMA'!K66+'Avg Week KARUMA-GULU'!K66</f>
        <v>0</v>
      </c>
      <c r="L66" s="49">
        <f>'Avg Week GULU-KARUMA'!L66+'Avg Week KARUMA-GULU'!L66</f>
        <v>3.6806722689075633</v>
      </c>
      <c r="M66" s="49">
        <f>'Avg Week GULU-KARUMA'!M66+'Avg Week KARUMA-GULU'!M66</f>
        <v>86</v>
      </c>
      <c r="N66" s="49">
        <f>'Avg Week GULU-KARUMA'!N66+'Avg Week KARUMA-GULU'!N66</f>
        <v>0</v>
      </c>
      <c r="O66" s="15">
        <f t="shared" si="0"/>
        <v>43.584033613445378</v>
      </c>
      <c r="P66" s="15">
        <f t="shared" si="1"/>
        <v>129.58403361344537</v>
      </c>
      <c r="R66" s="8"/>
      <c r="T66"/>
    </row>
    <row r="67" spans="2:20" ht="23.1" customHeight="1" x14ac:dyDescent="0.25">
      <c r="B67" s="23" t="s">
        <v>104</v>
      </c>
      <c r="C67" s="49">
        <f>'Avg Week GULU-KARUMA'!C67+'Avg Week KARUMA-GULU'!C67</f>
        <v>9.5210084033613445</v>
      </c>
      <c r="D67" s="49">
        <f>'Avg Week GULU-KARUMA'!D67+'Avg Week KARUMA-GULU'!D67</f>
        <v>3.3403361344537816</v>
      </c>
      <c r="E67" s="49">
        <f>'Avg Week GULU-KARUMA'!E67+'Avg Week KARUMA-GULU'!E67</f>
        <v>8.1008403361344534</v>
      </c>
      <c r="F67" s="49">
        <f>'Avg Week GULU-KARUMA'!F67+'Avg Week KARUMA-GULU'!F67</f>
        <v>3</v>
      </c>
      <c r="G67" s="49">
        <f>'Avg Week GULU-KARUMA'!G67+'Avg Week KARUMA-GULU'!G67</f>
        <v>0.92016806722689082</v>
      </c>
      <c r="H67" s="49">
        <f>'Avg Week GULU-KARUMA'!H67+'Avg Week KARUMA-GULU'!H67</f>
        <v>0</v>
      </c>
      <c r="I67" s="49">
        <f>'Avg Week GULU-KARUMA'!I67+'Avg Week KARUMA-GULU'!I67</f>
        <v>3.420168067226891</v>
      </c>
      <c r="J67" s="49">
        <f>'Avg Week GULU-KARUMA'!J67+'Avg Week KARUMA-GULU'!J67</f>
        <v>0.92016806722689082</v>
      </c>
      <c r="K67" s="49">
        <f>'Avg Week GULU-KARUMA'!K67+'Avg Week KARUMA-GULU'!K67</f>
        <v>0</v>
      </c>
      <c r="L67" s="49">
        <f>'Avg Week GULU-KARUMA'!L67+'Avg Week KARUMA-GULU'!L67</f>
        <v>4.6806722689075633</v>
      </c>
      <c r="M67" s="49">
        <f>'Avg Week GULU-KARUMA'!M67+'Avg Week KARUMA-GULU'!M67</f>
        <v>86</v>
      </c>
      <c r="N67" s="49">
        <f>'Avg Week GULU-KARUMA'!N67+'Avg Week KARUMA-GULU'!N67</f>
        <v>0</v>
      </c>
      <c r="O67" s="15">
        <f t="shared" si="0"/>
        <v>33.903361344537814</v>
      </c>
      <c r="P67" s="15">
        <f t="shared" si="1"/>
        <v>119.90336134453781</v>
      </c>
      <c r="R67" s="8"/>
      <c r="T67"/>
    </row>
    <row r="68" spans="2:20" ht="23.1" customHeight="1" x14ac:dyDescent="0.25">
      <c r="B68" s="23" t="s">
        <v>105</v>
      </c>
      <c r="C68" s="49">
        <f>'Avg Week GULU-KARUMA'!C68+'Avg Week KARUMA-GULU'!C68</f>
        <v>19.30252100840336</v>
      </c>
      <c r="D68" s="49">
        <f>'Avg Week GULU-KARUMA'!D68+'Avg Week KARUMA-GULU'!D68</f>
        <v>4.420168067226891</v>
      </c>
      <c r="E68" s="49">
        <f>'Avg Week GULU-KARUMA'!E68+'Avg Week KARUMA-GULU'!E68</f>
        <v>9.7605042016806713</v>
      </c>
      <c r="F68" s="49">
        <f>'Avg Week GULU-KARUMA'!F68+'Avg Week KARUMA-GULU'!F68</f>
        <v>1.5</v>
      </c>
      <c r="G68" s="49">
        <f>'Avg Week GULU-KARUMA'!G68+'Avg Week KARUMA-GULU'!G68</f>
        <v>0.5</v>
      </c>
      <c r="H68" s="49">
        <f>'Avg Week GULU-KARUMA'!H68+'Avg Week KARUMA-GULU'!H68</f>
        <v>0.5</v>
      </c>
      <c r="I68" s="49">
        <f>'Avg Week GULU-KARUMA'!I68+'Avg Week KARUMA-GULU'!I68</f>
        <v>5.920168067226891</v>
      </c>
      <c r="J68" s="49">
        <f>'Avg Week GULU-KARUMA'!J68+'Avg Week KARUMA-GULU'!J68</f>
        <v>0</v>
      </c>
      <c r="K68" s="49">
        <f>'Avg Week GULU-KARUMA'!K68+'Avg Week KARUMA-GULU'!K68</f>
        <v>0</v>
      </c>
      <c r="L68" s="49">
        <f>'Avg Week GULU-KARUMA'!L68+'Avg Week KARUMA-GULU'!L68</f>
        <v>4.6806722689075633</v>
      </c>
      <c r="M68" s="49">
        <f>'Avg Week GULU-KARUMA'!M68+'Avg Week KARUMA-GULU'!M68</f>
        <v>88</v>
      </c>
      <c r="N68" s="49">
        <f>'Avg Week GULU-KARUMA'!N68+'Avg Week KARUMA-GULU'!N68</f>
        <v>0</v>
      </c>
      <c r="O68" s="15">
        <f t="shared" si="0"/>
        <v>46.584033613445371</v>
      </c>
      <c r="P68" s="15">
        <f t="shared" si="1"/>
        <v>134.58403361344537</v>
      </c>
      <c r="R68" s="8"/>
      <c r="T68"/>
    </row>
    <row r="69" spans="2:20" ht="23.1" customHeight="1" x14ac:dyDescent="0.25">
      <c r="B69" s="23" t="s">
        <v>106</v>
      </c>
      <c r="C69" s="49">
        <f>'Avg Week GULU-KARUMA'!C69+'Avg Week KARUMA-GULU'!C69</f>
        <v>17.222689075630253</v>
      </c>
      <c r="D69" s="49">
        <f>'Avg Week GULU-KARUMA'!D69+'Avg Week KARUMA-GULU'!D69</f>
        <v>2.920168067226891</v>
      </c>
      <c r="E69" s="49">
        <f>'Avg Week GULU-KARUMA'!E69+'Avg Week KARUMA-GULU'!E69</f>
        <v>7.7605042016806722</v>
      </c>
      <c r="F69" s="49">
        <f>'Avg Week GULU-KARUMA'!F69+'Avg Week KARUMA-GULU'!F69</f>
        <v>1</v>
      </c>
      <c r="G69" s="49">
        <f>'Avg Week GULU-KARUMA'!G69+'Avg Week KARUMA-GULU'!G69</f>
        <v>0</v>
      </c>
      <c r="H69" s="49">
        <f>'Avg Week GULU-KARUMA'!H69+'Avg Week KARUMA-GULU'!H69</f>
        <v>0</v>
      </c>
      <c r="I69" s="49">
        <f>'Avg Week GULU-KARUMA'!I69+'Avg Week KARUMA-GULU'!I69</f>
        <v>2</v>
      </c>
      <c r="J69" s="49">
        <f>'Avg Week GULU-KARUMA'!J69+'Avg Week KARUMA-GULU'!J69</f>
        <v>2.420168067226891</v>
      </c>
      <c r="K69" s="49">
        <f>'Avg Week GULU-KARUMA'!K69+'Avg Week KARUMA-GULU'!K69</f>
        <v>0</v>
      </c>
      <c r="L69" s="49">
        <f>'Avg Week GULU-KARUMA'!L69+'Avg Week KARUMA-GULU'!L69</f>
        <v>4.1806722689075633</v>
      </c>
      <c r="M69" s="49">
        <f>'Avg Week GULU-KARUMA'!M69+'Avg Week KARUMA-GULU'!M69</f>
        <v>76</v>
      </c>
      <c r="N69" s="49">
        <f>'Avg Week GULU-KARUMA'!N69+'Avg Week KARUMA-GULU'!N69</f>
        <v>0</v>
      </c>
      <c r="O69" s="15">
        <f t="shared" si="0"/>
        <v>37.504201680672274</v>
      </c>
      <c r="P69" s="15">
        <f t="shared" si="1"/>
        <v>113.50420168067228</v>
      </c>
      <c r="R69" s="8"/>
      <c r="T69"/>
    </row>
    <row r="70" spans="2:20" ht="23.1" customHeight="1" x14ac:dyDescent="0.25">
      <c r="B70" s="23" t="s">
        <v>110</v>
      </c>
      <c r="C70" s="49">
        <f>'Avg Week GULU-KARUMA'!C70+'Avg Week KARUMA-GULU'!C70</f>
        <v>14.201680672268907</v>
      </c>
      <c r="D70" s="49">
        <f>'Avg Week GULU-KARUMA'!D70+'Avg Week KARUMA-GULU'!D70</f>
        <v>3.8403361344537816</v>
      </c>
      <c r="E70" s="49">
        <f>'Avg Week GULU-KARUMA'!E70+'Avg Week KARUMA-GULU'!E70</f>
        <v>8.6806722689075642</v>
      </c>
      <c r="F70" s="49">
        <f>'Avg Week GULU-KARUMA'!F70+'Avg Week KARUMA-GULU'!F70</f>
        <v>1.5</v>
      </c>
      <c r="G70" s="49">
        <f>'Avg Week GULU-KARUMA'!G70+'Avg Week KARUMA-GULU'!G70</f>
        <v>0.92016806722689082</v>
      </c>
      <c r="H70" s="49">
        <f>'Avg Week GULU-KARUMA'!H70+'Avg Week KARUMA-GULU'!H70</f>
        <v>0.5</v>
      </c>
      <c r="I70" s="49">
        <f>'Avg Week GULU-KARUMA'!I70+'Avg Week KARUMA-GULU'!I70</f>
        <v>4.420168067226891</v>
      </c>
      <c r="J70" s="49">
        <f>'Avg Week GULU-KARUMA'!J70+'Avg Week KARUMA-GULU'!J70</f>
        <v>0.5</v>
      </c>
      <c r="K70" s="49">
        <f>'Avg Week GULU-KARUMA'!K70+'Avg Week KARUMA-GULU'!K70</f>
        <v>0</v>
      </c>
      <c r="L70" s="49">
        <f>'Avg Week GULU-KARUMA'!L70+'Avg Week KARUMA-GULU'!L70</f>
        <v>4.1806722689075633</v>
      </c>
      <c r="M70" s="49">
        <f>'Avg Week GULU-KARUMA'!M70+'Avg Week KARUMA-GULU'!M70</f>
        <v>50</v>
      </c>
      <c r="N70" s="49">
        <f>'Avg Week GULU-KARUMA'!N70+'Avg Week KARUMA-GULU'!N70</f>
        <v>0</v>
      </c>
      <c r="O70" s="15">
        <f t="shared" si="0"/>
        <v>38.743697478991599</v>
      </c>
      <c r="P70" s="15">
        <f t="shared" si="1"/>
        <v>88.743697478991606</v>
      </c>
      <c r="R70" s="8"/>
      <c r="T70"/>
    </row>
    <row r="71" spans="2:20" ht="23.1" customHeight="1" x14ac:dyDescent="0.25">
      <c r="B71" s="23" t="s">
        <v>111</v>
      </c>
      <c r="C71" s="49">
        <f>'Avg Week GULU-KARUMA'!C71+'Avg Week KARUMA-GULU'!C71</f>
        <v>13.6218487394958</v>
      </c>
      <c r="D71" s="49">
        <f>'Avg Week GULU-KARUMA'!D71+'Avg Week KARUMA-GULU'!D71</f>
        <v>4.3403361344537821</v>
      </c>
      <c r="E71" s="49">
        <f>'Avg Week GULU-KARUMA'!E71+'Avg Week KARUMA-GULU'!E71</f>
        <v>9.6806722689075642</v>
      </c>
      <c r="F71" s="49">
        <f>'Avg Week GULU-KARUMA'!F71+'Avg Week KARUMA-GULU'!F71</f>
        <v>2</v>
      </c>
      <c r="G71" s="49">
        <f>'Avg Week GULU-KARUMA'!G71+'Avg Week KARUMA-GULU'!G71</f>
        <v>0</v>
      </c>
      <c r="H71" s="49">
        <f>'Avg Week GULU-KARUMA'!H71+'Avg Week KARUMA-GULU'!H71</f>
        <v>1.4201680672268908</v>
      </c>
      <c r="I71" s="49">
        <f>'Avg Week GULU-KARUMA'!I71+'Avg Week KARUMA-GULU'!I71</f>
        <v>3.420168067226891</v>
      </c>
      <c r="J71" s="49">
        <f>'Avg Week GULU-KARUMA'!J71+'Avg Week KARUMA-GULU'!J71</f>
        <v>3.3403361344537816</v>
      </c>
      <c r="K71" s="49">
        <f>'Avg Week GULU-KARUMA'!K71+'Avg Week KARUMA-GULU'!K71</f>
        <v>0</v>
      </c>
      <c r="L71" s="49">
        <f>'Avg Week GULU-KARUMA'!L71+'Avg Week KARUMA-GULU'!L71</f>
        <v>11.701680672268907</v>
      </c>
      <c r="M71" s="49">
        <f>'Avg Week GULU-KARUMA'!M71+'Avg Week KARUMA-GULU'!M71</f>
        <v>56</v>
      </c>
      <c r="N71" s="49">
        <f>'Avg Week GULU-KARUMA'!N71+'Avg Week KARUMA-GULU'!N71</f>
        <v>0</v>
      </c>
      <c r="O71" s="15">
        <f t="shared" si="0"/>
        <v>49.52521008403361</v>
      </c>
      <c r="P71" s="15">
        <f t="shared" si="1"/>
        <v>105.5252100840336</v>
      </c>
      <c r="R71" s="8"/>
      <c r="T71"/>
    </row>
    <row r="72" spans="2:20" ht="23.1" customHeight="1" x14ac:dyDescent="0.25">
      <c r="B72" s="23" t="s">
        <v>112</v>
      </c>
      <c r="C72" s="49">
        <f>'Avg Week GULU-KARUMA'!C72+'Avg Week KARUMA-GULU'!C72</f>
        <v>12.281512605042018</v>
      </c>
      <c r="D72" s="49">
        <f>'Avg Week GULU-KARUMA'!D72+'Avg Week KARUMA-GULU'!D72</f>
        <v>2.8403361344537816</v>
      </c>
      <c r="E72" s="49">
        <f>'Avg Week GULU-KARUMA'!E72+'Avg Week KARUMA-GULU'!E72</f>
        <v>7.1008403361344534</v>
      </c>
      <c r="F72" s="49">
        <f>'Avg Week GULU-KARUMA'!F72+'Avg Week KARUMA-GULU'!F72</f>
        <v>1</v>
      </c>
      <c r="G72" s="49">
        <f>'Avg Week GULU-KARUMA'!G72+'Avg Week KARUMA-GULU'!G72</f>
        <v>0.92016806722689082</v>
      </c>
      <c r="H72" s="49">
        <f>'Avg Week GULU-KARUMA'!H72+'Avg Week KARUMA-GULU'!H72</f>
        <v>0</v>
      </c>
      <c r="I72" s="49">
        <f>'Avg Week GULU-KARUMA'!I72+'Avg Week KARUMA-GULU'!I72</f>
        <v>8.1806722689075642</v>
      </c>
      <c r="J72" s="49">
        <f>'Avg Week GULU-KARUMA'!J72+'Avg Week KARUMA-GULU'!J72</f>
        <v>1.8403361344537816</v>
      </c>
      <c r="K72" s="49">
        <f>'Avg Week GULU-KARUMA'!K72+'Avg Week KARUMA-GULU'!K72</f>
        <v>0</v>
      </c>
      <c r="L72" s="49">
        <f>'Avg Week GULU-KARUMA'!L72+'Avg Week KARUMA-GULU'!L72</f>
        <v>4.6806722689075633</v>
      </c>
      <c r="M72" s="49">
        <f>'Avg Week GULU-KARUMA'!M72+'Avg Week KARUMA-GULU'!M72</f>
        <v>52</v>
      </c>
      <c r="N72" s="49">
        <f>'Avg Week GULU-KARUMA'!N72+'Avg Week KARUMA-GULU'!N72</f>
        <v>0.5</v>
      </c>
      <c r="O72" s="15">
        <f t="shared" si="0"/>
        <v>39.344537815126053</v>
      </c>
      <c r="P72" s="15">
        <f t="shared" si="1"/>
        <v>91.344537815126046</v>
      </c>
      <c r="R72" s="8"/>
      <c r="T72"/>
    </row>
    <row r="73" spans="2:20" ht="23.1" customHeight="1" x14ac:dyDescent="0.25">
      <c r="B73" s="23" t="s">
        <v>113</v>
      </c>
      <c r="C73" s="49">
        <f>'Avg Week GULU-KARUMA'!C73+'Avg Week KARUMA-GULU'!C73</f>
        <v>7.7605042016806722</v>
      </c>
      <c r="D73" s="49">
        <f>'Avg Week GULU-KARUMA'!D73+'Avg Week KARUMA-GULU'!D73</f>
        <v>6.1806722689075633</v>
      </c>
      <c r="E73" s="49">
        <f>'Avg Week GULU-KARUMA'!E73+'Avg Week KARUMA-GULU'!E73</f>
        <v>12.361344537815127</v>
      </c>
      <c r="F73" s="49">
        <f>'Avg Week GULU-KARUMA'!F73+'Avg Week KARUMA-GULU'!F73</f>
        <v>1.5</v>
      </c>
      <c r="G73" s="49">
        <f>'Avg Week GULU-KARUMA'!G73+'Avg Week KARUMA-GULU'!G73</f>
        <v>0.92016806722689082</v>
      </c>
      <c r="H73" s="49">
        <f>'Avg Week GULU-KARUMA'!H73+'Avg Week KARUMA-GULU'!H73</f>
        <v>0.5</v>
      </c>
      <c r="I73" s="49">
        <f>'Avg Week GULU-KARUMA'!I73+'Avg Week KARUMA-GULU'!I73</f>
        <v>3.420168067226891</v>
      </c>
      <c r="J73" s="49">
        <f>'Avg Week GULU-KARUMA'!J73+'Avg Week KARUMA-GULU'!J73</f>
        <v>0</v>
      </c>
      <c r="K73" s="49">
        <f>'Avg Week GULU-KARUMA'!K73+'Avg Week KARUMA-GULU'!K73</f>
        <v>0</v>
      </c>
      <c r="L73" s="49">
        <f>'Avg Week GULU-KARUMA'!L73+'Avg Week KARUMA-GULU'!L73</f>
        <v>3.8403361344537816</v>
      </c>
      <c r="M73" s="49">
        <f>'Avg Week GULU-KARUMA'!M73+'Avg Week KARUMA-GULU'!M73</f>
        <v>50</v>
      </c>
      <c r="N73" s="49">
        <f>'Avg Week GULU-KARUMA'!N73+'Avg Week KARUMA-GULU'!N73</f>
        <v>0</v>
      </c>
      <c r="O73" s="15">
        <f t="shared" si="0"/>
        <v>36.483193277310917</v>
      </c>
      <c r="P73" s="15">
        <f t="shared" si="1"/>
        <v>86.483193277310917</v>
      </c>
      <c r="R73" s="8"/>
      <c r="T73"/>
    </row>
    <row r="74" spans="2:20" ht="23.1" customHeight="1" x14ac:dyDescent="0.25">
      <c r="B74" s="23" t="s">
        <v>114</v>
      </c>
      <c r="C74" s="49">
        <f>'Avg Week GULU-KARUMA'!C74+'Avg Week KARUMA-GULU'!C74</f>
        <v>12.441176470588236</v>
      </c>
      <c r="D74" s="49">
        <f>'Avg Week GULU-KARUMA'!D74+'Avg Week KARUMA-GULU'!D74</f>
        <v>2.420168067226891</v>
      </c>
      <c r="E74" s="49">
        <f>'Avg Week GULU-KARUMA'!E74+'Avg Week KARUMA-GULU'!E74</f>
        <v>5.3403361344537821</v>
      </c>
      <c r="F74" s="49">
        <f>'Avg Week GULU-KARUMA'!F74+'Avg Week KARUMA-GULU'!F74</f>
        <v>2.5</v>
      </c>
      <c r="G74" s="49">
        <f>'Avg Week GULU-KARUMA'!G74+'Avg Week KARUMA-GULU'!G74</f>
        <v>0</v>
      </c>
      <c r="H74" s="49">
        <f>'Avg Week GULU-KARUMA'!H74+'Avg Week KARUMA-GULU'!H74</f>
        <v>0</v>
      </c>
      <c r="I74" s="49">
        <f>'Avg Week GULU-KARUMA'!I74+'Avg Week KARUMA-GULU'!I74</f>
        <v>3</v>
      </c>
      <c r="J74" s="49">
        <f>'Avg Week GULU-KARUMA'!J74+'Avg Week KARUMA-GULU'!J74</f>
        <v>0</v>
      </c>
      <c r="K74" s="49">
        <f>'Avg Week GULU-KARUMA'!K74+'Avg Week KARUMA-GULU'!K74</f>
        <v>0</v>
      </c>
      <c r="L74" s="49">
        <f>'Avg Week GULU-KARUMA'!L74+'Avg Week KARUMA-GULU'!L74</f>
        <v>1.4201680672268908</v>
      </c>
      <c r="M74" s="49">
        <f>'Avg Week GULU-KARUMA'!M74+'Avg Week KARUMA-GULU'!M74</f>
        <v>42</v>
      </c>
      <c r="N74" s="49">
        <f>'Avg Week GULU-KARUMA'!N74+'Avg Week KARUMA-GULU'!N74</f>
        <v>0</v>
      </c>
      <c r="O74" s="15">
        <f t="shared" ref="O74:O105" si="35">SUM(C74:L74,N74)</f>
        <v>27.121848739495796</v>
      </c>
      <c r="P74" s="15">
        <f t="shared" ref="P74:P105" si="36">SUM(C74:N74)</f>
        <v>69.121848739495789</v>
      </c>
      <c r="R74" s="8"/>
      <c r="T74"/>
    </row>
    <row r="75" spans="2:20" ht="23.1" customHeight="1" x14ac:dyDescent="0.25">
      <c r="B75" s="23" t="s">
        <v>115</v>
      </c>
      <c r="C75" s="49">
        <f>'Avg Week GULU-KARUMA'!C75+'Avg Week KARUMA-GULU'!C75</f>
        <v>9.8613445378151265</v>
      </c>
      <c r="D75" s="49">
        <f>'Avg Week GULU-KARUMA'!D75+'Avg Week KARUMA-GULU'!D75</f>
        <v>4.8403361344537821</v>
      </c>
      <c r="E75" s="49">
        <f>'Avg Week GULU-KARUMA'!E75+'Avg Week KARUMA-GULU'!E75</f>
        <v>10.180672268907564</v>
      </c>
      <c r="F75" s="49">
        <f>'Avg Week GULU-KARUMA'!F75+'Avg Week KARUMA-GULU'!F75</f>
        <v>0</v>
      </c>
      <c r="G75" s="49">
        <f>'Avg Week GULU-KARUMA'!G75+'Avg Week KARUMA-GULU'!G75</f>
        <v>0</v>
      </c>
      <c r="H75" s="49">
        <f>'Avg Week GULU-KARUMA'!H75+'Avg Week KARUMA-GULU'!H75</f>
        <v>1.4201680672268908</v>
      </c>
      <c r="I75" s="49">
        <f>'Avg Week GULU-KARUMA'!I75+'Avg Week KARUMA-GULU'!I75</f>
        <v>5.7605042016806722</v>
      </c>
      <c r="J75" s="49">
        <f>'Avg Week GULU-KARUMA'!J75+'Avg Week KARUMA-GULU'!J75</f>
        <v>1</v>
      </c>
      <c r="K75" s="49">
        <f>'Avg Week GULU-KARUMA'!K75+'Avg Week KARUMA-GULU'!K75</f>
        <v>0</v>
      </c>
      <c r="L75" s="49">
        <f>'Avg Week GULU-KARUMA'!L75+'Avg Week KARUMA-GULU'!L75</f>
        <v>2</v>
      </c>
      <c r="M75" s="49">
        <f>'Avg Week GULU-KARUMA'!M75+'Avg Week KARUMA-GULU'!M75</f>
        <v>30</v>
      </c>
      <c r="N75" s="49">
        <f>'Avg Week GULU-KARUMA'!N75+'Avg Week KARUMA-GULU'!N75</f>
        <v>0</v>
      </c>
      <c r="O75" s="15">
        <f t="shared" si="35"/>
        <v>35.063025210084035</v>
      </c>
      <c r="P75" s="15">
        <f t="shared" si="36"/>
        <v>65.063025210084035</v>
      </c>
      <c r="R75" s="8"/>
      <c r="T75"/>
    </row>
    <row r="76" spans="2:20" ht="23.1" customHeight="1" x14ac:dyDescent="0.25">
      <c r="B76" s="23" t="s">
        <v>116</v>
      </c>
      <c r="C76" s="49">
        <f>'Avg Week GULU-KARUMA'!C76+'Avg Week KARUMA-GULU'!C76</f>
        <v>8.6008403361344534</v>
      </c>
      <c r="D76" s="49">
        <f>'Avg Week GULU-KARUMA'!D76+'Avg Week KARUMA-GULU'!D76</f>
        <v>3.3403361344537816</v>
      </c>
      <c r="E76" s="49">
        <f>'Avg Week GULU-KARUMA'!E76+'Avg Week KARUMA-GULU'!E76</f>
        <v>8.1008403361344534</v>
      </c>
      <c r="F76" s="49">
        <f>'Avg Week GULU-KARUMA'!F76+'Avg Week KARUMA-GULU'!F76</f>
        <v>1.5</v>
      </c>
      <c r="G76" s="49">
        <f>'Avg Week GULU-KARUMA'!G76+'Avg Week KARUMA-GULU'!G76</f>
        <v>0</v>
      </c>
      <c r="H76" s="49">
        <f>'Avg Week GULU-KARUMA'!H76+'Avg Week KARUMA-GULU'!H76</f>
        <v>0.5</v>
      </c>
      <c r="I76" s="49">
        <f>'Avg Week GULU-KARUMA'!I76+'Avg Week KARUMA-GULU'!I76</f>
        <v>3.920168067226891</v>
      </c>
      <c r="J76" s="49">
        <f>'Avg Week GULU-KARUMA'!J76+'Avg Week KARUMA-GULU'!J76</f>
        <v>0.5</v>
      </c>
      <c r="K76" s="49">
        <f>'Avg Week GULU-KARUMA'!K76+'Avg Week KARUMA-GULU'!K76</f>
        <v>0.5</v>
      </c>
      <c r="L76" s="49">
        <f>'Avg Week GULU-KARUMA'!L76+'Avg Week KARUMA-GULU'!L76</f>
        <v>3</v>
      </c>
      <c r="M76" s="49">
        <f>'Avg Week GULU-KARUMA'!M76+'Avg Week KARUMA-GULU'!M76</f>
        <v>26</v>
      </c>
      <c r="N76" s="49">
        <f>'Avg Week GULU-KARUMA'!N76+'Avg Week KARUMA-GULU'!N76</f>
        <v>0</v>
      </c>
      <c r="O76" s="15">
        <f t="shared" si="35"/>
        <v>29.962184873949582</v>
      </c>
      <c r="P76" s="15">
        <f t="shared" si="36"/>
        <v>55.962184873949582</v>
      </c>
      <c r="R76" s="8"/>
      <c r="T76"/>
    </row>
    <row r="77" spans="2:20" ht="23.1" customHeight="1" x14ac:dyDescent="0.25">
      <c r="B77" s="23" t="s">
        <v>117</v>
      </c>
      <c r="C77" s="49">
        <f>'Avg Week GULU-KARUMA'!C77+'Avg Week KARUMA-GULU'!C77</f>
        <v>8.1008403361344534</v>
      </c>
      <c r="D77" s="49">
        <f>'Avg Week GULU-KARUMA'!D77+'Avg Week KARUMA-GULU'!D77</f>
        <v>6.8403361344537821</v>
      </c>
      <c r="E77" s="49">
        <f>'Avg Week GULU-KARUMA'!E77+'Avg Week KARUMA-GULU'!E77</f>
        <v>14.180672268907562</v>
      </c>
      <c r="F77" s="49">
        <f>'Avg Week GULU-KARUMA'!F77+'Avg Week KARUMA-GULU'!F77</f>
        <v>1.5</v>
      </c>
      <c r="G77" s="49">
        <f>'Avg Week GULU-KARUMA'!G77+'Avg Week KARUMA-GULU'!G77</f>
        <v>0.92016806722689082</v>
      </c>
      <c r="H77" s="49">
        <f>'Avg Week GULU-KARUMA'!H77+'Avg Week KARUMA-GULU'!H77</f>
        <v>0.5</v>
      </c>
      <c r="I77" s="49">
        <f>'Avg Week GULU-KARUMA'!I77+'Avg Week KARUMA-GULU'!I77</f>
        <v>6.2605042016806722</v>
      </c>
      <c r="J77" s="49">
        <f>'Avg Week GULU-KARUMA'!J77+'Avg Week KARUMA-GULU'!J77</f>
        <v>0.92016806722689082</v>
      </c>
      <c r="K77" s="49">
        <f>'Avg Week GULU-KARUMA'!K77+'Avg Week KARUMA-GULU'!K77</f>
        <v>0</v>
      </c>
      <c r="L77" s="49">
        <f>'Avg Week GULU-KARUMA'!L77+'Avg Week KARUMA-GULU'!L77</f>
        <v>6.2605042016806722</v>
      </c>
      <c r="M77" s="49">
        <f>'Avg Week GULU-KARUMA'!M77+'Avg Week KARUMA-GULU'!M77</f>
        <v>28.5</v>
      </c>
      <c r="N77" s="49">
        <f>'Avg Week GULU-KARUMA'!N77+'Avg Week KARUMA-GULU'!N77</f>
        <v>0</v>
      </c>
      <c r="O77" s="15">
        <f t="shared" si="35"/>
        <v>45.483193277310924</v>
      </c>
      <c r="P77" s="15">
        <f t="shared" si="36"/>
        <v>73.983193277310932</v>
      </c>
      <c r="R77" s="8"/>
      <c r="T77"/>
    </row>
    <row r="78" spans="2:20" ht="23.1" customHeight="1" x14ac:dyDescent="0.25">
      <c r="B78" s="24" t="s">
        <v>118</v>
      </c>
      <c r="C78" s="49">
        <f>'Avg Week GULU-KARUMA'!C78+'Avg Week KARUMA-GULU'!C78</f>
        <v>12.861344537815127</v>
      </c>
      <c r="D78" s="49">
        <f>'Avg Week GULU-KARUMA'!D78+'Avg Week KARUMA-GULU'!D78</f>
        <v>3.8403361344537816</v>
      </c>
      <c r="E78" s="49">
        <f>'Avg Week GULU-KARUMA'!E78+'Avg Week KARUMA-GULU'!E78</f>
        <v>8.1806722689075642</v>
      </c>
      <c r="F78" s="49">
        <f>'Avg Week GULU-KARUMA'!F78+'Avg Week KARUMA-GULU'!F78</f>
        <v>2</v>
      </c>
      <c r="G78" s="49">
        <f>'Avg Week GULU-KARUMA'!G78+'Avg Week KARUMA-GULU'!G78</f>
        <v>0.92016806722689082</v>
      </c>
      <c r="H78" s="49">
        <f>'Avg Week GULU-KARUMA'!H78+'Avg Week KARUMA-GULU'!H78</f>
        <v>1.4201680672268908</v>
      </c>
      <c r="I78" s="49">
        <f>'Avg Week GULU-KARUMA'!I78+'Avg Week KARUMA-GULU'!I78</f>
        <v>6.3403361344537821</v>
      </c>
      <c r="J78" s="49">
        <f>'Avg Week GULU-KARUMA'!J78+'Avg Week KARUMA-GULU'!J78</f>
        <v>1.9201680672268908</v>
      </c>
      <c r="K78" s="49">
        <f>'Avg Week GULU-KARUMA'!K78+'Avg Week KARUMA-GULU'!K78</f>
        <v>0</v>
      </c>
      <c r="L78" s="49">
        <f>'Avg Week GULU-KARUMA'!L78+'Avg Week KARUMA-GULU'!L78</f>
        <v>5.2605042016806722</v>
      </c>
      <c r="M78" s="49">
        <f>'Avg Week GULU-KARUMA'!M78+'Avg Week KARUMA-GULU'!M78</f>
        <v>28</v>
      </c>
      <c r="N78" s="49">
        <f>'Avg Week GULU-KARUMA'!N78+'Avg Week KARUMA-GULU'!N78</f>
        <v>0.5</v>
      </c>
      <c r="O78" s="15">
        <f t="shared" si="35"/>
        <v>43.243697478991599</v>
      </c>
      <c r="P78" s="15">
        <f t="shared" si="36"/>
        <v>71.243697478991606</v>
      </c>
      <c r="R78" s="8"/>
      <c r="T78"/>
    </row>
    <row r="79" spans="2:20" ht="23.1" customHeight="1" x14ac:dyDescent="0.25">
      <c r="B79" s="23" t="s">
        <v>119</v>
      </c>
      <c r="C79" s="49">
        <f>'Avg Week GULU-KARUMA'!C79+'Avg Week KARUMA-GULU'!C79</f>
        <v>9.8613445378151265</v>
      </c>
      <c r="D79" s="49">
        <f>'Avg Week GULU-KARUMA'!D79+'Avg Week KARUMA-GULU'!D79</f>
        <v>2.420168067226891</v>
      </c>
      <c r="E79" s="49">
        <f>'Avg Week GULU-KARUMA'!E79+'Avg Week KARUMA-GULU'!E79</f>
        <v>4.8403361344537821</v>
      </c>
      <c r="F79" s="49">
        <f>'Avg Week GULU-KARUMA'!F79+'Avg Week KARUMA-GULU'!F79</f>
        <v>0.5</v>
      </c>
      <c r="G79" s="49">
        <f>'Avg Week GULU-KARUMA'!G79+'Avg Week KARUMA-GULU'!G79</f>
        <v>1.4201680672268908</v>
      </c>
      <c r="H79" s="49">
        <f>'Avg Week GULU-KARUMA'!H79+'Avg Week KARUMA-GULU'!H79</f>
        <v>0.92016806722689082</v>
      </c>
      <c r="I79" s="49">
        <f>'Avg Week GULU-KARUMA'!I79+'Avg Week KARUMA-GULU'!I79</f>
        <v>2.920168067226891</v>
      </c>
      <c r="J79" s="49">
        <f>'Avg Week GULU-KARUMA'!J79+'Avg Week KARUMA-GULU'!J79</f>
        <v>1.8403361344537816</v>
      </c>
      <c r="K79" s="49">
        <f>'Avg Week GULU-KARUMA'!K79+'Avg Week KARUMA-GULU'!K79</f>
        <v>0</v>
      </c>
      <c r="L79" s="49">
        <f>'Avg Week GULU-KARUMA'!L79+'Avg Week KARUMA-GULU'!L79</f>
        <v>7.6008403361344534</v>
      </c>
      <c r="M79" s="49">
        <f>'Avg Week GULU-KARUMA'!M79+'Avg Week KARUMA-GULU'!M79</f>
        <v>29.5</v>
      </c>
      <c r="N79" s="49">
        <f>'Avg Week GULU-KARUMA'!N79+'Avg Week KARUMA-GULU'!N79</f>
        <v>0</v>
      </c>
      <c r="O79" s="15">
        <f t="shared" si="35"/>
        <v>32.32352941176471</v>
      </c>
      <c r="P79" s="15">
        <f t="shared" si="36"/>
        <v>61.82352941176471</v>
      </c>
      <c r="R79" s="8"/>
      <c r="T79"/>
    </row>
    <row r="80" spans="2:20" ht="23.1" customHeight="1" x14ac:dyDescent="0.25">
      <c r="B80" s="25" t="s">
        <v>120</v>
      </c>
      <c r="C80" s="49">
        <f>'Avg Week GULU-KARUMA'!C80+'Avg Week KARUMA-GULU'!C80</f>
        <v>12.701680672268907</v>
      </c>
      <c r="D80" s="49">
        <f>'Avg Week GULU-KARUMA'!D80+'Avg Week KARUMA-GULU'!D80</f>
        <v>4.8403361344537821</v>
      </c>
      <c r="E80" s="49">
        <f>'Avg Week GULU-KARUMA'!E80+'Avg Week KARUMA-GULU'!E80</f>
        <v>10.600840336134453</v>
      </c>
      <c r="F80" s="49">
        <f>'Avg Week GULU-KARUMA'!F80+'Avg Week KARUMA-GULU'!F80</f>
        <v>2.7605042016806722</v>
      </c>
      <c r="G80" s="49">
        <f>'Avg Week GULU-KARUMA'!G80+'Avg Week KARUMA-GULU'!G80</f>
        <v>0</v>
      </c>
      <c r="H80" s="49">
        <f>'Avg Week GULU-KARUMA'!H80+'Avg Week KARUMA-GULU'!H80</f>
        <v>0</v>
      </c>
      <c r="I80" s="49">
        <f>'Avg Week GULU-KARUMA'!I80+'Avg Week KARUMA-GULU'!I80</f>
        <v>4.420168067226891</v>
      </c>
      <c r="J80" s="49">
        <f>'Avg Week GULU-KARUMA'!J80+'Avg Week KARUMA-GULU'!J80</f>
        <v>0</v>
      </c>
      <c r="K80" s="49">
        <f>'Avg Week GULU-KARUMA'!K80+'Avg Week KARUMA-GULU'!K80</f>
        <v>0</v>
      </c>
      <c r="L80" s="49">
        <f>'Avg Week GULU-KARUMA'!L80+'Avg Week KARUMA-GULU'!L80</f>
        <v>4.6806722689075633</v>
      </c>
      <c r="M80" s="49">
        <f>'Avg Week GULU-KARUMA'!M80+'Avg Week KARUMA-GULU'!M80</f>
        <v>20.5</v>
      </c>
      <c r="N80" s="49">
        <f>'Avg Week GULU-KARUMA'!N80+'Avg Week KARUMA-GULU'!N80</f>
        <v>0</v>
      </c>
      <c r="O80" s="15">
        <f t="shared" si="35"/>
        <v>40.004201680672267</v>
      </c>
      <c r="P80" s="15">
        <f t="shared" si="36"/>
        <v>60.504201680672267</v>
      </c>
      <c r="R80" s="8"/>
      <c r="T80"/>
    </row>
    <row r="81" spans="2:20" ht="23.1" customHeight="1" x14ac:dyDescent="0.25">
      <c r="B81" s="23" t="s">
        <v>121</v>
      </c>
      <c r="C81" s="49">
        <f>'Avg Week GULU-KARUMA'!C81+'Avg Week KARUMA-GULU'!C81</f>
        <v>10.100840336134453</v>
      </c>
      <c r="D81" s="49">
        <f>'Avg Week GULU-KARUMA'!D81+'Avg Week KARUMA-GULU'!D81</f>
        <v>2.920168067226891</v>
      </c>
      <c r="E81" s="49">
        <f>'Avg Week GULU-KARUMA'!E81+'Avg Week KARUMA-GULU'!E81</f>
        <v>5.8403361344537821</v>
      </c>
      <c r="F81" s="49">
        <f>'Avg Week GULU-KARUMA'!F81+'Avg Week KARUMA-GULU'!F81</f>
        <v>1.9201680672268908</v>
      </c>
      <c r="G81" s="49">
        <f>'Avg Week GULU-KARUMA'!G81+'Avg Week KARUMA-GULU'!G81</f>
        <v>0</v>
      </c>
      <c r="H81" s="49">
        <f>'Avg Week GULU-KARUMA'!H81+'Avg Week KARUMA-GULU'!H81</f>
        <v>1</v>
      </c>
      <c r="I81" s="49">
        <f>'Avg Week GULU-KARUMA'!I81+'Avg Week KARUMA-GULU'!I81</f>
        <v>4.2605042016806722</v>
      </c>
      <c r="J81" s="49">
        <f>'Avg Week GULU-KARUMA'!J81+'Avg Week KARUMA-GULU'!J81</f>
        <v>2.3403361344537816</v>
      </c>
      <c r="K81" s="49">
        <f>'Avg Week GULU-KARUMA'!K81+'Avg Week KARUMA-GULU'!K81</f>
        <v>0</v>
      </c>
      <c r="L81" s="49">
        <f>'Avg Week GULU-KARUMA'!L81+'Avg Week KARUMA-GULU'!L81</f>
        <v>5.2605042016806722</v>
      </c>
      <c r="M81" s="49">
        <f>'Avg Week GULU-KARUMA'!M81+'Avg Week KARUMA-GULU'!M81</f>
        <v>30</v>
      </c>
      <c r="N81" s="49">
        <f>'Avg Week GULU-KARUMA'!N81+'Avg Week KARUMA-GULU'!N81</f>
        <v>0</v>
      </c>
      <c r="O81" s="15">
        <f t="shared" si="35"/>
        <v>33.642857142857146</v>
      </c>
      <c r="P81" s="15">
        <f t="shared" si="36"/>
        <v>63.642857142857146</v>
      </c>
      <c r="R81" s="8"/>
      <c r="T81"/>
    </row>
    <row r="82" spans="2:20" ht="23.1" customHeight="1" x14ac:dyDescent="0.25">
      <c r="B82" s="24" t="s">
        <v>122</v>
      </c>
      <c r="C82" s="49">
        <f>'Avg Week GULU-KARUMA'!C82+'Avg Week KARUMA-GULU'!C82</f>
        <v>8.0210084033613445</v>
      </c>
      <c r="D82" s="49">
        <f>'Avg Week GULU-KARUMA'!D82+'Avg Week KARUMA-GULU'!D82</f>
        <v>3.7605042016806722</v>
      </c>
      <c r="E82" s="49">
        <f>'Avg Week GULU-KARUMA'!E82+'Avg Week KARUMA-GULU'!E82</f>
        <v>8.0210084033613445</v>
      </c>
      <c r="F82" s="49">
        <f>'Avg Week GULU-KARUMA'!F82+'Avg Week KARUMA-GULU'!F82</f>
        <v>1</v>
      </c>
      <c r="G82" s="49">
        <f>'Avg Week GULU-KARUMA'!G82+'Avg Week KARUMA-GULU'!G82</f>
        <v>0.92016806722689082</v>
      </c>
      <c r="H82" s="49">
        <f>'Avg Week GULU-KARUMA'!H82+'Avg Week KARUMA-GULU'!H82</f>
        <v>1</v>
      </c>
      <c r="I82" s="49">
        <f>'Avg Week GULU-KARUMA'!I82+'Avg Week KARUMA-GULU'!I82</f>
        <v>6.7605042016806722</v>
      </c>
      <c r="J82" s="49">
        <f>'Avg Week GULU-KARUMA'!J82+'Avg Week KARUMA-GULU'!J82</f>
        <v>0.92016806722689082</v>
      </c>
      <c r="K82" s="49">
        <f>'Avg Week GULU-KARUMA'!K82+'Avg Week KARUMA-GULU'!K82</f>
        <v>0</v>
      </c>
      <c r="L82" s="49">
        <f>'Avg Week GULU-KARUMA'!L82+'Avg Week KARUMA-GULU'!L82</f>
        <v>10.180672268907564</v>
      </c>
      <c r="M82" s="49">
        <f>'Avg Week GULU-KARUMA'!M82+'Avg Week KARUMA-GULU'!M82</f>
        <v>19</v>
      </c>
      <c r="N82" s="49">
        <f>'Avg Week GULU-KARUMA'!N82+'Avg Week KARUMA-GULU'!N82</f>
        <v>0</v>
      </c>
      <c r="O82" s="15">
        <f t="shared" si="35"/>
        <v>40.584033613445371</v>
      </c>
      <c r="P82" s="15">
        <f t="shared" si="36"/>
        <v>59.584033613445371</v>
      </c>
      <c r="R82" s="8"/>
      <c r="T82"/>
    </row>
    <row r="83" spans="2:20" ht="23.1" customHeight="1" x14ac:dyDescent="0.25">
      <c r="B83" s="23" t="s">
        <v>123</v>
      </c>
      <c r="C83" s="49">
        <f>'Avg Week GULU-KARUMA'!C83+'Avg Week KARUMA-GULU'!C83</f>
        <v>7.1008403361344534</v>
      </c>
      <c r="D83" s="49">
        <f>'Avg Week GULU-KARUMA'!D83+'Avg Week KARUMA-GULU'!D83</f>
        <v>4.2605042016806722</v>
      </c>
      <c r="E83" s="49">
        <f>'Avg Week GULU-KARUMA'!E83+'Avg Week KARUMA-GULU'!E83</f>
        <v>9.5210084033613445</v>
      </c>
      <c r="F83" s="49">
        <f>'Avg Week GULU-KARUMA'!F83+'Avg Week KARUMA-GULU'!F83</f>
        <v>0</v>
      </c>
      <c r="G83" s="49">
        <f>'Avg Week GULU-KARUMA'!G83+'Avg Week KARUMA-GULU'!G83</f>
        <v>2.7605042016806722</v>
      </c>
      <c r="H83" s="49">
        <f>'Avg Week GULU-KARUMA'!H83+'Avg Week KARUMA-GULU'!H83</f>
        <v>0</v>
      </c>
      <c r="I83" s="49">
        <f>'Avg Week GULU-KARUMA'!I83+'Avg Week KARUMA-GULU'!I83</f>
        <v>2.5</v>
      </c>
      <c r="J83" s="49">
        <f>'Avg Week GULU-KARUMA'!J83+'Avg Week KARUMA-GULU'!J83</f>
        <v>0.5</v>
      </c>
      <c r="K83" s="49">
        <f>'Avg Week GULU-KARUMA'!K83+'Avg Week KARUMA-GULU'!K83</f>
        <v>0</v>
      </c>
      <c r="L83" s="49">
        <f>'Avg Week GULU-KARUMA'!L83+'Avg Week KARUMA-GULU'!L83</f>
        <v>4.3403361344537821</v>
      </c>
      <c r="M83" s="49">
        <f>'Avg Week GULU-KARUMA'!M83+'Avg Week KARUMA-GULU'!M83</f>
        <v>18</v>
      </c>
      <c r="N83" s="49">
        <f>'Avg Week GULU-KARUMA'!N83+'Avg Week KARUMA-GULU'!N83</f>
        <v>0</v>
      </c>
      <c r="O83" s="15">
        <f t="shared" si="35"/>
        <v>30.983193277310924</v>
      </c>
      <c r="P83" s="15">
        <f t="shared" si="36"/>
        <v>48.983193277310924</v>
      </c>
      <c r="R83" s="8"/>
      <c r="T83"/>
    </row>
    <row r="84" spans="2:20" ht="23.1" customHeight="1" x14ac:dyDescent="0.25">
      <c r="B84" s="25" t="s">
        <v>124</v>
      </c>
      <c r="C84" s="49">
        <f>'Avg Week GULU-KARUMA'!C84+'Avg Week KARUMA-GULU'!C84</f>
        <v>6.6806722689075633</v>
      </c>
      <c r="D84" s="49">
        <f>'Avg Week GULU-KARUMA'!D84+'Avg Week KARUMA-GULU'!D84</f>
        <v>5.3403361344537821</v>
      </c>
      <c r="E84" s="49">
        <f>'Avg Week GULU-KARUMA'!E84+'Avg Week KARUMA-GULU'!E84</f>
        <v>11.180672268907564</v>
      </c>
      <c r="F84" s="49">
        <f>'Avg Week GULU-KARUMA'!F84+'Avg Week KARUMA-GULU'!F84</f>
        <v>4.2605042016806722</v>
      </c>
      <c r="G84" s="49">
        <f>'Avg Week GULU-KARUMA'!G84+'Avg Week KARUMA-GULU'!G84</f>
        <v>1.4201680672268908</v>
      </c>
      <c r="H84" s="49">
        <f>'Avg Week GULU-KARUMA'!H84+'Avg Week KARUMA-GULU'!H84</f>
        <v>2.7605042016806722</v>
      </c>
      <c r="I84" s="49">
        <f>'Avg Week GULU-KARUMA'!I84+'Avg Week KARUMA-GULU'!I84</f>
        <v>3.420168067226891</v>
      </c>
      <c r="J84" s="49">
        <f>'Avg Week GULU-KARUMA'!J84+'Avg Week KARUMA-GULU'!J84</f>
        <v>0.5</v>
      </c>
      <c r="K84" s="49">
        <f>'Avg Week GULU-KARUMA'!K84+'Avg Week KARUMA-GULU'!K84</f>
        <v>0</v>
      </c>
      <c r="L84" s="49">
        <f>'Avg Week GULU-KARUMA'!L84+'Avg Week KARUMA-GULU'!L84</f>
        <v>6.2605042016806722</v>
      </c>
      <c r="M84" s="49">
        <f>'Avg Week GULU-KARUMA'!M84+'Avg Week KARUMA-GULU'!M84</f>
        <v>10</v>
      </c>
      <c r="N84" s="49">
        <f>'Avg Week GULU-KARUMA'!N84+'Avg Week KARUMA-GULU'!N84</f>
        <v>0</v>
      </c>
      <c r="O84" s="15">
        <f t="shared" si="35"/>
        <v>41.82352941176471</v>
      </c>
      <c r="P84" s="15">
        <f t="shared" si="36"/>
        <v>51.82352941176471</v>
      </c>
      <c r="R84" s="8"/>
      <c r="T84"/>
    </row>
    <row r="85" spans="2:20" ht="23.1" customHeight="1" x14ac:dyDescent="0.25">
      <c r="B85" s="23" t="s">
        <v>125</v>
      </c>
      <c r="C85" s="49">
        <f>'Avg Week GULU-KARUMA'!C85+'Avg Week KARUMA-GULU'!C85</f>
        <v>10.021008403361344</v>
      </c>
      <c r="D85" s="49">
        <f>'Avg Week GULU-KARUMA'!D85+'Avg Week KARUMA-GULU'!D85</f>
        <v>5.7605042016806722</v>
      </c>
      <c r="E85" s="49">
        <f>'Avg Week GULU-KARUMA'!E85+'Avg Week KARUMA-GULU'!E85</f>
        <v>12.021008403361344</v>
      </c>
      <c r="F85" s="49">
        <f>'Avg Week GULU-KARUMA'!F85+'Avg Week KARUMA-GULU'!F85</f>
        <v>3.3403361344537816</v>
      </c>
      <c r="G85" s="49">
        <f>'Avg Week GULU-KARUMA'!G85+'Avg Week KARUMA-GULU'!G85</f>
        <v>0</v>
      </c>
      <c r="H85" s="49">
        <f>'Avg Week GULU-KARUMA'!H85+'Avg Week KARUMA-GULU'!H85</f>
        <v>1</v>
      </c>
      <c r="I85" s="49">
        <f>'Avg Week GULU-KARUMA'!I85+'Avg Week KARUMA-GULU'!I85</f>
        <v>4.8403361344537821</v>
      </c>
      <c r="J85" s="49">
        <f>'Avg Week GULU-KARUMA'!J85+'Avg Week KARUMA-GULU'!J85</f>
        <v>0</v>
      </c>
      <c r="K85" s="49">
        <f>'Avg Week GULU-KARUMA'!K85+'Avg Week KARUMA-GULU'!K85</f>
        <v>0</v>
      </c>
      <c r="L85" s="49">
        <f>'Avg Week GULU-KARUMA'!L85+'Avg Week KARUMA-GULU'!L85</f>
        <v>3.7605042016806722</v>
      </c>
      <c r="M85" s="49">
        <f>'Avg Week GULU-KARUMA'!M85+'Avg Week KARUMA-GULU'!M85</f>
        <v>4</v>
      </c>
      <c r="N85" s="49">
        <f>'Avg Week GULU-KARUMA'!N85+'Avg Week KARUMA-GULU'!N85</f>
        <v>0</v>
      </c>
      <c r="O85" s="15">
        <f t="shared" si="35"/>
        <v>40.743697478991592</v>
      </c>
      <c r="P85" s="15">
        <f t="shared" si="36"/>
        <v>44.743697478991592</v>
      </c>
      <c r="R85" s="8"/>
      <c r="T85"/>
    </row>
    <row r="86" spans="2:20" ht="23.1" customHeight="1" x14ac:dyDescent="0.25">
      <c r="B86" s="24" t="s">
        <v>126</v>
      </c>
      <c r="C86" s="49">
        <f>'Avg Week GULU-KARUMA'!C86+'Avg Week KARUMA-GULU'!C86</f>
        <v>7.1008403361344534</v>
      </c>
      <c r="D86" s="49">
        <f>'Avg Week GULU-KARUMA'!D86+'Avg Week KARUMA-GULU'!D86</f>
        <v>1</v>
      </c>
      <c r="E86" s="49">
        <f>'Avg Week GULU-KARUMA'!E86+'Avg Week KARUMA-GULU'!E86</f>
        <v>3.420168067226891</v>
      </c>
      <c r="F86" s="49">
        <f>'Avg Week GULU-KARUMA'!F86+'Avg Week KARUMA-GULU'!F86</f>
        <v>2</v>
      </c>
      <c r="G86" s="49">
        <f>'Avg Week GULU-KARUMA'!G86+'Avg Week KARUMA-GULU'!G86</f>
        <v>0</v>
      </c>
      <c r="H86" s="49">
        <f>'Avg Week GULU-KARUMA'!H86+'Avg Week KARUMA-GULU'!H86</f>
        <v>1</v>
      </c>
      <c r="I86" s="49">
        <f>'Avg Week GULU-KARUMA'!I86+'Avg Week KARUMA-GULU'!I86</f>
        <v>9.1008403361344534</v>
      </c>
      <c r="J86" s="49">
        <f>'Avg Week GULU-KARUMA'!J86+'Avg Week KARUMA-GULU'!J86</f>
        <v>1</v>
      </c>
      <c r="K86" s="49">
        <f>'Avg Week GULU-KARUMA'!K86+'Avg Week KARUMA-GULU'!K86</f>
        <v>0</v>
      </c>
      <c r="L86" s="49">
        <f>'Avg Week GULU-KARUMA'!L86+'Avg Week KARUMA-GULU'!L86</f>
        <v>2</v>
      </c>
      <c r="M86" s="49">
        <f>'Avg Week GULU-KARUMA'!M86+'Avg Week KARUMA-GULU'!M86</f>
        <v>0</v>
      </c>
      <c r="N86" s="49">
        <f>'Avg Week GULU-KARUMA'!N86+'Avg Week KARUMA-GULU'!N86</f>
        <v>0</v>
      </c>
      <c r="O86" s="15">
        <f t="shared" si="35"/>
        <v>26.621848739495796</v>
      </c>
      <c r="P86" s="15">
        <f t="shared" si="36"/>
        <v>26.621848739495796</v>
      </c>
      <c r="R86" s="8"/>
      <c r="T86"/>
    </row>
    <row r="87" spans="2:20" ht="23.1" customHeight="1" x14ac:dyDescent="0.25">
      <c r="B87" s="23" t="s">
        <v>127</v>
      </c>
      <c r="C87" s="49">
        <f>'Avg Week GULU-KARUMA'!C87+'Avg Week KARUMA-GULU'!C87</f>
        <v>3.5</v>
      </c>
      <c r="D87" s="49">
        <f>'Avg Week GULU-KARUMA'!D87+'Avg Week KARUMA-GULU'!D87</f>
        <v>2</v>
      </c>
      <c r="E87" s="49">
        <f>'Avg Week GULU-KARUMA'!E87+'Avg Week KARUMA-GULU'!E87</f>
        <v>4.920168067226891</v>
      </c>
      <c r="F87" s="49">
        <f>'Avg Week GULU-KARUMA'!F87+'Avg Week KARUMA-GULU'!F87</f>
        <v>2.920168067226891</v>
      </c>
      <c r="G87" s="49">
        <f>'Avg Week GULU-KARUMA'!G87+'Avg Week KARUMA-GULU'!G87</f>
        <v>0</v>
      </c>
      <c r="H87" s="49">
        <f>'Avg Week GULU-KARUMA'!H87+'Avg Week KARUMA-GULU'!H87</f>
        <v>0.5</v>
      </c>
      <c r="I87" s="49">
        <f>'Avg Week GULU-KARUMA'!I87+'Avg Week KARUMA-GULU'!I87</f>
        <v>3</v>
      </c>
      <c r="J87" s="49">
        <f>'Avg Week GULU-KARUMA'!J87+'Avg Week KARUMA-GULU'!J87</f>
        <v>1.5</v>
      </c>
      <c r="K87" s="49">
        <f>'Avg Week GULU-KARUMA'!K87+'Avg Week KARUMA-GULU'!K87</f>
        <v>0</v>
      </c>
      <c r="L87" s="49">
        <f>'Avg Week GULU-KARUMA'!L87+'Avg Week KARUMA-GULU'!L87</f>
        <v>1.5</v>
      </c>
      <c r="M87" s="49">
        <f>'Avg Week GULU-KARUMA'!M87+'Avg Week KARUMA-GULU'!M87</f>
        <v>2</v>
      </c>
      <c r="N87" s="49">
        <f>'Avg Week GULU-KARUMA'!N87+'Avg Week KARUMA-GULU'!N87</f>
        <v>0</v>
      </c>
      <c r="O87" s="15">
        <f t="shared" si="35"/>
        <v>19.840336134453782</v>
      </c>
      <c r="P87" s="15">
        <f t="shared" si="36"/>
        <v>21.840336134453782</v>
      </c>
      <c r="R87" s="8"/>
      <c r="T87"/>
    </row>
    <row r="88" spans="2:20" ht="23.1" customHeight="1" x14ac:dyDescent="0.25">
      <c r="B88" s="25" t="s">
        <v>128</v>
      </c>
      <c r="C88" s="49">
        <f>'Avg Week GULU-KARUMA'!C88+'Avg Week KARUMA-GULU'!C88</f>
        <v>13.6218487394958</v>
      </c>
      <c r="D88" s="49">
        <f>'Avg Week GULU-KARUMA'!D88+'Avg Week KARUMA-GULU'!D88</f>
        <v>5.2605042016806722</v>
      </c>
      <c r="E88" s="49">
        <f>'Avg Week GULU-KARUMA'!E88+'Avg Week KARUMA-GULU'!E88</f>
        <v>12.441176470588236</v>
      </c>
      <c r="F88" s="49">
        <f>'Avg Week GULU-KARUMA'!F88+'Avg Week KARUMA-GULU'!F88</f>
        <v>3</v>
      </c>
      <c r="G88" s="49">
        <f>'Avg Week GULU-KARUMA'!G88+'Avg Week KARUMA-GULU'!G88</f>
        <v>0.92016806722689082</v>
      </c>
      <c r="H88" s="49">
        <f>'Avg Week GULU-KARUMA'!H88+'Avg Week KARUMA-GULU'!H88</f>
        <v>0.5</v>
      </c>
      <c r="I88" s="49">
        <f>'Avg Week GULU-KARUMA'!I88+'Avg Week KARUMA-GULU'!I88</f>
        <v>1.9201680672268908</v>
      </c>
      <c r="J88" s="49">
        <f>'Avg Week GULU-KARUMA'!J88+'Avg Week KARUMA-GULU'!J88</f>
        <v>0</v>
      </c>
      <c r="K88" s="49">
        <f>'Avg Week GULU-KARUMA'!K88+'Avg Week KARUMA-GULU'!K88</f>
        <v>0.5</v>
      </c>
      <c r="L88" s="49">
        <f>'Avg Week GULU-KARUMA'!L88+'Avg Week KARUMA-GULU'!L88</f>
        <v>2.920168067226891</v>
      </c>
      <c r="M88" s="49">
        <f>'Avg Week GULU-KARUMA'!M88+'Avg Week KARUMA-GULU'!M88</f>
        <v>4</v>
      </c>
      <c r="N88" s="49">
        <f>'Avg Week GULU-KARUMA'!N88+'Avg Week KARUMA-GULU'!N88</f>
        <v>0</v>
      </c>
      <c r="O88" s="15">
        <f t="shared" si="35"/>
        <v>41.084033613445378</v>
      </c>
      <c r="P88" s="15">
        <f t="shared" si="36"/>
        <v>45.084033613445378</v>
      </c>
      <c r="R88" s="8"/>
      <c r="T88"/>
    </row>
    <row r="89" spans="2:20" ht="23.1" customHeight="1" x14ac:dyDescent="0.25">
      <c r="B89" s="23" t="s">
        <v>129</v>
      </c>
      <c r="C89" s="49">
        <f>'Avg Week GULU-KARUMA'!C89+'Avg Week KARUMA-GULU'!C89</f>
        <v>10.861344537815127</v>
      </c>
      <c r="D89" s="49">
        <f>'Avg Week GULU-KARUMA'!D89+'Avg Week KARUMA-GULU'!D89</f>
        <v>2.420168067226891</v>
      </c>
      <c r="E89" s="49">
        <f>'Avg Week GULU-KARUMA'!E89+'Avg Week KARUMA-GULU'!E89</f>
        <v>5.7605042016806722</v>
      </c>
      <c r="F89" s="49">
        <f>'Avg Week GULU-KARUMA'!F89+'Avg Week KARUMA-GULU'!F89</f>
        <v>0.5</v>
      </c>
      <c r="G89" s="49">
        <f>'Avg Week GULU-KARUMA'!G89+'Avg Week KARUMA-GULU'!G89</f>
        <v>0</v>
      </c>
      <c r="H89" s="49">
        <f>'Avg Week GULU-KARUMA'!H89+'Avg Week KARUMA-GULU'!H89</f>
        <v>0</v>
      </c>
      <c r="I89" s="49">
        <f>'Avg Week GULU-KARUMA'!I89+'Avg Week KARUMA-GULU'!I89</f>
        <v>6.7605042016806722</v>
      </c>
      <c r="J89" s="49">
        <f>'Avg Week GULU-KARUMA'!J89+'Avg Week KARUMA-GULU'!J89</f>
        <v>1</v>
      </c>
      <c r="K89" s="49">
        <f>'Avg Week GULU-KARUMA'!K89+'Avg Week KARUMA-GULU'!K89</f>
        <v>0</v>
      </c>
      <c r="L89" s="49">
        <f>'Avg Week GULU-KARUMA'!L89+'Avg Week KARUMA-GULU'!L89</f>
        <v>11.701680672268907</v>
      </c>
      <c r="M89" s="49">
        <f>'Avg Week GULU-KARUMA'!M89+'Avg Week KARUMA-GULU'!M89</f>
        <v>0</v>
      </c>
      <c r="N89" s="49">
        <f>'Avg Week GULU-KARUMA'!N89+'Avg Week KARUMA-GULU'!N89</f>
        <v>0</v>
      </c>
      <c r="O89" s="15">
        <f t="shared" si="35"/>
        <v>39.004201680672267</v>
      </c>
      <c r="P89" s="15">
        <f t="shared" si="36"/>
        <v>39.004201680672267</v>
      </c>
      <c r="R89" s="8"/>
      <c r="T89"/>
    </row>
    <row r="90" spans="2:20" ht="23.1" customHeight="1" x14ac:dyDescent="0.25">
      <c r="B90" s="24" t="s">
        <v>130</v>
      </c>
      <c r="C90" s="49">
        <f>'Avg Week GULU-KARUMA'!C90+'Avg Week KARUMA-GULU'!C90</f>
        <v>6.6008403361344534</v>
      </c>
      <c r="D90" s="49">
        <f>'Avg Week GULU-KARUMA'!D90+'Avg Week KARUMA-GULU'!D90</f>
        <v>3.8403361344537816</v>
      </c>
      <c r="E90" s="49">
        <f>'Avg Week GULU-KARUMA'!E90+'Avg Week KARUMA-GULU'!E90</f>
        <v>9.1008403361344534</v>
      </c>
      <c r="F90" s="49">
        <f>'Avg Week GULU-KARUMA'!F90+'Avg Week KARUMA-GULU'!F90</f>
        <v>0</v>
      </c>
      <c r="G90" s="49">
        <f>'Avg Week GULU-KARUMA'!G90+'Avg Week KARUMA-GULU'!G90</f>
        <v>0</v>
      </c>
      <c r="H90" s="49">
        <f>'Avg Week GULU-KARUMA'!H90+'Avg Week KARUMA-GULU'!H90</f>
        <v>2.420168067226891</v>
      </c>
      <c r="I90" s="49">
        <f>'Avg Week GULU-KARUMA'!I90+'Avg Week KARUMA-GULU'!I90</f>
        <v>5.3403361344537821</v>
      </c>
      <c r="J90" s="49">
        <f>'Avg Week GULU-KARUMA'!J90+'Avg Week KARUMA-GULU'!J90</f>
        <v>0</v>
      </c>
      <c r="K90" s="49">
        <f>'Avg Week GULU-KARUMA'!K90+'Avg Week KARUMA-GULU'!K90</f>
        <v>0.92016806722689082</v>
      </c>
      <c r="L90" s="49">
        <f>'Avg Week GULU-KARUMA'!L90+'Avg Week KARUMA-GULU'!L90</f>
        <v>2.7605042016806722</v>
      </c>
      <c r="M90" s="49">
        <f>'Avg Week GULU-KARUMA'!M90+'Avg Week KARUMA-GULU'!M90</f>
        <v>6</v>
      </c>
      <c r="N90" s="49">
        <f>'Avg Week GULU-KARUMA'!N90+'Avg Week KARUMA-GULU'!N90</f>
        <v>0</v>
      </c>
      <c r="O90" s="15">
        <f t="shared" si="35"/>
        <v>30.983193277310924</v>
      </c>
      <c r="P90" s="15">
        <f t="shared" si="36"/>
        <v>36.983193277310924</v>
      </c>
      <c r="R90" s="8"/>
      <c r="T90"/>
    </row>
    <row r="91" spans="2:20" ht="23.1" customHeight="1" x14ac:dyDescent="0.25">
      <c r="B91" s="23" t="s">
        <v>131</v>
      </c>
      <c r="C91" s="49">
        <f>'Avg Week GULU-KARUMA'!C91+'Avg Week KARUMA-GULU'!C91</f>
        <v>9.1008403361344534</v>
      </c>
      <c r="D91" s="49">
        <f>'Avg Week GULU-KARUMA'!D91+'Avg Week KARUMA-GULU'!D91</f>
        <v>5.3403361344537821</v>
      </c>
      <c r="E91" s="49">
        <f>'Avg Week GULU-KARUMA'!E91+'Avg Week KARUMA-GULU'!E91</f>
        <v>10.680672268907564</v>
      </c>
      <c r="F91" s="49">
        <f>'Avg Week GULU-KARUMA'!F91+'Avg Week KARUMA-GULU'!F91</f>
        <v>2.420168067226891</v>
      </c>
      <c r="G91" s="49">
        <f>'Avg Week GULU-KARUMA'!G91+'Avg Week KARUMA-GULU'!G91</f>
        <v>0</v>
      </c>
      <c r="H91" s="49">
        <f>'Avg Week GULU-KARUMA'!H91+'Avg Week KARUMA-GULU'!H91</f>
        <v>0.92016806722689082</v>
      </c>
      <c r="I91" s="49">
        <f>'Avg Week GULU-KARUMA'!I91+'Avg Week KARUMA-GULU'!I91</f>
        <v>3.420168067226891</v>
      </c>
      <c r="J91" s="49">
        <f>'Avg Week GULU-KARUMA'!J91+'Avg Week KARUMA-GULU'!J91</f>
        <v>1.4201680672268908</v>
      </c>
      <c r="K91" s="49">
        <f>'Avg Week GULU-KARUMA'!K91+'Avg Week KARUMA-GULU'!K91</f>
        <v>0</v>
      </c>
      <c r="L91" s="49">
        <f>'Avg Week GULU-KARUMA'!L91+'Avg Week KARUMA-GULU'!L91</f>
        <v>2.4201680672268906</v>
      </c>
      <c r="M91" s="49">
        <f>'Avg Week GULU-KARUMA'!M91+'Avg Week KARUMA-GULU'!M91</f>
        <v>6</v>
      </c>
      <c r="N91" s="49">
        <f>'Avg Week GULU-KARUMA'!N91+'Avg Week KARUMA-GULU'!N91</f>
        <v>2</v>
      </c>
      <c r="O91" s="15">
        <f t="shared" si="35"/>
        <v>37.72268907563025</v>
      </c>
      <c r="P91" s="15">
        <f t="shared" si="36"/>
        <v>43.72268907563025</v>
      </c>
      <c r="R91" s="8"/>
      <c r="T91"/>
    </row>
    <row r="92" spans="2:20" ht="23.1" customHeight="1" x14ac:dyDescent="0.25">
      <c r="B92" s="25" t="s">
        <v>132</v>
      </c>
      <c r="C92" s="49">
        <f>'Avg Week GULU-KARUMA'!C92+'Avg Week KARUMA-GULU'!C92</f>
        <v>13.701680672268907</v>
      </c>
      <c r="D92" s="49">
        <f>'Avg Week GULU-KARUMA'!D92+'Avg Week KARUMA-GULU'!D92</f>
        <v>4.3403361344537821</v>
      </c>
      <c r="E92" s="49">
        <f>'Avg Week GULU-KARUMA'!E92+'Avg Week KARUMA-GULU'!E92</f>
        <v>10.100840336134453</v>
      </c>
      <c r="F92" s="49">
        <f>'Avg Week GULU-KARUMA'!F92+'Avg Week KARUMA-GULU'!F92</f>
        <v>0.5</v>
      </c>
      <c r="G92" s="49">
        <f>'Avg Week GULU-KARUMA'!G92+'Avg Week KARUMA-GULU'!G92</f>
        <v>0</v>
      </c>
      <c r="H92" s="49">
        <f>'Avg Week GULU-KARUMA'!H92+'Avg Week KARUMA-GULU'!H92</f>
        <v>0.92016806722689082</v>
      </c>
      <c r="I92" s="49">
        <f>'Avg Week GULU-KARUMA'!I92+'Avg Week KARUMA-GULU'!I92</f>
        <v>7.1806722689075633</v>
      </c>
      <c r="J92" s="49">
        <f>'Avg Week GULU-KARUMA'!J92+'Avg Week KARUMA-GULU'!J92</f>
        <v>0.5</v>
      </c>
      <c r="K92" s="49">
        <f>'Avg Week GULU-KARUMA'!K92+'Avg Week KARUMA-GULU'!K92</f>
        <v>0</v>
      </c>
      <c r="L92" s="49">
        <f>'Avg Week GULU-KARUMA'!L92+'Avg Week KARUMA-GULU'!L92</f>
        <v>2.5</v>
      </c>
      <c r="M92" s="49">
        <f>'Avg Week GULU-KARUMA'!M92+'Avg Week KARUMA-GULU'!M92</f>
        <v>4</v>
      </c>
      <c r="N92" s="49">
        <f>'Avg Week GULU-KARUMA'!N92+'Avg Week KARUMA-GULU'!N92</f>
        <v>0</v>
      </c>
      <c r="O92" s="15">
        <f t="shared" si="35"/>
        <v>39.743697478991592</v>
      </c>
      <c r="P92" s="15">
        <f t="shared" si="36"/>
        <v>43.743697478991592</v>
      </c>
      <c r="R92" s="8"/>
      <c r="T92"/>
    </row>
    <row r="93" spans="2:20" ht="23.1" customHeight="1" x14ac:dyDescent="0.25">
      <c r="B93" s="23" t="s">
        <v>133</v>
      </c>
      <c r="C93" s="49">
        <f>'Avg Week GULU-KARUMA'!C93+'Avg Week KARUMA-GULU'!C93</f>
        <v>19.722689075630253</v>
      </c>
      <c r="D93" s="49">
        <f>'Avg Week GULU-KARUMA'!D93+'Avg Week KARUMA-GULU'!D93</f>
        <v>6.2605042016806722</v>
      </c>
      <c r="E93" s="49">
        <f>'Avg Week GULU-KARUMA'!E93+'Avg Week KARUMA-GULU'!E93</f>
        <v>13.021008403361344</v>
      </c>
      <c r="F93" s="49">
        <f>'Avg Week GULU-KARUMA'!F93+'Avg Week KARUMA-GULU'!F93</f>
        <v>1.5</v>
      </c>
      <c r="G93" s="49">
        <f>'Avg Week GULU-KARUMA'!G93+'Avg Week KARUMA-GULU'!G93</f>
        <v>0</v>
      </c>
      <c r="H93" s="49">
        <f>'Avg Week GULU-KARUMA'!H93+'Avg Week KARUMA-GULU'!H93</f>
        <v>0</v>
      </c>
      <c r="I93" s="49">
        <f>'Avg Week GULU-KARUMA'!I93+'Avg Week KARUMA-GULU'!I93</f>
        <v>6.3403361344537812</v>
      </c>
      <c r="J93" s="49">
        <f>'Avg Week GULU-KARUMA'!J93+'Avg Week KARUMA-GULU'!J93</f>
        <v>1.4201680672268908</v>
      </c>
      <c r="K93" s="49">
        <f>'Avg Week GULU-KARUMA'!K93+'Avg Week KARUMA-GULU'!K93</f>
        <v>0.92016806722689082</v>
      </c>
      <c r="L93" s="49">
        <f>'Avg Week GULU-KARUMA'!L93+'Avg Week KARUMA-GULU'!L93</f>
        <v>3</v>
      </c>
      <c r="M93" s="49">
        <f>'Avg Week GULU-KARUMA'!M93+'Avg Week KARUMA-GULU'!M93</f>
        <v>0</v>
      </c>
      <c r="N93" s="49">
        <f>'Avg Week GULU-KARUMA'!N93+'Avg Week KARUMA-GULU'!N93</f>
        <v>0</v>
      </c>
      <c r="O93" s="15">
        <f t="shared" si="35"/>
        <v>52.184873949579824</v>
      </c>
      <c r="P93" s="15">
        <f t="shared" si="36"/>
        <v>52.184873949579824</v>
      </c>
      <c r="R93" s="8"/>
      <c r="T93"/>
    </row>
    <row r="94" spans="2:20" ht="23.1" customHeight="1" x14ac:dyDescent="0.25">
      <c r="B94" s="24" t="s">
        <v>134</v>
      </c>
      <c r="C94" s="49">
        <f>'Avg Week GULU-KARUMA'!C94+'Avg Week KARUMA-GULU'!C94</f>
        <v>14.542016806722689</v>
      </c>
      <c r="D94" s="49">
        <f>'Avg Week GULU-KARUMA'!D94+'Avg Week KARUMA-GULU'!D94</f>
        <v>8.1008403361344534</v>
      </c>
      <c r="E94" s="49">
        <f>'Avg Week GULU-KARUMA'!E94+'Avg Week KARUMA-GULU'!E94</f>
        <v>16.701680672268907</v>
      </c>
      <c r="F94" s="49">
        <f>'Avg Week GULU-KARUMA'!F94+'Avg Week KARUMA-GULU'!F94</f>
        <v>4.5</v>
      </c>
      <c r="G94" s="49">
        <f>'Avg Week GULU-KARUMA'!G94+'Avg Week KARUMA-GULU'!G94</f>
        <v>0.92016806722689082</v>
      </c>
      <c r="H94" s="49">
        <f>'Avg Week GULU-KARUMA'!H94+'Avg Week KARUMA-GULU'!H94</f>
        <v>1.9201680672268908</v>
      </c>
      <c r="I94" s="49">
        <f>'Avg Week GULU-KARUMA'!I94+'Avg Week KARUMA-GULU'!I94</f>
        <v>8.7605042016806713</v>
      </c>
      <c r="J94" s="49">
        <f>'Avg Week GULU-KARUMA'!J94+'Avg Week KARUMA-GULU'!J94</f>
        <v>0</v>
      </c>
      <c r="K94" s="49">
        <f>'Avg Week GULU-KARUMA'!K94+'Avg Week KARUMA-GULU'!K94</f>
        <v>0</v>
      </c>
      <c r="L94" s="49">
        <f>'Avg Week GULU-KARUMA'!L94+'Avg Week KARUMA-GULU'!L94</f>
        <v>4.920168067226891</v>
      </c>
      <c r="M94" s="49">
        <f>'Avg Week GULU-KARUMA'!M94+'Avg Week KARUMA-GULU'!M94</f>
        <v>0</v>
      </c>
      <c r="N94" s="49">
        <f>'Avg Week GULU-KARUMA'!N94+'Avg Week KARUMA-GULU'!N94</f>
        <v>0</v>
      </c>
      <c r="O94" s="15">
        <f t="shared" si="35"/>
        <v>60.365546218487388</v>
      </c>
      <c r="P94" s="15">
        <f t="shared" si="36"/>
        <v>60.365546218487388</v>
      </c>
      <c r="R94" s="8"/>
      <c r="T94"/>
    </row>
    <row r="95" spans="2:20" ht="23.1" customHeight="1" x14ac:dyDescent="0.25">
      <c r="B95" s="23" t="s">
        <v>135</v>
      </c>
      <c r="C95" s="49">
        <f>'Avg Week GULU-KARUMA'!C95+'Avg Week KARUMA-GULU'!C95</f>
        <v>10.441176470588236</v>
      </c>
      <c r="D95" s="49">
        <f>'Avg Week GULU-KARUMA'!D95+'Avg Week KARUMA-GULU'!D95</f>
        <v>4.1806722689075633</v>
      </c>
      <c r="E95" s="49">
        <f>'Avg Week GULU-KARUMA'!E95+'Avg Week KARUMA-GULU'!E95</f>
        <v>8.8613445378151265</v>
      </c>
      <c r="F95" s="49">
        <f>'Avg Week GULU-KARUMA'!F95+'Avg Week KARUMA-GULU'!F95</f>
        <v>1.4201680672268908</v>
      </c>
      <c r="G95" s="49">
        <f>'Avg Week GULU-KARUMA'!G95+'Avg Week KARUMA-GULU'!G95</f>
        <v>0</v>
      </c>
      <c r="H95" s="49">
        <f>'Avg Week GULU-KARUMA'!H95+'Avg Week KARUMA-GULU'!H95</f>
        <v>0.5</v>
      </c>
      <c r="I95" s="49">
        <f>'Avg Week GULU-KARUMA'!I95+'Avg Week KARUMA-GULU'!I95</f>
        <v>5.420168067226891</v>
      </c>
      <c r="J95" s="49">
        <f>'Avg Week GULU-KARUMA'!J95+'Avg Week KARUMA-GULU'!J95</f>
        <v>1.9201680672268908</v>
      </c>
      <c r="K95" s="49">
        <f>'Avg Week GULU-KARUMA'!K95+'Avg Week KARUMA-GULU'!K95</f>
        <v>0</v>
      </c>
      <c r="L95" s="49">
        <f>'Avg Week GULU-KARUMA'!L95+'Avg Week KARUMA-GULU'!L95</f>
        <v>1.8403361344537816</v>
      </c>
      <c r="M95" s="49">
        <f>'Avg Week GULU-KARUMA'!M95+'Avg Week KARUMA-GULU'!M95</f>
        <v>0</v>
      </c>
      <c r="N95" s="49">
        <f>'Avg Week GULU-KARUMA'!N95+'Avg Week KARUMA-GULU'!N95</f>
        <v>0</v>
      </c>
      <c r="O95" s="15">
        <f t="shared" si="35"/>
        <v>34.584033613445371</v>
      </c>
      <c r="P95" s="15">
        <f t="shared" si="36"/>
        <v>34.584033613445371</v>
      </c>
      <c r="R95" s="8"/>
      <c r="T95"/>
    </row>
    <row r="96" spans="2:20" ht="23.1" customHeight="1" x14ac:dyDescent="0.25">
      <c r="B96" s="25" t="s">
        <v>136</v>
      </c>
      <c r="C96" s="49">
        <f>'Avg Week GULU-KARUMA'!C96+'Avg Week KARUMA-GULU'!C96</f>
        <v>11.201680672268907</v>
      </c>
      <c r="D96" s="49">
        <f>'Avg Week GULU-KARUMA'!D96+'Avg Week KARUMA-GULU'!D96</f>
        <v>3.8403361344537816</v>
      </c>
      <c r="E96" s="49">
        <f>'Avg Week GULU-KARUMA'!E96+'Avg Week KARUMA-GULU'!E96</f>
        <v>8.6008403361344534</v>
      </c>
      <c r="F96" s="49">
        <f>'Avg Week GULU-KARUMA'!F96+'Avg Week KARUMA-GULU'!F96</f>
        <v>2</v>
      </c>
      <c r="G96" s="49">
        <f>'Avg Week GULU-KARUMA'!G96+'Avg Week KARUMA-GULU'!G96</f>
        <v>0.92016806722689082</v>
      </c>
      <c r="H96" s="49">
        <f>'Avg Week GULU-KARUMA'!H96+'Avg Week KARUMA-GULU'!H96</f>
        <v>0</v>
      </c>
      <c r="I96" s="49">
        <f>'Avg Week GULU-KARUMA'!I96+'Avg Week KARUMA-GULU'!I96</f>
        <v>9.2605042016806713</v>
      </c>
      <c r="J96" s="49">
        <f>'Avg Week GULU-KARUMA'!J96+'Avg Week KARUMA-GULU'!J96</f>
        <v>1.4201680672268908</v>
      </c>
      <c r="K96" s="49">
        <f>'Avg Week GULU-KARUMA'!K96+'Avg Week KARUMA-GULU'!K96</f>
        <v>0</v>
      </c>
      <c r="L96" s="49">
        <f>'Avg Week GULU-KARUMA'!L96+'Avg Week KARUMA-GULU'!L96</f>
        <v>2.5</v>
      </c>
      <c r="M96" s="49">
        <f>'Avg Week GULU-KARUMA'!M96+'Avg Week KARUMA-GULU'!M96</f>
        <v>0</v>
      </c>
      <c r="N96" s="49">
        <f>'Avg Week GULU-KARUMA'!N96+'Avg Week KARUMA-GULU'!N96</f>
        <v>0</v>
      </c>
      <c r="O96" s="15">
        <f t="shared" si="35"/>
        <v>39.743697478991592</v>
      </c>
      <c r="P96" s="15">
        <f t="shared" si="36"/>
        <v>39.743697478991592</v>
      </c>
      <c r="R96" s="8"/>
      <c r="T96"/>
    </row>
    <row r="97" spans="2:20" ht="23.1" customHeight="1" x14ac:dyDescent="0.25">
      <c r="B97" s="23" t="s">
        <v>137</v>
      </c>
      <c r="C97" s="49">
        <f>'Avg Week GULU-KARUMA'!C97+'Avg Week KARUMA-GULU'!C97</f>
        <v>13.021008403361344</v>
      </c>
      <c r="D97" s="49">
        <f>'Avg Week GULU-KARUMA'!D97+'Avg Week KARUMA-GULU'!D97</f>
        <v>5.7605042016806722</v>
      </c>
      <c r="E97" s="49">
        <f>'Avg Week GULU-KARUMA'!E97+'Avg Week KARUMA-GULU'!E97</f>
        <v>12.021008403361344</v>
      </c>
      <c r="F97" s="49">
        <f>'Avg Week GULU-KARUMA'!F97+'Avg Week KARUMA-GULU'!F97</f>
        <v>4.8403361344537821</v>
      </c>
      <c r="G97" s="49">
        <f>'Avg Week GULU-KARUMA'!G97+'Avg Week KARUMA-GULU'!G97</f>
        <v>0</v>
      </c>
      <c r="H97" s="49">
        <f>'Avg Week GULU-KARUMA'!H97+'Avg Week KARUMA-GULU'!H97</f>
        <v>0.5</v>
      </c>
      <c r="I97" s="49">
        <f>'Avg Week GULU-KARUMA'!I97+'Avg Week KARUMA-GULU'!I97</f>
        <v>4.920168067226891</v>
      </c>
      <c r="J97" s="49">
        <f>'Avg Week GULU-KARUMA'!J97+'Avg Week KARUMA-GULU'!J97</f>
        <v>1.4201680672268908</v>
      </c>
      <c r="K97" s="49">
        <f>'Avg Week GULU-KARUMA'!K97+'Avg Week KARUMA-GULU'!K97</f>
        <v>0</v>
      </c>
      <c r="L97" s="49">
        <f>'Avg Week GULU-KARUMA'!L97+'Avg Week KARUMA-GULU'!L97</f>
        <v>1.9201680672268908</v>
      </c>
      <c r="M97" s="49">
        <f>'Avg Week GULU-KARUMA'!M97+'Avg Week KARUMA-GULU'!M97</f>
        <v>0</v>
      </c>
      <c r="N97" s="49">
        <f>'Avg Week GULU-KARUMA'!N97+'Avg Week KARUMA-GULU'!N97</f>
        <v>0</v>
      </c>
      <c r="O97" s="15">
        <f t="shared" si="35"/>
        <v>44.403361344537807</v>
      </c>
      <c r="P97" s="15">
        <f t="shared" si="36"/>
        <v>44.403361344537807</v>
      </c>
      <c r="R97" s="8"/>
      <c r="T97"/>
    </row>
    <row r="98" spans="2:20" ht="23.1" customHeight="1" x14ac:dyDescent="0.25">
      <c r="B98" s="24" t="s">
        <v>138</v>
      </c>
      <c r="C98" s="49">
        <f>'Avg Week GULU-KARUMA'!C98+'Avg Week KARUMA-GULU'!C98</f>
        <v>9.5210084033613445</v>
      </c>
      <c r="D98" s="49">
        <f>'Avg Week GULU-KARUMA'!D98+'Avg Week KARUMA-GULU'!D98</f>
        <v>7.3403361344537821</v>
      </c>
      <c r="E98" s="49">
        <f>'Avg Week GULU-KARUMA'!E98+'Avg Week KARUMA-GULU'!E98</f>
        <v>16.100840336134453</v>
      </c>
      <c r="F98" s="49">
        <f>'Avg Week GULU-KARUMA'!F98+'Avg Week KARUMA-GULU'!F98</f>
        <v>2</v>
      </c>
      <c r="G98" s="49">
        <f>'Avg Week GULU-KARUMA'!G98+'Avg Week KARUMA-GULU'!G98</f>
        <v>0</v>
      </c>
      <c r="H98" s="49">
        <f>'Avg Week GULU-KARUMA'!H98+'Avg Week KARUMA-GULU'!H98</f>
        <v>1.4201680672268908</v>
      </c>
      <c r="I98" s="49">
        <f>'Avg Week GULU-KARUMA'!I98+'Avg Week KARUMA-GULU'!I98</f>
        <v>4.3403361344537821</v>
      </c>
      <c r="J98" s="49">
        <f>'Avg Week GULU-KARUMA'!J98+'Avg Week KARUMA-GULU'!J98</f>
        <v>0.92016806722689082</v>
      </c>
      <c r="K98" s="49">
        <f>'Avg Week GULU-KARUMA'!K98+'Avg Week KARUMA-GULU'!K98</f>
        <v>0.5</v>
      </c>
      <c r="L98" s="49">
        <f>'Avg Week GULU-KARUMA'!L98+'Avg Week KARUMA-GULU'!L98</f>
        <v>0.5</v>
      </c>
      <c r="M98" s="49">
        <f>'Avg Week GULU-KARUMA'!M98+'Avg Week KARUMA-GULU'!M98</f>
        <v>0</v>
      </c>
      <c r="N98" s="49">
        <f>'Avg Week GULU-KARUMA'!N98+'Avg Week KARUMA-GULU'!N98</f>
        <v>0</v>
      </c>
      <c r="O98" s="15">
        <f t="shared" si="35"/>
        <v>42.642857142857146</v>
      </c>
      <c r="P98" s="15">
        <f t="shared" si="36"/>
        <v>42.642857142857146</v>
      </c>
      <c r="R98" s="8"/>
      <c r="T98"/>
    </row>
    <row r="99" spans="2:20" ht="23.1" customHeight="1" x14ac:dyDescent="0.25">
      <c r="B99" s="23" t="s">
        <v>139</v>
      </c>
      <c r="C99" s="49">
        <f>'Avg Week GULU-KARUMA'!C99+'Avg Week KARUMA-GULU'!C99</f>
        <v>16.142857142857142</v>
      </c>
      <c r="D99" s="49">
        <f>'Avg Week GULU-KARUMA'!D99+'Avg Week KARUMA-GULU'!D99</f>
        <v>6.7605042016806722</v>
      </c>
      <c r="E99" s="49">
        <f>'Avg Week GULU-KARUMA'!E99+'Avg Week KARUMA-GULU'!E99</f>
        <v>15.441176470588236</v>
      </c>
      <c r="F99" s="49">
        <f>'Avg Week GULU-KARUMA'!F99+'Avg Week KARUMA-GULU'!F99</f>
        <v>2.920168067226891</v>
      </c>
      <c r="G99" s="49">
        <f>'Avg Week GULU-KARUMA'!G99+'Avg Week KARUMA-GULU'!G99</f>
        <v>0.5</v>
      </c>
      <c r="H99" s="49">
        <f>'Avg Week GULU-KARUMA'!H99+'Avg Week KARUMA-GULU'!H99</f>
        <v>0.92016806722689082</v>
      </c>
      <c r="I99" s="49">
        <f>'Avg Week GULU-KARUMA'!I99+'Avg Week KARUMA-GULU'!I99</f>
        <v>6.1806722689075633</v>
      </c>
      <c r="J99" s="49">
        <f>'Avg Week GULU-KARUMA'!J99+'Avg Week KARUMA-GULU'!J99</f>
        <v>1.4201680672268908</v>
      </c>
      <c r="K99" s="49">
        <f>'Avg Week GULU-KARUMA'!K99+'Avg Week KARUMA-GULU'!K99</f>
        <v>0.92016806722689082</v>
      </c>
      <c r="L99" s="49">
        <f>'Avg Week GULU-KARUMA'!L99+'Avg Week KARUMA-GULU'!L99</f>
        <v>3.420168067226891</v>
      </c>
      <c r="M99" s="49">
        <f>'Avg Week GULU-KARUMA'!M99+'Avg Week KARUMA-GULU'!M99</f>
        <v>0</v>
      </c>
      <c r="N99" s="49">
        <f>'Avg Week GULU-KARUMA'!N99+'Avg Week KARUMA-GULU'!N99</f>
        <v>0</v>
      </c>
      <c r="O99" s="15">
        <f t="shared" si="35"/>
        <v>54.626050420168056</v>
      </c>
      <c r="P99" s="15">
        <f t="shared" si="36"/>
        <v>54.626050420168056</v>
      </c>
      <c r="R99" s="8"/>
      <c r="T99"/>
    </row>
    <row r="100" spans="2:20" ht="23.1" customHeight="1" x14ac:dyDescent="0.25">
      <c r="B100" s="25" t="s">
        <v>140</v>
      </c>
      <c r="C100" s="49">
        <f>'Avg Week GULU-KARUMA'!C100+'Avg Week KARUMA-GULU'!C100</f>
        <v>17.30252100840336</v>
      </c>
      <c r="D100" s="49">
        <f>'Avg Week GULU-KARUMA'!D100+'Avg Week KARUMA-GULU'!D100</f>
        <v>6.1806722689075633</v>
      </c>
      <c r="E100" s="49">
        <f>'Avg Week GULU-KARUMA'!E100+'Avg Week KARUMA-GULU'!E100</f>
        <v>12.861344537815127</v>
      </c>
      <c r="F100" s="49">
        <f>'Avg Week GULU-KARUMA'!F100+'Avg Week KARUMA-GULU'!F100</f>
        <v>4.2605042016806722</v>
      </c>
      <c r="G100" s="49">
        <f>'Avg Week GULU-KARUMA'!G100+'Avg Week KARUMA-GULU'!G100</f>
        <v>0.5</v>
      </c>
      <c r="H100" s="49">
        <f>'Avg Week GULU-KARUMA'!H100+'Avg Week KARUMA-GULU'!H100</f>
        <v>2.920168067226891</v>
      </c>
      <c r="I100" s="49">
        <f>'Avg Week GULU-KARUMA'!I100+'Avg Week KARUMA-GULU'!I100</f>
        <v>5.5</v>
      </c>
      <c r="J100" s="49">
        <f>'Avg Week GULU-KARUMA'!J100+'Avg Week KARUMA-GULU'!J100</f>
        <v>0</v>
      </c>
      <c r="K100" s="49">
        <f>'Avg Week GULU-KARUMA'!K100+'Avg Week KARUMA-GULU'!K100</f>
        <v>0</v>
      </c>
      <c r="L100" s="49">
        <f>'Avg Week GULU-KARUMA'!L100+'Avg Week KARUMA-GULU'!L100</f>
        <v>5.6806722689075633</v>
      </c>
      <c r="M100" s="49">
        <f>'Avg Week GULU-KARUMA'!M100+'Avg Week KARUMA-GULU'!M100</f>
        <v>4</v>
      </c>
      <c r="N100" s="49">
        <f>'Avg Week GULU-KARUMA'!N100+'Avg Week KARUMA-GULU'!N100</f>
        <v>0</v>
      </c>
      <c r="O100" s="15">
        <f t="shared" si="35"/>
        <v>55.205882352941181</v>
      </c>
      <c r="P100" s="15">
        <f t="shared" si="36"/>
        <v>59.205882352941181</v>
      </c>
      <c r="R100" s="8"/>
      <c r="T100"/>
    </row>
    <row r="101" spans="2:20" ht="23.1" customHeight="1" x14ac:dyDescent="0.25">
      <c r="B101" s="23" t="s">
        <v>141</v>
      </c>
      <c r="C101" s="49">
        <f>'Avg Week GULU-KARUMA'!C101+'Avg Week KARUMA-GULU'!C101</f>
        <v>12.46218487394958</v>
      </c>
      <c r="D101" s="49">
        <f>'Avg Week GULU-KARUMA'!D101+'Avg Week KARUMA-GULU'!D101</f>
        <v>9.0210084033613445</v>
      </c>
      <c r="E101" s="49">
        <f>'Avg Week GULU-KARUMA'!E101+'Avg Week KARUMA-GULU'!E101</f>
        <v>18.542016806722689</v>
      </c>
      <c r="F101" s="49">
        <f>'Avg Week GULU-KARUMA'!F101+'Avg Week KARUMA-GULU'!F101</f>
        <v>3.3403361344537816</v>
      </c>
      <c r="G101" s="49">
        <f>'Avg Week GULU-KARUMA'!G101+'Avg Week KARUMA-GULU'!G101</f>
        <v>0</v>
      </c>
      <c r="H101" s="49">
        <f>'Avg Week GULU-KARUMA'!H101+'Avg Week KARUMA-GULU'!H101</f>
        <v>1</v>
      </c>
      <c r="I101" s="49">
        <f>'Avg Week GULU-KARUMA'!I101+'Avg Week KARUMA-GULU'!I101</f>
        <v>4.420168067226891</v>
      </c>
      <c r="J101" s="49">
        <f>'Avg Week GULU-KARUMA'!J101+'Avg Week KARUMA-GULU'!J101</f>
        <v>0</v>
      </c>
      <c r="K101" s="49">
        <f>'Avg Week GULU-KARUMA'!K101+'Avg Week KARUMA-GULU'!K101</f>
        <v>0.92016806722689082</v>
      </c>
      <c r="L101" s="49">
        <f>'Avg Week GULU-KARUMA'!L101+'Avg Week KARUMA-GULU'!L101</f>
        <v>2.3403361344537816</v>
      </c>
      <c r="M101" s="49">
        <f>'Avg Week GULU-KARUMA'!M101+'Avg Week KARUMA-GULU'!M101</f>
        <v>9</v>
      </c>
      <c r="N101" s="49">
        <f>'Avg Week GULU-KARUMA'!N101+'Avg Week KARUMA-GULU'!N101</f>
        <v>0</v>
      </c>
      <c r="O101" s="15">
        <f t="shared" si="35"/>
        <v>52.046218487394952</v>
      </c>
      <c r="P101" s="15">
        <f t="shared" si="36"/>
        <v>61.046218487394952</v>
      </c>
      <c r="R101" s="8"/>
      <c r="T101"/>
    </row>
    <row r="102" spans="2:20" ht="23.1" customHeight="1" x14ac:dyDescent="0.25">
      <c r="B102" s="24" t="s">
        <v>142</v>
      </c>
      <c r="C102" s="49">
        <f>'Avg Week GULU-KARUMA'!C102+'Avg Week KARUMA-GULU'!C102</f>
        <v>14.1218487394958</v>
      </c>
      <c r="D102" s="49">
        <f>'Avg Week GULU-KARUMA'!D102+'Avg Week KARUMA-GULU'!D102</f>
        <v>12.781512605042018</v>
      </c>
      <c r="E102" s="49">
        <f>'Avg Week GULU-KARUMA'!E102+'Avg Week KARUMA-GULU'!E102</f>
        <v>26.483193277310924</v>
      </c>
      <c r="F102" s="49">
        <f>'Avg Week GULU-KARUMA'!F102+'Avg Week KARUMA-GULU'!F102</f>
        <v>5.2605042016806722</v>
      </c>
      <c r="G102" s="49">
        <f>'Avg Week GULU-KARUMA'!G102+'Avg Week KARUMA-GULU'!G102</f>
        <v>0.5</v>
      </c>
      <c r="H102" s="49">
        <f>'Avg Week GULU-KARUMA'!H102+'Avg Week KARUMA-GULU'!H102</f>
        <v>1.5</v>
      </c>
      <c r="I102" s="49">
        <f>'Avg Week GULU-KARUMA'!I102+'Avg Week KARUMA-GULU'!I102</f>
        <v>2</v>
      </c>
      <c r="J102" s="49">
        <f>'Avg Week GULU-KARUMA'!J102+'Avg Week KARUMA-GULU'!J102</f>
        <v>0.5</v>
      </c>
      <c r="K102" s="49">
        <f>'Avg Week GULU-KARUMA'!K102+'Avg Week KARUMA-GULU'!K102</f>
        <v>0</v>
      </c>
      <c r="L102" s="49">
        <f>'Avg Week GULU-KARUMA'!L102+'Avg Week KARUMA-GULU'!L102</f>
        <v>7.0210084033613445</v>
      </c>
      <c r="M102" s="49">
        <f>'Avg Week GULU-KARUMA'!M102+'Avg Week KARUMA-GULU'!M102</f>
        <v>11</v>
      </c>
      <c r="N102" s="49">
        <f>'Avg Week GULU-KARUMA'!N102+'Avg Week KARUMA-GULU'!N102</f>
        <v>0</v>
      </c>
      <c r="O102" s="15">
        <f t="shared" si="35"/>
        <v>70.16806722689077</v>
      </c>
      <c r="P102" s="15">
        <f t="shared" si="36"/>
        <v>81.16806722689077</v>
      </c>
      <c r="R102" s="8"/>
      <c r="T102"/>
    </row>
    <row r="103" spans="2:20" ht="23.1" customHeight="1" x14ac:dyDescent="0.25">
      <c r="B103" s="23" t="s">
        <v>143</v>
      </c>
      <c r="C103" s="49">
        <f>'Avg Week GULU-KARUMA'!C103+'Avg Week KARUMA-GULU'!C103</f>
        <v>15.46218487394958</v>
      </c>
      <c r="D103" s="49">
        <f>'Avg Week GULU-KARUMA'!D103+'Avg Week KARUMA-GULU'!D103</f>
        <v>6.1806722689075633</v>
      </c>
      <c r="E103" s="49">
        <f>'Avg Week GULU-KARUMA'!E103+'Avg Week KARUMA-GULU'!E103</f>
        <v>13.781512605042018</v>
      </c>
      <c r="F103" s="49">
        <f>'Avg Week GULU-KARUMA'!F103+'Avg Week KARUMA-GULU'!F103</f>
        <v>4.3403361344537821</v>
      </c>
      <c r="G103" s="49">
        <f>'Avg Week GULU-KARUMA'!G103+'Avg Week KARUMA-GULU'!G103</f>
        <v>0.5</v>
      </c>
      <c r="H103" s="49">
        <f>'Avg Week GULU-KARUMA'!H103+'Avg Week KARUMA-GULU'!H103</f>
        <v>1.4201680672268908</v>
      </c>
      <c r="I103" s="49">
        <f>'Avg Week GULU-KARUMA'!I103+'Avg Week KARUMA-GULU'!I103</f>
        <v>9.1008403361344534</v>
      </c>
      <c r="J103" s="49">
        <f>'Avg Week GULU-KARUMA'!J103+'Avg Week KARUMA-GULU'!J103</f>
        <v>1.8403361344537816</v>
      </c>
      <c r="K103" s="49">
        <f>'Avg Week GULU-KARUMA'!K103+'Avg Week KARUMA-GULU'!K103</f>
        <v>1.8403361344537816</v>
      </c>
      <c r="L103" s="49">
        <f>'Avg Week GULU-KARUMA'!L103+'Avg Week KARUMA-GULU'!L103</f>
        <v>6.1806722689075633</v>
      </c>
      <c r="M103" s="49">
        <f>'Avg Week GULU-KARUMA'!M103+'Avg Week KARUMA-GULU'!M103</f>
        <v>12</v>
      </c>
      <c r="N103" s="49">
        <f>'Avg Week GULU-KARUMA'!N103+'Avg Week KARUMA-GULU'!N103</f>
        <v>0</v>
      </c>
      <c r="O103" s="15">
        <f t="shared" si="35"/>
        <v>60.647058823529406</v>
      </c>
      <c r="P103" s="15">
        <f t="shared" si="36"/>
        <v>72.647058823529406</v>
      </c>
      <c r="R103" s="8"/>
      <c r="T103"/>
    </row>
    <row r="104" spans="2:20" ht="23.1" customHeight="1" x14ac:dyDescent="0.25">
      <c r="B104" s="25" t="s">
        <v>144</v>
      </c>
      <c r="C104" s="49">
        <f>'Avg Week GULU-KARUMA'!C104+'Avg Week KARUMA-GULU'!C104</f>
        <v>16.1218487394958</v>
      </c>
      <c r="D104" s="49">
        <f>'Avg Week GULU-KARUMA'!D104+'Avg Week KARUMA-GULU'!D104</f>
        <v>12.201680672268907</v>
      </c>
      <c r="E104" s="49">
        <f>'Avg Week GULU-KARUMA'!E104+'Avg Week KARUMA-GULU'!E104</f>
        <v>24.903361344537814</v>
      </c>
      <c r="F104" s="49">
        <f>'Avg Week GULU-KARUMA'!F104+'Avg Week KARUMA-GULU'!F104</f>
        <v>7.6806722689075633</v>
      </c>
      <c r="G104" s="49">
        <f>'Avg Week GULU-KARUMA'!G104+'Avg Week KARUMA-GULU'!G104</f>
        <v>0.92016806722689082</v>
      </c>
      <c r="H104" s="49">
        <f>'Avg Week GULU-KARUMA'!H104+'Avg Week KARUMA-GULU'!H104</f>
        <v>0.92016806722689082</v>
      </c>
      <c r="I104" s="49">
        <f>'Avg Week GULU-KARUMA'!I104+'Avg Week KARUMA-GULU'!I104</f>
        <v>7.2605042016806722</v>
      </c>
      <c r="J104" s="49">
        <f>'Avg Week GULU-KARUMA'!J104+'Avg Week KARUMA-GULU'!J104</f>
        <v>0</v>
      </c>
      <c r="K104" s="49">
        <f>'Avg Week GULU-KARUMA'!K104+'Avg Week KARUMA-GULU'!K104</f>
        <v>0</v>
      </c>
      <c r="L104" s="49">
        <f>'Avg Week GULU-KARUMA'!L104+'Avg Week KARUMA-GULU'!L104</f>
        <v>6.1806722689075633</v>
      </c>
      <c r="M104" s="49">
        <f>'Avg Week GULU-KARUMA'!M104+'Avg Week KARUMA-GULU'!M104</f>
        <v>14.5</v>
      </c>
      <c r="N104" s="49">
        <f>'Avg Week GULU-KARUMA'!N104+'Avg Week KARUMA-GULU'!N104</f>
        <v>0</v>
      </c>
      <c r="O104" s="15">
        <f t="shared" si="35"/>
        <v>76.189075630252091</v>
      </c>
      <c r="P104" s="15">
        <f t="shared" si="36"/>
        <v>90.689075630252091</v>
      </c>
      <c r="R104" s="8"/>
      <c r="T104"/>
    </row>
    <row r="105" spans="2:20" ht="23.1" customHeight="1" x14ac:dyDescent="0.25">
      <c r="B105" s="23" t="s">
        <v>145</v>
      </c>
      <c r="C105" s="49">
        <f>'Avg Week GULU-KARUMA'!C105+'Avg Week KARUMA-GULU'!C105</f>
        <v>14.781512605042018</v>
      </c>
      <c r="D105" s="49">
        <f>'Avg Week GULU-KARUMA'!D105+'Avg Week KARUMA-GULU'!D105</f>
        <v>10.281512605042018</v>
      </c>
      <c r="E105" s="49">
        <f>'Avg Week GULU-KARUMA'!E105+'Avg Week KARUMA-GULU'!E105</f>
        <v>21.063025210084035</v>
      </c>
      <c r="F105" s="49">
        <f>'Avg Week GULU-KARUMA'!F105+'Avg Week KARUMA-GULU'!F105</f>
        <v>6</v>
      </c>
      <c r="G105" s="49">
        <f>'Avg Week GULU-KARUMA'!G105+'Avg Week KARUMA-GULU'!G105</f>
        <v>0</v>
      </c>
      <c r="H105" s="49">
        <f>'Avg Week GULU-KARUMA'!H105+'Avg Week KARUMA-GULU'!H105</f>
        <v>1</v>
      </c>
      <c r="I105" s="49">
        <f>'Avg Week GULU-KARUMA'!I105+'Avg Week KARUMA-GULU'!I105</f>
        <v>4.420168067226891</v>
      </c>
      <c r="J105" s="49">
        <f>'Avg Week GULU-KARUMA'!J105+'Avg Week KARUMA-GULU'!J105</f>
        <v>0.92016806722689082</v>
      </c>
      <c r="K105" s="49">
        <f>'Avg Week GULU-KARUMA'!K105+'Avg Week KARUMA-GULU'!K105</f>
        <v>0</v>
      </c>
      <c r="L105" s="49">
        <f>'Avg Week GULU-KARUMA'!L105+'Avg Week KARUMA-GULU'!L105</f>
        <v>2.5</v>
      </c>
      <c r="M105" s="49">
        <f>'Avg Week GULU-KARUMA'!M105+'Avg Week KARUMA-GULU'!M105</f>
        <v>17.5</v>
      </c>
      <c r="N105" s="49">
        <f>'Avg Week GULU-KARUMA'!N105+'Avg Week KARUMA-GULU'!N105</f>
        <v>0</v>
      </c>
      <c r="O105" s="15">
        <f t="shared" si="35"/>
        <v>60.966386554621849</v>
      </c>
      <c r="P105" s="15">
        <f t="shared" si="36"/>
        <v>78.466386554621849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1026.9369747899159</v>
      </c>
      <c r="D106" s="16">
        <f t="shared" ref="D106:P106" si="37">SUM(D10:D105)</f>
        <v>419.96938775510165</v>
      </c>
      <c r="E106" s="16">
        <f t="shared" si="37"/>
        <v>925.60324129651792</v>
      </c>
      <c r="F106" s="16">
        <f t="shared" si="37"/>
        <v>222.08043217286914</v>
      </c>
      <c r="G106" s="16">
        <f t="shared" si="37"/>
        <v>33.171668667466967</v>
      </c>
      <c r="H106" s="16">
        <f t="shared" si="37"/>
        <v>82.93277310924374</v>
      </c>
      <c r="I106" s="16">
        <f t="shared" si="37"/>
        <v>434.8037214885951</v>
      </c>
      <c r="J106" s="16">
        <f t="shared" si="37"/>
        <v>102.77911164465792</v>
      </c>
      <c r="K106" s="16">
        <f t="shared" si="37"/>
        <v>20.466986794717887</v>
      </c>
      <c r="L106" s="16">
        <f t="shared" si="37"/>
        <v>367.85414165666248</v>
      </c>
      <c r="M106" s="16">
        <f t="shared" si="37"/>
        <v>6601.2428571428572</v>
      </c>
      <c r="N106" s="16">
        <f t="shared" si="37"/>
        <v>6.9285714285714279</v>
      </c>
      <c r="O106" s="16">
        <f t="shared" si="37"/>
        <v>3643.5270108043223</v>
      </c>
      <c r="P106" s="16">
        <f t="shared" si="37"/>
        <v>10244.769867947172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0.10024012135234929</v>
      </c>
      <c r="D107" s="43">
        <f t="shared" si="38"/>
        <v>4.099354042779043E-2</v>
      </c>
      <c r="E107" s="43">
        <f t="shared" si="38"/>
        <v>9.0348856365476224E-2</v>
      </c>
      <c r="F107" s="43">
        <f t="shared" si="38"/>
        <v>2.1677444689869759E-2</v>
      </c>
      <c r="G107" s="43">
        <f t="shared" si="38"/>
        <v>3.2379125246386666E-3</v>
      </c>
      <c r="H107" s="43">
        <f t="shared" si="38"/>
        <v>8.0951328510282736E-3</v>
      </c>
      <c r="I107" s="43">
        <f t="shared" si="38"/>
        <v>4.2441531346542612E-2</v>
      </c>
      <c r="J107" s="43">
        <f t="shared" si="38"/>
        <v>1.0032349478754334E-2</v>
      </c>
      <c r="K107" s="43">
        <f t="shared" si="38"/>
        <v>1.9977985897714481E-3</v>
      </c>
      <c r="L107" s="43">
        <f t="shared" si="38"/>
        <v>3.5906530492946287E-2</v>
      </c>
      <c r="M107" s="43">
        <f t="shared" si="38"/>
        <v>0.64435247860434386</v>
      </c>
      <c r="N107" s="43">
        <f t="shared" si="38"/>
        <v>6.763032764892904E-4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0.28185243906376739</v>
      </c>
      <c r="D108" s="44">
        <f t="shared" ref="D108:N108" si="39">D106/$O$106</f>
        <v>0.11526451883291838</v>
      </c>
      <c r="E108" s="44">
        <f t="shared" si="39"/>
        <v>0.25404044996833647</v>
      </c>
      <c r="F108" s="44">
        <f t="shared" si="39"/>
        <v>6.095204770386594E-2</v>
      </c>
      <c r="G108" s="44">
        <f t="shared" si="39"/>
        <v>9.1042741193084215E-3</v>
      </c>
      <c r="H108" s="44">
        <f t="shared" si="39"/>
        <v>2.2761673747256239E-2</v>
      </c>
      <c r="I108" s="44">
        <f t="shared" si="39"/>
        <v>0.11933594020279008</v>
      </c>
      <c r="J108" s="44">
        <f t="shared" si="39"/>
        <v>2.8208686621474788E-2</v>
      </c>
      <c r="K108" s="44">
        <f t="shared" si="39"/>
        <v>5.617355582661022E-3</v>
      </c>
      <c r="L108" s="44">
        <f t="shared" si="39"/>
        <v>0.10096100305167144</v>
      </c>
      <c r="M108" s="44"/>
      <c r="N108" s="44">
        <f t="shared" si="39"/>
        <v>1.9016111059492104E-3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01.08 GULU-KARUMA</vt:lpstr>
      <vt:lpstr>01.08 KARUMA-GULU</vt:lpstr>
      <vt:lpstr>02.08 GULU-KARUMA</vt:lpstr>
      <vt:lpstr>02.08 KARUMA-GULU</vt:lpstr>
      <vt:lpstr>03. 08 GULU-KARUMA-24HRS</vt:lpstr>
      <vt:lpstr>03.08 KARUMA-GULU-24HRS</vt:lpstr>
      <vt:lpstr>04.08 GULU-KARUMA</vt:lpstr>
      <vt:lpstr>04.08 KARUMA-GULU</vt:lpstr>
      <vt:lpstr>05.08, GULU-KARUMA-24HRS</vt:lpstr>
      <vt:lpstr>05.08, KARUMA-GULU-24HRS</vt:lpstr>
      <vt:lpstr>06.08 GULU-KARUMA</vt:lpstr>
      <vt:lpstr>06.08 KARUMA-GULU</vt:lpstr>
      <vt:lpstr>7.08 GULU-KARUMA</vt:lpstr>
      <vt:lpstr>7.08 KARUMA-GULU</vt:lpstr>
      <vt:lpstr>Avg Week GULU-KARUMA</vt:lpstr>
      <vt:lpstr>Avg Week KARUMA-GULU</vt:lpstr>
      <vt:lpstr>Avg Week GULU-KARUMA-2Dir</vt:lpstr>
      <vt:lpstr>'01.08 GULU-KARUMA'!Print_Area</vt:lpstr>
      <vt:lpstr>'01.08 KARUMA-GULU'!Print_Area</vt:lpstr>
      <vt:lpstr>'02.08 GULU-KARUMA'!Print_Area</vt:lpstr>
      <vt:lpstr>'02.08 KARUMA-GULU'!Print_Area</vt:lpstr>
      <vt:lpstr>'03. 08 GULU-KARUMA-24HRS'!Print_Area</vt:lpstr>
      <vt:lpstr>'03.08 KARUMA-GULU-24HRS'!Print_Area</vt:lpstr>
      <vt:lpstr>'04.08 GULU-KARUMA'!Print_Area</vt:lpstr>
      <vt:lpstr>'04.08 KARUMA-GULU'!Print_Area</vt:lpstr>
      <vt:lpstr>'05.08, GULU-KARUMA-24HRS'!Print_Area</vt:lpstr>
      <vt:lpstr>'05.08, KARUMA-GULU-24HRS'!Print_Area</vt:lpstr>
      <vt:lpstr>'06.08 GULU-KARUMA'!Print_Area</vt:lpstr>
      <vt:lpstr>'06.08 KARUMA-GULU'!Print_Area</vt:lpstr>
      <vt:lpstr>'7.08 GULU-KARUMA'!Print_Area</vt:lpstr>
      <vt:lpstr>'7.08 KARUMA-GULU'!Print_Area</vt:lpstr>
      <vt:lpstr>'Avg Week GULU-KARUMA'!Print_Area</vt:lpstr>
      <vt:lpstr>'Avg Week GULU-KARUMA-2Dir'!Print_Area</vt:lpstr>
      <vt:lpstr>'Avg Week KARUMA-GULU'!Print_Area</vt:lpstr>
      <vt:lpstr>'01.08 GULU-KARUMA'!Print_Titles</vt:lpstr>
      <vt:lpstr>'01.08 KARUMA-GULU'!Print_Titles</vt:lpstr>
      <vt:lpstr>'02.08 GULU-KARUMA'!Print_Titles</vt:lpstr>
      <vt:lpstr>'02.08 KARUMA-GULU'!Print_Titles</vt:lpstr>
      <vt:lpstr>'03. 08 GULU-KARUMA-24HRS'!Print_Titles</vt:lpstr>
      <vt:lpstr>'03.08 KARUMA-GULU-24HRS'!Print_Titles</vt:lpstr>
      <vt:lpstr>'04.08 GULU-KARUMA'!Print_Titles</vt:lpstr>
      <vt:lpstr>'04.08 KARUMA-GULU'!Print_Titles</vt:lpstr>
      <vt:lpstr>'05.08, GULU-KARUMA-24HRS'!Print_Titles</vt:lpstr>
      <vt:lpstr>'05.08, KARUMA-GULU-24HRS'!Print_Titles</vt:lpstr>
      <vt:lpstr>'06.08 GULU-KARUMA'!Print_Titles</vt:lpstr>
      <vt:lpstr>'06.08 KARUMA-GULU'!Print_Titles</vt:lpstr>
      <vt:lpstr>'7.08 GULU-KARUMA'!Print_Titles</vt:lpstr>
      <vt:lpstr>'7.08 KARUMA-GULU'!Print_Titles</vt:lpstr>
      <vt:lpstr>'Avg Week GULU-KARUMA'!Print_Titles</vt:lpstr>
      <vt:lpstr>'Avg Week GULU-KARUMA-2Dir'!Print_Titles</vt:lpstr>
      <vt:lpstr>'Avg Week KARUMA-GULU'!Print_Titles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2020-04-06T17:46:22Z</dcterms:modified>
</cp:coreProperties>
</file>