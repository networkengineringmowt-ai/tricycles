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5 Analysis Complete\STN115 KARUMA-PAKWACH\MCC\"/>
    </mc:Choice>
  </mc:AlternateContent>
  <xr:revisionPtr revIDLastSave="0" documentId="13_ncr:1_{854EC3A1-06F9-4FE5-8ECB-F7F84B595777}" xr6:coauthVersionLast="45" xr6:coauthVersionMax="45" xr10:uidLastSave="{00000000-0000-0000-0000-000000000000}"/>
  <bookViews>
    <workbookView xWindow="-120" yWindow="-120" windowWidth="20730" windowHeight="11160" tabRatio="902" firstSheet="12" activeTab="16" xr2:uid="{00000000-000D-0000-FFFF-FFFF00000000}"/>
  </bookViews>
  <sheets>
    <sheet name="29.07 Pakwach-Karuma" sheetId="93" r:id="rId1"/>
    <sheet name="29.07 karuma-pakwach" sheetId="94" r:id="rId2"/>
    <sheet name="30.07.19 pakwach-karuma" sheetId="95" r:id="rId3"/>
    <sheet name="30.07 karuma-pakwach" sheetId="96" r:id="rId4"/>
    <sheet name="31.07 pakwach-karuma" sheetId="97" r:id="rId5"/>
    <sheet name="31.07 karuma-pakwach" sheetId="98" r:id="rId6"/>
    <sheet name="01.08 pakwach-karuma" sheetId="99" r:id="rId7"/>
    <sheet name="01.08 karuma-pakwach" sheetId="100" r:id="rId8"/>
    <sheet name="2.08 Pakwach-Karuma-24h" sheetId="101" r:id="rId9"/>
    <sheet name="2.08 Karuma-Pakwach-24h" sheetId="109" r:id="rId10"/>
    <sheet name="3.08 Pakwach-Karuma-24h" sheetId="105" r:id="rId11"/>
    <sheet name="3.08 Karuma-Pakwach-24h" sheetId="110" r:id="rId12"/>
    <sheet name="4.08 Pakwach-Karuma " sheetId="114" r:id="rId13"/>
    <sheet name="04.08 Karuma-Pakwach" sheetId="115" r:id="rId14"/>
    <sheet name="Avg Week Karuma-Pakwach" sheetId="107" r:id="rId15"/>
    <sheet name="Avg Week Pakwach-Karuma" sheetId="108" r:id="rId16"/>
    <sheet name="Avg Week Karuma-Pakwach-2Dir" sheetId="111" r:id="rId17"/>
  </sheets>
  <externalReferences>
    <externalReference r:id="rId18"/>
  </externalReferences>
  <definedNames>
    <definedName name="_xlnm.Print_Area" localSheetId="7">'01.08 karuma-pakwach'!$A$1:$AF$60</definedName>
    <definedName name="_xlnm.Print_Area" localSheetId="6">'01.08 pakwach-karuma'!$A$1:$AF$60</definedName>
    <definedName name="_xlnm.Print_Area" localSheetId="13">'04.08 Karuma-Pakwach'!$A$1:$AF$60</definedName>
    <definedName name="_xlnm.Print_Area" localSheetId="9">'2.08 Karuma-Pakwach-24h'!$A$1:$AF$108</definedName>
    <definedName name="_xlnm.Print_Area" localSheetId="8">'2.08 Pakwach-Karuma-24h'!$A$1:$AF$108</definedName>
    <definedName name="_xlnm.Print_Area" localSheetId="1">'29.07 karuma-pakwach'!$A$1:$AF$60</definedName>
    <definedName name="_xlnm.Print_Area" localSheetId="0">'29.07 Pakwach-Karuma'!$A$1:$AF$60</definedName>
    <definedName name="_xlnm.Print_Area" localSheetId="11">'3.08 Karuma-Pakwach-24h'!$A$1:$AF$108</definedName>
    <definedName name="_xlnm.Print_Area" localSheetId="10">'3.08 Pakwach-Karuma-24h'!$A$1:$AF$108</definedName>
    <definedName name="_xlnm.Print_Area" localSheetId="3">'30.07 karuma-pakwach'!$A$1:$AF$60</definedName>
    <definedName name="_xlnm.Print_Area" localSheetId="2">'30.07.19 pakwach-karuma'!$A$1:$AF$60</definedName>
    <definedName name="_xlnm.Print_Area" localSheetId="5">'31.07 karuma-pakwach'!$A$1:$AF$60</definedName>
    <definedName name="_xlnm.Print_Area" localSheetId="4">'31.07 pakwach-karuma'!$A$1:$AF$60</definedName>
    <definedName name="_xlnm.Print_Area" localSheetId="12">'4.08 Pakwach-Karuma '!$A$1:$AF$60</definedName>
    <definedName name="_xlnm.Print_Area" localSheetId="14">'Avg Week Karuma-Pakwach'!$A$1:$AF$108</definedName>
    <definedName name="_xlnm.Print_Area" localSheetId="16">'Avg Week Karuma-Pakwach-2Dir'!$A$1:$AF$108</definedName>
    <definedName name="_xlnm.Print_Area" localSheetId="15">'Avg Week Pakwach-Karuma'!$A$1:$AF$108</definedName>
    <definedName name="_xlnm.Print_Titles" localSheetId="7">'01.08 karuma-pakwach'!$1:$8</definedName>
    <definedName name="_xlnm.Print_Titles" localSheetId="6">'01.08 pakwach-karuma'!$1:$8</definedName>
    <definedName name="_xlnm.Print_Titles" localSheetId="13">'04.08 Karuma-Pakwach'!$1:$8</definedName>
    <definedName name="_xlnm.Print_Titles" localSheetId="9">'2.08 Karuma-Pakwach-24h'!$1:$8</definedName>
    <definedName name="_xlnm.Print_Titles" localSheetId="8">'2.08 Pakwach-Karuma-24h'!$1:$8</definedName>
    <definedName name="_xlnm.Print_Titles" localSheetId="1">'29.07 karuma-pakwach'!$1:$8</definedName>
    <definedName name="_xlnm.Print_Titles" localSheetId="0">'29.07 Pakwach-Karuma'!$1:$8</definedName>
    <definedName name="_xlnm.Print_Titles" localSheetId="11">'3.08 Karuma-Pakwach-24h'!$1:$8</definedName>
    <definedName name="_xlnm.Print_Titles" localSheetId="10">'3.08 Pakwach-Karuma-24h'!$1:$8</definedName>
    <definedName name="_xlnm.Print_Titles" localSheetId="3">'30.07 karuma-pakwach'!$1:$8</definedName>
    <definedName name="_xlnm.Print_Titles" localSheetId="2">'30.07.19 pakwach-karuma'!$1:$8</definedName>
    <definedName name="_xlnm.Print_Titles" localSheetId="5">'31.07 karuma-pakwach'!$1:$8</definedName>
    <definedName name="_xlnm.Print_Titles" localSheetId="4">'31.07 pakwach-karuma'!$1:$8</definedName>
    <definedName name="_xlnm.Print_Titles" localSheetId="12">'4.08 Pakwach-Karuma '!$1:$8</definedName>
    <definedName name="_xlnm.Print_Titles" localSheetId="14">'Avg Week Karuma-Pakwach'!$1:$8</definedName>
    <definedName name="_xlnm.Print_Titles" localSheetId="16">'Avg Week Karuma-Pakwach-2Dir'!$1:$8</definedName>
    <definedName name="_xlnm.Print_Titles" localSheetId="15">'Avg Week Pakwach-Karuma'!$1:$8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9" i="108" l="1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T24" i="108" s="1"/>
  <c r="E66" i="108"/>
  <c r="F66" i="108"/>
  <c r="G66" i="108"/>
  <c r="H66" i="108"/>
  <c r="I66" i="108"/>
  <c r="J66" i="108"/>
  <c r="K66" i="108"/>
  <c r="L66" i="108"/>
  <c r="AB24" i="108" s="1"/>
  <c r="M66" i="108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T25" i="108" s="1"/>
  <c r="E70" i="108"/>
  <c r="F70" i="108"/>
  <c r="G70" i="108"/>
  <c r="H70" i="108"/>
  <c r="I70" i="108"/>
  <c r="J70" i="108"/>
  <c r="K70" i="108"/>
  <c r="L70" i="108"/>
  <c r="AB25" i="108" s="1"/>
  <c r="M70" i="108"/>
  <c r="N70" i="108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X25" i="108" s="1"/>
  <c r="I73" i="108"/>
  <c r="J73" i="108"/>
  <c r="K73" i="108"/>
  <c r="L73" i="108"/>
  <c r="M73" i="108"/>
  <c r="N73" i="108"/>
  <c r="C74" i="108"/>
  <c r="D74" i="108"/>
  <c r="T26" i="108" s="1"/>
  <c r="E74" i="108"/>
  <c r="F74" i="108"/>
  <c r="G74" i="108"/>
  <c r="H74" i="108"/>
  <c r="I74" i="108"/>
  <c r="J74" i="108"/>
  <c r="K74" i="108"/>
  <c r="L74" i="108"/>
  <c r="AB26" i="108" s="1"/>
  <c r="M74" i="108"/>
  <c r="N74" i="108"/>
  <c r="C75" i="108"/>
  <c r="D75" i="108"/>
  <c r="E75" i="108"/>
  <c r="F75" i="108"/>
  <c r="G75" i="108"/>
  <c r="H75" i="108"/>
  <c r="X26" i="108" s="1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T27" i="108" s="1"/>
  <c r="E78" i="108"/>
  <c r="F78" i="108"/>
  <c r="G78" i="108"/>
  <c r="H78" i="108"/>
  <c r="I78" i="108"/>
  <c r="J78" i="108"/>
  <c r="K78" i="108"/>
  <c r="L78" i="108"/>
  <c r="AB27" i="108" s="1"/>
  <c r="M78" i="108"/>
  <c r="N78" i="108"/>
  <c r="AD27" i="108" s="1"/>
  <c r="C79" i="108"/>
  <c r="D79" i="108"/>
  <c r="E79" i="108"/>
  <c r="F79" i="108"/>
  <c r="G79" i="108"/>
  <c r="H79" i="108"/>
  <c r="X27" i="108" s="1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AB28" i="108" s="1"/>
  <c r="M82" i="108"/>
  <c r="N82" i="108"/>
  <c r="C83" i="108"/>
  <c r="D83" i="108"/>
  <c r="E83" i="108"/>
  <c r="F83" i="108"/>
  <c r="G83" i="108"/>
  <c r="H83" i="108"/>
  <c r="X28" i="108" s="1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T29" i="108" s="1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G87" i="108"/>
  <c r="H87" i="108"/>
  <c r="X29" i="108" s="1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T30" i="108" s="1"/>
  <c r="E90" i="108"/>
  <c r="F90" i="108"/>
  <c r="G90" i="108"/>
  <c r="H90" i="108"/>
  <c r="I90" i="108"/>
  <c r="J90" i="108"/>
  <c r="K90" i="108"/>
  <c r="L90" i="108"/>
  <c r="AB30" i="108" s="1"/>
  <c r="M90" i="108"/>
  <c r="N90" i="108"/>
  <c r="C91" i="108"/>
  <c r="D91" i="108"/>
  <c r="E91" i="108"/>
  <c r="F91" i="108"/>
  <c r="G91" i="108"/>
  <c r="H91" i="108"/>
  <c r="X30" i="108" s="1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T31" i="108" s="1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F95" i="108"/>
  <c r="G95" i="108"/>
  <c r="H95" i="108"/>
  <c r="I95" i="108"/>
  <c r="J95" i="108"/>
  <c r="Z31" i="108" s="1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T32" i="108" s="1"/>
  <c r="E98" i="108"/>
  <c r="F98" i="108"/>
  <c r="G98" i="108"/>
  <c r="H98" i="108"/>
  <c r="I98" i="108"/>
  <c r="J98" i="108"/>
  <c r="K98" i="108"/>
  <c r="L98" i="108"/>
  <c r="AB32" i="108" s="1"/>
  <c r="M98" i="108"/>
  <c r="N98" i="108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T33" i="108" s="1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F103" i="108"/>
  <c r="G103" i="108"/>
  <c r="H103" i="108"/>
  <c r="X33" i="108" s="1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C59" i="107"/>
  <c r="C59" i="111" s="1"/>
  <c r="D59" i="107"/>
  <c r="E59" i="107"/>
  <c r="F59" i="107"/>
  <c r="G59" i="107"/>
  <c r="H59" i="107"/>
  <c r="H59" i="111" s="1"/>
  <c r="I59" i="107"/>
  <c r="J59" i="107"/>
  <c r="K59" i="107"/>
  <c r="K59" i="111" s="1"/>
  <c r="L59" i="107"/>
  <c r="L59" i="111" s="1"/>
  <c r="M59" i="107"/>
  <c r="N59" i="107"/>
  <c r="C60" i="107"/>
  <c r="D60" i="107"/>
  <c r="E60" i="107"/>
  <c r="E60" i="111" s="1"/>
  <c r="F60" i="107"/>
  <c r="F60" i="111" s="1"/>
  <c r="G60" i="107"/>
  <c r="G60" i="111" s="1"/>
  <c r="H60" i="107"/>
  <c r="H60" i="111" s="1"/>
  <c r="I60" i="107"/>
  <c r="J60" i="107"/>
  <c r="J60" i="111" s="1"/>
  <c r="K60" i="107"/>
  <c r="L60" i="107"/>
  <c r="L60" i="111" s="1"/>
  <c r="M60" i="107"/>
  <c r="N60" i="107"/>
  <c r="N60" i="111" s="1"/>
  <c r="C61" i="107"/>
  <c r="C61" i="111" s="1"/>
  <c r="D61" i="107"/>
  <c r="E61" i="107"/>
  <c r="F61" i="107"/>
  <c r="F61" i="111" s="1"/>
  <c r="G61" i="107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N61" i="107"/>
  <c r="N61" i="111" s="1"/>
  <c r="C62" i="107"/>
  <c r="D62" i="107"/>
  <c r="D62" i="111" s="1"/>
  <c r="E62" i="107"/>
  <c r="F62" i="107"/>
  <c r="G62" i="107"/>
  <c r="G62" i="111" s="1"/>
  <c r="H62" i="107"/>
  <c r="H62" i="111" s="1"/>
  <c r="I62" i="107"/>
  <c r="J62" i="107"/>
  <c r="K62" i="107"/>
  <c r="L62" i="107"/>
  <c r="M62" i="107"/>
  <c r="M62" i="111" s="1"/>
  <c r="N62" i="107"/>
  <c r="C63" i="107"/>
  <c r="C63" i="111" s="1"/>
  <c r="D63" i="107"/>
  <c r="D63" i="111" s="1"/>
  <c r="E63" i="107"/>
  <c r="F63" i="107"/>
  <c r="F63" i="111" s="1"/>
  <c r="G63" i="107"/>
  <c r="H63" i="107"/>
  <c r="H63" i="111" s="1"/>
  <c r="X23" i="111" s="1"/>
  <c r="I63" i="107"/>
  <c r="J63" i="107"/>
  <c r="J63" i="111" s="1"/>
  <c r="K63" i="107"/>
  <c r="K63" i="111" s="1"/>
  <c r="L63" i="107"/>
  <c r="L63" i="111" s="1"/>
  <c r="M63" i="107"/>
  <c r="N63" i="107"/>
  <c r="N63" i="111" s="1"/>
  <c r="C64" i="107"/>
  <c r="D64" i="107"/>
  <c r="D64" i="111" s="1"/>
  <c r="E64" i="107"/>
  <c r="F64" i="107"/>
  <c r="F64" i="111" s="1"/>
  <c r="G64" i="107"/>
  <c r="G64" i="111" s="1"/>
  <c r="H64" i="107"/>
  <c r="H64" i="111" s="1"/>
  <c r="I64" i="107"/>
  <c r="J64" i="107"/>
  <c r="J64" i="111" s="1"/>
  <c r="K64" i="107"/>
  <c r="L64" i="107"/>
  <c r="L64" i="111" s="1"/>
  <c r="M64" i="107"/>
  <c r="N64" i="107"/>
  <c r="N64" i="111" s="1"/>
  <c r="C65" i="107"/>
  <c r="C65" i="111" s="1"/>
  <c r="D65" i="107"/>
  <c r="E65" i="107"/>
  <c r="F65" i="107"/>
  <c r="F65" i="111" s="1"/>
  <c r="G65" i="107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N65" i="107"/>
  <c r="N65" i="111" s="1"/>
  <c r="C66" i="107"/>
  <c r="D66" i="107"/>
  <c r="E66" i="107"/>
  <c r="F66" i="107"/>
  <c r="G66" i="107"/>
  <c r="G66" i="111" s="1"/>
  <c r="H66" i="107"/>
  <c r="H66" i="111" s="1"/>
  <c r="I66" i="107"/>
  <c r="I66" i="111" s="1"/>
  <c r="J66" i="107"/>
  <c r="J66" i="111" s="1"/>
  <c r="K66" i="107"/>
  <c r="L66" i="107"/>
  <c r="M66" i="107"/>
  <c r="N66" i="107"/>
  <c r="C67" i="107"/>
  <c r="C67" i="111" s="1"/>
  <c r="D67" i="107"/>
  <c r="E67" i="107"/>
  <c r="F67" i="107"/>
  <c r="F67" i="111" s="1"/>
  <c r="G67" i="107"/>
  <c r="W24" i="107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N67" i="107"/>
  <c r="N67" i="111" s="1"/>
  <c r="C68" i="107"/>
  <c r="D68" i="107"/>
  <c r="E68" i="107"/>
  <c r="F68" i="107"/>
  <c r="F68" i="111" s="1"/>
  <c r="G68" i="107"/>
  <c r="H68" i="107"/>
  <c r="H68" i="111" s="1"/>
  <c r="I68" i="107"/>
  <c r="J68" i="107"/>
  <c r="J68" i="111" s="1"/>
  <c r="K68" i="107"/>
  <c r="AA24" i="107" s="1"/>
  <c r="L68" i="107"/>
  <c r="L68" i="111" s="1"/>
  <c r="M68" i="107"/>
  <c r="N68" i="107"/>
  <c r="N68" i="111" s="1"/>
  <c r="C69" i="107"/>
  <c r="C69" i="111" s="1"/>
  <c r="D69" i="107"/>
  <c r="E69" i="107"/>
  <c r="F69" i="107"/>
  <c r="F69" i="111" s="1"/>
  <c r="G69" i="107"/>
  <c r="H69" i="107"/>
  <c r="H69" i="111" s="1"/>
  <c r="I69" i="107"/>
  <c r="J69" i="107"/>
  <c r="J69" i="111" s="1"/>
  <c r="K69" i="107"/>
  <c r="K69" i="111" s="1"/>
  <c r="L69" i="107"/>
  <c r="L69" i="111" s="1"/>
  <c r="M69" i="107"/>
  <c r="N69" i="107"/>
  <c r="N69" i="111" s="1"/>
  <c r="C70" i="107"/>
  <c r="D70" i="107"/>
  <c r="D70" i="111" s="1"/>
  <c r="T25" i="111" s="1"/>
  <c r="E70" i="107"/>
  <c r="F70" i="107"/>
  <c r="G70" i="107"/>
  <c r="G70" i="111" s="1"/>
  <c r="H70" i="107"/>
  <c r="H70" i="111" s="1"/>
  <c r="I70" i="107"/>
  <c r="J70" i="107"/>
  <c r="K70" i="107"/>
  <c r="L70" i="107"/>
  <c r="M70" i="107"/>
  <c r="N70" i="107"/>
  <c r="C71" i="107"/>
  <c r="C71" i="111" s="1"/>
  <c r="D71" i="107"/>
  <c r="D71" i="111" s="1"/>
  <c r="E71" i="107"/>
  <c r="F71" i="107"/>
  <c r="F71" i="111" s="1"/>
  <c r="G71" i="107"/>
  <c r="W25" i="107" s="1"/>
  <c r="H71" i="107"/>
  <c r="H71" i="111" s="1"/>
  <c r="I71" i="107"/>
  <c r="J71" i="107"/>
  <c r="J71" i="111" s="1"/>
  <c r="K71" i="107"/>
  <c r="K71" i="111" s="1"/>
  <c r="L71" i="107"/>
  <c r="L71" i="111" s="1"/>
  <c r="M71" i="107"/>
  <c r="M71" i="111" s="1"/>
  <c r="N71" i="107"/>
  <c r="N71" i="111" s="1"/>
  <c r="C72" i="107"/>
  <c r="D72" i="107"/>
  <c r="D72" i="111" s="1"/>
  <c r="E72" i="107"/>
  <c r="F72" i="107"/>
  <c r="F72" i="111" s="1"/>
  <c r="G72" i="107"/>
  <c r="G72" i="111" s="1"/>
  <c r="H72" i="107"/>
  <c r="H72" i="111" s="1"/>
  <c r="I72" i="107"/>
  <c r="J72" i="107"/>
  <c r="J72" i="111" s="1"/>
  <c r="K72" i="107"/>
  <c r="L72" i="107"/>
  <c r="L72" i="111" s="1"/>
  <c r="M72" i="107"/>
  <c r="M72" i="111" s="1"/>
  <c r="N72" i="107"/>
  <c r="N72" i="111" s="1"/>
  <c r="C73" i="107"/>
  <c r="C73" i="111" s="1"/>
  <c r="D73" i="107"/>
  <c r="D73" i="111" s="1"/>
  <c r="E73" i="107"/>
  <c r="F73" i="107"/>
  <c r="F73" i="111" s="1"/>
  <c r="G73" i="107"/>
  <c r="H73" i="107"/>
  <c r="H73" i="111" s="1"/>
  <c r="I73" i="107"/>
  <c r="J73" i="107"/>
  <c r="J73" i="111" s="1"/>
  <c r="K73" i="107"/>
  <c r="K73" i="111" s="1"/>
  <c r="L73" i="107"/>
  <c r="L73" i="111" s="1"/>
  <c r="M73" i="107"/>
  <c r="N73" i="107"/>
  <c r="N73" i="111" s="1"/>
  <c r="C74" i="107"/>
  <c r="S26" i="107" s="1"/>
  <c r="D74" i="107"/>
  <c r="D74" i="111" s="1"/>
  <c r="E74" i="107"/>
  <c r="F74" i="107"/>
  <c r="G74" i="107"/>
  <c r="H74" i="107"/>
  <c r="H74" i="111" s="1"/>
  <c r="I74" i="107"/>
  <c r="J74" i="107"/>
  <c r="K74" i="107"/>
  <c r="AA26" i="107" s="1"/>
  <c r="L74" i="107"/>
  <c r="L74" i="111" s="1"/>
  <c r="M74" i="107"/>
  <c r="N74" i="107"/>
  <c r="C75" i="107"/>
  <c r="D75" i="107"/>
  <c r="D75" i="111" s="1"/>
  <c r="E75" i="107"/>
  <c r="F75" i="107"/>
  <c r="F75" i="111" s="1"/>
  <c r="G75" i="107"/>
  <c r="H75" i="107"/>
  <c r="H75" i="111" s="1"/>
  <c r="I75" i="107"/>
  <c r="J75" i="107"/>
  <c r="J75" i="111" s="1"/>
  <c r="K75" i="107"/>
  <c r="K75" i="111" s="1"/>
  <c r="L75" i="107"/>
  <c r="L75" i="111" s="1"/>
  <c r="M75" i="107"/>
  <c r="N75" i="107"/>
  <c r="N75" i="111" s="1"/>
  <c r="C76" i="107"/>
  <c r="D76" i="107"/>
  <c r="D76" i="111" s="1"/>
  <c r="E76" i="107"/>
  <c r="F76" i="107"/>
  <c r="F76" i="111" s="1"/>
  <c r="G76" i="107"/>
  <c r="G76" i="111" s="1"/>
  <c r="H76" i="107"/>
  <c r="H76" i="111" s="1"/>
  <c r="I76" i="107"/>
  <c r="J76" i="107"/>
  <c r="J76" i="111" s="1"/>
  <c r="K76" i="107"/>
  <c r="L76" i="107"/>
  <c r="L76" i="111" s="1"/>
  <c r="M76" i="107"/>
  <c r="N76" i="107"/>
  <c r="N76" i="111" s="1"/>
  <c r="C77" i="107"/>
  <c r="D77" i="107"/>
  <c r="D77" i="111" s="1"/>
  <c r="E77" i="107"/>
  <c r="F77" i="107"/>
  <c r="F77" i="111" s="1"/>
  <c r="G77" i="107"/>
  <c r="H77" i="107"/>
  <c r="H77" i="111" s="1"/>
  <c r="I77" i="107"/>
  <c r="J77" i="107"/>
  <c r="J77" i="111" s="1"/>
  <c r="K77" i="107"/>
  <c r="K77" i="111" s="1"/>
  <c r="L77" i="107"/>
  <c r="L77" i="111" s="1"/>
  <c r="M77" i="107"/>
  <c r="N77" i="107"/>
  <c r="N77" i="111" s="1"/>
  <c r="C78" i="107"/>
  <c r="S27" i="107" s="1"/>
  <c r="D78" i="107"/>
  <c r="D78" i="111" s="1"/>
  <c r="T27" i="111" s="1"/>
  <c r="E78" i="107"/>
  <c r="E78" i="111" s="1"/>
  <c r="F78" i="107"/>
  <c r="G78" i="107"/>
  <c r="H78" i="107"/>
  <c r="H78" i="111" s="1"/>
  <c r="I78" i="107"/>
  <c r="J78" i="107"/>
  <c r="K78" i="107"/>
  <c r="L78" i="107"/>
  <c r="M78" i="107"/>
  <c r="N78" i="107"/>
  <c r="N78" i="111" s="1"/>
  <c r="C79" i="107"/>
  <c r="C79" i="111" s="1"/>
  <c r="D79" i="107"/>
  <c r="D79" i="111" s="1"/>
  <c r="E79" i="107"/>
  <c r="F79" i="107"/>
  <c r="F79" i="111" s="1"/>
  <c r="G79" i="107"/>
  <c r="H79" i="107"/>
  <c r="H79" i="111" s="1"/>
  <c r="I79" i="107"/>
  <c r="J79" i="107"/>
  <c r="J79" i="111" s="1"/>
  <c r="K79" i="107"/>
  <c r="K79" i="111" s="1"/>
  <c r="L79" i="107"/>
  <c r="L79" i="111" s="1"/>
  <c r="M79" i="107"/>
  <c r="N79" i="107"/>
  <c r="N79" i="111" s="1"/>
  <c r="C80" i="107"/>
  <c r="D80" i="107"/>
  <c r="D80" i="111" s="1"/>
  <c r="E80" i="107"/>
  <c r="F80" i="107"/>
  <c r="F80" i="111" s="1"/>
  <c r="G80" i="107"/>
  <c r="G80" i="111" s="1"/>
  <c r="H80" i="107"/>
  <c r="H80" i="111" s="1"/>
  <c r="I80" i="107"/>
  <c r="J80" i="107"/>
  <c r="J80" i="111" s="1"/>
  <c r="K80" i="107"/>
  <c r="L80" i="107"/>
  <c r="L80" i="111" s="1"/>
  <c r="M80" i="107"/>
  <c r="N80" i="107"/>
  <c r="N80" i="111" s="1"/>
  <c r="C81" i="107"/>
  <c r="D81" i="107"/>
  <c r="D81" i="111" s="1"/>
  <c r="E81" i="107"/>
  <c r="F81" i="107"/>
  <c r="F81" i="111" s="1"/>
  <c r="G81" i="107"/>
  <c r="H81" i="107"/>
  <c r="H81" i="111" s="1"/>
  <c r="I81" i="107"/>
  <c r="J81" i="107"/>
  <c r="J81" i="111" s="1"/>
  <c r="K81" i="107"/>
  <c r="K81" i="111" s="1"/>
  <c r="L81" i="107"/>
  <c r="L81" i="111" s="1"/>
  <c r="M81" i="107"/>
  <c r="N81" i="107"/>
  <c r="N81" i="111" s="1"/>
  <c r="C82" i="107"/>
  <c r="D82" i="107"/>
  <c r="D82" i="111" s="1"/>
  <c r="E82" i="107"/>
  <c r="F82" i="107"/>
  <c r="G82" i="107"/>
  <c r="H82" i="107"/>
  <c r="H82" i="111" s="1"/>
  <c r="I82" i="107"/>
  <c r="J82" i="107"/>
  <c r="K82" i="107"/>
  <c r="AA28" i="107" s="1"/>
  <c r="L82" i="107"/>
  <c r="L82" i="111" s="1"/>
  <c r="M82" i="107"/>
  <c r="N82" i="107"/>
  <c r="C83" i="107"/>
  <c r="C83" i="111" s="1"/>
  <c r="D83" i="107"/>
  <c r="D83" i="111" s="1"/>
  <c r="E83" i="107"/>
  <c r="F83" i="107"/>
  <c r="F83" i="111" s="1"/>
  <c r="G83" i="107"/>
  <c r="H83" i="107"/>
  <c r="H83" i="111" s="1"/>
  <c r="X28" i="111" s="1"/>
  <c r="I83" i="107"/>
  <c r="J83" i="107"/>
  <c r="J83" i="111" s="1"/>
  <c r="K83" i="107"/>
  <c r="K83" i="111" s="1"/>
  <c r="L83" i="107"/>
  <c r="L83" i="111" s="1"/>
  <c r="M83" i="107"/>
  <c r="N83" i="107"/>
  <c r="N83" i="111" s="1"/>
  <c r="C84" i="107"/>
  <c r="D84" i="107"/>
  <c r="D84" i="111" s="1"/>
  <c r="E84" i="107"/>
  <c r="F84" i="107"/>
  <c r="F84" i="111" s="1"/>
  <c r="G84" i="107"/>
  <c r="G84" i="111" s="1"/>
  <c r="H84" i="107"/>
  <c r="H84" i="111" s="1"/>
  <c r="I84" i="107"/>
  <c r="J84" i="107"/>
  <c r="J84" i="111" s="1"/>
  <c r="K84" i="107"/>
  <c r="L84" i="107"/>
  <c r="L84" i="111" s="1"/>
  <c r="M84" i="107"/>
  <c r="N84" i="107"/>
  <c r="N84" i="111" s="1"/>
  <c r="C85" i="107"/>
  <c r="D85" i="107"/>
  <c r="D85" i="111" s="1"/>
  <c r="E85" i="107"/>
  <c r="F85" i="107"/>
  <c r="F85" i="111" s="1"/>
  <c r="G85" i="107"/>
  <c r="H85" i="107"/>
  <c r="H85" i="111" s="1"/>
  <c r="I85" i="107"/>
  <c r="J85" i="107"/>
  <c r="J85" i="111" s="1"/>
  <c r="K85" i="107"/>
  <c r="K85" i="111" s="1"/>
  <c r="L85" i="107"/>
  <c r="L85" i="111" s="1"/>
  <c r="M85" i="107"/>
  <c r="N85" i="107"/>
  <c r="N85" i="111" s="1"/>
  <c r="C86" i="107"/>
  <c r="D86" i="107"/>
  <c r="D86" i="111" s="1"/>
  <c r="E86" i="107"/>
  <c r="F86" i="107"/>
  <c r="G86" i="107"/>
  <c r="G86" i="111" s="1"/>
  <c r="H86" i="107"/>
  <c r="I86" i="107"/>
  <c r="J86" i="107"/>
  <c r="K86" i="107"/>
  <c r="AA29" i="107" s="1"/>
  <c r="L86" i="107"/>
  <c r="L86" i="111" s="1"/>
  <c r="M86" i="107"/>
  <c r="N86" i="107"/>
  <c r="C87" i="107"/>
  <c r="D87" i="107"/>
  <c r="D87" i="111" s="1"/>
  <c r="E87" i="107"/>
  <c r="F87" i="107"/>
  <c r="G87" i="107"/>
  <c r="H87" i="107"/>
  <c r="H87" i="111" s="1"/>
  <c r="I87" i="107"/>
  <c r="J87" i="107"/>
  <c r="J87" i="111" s="1"/>
  <c r="K87" i="107"/>
  <c r="K87" i="111" s="1"/>
  <c r="L87" i="107"/>
  <c r="L87" i="111" s="1"/>
  <c r="M87" i="107"/>
  <c r="N87" i="107"/>
  <c r="N87" i="111" s="1"/>
  <c r="C88" i="107"/>
  <c r="D88" i="107"/>
  <c r="D88" i="111" s="1"/>
  <c r="E88" i="107"/>
  <c r="F88" i="107"/>
  <c r="F88" i="111" s="1"/>
  <c r="G88" i="107"/>
  <c r="G88" i="111" s="1"/>
  <c r="H88" i="107"/>
  <c r="H88" i="111" s="1"/>
  <c r="I88" i="107"/>
  <c r="J88" i="107"/>
  <c r="J88" i="111" s="1"/>
  <c r="K88" i="107"/>
  <c r="L88" i="107"/>
  <c r="L88" i="111" s="1"/>
  <c r="M88" i="107"/>
  <c r="N88" i="107"/>
  <c r="N88" i="111" s="1"/>
  <c r="C89" i="107"/>
  <c r="D89" i="107"/>
  <c r="D89" i="111" s="1"/>
  <c r="E89" i="107"/>
  <c r="F89" i="107"/>
  <c r="F89" i="111" s="1"/>
  <c r="G89" i="107"/>
  <c r="H89" i="107"/>
  <c r="H89" i="111" s="1"/>
  <c r="I89" i="107"/>
  <c r="J89" i="107"/>
  <c r="J89" i="111" s="1"/>
  <c r="K89" i="107"/>
  <c r="K89" i="111" s="1"/>
  <c r="L89" i="107"/>
  <c r="L89" i="111" s="1"/>
  <c r="M89" i="107"/>
  <c r="N89" i="107"/>
  <c r="N89" i="111" s="1"/>
  <c r="C90" i="107"/>
  <c r="D90" i="107"/>
  <c r="E90" i="107"/>
  <c r="F90" i="107"/>
  <c r="G90" i="107"/>
  <c r="G90" i="111" s="1"/>
  <c r="H90" i="107"/>
  <c r="H90" i="111" s="1"/>
  <c r="I90" i="107"/>
  <c r="J90" i="107"/>
  <c r="K90" i="107"/>
  <c r="L90" i="107"/>
  <c r="L90" i="111" s="1"/>
  <c r="M90" i="107"/>
  <c r="N90" i="107"/>
  <c r="C91" i="107"/>
  <c r="D91" i="107"/>
  <c r="D91" i="111" s="1"/>
  <c r="E91" i="107"/>
  <c r="F91" i="107"/>
  <c r="F91" i="111" s="1"/>
  <c r="G91" i="107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N91" i="107"/>
  <c r="N91" i="111" s="1"/>
  <c r="C92" i="107"/>
  <c r="D92" i="107"/>
  <c r="D92" i="111" s="1"/>
  <c r="E92" i="107"/>
  <c r="F92" i="107"/>
  <c r="F92" i="111" s="1"/>
  <c r="G92" i="107"/>
  <c r="G92" i="111" s="1"/>
  <c r="H92" i="107"/>
  <c r="H92" i="111" s="1"/>
  <c r="I92" i="107"/>
  <c r="J92" i="107"/>
  <c r="J92" i="111" s="1"/>
  <c r="K92" i="107"/>
  <c r="L92" i="107"/>
  <c r="L92" i="111" s="1"/>
  <c r="M92" i="107"/>
  <c r="M92" i="111" s="1"/>
  <c r="N92" i="107"/>
  <c r="N92" i="111" s="1"/>
  <c r="C93" i="107"/>
  <c r="D93" i="107"/>
  <c r="D93" i="111" s="1"/>
  <c r="E93" i="107"/>
  <c r="F93" i="107"/>
  <c r="F93" i="111" s="1"/>
  <c r="G93" i="107"/>
  <c r="H93" i="107"/>
  <c r="H93" i="111" s="1"/>
  <c r="I93" i="107"/>
  <c r="J93" i="107"/>
  <c r="J93" i="111" s="1"/>
  <c r="K93" i="107"/>
  <c r="K93" i="111" s="1"/>
  <c r="L93" i="107"/>
  <c r="L93" i="111" s="1"/>
  <c r="M93" i="107"/>
  <c r="N93" i="107"/>
  <c r="N93" i="111" s="1"/>
  <c r="C94" i="107"/>
  <c r="D94" i="107"/>
  <c r="E94" i="107"/>
  <c r="F94" i="107"/>
  <c r="G94" i="107"/>
  <c r="G94" i="111" s="1"/>
  <c r="H94" i="107"/>
  <c r="I94" i="107"/>
  <c r="J94" i="107"/>
  <c r="K94" i="107"/>
  <c r="L94" i="107"/>
  <c r="L94" i="111" s="1"/>
  <c r="M94" i="107"/>
  <c r="N94" i="107"/>
  <c r="C95" i="107"/>
  <c r="C95" i="111" s="1"/>
  <c r="D95" i="107"/>
  <c r="D95" i="111" s="1"/>
  <c r="E95" i="107"/>
  <c r="F95" i="107"/>
  <c r="F95" i="111" s="1"/>
  <c r="G95" i="107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N95" i="107"/>
  <c r="N95" i="111" s="1"/>
  <c r="C96" i="107"/>
  <c r="D96" i="107"/>
  <c r="D96" i="111" s="1"/>
  <c r="E96" i="107"/>
  <c r="F96" i="107"/>
  <c r="F96" i="111" s="1"/>
  <c r="G96" i="107"/>
  <c r="G96" i="111" s="1"/>
  <c r="H96" i="107"/>
  <c r="H96" i="111" s="1"/>
  <c r="I96" i="107"/>
  <c r="J96" i="107"/>
  <c r="J96" i="111" s="1"/>
  <c r="K96" i="107"/>
  <c r="L96" i="107"/>
  <c r="L96" i="111" s="1"/>
  <c r="M96" i="107"/>
  <c r="M96" i="111" s="1"/>
  <c r="N96" i="107"/>
  <c r="N96" i="111" s="1"/>
  <c r="C97" i="107"/>
  <c r="D97" i="107"/>
  <c r="D97" i="111" s="1"/>
  <c r="E97" i="107"/>
  <c r="F97" i="107"/>
  <c r="F97" i="111" s="1"/>
  <c r="G97" i="107"/>
  <c r="H97" i="107"/>
  <c r="H97" i="111" s="1"/>
  <c r="I97" i="107"/>
  <c r="Y31" i="107" s="1"/>
  <c r="J97" i="107"/>
  <c r="J97" i="111" s="1"/>
  <c r="K97" i="107"/>
  <c r="K97" i="111" s="1"/>
  <c r="L97" i="107"/>
  <c r="L97" i="111" s="1"/>
  <c r="M97" i="107"/>
  <c r="M97" i="111" s="1"/>
  <c r="N97" i="107"/>
  <c r="N97" i="111" s="1"/>
  <c r="C98" i="107"/>
  <c r="D98" i="107"/>
  <c r="D98" i="111" s="1"/>
  <c r="E98" i="107"/>
  <c r="F98" i="107"/>
  <c r="G98" i="107"/>
  <c r="G98" i="111" s="1"/>
  <c r="H98" i="107"/>
  <c r="I98" i="107"/>
  <c r="J98" i="107"/>
  <c r="K98" i="107"/>
  <c r="L98" i="107"/>
  <c r="L98" i="111" s="1"/>
  <c r="M98" i="107"/>
  <c r="N98" i="107"/>
  <c r="C99" i="107"/>
  <c r="D99" i="107"/>
  <c r="D99" i="111" s="1"/>
  <c r="E99" i="107"/>
  <c r="F99" i="107"/>
  <c r="F99" i="111" s="1"/>
  <c r="G99" i="107"/>
  <c r="H99" i="107"/>
  <c r="H99" i="111" s="1"/>
  <c r="I99" i="107"/>
  <c r="J99" i="107"/>
  <c r="J99" i="111" s="1"/>
  <c r="K99" i="107"/>
  <c r="K99" i="111" s="1"/>
  <c r="L99" i="107"/>
  <c r="L99" i="111" s="1"/>
  <c r="M99" i="107"/>
  <c r="N99" i="107"/>
  <c r="N99" i="111" s="1"/>
  <c r="C100" i="107"/>
  <c r="D100" i="107"/>
  <c r="D100" i="111" s="1"/>
  <c r="E100" i="107"/>
  <c r="F100" i="107"/>
  <c r="F100" i="111" s="1"/>
  <c r="G100" i="107"/>
  <c r="G100" i="111" s="1"/>
  <c r="H100" i="107"/>
  <c r="I100" i="107"/>
  <c r="J100" i="107"/>
  <c r="J100" i="111" s="1"/>
  <c r="K100" i="107"/>
  <c r="L100" i="107"/>
  <c r="L100" i="111" s="1"/>
  <c r="M100" i="107"/>
  <c r="M100" i="111" s="1"/>
  <c r="N100" i="107"/>
  <c r="N100" i="111" s="1"/>
  <c r="C101" i="107"/>
  <c r="D101" i="107"/>
  <c r="D101" i="111" s="1"/>
  <c r="E101" i="107"/>
  <c r="F101" i="107"/>
  <c r="F101" i="111" s="1"/>
  <c r="G101" i="107"/>
  <c r="H101" i="107"/>
  <c r="H101" i="111" s="1"/>
  <c r="I101" i="107"/>
  <c r="J101" i="107"/>
  <c r="J101" i="111" s="1"/>
  <c r="K101" i="107"/>
  <c r="K101" i="111" s="1"/>
  <c r="L101" i="107"/>
  <c r="L101" i="111" s="1"/>
  <c r="M101" i="107"/>
  <c r="N101" i="107"/>
  <c r="N101" i="111" s="1"/>
  <c r="C102" i="107"/>
  <c r="D102" i="107"/>
  <c r="E102" i="107"/>
  <c r="E102" i="111" s="1"/>
  <c r="F102" i="107"/>
  <c r="G102" i="107"/>
  <c r="G102" i="111" s="1"/>
  <c r="H102" i="107"/>
  <c r="H102" i="111" s="1"/>
  <c r="I102" i="107"/>
  <c r="J102" i="107"/>
  <c r="K102" i="107"/>
  <c r="L102" i="107"/>
  <c r="L102" i="111" s="1"/>
  <c r="M102" i="107"/>
  <c r="N102" i="107"/>
  <c r="C103" i="107"/>
  <c r="D103" i="107"/>
  <c r="D103" i="111" s="1"/>
  <c r="E103" i="107"/>
  <c r="E103" i="111" s="1"/>
  <c r="F103" i="107"/>
  <c r="F103" i="111" s="1"/>
  <c r="G103" i="107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N103" i="107"/>
  <c r="N103" i="111" s="1"/>
  <c r="C104" i="107"/>
  <c r="D104" i="107"/>
  <c r="D104" i="111" s="1"/>
  <c r="E104" i="107"/>
  <c r="F104" i="107"/>
  <c r="F104" i="111" s="1"/>
  <c r="G104" i="107"/>
  <c r="G104" i="111" s="1"/>
  <c r="H104" i="107"/>
  <c r="H104" i="111" s="1"/>
  <c r="I104" i="107"/>
  <c r="J104" i="107"/>
  <c r="J104" i="111" s="1"/>
  <c r="K104" i="107"/>
  <c r="L104" i="107"/>
  <c r="L104" i="111" s="1"/>
  <c r="M104" i="107"/>
  <c r="N104" i="107"/>
  <c r="N104" i="111" s="1"/>
  <c r="C105" i="107"/>
  <c r="C105" i="111" s="1"/>
  <c r="D105" i="107"/>
  <c r="D105" i="111" s="1"/>
  <c r="E105" i="107"/>
  <c r="F105" i="107"/>
  <c r="F105" i="111" s="1"/>
  <c r="G105" i="107"/>
  <c r="H105" i="107"/>
  <c r="H105" i="111" s="1"/>
  <c r="I105" i="107"/>
  <c r="Y33" i="107" s="1"/>
  <c r="J105" i="107"/>
  <c r="J105" i="111" s="1"/>
  <c r="K105" i="107"/>
  <c r="K105" i="111" s="1"/>
  <c r="L105" i="107"/>
  <c r="L105" i="111" s="1"/>
  <c r="M105" i="107"/>
  <c r="N105" i="107"/>
  <c r="N105" i="111" s="1"/>
  <c r="D58" i="107"/>
  <c r="T22" i="107" s="1"/>
  <c r="E58" i="107"/>
  <c r="E58" i="111" s="1"/>
  <c r="F58" i="107"/>
  <c r="F58" i="111" s="1"/>
  <c r="G58" i="107"/>
  <c r="G58" i="111" s="1"/>
  <c r="H58" i="107"/>
  <c r="H58" i="111" s="1"/>
  <c r="I58" i="107"/>
  <c r="I58" i="111" s="1"/>
  <c r="J58" i="107"/>
  <c r="K58" i="107"/>
  <c r="K58" i="111" s="1"/>
  <c r="L58" i="107"/>
  <c r="AB22" i="107" s="1"/>
  <c r="M58" i="107"/>
  <c r="M58" i="111" s="1"/>
  <c r="N58" i="107"/>
  <c r="C58" i="107"/>
  <c r="S22" i="107" s="1"/>
  <c r="W33" i="107"/>
  <c r="U33" i="107"/>
  <c r="Y29" i="107"/>
  <c r="W29" i="107"/>
  <c r="AB28" i="107"/>
  <c r="S28" i="107"/>
  <c r="AC27" i="107"/>
  <c r="Y27" i="107"/>
  <c r="X27" i="107"/>
  <c r="AB26" i="107"/>
  <c r="AC25" i="107"/>
  <c r="Y25" i="107"/>
  <c r="X25" i="107"/>
  <c r="U25" i="107"/>
  <c r="S25" i="107"/>
  <c r="S24" i="107"/>
  <c r="AC23" i="107"/>
  <c r="AA23" i="107"/>
  <c r="Y23" i="107"/>
  <c r="X23" i="107"/>
  <c r="W23" i="107"/>
  <c r="U23" i="107"/>
  <c r="T23" i="107"/>
  <c r="S23" i="107"/>
  <c r="AA22" i="107"/>
  <c r="X32" i="108"/>
  <c r="AB31" i="108"/>
  <c r="W30" i="108"/>
  <c r="AB29" i="108"/>
  <c r="S29" i="108"/>
  <c r="T28" i="108"/>
  <c r="AC27" i="108"/>
  <c r="U27" i="108"/>
  <c r="Y26" i="108"/>
  <c r="W26" i="108"/>
  <c r="X24" i="108"/>
  <c r="AB23" i="108"/>
  <c r="Y23" i="108"/>
  <c r="X23" i="108"/>
  <c r="T23" i="108"/>
  <c r="X22" i="108"/>
  <c r="X27" i="111"/>
  <c r="X26" i="111"/>
  <c r="C103" i="111" l="1"/>
  <c r="AB33" i="108"/>
  <c r="X31" i="108"/>
  <c r="AB22" i="108"/>
  <c r="T22" i="108"/>
  <c r="W33" i="108"/>
  <c r="AA33" i="108"/>
  <c r="O102" i="108"/>
  <c r="W32" i="108"/>
  <c r="AA32" i="108"/>
  <c r="S32" i="108"/>
  <c r="W31" i="108"/>
  <c r="AA31" i="108"/>
  <c r="S31" i="108"/>
  <c r="AA30" i="108"/>
  <c r="S30" i="108"/>
  <c r="W29" i="108"/>
  <c r="AA29" i="108"/>
  <c r="W28" i="108"/>
  <c r="AA28" i="108"/>
  <c r="O82" i="108"/>
  <c r="W27" i="108"/>
  <c r="AA27" i="108"/>
  <c r="S27" i="108"/>
  <c r="AA26" i="108"/>
  <c r="S26" i="108"/>
  <c r="W25" i="108"/>
  <c r="AA25" i="108"/>
  <c r="S25" i="108"/>
  <c r="W24" i="108"/>
  <c r="AA24" i="108"/>
  <c r="S24" i="108"/>
  <c r="W23" i="108"/>
  <c r="AA23" i="108"/>
  <c r="S23" i="108"/>
  <c r="S22" i="108"/>
  <c r="AD31" i="108"/>
  <c r="V31" i="108"/>
  <c r="V27" i="108"/>
  <c r="Z27" i="108"/>
  <c r="AD26" i="108"/>
  <c r="V26" i="108"/>
  <c r="Z26" i="108"/>
  <c r="V22" i="108"/>
  <c r="G75" i="111"/>
  <c r="S33" i="107"/>
  <c r="U29" i="107"/>
  <c r="M105" i="111"/>
  <c r="I100" i="111"/>
  <c r="E95" i="111"/>
  <c r="I92" i="111"/>
  <c r="E77" i="111"/>
  <c r="X22" i="107"/>
  <c r="H100" i="111"/>
  <c r="G68" i="111"/>
  <c r="S28" i="108"/>
  <c r="AB33" i="111"/>
  <c r="X30" i="111"/>
  <c r="AC33" i="108"/>
  <c r="U33" i="108"/>
  <c r="Y33" i="108"/>
  <c r="U32" i="108"/>
  <c r="Y32" i="108"/>
  <c r="AC31" i="108"/>
  <c r="Y31" i="108"/>
  <c r="U30" i="108"/>
  <c r="Y29" i="108"/>
  <c r="U28" i="108"/>
  <c r="Y28" i="108"/>
  <c r="Y27" i="108"/>
  <c r="AC26" i="108"/>
  <c r="U26" i="108"/>
  <c r="U25" i="108"/>
  <c r="Y25" i="108"/>
  <c r="AC24" i="108"/>
  <c r="U24" i="108"/>
  <c r="P66" i="108"/>
  <c r="AC23" i="108"/>
  <c r="Y22" i="108"/>
  <c r="AC22" i="108"/>
  <c r="S33" i="108"/>
  <c r="AA22" i="108"/>
  <c r="AD27" i="111"/>
  <c r="F87" i="111"/>
  <c r="W22" i="108"/>
  <c r="Z24" i="111"/>
  <c r="D58" i="111"/>
  <c r="G105" i="111"/>
  <c r="K104" i="111"/>
  <c r="C104" i="111"/>
  <c r="G103" i="111"/>
  <c r="W33" i="111" s="1"/>
  <c r="G101" i="111"/>
  <c r="K100" i="111"/>
  <c r="G99" i="111"/>
  <c r="K98" i="111"/>
  <c r="G97" i="111"/>
  <c r="K96" i="111"/>
  <c r="C96" i="111"/>
  <c r="G95" i="111"/>
  <c r="K94" i="111"/>
  <c r="G93" i="111"/>
  <c r="K92" i="111"/>
  <c r="G91" i="111"/>
  <c r="G89" i="111"/>
  <c r="K88" i="111"/>
  <c r="C88" i="111"/>
  <c r="G87" i="111"/>
  <c r="W29" i="111" s="1"/>
  <c r="K86" i="111"/>
  <c r="G85" i="111"/>
  <c r="K84" i="111"/>
  <c r="G83" i="111"/>
  <c r="K82" i="111"/>
  <c r="AA28" i="111" s="1"/>
  <c r="G81" i="111"/>
  <c r="K80" i="111"/>
  <c r="AA27" i="111" s="1"/>
  <c r="C80" i="111"/>
  <c r="G79" i="111"/>
  <c r="K78" i="111"/>
  <c r="G77" i="111"/>
  <c r="K76" i="111"/>
  <c r="K74" i="111"/>
  <c r="AA26" i="111" s="1"/>
  <c r="G73" i="111"/>
  <c r="K72" i="111"/>
  <c r="AA25" i="111" s="1"/>
  <c r="C72" i="111"/>
  <c r="S25" i="111" s="1"/>
  <c r="G71" i="111"/>
  <c r="K70" i="111"/>
  <c r="C70" i="111"/>
  <c r="G69" i="111"/>
  <c r="K68" i="111"/>
  <c r="C68" i="111"/>
  <c r="G67" i="111"/>
  <c r="W24" i="111" s="1"/>
  <c r="K66" i="111"/>
  <c r="AA24" i="111" s="1"/>
  <c r="C66" i="111"/>
  <c r="G65" i="111"/>
  <c r="K64" i="111"/>
  <c r="C64" i="111"/>
  <c r="G63" i="111"/>
  <c r="W23" i="111" s="1"/>
  <c r="K62" i="111"/>
  <c r="AA23" i="111" s="1"/>
  <c r="C62" i="111"/>
  <c r="S23" i="111" s="1"/>
  <c r="G61" i="111"/>
  <c r="W22" i="111" s="1"/>
  <c r="K60" i="111"/>
  <c r="AA22" i="111" s="1"/>
  <c r="C60" i="111"/>
  <c r="G59" i="111"/>
  <c r="P87" i="107"/>
  <c r="U27" i="107"/>
  <c r="U31" i="107"/>
  <c r="AC29" i="107"/>
  <c r="AC31" i="107"/>
  <c r="AC33" i="107"/>
  <c r="AB33" i="107"/>
  <c r="X33" i="111"/>
  <c r="T32" i="107"/>
  <c r="W31" i="107"/>
  <c r="AA31" i="107"/>
  <c r="X30" i="107"/>
  <c r="AA32" i="111"/>
  <c r="W32" i="107"/>
  <c r="O87" i="107"/>
  <c r="O70" i="108"/>
  <c r="AB32" i="111"/>
  <c r="T32" i="111"/>
  <c r="AB30" i="111"/>
  <c r="AB26" i="111"/>
  <c r="O71" i="107"/>
  <c r="P86" i="108"/>
  <c r="O101" i="107"/>
  <c r="P103" i="107"/>
  <c r="C87" i="111"/>
  <c r="U31" i="108"/>
  <c r="M104" i="111"/>
  <c r="I99" i="111"/>
  <c r="E94" i="111"/>
  <c r="AC30" i="108"/>
  <c r="AC29" i="108"/>
  <c r="AC28" i="108"/>
  <c r="I75" i="111"/>
  <c r="E70" i="111"/>
  <c r="E64" i="111"/>
  <c r="I104" i="111"/>
  <c r="M101" i="111"/>
  <c r="E99" i="111"/>
  <c r="I96" i="111"/>
  <c r="M93" i="111"/>
  <c r="E91" i="111"/>
  <c r="E69" i="111"/>
  <c r="P71" i="107"/>
  <c r="X25" i="111"/>
  <c r="X24" i="111"/>
  <c r="AA25" i="107"/>
  <c r="T28" i="111"/>
  <c r="AB31" i="111"/>
  <c r="AB28" i="111"/>
  <c r="D102" i="111"/>
  <c r="T33" i="111" s="1"/>
  <c r="T33" i="107"/>
  <c r="H98" i="111"/>
  <c r="X32" i="111" s="1"/>
  <c r="X32" i="107"/>
  <c r="T29" i="111"/>
  <c r="L70" i="111"/>
  <c r="AB25" i="111" s="1"/>
  <c r="AB25" i="107"/>
  <c r="D68" i="111"/>
  <c r="P68" i="107"/>
  <c r="O68" i="107"/>
  <c r="L66" i="111"/>
  <c r="AB24" i="111" s="1"/>
  <c r="AB24" i="107"/>
  <c r="D66" i="111"/>
  <c r="T24" i="107"/>
  <c r="O96" i="107"/>
  <c r="O80" i="107"/>
  <c r="O64" i="107"/>
  <c r="P96" i="107"/>
  <c r="P80" i="107"/>
  <c r="P64" i="107"/>
  <c r="T25" i="107"/>
  <c r="T26" i="107"/>
  <c r="T28" i="107"/>
  <c r="T29" i="107"/>
  <c r="X22" i="111"/>
  <c r="P105" i="107"/>
  <c r="O105" i="107"/>
  <c r="O104" i="107"/>
  <c r="K102" i="111"/>
  <c r="AA33" i="107"/>
  <c r="P101" i="107"/>
  <c r="C101" i="111"/>
  <c r="C100" i="111"/>
  <c r="P100" i="107"/>
  <c r="O100" i="107"/>
  <c r="AA32" i="107"/>
  <c r="C98" i="111"/>
  <c r="P98" i="107"/>
  <c r="O98" i="107"/>
  <c r="S32" i="107"/>
  <c r="P97" i="107"/>
  <c r="O97" i="107"/>
  <c r="C91" i="111"/>
  <c r="P91" i="107"/>
  <c r="O91" i="107"/>
  <c r="AA30" i="107"/>
  <c r="C90" i="111"/>
  <c r="P90" i="107"/>
  <c r="O90" i="107"/>
  <c r="S30" i="107"/>
  <c r="P89" i="107"/>
  <c r="O89" i="107"/>
  <c r="C89" i="111"/>
  <c r="C86" i="111"/>
  <c r="P86" i="107"/>
  <c r="O86" i="107"/>
  <c r="S29" i="107"/>
  <c r="P85" i="107"/>
  <c r="O85" i="107"/>
  <c r="C85" i="111"/>
  <c r="C84" i="111"/>
  <c r="P84" i="107"/>
  <c r="O84" i="107"/>
  <c r="G82" i="111"/>
  <c r="W28" i="111" s="1"/>
  <c r="W28" i="107"/>
  <c r="G78" i="111"/>
  <c r="W27" i="107"/>
  <c r="C76" i="111"/>
  <c r="P76" i="107"/>
  <c r="O76" i="107"/>
  <c r="C75" i="111"/>
  <c r="P75" i="107"/>
  <c r="O75" i="107"/>
  <c r="G74" i="111"/>
  <c r="W26" i="111" s="1"/>
  <c r="W26" i="107"/>
  <c r="P70" i="107"/>
  <c r="O95" i="107"/>
  <c r="O79" i="107"/>
  <c r="O63" i="107"/>
  <c r="P95" i="107"/>
  <c r="P79" i="107"/>
  <c r="P63" i="107"/>
  <c r="AC32" i="108"/>
  <c r="O98" i="108"/>
  <c r="Y30" i="108"/>
  <c r="U29" i="108"/>
  <c r="P82" i="108"/>
  <c r="AC25" i="108"/>
  <c r="Y24" i="108"/>
  <c r="O66" i="108"/>
  <c r="U23" i="108"/>
  <c r="U22" i="108"/>
  <c r="L58" i="111"/>
  <c r="AB22" i="111" s="1"/>
  <c r="K90" i="111"/>
  <c r="AA30" i="111" s="1"/>
  <c r="H94" i="111"/>
  <c r="X31" i="111" s="1"/>
  <c r="X31" i="107"/>
  <c r="D94" i="111"/>
  <c r="T31" i="111" s="1"/>
  <c r="T31" i="107"/>
  <c r="AB30" i="107"/>
  <c r="D90" i="111"/>
  <c r="T30" i="111" s="1"/>
  <c r="T30" i="107"/>
  <c r="AB29" i="111"/>
  <c r="X29" i="107"/>
  <c r="H86" i="111"/>
  <c r="X29" i="111" s="1"/>
  <c r="L78" i="111"/>
  <c r="AB27" i="111" s="1"/>
  <c r="AB27" i="107"/>
  <c r="T26" i="111"/>
  <c r="D69" i="111"/>
  <c r="P69" i="107"/>
  <c r="O69" i="107"/>
  <c r="D67" i="111"/>
  <c r="P67" i="107"/>
  <c r="O67" i="107"/>
  <c r="D65" i="111"/>
  <c r="T23" i="111" s="1"/>
  <c r="P65" i="107"/>
  <c r="O65" i="107"/>
  <c r="L62" i="111"/>
  <c r="AB23" i="111" s="1"/>
  <c r="AB23" i="107"/>
  <c r="D61" i="111"/>
  <c r="P61" i="107"/>
  <c r="O61" i="107"/>
  <c r="D60" i="111"/>
  <c r="P60" i="107"/>
  <c r="O60" i="107"/>
  <c r="D59" i="111"/>
  <c r="P59" i="107"/>
  <c r="O59" i="107"/>
  <c r="C102" i="111"/>
  <c r="P102" i="107"/>
  <c r="O102" i="107"/>
  <c r="C99" i="111"/>
  <c r="P99" i="107"/>
  <c r="O99" i="107"/>
  <c r="C94" i="111"/>
  <c r="P94" i="107"/>
  <c r="O94" i="107"/>
  <c r="S31" i="107"/>
  <c r="P93" i="107"/>
  <c r="O93" i="107"/>
  <c r="C93" i="111"/>
  <c r="C92" i="111"/>
  <c r="P92" i="107"/>
  <c r="O92" i="107"/>
  <c r="P83" i="107"/>
  <c r="O83" i="107"/>
  <c r="C82" i="111"/>
  <c r="P82" i="107"/>
  <c r="O82" i="107"/>
  <c r="P81" i="107"/>
  <c r="O81" i="107"/>
  <c r="C81" i="111"/>
  <c r="P78" i="107"/>
  <c r="O78" i="107"/>
  <c r="C78" i="111"/>
  <c r="C77" i="111"/>
  <c r="P77" i="107"/>
  <c r="O77" i="107"/>
  <c r="C74" i="111"/>
  <c r="P74" i="107"/>
  <c r="O74" i="107"/>
  <c r="X24" i="107"/>
  <c r="X26" i="107"/>
  <c r="T27" i="107"/>
  <c r="AA27" i="107"/>
  <c r="X28" i="107"/>
  <c r="AB29" i="107"/>
  <c r="W30" i="107"/>
  <c r="AB31" i="107"/>
  <c r="AB32" i="107"/>
  <c r="X33" i="107"/>
  <c r="O103" i="107"/>
  <c r="O88" i="107"/>
  <c r="O72" i="107"/>
  <c r="P104" i="107"/>
  <c r="P88" i="107"/>
  <c r="P72" i="107"/>
  <c r="P58" i="108"/>
  <c r="P98" i="108"/>
  <c r="P102" i="108"/>
  <c r="O86" i="108"/>
  <c r="P70" i="108"/>
  <c r="C97" i="111"/>
  <c r="AD33" i="107"/>
  <c r="N102" i="111"/>
  <c r="AD33" i="111" s="1"/>
  <c r="AD32" i="107"/>
  <c r="N98" i="111"/>
  <c r="AD32" i="111" s="1"/>
  <c r="V32" i="107"/>
  <c r="F98" i="111"/>
  <c r="V32" i="111" s="1"/>
  <c r="AD30" i="107"/>
  <c r="N90" i="111"/>
  <c r="AD30" i="111" s="1"/>
  <c r="Z30" i="107"/>
  <c r="J90" i="111"/>
  <c r="Z30" i="111" s="1"/>
  <c r="V30" i="107"/>
  <c r="F90" i="111"/>
  <c r="V30" i="111" s="1"/>
  <c r="AD29" i="107"/>
  <c r="N86" i="111"/>
  <c r="AD29" i="111" s="1"/>
  <c r="Z29" i="107"/>
  <c r="J86" i="111"/>
  <c r="Z29" i="111" s="1"/>
  <c r="V29" i="107"/>
  <c r="F86" i="111"/>
  <c r="AD28" i="107"/>
  <c r="N82" i="111"/>
  <c r="AD28" i="111" s="1"/>
  <c r="Z28" i="107"/>
  <c r="J82" i="111"/>
  <c r="Z28" i="111" s="1"/>
  <c r="V28" i="107"/>
  <c r="F82" i="111"/>
  <c r="V28" i="111" s="1"/>
  <c r="AD27" i="107"/>
  <c r="Z27" i="107"/>
  <c r="J78" i="111"/>
  <c r="Z27" i="111" s="1"/>
  <c r="V27" i="107"/>
  <c r="F78" i="111"/>
  <c r="V27" i="111" s="1"/>
  <c r="AD26" i="107"/>
  <c r="N74" i="111"/>
  <c r="AD26" i="111" s="1"/>
  <c r="Z26" i="107"/>
  <c r="V26" i="107"/>
  <c r="F74" i="111"/>
  <c r="V26" i="111" s="1"/>
  <c r="AD25" i="107"/>
  <c r="Z25" i="107"/>
  <c r="J70" i="111"/>
  <c r="Z25" i="111" s="1"/>
  <c r="V25" i="107"/>
  <c r="F70" i="111"/>
  <c r="V25" i="111" s="1"/>
  <c r="AD24" i="107"/>
  <c r="N66" i="111"/>
  <c r="AD24" i="111" s="1"/>
  <c r="Z24" i="107"/>
  <c r="V24" i="107"/>
  <c r="F66" i="111"/>
  <c r="V24" i="111" s="1"/>
  <c r="AD23" i="107"/>
  <c r="Z23" i="107"/>
  <c r="J62" i="111"/>
  <c r="Z23" i="111" s="1"/>
  <c r="V23" i="107"/>
  <c r="F62" i="111"/>
  <c r="V23" i="111" s="1"/>
  <c r="AD22" i="107"/>
  <c r="N59" i="111"/>
  <c r="Z22" i="107"/>
  <c r="J59" i="111"/>
  <c r="V22" i="107"/>
  <c r="F59" i="111"/>
  <c r="V22" i="111" s="1"/>
  <c r="P94" i="108"/>
  <c r="O94" i="108"/>
  <c r="P90" i="108"/>
  <c r="O90" i="108"/>
  <c r="P78" i="108"/>
  <c r="O78" i="108"/>
  <c r="P74" i="108"/>
  <c r="O74" i="108"/>
  <c r="P62" i="108"/>
  <c r="O62" i="108"/>
  <c r="J74" i="111"/>
  <c r="Z26" i="111" s="1"/>
  <c r="N62" i="111"/>
  <c r="AD23" i="111" s="1"/>
  <c r="C58" i="111"/>
  <c r="P58" i="107"/>
  <c r="O58" i="107"/>
  <c r="Z33" i="107"/>
  <c r="J102" i="111"/>
  <c r="Z33" i="111" s="1"/>
  <c r="V33" i="107"/>
  <c r="F102" i="111"/>
  <c r="V33" i="111" s="1"/>
  <c r="Z32" i="107"/>
  <c r="J98" i="111"/>
  <c r="Z32" i="111" s="1"/>
  <c r="AD31" i="107"/>
  <c r="N94" i="111"/>
  <c r="AD31" i="111" s="1"/>
  <c r="Z31" i="107"/>
  <c r="J94" i="111"/>
  <c r="Z31" i="111" s="1"/>
  <c r="V31" i="107"/>
  <c r="F94" i="111"/>
  <c r="V31" i="111" s="1"/>
  <c r="W22" i="107"/>
  <c r="N58" i="111"/>
  <c r="J58" i="111"/>
  <c r="I105" i="111"/>
  <c r="E105" i="111"/>
  <c r="E104" i="111"/>
  <c r="M103" i="111"/>
  <c r="M102" i="111"/>
  <c r="I102" i="111"/>
  <c r="I101" i="111"/>
  <c r="E101" i="111"/>
  <c r="E100" i="111"/>
  <c r="M99" i="111"/>
  <c r="AC32" i="107"/>
  <c r="M98" i="111"/>
  <c r="Y32" i="107"/>
  <c r="I98" i="111"/>
  <c r="U32" i="107"/>
  <c r="I97" i="111"/>
  <c r="E97" i="111"/>
  <c r="E96" i="111"/>
  <c r="M95" i="111"/>
  <c r="M94" i="111"/>
  <c r="I94" i="111"/>
  <c r="I93" i="111"/>
  <c r="E93" i="111"/>
  <c r="E92" i="111"/>
  <c r="M91" i="111"/>
  <c r="AC30" i="107"/>
  <c r="M90" i="111"/>
  <c r="Y30" i="107"/>
  <c r="I90" i="111"/>
  <c r="U30" i="107"/>
  <c r="M89" i="111"/>
  <c r="I89" i="111"/>
  <c r="E89" i="111"/>
  <c r="M88" i="111"/>
  <c r="I88" i="111"/>
  <c r="E88" i="111"/>
  <c r="M87" i="111"/>
  <c r="I87" i="111"/>
  <c r="E87" i="111"/>
  <c r="M86" i="111"/>
  <c r="I86" i="111"/>
  <c r="E86" i="111"/>
  <c r="M85" i="111"/>
  <c r="I85" i="111"/>
  <c r="E85" i="111"/>
  <c r="M84" i="111"/>
  <c r="I84" i="111"/>
  <c r="E84" i="111"/>
  <c r="M83" i="111"/>
  <c r="I83" i="111"/>
  <c r="E83" i="111"/>
  <c r="AC28" i="107"/>
  <c r="M82" i="111"/>
  <c r="Y28" i="107"/>
  <c r="I82" i="111"/>
  <c r="U28" i="107"/>
  <c r="E82" i="111"/>
  <c r="M81" i="111"/>
  <c r="I81" i="111"/>
  <c r="E81" i="111"/>
  <c r="M80" i="111"/>
  <c r="I80" i="111"/>
  <c r="E80" i="111"/>
  <c r="M79" i="111"/>
  <c r="I79" i="111"/>
  <c r="E79" i="111"/>
  <c r="M78" i="111"/>
  <c r="I78" i="111"/>
  <c r="M77" i="111"/>
  <c r="I77" i="111"/>
  <c r="M76" i="111"/>
  <c r="I76" i="111"/>
  <c r="E76" i="111"/>
  <c r="M75" i="111"/>
  <c r="E75" i="111"/>
  <c r="AC26" i="107"/>
  <c r="M74" i="111"/>
  <c r="Y26" i="107"/>
  <c r="U26" i="107"/>
  <c r="E74" i="111"/>
  <c r="M73" i="111"/>
  <c r="I73" i="111"/>
  <c r="E73" i="111"/>
  <c r="I72" i="111"/>
  <c r="E72" i="111"/>
  <c r="I71" i="111"/>
  <c r="E71" i="111"/>
  <c r="M70" i="111"/>
  <c r="I70" i="111"/>
  <c r="M69" i="111"/>
  <c r="I69" i="111"/>
  <c r="M68" i="111"/>
  <c r="I68" i="111"/>
  <c r="E68" i="111"/>
  <c r="M67" i="111"/>
  <c r="E67" i="111"/>
  <c r="AC24" i="107"/>
  <c r="M66" i="111"/>
  <c r="Y24" i="107"/>
  <c r="U24" i="107"/>
  <c r="E66" i="111"/>
  <c r="M65" i="111"/>
  <c r="E65" i="111"/>
  <c r="M64" i="111"/>
  <c r="I64" i="111"/>
  <c r="M63" i="111"/>
  <c r="I63" i="111"/>
  <c r="E63" i="111"/>
  <c r="I62" i="111"/>
  <c r="E62" i="111"/>
  <c r="M61" i="111"/>
  <c r="E61" i="111"/>
  <c r="M60" i="111"/>
  <c r="I60" i="111"/>
  <c r="AC22" i="107"/>
  <c r="M59" i="111"/>
  <c r="Y22" i="107"/>
  <c r="I59" i="111"/>
  <c r="U22" i="107"/>
  <c r="E59" i="111"/>
  <c r="U22" i="111" s="1"/>
  <c r="E98" i="111"/>
  <c r="E90" i="111"/>
  <c r="I74" i="111"/>
  <c r="N70" i="111"/>
  <c r="AD25" i="111" s="1"/>
  <c r="O63" i="111"/>
  <c r="O70" i="107"/>
  <c r="O66" i="107"/>
  <c r="O62" i="107"/>
  <c r="P66" i="107"/>
  <c r="P62" i="107"/>
  <c r="O73" i="107"/>
  <c r="P73" i="107"/>
  <c r="O58" i="108"/>
  <c r="P105" i="108"/>
  <c r="P104" i="108"/>
  <c r="P103" i="108"/>
  <c r="AD33" i="108"/>
  <c r="Z33" i="108"/>
  <c r="V33" i="108"/>
  <c r="P101" i="108"/>
  <c r="P100" i="108"/>
  <c r="P99" i="108"/>
  <c r="AD32" i="108"/>
  <c r="Z32" i="108"/>
  <c r="V32" i="108"/>
  <c r="P97" i="108"/>
  <c r="P96" i="108"/>
  <c r="P95" i="108"/>
  <c r="P93" i="108"/>
  <c r="P92" i="108"/>
  <c r="P91" i="108"/>
  <c r="AD30" i="108"/>
  <c r="Z30" i="108"/>
  <c r="V30" i="108"/>
  <c r="P89" i="108"/>
  <c r="P88" i="108"/>
  <c r="P87" i="108"/>
  <c r="AD29" i="108"/>
  <c r="Z29" i="108"/>
  <c r="V29" i="108"/>
  <c r="P85" i="108"/>
  <c r="P84" i="108"/>
  <c r="P83" i="108"/>
  <c r="AD28" i="108"/>
  <c r="Z28" i="108"/>
  <c r="V28" i="108"/>
  <c r="P81" i="108"/>
  <c r="P80" i="108"/>
  <c r="P79" i="108"/>
  <c r="P77" i="108"/>
  <c r="P76" i="108"/>
  <c r="P75" i="108"/>
  <c r="P73" i="108"/>
  <c r="P72" i="108"/>
  <c r="P71" i="108"/>
  <c r="AD25" i="108"/>
  <c r="Z25" i="108"/>
  <c r="V25" i="108"/>
  <c r="P69" i="108"/>
  <c r="P68" i="108"/>
  <c r="P67" i="108"/>
  <c r="AD24" i="108"/>
  <c r="Z24" i="108"/>
  <c r="V24" i="108"/>
  <c r="P65" i="108"/>
  <c r="P64" i="108"/>
  <c r="P63" i="108"/>
  <c r="AD23" i="108"/>
  <c r="Z23" i="108"/>
  <c r="V23" i="108"/>
  <c r="P61" i="108"/>
  <c r="P60" i="108"/>
  <c r="AD22" i="108"/>
  <c r="Z22" i="108"/>
  <c r="P59" i="108"/>
  <c r="O105" i="108"/>
  <c r="O101" i="108"/>
  <c r="O97" i="108"/>
  <c r="O93" i="108"/>
  <c r="O89" i="108"/>
  <c r="O85" i="108"/>
  <c r="O81" i="108"/>
  <c r="O77" i="108"/>
  <c r="O73" i="108"/>
  <c r="O69" i="108"/>
  <c r="O65" i="108"/>
  <c r="O61" i="108"/>
  <c r="O104" i="108"/>
  <c r="O100" i="108"/>
  <c r="O96" i="108"/>
  <c r="O92" i="108"/>
  <c r="O88" i="108"/>
  <c r="O84" i="108"/>
  <c r="O80" i="108"/>
  <c r="O76" i="108"/>
  <c r="O72" i="108"/>
  <c r="O68" i="108"/>
  <c r="O64" i="108"/>
  <c r="O60" i="108"/>
  <c r="O103" i="108"/>
  <c r="O99" i="108"/>
  <c r="O95" i="108"/>
  <c r="O91" i="108"/>
  <c r="O87" i="108"/>
  <c r="O83" i="108"/>
  <c r="O79" i="108"/>
  <c r="O75" i="108"/>
  <c r="O71" i="108"/>
  <c r="O67" i="108"/>
  <c r="O63" i="108"/>
  <c r="O59" i="108"/>
  <c r="AA33" i="111" l="1"/>
  <c r="S24" i="111"/>
  <c r="W25" i="111"/>
  <c r="AA29" i="111"/>
  <c r="AA31" i="111"/>
  <c r="W32" i="111"/>
  <c r="O59" i="111"/>
  <c r="U32" i="111"/>
  <c r="U28" i="111"/>
  <c r="O95" i="111"/>
  <c r="Y24" i="111"/>
  <c r="P64" i="111"/>
  <c r="O69" i="111"/>
  <c r="O71" i="111"/>
  <c r="W27" i="111"/>
  <c r="W31" i="111"/>
  <c r="P72" i="111"/>
  <c r="V29" i="111"/>
  <c r="O103" i="111"/>
  <c r="AF22" i="108"/>
  <c r="O88" i="111"/>
  <c r="P103" i="111"/>
  <c r="P95" i="111"/>
  <c r="P104" i="111"/>
  <c r="P61" i="111"/>
  <c r="O67" i="111"/>
  <c r="W30" i="111"/>
  <c r="O80" i="111"/>
  <c r="AF30" i="107"/>
  <c r="AF33" i="107"/>
  <c r="O104" i="111"/>
  <c r="Y32" i="111"/>
  <c r="AE32" i="107"/>
  <c r="AE30" i="107"/>
  <c r="Z22" i="111"/>
  <c r="AE22" i="108"/>
  <c r="AF32" i="108"/>
  <c r="AF25" i="107"/>
  <c r="O61" i="111"/>
  <c r="P71" i="111"/>
  <c r="P80" i="111"/>
  <c r="P87" i="111"/>
  <c r="AF27" i="108"/>
  <c r="AE27" i="108"/>
  <c r="O64" i="111"/>
  <c r="U23" i="111"/>
  <c r="P68" i="111"/>
  <c r="Y33" i="111"/>
  <c r="Y23" i="111"/>
  <c r="AC22" i="111"/>
  <c r="P60" i="111"/>
  <c r="Y31" i="111"/>
  <c r="AC33" i="111"/>
  <c r="AE23" i="108"/>
  <c r="AF30" i="108"/>
  <c r="U30" i="111"/>
  <c r="AC23" i="111"/>
  <c r="AC24" i="111"/>
  <c r="P69" i="111"/>
  <c r="P79" i="111"/>
  <c r="O83" i="111"/>
  <c r="U29" i="111"/>
  <c r="P88" i="111"/>
  <c r="O96" i="111"/>
  <c r="P105" i="111"/>
  <c r="Y22" i="111"/>
  <c r="P99" i="111"/>
  <c r="O99" i="111"/>
  <c r="AE26" i="107"/>
  <c r="AF32" i="107"/>
  <c r="AF27" i="107"/>
  <c r="O70" i="111"/>
  <c r="U33" i="111"/>
  <c r="P96" i="111"/>
  <c r="AE31" i="108"/>
  <c r="AF24" i="108"/>
  <c r="P59" i="111"/>
  <c r="P63" i="111"/>
  <c r="U24" i="111"/>
  <c r="Y25" i="111"/>
  <c r="AC26" i="111"/>
  <c r="AC28" i="111"/>
  <c r="Y29" i="111"/>
  <c r="Y30" i="111"/>
  <c r="AE22" i="107"/>
  <c r="AF26" i="107"/>
  <c r="P77" i="111"/>
  <c r="O77" i="111"/>
  <c r="P81" i="111"/>
  <c r="O81" i="111"/>
  <c r="P93" i="111"/>
  <c r="O93" i="111"/>
  <c r="AF22" i="107"/>
  <c r="O105" i="111"/>
  <c r="P65" i="111"/>
  <c r="P67" i="111"/>
  <c r="P85" i="111"/>
  <c r="O85" i="111"/>
  <c r="AE29" i="107"/>
  <c r="P98" i="111"/>
  <c r="O98" i="111"/>
  <c r="S32" i="111"/>
  <c r="AE33" i="107"/>
  <c r="O72" i="111"/>
  <c r="AF31" i="107"/>
  <c r="AE24" i="107"/>
  <c r="U25" i="111"/>
  <c r="P70" i="111"/>
  <c r="P83" i="111"/>
  <c r="AE25" i="108"/>
  <c r="AE29" i="108"/>
  <c r="AE33" i="108"/>
  <c r="AF26" i="108"/>
  <c r="AF31" i="108"/>
  <c r="AF33" i="108"/>
  <c r="O65" i="111"/>
  <c r="O60" i="111"/>
  <c r="O62" i="111"/>
  <c r="O68" i="111"/>
  <c r="AC25" i="111"/>
  <c r="U26" i="111"/>
  <c r="Y27" i="111"/>
  <c r="AC29" i="111"/>
  <c r="AC31" i="111"/>
  <c r="AC32" i="111"/>
  <c r="AD22" i="111"/>
  <c r="P97" i="111"/>
  <c r="O97" i="111"/>
  <c r="P74" i="111"/>
  <c r="O74" i="111"/>
  <c r="S26" i="111"/>
  <c r="P78" i="111"/>
  <c r="O78" i="111"/>
  <c r="S27" i="111"/>
  <c r="AE27" i="107"/>
  <c r="P82" i="111"/>
  <c r="O82" i="111"/>
  <c r="S28" i="111"/>
  <c r="T22" i="111"/>
  <c r="O66" i="111"/>
  <c r="P76" i="111"/>
  <c r="O76" i="111"/>
  <c r="AE28" i="107"/>
  <c r="AF29" i="107"/>
  <c r="P90" i="111"/>
  <c r="O90" i="111"/>
  <c r="S30" i="111"/>
  <c r="P91" i="111"/>
  <c r="O91" i="111"/>
  <c r="P100" i="111"/>
  <c r="O100" i="111"/>
  <c r="AE23" i="107"/>
  <c r="T24" i="111"/>
  <c r="U31" i="111"/>
  <c r="U27" i="111"/>
  <c r="O87" i="111"/>
  <c r="O79" i="111"/>
  <c r="P92" i="111"/>
  <c r="O92" i="111"/>
  <c r="P84" i="111"/>
  <c r="O84" i="111"/>
  <c r="O89" i="111"/>
  <c r="P89" i="111"/>
  <c r="AE31" i="107"/>
  <c r="AF29" i="108"/>
  <c r="AF23" i="108"/>
  <c r="AF25" i="108"/>
  <c r="AF28" i="108"/>
  <c r="AF23" i="107"/>
  <c r="P62" i="111"/>
  <c r="Y26" i="111"/>
  <c r="O73" i="111"/>
  <c r="AC27" i="111"/>
  <c r="Y28" i="111"/>
  <c r="AC30" i="111"/>
  <c r="P58" i="111"/>
  <c r="O58" i="111"/>
  <c r="S22" i="111"/>
  <c r="AE25" i="107"/>
  <c r="P94" i="111"/>
  <c r="O94" i="111"/>
  <c r="S31" i="111"/>
  <c r="P102" i="111"/>
  <c r="O102" i="111"/>
  <c r="S33" i="111"/>
  <c r="AF24" i="107"/>
  <c r="P66" i="111"/>
  <c r="P75" i="111"/>
  <c r="O75" i="111"/>
  <c r="AF28" i="107"/>
  <c r="P86" i="111"/>
  <c r="O86" i="111"/>
  <c r="S29" i="111"/>
  <c r="P101" i="111"/>
  <c r="O101" i="111"/>
  <c r="P73" i="111"/>
  <c r="AE24" i="108"/>
  <c r="AE32" i="108"/>
  <c r="AE28" i="108"/>
  <c r="AE26" i="108"/>
  <c r="AE30" i="108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G10" i="108"/>
  <c r="H10" i="108"/>
  <c r="I10" i="108"/>
  <c r="J10" i="108"/>
  <c r="K10" i="108"/>
  <c r="L10" i="108"/>
  <c r="M10" i="108"/>
  <c r="N10" i="108"/>
  <c r="C10" i="108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O11" i="115"/>
  <c r="Y10" i="115"/>
  <c r="Z10" i="115"/>
  <c r="AD10" i="115"/>
  <c r="O12" i="115"/>
  <c r="O13" i="115"/>
  <c r="O14" i="115"/>
  <c r="Y11" i="115"/>
  <c r="AC11" i="115"/>
  <c r="O15" i="115"/>
  <c r="O16" i="115"/>
  <c r="O17" i="115"/>
  <c r="O18" i="115"/>
  <c r="Y12" i="115"/>
  <c r="AC12" i="115"/>
  <c r="O19" i="115"/>
  <c r="O20" i="115"/>
  <c r="O21" i="115"/>
  <c r="O22" i="115"/>
  <c r="Y13" i="115"/>
  <c r="AC13" i="115"/>
  <c r="P23" i="115"/>
  <c r="O23" i="115"/>
  <c r="O24" i="115"/>
  <c r="P25" i="115"/>
  <c r="O25" i="115"/>
  <c r="O26" i="115"/>
  <c r="Y14" i="115"/>
  <c r="AC14" i="115"/>
  <c r="P27" i="115"/>
  <c r="O27" i="115"/>
  <c r="O28" i="115"/>
  <c r="P29" i="115"/>
  <c r="O29" i="115"/>
  <c r="O30" i="115"/>
  <c r="Y15" i="115"/>
  <c r="AC15" i="115"/>
  <c r="P31" i="115"/>
  <c r="O31" i="115"/>
  <c r="O32" i="115"/>
  <c r="P33" i="115"/>
  <c r="O33" i="115"/>
  <c r="O34" i="115"/>
  <c r="Y16" i="115"/>
  <c r="AC16" i="115"/>
  <c r="P35" i="115"/>
  <c r="O35" i="115"/>
  <c r="O36" i="115"/>
  <c r="P37" i="115"/>
  <c r="O37" i="115"/>
  <c r="O38" i="115"/>
  <c r="Y17" i="115"/>
  <c r="AC17" i="115"/>
  <c r="P39" i="115"/>
  <c r="O39" i="115"/>
  <c r="O40" i="115"/>
  <c r="P41" i="115"/>
  <c r="O41" i="115"/>
  <c r="O42" i="115"/>
  <c r="Y18" i="115"/>
  <c r="AC18" i="115"/>
  <c r="P43" i="115"/>
  <c r="O43" i="115"/>
  <c r="O44" i="115"/>
  <c r="P45" i="115"/>
  <c r="O45" i="115"/>
  <c r="O46" i="115"/>
  <c r="Y19" i="115"/>
  <c r="AC19" i="115"/>
  <c r="P47" i="115"/>
  <c r="O47" i="115"/>
  <c r="O48" i="115"/>
  <c r="P49" i="115"/>
  <c r="O49" i="115"/>
  <c r="O50" i="115"/>
  <c r="Y20" i="115"/>
  <c r="AC20" i="115"/>
  <c r="P51" i="115"/>
  <c r="O51" i="115"/>
  <c r="O52" i="115"/>
  <c r="P53" i="115"/>
  <c r="O53" i="115"/>
  <c r="O54" i="115"/>
  <c r="Y21" i="115"/>
  <c r="AC21" i="115"/>
  <c r="P55" i="115"/>
  <c r="O55" i="115"/>
  <c r="O56" i="115"/>
  <c r="P57" i="115"/>
  <c r="O57" i="115"/>
  <c r="W10" i="115"/>
  <c r="AA10" i="115"/>
  <c r="S10" i="115"/>
  <c r="P11" i="114"/>
  <c r="Z10" i="114"/>
  <c r="Z12" i="114"/>
  <c r="AD12" i="114"/>
  <c r="P29" i="114"/>
  <c r="P31" i="114"/>
  <c r="U16" i="114"/>
  <c r="Y16" i="114"/>
  <c r="Z16" i="114"/>
  <c r="AC16" i="114"/>
  <c r="AD16" i="114"/>
  <c r="P35" i="114"/>
  <c r="P37" i="114"/>
  <c r="Z17" i="114"/>
  <c r="P39" i="114"/>
  <c r="Y17" i="114"/>
  <c r="AC17" i="114"/>
  <c r="P43" i="114"/>
  <c r="P45" i="114"/>
  <c r="T19" i="114"/>
  <c r="X19" i="114"/>
  <c r="AB19" i="114"/>
  <c r="P47" i="114"/>
  <c r="U20" i="114"/>
  <c r="V20" i="114"/>
  <c r="Y20" i="114"/>
  <c r="AC20" i="114"/>
  <c r="AD20" i="114"/>
  <c r="P51" i="114"/>
  <c r="P53" i="114"/>
  <c r="Y21" i="114"/>
  <c r="AC21" i="114"/>
  <c r="P55" i="114"/>
  <c r="AA10" i="114"/>
  <c r="S10" i="114"/>
  <c r="L58" i="115"/>
  <c r="D58" i="115"/>
  <c r="P56" i="115"/>
  <c r="P54" i="115"/>
  <c r="P52" i="115"/>
  <c r="P50" i="115"/>
  <c r="P48" i="115"/>
  <c r="P46" i="115"/>
  <c r="P44" i="115"/>
  <c r="P42" i="115"/>
  <c r="P40" i="115"/>
  <c r="P38" i="115"/>
  <c r="P36" i="115"/>
  <c r="P34" i="115"/>
  <c r="P32" i="115"/>
  <c r="P30" i="115"/>
  <c r="P28" i="115"/>
  <c r="P26" i="115"/>
  <c r="P24" i="115"/>
  <c r="P22" i="115"/>
  <c r="AD21" i="115"/>
  <c r="AB21" i="115"/>
  <c r="AA21" i="115"/>
  <c r="Z21" i="115"/>
  <c r="X21" i="115"/>
  <c r="W21" i="115"/>
  <c r="V21" i="115"/>
  <c r="T21" i="115"/>
  <c r="S21" i="115"/>
  <c r="P21" i="115"/>
  <c r="AD20" i="115"/>
  <c r="AB20" i="115"/>
  <c r="AA20" i="115"/>
  <c r="Z20" i="115"/>
  <c r="X20" i="115"/>
  <c r="W20" i="115"/>
  <c r="V20" i="115"/>
  <c r="T20" i="115"/>
  <c r="S20" i="115"/>
  <c r="P20" i="115"/>
  <c r="AD19" i="115"/>
  <c r="AB19" i="115"/>
  <c r="AA19" i="115"/>
  <c r="Z19" i="115"/>
  <c r="X19" i="115"/>
  <c r="W19" i="115"/>
  <c r="V19" i="115"/>
  <c r="T19" i="115"/>
  <c r="S19" i="115"/>
  <c r="P19" i="115"/>
  <c r="AD18" i="115"/>
  <c r="AB18" i="115"/>
  <c r="AA18" i="115"/>
  <c r="Z18" i="115"/>
  <c r="X18" i="115"/>
  <c r="W18" i="115"/>
  <c r="V18" i="115"/>
  <c r="T18" i="115"/>
  <c r="S18" i="115"/>
  <c r="P18" i="115"/>
  <c r="AD17" i="115"/>
  <c r="AB17" i="115"/>
  <c r="AA17" i="115"/>
  <c r="Z17" i="115"/>
  <c r="X17" i="115"/>
  <c r="W17" i="115"/>
  <c r="V17" i="115"/>
  <c r="T17" i="115"/>
  <c r="S17" i="115"/>
  <c r="P17" i="115"/>
  <c r="AD16" i="115"/>
  <c r="AB16" i="115"/>
  <c r="AA16" i="115"/>
  <c r="Z16" i="115"/>
  <c r="X16" i="115"/>
  <c r="W16" i="115"/>
  <c r="V16" i="115"/>
  <c r="T16" i="115"/>
  <c r="S16" i="115"/>
  <c r="P16" i="115"/>
  <c r="AD15" i="115"/>
  <c r="AB15" i="115"/>
  <c r="AA15" i="115"/>
  <c r="Z15" i="115"/>
  <c r="X15" i="115"/>
  <c r="W15" i="115"/>
  <c r="V15" i="115"/>
  <c r="T15" i="115"/>
  <c r="S15" i="115"/>
  <c r="P15" i="115"/>
  <c r="AD14" i="115"/>
  <c r="AB14" i="115"/>
  <c r="AA14" i="115"/>
  <c r="Z14" i="115"/>
  <c r="X14" i="115"/>
  <c r="W14" i="115"/>
  <c r="V14" i="115"/>
  <c r="T14" i="115"/>
  <c r="S14" i="115"/>
  <c r="P14" i="115"/>
  <c r="AD13" i="115"/>
  <c r="AB13" i="115"/>
  <c r="AA13" i="115"/>
  <c r="Z13" i="115"/>
  <c r="X13" i="115"/>
  <c r="W13" i="115"/>
  <c r="V13" i="115"/>
  <c r="T13" i="115"/>
  <c r="S13" i="115"/>
  <c r="P13" i="115"/>
  <c r="AD12" i="115"/>
  <c r="AB12" i="115"/>
  <c r="AA12" i="115"/>
  <c r="Z12" i="115"/>
  <c r="X12" i="115"/>
  <c r="W12" i="115"/>
  <c r="V12" i="115"/>
  <c r="T12" i="115"/>
  <c r="S12" i="115"/>
  <c r="P12" i="115"/>
  <c r="AD11" i="115"/>
  <c r="AB11" i="115"/>
  <c r="AA11" i="115"/>
  <c r="Z11" i="115"/>
  <c r="X11" i="115"/>
  <c r="W11" i="115"/>
  <c r="V11" i="115"/>
  <c r="T11" i="115"/>
  <c r="S11" i="115"/>
  <c r="P11" i="115"/>
  <c r="AC10" i="115"/>
  <c r="AB10" i="115"/>
  <c r="X10" i="115"/>
  <c r="V10" i="115"/>
  <c r="T10" i="115"/>
  <c r="L58" i="114"/>
  <c r="D58" i="114"/>
  <c r="P57" i="114"/>
  <c r="P49" i="114"/>
  <c r="P41" i="114"/>
  <c r="P33" i="114"/>
  <c r="P25" i="114"/>
  <c r="AB21" i="114"/>
  <c r="AA21" i="114"/>
  <c r="X21" i="114"/>
  <c r="W21" i="114"/>
  <c r="T21" i="114"/>
  <c r="S21" i="114"/>
  <c r="AB20" i="114"/>
  <c r="AA20" i="114"/>
  <c r="Z20" i="114"/>
  <c r="X20" i="114"/>
  <c r="W20" i="114"/>
  <c r="T20" i="114"/>
  <c r="S20" i="114"/>
  <c r="AC19" i="114"/>
  <c r="AA19" i="114"/>
  <c r="Y19" i="114"/>
  <c r="W19" i="114"/>
  <c r="U19" i="114"/>
  <c r="S19" i="114"/>
  <c r="AC18" i="114"/>
  <c r="AB18" i="114"/>
  <c r="AA18" i="114"/>
  <c r="Y18" i="114"/>
  <c r="X18" i="114"/>
  <c r="W18" i="114"/>
  <c r="U18" i="114"/>
  <c r="T18" i="114"/>
  <c r="S18" i="114"/>
  <c r="AB17" i="114"/>
  <c r="AA17" i="114"/>
  <c r="X17" i="114"/>
  <c r="W17" i="114"/>
  <c r="T17" i="114"/>
  <c r="S17" i="114"/>
  <c r="AB16" i="114"/>
  <c r="AA16" i="114"/>
  <c r="X16" i="114"/>
  <c r="W16" i="114"/>
  <c r="V16" i="114"/>
  <c r="T16" i="114"/>
  <c r="S16" i="114"/>
  <c r="AC15" i="114"/>
  <c r="AB15" i="114"/>
  <c r="AA15" i="114"/>
  <c r="Y15" i="114"/>
  <c r="X15" i="114"/>
  <c r="W15" i="114"/>
  <c r="U15" i="114"/>
  <c r="T15" i="114"/>
  <c r="S15" i="114"/>
  <c r="AC14" i="114"/>
  <c r="AB14" i="114"/>
  <c r="AA14" i="114"/>
  <c r="Y14" i="114"/>
  <c r="X14" i="114"/>
  <c r="W14" i="114"/>
  <c r="U14" i="114"/>
  <c r="T14" i="114"/>
  <c r="S14" i="114"/>
  <c r="AC13" i="114"/>
  <c r="AB13" i="114"/>
  <c r="AA13" i="114"/>
  <c r="Y13" i="114"/>
  <c r="X13" i="114"/>
  <c r="W13" i="114"/>
  <c r="U13" i="114"/>
  <c r="T13" i="114"/>
  <c r="S13" i="114"/>
  <c r="AC12" i="114"/>
  <c r="AB12" i="114"/>
  <c r="AA12" i="114"/>
  <c r="Y12" i="114"/>
  <c r="X12" i="114"/>
  <c r="W12" i="114"/>
  <c r="U12" i="114"/>
  <c r="T12" i="114"/>
  <c r="S12" i="114"/>
  <c r="AC11" i="114"/>
  <c r="AB11" i="114"/>
  <c r="AA11" i="114"/>
  <c r="Y11" i="114"/>
  <c r="X11" i="114"/>
  <c r="W11" i="114"/>
  <c r="U11" i="114"/>
  <c r="T11" i="114"/>
  <c r="S11" i="114"/>
  <c r="AC10" i="114"/>
  <c r="AB10" i="114"/>
  <c r="Y10" i="114"/>
  <c r="X10" i="114"/>
  <c r="W10" i="114"/>
  <c r="U10" i="114"/>
  <c r="T10" i="114"/>
  <c r="C3" i="114"/>
  <c r="AF24" i="111" l="1"/>
  <c r="AF22" i="111"/>
  <c r="AE25" i="111"/>
  <c r="AE24" i="111"/>
  <c r="AF33" i="111"/>
  <c r="AB20" i="107"/>
  <c r="AE22" i="111"/>
  <c r="AB12" i="107"/>
  <c r="T11" i="107"/>
  <c r="W19" i="108"/>
  <c r="AA16" i="108"/>
  <c r="W15" i="108"/>
  <c r="AA13" i="108"/>
  <c r="D106" i="107"/>
  <c r="T10" i="107"/>
  <c r="S21" i="107"/>
  <c r="AA20" i="107"/>
  <c r="AA19" i="107"/>
  <c r="AA18" i="107"/>
  <c r="AA17" i="107"/>
  <c r="S16" i="107"/>
  <c r="S15" i="107"/>
  <c r="S14" i="107"/>
  <c r="S13" i="107"/>
  <c r="S12" i="107"/>
  <c r="AA11" i="107"/>
  <c r="L106" i="108"/>
  <c r="AB10" i="108"/>
  <c r="V21" i="108"/>
  <c r="AD20" i="108"/>
  <c r="Z19" i="108"/>
  <c r="Z18" i="108"/>
  <c r="Z17" i="108"/>
  <c r="AD16" i="108"/>
  <c r="AD15" i="108"/>
  <c r="AD14" i="108"/>
  <c r="AD13" i="108"/>
  <c r="AD12" i="108"/>
  <c r="Z11" i="108"/>
  <c r="AF29" i="111"/>
  <c r="M106" i="107"/>
  <c r="AC10" i="107"/>
  <c r="E106" i="107"/>
  <c r="U10" i="107"/>
  <c r="AB21" i="107"/>
  <c r="T21" i="107"/>
  <c r="X20" i="107"/>
  <c r="X19" i="107"/>
  <c r="AB18" i="107"/>
  <c r="X18" i="107"/>
  <c r="AB17" i="107"/>
  <c r="T17" i="107"/>
  <c r="AB16" i="107"/>
  <c r="T16" i="107"/>
  <c r="X15" i="107"/>
  <c r="AB14" i="107"/>
  <c r="X14" i="107"/>
  <c r="AB13" i="107"/>
  <c r="T13" i="107"/>
  <c r="X12" i="107"/>
  <c r="AB11" i="107"/>
  <c r="M106" i="108"/>
  <c r="AC10" i="108"/>
  <c r="D106" i="108"/>
  <c r="T10" i="108"/>
  <c r="AA21" i="108"/>
  <c r="S21" i="108"/>
  <c r="AA20" i="108"/>
  <c r="S20" i="108"/>
  <c r="S19" i="108"/>
  <c r="W18" i="108"/>
  <c r="W17" i="108"/>
  <c r="W16" i="108"/>
  <c r="AA15" i="108"/>
  <c r="W14" i="108"/>
  <c r="W13" i="108"/>
  <c r="W12" i="108"/>
  <c r="W11" i="108"/>
  <c r="AF28" i="111"/>
  <c r="H106" i="107"/>
  <c r="X10" i="107"/>
  <c r="W21" i="107"/>
  <c r="S20" i="107"/>
  <c r="S19" i="107"/>
  <c r="S18" i="107"/>
  <c r="S17" i="107"/>
  <c r="AA16" i="107"/>
  <c r="W15" i="107"/>
  <c r="W14" i="107"/>
  <c r="AA13" i="107"/>
  <c r="AA12" i="107"/>
  <c r="W11" i="107"/>
  <c r="AD21" i="108"/>
  <c r="V20" i="108"/>
  <c r="V19" i="108"/>
  <c r="V18" i="108"/>
  <c r="V17" i="108"/>
  <c r="Z16" i="108"/>
  <c r="V15" i="108"/>
  <c r="Z14" i="108"/>
  <c r="Z13" i="108"/>
  <c r="V12" i="108"/>
  <c r="V11" i="108"/>
  <c r="AE32" i="111"/>
  <c r="AF27" i="111"/>
  <c r="AF25" i="111"/>
  <c r="AE30" i="111"/>
  <c r="T26" i="115"/>
  <c r="Z26" i="115"/>
  <c r="AF11" i="115"/>
  <c r="AF12" i="115"/>
  <c r="T27" i="115"/>
  <c r="Z27" i="115"/>
  <c r="AF13" i="115"/>
  <c r="AF15" i="115"/>
  <c r="AF17" i="115"/>
  <c r="AF19" i="115"/>
  <c r="AF21" i="115"/>
  <c r="AD28" i="115"/>
  <c r="S10" i="107"/>
  <c r="K106" i="107"/>
  <c r="AA10" i="107"/>
  <c r="G106" i="107"/>
  <c r="W10" i="107"/>
  <c r="AD21" i="107"/>
  <c r="Z21" i="107"/>
  <c r="V21" i="107"/>
  <c r="AD20" i="107"/>
  <c r="Z20" i="107"/>
  <c r="V20" i="107"/>
  <c r="AD19" i="107"/>
  <c r="Z19" i="107"/>
  <c r="V19" i="107"/>
  <c r="AD18" i="107"/>
  <c r="Z18" i="107"/>
  <c r="V18" i="107"/>
  <c r="AD17" i="107"/>
  <c r="Z17" i="107"/>
  <c r="V17" i="107"/>
  <c r="AD16" i="107"/>
  <c r="Z16" i="107"/>
  <c r="V16" i="107"/>
  <c r="AD15" i="107"/>
  <c r="Z15" i="107"/>
  <c r="V15" i="107"/>
  <c r="AD14" i="107"/>
  <c r="Z14" i="107"/>
  <c r="V14" i="107"/>
  <c r="AD13" i="107"/>
  <c r="Z13" i="107"/>
  <c r="V13" i="107"/>
  <c r="AD12" i="107"/>
  <c r="Z12" i="107"/>
  <c r="V12" i="107"/>
  <c r="AD11" i="107"/>
  <c r="Z11" i="107"/>
  <c r="V11" i="107"/>
  <c r="C106" i="108"/>
  <c r="S10" i="108"/>
  <c r="K106" i="108"/>
  <c r="AA10" i="108"/>
  <c r="G106" i="108"/>
  <c r="W10" i="108"/>
  <c r="AC21" i="108"/>
  <c r="Y21" i="108"/>
  <c r="U21" i="108"/>
  <c r="AC20" i="108"/>
  <c r="Y20" i="108"/>
  <c r="U20" i="108"/>
  <c r="AC19" i="108"/>
  <c r="Y19" i="108"/>
  <c r="Y39" i="108" s="1"/>
  <c r="U19" i="108"/>
  <c r="AC18" i="108"/>
  <c r="Y18" i="108"/>
  <c r="U18" i="108"/>
  <c r="AC17" i="108"/>
  <c r="Y17" i="108"/>
  <c r="U17" i="108"/>
  <c r="AC16" i="108"/>
  <c r="Y16" i="108"/>
  <c r="U16" i="108"/>
  <c r="AC15" i="108"/>
  <c r="Y15" i="108"/>
  <c r="U15" i="108"/>
  <c r="AC14" i="108"/>
  <c r="Y14" i="108"/>
  <c r="U14" i="108"/>
  <c r="AC13" i="108"/>
  <c r="Y13" i="108"/>
  <c r="U13" i="108"/>
  <c r="AC12" i="108"/>
  <c r="Y12" i="108"/>
  <c r="U12" i="108"/>
  <c r="AC11" i="108"/>
  <c r="Y11" i="108"/>
  <c r="U11" i="108"/>
  <c r="AF32" i="111"/>
  <c r="AE29" i="111"/>
  <c r="AF31" i="111"/>
  <c r="AF23" i="111"/>
  <c r="AF30" i="111"/>
  <c r="AF26" i="111"/>
  <c r="I106" i="107"/>
  <c r="Y10" i="107"/>
  <c r="X21" i="107"/>
  <c r="T20" i="107"/>
  <c r="AB19" i="107"/>
  <c r="T19" i="107"/>
  <c r="T18" i="107"/>
  <c r="X17" i="107"/>
  <c r="X16" i="107"/>
  <c r="AB15" i="107"/>
  <c r="T15" i="107"/>
  <c r="T14" i="107"/>
  <c r="X13" i="107"/>
  <c r="T12" i="107"/>
  <c r="X11" i="107"/>
  <c r="I106" i="108"/>
  <c r="Y10" i="108"/>
  <c r="W21" i="108"/>
  <c r="W20" i="108"/>
  <c r="AA19" i="108"/>
  <c r="AA18" i="108"/>
  <c r="S18" i="108"/>
  <c r="AA17" i="108"/>
  <c r="S17" i="108"/>
  <c r="S16" i="108"/>
  <c r="S15" i="108"/>
  <c r="AA14" i="108"/>
  <c r="S14" i="108"/>
  <c r="S13" i="108"/>
  <c r="AA12" i="108"/>
  <c r="S12" i="108"/>
  <c r="AA11" i="108"/>
  <c r="S11" i="108"/>
  <c r="L106" i="107"/>
  <c r="AB10" i="107"/>
  <c r="AA21" i="107"/>
  <c r="W20" i="107"/>
  <c r="W19" i="107"/>
  <c r="W18" i="107"/>
  <c r="W17" i="107"/>
  <c r="W16" i="107"/>
  <c r="AA15" i="107"/>
  <c r="AA14" i="107"/>
  <c r="W13" i="107"/>
  <c r="W12" i="107"/>
  <c r="S11" i="107"/>
  <c r="H106" i="108"/>
  <c r="X10" i="108"/>
  <c r="Z21" i="108"/>
  <c r="Z20" i="108"/>
  <c r="AD19" i="108"/>
  <c r="AD18" i="108"/>
  <c r="AD17" i="108"/>
  <c r="V16" i="108"/>
  <c r="Z15" i="108"/>
  <c r="V14" i="108"/>
  <c r="V13" i="108"/>
  <c r="Z12" i="108"/>
  <c r="AD11" i="108"/>
  <c r="V26" i="115"/>
  <c r="AA23" i="115"/>
  <c r="V27" i="115"/>
  <c r="AA27" i="115"/>
  <c r="N106" i="107"/>
  <c r="AD10" i="107"/>
  <c r="J106" i="107"/>
  <c r="Z10" i="107"/>
  <c r="F106" i="107"/>
  <c r="V10" i="107"/>
  <c r="AC21" i="107"/>
  <c r="Y21" i="107"/>
  <c r="U21" i="107"/>
  <c r="AC20" i="107"/>
  <c r="Y20" i="107"/>
  <c r="U20" i="107"/>
  <c r="AC19" i="107"/>
  <c r="Y19" i="107"/>
  <c r="U19" i="107"/>
  <c r="AC18" i="107"/>
  <c r="Y18" i="107"/>
  <c r="U18" i="107"/>
  <c r="AC17" i="107"/>
  <c r="Y17" i="107"/>
  <c r="U17" i="107"/>
  <c r="AC16" i="107"/>
  <c r="Y16" i="107"/>
  <c r="U16" i="107"/>
  <c r="AC15" i="107"/>
  <c r="Y15" i="107"/>
  <c r="U15" i="107"/>
  <c r="AC14" i="107"/>
  <c r="Y14" i="107"/>
  <c r="U14" i="107"/>
  <c r="AC13" i="107"/>
  <c r="Y13" i="107"/>
  <c r="U13" i="107"/>
  <c r="AC12" i="107"/>
  <c r="Y12" i="107"/>
  <c r="U12" i="107"/>
  <c r="AC11" i="107"/>
  <c r="Y11" i="107"/>
  <c r="U11" i="107"/>
  <c r="N106" i="108"/>
  <c r="AD10" i="108"/>
  <c r="J106" i="108"/>
  <c r="Z10" i="108"/>
  <c r="E106" i="108"/>
  <c r="U10" i="108"/>
  <c r="AB21" i="108"/>
  <c r="X21" i="108"/>
  <c r="T21" i="108"/>
  <c r="AB20" i="108"/>
  <c r="X20" i="108"/>
  <c r="T20" i="108"/>
  <c r="AB19" i="108"/>
  <c r="X19" i="108"/>
  <c r="T19" i="108"/>
  <c r="AB18" i="108"/>
  <c r="X18" i="108"/>
  <c r="T18" i="108"/>
  <c r="AB17" i="108"/>
  <c r="X17" i="108"/>
  <c r="T17" i="108"/>
  <c r="AB16" i="108"/>
  <c r="X16" i="108"/>
  <c r="T16" i="108"/>
  <c r="AB15" i="108"/>
  <c r="X15" i="108"/>
  <c r="T15" i="108"/>
  <c r="AB14" i="108"/>
  <c r="X14" i="108"/>
  <c r="T14" i="108"/>
  <c r="AB13" i="108"/>
  <c r="X13" i="108"/>
  <c r="T13" i="108"/>
  <c r="AB12" i="108"/>
  <c r="X12" i="108"/>
  <c r="T12" i="108"/>
  <c r="AB11" i="108"/>
  <c r="X11" i="108"/>
  <c r="T11" i="108"/>
  <c r="AE31" i="111"/>
  <c r="AE26" i="111"/>
  <c r="AE23" i="111"/>
  <c r="AE28" i="111"/>
  <c r="AE33" i="111"/>
  <c r="AE27" i="111"/>
  <c r="V28" i="115"/>
  <c r="S26" i="115"/>
  <c r="X26" i="115"/>
  <c r="AD26" i="115"/>
  <c r="S27" i="115"/>
  <c r="X27" i="115"/>
  <c r="AD27" i="115"/>
  <c r="Z28" i="115"/>
  <c r="W26" i="115"/>
  <c r="AB26" i="115"/>
  <c r="W24" i="115"/>
  <c r="AB27" i="115"/>
  <c r="AC27" i="115"/>
  <c r="AE17" i="115"/>
  <c r="AE16" i="115"/>
  <c r="AE13" i="115"/>
  <c r="AE12" i="115"/>
  <c r="AE11" i="115"/>
  <c r="AE21" i="115"/>
  <c r="AE20" i="115"/>
  <c r="AE19" i="115"/>
  <c r="AE15" i="115"/>
  <c r="Y26" i="115"/>
  <c r="Y27" i="115"/>
  <c r="AE18" i="115"/>
  <c r="AE14" i="115"/>
  <c r="AC26" i="115"/>
  <c r="AF14" i="115"/>
  <c r="AF16" i="115"/>
  <c r="AF18" i="115"/>
  <c r="AF20" i="115"/>
  <c r="AF27" i="115" s="1"/>
  <c r="U10" i="115"/>
  <c r="U11" i="115"/>
  <c r="U12" i="115"/>
  <c r="U13" i="115"/>
  <c r="U14" i="115"/>
  <c r="U15" i="115"/>
  <c r="U16" i="115"/>
  <c r="U17" i="115"/>
  <c r="U18" i="115"/>
  <c r="U19" i="115"/>
  <c r="U20" i="115"/>
  <c r="U21" i="115"/>
  <c r="O10" i="115"/>
  <c r="AE10" i="115" s="1"/>
  <c r="AE25" i="115" s="1"/>
  <c r="P10" i="115"/>
  <c r="P58" i="115" s="1"/>
  <c r="T27" i="114"/>
  <c r="S26" i="114"/>
  <c r="S25" i="114"/>
  <c r="AB27" i="114"/>
  <c r="AA26" i="114"/>
  <c r="AC27" i="114"/>
  <c r="X27" i="114"/>
  <c r="Z19" i="114"/>
  <c r="AD18" i="114"/>
  <c r="V17" i="114"/>
  <c r="P38" i="114"/>
  <c r="P36" i="114"/>
  <c r="P34" i="114"/>
  <c r="P32" i="114"/>
  <c r="P30" i="114"/>
  <c r="V15" i="114"/>
  <c r="P28" i="114"/>
  <c r="P26" i="114"/>
  <c r="AF14" i="114" s="1"/>
  <c r="V14" i="114"/>
  <c r="V13" i="114"/>
  <c r="P22" i="114"/>
  <c r="P21" i="114"/>
  <c r="P19" i="114"/>
  <c r="P18" i="114"/>
  <c r="P17" i="114"/>
  <c r="AD11" i="114"/>
  <c r="AD25" i="114" s="1"/>
  <c r="AD10" i="114"/>
  <c r="P16" i="114"/>
  <c r="P27" i="114"/>
  <c r="P56" i="114"/>
  <c r="P54" i="114"/>
  <c r="P52" i="114"/>
  <c r="P48" i="114"/>
  <c r="P46" i="114"/>
  <c r="AF19" i="114" s="1"/>
  <c r="P44" i="114"/>
  <c r="P42" i="114"/>
  <c r="P40" i="114"/>
  <c r="AD15" i="114"/>
  <c r="AD14" i="114"/>
  <c r="P24" i="114"/>
  <c r="Z13" i="114"/>
  <c r="Z11" i="114"/>
  <c r="Z25" i="114" s="1"/>
  <c r="V10" i="114"/>
  <c r="AA28" i="114"/>
  <c r="AD21" i="114"/>
  <c r="Z21" i="114"/>
  <c r="V21" i="114"/>
  <c r="AE21" i="114"/>
  <c r="AE20" i="114"/>
  <c r="AD19" i="114"/>
  <c r="AD27" i="114" s="1"/>
  <c r="AE19" i="114"/>
  <c r="V19" i="114"/>
  <c r="Z18" i="114"/>
  <c r="V18" i="114"/>
  <c r="AD17" i="114"/>
  <c r="Z15" i="114"/>
  <c r="Z14" i="114"/>
  <c r="AD13" i="114"/>
  <c r="P15" i="114"/>
  <c r="P14" i="114"/>
  <c r="V11" i="114"/>
  <c r="P13" i="114"/>
  <c r="P20" i="114"/>
  <c r="W28" i="114"/>
  <c r="P12" i="114"/>
  <c r="V12" i="114"/>
  <c r="W23" i="114"/>
  <c r="Y27" i="114"/>
  <c r="P23" i="114"/>
  <c r="X26" i="114"/>
  <c r="AB26" i="114"/>
  <c r="Y26" i="114"/>
  <c r="W24" i="114"/>
  <c r="T23" i="114"/>
  <c r="AC26" i="114"/>
  <c r="U17" i="114"/>
  <c r="U26" i="114" s="1"/>
  <c r="S27" i="114"/>
  <c r="AA27" i="114"/>
  <c r="U21" i="114"/>
  <c r="U27" i="114" s="1"/>
  <c r="P50" i="114"/>
  <c r="AF20" i="114" s="1"/>
  <c r="P10" i="114"/>
  <c r="S25" i="115"/>
  <c r="W28" i="115"/>
  <c r="AA25" i="115"/>
  <c r="T28" i="115"/>
  <c r="X28" i="115"/>
  <c r="AB28" i="115"/>
  <c r="Y28" i="115"/>
  <c r="AC28" i="115"/>
  <c r="T28" i="114"/>
  <c r="X28" i="114"/>
  <c r="AB28" i="114"/>
  <c r="O58" i="114"/>
  <c r="L60" i="114" s="1"/>
  <c r="Y28" i="114"/>
  <c r="AC28" i="114"/>
  <c r="AE10" i="114"/>
  <c r="AA22" i="115"/>
  <c r="W23" i="115"/>
  <c r="S24" i="115"/>
  <c r="AA26" i="115"/>
  <c r="W27" i="115"/>
  <c r="S28" i="115"/>
  <c r="D59" i="115"/>
  <c r="AF10" i="115"/>
  <c r="T22" i="115"/>
  <c r="X22" i="115"/>
  <c r="AB22" i="115"/>
  <c r="T23" i="115"/>
  <c r="X23" i="115"/>
  <c r="AB23" i="115"/>
  <c r="T24" i="115"/>
  <c r="X24" i="115"/>
  <c r="AB24" i="115"/>
  <c r="T25" i="115"/>
  <c r="X25" i="115"/>
  <c r="AB25" i="115"/>
  <c r="L59" i="115"/>
  <c r="S22" i="115"/>
  <c r="S23" i="115"/>
  <c r="AA24" i="115"/>
  <c r="W25" i="115"/>
  <c r="AA28" i="115"/>
  <c r="Y22" i="115"/>
  <c r="AC22" i="115"/>
  <c r="Y23" i="115"/>
  <c r="AC23" i="115"/>
  <c r="U24" i="115"/>
  <c r="Y24" i="115"/>
  <c r="AC24" i="115"/>
  <c r="Y25" i="115"/>
  <c r="AC25" i="115"/>
  <c r="W22" i="115"/>
  <c r="V22" i="115"/>
  <c r="Z22" i="115"/>
  <c r="AD22" i="115"/>
  <c r="V23" i="115"/>
  <c r="Z23" i="115"/>
  <c r="AD23" i="115"/>
  <c r="V24" i="115"/>
  <c r="Z24" i="115"/>
  <c r="AD24" i="115"/>
  <c r="V25" i="115"/>
  <c r="Z25" i="115"/>
  <c r="AD25" i="115"/>
  <c r="W22" i="114"/>
  <c r="S23" i="114"/>
  <c r="AA25" i="114"/>
  <c r="W26" i="114"/>
  <c r="S28" i="114"/>
  <c r="S22" i="114"/>
  <c r="AA22" i="114"/>
  <c r="S24" i="114"/>
  <c r="AA24" i="114"/>
  <c r="W25" i="114"/>
  <c r="W27" i="114"/>
  <c r="AB22" i="114"/>
  <c r="X23" i="114"/>
  <c r="T24" i="114"/>
  <c r="AB24" i="114"/>
  <c r="T25" i="114"/>
  <c r="AB25" i="114"/>
  <c r="T26" i="114"/>
  <c r="U22" i="114"/>
  <c r="Y22" i="114"/>
  <c r="AC22" i="114"/>
  <c r="U23" i="114"/>
  <c r="Y23" i="114"/>
  <c r="AC23" i="114"/>
  <c r="Y24" i="114"/>
  <c r="AC24" i="114"/>
  <c r="U25" i="114"/>
  <c r="Y25" i="114"/>
  <c r="AC25" i="114"/>
  <c r="AA23" i="114"/>
  <c r="T22" i="114"/>
  <c r="X22" i="114"/>
  <c r="AB23" i="114"/>
  <c r="X24" i="114"/>
  <c r="X25" i="114"/>
  <c r="F10" i="94"/>
  <c r="F10" i="108" s="1"/>
  <c r="U35" i="107" l="1"/>
  <c r="AA37" i="108"/>
  <c r="Y38" i="108"/>
  <c r="AC39" i="108"/>
  <c r="AF23" i="115"/>
  <c r="Y38" i="107"/>
  <c r="AC39" i="107"/>
  <c r="U35" i="108"/>
  <c r="AD22" i="114"/>
  <c r="T38" i="108"/>
  <c r="T35" i="108"/>
  <c r="AB36" i="108"/>
  <c r="AB39" i="108"/>
  <c r="Y35" i="107"/>
  <c r="AC38" i="107"/>
  <c r="U36" i="107"/>
  <c r="Z41" i="107"/>
  <c r="Z40" i="107"/>
  <c r="Z37" i="107"/>
  <c r="Z34" i="107"/>
  <c r="AD39" i="108"/>
  <c r="AD36" i="108"/>
  <c r="AB40" i="107"/>
  <c r="AB41" i="107"/>
  <c r="AB42" i="107" s="1"/>
  <c r="AB37" i="107"/>
  <c r="AB34" i="107"/>
  <c r="Y35" i="108"/>
  <c r="AC38" i="108"/>
  <c r="U36" i="108"/>
  <c r="AA40" i="108"/>
  <c r="AA41" i="108"/>
  <c r="AA34" i="108"/>
  <c r="AD35" i="107"/>
  <c r="AD38" i="107"/>
  <c r="V39" i="107"/>
  <c r="V36" i="107"/>
  <c r="AA38" i="107"/>
  <c r="AA35" i="107"/>
  <c r="S36" i="108"/>
  <c r="S39" i="108"/>
  <c r="AB38" i="107"/>
  <c r="AB35" i="107"/>
  <c r="AC40" i="107"/>
  <c r="AC37" i="107"/>
  <c r="AC34" i="107"/>
  <c r="AC41" i="107"/>
  <c r="AA36" i="107"/>
  <c r="AA39" i="107"/>
  <c r="W36" i="108"/>
  <c r="W39" i="108"/>
  <c r="U37" i="108"/>
  <c r="U41" i="108"/>
  <c r="U34" i="108"/>
  <c r="U40" i="108"/>
  <c r="X40" i="108"/>
  <c r="X41" i="108"/>
  <c r="X42" i="108" s="1"/>
  <c r="X37" i="108"/>
  <c r="X34" i="108"/>
  <c r="AA39" i="108"/>
  <c r="AA36" i="108"/>
  <c r="AA40" i="107"/>
  <c r="AA34" i="107"/>
  <c r="AA37" i="107"/>
  <c r="AA41" i="107"/>
  <c r="T38" i="107"/>
  <c r="T35" i="107"/>
  <c r="T40" i="107"/>
  <c r="T37" i="107"/>
  <c r="T34" i="107"/>
  <c r="T41" i="107"/>
  <c r="T42" i="107" s="1"/>
  <c r="U24" i="114"/>
  <c r="Z23" i="114"/>
  <c r="X38" i="108"/>
  <c r="X35" i="108"/>
  <c r="Z40" i="108"/>
  <c r="Z37" i="108"/>
  <c r="Z41" i="108"/>
  <c r="Z34" i="108"/>
  <c r="AC35" i="107"/>
  <c r="U39" i="107"/>
  <c r="Y36" i="107"/>
  <c r="W39" i="107"/>
  <c r="W36" i="107"/>
  <c r="T36" i="107"/>
  <c r="T39" i="107"/>
  <c r="Y41" i="107"/>
  <c r="Y40" i="107"/>
  <c r="Y34" i="107"/>
  <c r="Y37" i="107"/>
  <c r="AC35" i="108"/>
  <c r="U39" i="108"/>
  <c r="Y36" i="108"/>
  <c r="Z39" i="107"/>
  <c r="Z36" i="107"/>
  <c r="W40" i="107"/>
  <c r="W41" i="107"/>
  <c r="W42" i="107" s="1"/>
  <c r="W34" i="107"/>
  <c r="S40" i="107"/>
  <c r="S37" i="107"/>
  <c r="S34" i="107"/>
  <c r="S41" i="107"/>
  <c r="S42" i="107" s="1"/>
  <c r="Z35" i="108"/>
  <c r="Z38" i="108"/>
  <c r="X40" i="107"/>
  <c r="X37" i="107"/>
  <c r="X34" i="107"/>
  <c r="X41" i="107"/>
  <c r="T40" i="108"/>
  <c r="T37" i="108"/>
  <c r="T34" i="108"/>
  <c r="T41" i="108"/>
  <c r="AD35" i="108"/>
  <c r="AD38" i="108"/>
  <c r="AA35" i="108"/>
  <c r="AA38" i="108"/>
  <c r="U28" i="115"/>
  <c r="X36" i="108"/>
  <c r="X39" i="108"/>
  <c r="AD41" i="108"/>
  <c r="AD34" i="108"/>
  <c r="AD37" i="108"/>
  <c r="AD40" i="108"/>
  <c r="W38" i="107"/>
  <c r="W35" i="107"/>
  <c r="Z35" i="107"/>
  <c r="Z38" i="107"/>
  <c r="V39" i="108"/>
  <c r="V36" i="108"/>
  <c r="AC40" i="108"/>
  <c r="AC41" i="108"/>
  <c r="AC34" i="108"/>
  <c r="AC37" i="108"/>
  <c r="Z39" i="108"/>
  <c r="Z36" i="108"/>
  <c r="F106" i="108"/>
  <c r="V10" i="108"/>
  <c r="AB38" i="108"/>
  <c r="AB35" i="108"/>
  <c r="T36" i="108"/>
  <c r="T39" i="108"/>
  <c r="U38" i="107"/>
  <c r="Y39" i="107"/>
  <c r="AC36" i="107"/>
  <c r="V37" i="107"/>
  <c r="V41" i="107"/>
  <c r="V40" i="107"/>
  <c r="V34" i="107"/>
  <c r="AD34" i="107"/>
  <c r="AD37" i="107"/>
  <c r="AD41" i="107"/>
  <c r="AD40" i="107"/>
  <c r="V35" i="108"/>
  <c r="V38" i="108"/>
  <c r="S38" i="108"/>
  <c r="S35" i="108"/>
  <c r="Y40" i="108"/>
  <c r="Y34" i="108"/>
  <c r="Y41" i="108"/>
  <c r="Y37" i="108"/>
  <c r="X38" i="107"/>
  <c r="X35" i="107"/>
  <c r="AB36" i="107"/>
  <c r="AB39" i="107"/>
  <c r="U38" i="108"/>
  <c r="AC36" i="108"/>
  <c r="W40" i="108"/>
  <c r="W37" i="108"/>
  <c r="W34" i="108"/>
  <c r="W41" i="108"/>
  <c r="S40" i="108"/>
  <c r="S41" i="108"/>
  <c r="S37" i="108"/>
  <c r="S34" i="108"/>
  <c r="V35" i="107"/>
  <c r="V38" i="107"/>
  <c r="AD39" i="107"/>
  <c r="AD36" i="107"/>
  <c r="W37" i="107"/>
  <c r="S36" i="107"/>
  <c r="S39" i="107"/>
  <c r="W38" i="108"/>
  <c r="W35" i="108"/>
  <c r="X36" i="107"/>
  <c r="X39" i="107"/>
  <c r="U40" i="107"/>
  <c r="U37" i="107"/>
  <c r="U41" i="107"/>
  <c r="U34" i="107"/>
  <c r="AB40" i="108"/>
  <c r="AB41" i="108"/>
  <c r="AB34" i="108"/>
  <c r="AB37" i="108"/>
  <c r="S35" i="107"/>
  <c r="S38" i="107"/>
  <c r="AE22" i="115"/>
  <c r="U25" i="115"/>
  <c r="AD26" i="114"/>
  <c r="U23" i="115"/>
  <c r="AE24" i="115"/>
  <c r="AE28" i="115"/>
  <c r="AD24" i="114"/>
  <c r="AF10" i="114"/>
  <c r="U22" i="115"/>
  <c r="AE23" i="115"/>
  <c r="O58" i="115"/>
  <c r="L60" i="115" s="1"/>
  <c r="V27" i="114"/>
  <c r="AF18" i="114"/>
  <c r="V26" i="114"/>
  <c r="AF24" i="115"/>
  <c r="AF26" i="115"/>
  <c r="U27" i="115"/>
  <c r="AE27" i="115"/>
  <c r="U26" i="115"/>
  <c r="AE26" i="115"/>
  <c r="P58" i="114"/>
  <c r="D59" i="114" s="1"/>
  <c r="Z24" i="114"/>
  <c r="Z28" i="114"/>
  <c r="V24" i="114"/>
  <c r="V28" i="114"/>
  <c r="AE24" i="114"/>
  <c r="AD23" i="114"/>
  <c r="Z22" i="114"/>
  <c r="D60" i="114"/>
  <c r="AD28" i="114"/>
  <c r="AF11" i="114"/>
  <c r="AE18" i="114"/>
  <c r="AE27" i="114"/>
  <c r="Z26" i="114"/>
  <c r="AE12" i="114"/>
  <c r="AF16" i="114"/>
  <c r="AE17" i="114"/>
  <c r="AE15" i="114"/>
  <c r="V22" i="114"/>
  <c r="AE11" i="114"/>
  <c r="AF12" i="114"/>
  <c r="AE13" i="114"/>
  <c r="AE14" i="114"/>
  <c r="AF15" i="114"/>
  <c r="AE16" i="114"/>
  <c r="AF17" i="114"/>
  <c r="Z27" i="114"/>
  <c r="V25" i="114"/>
  <c r="V23" i="114"/>
  <c r="U28" i="114"/>
  <c r="AF21" i="114"/>
  <c r="AF24" i="114" s="1"/>
  <c r="AF13" i="114"/>
  <c r="AE25" i="114"/>
  <c r="AF28" i="115"/>
  <c r="AF25" i="115"/>
  <c r="AF22" i="115"/>
  <c r="C3" i="94"/>
  <c r="C3" i="115" s="1"/>
  <c r="AD42" i="107" l="1"/>
  <c r="Z42" i="108"/>
  <c r="Y42" i="108"/>
  <c r="U42" i="108"/>
  <c r="AF28" i="114"/>
  <c r="L59" i="114"/>
  <c r="W42" i="108"/>
  <c r="AA42" i="107"/>
  <c r="D60" i="115"/>
  <c r="V34" i="108"/>
  <c r="V37" i="108"/>
  <c r="V41" i="108"/>
  <c r="V40" i="108"/>
  <c r="U42" i="107"/>
  <c r="S42" i="108"/>
  <c r="AD42" i="108"/>
  <c r="T42" i="108"/>
  <c r="X42" i="107"/>
  <c r="Y42" i="107"/>
  <c r="AC42" i="107"/>
  <c r="AA42" i="108"/>
  <c r="AB42" i="108"/>
  <c r="V42" i="107"/>
  <c r="AC42" i="108"/>
  <c r="Z42" i="107"/>
  <c r="AE22" i="114"/>
  <c r="AF27" i="114"/>
  <c r="AE28" i="114"/>
  <c r="AF22" i="114"/>
  <c r="AF25" i="114"/>
  <c r="AF23" i="114"/>
  <c r="AF26" i="114"/>
  <c r="AE26" i="114"/>
  <c r="AE23" i="114"/>
  <c r="K6" i="98"/>
  <c r="K5" i="98"/>
  <c r="G5" i="98"/>
  <c r="K6" i="97"/>
  <c r="K5" i="97"/>
  <c r="G5" i="97"/>
  <c r="K6" i="96"/>
  <c r="K5" i="96"/>
  <c r="G5" i="96"/>
  <c r="K6" i="95"/>
  <c r="K5" i="95"/>
  <c r="G5" i="95"/>
  <c r="K6" i="94"/>
  <c r="K5" i="94"/>
  <c r="G5" i="94"/>
  <c r="G6" i="110"/>
  <c r="G6" i="109"/>
  <c r="G6" i="105"/>
  <c r="G6" i="101"/>
  <c r="D6" i="110"/>
  <c r="D6" i="109"/>
  <c r="D6" i="105"/>
  <c r="D6" i="101"/>
  <c r="D5" i="110"/>
  <c r="D5" i="109"/>
  <c r="V42" i="108" l="1"/>
  <c r="G5" i="99"/>
  <c r="G5" i="114"/>
  <c r="K5" i="99"/>
  <c r="K5" i="114"/>
  <c r="K6" i="99"/>
  <c r="K6" i="114"/>
  <c r="K6" i="107"/>
  <c r="K6" i="108"/>
  <c r="K6" i="111" s="1"/>
  <c r="K5" i="108"/>
  <c r="K5" i="111" s="1"/>
  <c r="K5" i="107"/>
  <c r="G5" i="107"/>
  <c r="G5" i="108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Y19" i="105"/>
  <c r="X19" i="105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Y19" i="97"/>
  <c r="X19" i="97"/>
  <c r="X27" i="97" s="1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27" i="97" l="1"/>
  <c r="T27" i="97"/>
  <c r="AB27" i="97"/>
  <c r="AD39" i="105"/>
  <c r="K5" i="100"/>
  <c r="K5" i="101" s="1"/>
  <c r="K5" i="109" s="1"/>
  <c r="K5" i="105" s="1"/>
  <c r="K5" i="110" s="1"/>
  <c r="K5" i="115"/>
  <c r="AD38" i="101"/>
  <c r="U39" i="109"/>
  <c r="AC39" i="109"/>
  <c r="K6" i="100"/>
  <c r="K6" i="101" s="1"/>
  <c r="K6" i="109" s="1"/>
  <c r="K6" i="105" s="1"/>
  <c r="K6" i="110" s="1"/>
  <c r="K6" i="115"/>
  <c r="G5" i="100"/>
  <c r="G5" i="101" s="1"/>
  <c r="G5" i="109" s="1"/>
  <c r="G5" i="105" s="1"/>
  <c r="G5" i="110" s="1"/>
  <c r="G5" i="115"/>
  <c r="Y39" i="109"/>
  <c r="AA39" i="101"/>
  <c r="X39" i="105"/>
  <c r="W39" i="105"/>
  <c r="AA39" i="105"/>
  <c r="W27" i="99"/>
  <c r="AA26" i="95"/>
  <c r="V39" i="105"/>
  <c r="Z39" i="105"/>
  <c r="X26" i="98"/>
  <c r="Z39" i="101"/>
  <c r="AB39" i="101"/>
  <c r="AD39" i="101"/>
  <c r="W26" i="95"/>
  <c r="AD26" i="95"/>
  <c r="C3" i="111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69" i="101"/>
  <c r="P91" i="101"/>
  <c r="U15" i="94"/>
  <c r="W17" i="96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E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L58" i="99"/>
  <c r="U24" i="99"/>
  <c r="U27" i="99"/>
  <c r="T14" i="99"/>
  <c r="X14" i="99"/>
  <c r="AB14" i="99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L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L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L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L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AB10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U38" i="110" l="1"/>
  <c r="V39" i="109"/>
  <c r="W38" i="110"/>
  <c r="Z26" i="95"/>
  <c r="Y38" i="105"/>
  <c r="AF25" i="101"/>
  <c r="AF28" i="101"/>
  <c r="S38" i="110"/>
  <c r="T36" i="105"/>
  <c r="S38" i="105"/>
  <c r="U38" i="109"/>
  <c r="AF32" i="101"/>
  <c r="AF33" i="101"/>
  <c r="X26" i="96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Y21" i="111" s="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U20" i="111" s="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Y18" i="111" s="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AA17" i="111" s="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AD11" i="111" s="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AA14" i="111" s="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AA13" i="111" s="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AA12" i="111" s="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AA11" i="111" s="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Z13" i="111" s="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AC21" i="111" s="1"/>
  <c r="E54" i="111"/>
  <c r="U21" i="111" s="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Y20" i="111" s="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Y19" i="111" s="1"/>
  <c r="Y39" i="111" s="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W18" i="111" s="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AC16" i="111" s="1"/>
  <c r="G34" i="111"/>
  <c r="W16" i="111" s="1"/>
  <c r="C34" i="111"/>
  <c r="M33" i="111"/>
  <c r="I33" i="111"/>
  <c r="E33" i="111"/>
  <c r="M32" i="111"/>
  <c r="I32" i="111"/>
  <c r="E32" i="111"/>
  <c r="M31" i="111"/>
  <c r="I31" i="111"/>
  <c r="E31" i="111"/>
  <c r="M30" i="111"/>
  <c r="AC15" i="111" s="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Y14" i="111" s="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Y13" i="111" s="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Y12" i="111" s="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Y11" i="111" s="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AF11" i="108" s="1"/>
  <c r="O41" i="108"/>
  <c r="O33" i="108"/>
  <c r="O25" i="108"/>
  <c r="O23" i="108"/>
  <c r="O19" i="108"/>
  <c r="O15" i="108"/>
  <c r="P50" i="108"/>
  <c r="P42" i="108"/>
  <c r="AF18" i="108" s="1"/>
  <c r="P34" i="108"/>
  <c r="O54" i="108"/>
  <c r="O42" i="108"/>
  <c r="O34" i="108"/>
  <c r="AE16" i="108" s="1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AF12" i="107" s="1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AF19" i="107" s="1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AE12" i="107" s="1"/>
  <c r="O16" i="107"/>
  <c r="O14" i="107"/>
  <c r="O12" i="107"/>
  <c r="P26" i="107"/>
  <c r="AF14" i="107" s="1"/>
  <c r="P38" i="107"/>
  <c r="P30" i="107"/>
  <c r="P34" i="107"/>
  <c r="O30" i="107"/>
  <c r="AE15" i="107" s="1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V23" i="95"/>
  <c r="W23" i="94"/>
  <c r="AA38" i="101"/>
  <c r="AC38" i="101"/>
  <c r="Y35" i="101"/>
  <c r="U38" i="101"/>
  <c r="Y23" i="100"/>
  <c r="W28" i="100"/>
  <c r="AB26" i="99"/>
  <c r="T26" i="99"/>
  <c r="AF13" i="100"/>
  <c r="Z35" i="101"/>
  <c r="AC26" i="99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AE10" i="94"/>
  <c r="AF10" i="94"/>
  <c r="P58" i="94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11" i="107" l="1"/>
  <c r="AC19" i="111"/>
  <c r="AD12" i="111"/>
  <c r="AF20" i="107"/>
  <c r="AF18" i="107"/>
  <c r="AE21" i="107"/>
  <c r="W19" i="111"/>
  <c r="O106" i="107"/>
  <c r="H108" i="107" s="1"/>
  <c r="AE10" i="107"/>
  <c r="K106" i="111"/>
  <c r="AA10" i="111"/>
  <c r="Y36" i="111"/>
  <c r="C106" i="111"/>
  <c r="S10" i="111"/>
  <c r="J106" i="111"/>
  <c r="Z10" i="111"/>
  <c r="P106" i="107"/>
  <c r="C107" i="107" s="1"/>
  <c r="AF10" i="107"/>
  <c r="AF16" i="107"/>
  <c r="AE18" i="107"/>
  <c r="AE19" i="107"/>
  <c r="AE20" i="107"/>
  <c r="AF21" i="107"/>
  <c r="AF36" i="107" s="1"/>
  <c r="AF11" i="107"/>
  <c r="AE18" i="108"/>
  <c r="AF20" i="108"/>
  <c r="AF15" i="108"/>
  <c r="AE20" i="108"/>
  <c r="AE14" i="108"/>
  <c r="P106" i="108"/>
  <c r="H107" i="108" s="1"/>
  <c r="AF10" i="108"/>
  <c r="AC11" i="111"/>
  <c r="AC12" i="111"/>
  <c r="AC13" i="111"/>
  <c r="Y17" i="111"/>
  <c r="AC18" i="111"/>
  <c r="AA19" i="111"/>
  <c r="N106" i="111"/>
  <c r="AD10" i="111"/>
  <c r="Z11" i="111"/>
  <c r="V12" i="111"/>
  <c r="V13" i="111"/>
  <c r="V14" i="111"/>
  <c r="V15" i="111"/>
  <c r="V16" i="111"/>
  <c r="V17" i="111"/>
  <c r="V18" i="111"/>
  <c r="V19" i="111"/>
  <c r="V20" i="111"/>
  <c r="V21" i="111"/>
  <c r="AC14" i="111"/>
  <c r="AA15" i="111"/>
  <c r="AA16" i="111"/>
  <c r="T14" i="111"/>
  <c r="T15" i="111"/>
  <c r="T16" i="111"/>
  <c r="T17" i="111"/>
  <c r="T18" i="111"/>
  <c r="T19" i="111"/>
  <c r="T20" i="111"/>
  <c r="T21" i="111"/>
  <c r="E106" i="111"/>
  <c r="U10" i="111"/>
  <c r="AA18" i="111"/>
  <c r="AA38" i="111" s="1"/>
  <c r="AA20" i="111"/>
  <c r="AA21" i="111"/>
  <c r="L106" i="111"/>
  <c r="AB10" i="111"/>
  <c r="AE24" i="98"/>
  <c r="AF15" i="107"/>
  <c r="AE13" i="107"/>
  <c r="AE21" i="108"/>
  <c r="AF21" i="108"/>
  <c r="AF14" i="108"/>
  <c r="AE11" i="108"/>
  <c r="AE15" i="108"/>
  <c r="AE17" i="108"/>
  <c r="AF13" i="108"/>
  <c r="S15" i="111"/>
  <c r="S16" i="111"/>
  <c r="AC17" i="111"/>
  <c r="AB12" i="111"/>
  <c r="Z14" i="111"/>
  <c r="Z15" i="111"/>
  <c r="Z16" i="111"/>
  <c r="Z17" i="111"/>
  <c r="Z18" i="111"/>
  <c r="Z19" i="111"/>
  <c r="Z20" i="111"/>
  <c r="Z21" i="111"/>
  <c r="S11" i="111"/>
  <c r="S12" i="111"/>
  <c r="S13" i="111"/>
  <c r="S14" i="111"/>
  <c r="V11" i="111"/>
  <c r="X12" i="111"/>
  <c r="X13" i="111"/>
  <c r="X14" i="111"/>
  <c r="X15" i="111"/>
  <c r="X16" i="111"/>
  <c r="X17" i="111"/>
  <c r="X18" i="111"/>
  <c r="X19" i="111"/>
  <c r="X20" i="111"/>
  <c r="X21" i="111"/>
  <c r="I106" i="111"/>
  <c r="Y10" i="111"/>
  <c r="S17" i="111"/>
  <c r="S18" i="111"/>
  <c r="AC20" i="111"/>
  <c r="AC36" i="111" s="1"/>
  <c r="AE13" i="108"/>
  <c r="AF17" i="108"/>
  <c r="H106" i="111"/>
  <c r="X10" i="111"/>
  <c r="AA37" i="111"/>
  <c r="Y15" i="111"/>
  <c r="Y16" i="111"/>
  <c r="V22" i="93"/>
  <c r="AF17" i="107"/>
  <c r="AE14" i="107"/>
  <c r="AE16" i="107"/>
  <c r="AE17" i="107"/>
  <c r="AF13" i="107"/>
  <c r="AF12" i="108"/>
  <c r="AF16" i="108"/>
  <c r="AE19" i="108"/>
  <c r="AE12" i="108"/>
  <c r="AF19" i="108"/>
  <c r="O106" i="108"/>
  <c r="H108" i="108" s="1"/>
  <c r="AE10" i="108"/>
  <c r="AA42" i="110"/>
  <c r="G106" i="111"/>
  <c r="W10" i="111"/>
  <c r="U11" i="111"/>
  <c r="U12" i="111"/>
  <c r="U13" i="111"/>
  <c r="W14" i="111"/>
  <c r="U15" i="111"/>
  <c r="S19" i="111"/>
  <c r="W20" i="111"/>
  <c r="W39" i="111" s="1"/>
  <c r="S21" i="111"/>
  <c r="F106" i="111"/>
  <c r="V10" i="111"/>
  <c r="AB13" i="111"/>
  <c r="AD14" i="111"/>
  <c r="AD15" i="111"/>
  <c r="AD16" i="111"/>
  <c r="AD17" i="111"/>
  <c r="AD18" i="111"/>
  <c r="AD19" i="111"/>
  <c r="AD20" i="111"/>
  <c r="AD21" i="111"/>
  <c r="W11" i="111"/>
  <c r="W12" i="111"/>
  <c r="W13" i="111"/>
  <c r="U14" i="111"/>
  <c r="W15" i="111"/>
  <c r="U16" i="111"/>
  <c r="X11" i="111"/>
  <c r="Z12" i="111"/>
  <c r="AD13" i="111"/>
  <c r="AB14" i="111"/>
  <c r="AB15" i="111"/>
  <c r="AB16" i="111"/>
  <c r="AB17" i="111"/>
  <c r="AB18" i="111"/>
  <c r="AB19" i="111"/>
  <c r="AB20" i="111"/>
  <c r="AB21" i="111"/>
  <c r="M106" i="111"/>
  <c r="AC10" i="111"/>
  <c r="U17" i="111"/>
  <c r="U18" i="111"/>
  <c r="U19" i="111"/>
  <c r="U39" i="111" s="1"/>
  <c r="S20" i="111"/>
  <c r="W21" i="111"/>
  <c r="D106" i="111"/>
  <c r="T10" i="111"/>
  <c r="S42" i="110"/>
  <c r="X42" i="109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AE17" i="111" s="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AF13" i="111" s="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F107" i="105"/>
  <c r="E107" i="105"/>
  <c r="D107" i="105"/>
  <c r="C107" i="105"/>
  <c r="AF35" i="105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35" i="101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AE26" i="100"/>
  <c r="AE23" i="100"/>
  <c r="D60" i="99"/>
  <c r="L60" i="99"/>
  <c r="L60" i="100"/>
  <c r="D59" i="99"/>
  <c r="L59" i="99"/>
  <c r="AE28" i="100"/>
  <c r="AE25" i="100"/>
  <c r="AE22" i="100"/>
  <c r="D60" i="100"/>
  <c r="AE28" i="99"/>
  <c r="AE25" i="99"/>
  <c r="AE22" i="99"/>
  <c r="L59" i="100"/>
  <c r="AF24" i="97"/>
  <c r="AF23" i="98"/>
  <c r="AF27" i="98"/>
  <c r="AE27" i="97"/>
  <c r="AE24" i="97"/>
  <c r="AF28" i="97"/>
  <c r="AF25" i="97"/>
  <c r="AF22" i="97"/>
  <c r="D60" i="98"/>
  <c r="L60" i="98"/>
  <c r="AE26" i="98"/>
  <c r="AE23" i="98"/>
  <c r="AE28" i="97"/>
  <c r="AE25" i="97"/>
  <c r="AE22" i="97"/>
  <c r="AF28" i="98"/>
  <c r="AF25" i="98"/>
  <c r="AF22" i="98"/>
  <c r="AF26" i="98"/>
  <c r="L59" i="97"/>
  <c r="E59" i="97"/>
  <c r="AF26" i="97"/>
  <c r="AF23" i="97"/>
  <c r="AE28" i="98"/>
  <c r="AE25" i="98"/>
  <c r="AE22" i="98"/>
  <c r="L60" i="97"/>
  <c r="E60" i="97"/>
  <c r="D59" i="98"/>
  <c r="L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D60" i="95"/>
  <c r="L60" i="95"/>
  <c r="AE26" i="95"/>
  <c r="AE23" i="95"/>
  <c r="D59" i="96"/>
  <c r="L59" i="96"/>
  <c r="AF23" i="95"/>
  <c r="AF23" i="96"/>
  <c r="L60" i="94"/>
  <c r="D59" i="95"/>
  <c r="L59" i="95"/>
  <c r="AF27" i="95"/>
  <c r="AF24" i="95"/>
  <c r="D60" i="96"/>
  <c r="L60" i="96"/>
  <c r="AE26" i="96"/>
  <c r="AE23" i="96"/>
  <c r="AE28" i="95"/>
  <c r="AE25" i="95"/>
  <c r="AE22" i="95"/>
  <c r="AF28" i="96"/>
  <c r="AF25" i="96"/>
  <c r="AF22" i="96"/>
  <c r="AF27" i="96"/>
  <c r="AF24" i="96"/>
  <c r="F59" i="94"/>
  <c r="AE28" i="94"/>
  <c r="AE25" i="94"/>
  <c r="AE22" i="94"/>
  <c r="D59" i="94"/>
  <c r="AF22" i="94"/>
  <c r="AF28" i="94"/>
  <c r="AF25" i="94"/>
  <c r="F60" i="94"/>
  <c r="AE26" i="94"/>
  <c r="AE23" i="94"/>
  <c r="D60" i="94"/>
  <c r="AE27" i="94"/>
  <c r="AE24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20" i="111" l="1"/>
  <c r="Y35" i="111"/>
  <c r="AA35" i="111"/>
  <c r="T38" i="111"/>
  <c r="AF11" i="111"/>
  <c r="W37" i="111"/>
  <c r="Z35" i="111"/>
  <c r="AF12" i="111"/>
  <c r="AF18" i="111"/>
  <c r="AE15" i="111"/>
  <c r="AC39" i="111"/>
  <c r="AC35" i="111"/>
  <c r="AF20" i="111"/>
  <c r="AF15" i="111"/>
  <c r="AE11" i="111"/>
  <c r="AE16" i="111"/>
  <c r="AF19" i="111"/>
  <c r="AD35" i="111"/>
  <c r="AD38" i="111"/>
  <c r="W40" i="111"/>
  <c r="W41" i="111"/>
  <c r="W34" i="111"/>
  <c r="Z39" i="111"/>
  <c r="Z36" i="111"/>
  <c r="AE35" i="107"/>
  <c r="AE38" i="107"/>
  <c r="U40" i="111"/>
  <c r="U37" i="111"/>
  <c r="U41" i="111"/>
  <c r="U42" i="111" s="1"/>
  <c r="U34" i="111"/>
  <c r="T36" i="111"/>
  <c r="T39" i="111"/>
  <c r="AC38" i="111"/>
  <c r="AD37" i="111"/>
  <c r="AD34" i="111"/>
  <c r="AD41" i="111"/>
  <c r="AD40" i="111"/>
  <c r="AF40" i="108"/>
  <c r="AF37" i="108"/>
  <c r="AF41" i="108"/>
  <c r="AF42" i="108" s="1"/>
  <c r="AF34" i="108"/>
  <c r="S40" i="111"/>
  <c r="S34" i="111"/>
  <c r="S37" i="111"/>
  <c r="AF39" i="107"/>
  <c r="AF17" i="111"/>
  <c r="AF14" i="111"/>
  <c r="AF38" i="111" s="1"/>
  <c r="U38" i="111"/>
  <c r="AB38" i="111"/>
  <c r="AB35" i="111"/>
  <c r="U35" i="111"/>
  <c r="AF36" i="108"/>
  <c r="AF39" i="108"/>
  <c r="X40" i="111"/>
  <c r="X41" i="111"/>
  <c r="X34" i="111"/>
  <c r="X37" i="111"/>
  <c r="AE38" i="108"/>
  <c r="AE35" i="108"/>
  <c r="Y41" i="111"/>
  <c r="Y40" i="111"/>
  <c r="Y34" i="111"/>
  <c r="Y37" i="111"/>
  <c r="X36" i="111"/>
  <c r="X39" i="111"/>
  <c r="S41" i="111"/>
  <c r="S42" i="111" s="1"/>
  <c r="AF38" i="108"/>
  <c r="AF35" i="108"/>
  <c r="V35" i="111"/>
  <c r="V38" i="111"/>
  <c r="AF40" i="107"/>
  <c r="AF41" i="107"/>
  <c r="AF42" i="107" s="1"/>
  <c r="AF37" i="107"/>
  <c r="AF34" i="107"/>
  <c r="U36" i="111"/>
  <c r="Y38" i="111"/>
  <c r="O106" i="111"/>
  <c r="K108" i="111" s="1"/>
  <c r="AE10" i="111"/>
  <c r="AF21" i="111"/>
  <c r="AE14" i="111"/>
  <c r="AE13" i="111"/>
  <c r="AC34" i="111"/>
  <c r="AC37" i="111"/>
  <c r="AC40" i="111"/>
  <c r="AC41" i="111"/>
  <c r="AC42" i="111" s="1"/>
  <c r="AB36" i="111"/>
  <c r="AB39" i="111"/>
  <c r="W38" i="111"/>
  <c r="W35" i="111"/>
  <c r="V40" i="111"/>
  <c r="V37" i="111"/>
  <c r="V41" i="111"/>
  <c r="V34" i="111"/>
  <c r="S36" i="111"/>
  <c r="S39" i="111"/>
  <c r="AF38" i="107"/>
  <c r="AF35" i="107"/>
  <c r="Z38" i="111"/>
  <c r="AA36" i="111"/>
  <c r="AA39" i="111"/>
  <c r="AE36" i="107"/>
  <c r="AE39" i="107"/>
  <c r="W36" i="111"/>
  <c r="T35" i="111"/>
  <c r="AA40" i="111"/>
  <c r="AA41" i="111"/>
  <c r="AA34" i="111"/>
  <c r="AE40" i="107"/>
  <c r="AE34" i="107"/>
  <c r="AE37" i="107"/>
  <c r="AE41" i="107"/>
  <c r="AE19" i="111"/>
  <c r="AF16" i="111"/>
  <c r="AE21" i="111"/>
  <c r="AE18" i="111"/>
  <c r="P106" i="111"/>
  <c r="N107" i="111" s="1"/>
  <c r="AF10" i="111"/>
  <c r="T40" i="111"/>
  <c r="T34" i="111"/>
  <c r="T41" i="111"/>
  <c r="T42" i="111" s="1"/>
  <c r="T37" i="111"/>
  <c r="AD39" i="111"/>
  <c r="AD36" i="111"/>
  <c r="AE40" i="108"/>
  <c r="AE37" i="108"/>
  <c r="AE34" i="108"/>
  <c r="AE41" i="108"/>
  <c r="AE36" i="108"/>
  <c r="AE39" i="108"/>
  <c r="X38" i="111"/>
  <c r="X35" i="111"/>
  <c r="S38" i="111"/>
  <c r="S35" i="111"/>
  <c r="AB40" i="111"/>
  <c r="AB37" i="111"/>
  <c r="AB41" i="111"/>
  <c r="AB42" i="111" s="1"/>
  <c r="AB34" i="111"/>
  <c r="V39" i="111"/>
  <c r="V36" i="111"/>
  <c r="Z34" i="111"/>
  <c r="Z41" i="111"/>
  <c r="Z40" i="111"/>
  <c r="Z3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Y42" i="111" l="1"/>
  <c r="AD42" i="111"/>
  <c r="W42" i="111"/>
  <c r="Z42" i="111"/>
  <c r="AA42" i="111"/>
  <c r="V42" i="111"/>
  <c r="AE40" i="111"/>
  <c r="AE41" i="111"/>
  <c r="AE34" i="111"/>
  <c r="AE37" i="111"/>
  <c r="AF40" i="111"/>
  <c r="AF37" i="111"/>
  <c r="AF41" i="111"/>
  <c r="AF34" i="111"/>
  <c r="AE35" i="111"/>
  <c r="AE38" i="111"/>
  <c r="AF36" i="111"/>
  <c r="AF39" i="111"/>
  <c r="AE36" i="111"/>
  <c r="AE39" i="111"/>
  <c r="AF35" i="111"/>
  <c r="AE42" i="108"/>
  <c r="AE42" i="107"/>
  <c r="X42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  <c r="AE42" i="111"/>
</calcChain>
</file>

<file path=xl/sharedStrings.xml><?xml version="1.0" encoding="utf-8"?>
<sst xmlns="http://schemas.openxmlformats.org/spreadsheetml/2006/main" count="2352" uniqueCount="177">
  <si>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</si>
  <si>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</si>
  <si>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</si>
  <si>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</si>
  <si>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</si>
  <si>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</si>
  <si>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</si>
  <si>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</si>
  <si>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</si>
  <si>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</si>
  <si>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</si>
  <si>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</si>
  <si>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</si>
  <si>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</si>
  <si>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</si>
  <si>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</si>
  <si>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</si>
  <si>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</si>
  <si>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</si>
  <si>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</si>
  <si>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</si>
  <si>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</si>
  <si>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</si>
  <si>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</si>
  <si>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</si>
  <si>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</si>
  <si>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</si>
  <si>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</si>
  <si>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</si>
  <si>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</si>
  <si>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</si>
  <si>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</si>
  <si>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</si>
  <si>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</si>
  <si>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</si>
  <si>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</si>
  <si>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</si>
  <si>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</si>
  <si>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</si>
  <si>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</si>
  <si>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</si>
  <si>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</si>
  <si>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</si>
  <si>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</si>
  <si>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</si>
  <si>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</si>
  <si>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</si>
  <si>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</si>
  <si>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</si>
  <si>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</si>
  <si>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</si>
  <si>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</si>
  <si>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</si>
  <si>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</si>
  <si>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</si>
  <si>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</si>
  <si>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</si>
  <si>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</si>
  <si>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</si>
  <si>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</si>
  <si>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</si>
  <si>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</si>
  <si>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</si>
  <si>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</si>
  <si>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</si>
  <si>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</si>
  <si>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</si>
  <si>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</si>
  <si>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</si>
  <si>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</si>
  <si>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</si>
  <si>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</si>
  <si>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</si>
  <si>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</si>
  <si>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</si>
  <si>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</si>
  <si>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</si>
  <si>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</si>
  <si>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</si>
  <si>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</si>
  <si>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</si>
  <si>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</si>
  <si>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</si>
  <si>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</si>
  <si>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</si>
  <si>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</si>
  <si>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</si>
  <si>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</si>
  <si>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</si>
  <si>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</si>
  <si>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</si>
  <si>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</si>
  <si>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</si>
  <si>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</si>
  <si>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</si>
  <si>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</si>
  <si>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</si>
  <si>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</si>
  <si>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</si>
  <si>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</si>
  <si>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</si>
  <si>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</si>
  <si>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</si>
  <si>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</si>
  <si>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</si>
  <si>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</si>
  <si>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</si>
  <si>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</si>
  <si>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</si>
  <si>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</si>
  <si>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</si>
  <si>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</si>
  <si>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</si>
  <si>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</si>
  <si>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</si>
  <si>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</si>
  <si>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</si>
  <si>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</si>
  <si>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</si>
  <si>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</si>
  <si>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</si>
  <si>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</si>
  <si>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</si>
  <si>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</si>
  <si>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</si>
  <si>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</si>
  <si>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</si>
  <si>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</si>
  <si>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</si>
  <si>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</si>
  <si>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</si>
  <si>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</si>
  <si>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</si>
  <si>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</si>
  <si>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</si>
  <si>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</si>
  <si>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</si>
  <si>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</si>
  <si>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</si>
  <si>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</si>
  <si>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</si>
  <si>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</si>
  <si>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</si>
  <si>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</si>
  <si>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</si>
  <si>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</si>
  <si>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</si>
  <si>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</si>
  <si>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</si>
  <si>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</si>
  <si>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</si>
  <si>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</si>
  <si>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</si>
  <si>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</si>
  <si>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</si>
  <si>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</si>
  <si>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</si>
  <si>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</si>
  <si>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</si>
  <si>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</si>
  <si>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</si>
  <si>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</si>
  <si>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26.07.19</t>
  </si>
  <si>
    <t>27.07.19</t>
  </si>
  <si>
    <t>xxx</t>
  </si>
  <si>
    <t>AVERAGE WEEK</t>
  </si>
  <si>
    <t>karuma</t>
  </si>
  <si>
    <t>pakwach</t>
  </si>
  <si>
    <t>01.08.19</t>
  </si>
  <si>
    <t>31.07.19</t>
  </si>
  <si>
    <t>30.07.19</t>
  </si>
  <si>
    <t>29.07.19</t>
  </si>
  <si>
    <t>MCC - C5 - STN115 - KARUMA-PAKWACH ROAD</t>
  </si>
  <si>
    <t>PAKWACH</t>
  </si>
  <si>
    <t>KARUMA</t>
  </si>
  <si>
    <t>24 Hours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</si>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</sst>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Pakwach-Karuma'!$AE$9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Pakwach-Karuma'!$AE$10:$AE$21</c:f>
              <c:numCache>
                <c:formatCode>0</c:formatCode>
                <c:ptCount val="12"/>
                <c:pt idx="0">
                  <c:v>8</c:v>
                </c:pt>
                <c:pt idx="1">
                  <c:v>32</c:v>
                </c:pt>
                <c:pt idx="2">
                  <c:v>27</c:v>
                </c:pt>
                <c:pt idx="3">
                  <c:v>22</c:v>
                </c:pt>
                <c:pt idx="4">
                  <c:v>45</c:v>
                </c:pt>
                <c:pt idx="5">
                  <c:v>19</c:v>
                </c:pt>
                <c:pt idx="6">
                  <c:v>9</c:v>
                </c:pt>
                <c:pt idx="7">
                  <c:v>33</c:v>
                </c:pt>
                <c:pt idx="8">
                  <c:v>28</c:v>
                </c:pt>
                <c:pt idx="9">
                  <c:v>39</c:v>
                </c:pt>
                <c:pt idx="10">
                  <c:v>49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Pakwach-Karuma'!$AF$9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Pakwach-Karuma'!$AF$10:$AF$21</c:f>
              <c:numCache>
                <c:formatCode>0</c:formatCode>
                <c:ptCount val="12"/>
                <c:pt idx="0">
                  <c:v>17</c:v>
                </c:pt>
                <c:pt idx="1">
                  <c:v>53</c:v>
                </c:pt>
                <c:pt idx="2">
                  <c:v>58</c:v>
                </c:pt>
                <c:pt idx="3">
                  <c:v>37</c:v>
                </c:pt>
                <c:pt idx="4">
                  <c:v>74</c:v>
                </c:pt>
                <c:pt idx="5">
                  <c:v>31</c:v>
                </c:pt>
                <c:pt idx="6">
                  <c:v>19</c:v>
                </c:pt>
                <c:pt idx="7">
                  <c:v>44</c:v>
                </c:pt>
                <c:pt idx="8">
                  <c:v>43</c:v>
                </c:pt>
                <c:pt idx="9">
                  <c:v>51</c:v>
                </c:pt>
                <c:pt idx="10">
                  <c:v>72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Pakwach-Karuma'!$C$59:$N$59</c:f>
              <c:numCache>
                <c:formatCode>0.0%</c:formatCode>
                <c:ptCount val="12"/>
                <c:pt idx="0">
                  <c:v>4.9632352941176468E-2</c:v>
                </c:pt>
                <c:pt idx="1">
                  <c:v>4.595588235294118E-2</c:v>
                </c:pt>
                <c:pt idx="2">
                  <c:v>0.18382352941176472</c:v>
                </c:pt>
                <c:pt idx="3">
                  <c:v>9.1911764705882356E-3</c:v>
                </c:pt>
                <c:pt idx="4">
                  <c:v>0.11213235294117647</c:v>
                </c:pt>
                <c:pt idx="5">
                  <c:v>2.2058823529411766E-2</c:v>
                </c:pt>
                <c:pt idx="6">
                  <c:v>4.2279411764705885E-2</c:v>
                </c:pt>
                <c:pt idx="7">
                  <c:v>3.125E-2</c:v>
                </c:pt>
                <c:pt idx="8">
                  <c:v>1.4705882352941176E-2</c:v>
                </c:pt>
                <c:pt idx="9">
                  <c:v>8.455882352941177E-2</c:v>
                </c:pt>
                <c:pt idx="10">
                  <c:v>0.38051470588235292</c:v>
                </c:pt>
                <c:pt idx="11">
                  <c:v>2.389705882352941E-2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Pakwach-Karuma'!$C$60:$N$60</c:f>
              <c:numCache>
                <c:formatCode>0.00%</c:formatCode>
                <c:ptCount val="12"/>
                <c:pt idx="0">
                  <c:v>8.0118694362017809E-2</c:v>
                </c:pt>
                <c:pt idx="1">
                  <c:v>7.418397626112759E-2</c:v>
                </c:pt>
                <c:pt idx="2">
                  <c:v>0.29673590504451036</c:v>
                </c:pt>
                <c:pt idx="3">
                  <c:v>1.483679525222552E-2</c:v>
                </c:pt>
                <c:pt idx="4">
                  <c:v>0.18100890207715134</c:v>
                </c:pt>
                <c:pt idx="5">
                  <c:v>3.5608308605341248E-2</c:v>
                </c:pt>
                <c:pt idx="6">
                  <c:v>6.8249258160237386E-2</c:v>
                </c:pt>
                <c:pt idx="7">
                  <c:v>5.0445103857566766E-2</c:v>
                </c:pt>
                <c:pt idx="8">
                  <c:v>2.3738872403560832E-2</c:v>
                </c:pt>
                <c:pt idx="9">
                  <c:v>0.13649851632047477</c:v>
                </c:pt>
                <c:pt idx="11">
                  <c:v>3.857566765578635E-2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karuma-pakwach'!$AE$9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karuma-pakwach'!$AE$10:$AE$21</c:f>
              <c:numCache>
                <c:formatCode>0</c:formatCode>
                <c:ptCount val="12"/>
                <c:pt idx="0">
                  <c:v>8</c:v>
                </c:pt>
                <c:pt idx="1">
                  <c:v>18</c:v>
                </c:pt>
                <c:pt idx="2">
                  <c:v>14</c:v>
                </c:pt>
                <c:pt idx="3">
                  <c:v>33</c:v>
                </c:pt>
                <c:pt idx="4">
                  <c:v>31</c:v>
                </c:pt>
                <c:pt idx="5">
                  <c:v>15</c:v>
                </c:pt>
                <c:pt idx="6">
                  <c:v>8</c:v>
                </c:pt>
                <c:pt idx="7">
                  <c:v>22</c:v>
                </c:pt>
                <c:pt idx="8">
                  <c:v>33</c:v>
                </c:pt>
                <c:pt idx="9">
                  <c:v>21</c:v>
                </c:pt>
                <c:pt idx="10">
                  <c:v>18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karuma-pakwach'!$AF$9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karuma-pakwach'!$AF$10:$AF$21</c:f>
              <c:numCache>
                <c:formatCode>0</c:formatCode>
                <c:ptCount val="12"/>
                <c:pt idx="0">
                  <c:v>15</c:v>
                </c:pt>
                <c:pt idx="1">
                  <c:v>34</c:v>
                </c:pt>
                <c:pt idx="2">
                  <c:v>24</c:v>
                </c:pt>
                <c:pt idx="3">
                  <c:v>40</c:v>
                </c:pt>
                <c:pt idx="4">
                  <c:v>51</c:v>
                </c:pt>
                <c:pt idx="5">
                  <c:v>19</c:v>
                </c:pt>
                <c:pt idx="6">
                  <c:v>23</c:v>
                </c:pt>
                <c:pt idx="7">
                  <c:v>39</c:v>
                </c:pt>
                <c:pt idx="8">
                  <c:v>48</c:v>
                </c:pt>
                <c:pt idx="9">
                  <c:v>26</c:v>
                </c:pt>
                <c:pt idx="10">
                  <c:v>23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karuma-pakwach'!$C$59:$N$59</c:f>
              <c:numCache>
                <c:formatCode>0.0%</c:formatCode>
                <c:ptCount val="12"/>
                <c:pt idx="0">
                  <c:v>0</c:v>
                </c:pt>
                <c:pt idx="1">
                  <c:v>5.4200542005420054E-3</c:v>
                </c:pt>
                <c:pt idx="2">
                  <c:v>0</c:v>
                </c:pt>
                <c:pt idx="3">
                  <c:v>5.4200542005420054E-3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0.1002710027100271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karuma-pakwach'!$S$9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karuma-pakwach'!$S$10:$S$21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karuma-pakwach'!$T$9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karuma-pakwach'!$T$10:$T$21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karuma-pakwach'!$U$9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karuma-pakwach'!$U$10:$U$21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karuma-pakwach'!$V$9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karuma-pakwach'!$V$10:$V$21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karuma-pakwach'!$W$9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karuma-pakwach'!$W$10:$W$21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11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karuma-pakwach'!$X$9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karuma-pakwach'!$Y$9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karuma-pakwach'!$Z$9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karuma-pakwach'!$AA$9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karuma-pakwach'!$AB$9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karuma-pakwach'!$AB$10:$AB$21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9</c:v>
                </c:pt>
                <c:pt idx="9">
                  <c:v>2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karuma-pakwach'!$AC$9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karuma-pakwach'!$AC$10:$AC$21</c:f>
              <c:numCache>
                <c:formatCode>0</c:formatCode>
                <c:ptCount val="12"/>
                <c:pt idx="0">
                  <c:v>7</c:v>
                </c:pt>
                <c:pt idx="1">
                  <c:v>16</c:v>
                </c:pt>
                <c:pt idx="2">
                  <c:v>10</c:v>
                </c:pt>
                <c:pt idx="3">
                  <c:v>7</c:v>
                </c:pt>
                <c:pt idx="4">
                  <c:v>20</c:v>
                </c:pt>
                <c:pt idx="5">
                  <c:v>4</c:v>
                </c:pt>
                <c:pt idx="6">
                  <c:v>15</c:v>
                </c:pt>
                <c:pt idx="7">
                  <c:v>17</c:v>
                </c:pt>
                <c:pt idx="8">
                  <c:v>15</c:v>
                </c:pt>
                <c:pt idx="9">
                  <c:v>5</c:v>
                </c:pt>
                <c:pt idx="10">
                  <c:v>5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karuma-pakwach'!$AD$9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karuma-pakwach'!$AD$10:$AD$21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karuma-pakwach'!$C$60:$N$60</c:f>
              <c:numCache>
                <c:formatCode>0.00%</c:formatCode>
                <c:ptCount val="12"/>
                <c:pt idx="0">
                  <c:v>0</c:v>
                </c:pt>
                <c:pt idx="1">
                  <c:v>8.5470085470085479E-3</c:v>
                </c:pt>
                <c:pt idx="2">
                  <c:v>0</c:v>
                </c:pt>
                <c:pt idx="3">
                  <c:v>8.5470085470085479E-3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0.15811965811965811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'30.07.19 pakwach-karuma'!$AE$9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'30.07.19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'30.07.19 pakwach-karuma'!$AE$10:$AE$21</c:f>
              <c:numCache>
                <c:formatCode>0</c:formatCode>
                <c:ptCount val="12"/>
                <c:pt idx="0">
                  <c:v>43</c:v>
                </c:pt>
                <c:pt idx="1">
                  <c:v>31</c:v>
                </c:pt>
                <c:pt idx="2">
                  <c:v>12</c:v>
                </c:pt>
                <c:pt idx="3">
                  <c:v>24</c:v>
                </c:pt>
                <c:pt idx="4">
                  <c:v>22</c:v>
                </c:pt>
                <c:pt idx="5">
                  <c:v>23</c:v>
                </c:pt>
                <c:pt idx="6">
                  <c:v>20</c:v>
                </c:pt>
                <c:pt idx="7">
                  <c:v>27</c:v>
                </c:pt>
                <c:pt idx="8">
                  <c:v>16</c:v>
                </c:pt>
                <c:pt idx="9">
                  <c:v>28</c:v>
                </c:pt>
                <c:pt idx="10">
                  <c:v>33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'30.07.19 pakwach-karuma'!$AF$9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'30.07.19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'30.07.19 pakwach-karuma'!$AF$10:$AF$21</c:f>
              <c:numCache>
                <c:formatCode>0</c:formatCode>
                <c:ptCount val="12"/>
                <c:pt idx="0">
                  <c:v>62</c:v>
                </c:pt>
                <c:pt idx="1">
                  <c:v>40</c:v>
                </c:pt>
                <c:pt idx="2">
                  <c:v>30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37</c:v>
                </c:pt>
                <c:pt idx="7">
                  <c:v>42</c:v>
                </c:pt>
                <c:pt idx="8">
                  <c:v>31</c:v>
                </c:pt>
                <c:pt idx="9">
                  <c:v>50</c:v>
                </c:pt>
                <c:pt idx="10">
                  <c:v>41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'30.07.19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'30.07.19 pakwach-karuma'!$C$59:$N$59</c:f>
              <c:numCache>
                <c:formatCode>0.0%</c:formatCode>
                <c:ptCount val="12"/>
                <c:pt idx="0">
                  <c:v>0</c:v>
                </c:pt>
                <c:pt idx="1">
                  <c:v>2.7450980392156862E-2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6.0784313725490195E-2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'30.07.19 pakwach-karuma'!$S$9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'30.07.19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'30.07.19 pakwach-karuma'!$S$10:$S$21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'30.07.19 pakwach-karuma'!$T$9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'30.07.19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'30.07.19 pakwach-karuma'!$T$10:$T$21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'30.07.19 pakwach-karuma'!$U$9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pakwach-karuma'!$U$10:$U$21</c:f>
              <c:numCache>
                <c:formatCode>0</c:formatCode>
                <c:ptCount val="12"/>
                <c:pt idx="0">
                  <c:v>12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11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'30.07.19 pakwach-karuma'!$V$9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pakwach-karuma'!$V$10:$V$21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2</c:v>
                </c:pt>
                <c:pt idx="9">
                  <c:v>10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'30.07.19 pakwach-karuma'!$W$9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'30.07.19 pakwach-karuma'!$X$9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'30.07.19 pakwach-karuma'!$Y$9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'30.07.19 pakwach-karuma'!$Z$9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pakwach-karuma'!$Z$10:$Z$21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'30.07.19 pakwach-karuma'!$AA$9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'30.07.19 pakwach-karuma'!$AB$9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pakwach-karuma'!$AB$10:$AB$21</c:f>
              <c:numCache>
                <c:formatCode>0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'30.07.19 pakwach-karuma'!$AC$9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pakwach-karuma'!$AC$10:$AC$21</c:f>
              <c:numCache>
                <c:formatCode>0</c:formatCode>
                <c:ptCount val="12"/>
                <c:pt idx="0">
                  <c:v>19</c:v>
                </c:pt>
                <c:pt idx="1">
                  <c:v>9</c:v>
                </c:pt>
                <c:pt idx="2">
                  <c:v>18</c:v>
                </c:pt>
                <c:pt idx="3">
                  <c:v>20</c:v>
                </c:pt>
                <c:pt idx="4">
                  <c:v>24</c:v>
                </c:pt>
                <c:pt idx="5">
                  <c:v>20</c:v>
                </c:pt>
                <c:pt idx="6">
                  <c:v>17</c:v>
                </c:pt>
                <c:pt idx="7">
                  <c:v>15</c:v>
                </c:pt>
                <c:pt idx="8">
                  <c:v>15</c:v>
                </c:pt>
                <c:pt idx="9">
                  <c:v>22</c:v>
                </c:pt>
                <c:pt idx="10">
                  <c:v>8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'30.07.19 pakwach-karuma'!$AD$9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'30.07.19 pakwach-karuma'!$AD$10:$AD$21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'30.07.19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'30.07.19 pakwach-karuma'!$C$60:$N$60</c:f>
              <c:numCache>
                <c:formatCode>0.00%</c:formatCode>
                <c:ptCount val="12"/>
                <c:pt idx="0">
                  <c:v>0</c:v>
                </c:pt>
                <c:pt idx="1">
                  <c:v>4.5307443365695796E-2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0.10032362459546926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karuma-pakwach'!$AE$9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karuma-pakwach'!$AE$10:$AE$21</c:f>
              <c:numCache>
                <c:formatCode>0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7</c:v>
                </c:pt>
                <c:pt idx="3">
                  <c:v>18</c:v>
                </c:pt>
                <c:pt idx="4">
                  <c:v>17</c:v>
                </c:pt>
                <c:pt idx="5">
                  <c:v>23</c:v>
                </c:pt>
                <c:pt idx="6">
                  <c:v>24</c:v>
                </c:pt>
                <c:pt idx="7">
                  <c:v>11</c:v>
                </c:pt>
                <c:pt idx="8">
                  <c:v>29</c:v>
                </c:pt>
                <c:pt idx="9">
                  <c:v>18</c:v>
                </c:pt>
                <c:pt idx="10">
                  <c:v>22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karuma-pakwach'!$AF$9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karuma-pakwach'!$AF$10:$AF$21</c:f>
              <c:numCache>
                <c:formatCode>0</c:formatCode>
                <c:ptCount val="12"/>
                <c:pt idx="0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26</c:v>
                </c:pt>
                <c:pt idx="4">
                  <c:v>31</c:v>
                </c:pt>
                <c:pt idx="5">
                  <c:v>39</c:v>
                </c:pt>
                <c:pt idx="6">
                  <c:v>30</c:v>
                </c:pt>
                <c:pt idx="7">
                  <c:v>15</c:v>
                </c:pt>
                <c:pt idx="8">
                  <c:v>46</c:v>
                </c:pt>
                <c:pt idx="9">
                  <c:v>26</c:v>
                </c:pt>
                <c:pt idx="10">
                  <c:v>31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karuma-pakwach'!$C$59:$N$59</c:f>
              <c:numCache>
                <c:formatCode>0.0%</c:formatCode>
                <c:ptCount val="12"/>
                <c:pt idx="0">
                  <c:v>0</c:v>
                </c:pt>
                <c:pt idx="1">
                  <c:v>1.2195121951219513E-2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0.10975609756097561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karuma-pakwach'!$S$9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karuma-pakwach'!$S$10:$S$21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karuma-pakwach'!$T$9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karuma-pakwach'!$T$10:$T$21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karuma-pakwach'!$U$9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karuma-pakwach'!$U$10:$U$21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karuma-pakwach'!$V$9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karuma-pakwach'!$W$9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karuma-pakwach'!$X$9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karuma-pakwach'!$Y$9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karuma-pakwach'!$Y$10:$Y$21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7</c:v>
                </c:pt>
                <c:pt idx="9">
                  <c:v>4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karuma-pakwach'!$Z$9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karuma-pakwach'!$AA$9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karuma-pakwach'!$AB$9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karuma-pakwach'!$AB$10:$AB$21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karuma-pakwach'!$AC$9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karuma-pakwach'!$AC$10:$AC$21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14</c:v>
                </c:pt>
                <c:pt idx="3">
                  <c:v>8</c:v>
                </c:pt>
                <c:pt idx="4">
                  <c:v>14</c:v>
                </c:pt>
                <c:pt idx="5">
                  <c:v>16</c:v>
                </c:pt>
                <c:pt idx="6">
                  <c:v>6</c:v>
                </c:pt>
                <c:pt idx="7">
                  <c:v>4</c:v>
                </c:pt>
                <c:pt idx="8">
                  <c:v>17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karuma-pakwach'!$AD$9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karuma-pakwach'!$AD$10:$AD$21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karuma-pakwach'!$C$60:$N$60</c:f>
              <c:numCache>
                <c:formatCode>0.00%</c:formatCode>
                <c:ptCount val="12"/>
                <c:pt idx="0">
                  <c:v>0</c:v>
                </c:pt>
                <c:pt idx="1">
                  <c:v>1.932367149758454E-2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0.17391304347826086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pakwach-karuma'!$AE$9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pakwach-karuma'!$AE$10:$AE$21</c:f>
              <c:numCache>
                <c:formatCode>0</c:formatCode>
                <c:ptCount val="12"/>
                <c:pt idx="0">
                  <c:v>17</c:v>
                </c:pt>
                <c:pt idx="1">
                  <c:v>30</c:v>
                </c:pt>
                <c:pt idx="2">
                  <c:v>20</c:v>
                </c:pt>
                <c:pt idx="3">
                  <c:v>26</c:v>
                </c:pt>
                <c:pt idx="4">
                  <c:v>20</c:v>
                </c:pt>
                <c:pt idx="5">
                  <c:v>16</c:v>
                </c:pt>
                <c:pt idx="6">
                  <c:v>26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21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pakwach-karuma'!$AF$9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pakwach-karuma'!$AF$10:$AF$21</c:f>
              <c:numCache>
                <c:formatCode>0</c:formatCode>
                <c:ptCount val="12"/>
                <c:pt idx="0">
                  <c:v>26</c:v>
                </c:pt>
                <c:pt idx="1">
                  <c:v>43</c:v>
                </c:pt>
                <c:pt idx="2">
                  <c:v>35</c:v>
                </c:pt>
                <c:pt idx="3">
                  <c:v>41</c:v>
                </c:pt>
                <c:pt idx="4">
                  <c:v>33</c:v>
                </c:pt>
                <c:pt idx="5">
                  <c:v>40</c:v>
                </c:pt>
                <c:pt idx="6">
                  <c:v>40</c:v>
                </c:pt>
                <c:pt idx="7">
                  <c:v>33</c:v>
                </c:pt>
                <c:pt idx="8">
                  <c:v>41</c:v>
                </c:pt>
                <c:pt idx="9">
                  <c:v>46</c:v>
                </c:pt>
                <c:pt idx="10">
                  <c:v>41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pakwach-karuma'!$C$59:$N$59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0.13725490196078433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8.0610021786492375E-2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pakwach-karuma'!$S$9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pakwach-karuma'!$S$10:$S$21</c:f>
              <c:numCache>
                <c:formatCode>0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pakwach-karuma'!$T$9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pakwach-karuma'!$T$10:$T$21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pakwach-karuma'!$U$9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pakwach-karuma'!$U$10:$U$21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pakwach-karuma'!$V$9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pakwach-karuma'!$V$10:$V$21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pakwach-karuma'!$W$9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pakwach-karuma'!$X$9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pakwach-karuma'!$Y$9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pakwach-karuma'!$Y$10:$Y$21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pakwach-karuma'!$Z$9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pakwach-karuma'!$AA$9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pakwach-karuma'!$AA$10:$AA$21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pakwach-karuma'!$AB$9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pakwach-karuma'!$AB$10:$AB$21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8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pakwach-karuma'!$AC$9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pakwach-karuma'!$AC$10:$AC$21</c:f>
              <c:numCache>
                <c:formatCode>0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15</c:v>
                </c:pt>
                <c:pt idx="3">
                  <c:v>15</c:v>
                </c:pt>
                <c:pt idx="4">
                  <c:v>13</c:v>
                </c:pt>
                <c:pt idx="5">
                  <c:v>24</c:v>
                </c:pt>
                <c:pt idx="6">
                  <c:v>14</c:v>
                </c:pt>
                <c:pt idx="7">
                  <c:v>15</c:v>
                </c:pt>
                <c:pt idx="8">
                  <c:v>20</c:v>
                </c:pt>
                <c:pt idx="9">
                  <c:v>22</c:v>
                </c:pt>
                <c:pt idx="10">
                  <c:v>20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pakwach-karuma'!$AD$9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pakwach-karuma'!$AD$10:$AD$21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pakwach-karuma'!$C$60:$N$60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0.24609375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0.14453125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karuma-pakwach'!$AE$9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karuma-pakwach'!$AE$10:$AE$21</c:f>
              <c:numCache>
                <c:formatCode>0</c:formatCode>
                <c:ptCount val="12"/>
                <c:pt idx="0">
                  <c:v>7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35</c:v>
                </c:pt>
                <c:pt idx="5">
                  <c:v>18</c:v>
                </c:pt>
                <c:pt idx="6">
                  <c:v>30</c:v>
                </c:pt>
                <c:pt idx="7">
                  <c:v>26</c:v>
                </c:pt>
                <c:pt idx="8">
                  <c:v>16</c:v>
                </c:pt>
                <c:pt idx="9">
                  <c:v>34</c:v>
                </c:pt>
                <c:pt idx="10">
                  <c:v>17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karuma-pakwach'!$AF$9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karuma-pakwach'!$AF$10:$AF$21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30</c:v>
                </c:pt>
                <c:pt idx="3">
                  <c:v>29</c:v>
                </c:pt>
                <c:pt idx="4">
                  <c:v>40</c:v>
                </c:pt>
                <c:pt idx="5">
                  <c:v>24</c:v>
                </c:pt>
                <c:pt idx="6">
                  <c:v>42</c:v>
                </c:pt>
                <c:pt idx="7">
                  <c:v>33</c:v>
                </c:pt>
                <c:pt idx="8">
                  <c:v>33</c:v>
                </c:pt>
                <c:pt idx="9">
                  <c:v>46</c:v>
                </c:pt>
                <c:pt idx="10">
                  <c:v>31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karuma-pakwach'!$C$59:$N$59</c:f>
              <c:numCache>
                <c:formatCode>0.0%</c:formatCode>
                <c:ptCount val="12"/>
                <c:pt idx="0">
                  <c:v>0</c:v>
                </c:pt>
                <c:pt idx="1">
                  <c:v>1.6304347826086956E-2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9.2391304347826081E-2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karuma-pakwach'!$C$60:$N$60</c:f>
              <c:numCache>
                <c:formatCode>0.00%</c:formatCode>
                <c:ptCount val="12"/>
                <c:pt idx="0">
                  <c:v>0</c:v>
                </c:pt>
                <c:pt idx="1">
                  <c:v>2.4193548387096774E-2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0.13709677419354838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pakwach-karuma'!$AE$9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pakwach-karuma'!$AE$10:$AE$21</c:f>
              <c:numCache>
                <c:formatCode>0</c:formatCode>
                <c:ptCount val="12"/>
                <c:pt idx="0">
                  <c:v>21</c:v>
                </c:pt>
                <c:pt idx="1">
                  <c:v>17</c:v>
                </c:pt>
                <c:pt idx="2">
                  <c:v>15</c:v>
                </c:pt>
                <c:pt idx="3">
                  <c:v>25</c:v>
                </c:pt>
                <c:pt idx="4">
                  <c:v>33</c:v>
                </c:pt>
                <c:pt idx="5">
                  <c:v>23</c:v>
                </c:pt>
                <c:pt idx="6">
                  <c:v>22</c:v>
                </c:pt>
                <c:pt idx="7">
                  <c:v>36</c:v>
                </c:pt>
                <c:pt idx="8">
                  <c:v>58</c:v>
                </c:pt>
                <c:pt idx="9">
                  <c:v>34</c:v>
                </c:pt>
                <c:pt idx="10">
                  <c:v>41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'01.08 pakwach-karuma'!$AF$9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pakwach-karuma'!$AF$10:$AF$21</c:f>
              <c:numCache>
                <c:formatCode>0</c:formatCode>
                <c:ptCount val="12"/>
                <c:pt idx="0">
                  <c:v>34</c:v>
                </c:pt>
                <c:pt idx="1">
                  <c:v>30</c:v>
                </c:pt>
                <c:pt idx="2">
                  <c:v>34</c:v>
                </c:pt>
                <c:pt idx="3">
                  <c:v>35</c:v>
                </c:pt>
                <c:pt idx="4">
                  <c:v>53</c:v>
                </c:pt>
                <c:pt idx="5">
                  <c:v>32</c:v>
                </c:pt>
                <c:pt idx="6">
                  <c:v>39</c:v>
                </c:pt>
                <c:pt idx="7">
                  <c:v>54</c:v>
                </c:pt>
                <c:pt idx="8">
                  <c:v>74</c:v>
                </c:pt>
                <c:pt idx="9">
                  <c:v>48</c:v>
                </c:pt>
                <c:pt idx="10">
                  <c:v>69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pakwach-karuma'!$C$59:$N$59</c:f>
              <c:numCache>
                <c:formatCode>0.0%</c:formatCode>
                <c:ptCount val="12"/>
                <c:pt idx="0">
                  <c:v>0</c:v>
                </c:pt>
                <c:pt idx="1">
                  <c:v>4.2124542124542128E-2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0.14835164835164835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pakwach-karuma'!$S$9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pakwach-karuma'!$S$10:$S$21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'01.08 pakwach-karuma'!$T$9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pakwach-karuma'!$R$10:$R$21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pakwach-karuma'!$T$10:$T$21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'01.08 pakwach-karuma'!$U$9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pakwach-karuma'!$U$10:$U$21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5</c:v>
                </c:pt>
                <c:pt idx="7">
                  <c:v>12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'01.08 pakwach-karuma'!$V$9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pakwach-karuma'!$V$10:$V$21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'01.08 pakwach-karuma'!$W$9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'01.08 pakwach-karuma'!$X$9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'01.08 pakwach-karuma'!$Y$9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pakwach-karuma'!$Y$10:$Y$21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'01.08 pakwach-karuma'!$Z$9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pakwach-karuma'!$Z$10:$Z$21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'01.08 pakwach-karuma'!$AA$9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9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'01.08 pakwach-karuma'!$AB$9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pakwach-karuma'!$AB$10:$AB$21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'01.08 pakwach-karuma'!$AC$9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pakwach-karuma'!$AC$10:$AC$21</c:f>
              <c:numCache>
                <c:formatCode>0</c:formatCode>
                <c:ptCount val="12"/>
                <c:pt idx="0">
                  <c:v>13</c:v>
                </c:pt>
                <c:pt idx="1">
                  <c:v>13</c:v>
                </c:pt>
                <c:pt idx="2">
                  <c:v>19</c:v>
                </c:pt>
                <c:pt idx="3">
                  <c:v>10</c:v>
                </c:pt>
                <c:pt idx="4">
                  <c:v>20</c:v>
                </c:pt>
                <c:pt idx="5">
                  <c:v>9</c:v>
                </c:pt>
                <c:pt idx="6">
                  <c:v>17</c:v>
                </c:pt>
                <c:pt idx="7">
                  <c:v>18</c:v>
                </c:pt>
                <c:pt idx="8">
                  <c:v>16</c:v>
                </c:pt>
                <c:pt idx="9">
                  <c:v>14</c:v>
                </c:pt>
                <c:pt idx="10">
                  <c:v>28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'01.08 pakwach-karuma'!$AD$9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pakwach-karuma'!$AD$10:$AD$21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pakwach-karuma'!$C$60:$N$60</c:f>
              <c:numCache>
                <c:formatCode>0.00%</c:formatCode>
                <c:ptCount val="12"/>
                <c:pt idx="0">
                  <c:v>0</c:v>
                </c:pt>
                <c:pt idx="1">
                  <c:v>6.5340909090909088E-2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0.23011363636363635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karuma-pakwach'!$AE$9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karuma-pakwach'!$AE$10:$AE$21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17</c:v>
                </c:pt>
                <c:pt idx="3">
                  <c:v>25</c:v>
                </c:pt>
                <c:pt idx="4">
                  <c:v>21</c:v>
                </c:pt>
                <c:pt idx="5">
                  <c:v>16</c:v>
                </c:pt>
                <c:pt idx="6">
                  <c:v>23</c:v>
                </c:pt>
                <c:pt idx="7">
                  <c:v>40</c:v>
                </c:pt>
                <c:pt idx="8">
                  <c:v>34</c:v>
                </c:pt>
                <c:pt idx="9">
                  <c:v>33</c:v>
                </c:pt>
                <c:pt idx="10">
                  <c:v>22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'01.08 karuma-pakwach'!$AF$9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karuma-pakwach'!$AF$10:$AF$21</c:f>
              <c:numCache>
                <c:formatCode>0</c:formatCode>
                <c:ptCount val="12"/>
                <c:pt idx="0">
                  <c:v>19</c:v>
                </c:pt>
                <c:pt idx="1">
                  <c:v>29</c:v>
                </c:pt>
                <c:pt idx="2">
                  <c:v>36</c:v>
                </c:pt>
                <c:pt idx="3">
                  <c:v>33</c:v>
                </c:pt>
                <c:pt idx="4">
                  <c:v>28</c:v>
                </c:pt>
                <c:pt idx="5">
                  <c:v>26</c:v>
                </c:pt>
                <c:pt idx="6">
                  <c:v>38</c:v>
                </c:pt>
                <c:pt idx="7">
                  <c:v>68</c:v>
                </c:pt>
                <c:pt idx="8">
                  <c:v>50</c:v>
                </c:pt>
                <c:pt idx="9">
                  <c:v>54</c:v>
                </c:pt>
                <c:pt idx="10">
                  <c:v>46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karuma-pakwach'!$C$59:$N$59</c:f>
              <c:numCache>
                <c:formatCode>0.0%</c:formatCode>
                <c:ptCount val="12"/>
                <c:pt idx="0">
                  <c:v>0</c:v>
                </c:pt>
                <c:pt idx="1">
                  <c:v>3.0232558139534883E-2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0.10465116279069768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karuma-pakwach'!$S$9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karuma-pakwach'!$S$10:$S$21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7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'01.08 karuma-pakwach'!$T$9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karuma-pakwach'!$T$10:$T$21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'01.08 karuma-pakwach'!$U$9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karuma-pakwach'!$U$10:$U$21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'01.08 karuma-pakwach'!$V$9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karuma-pakwach'!$V$10:$V$21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'01.08 karuma-pakwach'!$W$9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'01.08 karuma-pakwach'!$X$9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'01.08 karuma-pakwach'!$Y$9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9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'01.08 karuma-pakwach'!$Z$9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'01.08 karuma-pakwach'!$AA$9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'01.08 karuma-pakwach'!$AB$9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7</c:v>
                </c:pt>
                <c:pt idx="8">
                  <c:v>12</c:v>
                </c:pt>
                <c:pt idx="9">
                  <c:v>6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'01.08 karuma-pakwach'!$AC$9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karuma-pakwach'!$AC$10:$AC$21</c:f>
              <c:numCache>
                <c:formatCode>0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19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28</c:v>
                </c:pt>
                <c:pt idx="8">
                  <c:v>16</c:v>
                </c:pt>
                <c:pt idx="9">
                  <c:v>21</c:v>
                </c:pt>
                <c:pt idx="10">
                  <c:v>24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'01.08 karuma-pakwach'!$AD$9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karuma-pakwach'!$AD$10:$AD$21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karuma-pakwach'!$C$60:$N$60</c:f>
              <c:numCache>
                <c:formatCode>0.00%</c:formatCode>
                <c:ptCount val="12"/>
                <c:pt idx="0">
                  <c:v>0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0.17307692307692307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'2.08 Pakwach-Karuma-24h'!$AE$9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'2.08 Pakwach-Karuma-24h'!$R$10:$R$33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'2.08 Pakwach-Karuma-24h'!$AE$10:$AE$33</c:f>
              <c:numCache>
                <c:formatCode>0</c:formatCode>
                <c:ptCount val="24"/>
                <c:pt idx="0">
                  <c:v>26</c:v>
                </c:pt>
                <c:pt idx="1">
                  <c:v>11</c:v>
                </c:pt>
                <c:pt idx="2">
                  <c:v>37</c:v>
                </c:pt>
                <c:pt idx="3">
                  <c:v>17</c:v>
                </c:pt>
                <c:pt idx="4">
                  <c:v>23</c:v>
                </c:pt>
                <c:pt idx="5">
                  <c:v>13</c:v>
                </c:pt>
                <c:pt idx="6">
                  <c:v>18</c:v>
                </c:pt>
                <c:pt idx="7">
                  <c:v>33</c:v>
                </c:pt>
                <c:pt idx="8">
                  <c:v>26</c:v>
                </c:pt>
                <c:pt idx="9">
                  <c:v>42</c:v>
                </c:pt>
                <c:pt idx="10">
                  <c:v>38</c:v>
                </c:pt>
                <c:pt idx="11">
                  <c:v>38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16</c:v>
                </c:pt>
                <c:pt idx="17">
                  <c:v>5</c:v>
                </c:pt>
                <c:pt idx="18">
                  <c:v>7</c:v>
                </c:pt>
                <c:pt idx="19">
                  <c:v>16</c:v>
                </c:pt>
                <c:pt idx="20">
                  <c:v>3</c:v>
                </c:pt>
                <c:pt idx="21">
                  <c:v>12</c:v>
                </c:pt>
                <c:pt idx="22">
                  <c:v>16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'2.08 Pakwach-Karuma-24h'!$AF$9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'2.08 Pakwach-Karuma-24h'!$R$10:$R$33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'2.08 Pakwach-Karuma-24h'!$AF$10:$AF$33</c:f>
              <c:numCache>
                <c:formatCode>0</c:formatCode>
                <c:ptCount val="24"/>
                <c:pt idx="0">
                  <c:v>44</c:v>
                </c:pt>
                <c:pt idx="1">
                  <c:v>23</c:v>
                </c:pt>
                <c:pt idx="2">
                  <c:v>55</c:v>
                </c:pt>
                <c:pt idx="3">
                  <c:v>32</c:v>
                </c:pt>
                <c:pt idx="4">
                  <c:v>41</c:v>
                </c:pt>
                <c:pt idx="5">
                  <c:v>23</c:v>
                </c:pt>
                <c:pt idx="6">
                  <c:v>36</c:v>
                </c:pt>
                <c:pt idx="7">
                  <c:v>52</c:v>
                </c:pt>
                <c:pt idx="8">
                  <c:v>40</c:v>
                </c:pt>
                <c:pt idx="9">
                  <c:v>60</c:v>
                </c:pt>
                <c:pt idx="10">
                  <c:v>57</c:v>
                </c:pt>
                <c:pt idx="11">
                  <c:v>50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18</c:v>
                </c:pt>
                <c:pt idx="16">
                  <c:v>23</c:v>
                </c:pt>
                <c:pt idx="17">
                  <c:v>10</c:v>
                </c:pt>
                <c:pt idx="18">
                  <c:v>11</c:v>
                </c:pt>
                <c:pt idx="19">
                  <c:v>16</c:v>
                </c:pt>
                <c:pt idx="20">
                  <c:v>3</c:v>
                </c:pt>
                <c:pt idx="21">
                  <c:v>12</c:v>
                </c:pt>
                <c:pt idx="22">
                  <c:v>17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'2.08 Pakwach-Karuma-24h'!$C$9:$N$9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'2.08 Pakwach-Karuma-24h'!$C$107:$N$107</c:f>
              <c:numCache>
                <c:formatCode>0.0%</c:formatCode>
                <c:ptCount val="12"/>
                <c:pt idx="0">
                  <c:v>8.5553997194950909E-2</c:v>
                </c:pt>
                <c:pt idx="1">
                  <c:v>3.7868162692847124E-2</c:v>
                </c:pt>
                <c:pt idx="2">
                  <c:v>0.17531556802244039</c:v>
                </c:pt>
                <c:pt idx="3">
                  <c:v>9.1164095371669002E-2</c:v>
                </c:pt>
                <c:pt idx="4">
                  <c:v>1.6830294530154277E-2</c:v>
                </c:pt>
                <c:pt idx="5">
                  <c:v>3.3660589060308554E-2</c:v>
                </c:pt>
                <c:pt idx="6">
                  <c:v>1.6830294530154277E-2</c:v>
                </c:pt>
                <c:pt idx="7">
                  <c:v>3.2258064516129031E-2</c:v>
                </c:pt>
                <c:pt idx="8">
                  <c:v>2.9453015427769985E-2</c:v>
                </c:pt>
                <c:pt idx="9">
                  <c:v>0.1093969144460028</c:v>
                </c:pt>
                <c:pt idx="10">
                  <c:v>0.36044880785413747</c:v>
                </c:pt>
                <c:pt idx="11">
                  <c:v>1.1220196353436185E-2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'2.08 Pakwach-Karuma-24h'!$C$9:$N$9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'2.08 Pakwach-Karuma-24h'!$C$108:$N$108</c:f>
              <c:numCache>
                <c:formatCode>0.00%</c:formatCode>
                <c:ptCount val="12"/>
                <c:pt idx="0">
                  <c:v>0.1337719298245614</c:v>
                </c:pt>
                <c:pt idx="1">
                  <c:v>5.921052631578947E-2</c:v>
                </c:pt>
                <c:pt idx="2">
                  <c:v>0.27412280701754388</c:v>
                </c:pt>
                <c:pt idx="3">
                  <c:v>0.14254385964912281</c:v>
                </c:pt>
                <c:pt idx="4">
                  <c:v>2.6315789473684209E-2</c:v>
                </c:pt>
                <c:pt idx="5">
                  <c:v>5.2631578947368418E-2</c:v>
                </c:pt>
                <c:pt idx="6">
                  <c:v>2.6315789473684209E-2</c:v>
                </c:pt>
                <c:pt idx="7">
                  <c:v>5.0438596491228067E-2</c:v>
                </c:pt>
                <c:pt idx="8">
                  <c:v>4.6052631578947366E-2</c:v>
                </c:pt>
                <c:pt idx="9">
                  <c:v>0.17105263157894737</c:v>
                </c:pt>
                <c:pt idx="11">
                  <c:v>1.7543859649122806E-2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'2.08 Karuma-Pakwach-24h'!$AE$9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'2.08 Karuma-Pakwach-24h'!$R$10:$R$33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'2.08 Karuma-Pakwach-24h'!$AE$10:$AE$33</c:f>
              <c:numCache>
                <c:formatCode>0</c:formatCode>
                <c:ptCount val="24"/>
                <c:pt idx="0">
                  <c:v>12</c:v>
                </c:pt>
                <c:pt idx="1">
                  <c:v>15</c:v>
                </c:pt>
                <c:pt idx="2">
                  <c:v>30</c:v>
                </c:pt>
                <c:pt idx="3">
                  <c:v>26</c:v>
                </c:pt>
                <c:pt idx="4">
                  <c:v>20</c:v>
                </c:pt>
                <c:pt idx="5">
                  <c:v>18</c:v>
                </c:pt>
                <c:pt idx="6">
                  <c:v>34</c:v>
                </c:pt>
                <c:pt idx="7">
                  <c:v>39</c:v>
                </c:pt>
                <c:pt idx="8">
                  <c:v>41</c:v>
                </c:pt>
                <c:pt idx="9">
                  <c:v>24</c:v>
                </c:pt>
                <c:pt idx="10">
                  <c:v>37</c:v>
                </c:pt>
                <c:pt idx="11">
                  <c:v>35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16</c:v>
                </c:pt>
                <c:pt idx="17">
                  <c:v>5</c:v>
                </c:pt>
                <c:pt idx="18">
                  <c:v>7</c:v>
                </c:pt>
                <c:pt idx="19">
                  <c:v>16</c:v>
                </c:pt>
                <c:pt idx="20">
                  <c:v>3</c:v>
                </c:pt>
                <c:pt idx="21">
                  <c:v>12</c:v>
                </c:pt>
                <c:pt idx="22">
                  <c:v>16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'2.08 Karuma-Pakwach-24h'!$AF$9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'2.08 Karuma-Pakwach-24h'!$R$10:$R$33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'2.08 Karuma-Pakwach-24h'!$AF$10:$AF$33</c:f>
              <c:numCache>
                <c:formatCode>0</c:formatCode>
                <c:ptCount val="24"/>
                <c:pt idx="0">
                  <c:v>22</c:v>
                </c:pt>
                <c:pt idx="1">
                  <c:v>33</c:v>
                </c:pt>
                <c:pt idx="2">
                  <c:v>56</c:v>
                </c:pt>
                <c:pt idx="3">
                  <c:v>45</c:v>
                </c:pt>
                <c:pt idx="4">
                  <c:v>30</c:v>
                </c:pt>
                <c:pt idx="5">
                  <c:v>36</c:v>
                </c:pt>
                <c:pt idx="6">
                  <c:v>43</c:v>
                </c:pt>
                <c:pt idx="7">
                  <c:v>52</c:v>
                </c:pt>
                <c:pt idx="8">
                  <c:v>63</c:v>
                </c:pt>
                <c:pt idx="9">
                  <c:v>46</c:v>
                </c:pt>
                <c:pt idx="10">
                  <c:v>54</c:v>
                </c:pt>
                <c:pt idx="11">
                  <c:v>51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16</c:v>
                </c:pt>
                <c:pt idx="16">
                  <c:v>19</c:v>
                </c:pt>
                <c:pt idx="17">
                  <c:v>10</c:v>
                </c:pt>
                <c:pt idx="18">
                  <c:v>11</c:v>
                </c:pt>
                <c:pt idx="19">
                  <c:v>16</c:v>
                </c:pt>
                <c:pt idx="20">
                  <c:v>3</c:v>
                </c:pt>
                <c:pt idx="21">
                  <c:v>12</c:v>
                </c:pt>
                <c:pt idx="22">
                  <c:v>17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'2.08 Karuma-Pakwach-24h'!$C$9:$N$9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'2.08 Karuma-Pakwach-24h'!$C$107:$N$107</c:f>
              <c:numCache>
                <c:formatCode>0.0%</c:formatCode>
                <c:ptCount val="12"/>
                <c:pt idx="0">
                  <c:v>7.8212290502793297E-2</c:v>
                </c:pt>
                <c:pt idx="1">
                  <c:v>3.4916201117318434E-2</c:v>
                </c:pt>
                <c:pt idx="2">
                  <c:v>0.15363128491620112</c:v>
                </c:pt>
                <c:pt idx="3">
                  <c:v>9.7765363128491614E-2</c:v>
                </c:pt>
                <c:pt idx="4">
                  <c:v>1.9553072625698324E-2</c:v>
                </c:pt>
                <c:pt idx="5">
                  <c:v>3.7709497206703912E-2</c:v>
                </c:pt>
                <c:pt idx="6">
                  <c:v>2.3743016759776536E-2</c:v>
                </c:pt>
                <c:pt idx="7">
                  <c:v>5.8659217877094973E-2</c:v>
                </c:pt>
                <c:pt idx="8">
                  <c:v>3.3519553072625698E-2</c:v>
                </c:pt>
                <c:pt idx="9">
                  <c:v>9.9162011173184364E-2</c:v>
                </c:pt>
                <c:pt idx="10">
                  <c:v>0.35335195530726254</c:v>
                </c:pt>
                <c:pt idx="11">
                  <c:v>9.7765363128491621E-3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'2.08 Karuma-Pakwach-24h'!$C$9:$N$9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'2.08 Karuma-Pakwach-24h'!$C$108:$N$108</c:f>
              <c:numCache>
                <c:formatCode>0.00%</c:formatCode>
                <c:ptCount val="12"/>
                <c:pt idx="0">
                  <c:v>0.12095032397408208</c:v>
                </c:pt>
                <c:pt idx="1">
                  <c:v>5.3995680345572353E-2</c:v>
                </c:pt>
                <c:pt idx="2">
                  <c:v>0.23758099352051837</c:v>
                </c:pt>
                <c:pt idx="3">
                  <c:v>0.15118790496760259</c:v>
                </c:pt>
                <c:pt idx="4">
                  <c:v>3.0237580993520519E-2</c:v>
                </c:pt>
                <c:pt idx="5">
                  <c:v>5.8315334773218146E-2</c:v>
                </c:pt>
                <c:pt idx="6">
                  <c:v>3.6717062634989202E-2</c:v>
                </c:pt>
                <c:pt idx="7">
                  <c:v>9.0712742980561561E-2</c:v>
                </c:pt>
                <c:pt idx="8">
                  <c:v>5.183585313174946E-2</c:v>
                </c:pt>
                <c:pt idx="9">
                  <c:v>0.15334773218142547</c:v>
                </c:pt>
                <c:pt idx="11">
                  <c:v>1.511879049676026E-2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'3.08 Pakwach-Karuma-24h'!$AE$9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'3.08 Pakwach-Karuma-24h'!$R$10:$R$33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'3.08 Pakwach-Karuma-24h'!$AE$10:$AE$33</c:f>
              <c:numCache>
                <c:formatCode>0</c:formatCode>
                <c:ptCount val="24"/>
                <c:pt idx="0">
                  <c:v>21</c:v>
                </c:pt>
                <c:pt idx="1">
                  <c:v>23</c:v>
                </c:pt>
                <c:pt idx="2">
                  <c:v>22</c:v>
                </c:pt>
                <c:pt idx="3">
                  <c:v>34</c:v>
                </c:pt>
                <c:pt idx="4">
                  <c:v>23</c:v>
                </c:pt>
                <c:pt idx="5">
                  <c:v>26</c:v>
                </c:pt>
                <c:pt idx="6">
                  <c:v>22</c:v>
                </c:pt>
                <c:pt idx="7">
                  <c:v>28</c:v>
                </c:pt>
                <c:pt idx="8">
                  <c:v>14</c:v>
                </c:pt>
                <c:pt idx="9">
                  <c:v>27</c:v>
                </c:pt>
                <c:pt idx="10">
                  <c:v>31</c:v>
                </c:pt>
                <c:pt idx="11">
                  <c:v>20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16</c:v>
                </c:pt>
                <c:pt idx="17">
                  <c:v>5</c:v>
                </c:pt>
                <c:pt idx="18">
                  <c:v>7</c:v>
                </c:pt>
                <c:pt idx="19">
                  <c:v>16</c:v>
                </c:pt>
                <c:pt idx="20">
                  <c:v>4</c:v>
                </c:pt>
                <c:pt idx="21">
                  <c:v>11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'3.08 Pakwach-Karuma-24h'!$AF$9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'3.08 Pakwach-Karuma-24h'!$R$10:$R$33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'3.08 Pakwach-Karuma-24h'!$AF$10:$AF$33</c:f>
              <c:numCache>
                <c:formatCode>0</c:formatCode>
                <c:ptCount val="24"/>
                <c:pt idx="0">
                  <c:v>36</c:v>
                </c:pt>
                <c:pt idx="1">
                  <c:v>35</c:v>
                </c:pt>
                <c:pt idx="2">
                  <c:v>43</c:v>
                </c:pt>
                <c:pt idx="3">
                  <c:v>56</c:v>
                </c:pt>
                <c:pt idx="4">
                  <c:v>32</c:v>
                </c:pt>
                <c:pt idx="5">
                  <c:v>41</c:v>
                </c:pt>
                <c:pt idx="6">
                  <c:v>39</c:v>
                </c:pt>
                <c:pt idx="7">
                  <c:v>43</c:v>
                </c:pt>
                <c:pt idx="8">
                  <c:v>29</c:v>
                </c:pt>
                <c:pt idx="9">
                  <c:v>44</c:v>
                </c:pt>
                <c:pt idx="10">
                  <c:v>54</c:v>
                </c:pt>
                <c:pt idx="11">
                  <c:v>38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16</c:v>
                </c:pt>
                <c:pt idx="16">
                  <c:v>19</c:v>
                </c:pt>
                <c:pt idx="17">
                  <c:v>10</c:v>
                </c:pt>
                <c:pt idx="18">
                  <c:v>11</c:v>
                </c:pt>
                <c:pt idx="19">
                  <c:v>16</c:v>
                </c:pt>
                <c:pt idx="20">
                  <c:v>4</c:v>
                </c:pt>
                <c:pt idx="21">
                  <c:v>11</c:v>
                </c:pt>
                <c:pt idx="22">
                  <c:v>15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'3.08 Pakwach-Karuma-24h'!$C$9:$N$9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'3.08 Pakwach-Karuma-24h'!$C$107:$N$107</c:f>
              <c:numCache>
                <c:formatCode>0.0%</c:formatCode>
                <c:ptCount val="12"/>
                <c:pt idx="0">
                  <c:v>8.9153046062407135E-2</c:v>
                </c:pt>
                <c:pt idx="1">
                  <c:v>3.2689450222882617E-2</c:v>
                </c:pt>
                <c:pt idx="2">
                  <c:v>0.17236255572065379</c:v>
                </c:pt>
                <c:pt idx="3">
                  <c:v>6.9836552748885589E-2</c:v>
                </c:pt>
                <c:pt idx="4">
                  <c:v>2.9717682020802376E-3</c:v>
                </c:pt>
                <c:pt idx="5">
                  <c:v>2.2288261515601784E-2</c:v>
                </c:pt>
                <c:pt idx="6">
                  <c:v>1.6344725111441308E-2</c:v>
                </c:pt>
                <c:pt idx="7">
                  <c:v>5.9435364041604752E-2</c:v>
                </c:pt>
                <c:pt idx="8">
                  <c:v>2.0802377414561663E-2</c:v>
                </c:pt>
                <c:pt idx="9">
                  <c:v>0.1263001485884101</c:v>
                </c:pt>
                <c:pt idx="10">
                  <c:v>0.37295690936106984</c:v>
                </c:pt>
                <c:pt idx="11">
                  <c:v>1.4858841010401188E-2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'3.08 Pakwach-Karuma-24h'!$C$9:$N$9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'3.08 Pakwach-Karuma-24h'!$C$108:$N$108</c:f>
              <c:numCache>
                <c:formatCode>0.00%</c:formatCode>
                <c:ptCount val="12"/>
                <c:pt idx="0">
                  <c:v>0.14218009478672985</c:v>
                </c:pt>
                <c:pt idx="1">
                  <c:v>5.2132701421800945E-2</c:v>
                </c:pt>
                <c:pt idx="2">
                  <c:v>0.27488151658767773</c:v>
                </c:pt>
                <c:pt idx="3">
                  <c:v>0.11137440758293839</c:v>
                </c:pt>
                <c:pt idx="4">
                  <c:v>4.7393364928909956E-3</c:v>
                </c:pt>
                <c:pt idx="5">
                  <c:v>3.5545023696682464E-2</c:v>
                </c:pt>
                <c:pt idx="6">
                  <c:v>2.6066350710900472E-2</c:v>
                </c:pt>
                <c:pt idx="7">
                  <c:v>9.4786729857819899E-2</c:v>
                </c:pt>
                <c:pt idx="8">
                  <c:v>3.3175355450236969E-2</c:v>
                </c:pt>
                <c:pt idx="9">
                  <c:v>0.2014218009478673</c:v>
                </c:pt>
                <c:pt idx="11">
                  <c:v>2.3696682464454975E-2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'3.08 Karuma-Pakwach-24h'!$AE$9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'3.08 Karuma-Pakwach-24h'!$R$10:$R$33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'3.08 Karuma-Pakwach-24h'!$AE$10:$AE$33</c:f>
              <c:numCache>
                <c:formatCode>0</c:formatCode>
                <c:ptCount val="24"/>
                <c:pt idx="0">
                  <c:v>16</c:v>
                </c:pt>
                <c:pt idx="1">
                  <c:v>18</c:v>
                </c:pt>
                <c:pt idx="2">
                  <c:v>9</c:v>
                </c:pt>
                <c:pt idx="3">
                  <c:v>27</c:v>
                </c:pt>
                <c:pt idx="4">
                  <c:v>26</c:v>
                </c:pt>
                <c:pt idx="5">
                  <c:v>13</c:v>
                </c:pt>
                <c:pt idx="6">
                  <c:v>23</c:v>
                </c:pt>
                <c:pt idx="7">
                  <c:v>33</c:v>
                </c:pt>
                <c:pt idx="8">
                  <c:v>30</c:v>
                </c:pt>
                <c:pt idx="9">
                  <c:v>18</c:v>
                </c:pt>
                <c:pt idx="10">
                  <c:v>25</c:v>
                </c:pt>
                <c:pt idx="11">
                  <c:v>26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16</c:v>
                </c:pt>
                <c:pt idx="17">
                  <c:v>6</c:v>
                </c:pt>
                <c:pt idx="18">
                  <c:v>7</c:v>
                </c:pt>
                <c:pt idx="19">
                  <c:v>16</c:v>
                </c:pt>
                <c:pt idx="20">
                  <c:v>3</c:v>
                </c:pt>
                <c:pt idx="21">
                  <c:v>11</c:v>
                </c:pt>
                <c:pt idx="22">
                  <c:v>15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'3.08 Karuma-Pakwach-24h'!$AF$9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'3.08 Karuma-Pakwach-24h'!$R$10:$R$33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'3.08 Karuma-Pakwach-24h'!$AF$10:$AF$33</c:f>
              <c:numCache>
                <c:formatCode>0</c:formatCode>
                <c:ptCount val="24"/>
                <c:pt idx="0">
                  <c:v>28</c:v>
                </c:pt>
                <c:pt idx="1">
                  <c:v>29</c:v>
                </c:pt>
                <c:pt idx="2">
                  <c:v>23</c:v>
                </c:pt>
                <c:pt idx="3">
                  <c:v>49</c:v>
                </c:pt>
                <c:pt idx="4">
                  <c:v>41</c:v>
                </c:pt>
                <c:pt idx="5">
                  <c:v>42</c:v>
                </c:pt>
                <c:pt idx="6">
                  <c:v>36</c:v>
                </c:pt>
                <c:pt idx="7">
                  <c:v>49</c:v>
                </c:pt>
                <c:pt idx="8">
                  <c:v>37</c:v>
                </c:pt>
                <c:pt idx="9">
                  <c:v>33</c:v>
                </c:pt>
                <c:pt idx="10">
                  <c:v>37</c:v>
                </c:pt>
                <c:pt idx="11">
                  <c:v>43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16</c:v>
                </c:pt>
                <c:pt idx="16">
                  <c:v>19</c:v>
                </c:pt>
                <c:pt idx="17">
                  <c:v>11</c:v>
                </c:pt>
                <c:pt idx="18">
                  <c:v>11</c:v>
                </c:pt>
                <c:pt idx="19">
                  <c:v>16</c:v>
                </c:pt>
                <c:pt idx="20">
                  <c:v>3</c:v>
                </c:pt>
                <c:pt idx="21">
                  <c:v>11</c:v>
                </c:pt>
                <c:pt idx="22">
                  <c:v>16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'3.08 Karuma-Pakwach-24h'!$C$9:$N$9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'3.08 Karuma-Pakwach-24h'!$C$107:$N$107</c:f>
              <c:numCache>
                <c:formatCode>0.0%</c:formatCode>
                <c:ptCount val="12"/>
                <c:pt idx="0">
                  <c:v>8.7025316455696208E-2</c:v>
                </c:pt>
                <c:pt idx="1">
                  <c:v>2.5316455696202531E-2</c:v>
                </c:pt>
                <c:pt idx="2">
                  <c:v>0.15981012658227847</c:v>
                </c:pt>
                <c:pt idx="3">
                  <c:v>9.49367088607595E-2</c:v>
                </c:pt>
                <c:pt idx="4">
                  <c:v>6.3291139240506328E-3</c:v>
                </c:pt>
                <c:pt idx="5">
                  <c:v>3.0063291139240507E-2</c:v>
                </c:pt>
                <c:pt idx="6">
                  <c:v>5.5379746835443035E-2</c:v>
                </c:pt>
                <c:pt idx="7">
                  <c:v>3.4810126582278479E-2</c:v>
                </c:pt>
                <c:pt idx="8">
                  <c:v>2.0569620253164556E-2</c:v>
                </c:pt>
                <c:pt idx="9">
                  <c:v>0.11075949367088607</c:v>
                </c:pt>
                <c:pt idx="10">
                  <c:v>0.375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'3.08 Karuma-Pakwach-24h'!$C$9:$N$9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'3.08 Karuma-Pakwach-24h'!$C$108:$N$108</c:f>
              <c:numCache>
                <c:formatCode>0.00%</c:formatCode>
                <c:ptCount val="12"/>
                <c:pt idx="0">
                  <c:v>0.13924050632911392</c:v>
                </c:pt>
                <c:pt idx="1">
                  <c:v>4.0506329113924051E-2</c:v>
                </c:pt>
                <c:pt idx="2">
                  <c:v>0.25569620253164554</c:v>
                </c:pt>
                <c:pt idx="3">
                  <c:v>0.15189873417721519</c:v>
                </c:pt>
                <c:pt idx="4">
                  <c:v>1.0126582278481013E-2</c:v>
                </c:pt>
                <c:pt idx="5">
                  <c:v>4.810126582278481E-2</c:v>
                </c:pt>
                <c:pt idx="6">
                  <c:v>8.8607594936708861E-2</c:v>
                </c:pt>
                <c:pt idx="7">
                  <c:v>5.5696202531645568E-2</c:v>
                </c:pt>
                <c:pt idx="8">
                  <c:v>3.2911392405063293E-2</c:v>
                </c:pt>
                <c:pt idx="9">
                  <c:v>0.17721518987341772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'4.08 Pakwach-Karuma 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'4.08 Pakwach-Karuma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 Pakwach-Karuma '!$AE$10:$AE$21</c:f>
              <c:numCache>
                <c:formatCode>0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16</c:v>
                </c:pt>
                <c:pt idx="5">
                  <c:v>8</c:v>
                </c:pt>
                <c:pt idx="6">
                  <c:v>8</c:v>
                </c:pt>
                <c:pt idx="7">
                  <c:v>18</c:v>
                </c:pt>
                <c:pt idx="8">
                  <c:v>12</c:v>
                </c:pt>
                <c:pt idx="9">
                  <c:v>18</c:v>
                </c:pt>
                <c:pt idx="10">
                  <c:v>23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72-48AE-BE8B-D548CA3608E4}"/>
            </c:ext>
          </c:extLst>
        </c:ser>
        <c:ser>
          <c:idx val="1"/>
          <c:order val="1"/>
          <c:tx>
            <c:strRef>
              <c:f>'4.08 Pakwach-Karuma 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'4.08 Pakwach-Karuma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 Pakwach-Karuma '!$AF$10:$AF$21</c:f>
              <c:numCache>
                <c:formatCode>0</c:formatCode>
                <c:ptCount val="12"/>
                <c:pt idx="0">
                  <c:v>21</c:v>
                </c:pt>
                <c:pt idx="1">
                  <c:v>21</c:v>
                </c:pt>
                <c:pt idx="2">
                  <c:v>25</c:v>
                </c:pt>
                <c:pt idx="3">
                  <c:v>22</c:v>
                </c:pt>
                <c:pt idx="4">
                  <c:v>29</c:v>
                </c:pt>
                <c:pt idx="5">
                  <c:v>18</c:v>
                </c:pt>
                <c:pt idx="6">
                  <c:v>19</c:v>
                </c:pt>
                <c:pt idx="7">
                  <c:v>29</c:v>
                </c:pt>
                <c:pt idx="8">
                  <c:v>22</c:v>
                </c:pt>
                <c:pt idx="9">
                  <c:v>31</c:v>
                </c:pt>
                <c:pt idx="10">
                  <c:v>37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72-48AE-BE8B-D548CA36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D45-42CC-B5AC-A29C4C6DC6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D45-42CC-B5AC-A29C4C6DC6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D45-42CC-B5AC-A29C4C6DC6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D45-42CC-B5AC-A29C4C6DC6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D45-42CC-B5AC-A29C4C6DC6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D45-42CC-B5AC-A29C4C6DC6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D45-42CC-B5AC-A29C4C6DC6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D45-42CC-B5AC-A29C4C6DC6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D45-42CC-B5AC-A29C4C6DC6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D45-42CC-B5AC-A29C4C6DC6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D45-42CC-B5AC-A29C4C6DC6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D45-42CC-B5AC-A29C4C6DC67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D45-42CC-B5AC-A29C4C6DC6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'4.08 Pakwach-Karuma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'4.08 Pakwach-Karuma '!$C$59:$N$59</c:f>
              <c:numCache>
                <c:formatCode>0.0%</c:formatCode>
                <c:ptCount val="12"/>
                <c:pt idx="0">
                  <c:v>0</c:v>
                </c:pt>
                <c:pt idx="1">
                  <c:v>2.364864864864865E-2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0.11148648648648649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D45-42CC-B5AC-A29C4C6DC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'4.08 Pakwach-Karuma 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'4.08 Pakwach-Karuma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 Pakwach-Karuma '!$S$10:$S$21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C2-45DD-B8B4-AD54E3DCFA62}"/>
            </c:ext>
          </c:extLst>
        </c:ser>
        <c:ser>
          <c:idx val="1"/>
          <c:order val="1"/>
          <c:tx>
            <c:strRef>
              <c:f>'4.08 Pakwach-Karuma 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'4.08 Pakwach-Karuma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 Pakwach-Karuma 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C2-45DD-B8B4-AD54E3DCFA62}"/>
            </c:ext>
          </c:extLst>
        </c:ser>
        <c:ser>
          <c:idx val="2"/>
          <c:order val="2"/>
          <c:tx>
            <c:strRef>
              <c:f>'4.08 Pakwach-Karuma 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'!$U$10:$U$21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2-45DD-B8B4-AD54E3DCFA62}"/>
            </c:ext>
          </c:extLst>
        </c:ser>
        <c:ser>
          <c:idx val="3"/>
          <c:order val="3"/>
          <c:tx>
            <c:strRef>
              <c:f>'4.08 Pakwach-Karuma 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'!$V$10:$V$21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C2-45DD-B8B4-AD54E3DCFA62}"/>
            </c:ext>
          </c:extLst>
        </c:ser>
        <c:ser>
          <c:idx val="4"/>
          <c:order val="4"/>
          <c:tx>
            <c:strRef>
              <c:f>'4.08 Pakwach-Karuma 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C2-45DD-B8B4-AD54E3DCFA62}"/>
            </c:ext>
          </c:extLst>
        </c:ser>
        <c:ser>
          <c:idx val="5"/>
          <c:order val="5"/>
          <c:tx>
            <c:strRef>
              <c:f>'4.08 Pakwach-Karuma 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C2-45DD-B8B4-AD54E3DCFA62}"/>
            </c:ext>
          </c:extLst>
        </c:ser>
        <c:ser>
          <c:idx val="6"/>
          <c:order val="6"/>
          <c:tx>
            <c:strRef>
              <c:f>'4.08 Pakwach-Karuma 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C2-45DD-B8B4-AD54E3DCFA62}"/>
            </c:ext>
          </c:extLst>
        </c:ser>
        <c:ser>
          <c:idx val="7"/>
          <c:order val="7"/>
          <c:tx>
            <c:strRef>
              <c:f>'4.08 Pakwach-Karuma 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'!$Z$10:$Z$21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C2-45DD-B8B4-AD54E3DCFA62}"/>
            </c:ext>
          </c:extLst>
        </c:ser>
        <c:ser>
          <c:idx val="8"/>
          <c:order val="8"/>
          <c:tx>
            <c:strRef>
              <c:f>'4.08 Pakwach-Karuma 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C2-45DD-B8B4-AD54E3DCFA62}"/>
            </c:ext>
          </c:extLst>
        </c:ser>
        <c:ser>
          <c:idx val="9"/>
          <c:order val="9"/>
          <c:tx>
            <c:strRef>
              <c:f>'4.08 Pakwach-Karuma 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'!$AB$10:$AB$21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C2-45DD-B8B4-AD54E3DCFA62}"/>
            </c:ext>
          </c:extLst>
        </c:ser>
        <c:ser>
          <c:idx val="10"/>
          <c:order val="10"/>
          <c:tx>
            <c:strRef>
              <c:f>'4.08 Pakwach-Karuma 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'!$AC$10:$AC$21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13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C2-45DD-B8B4-AD54E3DCFA62}"/>
            </c:ext>
          </c:extLst>
        </c:ser>
        <c:ser>
          <c:idx val="11"/>
          <c:order val="11"/>
          <c:tx>
            <c:strRef>
              <c:f>'4.08 Pakwach-Karuma 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 Pakwach-Karuma 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C2-45DD-B8B4-AD54E3DCF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31-44F5-835A-8EE008DF44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31-44F5-835A-8EE008DF44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31-44F5-835A-8EE008DF44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831-44F5-835A-8EE008DF44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831-44F5-835A-8EE008DF44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831-44F5-835A-8EE008DF44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831-44F5-835A-8EE008DF44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831-44F5-835A-8EE008DF442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831-44F5-835A-8EE008DF44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831-44F5-835A-8EE008DF442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831-44F5-835A-8EE008DF442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831-44F5-835A-8EE008DF442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831-44F5-835A-8EE008DF44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'4.08 Pakwach-Karuma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'4.08 Pakwach-Karuma '!$C$60:$N$60</c:f>
              <c:numCache>
                <c:formatCode>0.00%</c:formatCode>
                <c:ptCount val="12"/>
                <c:pt idx="0">
                  <c:v>0</c:v>
                </c:pt>
                <c:pt idx="1">
                  <c:v>4.4303797468354431E-2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0.20886075949367089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831-44F5-835A-8EE008DF4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Karuma-Pakwach'!$AE$9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Karuma-Pakwach'!$AE$10:$AE$21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84-43E1-A2E4-AF3EFD087D4F}"/>
            </c:ext>
          </c:extLst>
        </c:ser>
        <c:ser>
          <c:idx val="1"/>
          <c:order val="1"/>
          <c:tx>
            <c:strRef>
              <c:f>'04.08 Karuma-Pakwach'!$AF$9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Karuma-Pakwach'!$AF$10:$AF$21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  <c:pt idx="8">
                  <c:v>13</c:v>
                </c:pt>
                <c:pt idx="9">
                  <c:v>9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84-43E1-A2E4-AF3EFD087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B2E-4324-A0CA-60C077B1D1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B2E-4324-A0CA-60C077B1D1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B2E-4324-A0CA-60C077B1D1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B2E-4324-A0CA-60C077B1D1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B2E-4324-A0CA-60C077B1D1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B2E-4324-A0CA-60C077B1D1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B2E-4324-A0CA-60C077B1D1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B2E-4324-A0CA-60C077B1D1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B2E-4324-A0CA-60C077B1D1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B2E-4324-A0CA-60C077B1D1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B2E-4324-A0CA-60C077B1D1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B2E-4324-A0CA-60C077B1D15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B2E-4324-A0CA-60C077B1D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Karuma-Pakwach'!$C$59:$N$59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7.9207920792079209E-2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B2E-4324-A0CA-60C077B1D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Karuma-Pakwach'!$S$9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Karuma-Pakwach'!$S$10:$S$21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94-4A51-A673-D93CD8A75750}"/>
            </c:ext>
          </c:extLst>
        </c:ser>
        <c:ser>
          <c:idx val="1"/>
          <c:order val="1"/>
          <c:tx>
            <c:strRef>
              <c:f>'04.08 Karuma-Pakwach'!$T$9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Karuma-Pakwach'!$R$10:$R$21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Karuma-Pakwach'!$T$10:$T$21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94-4A51-A673-D93CD8A75750}"/>
            </c:ext>
          </c:extLst>
        </c:ser>
        <c:ser>
          <c:idx val="2"/>
          <c:order val="2"/>
          <c:tx>
            <c:strRef>
              <c:f>'04.08 Karuma-Pakwach'!$U$9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4-4A51-A673-D93CD8A75750}"/>
            </c:ext>
          </c:extLst>
        </c:ser>
        <c:ser>
          <c:idx val="3"/>
          <c:order val="3"/>
          <c:tx>
            <c:strRef>
              <c:f>'04.08 Karuma-Pakwach'!$V$9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94-4A51-A673-D93CD8A75750}"/>
            </c:ext>
          </c:extLst>
        </c:ser>
        <c:ser>
          <c:idx val="4"/>
          <c:order val="4"/>
          <c:tx>
            <c:strRef>
              <c:f>'04.08 Karuma-Pakwach'!$W$9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94-4A51-A673-D93CD8A75750}"/>
            </c:ext>
          </c:extLst>
        </c:ser>
        <c:ser>
          <c:idx val="5"/>
          <c:order val="5"/>
          <c:tx>
            <c:strRef>
              <c:f>'04.08 Karuma-Pakwach'!$X$9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94-4A51-A673-D93CD8A75750}"/>
            </c:ext>
          </c:extLst>
        </c:ser>
        <c:ser>
          <c:idx val="6"/>
          <c:order val="6"/>
          <c:tx>
            <c:strRef>
              <c:f>'04.08 Karuma-Pakwach'!$Y$9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94-4A51-A673-D93CD8A75750}"/>
            </c:ext>
          </c:extLst>
        </c:ser>
        <c:ser>
          <c:idx val="7"/>
          <c:order val="7"/>
          <c:tx>
            <c:strRef>
              <c:f>'04.08 Karuma-Pakwach'!$Z$9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94-4A51-A673-D93CD8A75750}"/>
            </c:ext>
          </c:extLst>
        </c:ser>
        <c:ser>
          <c:idx val="8"/>
          <c:order val="8"/>
          <c:tx>
            <c:strRef>
              <c:f>'04.08 Karuma-Pakwach'!$AA$9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94-4A51-A673-D93CD8A75750}"/>
            </c:ext>
          </c:extLst>
        </c:ser>
        <c:ser>
          <c:idx val="9"/>
          <c:order val="9"/>
          <c:tx>
            <c:strRef>
              <c:f>'04.08 Karuma-Pakwach'!$AB$9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94-4A51-A673-D93CD8A75750}"/>
            </c:ext>
          </c:extLst>
        </c:ser>
        <c:ser>
          <c:idx val="10"/>
          <c:order val="10"/>
          <c:tx>
            <c:strRef>
              <c:f>'04.08 Karuma-Pakwach'!$AC$9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Karuma-Pakwach'!$AC$10:$AC$21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94-4A51-A673-D93CD8A75750}"/>
            </c:ext>
          </c:extLst>
        </c:ser>
        <c:ser>
          <c:idx val="11"/>
          <c:order val="11"/>
          <c:tx>
            <c:strRef>
              <c:f>'04.08 Karuma-Pakwach'!$AD$9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Karuma-Pakwach'!$AD$10:$AD$21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94-4A51-A673-D93CD8A7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4E-4606-8F93-97EA1160BC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4E-4606-8F93-97EA1160BC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4E-4606-8F93-97EA1160BC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4E-4606-8F93-97EA1160BC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4E-4606-8F93-97EA1160BC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4E-4606-8F93-97EA1160BC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4E-4606-8F93-97EA1160BC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74E-4606-8F93-97EA1160BCA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74E-4606-8F93-97EA1160BCA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74E-4606-8F93-97EA1160BCA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74E-4606-8F93-97EA1160BCA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74E-4606-8F93-97EA1160BCA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74E-4606-8F93-97EA1160BC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Karuma-Pakwach'!$C$60:$N$60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0.21052631578947367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74E-4606-8F93-97EA1160B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Karuma-Pakwach'!$C$107:$N$107</c:f>
              <c:numCache>
                <c:formatCode>0.0%</c:formatCode>
                <c:ptCount val="12"/>
                <c:pt idx="0">
                  <c:v>0</c:v>
                </c:pt>
                <c:pt idx="1">
                  <c:v>3.426625518782591E-2</c:v>
                </c:pt>
                <c:pt idx="2">
                  <c:v>0.17665212301798447</c:v>
                </c:pt>
                <c:pt idx="3">
                  <c:v>7.7258699584973931E-2</c:v>
                </c:pt>
                <c:pt idx="4">
                  <c:v>2.2347557731190813E-2</c:v>
                </c:pt>
                <c:pt idx="5">
                  <c:v>2.8519740342662563E-2</c:v>
                </c:pt>
                <c:pt idx="6">
                  <c:v>2.7455570926891572E-2</c:v>
                </c:pt>
                <c:pt idx="7">
                  <c:v>3.9587102266680871E-2</c:v>
                </c:pt>
                <c:pt idx="8">
                  <c:v>2.192188996488242E-2</c:v>
                </c:pt>
                <c:pt idx="9">
                  <c:v>0.11248270724699375</c:v>
                </c:pt>
                <c:pt idx="10">
                  <c:v>0.37160795998723001</c:v>
                </c:pt>
                <c:pt idx="11">
                  <c:v>1.23443652229435E-2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Karuma-Pakwach'!$C$9:$N$9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Karuma-Pakwach'!$C$108:$N$108</c:f>
              <c:numCache>
                <c:formatCode>0.00%</c:formatCode>
                <c:ptCount val="12"/>
                <c:pt idx="0">
                  <c:v>0</c:v>
                </c:pt>
                <c:pt idx="1">
                  <c:v>5.4530059271803558E-2</c:v>
                </c:pt>
                <c:pt idx="2">
                  <c:v>0.28111769686706178</c:v>
                </c:pt>
                <c:pt idx="3">
                  <c:v>0.1229466553767993</c:v>
                </c:pt>
                <c:pt idx="4">
                  <c:v>3.556308213378493E-2</c:v>
                </c:pt>
                <c:pt idx="5">
                  <c:v>4.5385266723116012E-2</c:v>
                </c:pt>
                <c:pt idx="6">
                  <c:v>4.3691786621507203E-2</c:v>
                </c:pt>
                <c:pt idx="7">
                  <c:v>6.2997459779847595E-2</c:v>
                </c:pt>
                <c:pt idx="8">
                  <c:v>3.4885690093141415E-2</c:v>
                </c:pt>
                <c:pt idx="9">
                  <c:v>0.17900084674005082</c:v>
                </c:pt>
                <c:pt idx="11">
                  <c:v>1.9644369178662156E-2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Karuma-Pakwach'!$AE$9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Karuma-Pakwach'!$R$10:$R$33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Karuma-Pakwach'!$AE$10:$AE$33</c:f>
              <c:numCache>
                <c:formatCode>0</c:formatCode>
                <c:ptCount val="24"/>
                <c:pt idx="0">
                  <c:v>21.142857142857142</c:v>
                </c:pt>
                <c:pt idx="1">
                  <c:v>22.285714285714285</c:v>
                </c:pt>
                <c:pt idx="2">
                  <c:v>20.428571428571427</c:v>
                </c:pt>
                <c:pt idx="3">
                  <c:v>22.571428571428569</c:v>
                </c:pt>
                <c:pt idx="4">
                  <c:v>26</c:v>
                </c:pt>
                <c:pt idx="5">
                  <c:v>18.285714285714285</c:v>
                </c:pt>
                <c:pt idx="6">
                  <c:v>17.857142857142854</c:v>
                </c:pt>
                <c:pt idx="7">
                  <c:v>27.571428571428569</c:v>
                </c:pt>
                <c:pt idx="8">
                  <c:v>25</c:v>
                </c:pt>
                <c:pt idx="9">
                  <c:v>30.285714285714285</c:v>
                </c:pt>
                <c:pt idx="10">
                  <c:v>33.714285714285715</c:v>
                </c:pt>
                <c:pt idx="11">
                  <c:v>24.142857142857146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16</c:v>
                </c:pt>
                <c:pt idx="17">
                  <c:v>5</c:v>
                </c:pt>
                <c:pt idx="18">
                  <c:v>7</c:v>
                </c:pt>
                <c:pt idx="19">
                  <c:v>16</c:v>
                </c:pt>
                <c:pt idx="20">
                  <c:v>3.5</c:v>
                </c:pt>
                <c:pt idx="21">
                  <c:v>11.5</c:v>
                </c:pt>
                <c:pt idx="22">
                  <c:v>15</c:v>
                </c:pt>
                <c:pt idx="23">
                  <c:v>14.5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67-4CF0-8309-88A4B4093E98}"/>
            </c:ext>
          </c:extLst>
        </c:ser>
        <c:ser>
          <c:idx val="1"/>
          <c:order val="1"/>
          <c:tx>
            <c:strRef>
              <c:f>'Avg Week Karuma-Pakwach'!$AF$9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Karuma-Pakwach'!$R$10:$R$33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Karuma-Pakwach'!$AF$10:$AF$33</c:f>
              <c:numCache>
                <c:formatCode>0</c:formatCode>
                <c:ptCount val="24"/>
                <c:pt idx="0">
                  <c:v>34.285714285714285</c:v>
                </c:pt>
                <c:pt idx="1">
                  <c:v>35</c:v>
                </c:pt>
                <c:pt idx="2">
                  <c:v>40</c:v>
                </c:pt>
                <c:pt idx="3">
                  <c:v>38.142857142857139</c:v>
                </c:pt>
                <c:pt idx="4">
                  <c:v>44</c:v>
                </c:pt>
                <c:pt idx="5">
                  <c:v>32.571428571428569</c:v>
                </c:pt>
                <c:pt idx="6">
                  <c:v>32.714285714285715</c:v>
                </c:pt>
                <c:pt idx="7">
                  <c:v>42.428571428571431</c:v>
                </c:pt>
                <c:pt idx="8">
                  <c:v>40</c:v>
                </c:pt>
                <c:pt idx="9">
                  <c:v>47.142857142857139</c:v>
                </c:pt>
                <c:pt idx="10">
                  <c:v>53</c:v>
                </c:pt>
                <c:pt idx="11">
                  <c:v>40.428571428571431</c:v>
                </c:pt>
                <c:pt idx="12">
                  <c:v>20</c:v>
                </c:pt>
                <c:pt idx="13">
                  <c:v>20.5</c:v>
                </c:pt>
                <c:pt idx="14">
                  <c:v>23.5</c:v>
                </c:pt>
                <c:pt idx="15">
                  <c:v>17</c:v>
                </c:pt>
                <c:pt idx="16">
                  <c:v>21</c:v>
                </c:pt>
                <c:pt idx="17">
                  <c:v>10</c:v>
                </c:pt>
                <c:pt idx="18">
                  <c:v>11</c:v>
                </c:pt>
                <c:pt idx="19">
                  <c:v>16</c:v>
                </c:pt>
                <c:pt idx="20">
                  <c:v>3.5</c:v>
                </c:pt>
                <c:pt idx="21">
                  <c:v>11.5</c:v>
                </c:pt>
                <c:pt idx="22">
                  <c:v>16</c:v>
                </c:pt>
                <c:pt idx="23">
                  <c:v>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67-4CF0-8309-88A4B4093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Pakwach-Karuma'!$AE$9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Pakwach-Karuma'!$R$10:$R$33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Pakwach-Karuma'!$AE$10:$AE$33</c:f>
              <c:numCache>
                <c:formatCode>0</c:formatCode>
                <c:ptCount val="24"/>
                <c:pt idx="0">
                  <c:v>8.5</c:v>
                </c:pt>
                <c:pt idx="1">
                  <c:v>12.666666666666666</c:v>
                </c:pt>
                <c:pt idx="2">
                  <c:v>13.499999999999998</c:v>
                </c:pt>
                <c:pt idx="3">
                  <c:v>21.166666666666668</c:v>
                </c:pt>
                <c:pt idx="4">
                  <c:v>21.333333333333332</c:v>
                </c:pt>
                <c:pt idx="5">
                  <c:v>15.166666666666666</c:v>
                </c:pt>
                <c:pt idx="6">
                  <c:v>20.666666666666671</c:v>
                </c:pt>
                <c:pt idx="7">
                  <c:v>24</c:v>
                </c:pt>
                <c:pt idx="8">
                  <c:v>26.666666666666668</c:v>
                </c:pt>
                <c:pt idx="9">
                  <c:v>22.166666666666668</c:v>
                </c:pt>
                <c:pt idx="10">
                  <c:v>20</c:v>
                </c:pt>
                <c:pt idx="11">
                  <c:v>13.833333333333334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16</c:v>
                </c:pt>
                <c:pt idx="17">
                  <c:v>5.5</c:v>
                </c:pt>
                <c:pt idx="18">
                  <c:v>7</c:v>
                </c:pt>
                <c:pt idx="19">
                  <c:v>16</c:v>
                </c:pt>
                <c:pt idx="20">
                  <c:v>3</c:v>
                </c:pt>
                <c:pt idx="21">
                  <c:v>11.5</c:v>
                </c:pt>
                <c:pt idx="22">
                  <c:v>15.5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Pakwach-Karuma'!$AF$9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Pakwach-Karuma'!$R$10:$R$33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Pakwach-Karuma'!$AF$10:$AF$33</c:f>
              <c:numCache>
                <c:formatCode>0</c:formatCode>
                <c:ptCount val="24"/>
                <c:pt idx="0">
                  <c:v>15.333333333333336</c:v>
                </c:pt>
                <c:pt idx="1">
                  <c:v>23.5</c:v>
                </c:pt>
                <c:pt idx="2">
                  <c:v>29.333333333333332</c:v>
                </c:pt>
                <c:pt idx="3">
                  <c:v>30.333333333333332</c:v>
                </c:pt>
                <c:pt idx="4">
                  <c:v>31.333333333333336</c:v>
                </c:pt>
                <c:pt idx="5">
                  <c:v>25</c:v>
                </c:pt>
                <c:pt idx="6">
                  <c:v>31</c:v>
                </c:pt>
                <c:pt idx="7">
                  <c:v>36.5</c:v>
                </c:pt>
                <c:pt idx="8">
                  <c:v>42.166666666666664</c:v>
                </c:pt>
                <c:pt idx="9">
                  <c:v>34.5</c:v>
                </c:pt>
                <c:pt idx="10">
                  <c:v>32.333333333333329</c:v>
                </c:pt>
                <c:pt idx="11">
                  <c:v>23.166666666666668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16</c:v>
                </c:pt>
                <c:pt idx="16">
                  <c:v>19</c:v>
                </c:pt>
                <c:pt idx="17">
                  <c:v>10.5</c:v>
                </c:pt>
                <c:pt idx="18">
                  <c:v>11</c:v>
                </c:pt>
                <c:pt idx="19">
                  <c:v>16</c:v>
                </c:pt>
                <c:pt idx="20">
                  <c:v>3</c:v>
                </c:pt>
                <c:pt idx="21">
                  <c:v>11.5</c:v>
                </c:pt>
                <c:pt idx="22">
                  <c:v>16.5</c:v>
                </c:pt>
                <c:pt idx="23">
                  <c:v>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Pakwach-Karuma'!$C$107:$N$107</c:f>
              <c:numCache>
                <c:formatCode>0.0%</c:formatCode>
                <c:ptCount val="12"/>
                <c:pt idx="0">
                  <c:v>8.3101637318504798E-2</c:v>
                </c:pt>
                <c:pt idx="1">
                  <c:v>2.4714241581711465E-2</c:v>
                </c:pt>
                <c:pt idx="2">
                  <c:v>0.16311399443929564</c:v>
                </c:pt>
                <c:pt idx="3">
                  <c:v>8.4337349397590355E-2</c:v>
                </c:pt>
                <c:pt idx="4">
                  <c:v>2.4714241581711451E-2</c:v>
                </c:pt>
                <c:pt idx="5">
                  <c:v>3.9851714550509731E-2</c:v>
                </c:pt>
                <c:pt idx="6">
                  <c:v>4.8810627123880124E-2</c:v>
                </c:pt>
                <c:pt idx="7">
                  <c:v>3.4908866234167439E-2</c:v>
                </c:pt>
                <c:pt idx="8">
                  <c:v>2.0389249304911955E-2</c:v>
                </c:pt>
                <c:pt idx="9">
                  <c:v>0.11399443929564411</c:v>
                </c:pt>
                <c:pt idx="10">
                  <c:v>0.34908866234167435</c:v>
                </c:pt>
                <c:pt idx="11">
                  <c:v>1.2974976830398516E-2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Pakwach-Karuma'!$C$9:$N$9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Pakwach-Karuma'!$C$108:$N$108</c:f>
              <c:numCache>
                <c:formatCode>0.00%</c:formatCode>
                <c:ptCount val="12"/>
                <c:pt idx="0">
                  <c:v>0.12766967252017089</c:v>
                </c:pt>
                <c:pt idx="1">
                  <c:v>3.7968675842430008E-2</c:v>
                </c:pt>
                <c:pt idx="2">
                  <c:v>0.250593260560038</c:v>
                </c:pt>
                <c:pt idx="3">
                  <c:v>0.12956810631229237</c:v>
                </c:pt>
                <c:pt idx="4">
                  <c:v>3.7968675842429987E-2</c:v>
                </c:pt>
                <c:pt idx="5">
                  <c:v>6.1224489795918373E-2</c:v>
                </c:pt>
                <c:pt idx="6">
                  <c:v>7.4988134788799232E-2</c:v>
                </c:pt>
                <c:pt idx="7">
                  <c:v>5.3630754627432373E-2</c:v>
                </c:pt>
                <c:pt idx="8">
                  <c:v>3.132415757000475E-2</c:v>
                </c:pt>
                <c:pt idx="9">
                  <c:v>0.17513051732320836</c:v>
                </c:pt>
                <c:pt idx="11">
                  <c:v>1.993355481727575E-2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Karuma-Pakwach-2Dir'!$C$9:$N$9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Karuma-Pakwach-2Dir'!$C$107:$N$107</c:f>
              <c:numCache>
                <c:formatCode>0.0%</c:formatCode>
                <c:ptCount val="12"/>
                <c:pt idx="0">
                  <c:v>7.8918387413962621E-2</c:v>
                </c:pt>
                <c:pt idx="1">
                  <c:v>3.0009832841691245E-2</c:v>
                </c:pt>
                <c:pt idx="2">
                  <c:v>0.17061946902654865</c:v>
                </c:pt>
                <c:pt idx="3">
                  <c:v>8.0412979351032421E-2</c:v>
                </c:pt>
                <c:pt idx="4">
                  <c:v>2.3402163225172069E-2</c:v>
                </c:pt>
                <c:pt idx="5">
                  <c:v>3.3569321533923301E-2</c:v>
                </c:pt>
                <c:pt idx="6">
                  <c:v>3.6971484759095376E-2</c:v>
                </c:pt>
                <c:pt idx="7">
                  <c:v>3.7502458210422814E-2</c:v>
                </c:pt>
                <c:pt idx="8">
                  <c:v>2.1238938053097341E-2</c:v>
                </c:pt>
                <c:pt idx="9">
                  <c:v>0.11315634218289085</c:v>
                </c:pt>
                <c:pt idx="10">
                  <c:v>0.36157325467059981</c:v>
                </c:pt>
                <c:pt idx="11">
                  <c:v>1.2625368731563421E-2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Karuma-Pakwach-2Dir'!$C$9:$N$9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Karuma-Pakwach-2Dir'!$C$108:$N$108</c:f>
              <c:numCache>
                <c:formatCode>0.00%</c:formatCode>
                <c:ptCount val="12"/>
                <c:pt idx="0">
                  <c:v>0.12361384918679151</c:v>
                </c:pt>
                <c:pt idx="1">
                  <c:v>4.7005914243469685E-2</c:v>
                </c:pt>
                <c:pt idx="2">
                  <c:v>0.26724987678659434</c:v>
                </c:pt>
                <c:pt idx="3">
                  <c:v>0.12595490389354358</c:v>
                </c:pt>
                <c:pt idx="4">
                  <c:v>3.6655988171513054E-2</c:v>
                </c:pt>
                <c:pt idx="5">
                  <c:v>5.2581320847708224E-2</c:v>
                </c:pt>
                <c:pt idx="6">
                  <c:v>5.7910300640709705E-2</c:v>
                </c:pt>
                <c:pt idx="7">
                  <c:v>5.8741991128634798E-2</c:v>
                </c:pt>
                <c:pt idx="8">
                  <c:v>3.3267619517003445E-2</c:v>
                </c:pt>
                <c:pt idx="9">
                  <c:v>0.17724248398225725</c:v>
                </c:pt>
                <c:pt idx="11">
                  <c:v>1.977575160177427E-2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Karuma-Pakwach-2Dir'!$AE$9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Karuma-Pakwach-2Dir'!$R$10:$R$33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Karuma-Pakwach-2Dir'!$AE$10:$AE$33</c:f>
              <c:numCache>
                <c:formatCode>0</c:formatCode>
                <c:ptCount val="24"/>
                <c:pt idx="0">
                  <c:v>29.642857142857146</c:v>
                </c:pt>
                <c:pt idx="1">
                  <c:v>34.952380952380949</c:v>
                </c:pt>
                <c:pt idx="2">
                  <c:v>33.928571428571431</c:v>
                </c:pt>
                <c:pt idx="3">
                  <c:v>43.738095238095241</c:v>
                </c:pt>
                <c:pt idx="4">
                  <c:v>47.333333333333336</c:v>
                </c:pt>
                <c:pt idx="5">
                  <c:v>33.452380952380956</c:v>
                </c:pt>
                <c:pt idx="6">
                  <c:v>38.523809523809526</c:v>
                </c:pt>
                <c:pt idx="7">
                  <c:v>51.571428571428569</c:v>
                </c:pt>
                <c:pt idx="8">
                  <c:v>51.666666666666671</c:v>
                </c:pt>
                <c:pt idx="9">
                  <c:v>52.452380952380949</c:v>
                </c:pt>
                <c:pt idx="10">
                  <c:v>53.714285714285715</c:v>
                </c:pt>
                <c:pt idx="11">
                  <c:v>37.976190476190474</c:v>
                </c:pt>
                <c:pt idx="12">
                  <c:v>24</c:v>
                </c:pt>
                <c:pt idx="13">
                  <c:v>24</c:v>
                </c:pt>
                <c:pt idx="14">
                  <c:v>20</c:v>
                </c:pt>
                <c:pt idx="15">
                  <c:v>20</c:v>
                </c:pt>
                <c:pt idx="16">
                  <c:v>32</c:v>
                </c:pt>
                <c:pt idx="17">
                  <c:v>10.5</c:v>
                </c:pt>
                <c:pt idx="18">
                  <c:v>14</c:v>
                </c:pt>
                <c:pt idx="19">
                  <c:v>32</c:v>
                </c:pt>
                <c:pt idx="20">
                  <c:v>6.5</c:v>
                </c:pt>
                <c:pt idx="21">
                  <c:v>23</c:v>
                </c:pt>
                <c:pt idx="22">
                  <c:v>30.5</c:v>
                </c:pt>
                <c:pt idx="23">
                  <c:v>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33-4AC3-B4CA-478FAA6A6592}"/>
            </c:ext>
          </c:extLst>
        </c:ser>
        <c:ser>
          <c:idx val="1"/>
          <c:order val="1"/>
          <c:tx>
            <c:strRef>
              <c:f>'Avg Week Karuma-Pakwach-2Dir'!$AF$9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Karuma-Pakwach-2Dir'!$R$10:$R$33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Karuma-Pakwach-2Dir'!$AF$10:$AF$33</c:f>
              <c:numCache>
                <c:formatCode>0</c:formatCode>
                <c:ptCount val="24"/>
                <c:pt idx="0">
                  <c:v>49.61904761904762</c:v>
                </c:pt>
                <c:pt idx="1">
                  <c:v>58.5</c:v>
                </c:pt>
                <c:pt idx="2">
                  <c:v>69.333333333333343</c:v>
                </c:pt>
                <c:pt idx="3">
                  <c:v>68.476190476190482</c:v>
                </c:pt>
                <c:pt idx="4">
                  <c:v>75.333333333333329</c:v>
                </c:pt>
                <c:pt idx="5">
                  <c:v>57.571428571428577</c:v>
                </c:pt>
                <c:pt idx="6">
                  <c:v>63.714285714285708</c:v>
                </c:pt>
                <c:pt idx="7">
                  <c:v>78.928571428571416</c:v>
                </c:pt>
                <c:pt idx="8">
                  <c:v>82.166666666666671</c:v>
                </c:pt>
                <c:pt idx="9">
                  <c:v>81.642857142857139</c:v>
                </c:pt>
                <c:pt idx="10">
                  <c:v>85.333333333333329</c:v>
                </c:pt>
                <c:pt idx="11">
                  <c:v>63.595238095238095</c:v>
                </c:pt>
                <c:pt idx="12">
                  <c:v>39</c:v>
                </c:pt>
                <c:pt idx="13">
                  <c:v>40.5</c:v>
                </c:pt>
                <c:pt idx="14">
                  <c:v>45.5</c:v>
                </c:pt>
                <c:pt idx="15">
                  <c:v>33</c:v>
                </c:pt>
                <c:pt idx="16">
                  <c:v>40</c:v>
                </c:pt>
                <c:pt idx="17">
                  <c:v>20.5</c:v>
                </c:pt>
                <c:pt idx="18">
                  <c:v>22</c:v>
                </c:pt>
                <c:pt idx="19">
                  <c:v>32</c:v>
                </c:pt>
                <c:pt idx="20">
                  <c:v>6.5</c:v>
                </c:pt>
                <c:pt idx="21">
                  <c:v>23</c:v>
                </c:pt>
                <c:pt idx="22">
                  <c:v>32.5</c:v>
                </c:pt>
                <c:pt idx="23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33-4AC3-B4CA-478FAA6A6592}"/>
            </c:ext>
          </c:extLst>
        </c:ser>
        <c:ser>
          <c:idx val="5"/>
          <c:order val="2"/>
          <c:tx>
            <c:strRef>
              <c:f>'Avg Week Karuma-Pakwach-2Dir'!$AC$9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Karuma-Pakwach-2Dir'!$R$10:$R$33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Karuma-Pakwach-2Dir'!$AC$10:$AC$33</c:f>
              <c:numCache>
                <c:formatCode>0</c:formatCode>
                <c:ptCount val="24"/>
                <c:pt idx="0">
                  <c:v>19.976190476190474</c:v>
                </c:pt>
                <c:pt idx="1">
                  <c:v>23.547619047619044</c:v>
                </c:pt>
                <c:pt idx="2">
                  <c:v>35.404761904761905</c:v>
                </c:pt>
                <c:pt idx="3">
                  <c:v>24.738095238095237</c:v>
                </c:pt>
                <c:pt idx="4">
                  <c:v>28</c:v>
                </c:pt>
                <c:pt idx="5">
                  <c:v>24.11904761904762</c:v>
                </c:pt>
                <c:pt idx="6">
                  <c:v>25.19047619047619</c:v>
                </c:pt>
                <c:pt idx="7">
                  <c:v>27.357142857142861</c:v>
                </c:pt>
                <c:pt idx="8">
                  <c:v>30.5</c:v>
                </c:pt>
                <c:pt idx="9">
                  <c:v>29.19047619047619</c:v>
                </c:pt>
                <c:pt idx="10">
                  <c:v>31.61904761904762</c:v>
                </c:pt>
                <c:pt idx="11">
                  <c:v>25.61904761904762</c:v>
                </c:pt>
                <c:pt idx="12">
                  <c:v>15</c:v>
                </c:pt>
                <c:pt idx="13">
                  <c:v>16.5</c:v>
                </c:pt>
                <c:pt idx="14">
                  <c:v>25.5</c:v>
                </c:pt>
                <c:pt idx="15">
                  <c:v>13</c:v>
                </c:pt>
                <c:pt idx="16">
                  <c:v>8</c:v>
                </c:pt>
                <c:pt idx="17">
                  <c:v>10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33-4AC3-B4CA-478FAA6A6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Karuma-Pakwach-2Dir'!$S$9:$AF$9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Karuma-Pakwach-2Dir'!$S$41:$AF$41</c:f>
              <c:numCache>
                <c:formatCode>_(* #,##0_);_(* \(#,##0\);_(* "-"_);_(@_)</c:formatCode>
                <c:ptCount val="14"/>
                <c:pt idx="0">
                  <c:v>95.547619047619037</c:v>
                </c:pt>
                <c:pt idx="1">
                  <c:v>36.333333333333329</c:v>
                </c:pt>
                <c:pt idx="2">
                  <c:v>206.57142857142856</c:v>
                </c:pt>
                <c:pt idx="3">
                  <c:v>97.357142857142861</c:v>
                </c:pt>
                <c:pt idx="4">
                  <c:v>28.333333333333336</c:v>
                </c:pt>
                <c:pt idx="5">
                  <c:v>40.642857142857139</c:v>
                </c:pt>
                <c:pt idx="6">
                  <c:v>44.761904761904759</c:v>
                </c:pt>
                <c:pt idx="7">
                  <c:v>45.404761904761898</c:v>
                </c:pt>
                <c:pt idx="8">
                  <c:v>25.714285714285715</c:v>
                </c:pt>
                <c:pt idx="9">
                  <c:v>137</c:v>
                </c:pt>
                <c:pt idx="10">
                  <c:v>437.7619047619047</c:v>
                </c:pt>
                <c:pt idx="11">
                  <c:v>15.285714285714286</c:v>
                </c:pt>
                <c:pt idx="12">
                  <c:v>772.95238095238096</c:v>
                </c:pt>
                <c:pt idx="13">
                  <c:v>1210.7142857142858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A-4E19-9577-B90DC05DF7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Karuma-Pakwach-2Dir'!$S$9:$AF$9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Karuma-Pakwach-2Dir'!$S$42:$AF$42</c:f>
              <c:numCache>
                <c:formatCode>0.000</c:formatCode>
                <c:ptCount val="14"/>
                <c:pt idx="0">
                  <c:v>1.6045581767293082</c:v>
                </c:pt>
                <c:pt idx="1">
                  <c:v>1.4931506849315068</c:v>
                </c:pt>
                <c:pt idx="2">
                  <c:v>1.6256323777403037</c:v>
                </c:pt>
                <c:pt idx="3">
                  <c:v>1.6401925391095065</c:v>
                </c:pt>
                <c:pt idx="4">
                  <c:v>1.1643835616438356</c:v>
                </c:pt>
                <c:pt idx="5">
                  <c:v>1.3946078431372548</c:v>
                </c:pt>
                <c:pt idx="6">
                  <c:v>1.2176165803108809</c:v>
                </c:pt>
                <c:pt idx="7">
                  <c:v>1.5441295546558704</c:v>
                </c:pt>
                <c:pt idx="8">
                  <c:v>1.1842105263157894</c:v>
                </c:pt>
                <c:pt idx="9">
                  <c:v>1.6707317073170731</c:v>
                </c:pt>
                <c:pt idx="10">
                  <c:v>1.3458751189517606</c:v>
                </c:pt>
                <c:pt idx="11">
                  <c:v>1</c:v>
                </c:pt>
                <c:pt idx="12">
                  <c:v>1.5187125748502992</c:v>
                </c:pt>
                <c:pt idx="13">
                  <c:v>1.4513228872334962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9-4419-B93E-13FC563C0A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5.jpeg"/><Relationship Id="rId5" Type="http://schemas.openxmlformats.org/officeDocument/2006/relationships/image" Target="../media/image5.emf"/><Relationship Id="rId15" Type="http://schemas.openxmlformats.org/officeDocument/2006/relationships/chart" Target="../charts/chart53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71C87-102B-4C7F-B7F8-407961608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DE3FB7-9E4D-4BC5-B01E-25FBA1086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209BA3-E7EE-42EE-AD76-8CB37803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DE3962-704B-44B0-A9B9-D8EEBC2D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FF6C8F-B9D4-44B7-9105-8387A12EE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70CD70-A52F-4BF0-BF0E-74401D12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8C5E45-B21D-4799-86C1-03FCD212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B59329-8AA2-41A2-B0C2-5BE8B3B3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E708AD-530F-4023-9D38-AC0A28486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5AB997-632E-4BF2-921A-265636F4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0DC5A77-3D6F-4415-8E43-D829FC43E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6E3D88B-CF54-42D2-B424-3BB9D944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39F18C-C72C-47F6-8B06-13D7DEA5F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2A43CC2-8C0A-40CC-A865-AE194AB81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582DB54-2487-4998-8790-50E9429B7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FA8F90C-520D-4879-B955-1B74E593F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9C252-17B0-42BE-88A9-2B4516A5A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91E151-2E12-46A8-8B3B-B5D912042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6FF6F2-2A85-497B-9506-21B2682AC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C66BED-A14A-4E73-85C1-B24DA67D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822607-58CD-451B-9726-2E2569D35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6B3208-25FF-455F-B4B2-1D5336D2C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EE5789-6834-4A22-AB06-48BEC4163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65FA2C-80AA-4904-A46B-F00E075CB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46C865-A2C1-4563-B07F-AF3A00289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AA3E3F-D527-432C-B532-DBA579D99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C479DC1-912C-48A8-B4FC-5A61444BE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ACA69C-F4D6-420C-9F9F-DF61F4260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A372DB-1EF0-4CA5-9B7E-475C34C7D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955A3B-DFA1-412C-8E72-FDE6D6BB6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571DE52-F151-43B5-A41A-C086F0B63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F0102A9-F49F-45F4-88C8-127236E58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9525</xdr:rowOff>
    </xdr:from>
    <xdr:to>
      <xdr:col>23</xdr:col>
      <xdr:colOff>714374</xdr:colOff>
      <xdr:row>73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0</xdr:colOff>
      <xdr:row>58</xdr:row>
      <xdr:rowOff>269875</xdr:rowOff>
    </xdr:from>
    <xdr:to>
      <xdr:col>31</xdr:col>
      <xdr:colOff>666750</xdr:colOff>
      <xdr:row>73</xdr:row>
      <xdr:rowOff>69850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31750</xdr:colOff>
      <xdr:row>42</xdr:row>
      <xdr:rowOff>269875</xdr:rowOff>
    </xdr:from>
    <xdr:to>
      <xdr:col>28</xdr:col>
      <xdr:colOff>75289</xdr:colOff>
      <xdr:row>58</xdr:row>
      <xdr:rowOff>9526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4C092B6-25B3-4809-BA8B-B2665D979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146961</xdr:colOff>
      <xdr:row>43</xdr:row>
      <xdr:rowOff>6349</xdr:rowOff>
    </xdr:from>
    <xdr:to>
      <xdr:col>28</xdr:col>
      <xdr:colOff>31750</xdr:colOff>
      <xdr:row>58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59</xdr:row>
      <xdr:rowOff>9525</xdr:rowOff>
    </xdr:from>
    <xdr:to>
      <xdr:col>23</xdr:col>
      <xdr:colOff>698500</xdr:colOff>
      <xdr:row>73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15875</xdr:colOff>
      <xdr:row>59</xdr:row>
      <xdr:rowOff>15875</xdr:rowOff>
    </xdr:from>
    <xdr:to>
      <xdr:col>31</xdr:col>
      <xdr:colOff>698500</xdr:colOff>
      <xdr:row>73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31750</xdr:rowOff>
    </xdr:from>
    <xdr:to>
      <xdr:col>23</xdr:col>
      <xdr:colOff>682625</xdr:colOff>
      <xdr:row>74</xdr:row>
      <xdr:rowOff>254000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74</xdr:row>
      <xdr:rowOff>269875</xdr:rowOff>
    </xdr:from>
    <xdr:to>
      <xdr:col>23</xdr:col>
      <xdr:colOff>682625</xdr:colOff>
      <xdr:row>91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28</xdr:col>
      <xdr:colOff>15876</xdr:colOff>
      <xdr:row>58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AC60AB6-74D2-4667-B492-A57BFA876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698499</xdr:colOff>
      <xdr:row>59</xdr:row>
      <xdr:rowOff>15875</xdr:rowOff>
    </xdr:from>
    <xdr:to>
      <xdr:col>30</xdr:col>
      <xdr:colOff>698499</xdr:colOff>
      <xdr:row>75</xdr:row>
      <xdr:rowOff>14288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B309D70-68E5-4902-96D9-C759FD33E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682625</xdr:colOff>
      <xdr:row>74</xdr:row>
      <xdr:rowOff>253999</xdr:rowOff>
    </xdr:from>
    <xdr:to>
      <xdr:col>30</xdr:col>
      <xdr:colOff>698499</xdr:colOff>
      <xdr:row>91</xdr:row>
      <xdr:rowOff>63500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2F71C58-63FF-4095-814C-CFE440698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WARD%20CONSULTANCY/Desktop/STN115%20KARUMA-PAKWACH/MCC/MCC%20AND%20OD%20Karuma-Pakwach%20STN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"/>
      <sheetName val="RD115 MCC"/>
      <sheetName val="Axle Loads"/>
      <sheetName val="RD115 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/>
      <sheetData sheetId="1">
        <row r="48">
          <cell r="J48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topLeftCell="A46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172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57" t="s">
        <v>164</v>
      </c>
      <c r="H5" s="58"/>
      <c r="I5" s="14"/>
      <c r="J5" s="2" t="s">
        <v>5</v>
      </c>
      <c r="K5" s="57" t="s">
        <v>164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167</v>
      </c>
      <c r="E6" s="58"/>
      <c r="F6" s="2" t="s">
        <v>2</v>
      </c>
      <c r="G6" s="57" t="s">
        <v>166</v>
      </c>
      <c r="H6" s="58"/>
      <c r="J6" s="2" t="s">
        <v>21</v>
      </c>
      <c r="K6" s="57" t="s">
        <v>164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2</v>
      </c>
      <c r="AB10" s="17">
        <f t="shared" si="2"/>
        <v>1</v>
      </c>
      <c r="AC10" s="17">
        <f t="shared" si="2"/>
        <v>9</v>
      </c>
      <c r="AD10" s="17">
        <f t="shared" si="2"/>
        <v>0</v>
      </c>
      <c r="AE10" s="31">
        <f t="shared" si="2"/>
        <v>8</v>
      </c>
      <c r="AF10" s="31">
        <f t="shared" si="2"/>
        <v>17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1</v>
      </c>
      <c r="M11" s="50">
        <v>3</v>
      </c>
      <c r="N11" s="50">
        <v>0</v>
      </c>
      <c r="O11" s="15">
        <f t="shared" si="0"/>
        <v>5</v>
      </c>
      <c r="P11" s="15">
        <f t="shared" si="1"/>
        <v>8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4</v>
      </c>
      <c r="V11" s="17">
        <f t="shared" si="3"/>
        <v>0</v>
      </c>
      <c r="W11" s="17">
        <f t="shared" si="3"/>
        <v>3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3</v>
      </c>
      <c r="AB11" s="17">
        <f t="shared" si="3"/>
        <v>10</v>
      </c>
      <c r="AC11" s="17">
        <f t="shared" si="3"/>
        <v>21</v>
      </c>
      <c r="AD11" s="17">
        <f t="shared" si="3"/>
        <v>4</v>
      </c>
      <c r="AE11" s="31">
        <f t="shared" si="3"/>
        <v>32</v>
      </c>
      <c r="AF11" s="31">
        <f t="shared" si="3"/>
        <v>53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1</v>
      </c>
      <c r="P12" s="15">
        <f t="shared" si="1"/>
        <v>3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5</v>
      </c>
      <c r="V12" s="17">
        <f t="shared" si="4"/>
        <v>0</v>
      </c>
      <c r="W12" s="17">
        <f t="shared" si="4"/>
        <v>5</v>
      </c>
      <c r="X12" s="17">
        <f t="shared" si="4"/>
        <v>0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5</v>
      </c>
      <c r="AC12" s="17">
        <f t="shared" si="4"/>
        <v>31</v>
      </c>
      <c r="AD12" s="17">
        <f t="shared" si="4"/>
        <v>2</v>
      </c>
      <c r="AE12" s="31">
        <f t="shared" si="4"/>
        <v>27</v>
      </c>
      <c r="AF12" s="31">
        <f t="shared" si="4"/>
        <v>58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2</v>
      </c>
      <c r="N13" s="50">
        <v>0</v>
      </c>
      <c r="O13" s="15">
        <f t="shared" si="0"/>
        <v>1</v>
      </c>
      <c r="P13" s="15">
        <f t="shared" si="1"/>
        <v>3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6</v>
      </c>
      <c r="V13" s="17">
        <f t="shared" si="5"/>
        <v>0</v>
      </c>
      <c r="W13" s="17">
        <f t="shared" si="5"/>
        <v>5</v>
      </c>
      <c r="X13" s="17">
        <f t="shared" si="5"/>
        <v>0</v>
      </c>
      <c r="Y13" s="17">
        <f t="shared" si="5"/>
        <v>3</v>
      </c>
      <c r="Z13" s="17">
        <f t="shared" si="5"/>
        <v>2</v>
      </c>
      <c r="AA13" s="17">
        <f t="shared" si="5"/>
        <v>0</v>
      </c>
      <c r="AB13" s="17">
        <f t="shared" si="5"/>
        <v>2</v>
      </c>
      <c r="AC13" s="17">
        <f t="shared" si="5"/>
        <v>15</v>
      </c>
      <c r="AD13" s="17">
        <f t="shared" si="5"/>
        <v>0</v>
      </c>
      <c r="AE13" s="31">
        <f t="shared" si="5"/>
        <v>22</v>
      </c>
      <c r="AF13" s="31">
        <f t="shared" si="5"/>
        <v>37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3</v>
      </c>
      <c r="M14" s="50">
        <v>4</v>
      </c>
      <c r="N14" s="50">
        <v>0</v>
      </c>
      <c r="O14" s="15">
        <f t="shared" si="0"/>
        <v>5</v>
      </c>
      <c r="P14" s="15">
        <f t="shared" si="1"/>
        <v>9</v>
      </c>
      <c r="R14" s="1" t="s">
        <v>10</v>
      </c>
      <c r="S14" s="17">
        <f t="shared" ref="S14:AF14" si="6">SUM(C26:C29)</f>
        <v>4</v>
      </c>
      <c r="T14" s="17">
        <f t="shared" si="6"/>
        <v>5</v>
      </c>
      <c r="U14" s="17">
        <f t="shared" si="6"/>
        <v>13</v>
      </c>
      <c r="V14" s="17">
        <f t="shared" si="6"/>
        <v>1</v>
      </c>
      <c r="W14" s="17">
        <f t="shared" si="6"/>
        <v>12</v>
      </c>
      <c r="X14" s="17">
        <f t="shared" si="6"/>
        <v>1</v>
      </c>
      <c r="Y14" s="17">
        <f t="shared" si="6"/>
        <v>2</v>
      </c>
      <c r="Z14" s="17">
        <f t="shared" si="6"/>
        <v>3</v>
      </c>
      <c r="AA14" s="17">
        <f t="shared" si="6"/>
        <v>1</v>
      </c>
      <c r="AB14" s="17">
        <f t="shared" si="6"/>
        <v>2</v>
      </c>
      <c r="AC14" s="17">
        <f t="shared" si="6"/>
        <v>29</v>
      </c>
      <c r="AD14" s="17">
        <f t="shared" si="6"/>
        <v>1</v>
      </c>
      <c r="AE14" s="31">
        <f t="shared" si="6"/>
        <v>45</v>
      </c>
      <c r="AF14" s="31">
        <f t="shared" si="6"/>
        <v>74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1</v>
      </c>
      <c r="H15" s="50">
        <v>0</v>
      </c>
      <c r="I15" s="50">
        <v>2</v>
      </c>
      <c r="J15" s="50">
        <v>0</v>
      </c>
      <c r="K15" s="50">
        <v>1</v>
      </c>
      <c r="L15" s="50">
        <v>1</v>
      </c>
      <c r="M15" s="50">
        <v>7</v>
      </c>
      <c r="N15" s="50">
        <v>1</v>
      </c>
      <c r="O15" s="15">
        <f t="shared" si="0"/>
        <v>7</v>
      </c>
      <c r="P15" s="15">
        <f t="shared" si="1"/>
        <v>14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8</v>
      </c>
      <c r="V15" s="17">
        <f t="shared" si="7"/>
        <v>1</v>
      </c>
      <c r="W15" s="17">
        <f t="shared" si="7"/>
        <v>4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12</v>
      </c>
      <c r="AD15" s="17">
        <f t="shared" si="7"/>
        <v>1</v>
      </c>
      <c r="AE15" s="31">
        <f t="shared" si="7"/>
        <v>19</v>
      </c>
      <c r="AF15" s="31">
        <f t="shared" si="7"/>
        <v>31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5</v>
      </c>
      <c r="M16" s="50">
        <v>3</v>
      </c>
      <c r="N16" s="50">
        <v>3</v>
      </c>
      <c r="O16" s="15">
        <f t="shared" si="0"/>
        <v>10</v>
      </c>
      <c r="P16" s="15">
        <f t="shared" si="1"/>
        <v>13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5</v>
      </c>
      <c r="V16" s="17">
        <f t="shared" si="8"/>
        <v>0</v>
      </c>
      <c r="W16" s="17">
        <f t="shared" si="8"/>
        <v>2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10</v>
      </c>
      <c r="AD16" s="17">
        <f t="shared" si="8"/>
        <v>0</v>
      </c>
      <c r="AE16" s="31">
        <f t="shared" si="8"/>
        <v>9</v>
      </c>
      <c r="AF16" s="31">
        <f t="shared" si="8"/>
        <v>19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2</v>
      </c>
      <c r="F17" s="50">
        <v>0</v>
      </c>
      <c r="G17" s="50">
        <v>2</v>
      </c>
      <c r="H17" s="50">
        <v>0</v>
      </c>
      <c r="I17" s="50">
        <v>1</v>
      </c>
      <c r="J17" s="50">
        <v>2</v>
      </c>
      <c r="K17" s="50">
        <v>0</v>
      </c>
      <c r="L17" s="50">
        <v>1</v>
      </c>
      <c r="M17" s="50">
        <v>7</v>
      </c>
      <c r="N17" s="50">
        <v>0</v>
      </c>
      <c r="O17" s="15">
        <f t="shared" si="0"/>
        <v>10</v>
      </c>
      <c r="P17" s="15">
        <f t="shared" si="1"/>
        <v>17</v>
      </c>
      <c r="R17" s="1" t="s">
        <v>13</v>
      </c>
      <c r="S17" s="17">
        <f t="shared" ref="S17:AF17" si="9">SUM(C38:C41)</f>
        <v>2</v>
      </c>
      <c r="T17" s="17">
        <f t="shared" si="9"/>
        <v>2</v>
      </c>
      <c r="U17" s="17">
        <f t="shared" si="9"/>
        <v>10</v>
      </c>
      <c r="V17" s="17">
        <f t="shared" si="9"/>
        <v>0</v>
      </c>
      <c r="W17" s="17">
        <f t="shared" si="9"/>
        <v>5</v>
      </c>
      <c r="X17" s="17">
        <f t="shared" si="9"/>
        <v>3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7</v>
      </c>
      <c r="AC17" s="17">
        <f t="shared" si="9"/>
        <v>11</v>
      </c>
      <c r="AD17" s="17">
        <f t="shared" si="9"/>
        <v>1</v>
      </c>
      <c r="AE17" s="31">
        <f t="shared" si="9"/>
        <v>33</v>
      </c>
      <c r="AF17" s="31">
        <f t="shared" si="9"/>
        <v>44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3</v>
      </c>
      <c r="M18" s="50">
        <v>8</v>
      </c>
      <c r="N18" s="50">
        <v>2</v>
      </c>
      <c r="O18" s="15">
        <f t="shared" si="0"/>
        <v>8</v>
      </c>
      <c r="P18" s="15">
        <f t="shared" si="1"/>
        <v>16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8</v>
      </c>
      <c r="V18" s="17">
        <f t="shared" si="10"/>
        <v>1</v>
      </c>
      <c r="W18" s="17">
        <f t="shared" si="10"/>
        <v>4</v>
      </c>
      <c r="X18" s="17">
        <f t="shared" si="10"/>
        <v>1</v>
      </c>
      <c r="Y18" s="17">
        <f t="shared" si="10"/>
        <v>1</v>
      </c>
      <c r="Z18" s="17">
        <f t="shared" si="10"/>
        <v>2</v>
      </c>
      <c r="AA18" s="17">
        <f t="shared" si="10"/>
        <v>0</v>
      </c>
      <c r="AB18" s="17">
        <f t="shared" si="10"/>
        <v>7</v>
      </c>
      <c r="AC18" s="17">
        <f t="shared" si="10"/>
        <v>15</v>
      </c>
      <c r="AD18" s="17">
        <f t="shared" si="10"/>
        <v>2</v>
      </c>
      <c r="AE18" s="31">
        <f t="shared" si="10"/>
        <v>28</v>
      </c>
      <c r="AF18" s="31">
        <f t="shared" si="10"/>
        <v>43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2</v>
      </c>
      <c r="F19" s="50">
        <v>0</v>
      </c>
      <c r="G19" s="50">
        <v>2</v>
      </c>
      <c r="H19" s="50">
        <v>0</v>
      </c>
      <c r="I19" s="50">
        <v>0</v>
      </c>
      <c r="J19" s="50">
        <v>0</v>
      </c>
      <c r="K19" s="50">
        <v>0</v>
      </c>
      <c r="L19" s="50">
        <v>1</v>
      </c>
      <c r="M19" s="50">
        <v>11</v>
      </c>
      <c r="N19" s="50">
        <v>0</v>
      </c>
      <c r="O19" s="15">
        <f t="shared" si="0"/>
        <v>5</v>
      </c>
      <c r="P19" s="15">
        <f t="shared" si="1"/>
        <v>16</v>
      </c>
      <c r="R19" s="1" t="s">
        <v>15</v>
      </c>
      <c r="S19" s="17">
        <f t="shared" ref="S19:AF19" si="11">SUM(C46:C49)</f>
        <v>5</v>
      </c>
      <c r="T19" s="17">
        <f t="shared" si="11"/>
        <v>6</v>
      </c>
      <c r="U19" s="17">
        <f t="shared" si="11"/>
        <v>13</v>
      </c>
      <c r="V19" s="17">
        <f t="shared" si="11"/>
        <v>0</v>
      </c>
      <c r="W19" s="17">
        <f t="shared" si="11"/>
        <v>7</v>
      </c>
      <c r="X19" s="17">
        <f t="shared" si="11"/>
        <v>1</v>
      </c>
      <c r="Y19" s="17">
        <f t="shared" si="11"/>
        <v>2</v>
      </c>
      <c r="Z19" s="17">
        <f t="shared" si="11"/>
        <v>1</v>
      </c>
      <c r="AA19" s="17">
        <f t="shared" si="11"/>
        <v>1</v>
      </c>
      <c r="AB19" s="17">
        <f t="shared" si="11"/>
        <v>3</v>
      </c>
      <c r="AC19" s="17">
        <f t="shared" si="11"/>
        <v>12</v>
      </c>
      <c r="AD19" s="17">
        <f t="shared" si="11"/>
        <v>0</v>
      </c>
      <c r="AE19" s="31">
        <f t="shared" si="11"/>
        <v>39</v>
      </c>
      <c r="AF19" s="31">
        <f t="shared" si="11"/>
        <v>51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9</v>
      </c>
      <c r="N20" s="50">
        <v>0</v>
      </c>
      <c r="O20" s="15">
        <f t="shared" si="0"/>
        <v>6</v>
      </c>
      <c r="P20" s="15">
        <f t="shared" si="1"/>
        <v>15</v>
      </c>
      <c r="R20" s="1" t="s">
        <v>16</v>
      </c>
      <c r="S20" s="17">
        <f t="shared" ref="S20:AF20" si="12">SUM(C50:C53)</f>
        <v>2</v>
      </c>
      <c r="T20" s="17">
        <f t="shared" si="12"/>
        <v>6</v>
      </c>
      <c r="U20" s="17">
        <f t="shared" si="12"/>
        <v>16</v>
      </c>
      <c r="V20" s="17">
        <f t="shared" si="12"/>
        <v>2</v>
      </c>
      <c r="W20" s="17">
        <f t="shared" si="12"/>
        <v>6</v>
      </c>
      <c r="X20" s="17">
        <f t="shared" si="12"/>
        <v>4</v>
      </c>
      <c r="Y20" s="17">
        <f t="shared" si="12"/>
        <v>2</v>
      </c>
      <c r="Z20" s="17">
        <f t="shared" si="12"/>
        <v>4</v>
      </c>
      <c r="AA20" s="17">
        <f t="shared" si="12"/>
        <v>1</v>
      </c>
      <c r="AB20" s="17">
        <f t="shared" si="12"/>
        <v>5</v>
      </c>
      <c r="AC20" s="17">
        <f t="shared" si="12"/>
        <v>23</v>
      </c>
      <c r="AD20" s="17">
        <f t="shared" si="12"/>
        <v>1</v>
      </c>
      <c r="AE20" s="31">
        <f t="shared" si="12"/>
        <v>49</v>
      </c>
      <c r="AF20" s="31">
        <f t="shared" si="12"/>
        <v>72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1</v>
      </c>
      <c r="F21" s="50">
        <v>0</v>
      </c>
      <c r="G21" s="50">
        <v>2</v>
      </c>
      <c r="H21" s="50">
        <v>0</v>
      </c>
      <c r="I21" s="50">
        <v>1</v>
      </c>
      <c r="J21" s="50">
        <v>0</v>
      </c>
      <c r="K21" s="50">
        <v>0</v>
      </c>
      <c r="L21" s="50">
        <v>1</v>
      </c>
      <c r="M21" s="50">
        <v>3</v>
      </c>
      <c r="N21" s="50">
        <v>0</v>
      </c>
      <c r="O21" s="15">
        <f t="shared" si="0"/>
        <v>8</v>
      </c>
      <c r="P21" s="15">
        <f t="shared" si="1"/>
        <v>11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8</v>
      </c>
      <c r="V21" s="17">
        <f t="shared" si="13"/>
        <v>0</v>
      </c>
      <c r="W21" s="17">
        <f t="shared" si="13"/>
        <v>8</v>
      </c>
      <c r="X21" s="17">
        <f t="shared" si="13"/>
        <v>2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4</v>
      </c>
      <c r="AC21" s="17">
        <f t="shared" si="13"/>
        <v>19</v>
      </c>
      <c r="AD21" s="17">
        <f t="shared" si="13"/>
        <v>1</v>
      </c>
      <c r="AE21" s="31">
        <f t="shared" si="13"/>
        <v>26</v>
      </c>
      <c r="AF21" s="31">
        <f t="shared" si="13"/>
        <v>45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3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6</v>
      </c>
      <c r="P22" s="15">
        <f t="shared" si="1"/>
        <v>8</v>
      </c>
      <c r="R22" s="38" t="s">
        <v>90</v>
      </c>
      <c r="S22" s="39">
        <f>MAX(S10:S12)</f>
        <v>6</v>
      </c>
      <c r="T22" s="39">
        <f t="shared" ref="T22:AF22" si="14">MAX(T10:T12)</f>
        <v>1</v>
      </c>
      <c r="U22" s="39">
        <f t="shared" si="14"/>
        <v>5</v>
      </c>
      <c r="V22" s="39">
        <f t="shared" si="14"/>
        <v>0</v>
      </c>
      <c r="W22" s="39">
        <f t="shared" si="14"/>
        <v>5</v>
      </c>
      <c r="X22" s="39">
        <f t="shared" si="14"/>
        <v>0</v>
      </c>
      <c r="Y22" s="39">
        <f t="shared" si="14"/>
        <v>4</v>
      </c>
      <c r="Z22" s="39">
        <f t="shared" si="14"/>
        <v>2</v>
      </c>
      <c r="AA22" s="39">
        <f t="shared" si="14"/>
        <v>3</v>
      </c>
      <c r="AB22" s="39">
        <f t="shared" si="14"/>
        <v>10</v>
      </c>
      <c r="AC22" s="39">
        <f t="shared" si="14"/>
        <v>31</v>
      </c>
      <c r="AD22" s="39">
        <f t="shared" si="14"/>
        <v>4</v>
      </c>
      <c r="AE22" s="40">
        <f t="shared" si="14"/>
        <v>32</v>
      </c>
      <c r="AF22" s="40">
        <f t="shared" si="14"/>
        <v>58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2</v>
      </c>
      <c r="F23" s="50">
        <v>0</v>
      </c>
      <c r="G23" s="50">
        <v>2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6</v>
      </c>
      <c r="P23" s="15">
        <f t="shared" si="1"/>
        <v>9</v>
      </c>
      <c r="R23" s="38" t="s">
        <v>91</v>
      </c>
      <c r="S23" s="39">
        <f>MAX(S13:S18)</f>
        <v>4</v>
      </c>
      <c r="T23" s="39">
        <f t="shared" ref="T23:AF23" si="15">MAX(T13:T18)</f>
        <v>5</v>
      </c>
      <c r="U23" s="39">
        <f t="shared" si="15"/>
        <v>13</v>
      </c>
      <c r="V23" s="39">
        <f t="shared" si="15"/>
        <v>1</v>
      </c>
      <c r="W23" s="39">
        <f t="shared" si="15"/>
        <v>12</v>
      </c>
      <c r="X23" s="39">
        <f t="shared" si="15"/>
        <v>3</v>
      </c>
      <c r="Y23" s="39">
        <f t="shared" si="15"/>
        <v>3</v>
      </c>
      <c r="Z23" s="39">
        <f t="shared" si="15"/>
        <v>3</v>
      </c>
      <c r="AA23" s="39">
        <f t="shared" si="15"/>
        <v>1</v>
      </c>
      <c r="AB23" s="39">
        <f t="shared" si="15"/>
        <v>7</v>
      </c>
      <c r="AC23" s="39">
        <f t="shared" si="15"/>
        <v>29</v>
      </c>
      <c r="AD23" s="39">
        <f t="shared" si="15"/>
        <v>2</v>
      </c>
      <c r="AE23" s="40">
        <f t="shared" si="15"/>
        <v>45</v>
      </c>
      <c r="AF23" s="40">
        <f t="shared" si="15"/>
        <v>74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1</v>
      </c>
      <c r="P24" s="15">
        <f t="shared" si="1"/>
        <v>5</v>
      </c>
      <c r="R24" s="38" t="s">
        <v>92</v>
      </c>
      <c r="S24" s="39">
        <f>MAX(S19:S21)</f>
        <v>5</v>
      </c>
      <c r="T24" s="39">
        <f t="shared" ref="T24:AF24" si="16">MAX(T19:T21)</f>
        <v>6</v>
      </c>
      <c r="U24" s="39">
        <f t="shared" si="16"/>
        <v>16</v>
      </c>
      <c r="V24" s="39">
        <f t="shared" si="16"/>
        <v>2</v>
      </c>
      <c r="W24" s="39">
        <f t="shared" si="16"/>
        <v>8</v>
      </c>
      <c r="X24" s="39">
        <f t="shared" si="16"/>
        <v>4</v>
      </c>
      <c r="Y24" s="39">
        <f t="shared" si="16"/>
        <v>2</v>
      </c>
      <c r="Z24" s="39">
        <f t="shared" si="16"/>
        <v>4</v>
      </c>
      <c r="AA24" s="39">
        <f t="shared" si="16"/>
        <v>1</v>
      </c>
      <c r="AB24" s="39">
        <f t="shared" si="16"/>
        <v>5</v>
      </c>
      <c r="AC24" s="39">
        <f t="shared" si="16"/>
        <v>23</v>
      </c>
      <c r="AD24" s="39">
        <f t="shared" si="16"/>
        <v>1</v>
      </c>
      <c r="AE24" s="40">
        <f t="shared" si="16"/>
        <v>49</v>
      </c>
      <c r="AF24" s="40">
        <f t="shared" si="16"/>
        <v>72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3</v>
      </c>
      <c r="H25" s="50">
        <v>0</v>
      </c>
      <c r="I25" s="50">
        <v>2</v>
      </c>
      <c r="J25" s="50">
        <v>2</v>
      </c>
      <c r="K25" s="50">
        <v>0</v>
      </c>
      <c r="L25" s="50">
        <v>2</v>
      </c>
      <c r="M25" s="50">
        <v>6</v>
      </c>
      <c r="N25" s="50">
        <v>0</v>
      </c>
      <c r="O25" s="15">
        <f t="shared" si="0"/>
        <v>9</v>
      </c>
      <c r="P25" s="15">
        <f t="shared" si="1"/>
        <v>15</v>
      </c>
      <c r="R25" s="37" t="s">
        <v>85</v>
      </c>
      <c r="S25" s="35">
        <f t="shared" ref="S25:AF25" si="17">SUM(S10:S12)</f>
        <v>7</v>
      </c>
      <c r="T25" s="16">
        <f t="shared" si="17"/>
        <v>2</v>
      </c>
      <c r="U25" s="16">
        <f t="shared" si="17"/>
        <v>13</v>
      </c>
      <c r="V25" s="16">
        <f t="shared" si="17"/>
        <v>0</v>
      </c>
      <c r="W25" s="16">
        <f t="shared" si="17"/>
        <v>8</v>
      </c>
      <c r="X25" s="16">
        <f t="shared" si="17"/>
        <v>0</v>
      </c>
      <c r="Y25" s="16">
        <f t="shared" si="17"/>
        <v>7</v>
      </c>
      <c r="Z25" s="16">
        <f t="shared" si="17"/>
        <v>3</v>
      </c>
      <c r="AA25" s="16">
        <f t="shared" si="17"/>
        <v>5</v>
      </c>
      <c r="AB25" s="16">
        <f t="shared" si="17"/>
        <v>16</v>
      </c>
      <c r="AC25" s="16">
        <f t="shared" si="17"/>
        <v>61</v>
      </c>
      <c r="AD25" s="16">
        <f t="shared" si="17"/>
        <v>6</v>
      </c>
      <c r="AE25" s="32">
        <f t="shared" si="17"/>
        <v>67</v>
      </c>
      <c r="AF25" s="32">
        <f t="shared" si="17"/>
        <v>128</v>
      </c>
    </row>
    <row r="26" spans="2:32" ht="23.1" customHeight="1" x14ac:dyDescent="0.25">
      <c r="B26" s="23" t="s">
        <v>53</v>
      </c>
      <c r="C26" s="50">
        <v>2</v>
      </c>
      <c r="D26" s="50">
        <v>1</v>
      </c>
      <c r="E26" s="50">
        <v>2</v>
      </c>
      <c r="F26" s="50">
        <v>0</v>
      </c>
      <c r="G26" s="50">
        <v>2</v>
      </c>
      <c r="H26" s="50">
        <v>0</v>
      </c>
      <c r="I26" s="50">
        <v>1</v>
      </c>
      <c r="J26" s="50">
        <v>0</v>
      </c>
      <c r="K26" s="50">
        <v>1</v>
      </c>
      <c r="L26" s="50">
        <v>0</v>
      </c>
      <c r="M26" s="50">
        <v>12</v>
      </c>
      <c r="N26" s="50">
        <v>1</v>
      </c>
      <c r="O26" s="15">
        <f t="shared" si="0"/>
        <v>10</v>
      </c>
      <c r="P26" s="15">
        <f t="shared" si="1"/>
        <v>22</v>
      </c>
      <c r="R26" s="28" t="s">
        <v>86</v>
      </c>
      <c r="S26" s="16">
        <f t="shared" ref="S26:AF26" si="18">SUM(S13:S18)</f>
        <v>13</v>
      </c>
      <c r="T26" s="16">
        <f t="shared" si="18"/>
        <v>11</v>
      </c>
      <c r="U26" s="16">
        <f t="shared" si="18"/>
        <v>50</v>
      </c>
      <c r="V26" s="16">
        <f t="shared" si="18"/>
        <v>3</v>
      </c>
      <c r="W26" s="16">
        <f t="shared" si="18"/>
        <v>32</v>
      </c>
      <c r="X26" s="16">
        <f t="shared" si="18"/>
        <v>5</v>
      </c>
      <c r="Y26" s="16">
        <f t="shared" si="18"/>
        <v>10</v>
      </c>
      <c r="Z26" s="16">
        <f t="shared" si="18"/>
        <v>8</v>
      </c>
      <c r="AA26" s="16">
        <f t="shared" si="18"/>
        <v>1</v>
      </c>
      <c r="AB26" s="16">
        <f t="shared" si="18"/>
        <v>18</v>
      </c>
      <c r="AC26" s="16">
        <f t="shared" si="18"/>
        <v>92</v>
      </c>
      <c r="AD26" s="16">
        <f t="shared" si="18"/>
        <v>5</v>
      </c>
      <c r="AE26" s="32">
        <f t="shared" si="18"/>
        <v>156</v>
      </c>
      <c r="AF26" s="32">
        <f t="shared" si="18"/>
        <v>248</v>
      </c>
    </row>
    <row r="27" spans="2:32" ht="23.1" customHeight="1" x14ac:dyDescent="0.25">
      <c r="B27" s="23" t="s">
        <v>54</v>
      </c>
      <c r="C27" s="50">
        <v>2</v>
      </c>
      <c r="D27" s="50">
        <v>2</v>
      </c>
      <c r="E27" s="50">
        <v>4</v>
      </c>
      <c r="F27" s="50">
        <v>1</v>
      </c>
      <c r="G27" s="50">
        <v>2</v>
      </c>
      <c r="H27" s="50">
        <v>0</v>
      </c>
      <c r="I27" s="50">
        <v>1</v>
      </c>
      <c r="J27" s="50">
        <v>0</v>
      </c>
      <c r="K27" s="50">
        <v>0</v>
      </c>
      <c r="L27" s="50">
        <v>1</v>
      </c>
      <c r="M27" s="50">
        <v>9</v>
      </c>
      <c r="N27" s="50">
        <v>0</v>
      </c>
      <c r="O27" s="15">
        <f t="shared" si="0"/>
        <v>13</v>
      </c>
      <c r="P27" s="15">
        <f t="shared" si="1"/>
        <v>22</v>
      </c>
      <c r="R27" s="29" t="s">
        <v>87</v>
      </c>
      <c r="S27" s="16">
        <f t="shared" ref="S27:AF27" si="19">SUM(S19:S21)</f>
        <v>7</v>
      </c>
      <c r="T27" s="16">
        <f t="shared" si="19"/>
        <v>12</v>
      </c>
      <c r="U27" s="16">
        <f t="shared" si="19"/>
        <v>37</v>
      </c>
      <c r="V27" s="16">
        <f t="shared" si="19"/>
        <v>2</v>
      </c>
      <c r="W27" s="16">
        <f t="shared" si="19"/>
        <v>21</v>
      </c>
      <c r="X27" s="16">
        <f t="shared" si="19"/>
        <v>7</v>
      </c>
      <c r="Y27" s="16">
        <f t="shared" si="19"/>
        <v>6</v>
      </c>
      <c r="Z27" s="16">
        <f t="shared" si="19"/>
        <v>6</v>
      </c>
      <c r="AA27" s="16">
        <f t="shared" si="19"/>
        <v>2</v>
      </c>
      <c r="AB27" s="16">
        <f t="shared" si="19"/>
        <v>12</v>
      </c>
      <c r="AC27" s="16">
        <f t="shared" si="19"/>
        <v>54</v>
      </c>
      <c r="AD27" s="16">
        <f t="shared" si="19"/>
        <v>2</v>
      </c>
      <c r="AE27" s="32">
        <f t="shared" si="19"/>
        <v>114</v>
      </c>
      <c r="AF27" s="32">
        <f t="shared" si="19"/>
        <v>168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4</v>
      </c>
      <c r="F28" s="50">
        <v>0</v>
      </c>
      <c r="G28" s="50">
        <v>3</v>
      </c>
      <c r="H28" s="50">
        <v>0</v>
      </c>
      <c r="I28" s="50">
        <v>0</v>
      </c>
      <c r="J28" s="50">
        <v>0</v>
      </c>
      <c r="K28" s="50">
        <v>0</v>
      </c>
      <c r="L28" s="50">
        <v>1</v>
      </c>
      <c r="M28" s="50">
        <v>3</v>
      </c>
      <c r="N28" s="50">
        <v>0</v>
      </c>
      <c r="O28" s="15">
        <f t="shared" si="0"/>
        <v>9</v>
      </c>
      <c r="P28" s="15">
        <f t="shared" si="1"/>
        <v>12</v>
      </c>
      <c r="R28" s="5" t="s">
        <v>17</v>
      </c>
      <c r="S28" s="16">
        <f t="shared" ref="S28:AF28" si="20">SUM(S10:S21)</f>
        <v>27</v>
      </c>
      <c r="T28" s="16">
        <f t="shared" si="20"/>
        <v>25</v>
      </c>
      <c r="U28" s="16">
        <f t="shared" si="20"/>
        <v>100</v>
      </c>
      <c r="V28" s="16">
        <f t="shared" si="20"/>
        <v>5</v>
      </c>
      <c r="W28" s="16">
        <f t="shared" si="20"/>
        <v>61</v>
      </c>
      <c r="X28" s="16">
        <f t="shared" si="20"/>
        <v>12</v>
      </c>
      <c r="Y28" s="16">
        <f t="shared" si="20"/>
        <v>23</v>
      </c>
      <c r="Z28" s="16">
        <f t="shared" si="20"/>
        <v>17</v>
      </c>
      <c r="AA28" s="16">
        <f t="shared" si="20"/>
        <v>8</v>
      </c>
      <c r="AB28" s="16">
        <f t="shared" si="20"/>
        <v>46</v>
      </c>
      <c r="AC28" s="16">
        <f t="shared" si="20"/>
        <v>207</v>
      </c>
      <c r="AD28" s="16">
        <f t="shared" si="20"/>
        <v>13</v>
      </c>
      <c r="AE28" s="32">
        <f t="shared" si="20"/>
        <v>337</v>
      </c>
      <c r="AF28" s="32">
        <f t="shared" si="20"/>
        <v>544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3</v>
      </c>
      <c r="F29" s="50">
        <v>0</v>
      </c>
      <c r="G29" s="50">
        <v>5</v>
      </c>
      <c r="H29" s="50">
        <v>1</v>
      </c>
      <c r="I29" s="50">
        <v>0</v>
      </c>
      <c r="J29" s="50">
        <v>3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13</v>
      </c>
      <c r="P29" s="15">
        <f t="shared" si="1"/>
        <v>18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2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2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4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2</v>
      </c>
      <c r="F32" s="50">
        <v>0</v>
      </c>
      <c r="G32" s="50">
        <v>1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4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2</v>
      </c>
      <c r="F33" s="50">
        <v>0</v>
      </c>
      <c r="G33" s="50">
        <v>3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3</v>
      </c>
      <c r="N33" s="50">
        <v>1</v>
      </c>
      <c r="O33" s="15">
        <f t="shared" si="0"/>
        <v>9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1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2</v>
      </c>
      <c r="P34" s="15">
        <f t="shared" si="1"/>
        <v>7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1</v>
      </c>
      <c r="P35" s="15">
        <f t="shared" si="1"/>
        <v>4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2</v>
      </c>
      <c r="F37" s="50">
        <v>0</v>
      </c>
      <c r="G37" s="50">
        <v>1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5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3</v>
      </c>
      <c r="F38" s="50">
        <v>0</v>
      </c>
      <c r="G38" s="50">
        <v>1</v>
      </c>
      <c r="H38" s="50">
        <v>0</v>
      </c>
      <c r="I38" s="50">
        <v>0</v>
      </c>
      <c r="J38" s="50">
        <v>0</v>
      </c>
      <c r="K38" s="50">
        <v>0</v>
      </c>
      <c r="L38" s="50">
        <v>5</v>
      </c>
      <c r="M38" s="50">
        <v>4</v>
      </c>
      <c r="N38" s="50">
        <v>1</v>
      </c>
      <c r="O38" s="15">
        <f t="shared" si="0"/>
        <v>12</v>
      </c>
      <c r="P38" s="15">
        <f t="shared" si="1"/>
        <v>16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2</v>
      </c>
      <c r="F39" s="50">
        <v>0</v>
      </c>
      <c r="G39" s="50">
        <v>1</v>
      </c>
      <c r="H39" s="50">
        <v>1</v>
      </c>
      <c r="I39" s="50">
        <v>1</v>
      </c>
      <c r="J39" s="50">
        <v>0</v>
      </c>
      <c r="K39" s="50">
        <v>0</v>
      </c>
      <c r="L39" s="50">
        <v>1</v>
      </c>
      <c r="M39" s="50">
        <v>3</v>
      </c>
      <c r="N39" s="50">
        <v>0</v>
      </c>
      <c r="O39" s="15">
        <f t="shared" si="0"/>
        <v>6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2</v>
      </c>
      <c r="I40" s="50">
        <v>1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5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3</v>
      </c>
      <c r="F41" s="50">
        <v>0</v>
      </c>
      <c r="G41" s="50">
        <v>3</v>
      </c>
      <c r="H41" s="50">
        <v>0</v>
      </c>
      <c r="I41" s="50">
        <v>1</v>
      </c>
      <c r="J41" s="50">
        <v>0</v>
      </c>
      <c r="K41" s="50">
        <v>0</v>
      </c>
      <c r="L41" s="50">
        <v>1</v>
      </c>
      <c r="M41" s="50">
        <v>2</v>
      </c>
      <c r="N41" s="50">
        <v>0</v>
      </c>
      <c r="O41" s="15">
        <f t="shared" si="0"/>
        <v>10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2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1</v>
      </c>
      <c r="M42" s="50">
        <v>5</v>
      </c>
      <c r="N42" s="50">
        <v>1</v>
      </c>
      <c r="O42" s="15">
        <f t="shared" si="0"/>
        <v>6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2</v>
      </c>
      <c r="F43" s="50">
        <v>0</v>
      </c>
      <c r="G43" s="50">
        <v>2</v>
      </c>
      <c r="H43" s="50">
        <v>0</v>
      </c>
      <c r="I43" s="50">
        <v>0</v>
      </c>
      <c r="J43" s="50">
        <v>1</v>
      </c>
      <c r="K43" s="50">
        <v>0</v>
      </c>
      <c r="L43" s="50">
        <v>2</v>
      </c>
      <c r="M43" s="50">
        <v>4</v>
      </c>
      <c r="N43" s="50">
        <v>1</v>
      </c>
      <c r="O43" s="15">
        <f t="shared" si="0"/>
        <v>8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2</v>
      </c>
      <c r="F44" s="50">
        <v>0</v>
      </c>
      <c r="G44" s="50">
        <v>1</v>
      </c>
      <c r="H44" s="50">
        <v>1</v>
      </c>
      <c r="I44" s="50">
        <v>0</v>
      </c>
      <c r="J44" s="50">
        <v>1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5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2</v>
      </c>
      <c r="F45" s="50">
        <v>1</v>
      </c>
      <c r="G45" s="50">
        <v>1</v>
      </c>
      <c r="H45" s="50">
        <v>0</v>
      </c>
      <c r="I45" s="50">
        <v>1</v>
      </c>
      <c r="J45" s="50">
        <v>0</v>
      </c>
      <c r="K45" s="50">
        <v>0</v>
      </c>
      <c r="L45" s="50">
        <v>4</v>
      </c>
      <c r="M45" s="50">
        <v>2</v>
      </c>
      <c r="N45" s="50">
        <v>0</v>
      </c>
      <c r="O45" s="15">
        <f t="shared" si="0"/>
        <v>9</v>
      </c>
      <c r="P45" s="15">
        <f t="shared" si="1"/>
        <v>11</v>
      </c>
    </row>
    <row r="46" spans="2:20" ht="23.1" customHeight="1" x14ac:dyDescent="0.25">
      <c r="B46" s="24" t="s">
        <v>73</v>
      </c>
      <c r="C46" s="50">
        <v>1</v>
      </c>
      <c r="D46" s="50">
        <v>3</v>
      </c>
      <c r="E46" s="50">
        <v>7</v>
      </c>
      <c r="F46" s="50">
        <v>0</v>
      </c>
      <c r="G46" s="50">
        <v>4</v>
      </c>
      <c r="H46" s="50">
        <v>0</v>
      </c>
      <c r="I46" s="50">
        <v>0</v>
      </c>
      <c r="J46" s="50">
        <v>0</v>
      </c>
      <c r="K46" s="50">
        <v>0</v>
      </c>
      <c r="L46" s="50">
        <v>1</v>
      </c>
      <c r="M46" s="50">
        <v>4</v>
      </c>
      <c r="N46" s="50">
        <v>0</v>
      </c>
      <c r="O46" s="15">
        <f t="shared" si="0"/>
        <v>16</v>
      </c>
      <c r="P46" s="15">
        <f t="shared" si="1"/>
        <v>20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2</v>
      </c>
      <c r="F47" s="50">
        <v>0</v>
      </c>
      <c r="G47" s="50">
        <v>0</v>
      </c>
      <c r="H47" s="50">
        <v>1</v>
      </c>
      <c r="I47" s="50">
        <v>1</v>
      </c>
      <c r="J47" s="50">
        <v>0</v>
      </c>
      <c r="K47" s="50">
        <v>1</v>
      </c>
      <c r="L47" s="50">
        <v>1</v>
      </c>
      <c r="M47" s="50">
        <v>4</v>
      </c>
      <c r="N47" s="50">
        <v>0</v>
      </c>
      <c r="O47" s="15">
        <f t="shared" si="0"/>
        <v>7</v>
      </c>
      <c r="P47" s="15">
        <f t="shared" si="1"/>
        <v>11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2</v>
      </c>
      <c r="F48" s="50">
        <v>0</v>
      </c>
      <c r="G48" s="50">
        <v>3</v>
      </c>
      <c r="H48" s="50">
        <v>0</v>
      </c>
      <c r="I48" s="50">
        <v>0</v>
      </c>
      <c r="J48" s="50">
        <v>1</v>
      </c>
      <c r="K48" s="50">
        <v>0</v>
      </c>
      <c r="L48" s="50">
        <v>1</v>
      </c>
      <c r="M48" s="50">
        <v>3</v>
      </c>
      <c r="N48" s="50">
        <v>0</v>
      </c>
      <c r="O48" s="15">
        <f t="shared" si="0"/>
        <v>10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1</v>
      </c>
      <c r="E49" s="50">
        <v>2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</v>
      </c>
      <c r="N49" s="50">
        <v>0</v>
      </c>
      <c r="O49" s="15">
        <f t="shared" si="0"/>
        <v>6</v>
      </c>
      <c r="P49" s="15">
        <f t="shared" si="1"/>
        <v>7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3</v>
      </c>
      <c r="F50" s="50">
        <v>0</v>
      </c>
      <c r="G50" s="50">
        <v>1</v>
      </c>
      <c r="H50" s="50">
        <v>2</v>
      </c>
      <c r="I50" s="50">
        <v>0</v>
      </c>
      <c r="J50" s="50">
        <v>0</v>
      </c>
      <c r="K50" s="50">
        <v>1</v>
      </c>
      <c r="L50" s="50">
        <v>2</v>
      </c>
      <c r="M50" s="50">
        <v>6</v>
      </c>
      <c r="N50" s="50">
        <v>1</v>
      </c>
      <c r="O50" s="15">
        <f t="shared" si="0"/>
        <v>11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3</v>
      </c>
      <c r="F51" s="50">
        <v>0</v>
      </c>
      <c r="G51" s="50">
        <v>3</v>
      </c>
      <c r="H51" s="50">
        <v>0</v>
      </c>
      <c r="I51" s="50">
        <v>0</v>
      </c>
      <c r="J51" s="50">
        <v>2</v>
      </c>
      <c r="K51" s="50">
        <v>0</v>
      </c>
      <c r="L51" s="50">
        <v>2</v>
      </c>
      <c r="M51" s="50">
        <v>9</v>
      </c>
      <c r="N51" s="50">
        <v>0</v>
      </c>
      <c r="O51" s="15">
        <f t="shared" si="0"/>
        <v>12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3</v>
      </c>
      <c r="E52" s="50">
        <v>7</v>
      </c>
      <c r="F52" s="50">
        <v>2</v>
      </c>
      <c r="G52" s="50">
        <v>2</v>
      </c>
      <c r="H52" s="50">
        <v>1</v>
      </c>
      <c r="I52" s="50">
        <v>1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17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3</v>
      </c>
      <c r="F53" s="50">
        <v>0</v>
      </c>
      <c r="G53" s="50">
        <v>0</v>
      </c>
      <c r="H53" s="50">
        <v>1</v>
      </c>
      <c r="I53" s="50">
        <v>1</v>
      </c>
      <c r="J53" s="50">
        <v>2</v>
      </c>
      <c r="K53" s="50">
        <v>0</v>
      </c>
      <c r="L53" s="50">
        <v>1</v>
      </c>
      <c r="M53" s="50">
        <v>3</v>
      </c>
      <c r="N53" s="50">
        <v>0</v>
      </c>
      <c r="O53" s="15">
        <f t="shared" si="0"/>
        <v>9</v>
      </c>
      <c r="P53" s="15">
        <f t="shared" si="1"/>
        <v>12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3</v>
      </c>
      <c r="H54" s="50">
        <v>2</v>
      </c>
      <c r="I54" s="50">
        <v>1</v>
      </c>
      <c r="J54" s="50">
        <v>0</v>
      </c>
      <c r="K54" s="50">
        <v>0</v>
      </c>
      <c r="L54" s="50">
        <v>0</v>
      </c>
      <c r="M54" s="50">
        <v>7</v>
      </c>
      <c r="N54" s="50">
        <v>1</v>
      </c>
      <c r="O54" s="15">
        <f t="shared" si="0"/>
        <v>9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2</v>
      </c>
      <c r="F55" s="50">
        <v>0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2</v>
      </c>
      <c r="M55" s="50">
        <v>5</v>
      </c>
      <c r="N55" s="50">
        <v>0</v>
      </c>
      <c r="O55" s="15">
        <f t="shared" si="0"/>
        <v>5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2</v>
      </c>
      <c r="F56" s="50">
        <v>0</v>
      </c>
      <c r="G56" s="50">
        <v>3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4</v>
      </c>
      <c r="N56" s="50">
        <v>0</v>
      </c>
      <c r="O56" s="15">
        <f t="shared" si="0"/>
        <v>7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2</v>
      </c>
      <c r="F57" s="50">
        <v>0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2</v>
      </c>
      <c r="M57" s="50">
        <v>3</v>
      </c>
      <c r="N57" s="50">
        <v>0</v>
      </c>
      <c r="O57" s="15">
        <f t="shared" si="0"/>
        <v>5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</v>
      </c>
      <c r="D58" s="16">
        <f t="shared" si="21"/>
        <v>25</v>
      </c>
      <c r="E58" s="16">
        <f t="shared" si="21"/>
        <v>100</v>
      </c>
      <c r="F58" s="16">
        <f t="shared" si="21"/>
        <v>5</v>
      </c>
      <c r="G58" s="16">
        <f t="shared" si="21"/>
        <v>61</v>
      </c>
      <c r="H58" s="16">
        <f t="shared" si="21"/>
        <v>12</v>
      </c>
      <c r="I58" s="16">
        <f t="shared" si="21"/>
        <v>23</v>
      </c>
      <c r="J58" s="16">
        <f t="shared" si="21"/>
        <v>17</v>
      </c>
      <c r="K58" s="16">
        <f t="shared" si="21"/>
        <v>8</v>
      </c>
      <c r="L58" s="16">
        <f t="shared" si="21"/>
        <v>46</v>
      </c>
      <c r="M58" s="16">
        <f t="shared" si="21"/>
        <v>207</v>
      </c>
      <c r="N58" s="16">
        <f t="shared" si="21"/>
        <v>13</v>
      </c>
      <c r="O58" s="16">
        <f t="shared" si="21"/>
        <v>337</v>
      </c>
      <c r="P58" s="16">
        <f t="shared" si="21"/>
        <v>544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4.9632352941176468E-2</v>
      </c>
      <c r="D59" s="43">
        <f t="shared" si="22"/>
        <v>4.595588235294118E-2</v>
      </c>
      <c r="E59" s="43">
        <f t="shared" si="22"/>
        <v>0.18382352941176472</v>
      </c>
      <c r="F59" s="43">
        <f t="shared" si="22"/>
        <v>9.1911764705882356E-3</v>
      </c>
      <c r="G59" s="43">
        <f t="shared" si="22"/>
        <v>0.11213235294117647</v>
      </c>
      <c r="H59" s="43">
        <f t="shared" si="22"/>
        <v>2.2058823529411766E-2</v>
      </c>
      <c r="I59" s="43">
        <f t="shared" si="22"/>
        <v>4.2279411764705885E-2</v>
      </c>
      <c r="J59" s="43">
        <f t="shared" si="22"/>
        <v>3.125E-2</v>
      </c>
      <c r="K59" s="43">
        <f t="shared" si="22"/>
        <v>1.4705882352941176E-2</v>
      </c>
      <c r="L59" s="43">
        <f t="shared" si="22"/>
        <v>8.455882352941177E-2</v>
      </c>
      <c r="M59" s="43">
        <f t="shared" si="22"/>
        <v>0.38051470588235292</v>
      </c>
      <c r="N59" s="43">
        <f t="shared" si="22"/>
        <v>2.389705882352941E-2</v>
      </c>
      <c r="R59" s="8"/>
      <c r="T59"/>
    </row>
    <row r="60" spans="2:20" ht="23.1" customHeight="1" x14ac:dyDescent="0.25">
      <c r="B60" s="42" t="s">
        <v>94</v>
      </c>
      <c r="C60" s="44">
        <f>C58/$O$58</f>
        <v>8.0118694362017809E-2</v>
      </c>
      <c r="D60" s="44">
        <f t="shared" ref="D60:N60" si="23">D58/$O$58</f>
        <v>7.418397626112759E-2</v>
      </c>
      <c r="E60" s="44">
        <f t="shared" si="23"/>
        <v>0.29673590504451036</v>
      </c>
      <c r="F60" s="44">
        <f t="shared" si="23"/>
        <v>1.483679525222552E-2</v>
      </c>
      <c r="G60" s="44">
        <f t="shared" si="23"/>
        <v>0.18100890207715134</v>
      </c>
      <c r="H60" s="44">
        <f t="shared" si="23"/>
        <v>3.5608308605341248E-2</v>
      </c>
      <c r="I60" s="44">
        <f t="shared" si="23"/>
        <v>6.8249258160237386E-2</v>
      </c>
      <c r="J60" s="44">
        <f t="shared" si="23"/>
        <v>5.0445103857566766E-2</v>
      </c>
      <c r="K60" s="44">
        <f t="shared" si="23"/>
        <v>2.3738872403560832E-2</v>
      </c>
      <c r="L60" s="44">
        <f t="shared" si="23"/>
        <v>0.13649851632047477</v>
      </c>
      <c r="M60" s="44"/>
      <c r="N60" s="44">
        <f t="shared" si="23"/>
        <v>3.857566765578635E-2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'29.07 Pakwach-Karuma'!G5:H5</f>
        <v>xxx</v>
      </c>
      <c r="H5" s="64"/>
      <c r="I5" s="14"/>
      <c r="J5" s="2" t="s">
        <v>5</v>
      </c>
      <c r="K5" s="63" t="str">
        <f>'29.07 Pakwach-Karuma'!K5:L5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166</v>
      </c>
      <c r="E6" s="58"/>
      <c r="F6" s="2" t="s">
        <v>2</v>
      </c>
      <c r="G6" s="57" t="s">
        <v>167</v>
      </c>
      <c r="H6" s="58"/>
      <c r="J6" s="2" t="s">
        <v>21</v>
      </c>
      <c r="K6" s="63" t="str">
        <f>'29.07 Pakwach-Karuma'!K6:L6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f>'[1]RD115 MCC'!$J$48</f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2</v>
      </c>
      <c r="M10" s="50">
        <v>1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2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2</v>
      </c>
      <c r="AC10" s="17">
        <f t="shared" si="2"/>
        <v>7</v>
      </c>
      <c r="AD10" s="17">
        <f t="shared" si="2"/>
        <v>0</v>
      </c>
      <c r="AE10" s="31">
        <f t="shared" si="2"/>
        <v>8</v>
      </c>
      <c r="AF10" s="31">
        <f t="shared" si="2"/>
        <v>15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0</v>
      </c>
      <c r="P11" s="15">
        <f t="shared" si="1"/>
        <v>3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5</v>
      </c>
      <c r="V11" s="17">
        <f t="shared" si="3"/>
        <v>0</v>
      </c>
      <c r="W11" s="17">
        <f t="shared" si="3"/>
        <v>5</v>
      </c>
      <c r="X11" s="17">
        <f t="shared" si="3"/>
        <v>1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3</v>
      </c>
      <c r="AC11" s="17">
        <f t="shared" si="3"/>
        <v>16</v>
      </c>
      <c r="AD11" s="17">
        <f t="shared" si="3"/>
        <v>1</v>
      </c>
      <c r="AE11" s="31">
        <f t="shared" si="3"/>
        <v>18</v>
      </c>
      <c r="AF11" s="31">
        <f t="shared" si="3"/>
        <v>34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1</v>
      </c>
      <c r="P12" s="15">
        <f t="shared" si="1"/>
        <v>3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3</v>
      </c>
      <c r="V12" s="17">
        <f t="shared" si="4"/>
        <v>0</v>
      </c>
      <c r="W12" s="17">
        <f t="shared" si="4"/>
        <v>5</v>
      </c>
      <c r="X12" s="17">
        <f t="shared" si="4"/>
        <v>2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3</v>
      </c>
      <c r="AC12" s="17">
        <f t="shared" si="4"/>
        <v>10</v>
      </c>
      <c r="AD12" s="17">
        <f t="shared" si="4"/>
        <v>0</v>
      </c>
      <c r="AE12" s="31">
        <f t="shared" si="4"/>
        <v>14</v>
      </c>
      <c r="AF12" s="31">
        <f t="shared" si="4"/>
        <v>24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1</v>
      </c>
      <c r="P13" s="15">
        <f t="shared" si="1"/>
        <v>2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7</v>
      </c>
      <c r="V13" s="17">
        <f t="shared" si="5"/>
        <v>0</v>
      </c>
      <c r="W13" s="17">
        <f t="shared" si="5"/>
        <v>11</v>
      </c>
      <c r="X13" s="17">
        <f t="shared" si="5"/>
        <v>4</v>
      </c>
      <c r="Y13" s="17">
        <f t="shared" si="5"/>
        <v>2</v>
      </c>
      <c r="Z13" s="17">
        <f t="shared" si="5"/>
        <v>2</v>
      </c>
      <c r="AA13" s="17">
        <f t="shared" si="5"/>
        <v>2</v>
      </c>
      <c r="AB13" s="17">
        <f t="shared" si="5"/>
        <v>1</v>
      </c>
      <c r="AC13" s="17">
        <f t="shared" si="5"/>
        <v>7</v>
      </c>
      <c r="AD13" s="17">
        <f t="shared" si="5"/>
        <v>0</v>
      </c>
      <c r="AE13" s="31">
        <f t="shared" si="5"/>
        <v>33</v>
      </c>
      <c r="AF13" s="31">
        <f t="shared" si="5"/>
        <v>40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2</v>
      </c>
      <c r="M14" s="50">
        <v>2</v>
      </c>
      <c r="N14" s="50">
        <v>0</v>
      </c>
      <c r="O14" s="15">
        <f t="shared" si="0"/>
        <v>4</v>
      </c>
      <c r="P14" s="15">
        <f t="shared" si="1"/>
        <v>6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7</v>
      </c>
      <c r="V14" s="17">
        <f t="shared" si="6"/>
        <v>0</v>
      </c>
      <c r="W14" s="17">
        <f t="shared" si="6"/>
        <v>8</v>
      </c>
      <c r="X14" s="17">
        <f t="shared" si="6"/>
        <v>0</v>
      </c>
      <c r="Y14" s="17">
        <f t="shared" si="6"/>
        <v>7</v>
      </c>
      <c r="Z14" s="17">
        <f t="shared" si="6"/>
        <v>2</v>
      </c>
      <c r="AA14" s="17">
        <f t="shared" si="6"/>
        <v>0</v>
      </c>
      <c r="AB14" s="17">
        <f t="shared" si="6"/>
        <v>4</v>
      </c>
      <c r="AC14" s="17">
        <f t="shared" si="6"/>
        <v>20</v>
      </c>
      <c r="AD14" s="17">
        <f t="shared" si="6"/>
        <v>1</v>
      </c>
      <c r="AE14" s="31">
        <f t="shared" si="6"/>
        <v>31</v>
      </c>
      <c r="AF14" s="31">
        <f t="shared" si="6"/>
        <v>51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2</v>
      </c>
      <c r="P15" s="15">
        <f t="shared" si="1"/>
        <v>6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4</v>
      </c>
      <c r="V15" s="17">
        <f t="shared" si="7"/>
        <v>0</v>
      </c>
      <c r="W15" s="17">
        <f t="shared" si="7"/>
        <v>3</v>
      </c>
      <c r="X15" s="17">
        <f t="shared" si="7"/>
        <v>4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1</v>
      </c>
      <c r="AC15" s="17">
        <f t="shared" si="7"/>
        <v>4</v>
      </c>
      <c r="AD15" s="17">
        <f t="shared" si="7"/>
        <v>0</v>
      </c>
      <c r="AE15" s="31">
        <f t="shared" si="7"/>
        <v>15</v>
      </c>
      <c r="AF15" s="31">
        <f t="shared" si="7"/>
        <v>19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4</v>
      </c>
      <c r="N16" s="50">
        <v>1</v>
      </c>
      <c r="O16" s="15">
        <f t="shared" si="0"/>
        <v>3</v>
      </c>
      <c r="P16" s="15">
        <f t="shared" si="1"/>
        <v>7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2</v>
      </c>
      <c r="V16" s="17">
        <f t="shared" si="8"/>
        <v>0</v>
      </c>
      <c r="W16" s="17">
        <f t="shared" si="8"/>
        <v>1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15</v>
      </c>
      <c r="AD16" s="17">
        <f t="shared" si="8"/>
        <v>0</v>
      </c>
      <c r="AE16" s="31">
        <f t="shared" si="8"/>
        <v>8</v>
      </c>
      <c r="AF16" s="31">
        <f t="shared" si="8"/>
        <v>23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2</v>
      </c>
      <c r="F17" s="50">
        <v>0</v>
      </c>
      <c r="G17" s="50">
        <v>5</v>
      </c>
      <c r="H17" s="50">
        <v>1</v>
      </c>
      <c r="I17" s="50">
        <v>0</v>
      </c>
      <c r="J17" s="50">
        <v>0</v>
      </c>
      <c r="K17" s="50">
        <v>0</v>
      </c>
      <c r="L17" s="50">
        <v>1</v>
      </c>
      <c r="M17" s="50">
        <v>6</v>
      </c>
      <c r="N17" s="50">
        <v>0</v>
      </c>
      <c r="O17" s="15">
        <f t="shared" si="0"/>
        <v>9</v>
      </c>
      <c r="P17" s="15">
        <f t="shared" si="1"/>
        <v>15</v>
      </c>
      <c r="R17" s="1" t="s">
        <v>13</v>
      </c>
      <c r="S17" s="17">
        <f t="shared" ref="S17:AF17" si="9">SUM(C38:C41)</f>
        <v>2</v>
      </c>
      <c r="T17" s="17">
        <f t="shared" si="9"/>
        <v>1</v>
      </c>
      <c r="U17" s="17">
        <f t="shared" si="9"/>
        <v>8</v>
      </c>
      <c r="V17" s="17">
        <f t="shared" si="9"/>
        <v>0</v>
      </c>
      <c r="W17" s="17">
        <f t="shared" si="9"/>
        <v>2</v>
      </c>
      <c r="X17" s="17">
        <f t="shared" si="9"/>
        <v>2</v>
      </c>
      <c r="Y17" s="17">
        <f t="shared" si="9"/>
        <v>2</v>
      </c>
      <c r="Z17" s="17">
        <f t="shared" si="9"/>
        <v>0</v>
      </c>
      <c r="AA17" s="17">
        <f t="shared" si="9"/>
        <v>2</v>
      </c>
      <c r="AB17" s="17">
        <f t="shared" si="9"/>
        <v>2</v>
      </c>
      <c r="AC17" s="17">
        <f t="shared" si="9"/>
        <v>17</v>
      </c>
      <c r="AD17" s="17">
        <f t="shared" si="9"/>
        <v>1</v>
      </c>
      <c r="AE17" s="31">
        <f t="shared" si="9"/>
        <v>22</v>
      </c>
      <c r="AF17" s="31">
        <f t="shared" si="9"/>
        <v>39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0</v>
      </c>
      <c r="N18" s="50">
        <v>0</v>
      </c>
      <c r="O18" s="15">
        <f t="shared" si="0"/>
        <v>1</v>
      </c>
      <c r="P18" s="15">
        <f t="shared" si="1"/>
        <v>1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4</v>
      </c>
      <c r="V18" s="17">
        <f t="shared" si="10"/>
        <v>0</v>
      </c>
      <c r="W18" s="17">
        <f t="shared" si="10"/>
        <v>3</v>
      </c>
      <c r="X18" s="17">
        <f t="shared" si="10"/>
        <v>3</v>
      </c>
      <c r="Y18" s="17">
        <f t="shared" si="10"/>
        <v>2</v>
      </c>
      <c r="Z18" s="17">
        <f t="shared" si="10"/>
        <v>3</v>
      </c>
      <c r="AA18" s="17">
        <f t="shared" si="10"/>
        <v>6</v>
      </c>
      <c r="AB18" s="17">
        <f t="shared" si="10"/>
        <v>9</v>
      </c>
      <c r="AC18" s="17">
        <f t="shared" si="10"/>
        <v>15</v>
      </c>
      <c r="AD18" s="17">
        <f t="shared" si="10"/>
        <v>2</v>
      </c>
      <c r="AE18" s="31">
        <f t="shared" si="10"/>
        <v>33</v>
      </c>
      <c r="AF18" s="31">
        <f t="shared" si="10"/>
        <v>48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2</v>
      </c>
      <c r="M19" s="50">
        <v>2</v>
      </c>
      <c r="N19" s="50">
        <v>0</v>
      </c>
      <c r="O19" s="15">
        <f t="shared" si="0"/>
        <v>3</v>
      </c>
      <c r="P19" s="15">
        <f t="shared" si="1"/>
        <v>5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2</v>
      </c>
      <c r="V19" s="17">
        <f t="shared" si="11"/>
        <v>0</v>
      </c>
      <c r="W19" s="17">
        <f t="shared" si="11"/>
        <v>4</v>
      </c>
      <c r="X19" s="17">
        <f t="shared" si="11"/>
        <v>0</v>
      </c>
      <c r="Y19" s="17">
        <f t="shared" si="11"/>
        <v>1</v>
      </c>
      <c r="Z19" s="17">
        <f t="shared" si="11"/>
        <v>2</v>
      </c>
      <c r="AA19" s="17">
        <f t="shared" si="11"/>
        <v>4</v>
      </c>
      <c r="AB19" s="17">
        <f t="shared" si="11"/>
        <v>2</v>
      </c>
      <c r="AC19" s="17">
        <f t="shared" si="11"/>
        <v>5</v>
      </c>
      <c r="AD19" s="17">
        <f t="shared" si="11"/>
        <v>6</v>
      </c>
      <c r="AE19" s="31">
        <f t="shared" si="11"/>
        <v>21</v>
      </c>
      <c r="AF19" s="31">
        <f t="shared" si="11"/>
        <v>26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2</v>
      </c>
      <c r="P20" s="15">
        <f t="shared" si="1"/>
        <v>6</v>
      </c>
      <c r="R20" s="1" t="s">
        <v>16</v>
      </c>
      <c r="S20" s="17">
        <f t="shared" ref="S20:AF20" si="12">SUM(C50:C53)</f>
        <v>2</v>
      </c>
      <c r="T20" s="17">
        <f t="shared" si="12"/>
        <v>0</v>
      </c>
      <c r="U20" s="17">
        <f t="shared" si="12"/>
        <v>5</v>
      </c>
      <c r="V20" s="17">
        <f t="shared" si="12"/>
        <v>0</v>
      </c>
      <c r="W20" s="17">
        <f t="shared" si="12"/>
        <v>4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0</v>
      </c>
      <c r="AB20" s="17">
        <f t="shared" si="12"/>
        <v>6</v>
      </c>
      <c r="AC20" s="17">
        <f t="shared" si="12"/>
        <v>5</v>
      </c>
      <c r="AD20" s="17">
        <f t="shared" si="12"/>
        <v>0</v>
      </c>
      <c r="AE20" s="31">
        <f t="shared" si="12"/>
        <v>18</v>
      </c>
      <c r="AF20" s="31">
        <f t="shared" si="12"/>
        <v>23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2</v>
      </c>
      <c r="F21" s="50">
        <v>0</v>
      </c>
      <c r="G21" s="50">
        <v>5</v>
      </c>
      <c r="H21" s="50">
        <v>1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8</v>
      </c>
      <c r="P21" s="15">
        <f t="shared" si="1"/>
        <v>12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3</v>
      </c>
      <c r="V21" s="17">
        <f t="shared" si="13"/>
        <v>0</v>
      </c>
      <c r="W21" s="17">
        <f t="shared" si="13"/>
        <v>1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4</v>
      </c>
      <c r="AC21" s="17">
        <f t="shared" si="13"/>
        <v>14</v>
      </c>
      <c r="AD21" s="17">
        <f t="shared" si="13"/>
        <v>0</v>
      </c>
      <c r="AE21" s="31">
        <f t="shared" si="13"/>
        <v>13</v>
      </c>
      <c r="AF21" s="31">
        <f t="shared" si="13"/>
        <v>27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2</v>
      </c>
      <c r="F22" s="50">
        <v>0</v>
      </c>
      <c r="G22" s="50">
        <v>2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5</v>
      </c>
      <c r="P22" s="15">
        <f t="shared" si="1"/>
        <v>7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5</v>
      </c>
      <c r="V22" s="39">
        <f t="shared" si="14"/>
        <v>2</v>
      </c>
      <c r="W22" s="39">
        <f t="shared" si="14"/>
        <v>5</v>
      </c>
      <c r="X22" s="39">
        <f t="shared" si="14"/>
        <v>2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3</v>
      </c>
      <c r="AC22" s="39">
        <f t="shared" si="14"/>
        <v>16</v>
      </c>
      <c r="AD22" s="39">
        <f t="shared" si="14"/>
        <v>1</v>
      </c>
      <c r="AE22" s="40">
        <f t="shared" si="14"/>
        <v>18</v>
      </c>
      <c r="AF22" s="40">
        <f t="shared" si="14"/>
        <v>34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4</v>
      </c>
      <c r="F23" s="50">
        <v>0</v>
      </c>
      <c r="G23" s="50">
        <v>3</v>
      </c>
      <c r="H23" s="50">
        <v>1</v>
      </c>
      <c r="I23" s="50">
        <v>0</v>
      </c>
      <c r="J23" s="50">
        <v>0</v>
      </c>
      <c r="K23" s="50">
        <v>1</v>
      </c>
      <c r="L23" s="50">
        <v>0</v>
      </c>
      <c r="M23" s="50">
        <v>3</v>
      </c>
      <c r="N23" s="50">
        <v>0</v>
      </c>
      <c r="O23" s="15">
        <f t="shared" si="0"/>
        <v>12</v>
      </c>
      <c r="P23" s="15">
        <f t="shared" si="1"/>
        <v>15</v>
      </c>
      <c r="R23" s="38" t="s">
        <v>91</v>
      </c>
      <c r="S23" s="39">
        <f>MAX(S13:S18)</f>
        <v>5</v>
      </c>
      <c r="T23" s="39">
        <f t="shared" ref="T23:AF23" si="15">MAX(T13:T18)</f>
        <v>1</v>
      </c>
      <c r="U23" s="39">
        <f t="shared" si="15"/>
        <v>8</v>
      </c>
      <c r="V23" s="39">
        <f t="shared" si="15"/>
        <v>0</v>
      </c>
      <c r="W23" s="39">
        <f t="shared" si="15"/>
        <v>11</v>
      </c>
      <c r="X23" s="39">
        <f t="shared" si="15"/>
        <v>4</v>
      </c>
      <c r="Y23" s="39">
        <f t="shared" si="15"/>
        <v>7</v>
      </c>
      <c r="Z23" s="39">
        <f t="shared" si="15"/>
        <v>3</v>
      </c>
      <c r="AA23" s="39">
        <f t="shared" si="15"/>
        <v>6</v>
      </c>
      <c r="AB23" s="39">
        <f t="shared" si="15"/>
        <v>9</v>
      </c>
      <c r="AC23" s="39">
        <f t="shared" si="15"/>
        <v>20</v>
      </c>
      <c r="AD23" s="39">
        <f t="shared" si="15"/>
        <v>2</v>
      </c>
      <c r="AE23" s="40">
        <f t="shared" si="15"/>
        <v>33</v>
      </c>
      <c r="AF23" s="40">
        <f t="shared" si="15"/>
        <v>51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5</v>
      </c>
      <c r="H24" s="50">
        <v>3</v>
      </c>
      <c r="I24" s="50">
        <v>2</v>
      </c>
      <c r="J24" s="50">
        <v>2</v>
      </c>
      <c r="K24" s="50">
        <v>1</v>
      </c>
      <c r="L24" s="50">
        <v>1</v>
      </c>
      <c r="M24" s="50">
        <v>2</v>
      </c>
      <c r="N24" s="50">
        <v>0</v>
      </c>
      <c r="O24" s="15">
        <f t="shared" si="0"/>
        <v>15</v>
      </c>
      <c r="P24" s="15">
        <f t="shared" si="1"/>
        <v>17</v>
      </c>
      <c r="R24" s="38" t="s">
        <v>92</v>
      </c>
      <c r="S24" s="39">
        <f>MAX(S19:S21)</f>
        <v>2</v>
      </c>
      <c r="T24" s="39">
        <f t="shared" ref="T24:AF24" si="16">MAX(T19:T21)</f>
        <v>0</v>
      </c>
      <c r="U24" s="39">
        <f t="shared" si="16"/>
        <v>5</v>
      </c>
      <c r="V24" s="39">
        <f t="shared" si="16"/>
        <v>0</v>
      </c>
      <c r="W24" s="39">
        <f t="shared" si="16"/>
        <v>4</v>
      </c>
      <c r="X24" s="39">
        <f t="shared" si="16"/>
        <v>0</v>
      </c>
      <c r="Y24" s="39">
        <f t="shared" si="16"/>
        <v>3</v>
      </c>
      <c r="Z24" s="39">
        <f t="shared" si="16"/>
        <v>2</v>
      </c>
      <c r="AA24" s="39">
        <f t="shared" si="16"/>
        <v>4</v>
      </c>
      <c r="AB24" s="39">
        <f t="shared" si="16"/>
        <v>6</v>
      </c>
      <c r="AC24" s="39">
        <f t="shared" si="16"/>
        <v>14</v>
      </c>
      <c r="AD24" s="39">
        <f t="shared" si="16"/>
        <v>6</v>
      </c>
      <c r="AE24" s="40">
        <f t="shared" si="16"/>
        <v>21</v>
      </c>
      <c r="AF24" s="40">
        <f t="shared" si="16"/>
        <v>27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1</v>
      </c>
      <c r="P25" s="15">
        <f t="shared" si="1"/>
        <v>1</v>
      </c>
      <c r="R25" s="37" t="s">
        <v>85</v>
      </c>
      <c r="S25" s="35">
        <f t="shared" ref="S25:AF25" si="17">SUM(S10:S12)</f>
        <v>5</v>
      </c>
      <c r="T25" s="16">
        <f t="shared" si="17"/>
        <v>0</v>
      </c>
      <c r="U25" s="16">
        <f t="shared" si="17"/>
        <v>10</v>
      </c>
      <c r="V25" s="16">
        <f t="shared" si="17"/>
        <v>2</v>
      </c>
      <c r="W25" s="16">
        <f t="shared" si="17"/>
        <v>10</v>
      </c>
      <c r="X25" s="16">
        <f t="shared" si="17"/>
        <v>3</v>
      </c>
      <c r="Y25" s="16">
        <f t="shared" si="17"/>
        <v>1</v>
      </c>
      <c r="Z25" s="16">
        <f t="shared" si="17"/>
        <v>0</v>
      </c>
      <c r="AA25" s="16">
        <f t="shared" si="17"/>
        <v>0</v>
      </c>
      <c r="AB25" s="16">
        <f t="shared" si="17"/>
        <v>8</v>
      </c>
      <c r="AC25" s="16">
        <f t="shared" si="17"/>
        <v>33</v>
      </c>
      <c r="AD25" s="16">
        <f t="shared" si="17"/>
        <v>1</v>
      </c>
      <c r="AE25" s="32">
        <f t="shared" si="17"/>
        <v>40</v>
      </c>
      <c r="AF25" s="32">
        <f t="shared" si="17"/>
        <v>73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2</v>
      </c>
      <c r="F26" s="50">
        <v>0</v>
      </c>
      <c r="G26" s="50">
        <v>4</v>
      </c>
      <c r="H26" s="50">
        <v>0</v>
      </c>
      <c r="I26" s="50">
        <v>1</v>
      </c>
      <c r="J26" s="50">
        <v>0</v>
      </c>
      <c r="K26" s="50">
        <v>0</v>
      </c>
      <c r="L26" s="50">
        <v>2</v>
      </c>
      <c r="M26" s="50">
        <v>2</v>
      </c>
      <c r="N26" s="50">
        <v>0</v>
      </c>
      <c r="O26" s="15">
        <f t="shared" si="0"/>
        <v>9</v>
      </c>
      <c r="P26" s="15">
        <f t="shared" si="1"/>
        <v>11</v>
      </c>
      <c r="R26" s="28" t="s">
        <v>86</v>
      </c>
      <c r="S26" s="16">
        <f t="shared" ref="S26:AF26" si="18">SUM(S13:S18)</f>
        <v>15</v>
      </c>
      <c r="T26" s="16">
        <f t="shared" si="18"/>
        <v>2</v>
      </c>
      <c r="U26" s="16">
        <f t="shared" si="18"/>
        <v>32</v>
      </c>
      <c r="V26" s="16">
        <f t="shared" si="18"/>
        <v>0</v>
      </c>
      <c r="W26" s="16">
        <f t="shared" si="18"/>
        <v>28</v>
      </c>
      <c r="X26" s="16">
        <f t="shared" si="18"/>
        <v>13</v>
      </c>
      <c r="Y26" s="16">
        <f t="shared" si="18"/>
        <v>13</v>
      </c>
      <c r="Z26" s="16">
        <f t="shared" si="18"/>
        <v>8</v>
      </c>
      <c r="AA26" s="16">
        <f t="shared" si="18"/>
        <v>10</v>
      </c>
      <c r="AB26" s="16">
        <f t="shared" si="18"/>
        <v>17</v>
      </c>
      <c r="AC26" s="16">
        <f t="shared" si="18"/>
        <v>78</v>
      </c>
      <c r="AD26" s="16">
        <f t="shared" si="18"/>
        <v>4</v>
      </c>
      <c r="AE26" s="32">
        <f t="shared" si="18"/>
        <v>142</v>
      </c>
      <c r="AF26" s="32">
        <f t="shared" si="18"/>
        <v>220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3</v>
      </c>
      <c r="H27" s="50">
        <v>0</v>
      </c>
      <c r="I27" s="50">
        <v>3</v>
      </c>
      <c r="J27" s="50">
        <v>1</v>
      </c>
      <c r="K27" s="50">
        <v>0</v>
      </c>
      <c r="L27" s="50">
        <v>1</v>
      </c>
      <c r="M27" s="50">
        <v>3</v>
      </c>
      <c r="N27" s="50">
        <v>1</v>
      </c>
      <c r="O27" s="15">
        <f t="shared" si="0"/>
        <v>10</v>
      </c>
      <c r="P27" s="15">
        <f t="shared" si="1"/>
        <v>13</v>
      </c>
      <c r="R27" s="29" t="s">
        <v>87</v>
      </c>
      <c r="S27" s="16">
        <f t="shared" ref="S27:AF27" si="19">SUM(S19:S21)</f>
        <v>4</v>
      </c>
      <c r="T27" s="16">
        <f t="shared" si="19"/>
        <v>0</v>
      </c>
      <c r="U27" s="16">
        <f t="shared" si="19"/>
        <v>10</v>
      </c>
      <c r="V27" s="16">
        <f t="shared" si="19"/>
        <v>0</v>
      </c>
      <c r="W27" s="16">
        <f t="shared" si="19"/>
        <v>9</v>
      </c>
      <c r="X27" s="16">
        <f t="shared" si="19"/>
        <v>0</v>
      </c>
      <c r="Y27" s="16">
        <f t="shared" si="19"/>
        <v>4</v>
      </c>
      <c r="Z27" s="16">
        <f t="shared" si="19"/>
        <v>3</v>
      </c>
      <c r="AA27" s="16">
        <f t="shared" si="19"/>
        <v>4</v>
      </c>
      <c r="AB27" s="16">
        <f t="shared" si="19"/>
        <v>12</v>
      </c>
      <c r="AC27" s="16">
        <f t="shared" si="19"/>
        <v>24</v>
      </c>
      <c r="AD27" s="16">
        <f t="shared" si="19"/>
        <v>6</v>
      </c>
      <c r="AE27" s="32">
        <f t="shared" si="19"/>
        <v>52</v>
      </c>
      <c r="AF27" s="32">
        <f t="shared" si="19"/>
        <v>76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2</v>
      </c>
      <c r="F28" s="50">
        <v>0</v>
      </c>
      <c r="G28" s="50">
        <v>1</v>
      </c>
      <c r="H28" s="50">
        <v>0</v>
      </c>
      <c r="I28" s="50">
        <v>0</v>
      </c>
      <c r="J28" s="50">
        <v>0</v>
      </c>
      <c r="K28" s="50">
        <v>0</v>
      </c>
      <c r="L28" s="50">
        <v>1</v>
      </c>
      <c r="M28" s="50">
        <v>5</v>
      </c>
      <c r="N28" s="50">
        <v>0</v>
      </c>
      <c r="O28" s="15">
        <f t="shared" si="0"/>
        <v>6</v>
      </c>
      <c r="P28" s="15">
        <f t="shared" si="1"/>
        <v>11</v>
      </c>
      <c r="R28" s="5" t="s">
        <v>17</v>
      </c>
      <c r="S28" s="16">
        <f t="shared" ref="S28:AF28" si="20">SUM(S10:S21)</f>
        <v>24</v>
      </c>
      <c r="T28" s="16">
        <f t="shared" si="20"/>
        <v>2</v>
      </c>
      <c r="U28" s="16">
        <f t="shared" si="20"/>
        <v>52</v>
      </c>
      <c r="V28" s="16">
        <f t="shared" si="20"/>
        <v>2</v>
      </c>
      <c r="W28" s="16">
        <f t="shared" si="20"/>
        <v>47</v>
      </c>
      <c r="X28" s="16">
        <f t="shared" si="20"/>
        <v>16</v>
      </c>
      <c r="Y28" s="16">
        <f t="shared" si="20"/>
        <v>18</v>
      </c>
      <c r="Z28" s="16">
        <f t="shared" si="20"/>
        <v>11</v>
      </c>
      <c r="AA28" s="16">
        <f t="shared" si="20"/>
        <v>14</v>
      </c>
      <c r="AB28" s="16">
        <f t="shared" si="20"/>
        <v>37</v>
      </c>
      <c r="AC28" s="16">
        <f t="shared" si="20"/>
        <v>135</v>
      </c>
      <c r="AD28" s="16">
        <f t="shared" si="20"/>
        <v>11</v>
      </c>
      <c r="AE28" s="32">
        <f t="shared" si="20"/>
        <v>234</v>
      </c>
      <c r="AF28" s="32">
        <f t="shared" si="20"/>
        <v>369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2</v>
      </c>
      <c r="F29" s="50">
        <v>0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10</v>
      </c>
      <c r="N29" s="50">
        <v>0</v>
      </c>
      <c r="O29" s="15">
        <f t="shared" si="0"/>
        <v>6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1</v>
      </c>
      <c r="P30" s="15">
        <f t="shared" si="1"/>
        <v>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2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3</v>
      </c>
      <c r="P31" s="15">
        <f t="shared" si="1"/>
        <v>3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2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4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2</v>
      </c>
      <c r="F33" s="50">
        <v>0</v>
      </c>
      <c r="G33" s="50">
        <v>1</v>
      </c>
      <c r="H33" s="50">
        <v>2</v>
      </c>
      <c r="I33" s="50">
        <v>0</v>
      </c>
      <c r="J33" s="50">
        <v>1</v>
      </c>
      <c r="K33" s="50">
        <v>0</v>
      </c>
      <c r="L33" s="50">
        <v>1</v>
      </c>
      <c r="M33" s="50">
        <v>2</v>
      </c>
      <c r="N33" s="50">
        <v>0</v>
      </c>
      <c r="O33" s="15">
        <f t="shared" si="0"/>
        <v>7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2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1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2</v>
      </c>
      <c r="P36" s="15">
        <f t="shared" si="1"/>
        <v>5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2</v>
      </c>
      <c r="F37" s="50">
        <v>0</v>
      </c>
      <c r="G37" s="50">
        <v>1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3</v>
      </c>
      <c r="P37" s="15">
        <f t="shared" si="1"/>
        <v>5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4</v>
      </c>
      <c r="F38" s="50">
        <v>0</v>
      </c>
      <c r="G38" s="50">
        <v>0</v>
      </c>
      <c r="H38" s="50">
        <v>1</v>
      </c>
      <c r="I38" s="50">
        <v>0</v>
      </c>
      <c r="J38" s="50">
        <v>0</v>
      </c>
      <c r="K38" s="50">
        <v>0</v>
      </c>
      <c r="L38" s="50">
        <v>2</v>
      </c>
      <c r="M38" s="50">
        <v>7</v>
      </c>
      <c r="N38" s="50">
        <v>1</v>
      </c>
      <c r="O38" s="15">
        <f t="shared" si="0"/>
        <v>10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1</v>
      </c>
      <c r="I39" s="50">
        <v>0</v>
      </c>
      <c r="J39" s="50">
        <v>0</v>
      </c>
      <c r="K39" s="50">
        <v>2</v>
      </c>
      <c r="L39" s="50">
        <v>0</v>
      </c>
      <c r="M39" s="50">
        <v>4</v>
      </c>
      <c r="N39" s="50">
        <v>0</v>
      </c>
      <c r="O39" s="15">
        <f t="shared" si="0"/>
        <v>4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2</v>
      </c>
      <c r="F40" s="50">
        <v>0</v>
      </c>
      <c r="G40" s="50">
        <v>1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3</v>
      </c>
      <c r="N40" s="50">
        <v>0</v>
      </c>
      <c r="O40" s="15">
        <f t="shared" si="0"/>
        <v>5</v>
      </c>
      <c r="P40" s="15">
        <f t="shared" si="1"/>
        <v>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1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3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2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2</v>
      </c>
      <c r="L42" s="50">
        <v>4</v>
      </c>
      <c r="M42" s="50">
        <v>5</v>
      </c>
      <c r="N42" s="50">
        <v>1</v>
      </c>
      <c r="O42" s="15">
        <f t="shared" si="0"/>
        <v>11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1</v>
      </c>
      <c r="H43" s="50">
        <v>1</v>
      </c>
      <c r="I43" s="50">
        <v>1</v>
      </c>
      <c r="J43" s="50">
        <v>0</v>
      </c>
      <c r="K43" s="50">
        <v>1</v>
      </c>
      <c r="L43" s="50">
        <v>2</v>
      </c>
      <c r="M43" s="50">
        <v>5</v>
      </c>
      <c r="N43" s="50">
        <v>0</v>
      </c>
      <c r="O43" s="15">
        <f t="shared" si="0"/>
        <v>8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1</v>
      </c>
      <c r="I44" s="50">
        <v>0</v>
      </c>
      <c r="J44" s="50">
        <v>1</v>
      </c>
      <c r="K44" s="50">
        <v>0</v>
      </c>
      <c r="L44" s="50">
        <v>1</v>
      </c>
      <c r="M44" s="50">
        <v>1</v>
      </c>
      <c r="N44" s="50">
        <v>0</v>
      </c>
      <c r="O44" s="15">
        <f t="shared" si="0"/>
        <v>4</v>
      </c>
      <c r="P44" s="15">
        <f t="shared" si="1"/>
        <v>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2</v>
      </c>
      <c r="H45" s="50">
        <v>1</v>
      </c>
      <c r="I45" s="50">
        <v>0</v>
      </c>
      <c r="J45" s="50">
        <v>1</v>
      </c>
      <c r="K45" s="50">
        <v>3</v>
      </c>
      <c r="L45" s="50">
        <v>2</v>
      </c>
      <c r="M45" s="50">
        <v>4</v>
      </c>
      <c r="N45" s="50">
        <v>1</v>
      </c>
      <c r="O45" s="15">
        <f t="shared" si="0"/>
        <v>10</v>
      </c>
      <c r="P45" s="15">
        <f t="shared" si="1"/>
        <v>14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1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0</v>
      </c>
      <c r="N46" s="50">
        <v>2</v>
      </c>
      <c r="O46" s="15">
        <f t="shared" si="0"/>
        <v>4</v>
      </c>
      <c r="P46" s="15">
        <f t="shared" si="1"/>
        <v>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1</v>
      </c>
      <c r="L47" s="50">
        <v>1</v>
      </c>
      <c r="M47" s="50">
        <v>2</v>
      </c>
      <c r="N47" s="50">
        <v>0</v>
      </c>
      <c r="O47" s="15">
        <f t="shared" si="0"/>
        <v>3</v>
      </c>
      <c r="P47" s="15">
        <f t="shared" si="1"/>
        <v>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1</v>
      </c>
      <c r="H48" s="50">
        <v>0</v>
      </c>
      <c r="I48" s="50">
        <v>0</v>
      </c>
      <c r="J48" s="50">
        <v>1</v>
      </c>
      <c r="K48" s="50">
        <v>2</v>
      </c>
      <c r="L48" s="50">
        <v>1</v>
      </c>
      <c r="M48" s="50">
        <v>2</v>
      </c>
      <c r="N48" s="50">
        <v>2</v>
      </c>
      <c r="O48" s="15">
        <f t="shared" si="0"/>
        <v>8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2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1</v>
      </c>
      <c r="N49" s="50">
        <v>2</v>
      </c>
      <c r="O49" s="15">
        <f t="shared" si="0"/>
        <v>6</v>
      </c>
      <c r="P49" s="15">
        <f t="shared" si="1"/>
        <v>7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1</v>
      </c>
      <c r="H50" s="50">
        <v>0</v>
      </c>
      <c r="I50" s="50">
        <v>0</v>
      </c>
      <c r="J50" s="50">
        <v>0</v>
      </c>
      <c r="K50" s="50">
        <v>0</v>
      </c>
      <c r="L50" s="50">
        <v>1</v>
      </c>
      <c r="M50" s="50">
        <v>1</v>
      </c>
      <c r="N50" s="50">
        <v>0</v>
      </c>
      <c r="O50" s="15">
        <f t="shared" si="0"/>
        <v>3</v>
      </c>
      <c r="P50" s="15">
        <f t="shared" si="1"/>
        <v>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3</v>
      </c>
      <c r="M51" s="50">
        <v>0</v>
      </c>
      <c r="N51" s="50">
        <v>0</v>
      </c>
      <c r="O51" s="15">
        <f t="shared" si="0"/>
        <v>3</v>
      </c>
      <c r="P51" s="15">
        <f t="shared" si="1"/>
        <v>3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2</v>
      </c>
      <c r="F52" s="50">
        <v>0</v>
      </c>
      <c r="G52" s="50">
        <v>3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0</v>
      </c>
      <c r="N52" s="50">
        <v>0</v>
      </c>
      <c r="O52" s="15">
        <f t="shared" si="0"/>
        <v>6</v>
      </c>
      <c r="P52" s="15">
        <f t="shared" si="1"/>
        <v>6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1</v>
      </c>
      <c r="M53" s="50">
        <v>4</v>
      </c>
      <c r="N53" s="50">
        <v>0</v>
      </c>
      <c r="O53" s="15">
        <f t="shared" si="0"/>
        <v>6</v>
      </c>
      <c r="P53" s="15">
        <f t="shared" si="1"/>
        <v>10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2</v>
      </c>
      <c r="M54" s="50">
        <v>1</v>
      </c>
      <c r="N54" s="50">
        <v>0</v>
      </c>
      <c r="O54" s="15">
        <f t="shared" si="0"/>
        <v>4</v>
      </c>
      <c r="P54" s="15">
        <f t="shared" si="1"/>
        <v>5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1</v>
      </c>
      <c r="M55" s="50">
        <v>5</v>
      </c>
      <c r="N55" s="50">
        <v>0</v>
      </c>
      <c r="O55" s="15">
        <f t="shared" si="0"/>
        <v>3</v>
      </c>
      <c r="P55" s="15">
        <f t="shared" si="1"/>
        <v>8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1</v>
      </c>
      <c r="P56" s="15">
        <f t="shared" si="1"/>
        <v>3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2</v>
      </c>
      <c r="F57" s="50">
        <v>0</v>
      </c>
      <c r="G57" s="50">
        <v>1</v>
      </c>
      <c r="H57" s="50">
        <v>0</v>
      </c>
      <c r="I57" s="50">
        <v>0</v>
      </c>
      <c r="J57" s="50">
        <v>0</v>
      </c>
      <c r="K57" s="50">
        <v>0</v>
      </c>
      <c r="L57" s="50">
        <v>1</v>
      </c>
      <c r="M57" s="50">
        <v>6</v>
      </c>
      <c r="N57" s="50">
        <v>0</v>
      </c>
      <c r="O57" s="15">
        <f t="shared" si="0"/>
        <v>5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1">SUM(D10:D57)</f>
        <v>2</v>
      </c>
      <c r="E58" s="16">
        <v>0</v>
      </c>
      <c r="F58" s="16">
        <f t="shared" si="21"/>
        <v>2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1"/>
        <v>37</v>
      </c>
      <c r="M58" s="16">
        <v>0</v>
      </c>
      <c r="N58" s="16">
        <v>0</v>
      </c>
      <c r="O58" s="16">
        <f t="shared" si="21"/>
        <v>234</v>
      </c>
      <c r="P58" s="16">
        <f t="shared" si="21"/>
        <v>369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L59" si="22">D58/$P$58</f>
        <v>5.4200542005420054E-3</v>
      </c>
      <c r="E59" s="43">
        <v>0</v>
      </c>
      <c r="F59" s="43">
        <f t="shared" si="22"/>
        <v>5.4200542005420054E-3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2"/>
        <v>0.1002710027100271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3">D58/$O$58</f>
        <v>8.5470085470085479E-3</v>
      </c>
      <c r="E60" s="44">
        <v>0</v>
      </c>
      <c r="F60" s="44">
        <f t="shared" si="23"/>
        <v>8.5470085470085479E-3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3"/>
        <v>0.15811965811965811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>
        <v>0</v>
      </c>
      <c r="F61" s="3"/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6" t="str">
        <f>'29.07 Pakwach-Karuma'!G5:H5</f>
        <v>xxx</v>
      </c>
      <c r="H5" s="67"/>
      <c r="I5" s="14"/>
      <c r="J5" s="2" t="s">
        <v>5</v>
      </c>
      <c r="K5" s="66" t="str">
        <f>'29.07 Pakwach-Karuma'!K5:L5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167</v>
      </c>
      <c r="E6" s="67"/>
      <c r="F6" s="2" t="s">
        <v>2</v>
      </c>
      <c r="G6" s="66" t="s">
        <v>166</v>
      </c>
      <c r="H6" s="67"/>
      <c r="J6" s="2" t="s">
        <v>21</v>
      </c>
      <c r="K6" s="66" t="str">
        <f>'29.07 Pakwach-Karuma'!K6:L6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1</v>
      </c>
      <c r="E10" s="50">
        <v>4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2</v>
      </c>
      <c r="M10" s="50">
        <v>6</v>
      </c>
      <c r="N10" s="50">
        <v>1</v>
      </c>
      <c r="O10" s="15">
        <f t="shared" ref="O10:O57" si="0">SUM(C10:L10,N10)</f>
        <v>13</v>
      </c>
      <c r="P10" s="15">
        <f t="shared" ref="P10:P57" si="1">SUM(C10:N10)</f>
        <v>19</v>
      </c>
      <c r="R10" s="1" t="s">
        <v>6</v>
      </c>
      <c r="S10" s="17">
        <f t="shared" ref="S10:AF10" si="2">SUM(C10:C13)</f>
        <v>4</v>
      </c>
      <c r="T10" s="17">
        <f t="shared" si="2"/>
        <v>3</v>
      </c>
      <c r="U10" s="17">
        <f t="shared" si="2"/>
        <v>12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6</v>
      </c>
      <c r="AA10" s="17">
        <f t="shared" si="2"/>
        <v>2</v>
      </c>
      <c r="AB10" s="17">
        <f t="shared" si="2"/>
        <v>8</v>
      </c>
      <c r="AC10" s="17">
        <f t="shared" si="2"/>
        <v>19</v>
      </c>
      <c r="AD10" s="17">
        <f t="shared" si="2"/>
        <v>3</v>
      </c>
      <c r="AE10" s="31">
        <f t="shared" si="2"/>
        <v>43</v>
      </c>
      <c r="AF10" s="31">
        <f t="shared" si="2"/>
        <v>62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2</v>
      </c>
      <c r="L11" s="50">
        <v>3</v>
      </c>
      <c r="M11" s="50">
        <v>7</v>
      </c>
      <c r="N11" s="50">
        <v>0</v>
      </c>
      <c r="O11" s="15">
        <f t="shared" si="0"/>
        <v>7</v>
      </c>
      <c r="P11" s="15">
        <f t="shared" si="1"/>
        <v>14</v>
      </c>
      <c r="R11" s="1" t="s">
        <v>7</v>
      </c>
      <c r="S11" s="17">
        <f t="shared" ref="S11:AF11" si="3">SUM(C14:C17)</f>
        <v>1</v>
      </c>
      <c r="T11" s="17">
        <f t="shared" si="3"/>
        <v>2</v>
      </c>
      <c r="U11" s="17">
        <f t="shared" si="3"/>
        <v>8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6</v>
      </c>
      <c r="AA11" s="17">
        <f t="shared" si="3"/>
        <v>1</v>
      </c>
      <c r="AB11" s="17">
        <f t="shared" si="3"/>
        <v>3</v>
      </c>
      <c r="AC11" s="17">
        <f t="shared" si="3"/>
        <v>9</v>
      </c>
      <c r="AD11" s="17">
        <f t="shared" si="3"/>
        <v>3</v>
      </c>
      <c r="AE11" s="31">
        <f t="shared" si="3"/>
        <v>31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2</v>
      </c>
      <c r="F12" s="50">
        <v>3</v>
      </c>
      <c r="G12" s="50">
        <v>0</v>
      </c>
      <c r="H12" s="50">
        <v>0</v>
      </c>
      <c r="I12" s="50">
        <v>0</v>
      </c>
      <c r="J12" s="50">
        <v>3</v>
      </c>
      <c r="K12" s="50">
        <v>0</v>
      </c>
      <c r="L12" s="50">
        <v>3</v>
      </c>
      <c r="M12" s="50">
        <v>3</v>
      </c>
      <c r="N12" s="50">
        <v>2</v>
      </c>
      <c r="O12" s="15">
        <f t="shared" si="0"/>
        <v>13</v>
      </c>
      <c r="P12" s="15">
        <f t="shared" si="1"/>
        <v>16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3</v>
      </c>
      <c r="V12" s="17">
        <f t="shared" si="4"/>
        <v>4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2</v>
      </c>
      <c r="AA12" s="17">
        <f t="shared" si="4"/>
        <v>0</v>
      </c>
      <c r="AB12" s="17">
        <f t="shared" si="4"/>
        <v>1</v>
      </c>
      <c r="AC12" s="17">
        <f t="shared" si="4"/>
        <v>18</v>
      </c>
      <c r="AD12" s="17">
        <f t="shared" si="4"/>
        <v>0</v>
      </c>
      <c r="AE12" s="31">
        <f t="shared" si="4"/>
        <v>12</v>
      </c>
      <c r="AF12" s="31">
        <f t="shared" si="4"/>
        <v>30</v>
      </c>
    </row>
    <row r="13" spans="2:32" ht="23.1" customHeight="1" x14ac:dyDescent="0.25">
      <c r="B13" s="23" t="s">
        <v>40</v>
      </c>
      <c r="C13" s="50">
        <v>0</v>
      </c>
      <c r="D13" s="50">
        <v>2</v>
      </c>
      <c r="E13" s="50">
        <v>6</v>
      </c>
      <c r="F13" s="50">
        <v>0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10</v>
      </c>
      <c r="P13" s="15">
        <f t="shared" si="1"/>
        <v>13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6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4</v>
      </c>
      <c r="AA13" s="17">
        <f t="shared" si="5"/>
        <v>1</v>
      </c>
      <c r="AB13" s="17">
        <f t="shared" si="5"/>
        <v>4</v>
      </c>
      <c r="AC13" s="17">
        <f t="shared" si="5"/>
        <v>20</v>
      </c>
      <c r="AD13" s="17">
        <f t="shared" si="5"/>
        <v>0</v>
      </c>
      <c r="AE13" s="31">
        <f t="shared" si="5"/>
        <v>24</v>
      </c>
      <c r="AF13" s="31">
        <f t="shared" si="5"/>
        <v>44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3</v>
      </c>
      <c r="K14" s="50">
        <v>1</v>
      </c>
      <c r="L14" s="50">
        <v>1</v>
      </c>
      <c r="M14" s="50">
        <v>0</v>
      </c>
      <c r="N14" s="50">
        <v>1</v>
      </c>
      <c r="O14" s="15">
        <f t="shared" si="0"/>
        <v>7</v>
      </c>
      <c r="P14" s="15">
        <f t="shared" si="1"/>
        <v>7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7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2</v>
      </c>
      <c r="AC14" s="17">
        <f t="shared" si="6"/>
        <v>24</v>
      </c>
      <c r="AD14" s="17">
        <f t="shared" si="6"/>
        <v>1</v>
      </c>
      <c r="AE14" s="31">
        <f t="shared" si="6"/>
        <v>22</v>
      </c>
      <c r="AF14" s="31">
        <f t="shared" si="6"/>
        <v>46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3</v>
      </c>
      <c r="F15" s="50">
        <v>2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10</v>
      </c>
      <c r="P15" s="15">
        <f t="shared" si="1"/>
        <v>13</v>
      </c>
      <c r="R15" s="1" t="s">
        <v>11</v>
      </c>
      <c r="S15" s="17">
        <f t="shared" ref="S15:AF15" si="7">SUM(C30:C33)</f>
        <v>1</v>
      </c>
      <c r="T15" s="17">
        <f t="shared" si="7"/>
        <v>1</v>
      </c>
      <c r="U15" s="17">
        <f t="shared" si="7"/>
        <v>11</v>
      </c>
      <c r="V15" s="17">
        <f t="shared" si="7"/>
        <v>6</v>
      </c>
      <c r="W15" s="17">
        <f t="shared" si="7"/>
        <v>0</v>
      </c>
      <c r="X15" s="17">
        <f t="shared" si="7"/>
        <v>2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1</v>
      </c>
      <c r="AC15" s="17">
        <f t="shared" si="7"/>
        <v>20</v>
      </c>
      <c r="AD15" s="17">
        <f t="shared" si="7"/>
        <v>0</v>
      </c>
      <c r="AE15" s="31">
        <f t="shared" si="7"/>
        <v>23</v>
      </c>
      <c r="AF15" s="31">
        <f t="shared" si="7"/>
        <v>43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3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2</v>
      </c>
      <c r="M16" s="50">
        <v>2</v>
      </c>
      <c r="N16" s="50">
        <v>1</v>
      </c>
      <c r="O16" s="15">
        <f t="shared" si="0"/>
        <v>10</v>
      </c>
      <c r="P16" s="15">
        <f t="shared" si="1"/>
        <v>12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4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1</v>
      </c>
      <c r="AB16" s="17">
        <f t="shared" si="8"/>
        <v>2</v>
      </c>
      <c r="AC16" s="17">
        <f t="shared" si="8"/>
        <v>17</v>
      </c>
      <c r="AD16" s="17">
        <f t="shared" si="8"/>
        <v>0</v>
      </c>
      <c r="AE16" s="31">
        <f t="shared" si="8"/>
        <v>20</v>
      </c>
      <c r="AF16" s="31">
        <f t="shared" si="8"/>
        <v>37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4</v>
      </c>
      <c r="N17" s="50">
        <v>1</v>
      </c>
      <c r="O17" s="15">
        <f t="shared" si="0"/>
        <v>4</v>
      </c>
      <c r="P17" s="15">
        <f t="shared" si="1"/>
        <v>8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7</v>
      </c>
      <c r="V17" s="17">
        <f t="shared" si="9"/>
        <v>5</v>
      </c>
      <c r="W17" s="17">
        <f t="shared" si="9"/>
        <v>1</v>
      </c>
      <c r="X17" s="17">
        <f t="shared" si="9"/>
        <v>4</v>
      </c>
      <c r="Y17" s="17">
        <f t="shared" si="9"/>
        <v>0</v>
      </c>
      <c r="Z17" s="17">
        <f t="shared" si="9"/>
        <v>2</v>
      </c>
      <c r="AA17" s="17">
        <f t="shared" si="9"/>
        <v>2</v>
      </c>
      <c r="AB17" s="17">
        <f t="shared" si="9"/>
        <v>2</v>
      </c>
      <c r="AC17" s="17">
        <f t="shared" si="9"/>
        <v>15</v>
      </c>
      <c r="AD17" s="17">
        <f t="shared" si="9"/>
        <v>0</v>
      </c>
      <c r="AE17" s="31">
        <f t="shared" si="9"/>
        <v>27</v>
      </c>
      <c r="AF17" s="31">
        <f t="shared" si="9"/>
        <v>42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2</v>
      </c>
      <c r="P18" s="15">
        <f t="shared" si="1"/>
        <v>3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6</v>
      </c>
      <c r="V18" s="17">
        <f t="shared" si="10"/>
        <v>2</v>
      </c>
      <c r="W18" s="17">
        <f t="shared" si="10"/>
        <v>0</v>
      </c>
      <c r="X18" s="17">
        <f t="shared" si="10"/>
        <v>1</v>
      </c>
      <c r="Y18" s="17">
        <f t="shared" si="10"/>
        <v>1</v>
      </c>
      <c r="Z18" s="17">
        <f t="shared" si="10"/>
        <v>0</v>
      </c>
      <c r="AA18" s="17">
        <f t="shared" si="10"/>
        <v>1</v>
      </c>
      <c r="AB18" s="17">
        <f t="shared" si="10"/>
        <v>1</v>
      </c>
      <c r="AC18" s="17">
        <f t="shared" si="10"/>
        <v>15</v>
      </c>
      <c r="AD18" s="17">
        <f t="shared" si="10"/>
        <v>0</v>
      </c>
      <c r="AE18" s="31">
        <f t="shared" si="10"/>
        <v>16</v>
      </c>
      <c r="AF18" s="31">
        <f t="shared" si="10"/>
        <v>31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2</v>
      </c>
      <c r="F19" s="50">
        <v>0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3</v>
      </c>
      <c r="P19" s="15">
        <f t="shared" si="1"/>
        <v>12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7</v>
      </c>
      <c r="V19" s="17">
        <f t="shared" si="11"/>
        <v>10</v>
      </c>
      <c r="W19" s="17">
        <f t="shared" si="11"/>
        <v>0</v>
      </c>
      <c r="X19" s="17">
        <f t="shared" si="11"/>
        <v>2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3</v>
      </c>
      <c r="AC19" s="17">
        <f t="shared" si="11"/>
        <v>22</v>
      </c>
      <c r="AD19" s="17">
        <f t="shared" si="11"/>
        <v>1</v>
      </c>
      <c r="AE19" s="31">
        <f t="shared" si="11"/>
        <v>28</v>
      </c>
      <c r="AF19" s="31">
        <f t="shared" si="11"/>
        <v>50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1</v>
      </c>
      <c r="M20" s="50">
        <v>2</v>
      </c>
      <c r="N20" s="50">
        <v>0</v>
      </c>
      <c r="O20" s="15">
        <f t="shared" si="0"/>
        <v>4</v>
      </c>
      <c r="P20" s="15">
        <f t="shared" si="1"/>
        <v>6</v>
      </c>
      <c r="R20" s="1" t="s">
        <v>16</v>
      </c>
      <c r="S20" s="17">
        <f t="shared" ref="S20:AF20" si="12">SUM(C50:C53)</f>
        <v>6</v>
      </c>
      <c r="T20" s="17">
        <f t="shared" si="12"/>
        <v>2</v>
      </c>
      <c r="U20" s="17">
        <f t="shared" si="12"/>
        <v>9</v>
      </c>
      <c r="V20" s="17">
        <f t="shared" si="12"/>
        <v>5</v>
      </c>
      <c r="W20" s="17">
        <f t="shared" si="12"/>
        <v>0</v>
      </c>
      <c r="X20" s="17">
        <f t="shared" si="12"/>
        <v>3</v>
      </c>
      <c r="Y20" s="17">
        <f t="shared" si="12"/>
        <v>2</v>
      </c>
      <c r="Z20" s="17">
        <f t="shared" si="12"/>
        <v>3</v>
      </c>
      <c r="AA20" s="17">
        <f t="shared" si="12"/>
        <v>1</v>
      </c>
      <c r="AB20" s="17">
        <f t="shared" si="12"/>
        <v>2</v>
      </c>
      <c r="AC20" s="17">
        <f t="shared" si="12"/>
        <v>8</v>
      </c>
      <c r="AD20" s="17">
        <f t="shared" si="12"/>
        <v>0</v>
      </c>
      <c r="AE20" s="31">
        <f t="shared" si="12"/>
        <v>33</v>
      </c>
      <c r="AF20" s="31">
        <f t="shared" si="12"/>
        <v>41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3</v>
      </c>
      <c r="P21" s="15">
        <f t="shared" si="1"/>
        <v>9</v>
      </c>
      <c r="R21" s="36" t="s">
        <v>20</v>
      </c>
      <c r="S21" s="34">
        <f t="shared" ref="S21:AF21" si="13">SUM(C54:C57)</f>
        <v>1</v>
      </c>
      <c r="T21" s="17">
        <f t="shared" si="13"/>
        <v>3</v>
      </c>
      <c r="U21" s="17">
        <f t="shared" si="13"/>
        <v>13</v>
      </c>
      <c r="V21" s="17">
        <f t="shared" si="13"/>
        <v>3</v>
      </c>
      <c r="W21" s="17">
        <f t="shared" si="13"/>
        <v>0</v>
      </c>
      <c r="X21" s="17">
        <f t="shared" si="13"/>
        <v>2</v>
      </c>
      <c r="Y21" s="17">
        <f t="shared" si="13"/>
        <v>2</v>
      </c>
      <c r="Z21" s="17">
        <f t="shared" si="13"/>
        <v>1</v>
      </c>
      <c r="AA21" s="17">
        <f t="shared" si="13"/>
        <v>2</v>
      </c>
      <c r="AB21" s="17">
        <f t="shared" si="13"/>
        <v>2</v>
      </c>
      <c r="AC21" s="17">
        <f t="shared" si="13"/>
        <v>14</v>
      </c>
      <c r="AD21" s="17">
        <f t="shared" si="13"/>
        <v>1</v>
      </c>
      <c r="AE21" s="31">
        <f t="shared" si="13"/>
        <v>30</v>
      </c>
      <c r="AF21" s="31">
        <f t="shared" si="13"/>
        <v>44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2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2</v>
      </c>
      <c r="M22" s="50">
        <v>6</v>
      </c>
      <c r="N22" s="50">
        <v>0</v>
      </c>
      <c r="O22" s="15">
        <f t="shared" si="0"/>
        <v>7</v>
      </c>
      <c r="P22" s="15">
        <f t="shared" si="1"/>
        <v>13</v>
      </c>
      <c r="R22" s="38" t="s">
        <v>90</v>
      </c>
      <c r="S22" s="39">
        <f>MAX(S10:S12)</f>
        <v>4</v>
      </c>
      <c r="T22" s="39">
        <f t="shared" ref="T22:AF22" si="14">MAX(T10:T12)</f>
        <v>3</v>
      </c>
      <c r="U22" s="39">
        <f t="shared" si="14"/>
        <v>12</v>
      </c>
      <c r="V22" s="39">
        <f t="shared" si="14"/>
        <v>4</v>
      </c>
      <c r="W22" s="39">
        <f t="shared" si="14"/>
        <v>0</v>
      </c>
      <c r="X22" s="39">
        <f t="shared" si="14"/>
        <v>1</v>
      </c>
      <c r="Y22" s="39">
        <f t="shared" si="14"/>
        <v>3</v>
      </c>
      <c r="Z22" s="39">
        <f t="shared" si="14"/>
        <v>6</v>
      </c>
      <c r="AA22" s="39">
        <f t="shared" si="14"/>
        <v>2</v>
      </c>
      <c r="AB22" s="39">
        <f t="shared" si="14"/>
        <v>8</v>
      </c>
      <c r="AC22" s="39">
        <f t="shared" si="14"/>
        <v>19</v>
      </c>
      <c r="AD22" s="39">
        <f t="shared" si="14"/>
        <v>3</v>
      </c>
      <c r="AE22" s="40">
        <f t="shared" si="14"/>
        <v>43</v>
      </c>
      <c r="AF22" s="40">
        <f t="shared" si="14"/>
        <v>62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2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2</v>
      </c>
      <c r="M23" s="50">
        <v>2</v>
      </c>
      <c r="N23" s="50">
        <v>0</v>
      </c>
      <c r="O23" s="15">
        <f t="shared" si="0"/>
        <v>6</v>
      </c>
      <c r="P23" s="15">
        <f t="shared" si="1"/>
        <v>8</v>
      </c>
      <c r="R23" s="38" t="s">
        <v>91</v>
      </c>
      <c r="S23" s="39">
        <f>MAX(S13:S18)</f>
        <v>5</v>
      </c>
      <c r="T23" s="39">
        <f t="shared" ref="T23:AF23" si="15">MAX(T13:T18)</f>
        <v>1</v>
      </c>
      <c r="U23" s="39">
        <f t="shared" si="15"/>
        <v>11</v>
      </c>
      <c r="V23" s="39">
        <f t="shared" si="15"/>
        <v>7</v>
      </c>
      <c r="W23" s="39">
        <f t="shared" si="15"/>
        <v>1</v>
      </c>
      <c r="X23" s="39">
        <f t="shared" si="15"/>
        <v>4</v>
      </c>
      <c r="Y23" s="39">
        <f t="shared" si="15"/>
        <v>3</v>
      </c>
      <c r="Z23" s="39">
        <f t="shared" si="15"/>
        <v>4</v>
      </c>
      <c r="AA23" s="39">
        <f t="shared" si="15"/>
        <v>2</v>
      </c>
      <c r="AB23" s="39">
        <f t="shared" si="15"/>
        <v>4</v>
      </c>
      <c r="AC23" s="39">
        <f t="shared" si="15"/>
        <v>24</v>
      </c>
      <c r="AD23" s="39">
        <f t="shared" si="15"/>
        <v>1</v>
      </c>
      <c r="AE23" s="40">
        <f t="shared" si="15"/>
        <v>27</v>
      </c>
      <c r="AF23" s="40">
        <f t="shared" si="15"/>
        <v>46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2</v>
      </c>
      <c r="F24" s="50">
        <v>2</v>
      </c>
      <c r="G24" s="50">
        <v>0</v>
      </c>
      <c r="H24" s="50">
        <v>0</v>
      </c>
      <c r="I24" s="50">
        <v>0</v>
      </c>
      <c r="J24" s="50">
        <v>4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9</v>
      </c>
      <c r="P24" s="15">
        <f t="shared" si="1"/>
        <v>18</v>
      </c>
      <c r="R24" s="38" t="s">
        <v>92</v>
      </c>
      <c r="S24" s="39">
        <f>MAX(S19:S21)</f>
        <v>6</v>
      </c>
      <c r="T24" s="39">
        <f t="shared" ref="T24:AF24" si="16">MAX(T19:T21)</f>
        <v>3</v>
      </c>
      <c r="U24" s="39">
        <f t="shared" si="16"/>
        <v>13</v>
      </c>
      <c r="V24" s="39">
        <f t="shared" si="16"/>
        <v>10</v>
      </c>
      <c r="W24" s="39">
        <f t="shared" si="16"/>
        <v>0</v>
      </c>
      <c r="X24" s="39">
        <f t="shared" si="16"/>
        <v>3</v>
      </c>
      <c r="Y24" s="39">
        <f t="shared" si="16"/>
        <v>3</v>
      </c>
      <c r="Z24" s="39">
        <f t="shared" si="16"/>
        <v>3</v>
      </c>
      <c r="AA24" s="39">
        <f t="shared" si="16"/>
        <v>2</v>
      </c>
      <c r="AB24" s="39">
        <f t="shared" si="16"/>
        <v>3</v>
      </c>
      <c r="AC24" s="39">
        <f t="shared" si="16"/>
        <v>22</v>
      </c>
      <c r="AD24" s="39">
        <f t="shared" si="16"/>
        <v>1</v>
      </c>
      <c r="AE24" s="40">
        <f t="shared" si="16"/>
        <v>33</v>
      </c>
      <c r="AF24" s="40">
        <f t="shared" si="16"/>
        <v>50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2</v>
      </c>
      <c r="P25" s="15">
        <f t="shared" si="1"/>
        <v>5</v>
      </c>
      <c r="R25" s="37" t="s">
        <v>85</v>
      </c>
      <c r="S25" s="35">
        <f t="shared" ref="S25:AF25" si="17">SUM(S10:S12)</f>
        <v>6</v>
      </c>
      <c r="T25" s="16">
        <f t="shared" si="17"/>
        <v>5</v>
      </c>
      <c r="U25" s="16">
        <f t="shared" si="17"/>
        <v>23</v>
      </c>
      <c r="V25" s="16">
        <f t="shared" si="17"/>
        <v>11</v>
      </c>
      <c r="W25" s="16">
        <f t="shared" si="17"/>
        <v>0</v>
      </c>
      <c r="X25" s="16">
        <f t="shared" si="17"/>
        <v>1</v>
      </c>
      <c r="Y25" s="16">
        <f t="shared" si="17"/>
        <v>5</v>
      </c>
      <c r="Z25" s="16">
        <f t="shared" si="17"/>
        <v>14</v>
      </c>
      <c r="AA25" s="16">
        <f t="shared" si="17"/>
        <v>3</v>
      </c>
      <c r="AB25" s="16">
        <f t="shared" si="17"/>
        <v>12</v>
      </c>
      <c r="AC25" s="16">
        <f t="shared" si="17"/>
        <v>46</v>
      </c>
      <c r="AD25" s="16">
        <f t="shared" si="17"/>
        <v>6</v>
      </c>
      <c r="AE25" s="32">
        <f t="shared" si="17"/>
        <v>86</v>
      </c>
      <c r="AF25" s="32">
        <f t="shared" si="17"/>
        <v>132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3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1</v>
      </c>
      <c r="M26" s="50">
        <v>6</v>
      </c>
      <c r="N26" s="50">
        <v>0</v>
      </c>
      <c r="O26" s="15">
        <f t="shared" si="0"/>
        <v>5</v>
      </c>
      <c r="P26" s="15">
        <f t="shared" si="1"/>
        <v>11</v>
      </c>
      <c r="R26" s="28" t="s">
        <v>86</v>
      </c>
      <c r="S26" s="16">
        <f t="shared" ref="S26:AF26" si="18">SUM(S13:S18)</f>
        <v>15</v>
      </c>
      <c r="T26" s="16">
        <f t="shared" si="18"/>
        <v>3</v>
      </c>
      <c r="U26" s="16">
        <f t="shared" si="18"/>
        <v>41</v>
      </c>
      <c r="V26" s="16">
        <f t="shared" si="18"/>
        <v>33</v>
      </c>
      <c r="W26" s="16">
        <f t="shared" si="18"/>
        <v>1</v>
      </c>
      <c r="X26" s="16">
        <f t="shared" si="18"/>
        <v>7</v>
      </c>
      <c r="Y26" s="16">
        <f t="shared" si="18"/>
        <v>6</v>
      </c>
      <c r="Z26" s="16">
        <f t="shared" si="18"/>
        <v>8</v>
      </c>
      <c r="AA26" s="16">
        <f t="shared" si="18"/>
        <v>5</v>
      </c>
      <c r="AB26" s="16">
        <f t="shared" si="18"/>
        <v>12</v>
      </c>
      <c r="AC26" s="16">
        <f t="shared" si="18"/>
        <v>111</v>
      </c>
      <c r="AD26" s="16">
        <f t="shared" si="18"/>
        <v>1</v>
      </c>
      <c r="AE26" s="32">
        <f t="shared" si="18"/>
        <v>132</v>
      </c>
      <c r="AF26" s="32">
        <f t="shared" si="18"/>
        <v>243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1</v>
      </c>
      <c r="M27" s="50">
        <v>6</v>
      </c>
      <c r="N27" s="50">
        <v>1</v>
      </c>
      <c r="O27" s="15">
        <f t="shared" si="0"/>
        <v>5</v>
      </c>
      <c r="P27" s="15">
        <f t="shared" si="1"/>
        <v>11</v>
      </c>
      <c r="R27" s="29" t="s">
        <v>87</v>
      </c>
      <c r="S27" s="16">
        <f t="shared" ref="S27:AF27" si="19">SUM(S19:S21)</f>
        <v>7</v>
      </c>
      <c r="T27" s="16">
        <f t="shared" si="19"/>
        <v>6</v>
      </c>
      <c r="U27" s="16">
        <f t="shared" si="19"/>
        <v>29</v>
      </c>
      <c r="V27" s="16">
        <f t="shared" si="19"/>
        <v>18</v>
      </c>
      <c r="W27" s="16">
        <f t="shared" si="19"/>
        <v>0</v>
      </c>
      <c r="X27" s="16">
        <f t="shared" si="19"/>
        <v>7</v>
      </c>
      <c r="Y27" s="16">
        <f t="shared" si="19"/>
        <v>7</v>
      </c>
      <c r="Z27" s="16">
        <f t="shared" si="19"/>
        <v>5</v>
      </c>
      <c r="AA27" s="16">
        <f t="shared" si="19"/>
        <v>3</v>
      </c>
      <c r="AB27" s="16">
        <f t="shared" si="19"/>
        <v>7</v>
      </c>
      <c r="AC27" s="16">
        <f t="shared" si="19"/>
        <v>44</v>
      </c>
      <c r="AD27" s="16">
        <f t="shared" si="19"/>
        <v>2</v>
      </c>
      <c r="AE27" s="32">
        <f t="shared" si="19"/>
        <v>91</v>
      </c>
      <c r="AF27" s="32">
        <f t="shared" si="19"/>
        <v>135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2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3</v>
      </c>
      <c r="P28" s="15">
        <f t="shared" si="1"/>
        <v>7</v>
      </c>
      <c r="R28" s="5" t="s">
        <v>17</v>
      </c>
      <c r="S28" s="16">
        <f t="shared" ref="S28:AF28" si="20">SUM(S10:S21)</f>
        <v>28</v>
      </c>
      <c r="T28" s="16">
        <f t="shared" si="20"/>
        <v>14</v>
      </c>
      <c r="U28" s="16">
        <f t="shared" si="20"/>
        <v>93</v>
      </c>
      <c r="V28" s="16">
        <f t="shared" si="20"/>
        <v>62</v>
      </c>
      <c r="W28" s="16">
        <f t="shared" si="20"/>
        <v>1</v>
      </c>
      <c r="X28" s="16">
        <f t="shared" si="20"/>
        <v>15</v>
      </c>
      <c r="Y28" s="16">
        <f t="shared" si="20"/>
        <v>18</v>
      </c>
      <c r="Z28" s="16">
        <f t="shared" si="20"/>
        <v>27</v>
      </c>
      <c r="AA28" s="16">
        <f t="shared" si="20"/>
        <v>11</v>
      </c>
      <c r="AB28" s="16">
        <f t="shared" si="20"/>
        <v>31</v>
      </c>
      <c r="AC28" s="16">
        <f t="shared" si="20"/>
        <v>201</v>
      </c>
      <c r="AD28" s="16">
        <f t="shared" si="20"/>
        <v>9</v>
      </c>
      <c r="AE28" s="32">
        <f t="shared" si="20"/>
        <v>309</v>
      </c>
      <c r="AF28" s="32">
        <f t="shared" si="20"/>
        <v>510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4</v>
      </c>
      <c r="F29" s="50">
        <v>1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9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2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4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4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5</v>
      </c>
      <c r="F32" s="50">
        <v>2</v>
      </c>
      <c r="G32" s="50">
        <v>0</v>
      </c>
      <c r="H32" s="50">
        <v>1</v>
      </c>
      <c r="I32" s="50">
        <v>0</v>
      </c>
      <c r="J32" s="50">
        <v>0</v>
      </c>
      <c r="K32" s="50">
        <v>0</v>
      </c>
      <c r="L32" s="50">
        <v>1</v>
      </c>
      <c r="M32" s="50">
        <v>6</v>
      </c>
      <c r="N32" s="50">
        <v>0</v>
      </c>
      <c r="O32" s="15">
        <f t="shared" si="0"/>
        <v>10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2</v>
      </c>
      <c r="F33" s="50">
        <v>2</v>
      </c>
      <c r="G33" s="50">
        <v>0</v>
      </c>
      <c r="H33" s="50">
        <v>1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5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2</v>
      </c>
      <c r="F34" s="50">
        <v>1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2</v>
      </c>
      <c r="M34" s="50">
        <v>5</v>
      </c>
      <c r="N34" s="50">
        <v>0</v>
      </c>
      <c r="O34" s="15">
        <f t="shared" si="0"/>
        <v>10</v>
      </c>
      <c r="P34" s="15">
        <f t="shared" si="1"/>
        <v>15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2</v>
      </c>
      <c r="P35" s="15">
        <f t="shared" si="1"/>
        <v>7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4</v>
      </c>
      <c r="P36" s="15">
        <f t="shared" si="1"/>
        <v>8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3</v>
      </c>
      <c r="N37" s="50">
        <v>0</v>
      </c>
      <c r="O37" s="15">
        <f t="shared" si="0"/>
        <v>4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2</v>
      </c>
      <c r="N38" s="50">
        <v>0</v>
      </c>
      <c r="O38" s="15">
        <f t="shared" si="0"/>
        <v>2</v>
      </c>
      <c r="P38" s="15">
        <f t="shared" si="1"/>
        <v>4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3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</v>
      </c>
      <c r="N39" s="50">
        <v>0</v>
      </c>
      <c r="O39" s="15">
        <f t="shared" si="0"/>
        <v>6</v>
      </c>
      <c r="P39" s="15">
        <f t="shared" si="1"/>
        <v>7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2</v>
      </c>
      <c r="F40" s="50">
        <v>1</v>
      </c>
      <c r="G40" s="50">
        <v>1</v>
      </c>
      <c r="H40" s="50">
        <v>4</v>
      </c>
      <c r="I40" s="50">
        <v>0</v>
      </c>
      <c r="J40" s="50">
        <v>1</v>
      </c>
      <c r="K40" s="50">
        <v>0</v>
      </c>
      <c r="L40" s="50">
        <v>1</v>
      </c>
      <c r="M40" s="50">
        <v>8</v>
      </c>
      <c r="N40" s="50">
        <v>0</v>
      </c>
      <c r="O40" s="15">
        <f t="shared" si="0"/>
        <v>12</v>
      </c>
      <c r="P40" s="15">
        <f t="shared" si="1"/>
        <v>20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0</v>
      </c>
      <c r="J41" s="50">
        <v>1</v>
      </c>
      <c r="K41" s="50">
        <v>1</v>
      </c>
      <c r="L41" s="50">
        <v>1</v>
      </c>
      <c r="M41" s="50">
        <v>4</v>
      </c>
      <c r="N41" s="50">
        <v>0</v>
      </c>
      <c r="O41" s="15">
        <f t="shared" si="0"/>
        <v>7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2</v>
      </c>
      <c r="F42" s="50">
        <v>1</v>
      </c>
      <c r="G42" s="50">
        <v>0</v>
      </c>
      <c r="H42" s="50">
        <v>1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4</v>
      </c>
      <c r="P42" s="15">
        <f t="shared" si="1"/>
        <v>6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5</v>
      </c>
      <c r="P43" s="15">
        <f t="shared" si="1"/>
        <v>10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1</v>
      </c>
      <c r="L44" s="50">
        <v>0</v>
      </c>
      <c r="M44" s="50">
        <v>4</v>
      </c>
      <c r="N44" s="50">
        <v>0</v>
      </c>
      <c r="O44" s="15">
        <f t="shared" si="0"/>
        <v>4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1</v>
      </c>
      <c r="M45" s="50">
        <v>4</v>
      </c>
      <c r="N45" s="50">
        <v>0</v>
      </c>
      <c r="O45" s="15">
        <f t="shared" si="0"/>
        <v>3</v>
      </c>
      <c r="P45" s="15">
        <f t="shared" si="1"/>
        <v>7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1</v>
      </c>
      <c r="M46" s="50">
        <v>6</v>
      </c>
      <c r="N46" s="50">
        <v>1</v>
      </c>
      <c r="O46" s="15">
        <f t="shared" si="0"/>
        <v>5</v>
      </c>
      <c r="P46" s="15">
        <f t="shared" si="1"/>
        <v>11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2</v>
      </c>
      <c r="F47" s="50">
        <v>0</v>
      </c>
      <c r="G47" s="50">
        <v>0</v>
      </c>
      <c r="H47" s="50">
        <v>1</v>
      </c>
      <c r="I47" s="50">
        <v>1</v>
      </c>
      <c r="J47" s="50">
        <v>1</v>
      </c>
      <c r="K47" s="50">
        <v>0</v>
      </c>
      <c r="L47" s="50">
        <v>2</v>
      </c>
      <c r="M47" s="50">
        <v>3</v>
      </c>
      <c r="N47" s="50">
        <v>0</v>
      </c>
      <c r="O47" s="15">
        <f t="shared" si="0"/>
        <v>7</v>
      </c>
      <c r="P47" s="15">
        <f t="shared" si="1"/>
        <v>10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3</v>
      </c>
      <c r="F48" s="50">
        <v>2</v>
      </c>
      <c r="G48" s="50">
        <v>0</v>
      </c>
      <c r="H48" s="50">
        <v>1</v>
      </c>
      <c r="I48" s="50">
        <v>0</v>
      </c>
      <c r="J48" s="50">
        <v>0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7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2</v>
      </c>
      <c r="F49" s="50">
        <v>6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9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0</v>
      </c>
      <c r="M50" s="50">
        <v>5</v>
      </c>
      <c r="N50" s="50">
        <v>0</v>
      </c>
      <c r="O50" s="15">
        <f t="shared" si="0"/>
        <v>6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3</v>
      </c>
      <c r="F51" s="50">
        <v>2</v>
      </c>
      <c r="G51" s="50">
        <v>0</v>
      </c>
      <c r="H51" s="50">
        <v>0</v>
      </c>
      <c r="I51" s="50">
        <v>1</v>
      </c>
      <c r="J51" s="50">
        <v>2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10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2</v>
      </c>
      <c r="F52" s="50">
        <v>1</v>
      </c>
      <c r="G52" s="50">
        <v>0</v>
      </c>
      <c r="H52" s="50">
        <v>3</v>
      </c>
      <c r="I52" s="50">
        <v>0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5">
        <f t="shared" si="0"/>
        <v>7</v>
      </c>
      <c r="P52" s="15">
        <f t="shared" si="1"/>
        <v>10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1</v>
      </c>
      <c r="E53" s="50">
        <v>4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2</v>
      </c>
      <c r="M53" s="50">
        <v>0</v>
      </c>
      <c r="N53" s="50">
        <v>0</v>
      </c>
      <c r="O53" s="15">
        <f t="shared" si="0"/>
        <v>10</v>
      </c>
      <c r="P53" s="15">
        <f t="shared" si="1"/>
        <v>10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2</v>
      </c>
      <c r="F54" s="50">
        <v>2</v>
      </c>
      <c r="G54" s="50">
        <v>0</v>
      </c>
      <c r="H54" s="50">
        <v>2</v>
      </c>
      <c r="I54" s="50">
        <v>0</v>
      </c>
      <c r="J54" s="50">
        <v>0</v>
      </c>
      <c r="K54" s="50">
        <v>0</v>
      </c>
      <c r="L54" s="50">
        <v>0</v>
      </c>
      <c r="M54" s="50">
        <v>6</v>
      </c>
      <c r="N54" s="50">
        <v>0</v>
      </c>
      <c r="O54" s="15">
        <f t="shared" si="0"/>
        <v>7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</v>
      </c>
      <c r="N55" s="50">
        <v>1</v>
      </c>
      <c r="O55" s="15">
        <f t="shared" si="0"/>
        <v>2</v>
      </c>
      <c r="P55" s="15">
        <f t="shared" si="1"/>
        <v>5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4</v>
      </c>
      <c r="F56" s="50">
        <v>0</v>
      </c>
      <c r="G56" s="50">
        <v>0</v>
      </c>
      <c r="H56" s="50">
        <v>0</v>
      </c>
      <c r="I56" s="50">
        <v>1</v>
      </c>
      <c r="J56" s="50">
        <v>1</v>
      </c>
      <c r="K56" s="50">
        <v>1</v>
      </c>
      <c r="L56" s="50">
        <v>2</v>
      </c>
      <c r="M56" s="50">
        <v>3</v>
      </c>
      <c r="N56" s="50">
        <v>0</v>
      </c>
      <c r="O56" s="15">
        <f t="shared" si="0"/>
        <v>10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2</v>
      </c>
      <c r="E57" s="50">
        <v>6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1</v>
      </c>
      <c r="L57" s="50">
        <v>0</v>
      </c>
      <c r="M57" s="50">
        <v>2</v>
      </c>
      <c r="N57" s="50">
        <v>0</v>
      </c>
      <c r="O57" s="15">
        <f t="shared" si="0"/>
        <v>11</v>
      </c>
      <c r="P57" s="15">
        <f t="shared" si="1"/>
        <v>13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1">SUM(D10:D57)</f>
        <v>14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1"/>
        <v>31</v>
      </c>
      <c r="M58" s="16">
        <v>0</v>
      </c>
      <c r="N58" s="16">
        <v>0</v>
      </c>
      <c r="O58" s="16">
        <f t="shared" si="21"/>
        <v>309</v>
      </c>
      <c r="P58" s="16">
        <f t="shared" si="21"/>
        <v>510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L59" si="22">D58/$P$58</f>
        <v>2.7450980392156862E-2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2"/>
        <v>6.0784313725490195E-2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3">D58/$O$58</f>
        <v>4.5307443365695796E-2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3"/>
        <v>0.10032362459546926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>
        <v>0</v>
      </c>
      <c r="D62" s="3"/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  <c r="M62" s="3">
        <v>0</v>
      </c>
      <c r="N62" s="3">
        <v>0</v>
      </c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karuma-pakwach'!C3:G3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6" t="str">
        <f>'29.07 Pakwach-Karuma'!G5:H5</f>
        <v>xxx</v>
      </c>
      <c r="H5" s="67"/>
      <c r="I5" s="14"/>
      <c r="J5" s="2" t="s">
        <v>5</v>
      </c>
      <c r="K5" s="66" t="str">
        <f>'29.07 Pakwach-Karuma'!K5:L5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166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'29.07 Pakwach-Karuma'!K6:L6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3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1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5</v>
      </c>
      <c r="AC10" s="17">
        <f t="shared" si="2"/>
        <v>8</v>
      </c>
      <c r="AD10" s="17">
        <f t="shared" si="2"/>
        <v>1</v>
      </c>
      <c r="AE10" s="31">
        <f t="shared" si="2"/>
        <v>14</v>
      </c>
      <c r="AF10" s="31">
        <f t="shared" si="2"/>
        <v>22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1</v>
      </c>
      <c r="I11" s="50">
        <v>2</v>
      </c>
      <c r="J11" s="50">
        <v>0</v>
      </c>
      <c r="K11" s="50">
        <v>0</v>
      </c>
      <c r="L11" s="50">
        <v>1</v>
      </c>
      <c r="M11" s="50">
        <v>1</v>
      </c>
      <c r="N11" s="50">
        <v>0</v>
      </c>
      <c r="O11" s="15">
        <f t="shared" si="0"/>
        <v>4</v>
      </c>
      <c r="P11" s="15">
        <f t="shared" si="1"/>
        <v>5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3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7</v>
      </c>
      <c r="AC11" s="17">
        <f t="shared" si="3"/>
        <v>9</v>
      </c>
      <c r="AD11" s="17">
        <f t="shared" si="3"/>
        <v>1</v>
      </c>
      <c r="AE11" s="31">
        <f t="shared" si="3"/>
        <v>13</v>
      </c>
      <c r="AF11" s="31">
        <f t="shared" si="3"/>
        <v>22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3</v>
      </c>
      <c r="M12" s="50">
        <v>1</v>
      </c>
      <c r="N12" s="50">
        <v>1</v>
      </c>
      <c r="O12" s="15">
        <f t="shared" si="0"/>
        <v>4</v>
      </c>
      <c r="P12" s="15">
        <f t="shared" si="1"/>
        <v>5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2</v>
      </c>
      <c r="V12" s="17">
        <f t="shared" si="4"/>
        <v>3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14</v>
      </c>
      <c r="AD12" s="17">
        <f t="shared" si="4"/>
        <v>0</v>
      </c>
      <c r="AE12" s="31">
        <f t="shared" si="4"/>
        <v>7</v>
      </c>
      <c r="AF12" s="31">
        <f t="shared" si="4"/>
        <v>21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4</v>
      </c>
      <c r="V13" s="17">
        <f t="shared" si="5"/>
        <v>2</v>
      </c>
      <c r="W13" s="17">
        <f t="shared" si="5"/>
        <v>0</v>
      </c>
      <c r="X13" s="17">
        <f t="shared" si="5"/>
        <v>3</v>
      </c>
      <c r="Y13" s="17">
        <f t="shared" si="5"/>
        <v>5</v>
      </c>
      <c r="Z13" s="17">
        <f t="shared" si="5"/>
        <v>0</v>
      </c>
      <c r="AA13" s="17">
        <f t="shared" si="5"/>
        <v>0</v>
      </c>
      <c r="AB13" s="17">
        <f t="shared" si="5"/>
        <v>2</v>
      </c>
      <c r="AC13" s="17">
        <f t="shared" si="5"/>
        <v>8</v>
      </c>
      <c r="AD13" s="17">
        <f t="shared" si="5"/>
        <v>0</v>
      </c>
      <c r="AE13" s="31">
        <f t="shared" si="5"/>
        <v>18</v>
      </c>
      <c r="AF13" s="31">
        <f t="shared" si="5"/>
        <v>26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2</v>
      </c>
      <c r="M14" s="50">
        <v>2</v>
      </c>
      <c r="N14" s="50">
        <v>0</v>
      </c>
      <c r="O14" s="15">
        <f t="shared" si="0"/>
        <v>3</v>
      </c>
      <c r="P14" s="15">
        <f t="shared" si="1"/>
        <v>5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1</v>
      </c>
      <c r="X14" s="17">
        <f t="shared" si="6"/>
        <v>3</v>
      </c>
      <c r="Y14" s="17">
        <f t="shared" si="6"/>
        <v>1</v>
      </c>
      <c r="Z14" s="17">
        <f t="shared" si="6"/>
        <v>3</v>
      </c>
      <c r="AA14" s="17">
        <f t="shared" si="6"/>
        <v>0</v>
      </c>
      <c r="AB14" s="17">
        <f t="shared" si="6"/>
        <v>3</v>
      </c>
      <c r="AC14" s="17">
        <f t="shared" si="6"/>
        <v>14</v>
      </c>
      <c r="AD14" s="17">
        <f t="shared" si="6"/>
        <v>0</v>
      </c>
      <c r="AE14" s="31">
        <f t="shared" si="6"/>
        <v>17</v>
      </c>
      <c r="AF14" s="31">
        <f t="shared" si="6"/>
        <v>31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3</v>
      </c>
      <c r="M15" s="50">
        <v>2</v>
      </c>
      <c r="N15" s="50">
        <v>1</v>
      </c>
      <c r="O15" s="15">
        <f t="shared" si="0"/>
        <v>6</v>
      </c>
      <c r="P15" s="15">
        <f t="shared" si="1"/>
        <v>8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4</v>
      </c>
      <c r="V15" s="17">
        <f t="shared" si="7"/>
        <v>4</v>
      </c>
      <c r="W15" s="17">
        <f t="shared" si="7"/>
        <v>2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0</v>
      </c>
      <c r="AB15" s="17">
        <f t="shared" si="7"/>
        <v>4</v>
      </c>
      <c r="AC15" s="17">
        <f t="shared" si="7"/>
        <v>16</v>
      </c>
      <c r="AD15" s="17">
        <f t="shared" si="7"/>
        <v>2</v>
      </c>
      <c r="AE15" s="31">
        <f t="shared" si="7"/>
        <v>23</v>
      </c>
      <c r="AF15" s="31">
        <f t="shared" si="7"/>
        <v>39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1</v>
      </c>
      <c r="M16" s="50">
        <v>4</v>
      </c>
      <c r="N16" s="50">
        <v>0</v>
      </c>
      <c r="O16" s="15">
        <f t="shared" si="0"/>
        <v>3</v>
      </c>
      <c r="P16" s="15">
        <f t="shared" si="1"/>
        <v>7</v>
      </c>
      <c r="R16" s="1" t="s">
        <v>12</v>
      </c>
      <c r="S16" s="17">
        <f t="shared" ref="S16:AF16" si="8">SUM(C34:C37)</f>
        <v>4</v>
      </c>
      <c r="T16" s="17">
        <f t="shared" si="8"/>
        <v>1</v>
      </c>
      <c r="U16" s="17">
        <f t="shared" si="8"/>
        <v>5</v>
      </c>
      <c r="V16" s="17">
        <f t="shared" si="8"/>
        <v>2</v>
      </c>
      <c r="W16" s="17">
        <f t="shared" si="8"/>
        <v>0</v>
      </c>
      <c r="X16" s="17">
        <f t="shared" si="8"/>
        <v>2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5</v>
      </c>
      <c r="AC16" s="17">
        <f t="shared" si="8"/>
        <v>6</v>
      </c>
      <c r="AD16" s="17">
        <f t="shared" si="8"/>
        <v>1</v>
      </c>
      <c r="AE16" s="31">
        <f t="shared" si="8"/>
        <v>24</v>
      </c>
      <c r="AF16" s="31">
        <f t="shared" si="8"/>
        <v>30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1</v>
      </c>
      <c r="M17" s="50">
        <v>1</v>
      </c>
      <c r="N17" s="50">
        <v>0</v>
      </c>
      <c r="O17" s="15">
        <f t="shared" si="0"/>
        <v>1</v>
      </c>
      <c r="P17" s="15">
        <f t="shared" si="1"/>
        <v>2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1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4</v>
      </c>
      <c r="AD17" s="17">
        <f t="shared" si="9"/>
        <v>0</v>
      </c>
      <c r="AE17" s="31">
        <f t="shared" si="9"/>
        <v>11</v>
      </c>
      <c r="AF17" s="31">
        <f t="shared" si="9"/>
        <v>15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2</v>
      </c>
      <c r="P18" s="15">
        <f t="shared" si="1"/>
        <v>5</v>
      </c>
      <c r="R18" s="1" t="s">
        <v>14</v>
      </c>
      <c r="S18" s="17">
        <f t="shared" ref="S18:AF18" si="10">SUM(C42:C45)</f>
        <v>5</v>
      </c>
      <c r="T18" s="17">
        <f t="shared" si="10"/>
        <v>1</v>
      </c>
      <c r="U18" s="17">
        <f t="shared" si="10"/>
        <v>5</v>
      </c>
      <c r="V18" s="17">
        <f t="shared" si="10"/>
        <v>3</v>
      </c>
      <c r="W18" s="17">
        <f t="shared" si="10"/>
        <v>0</v>
      </c>
      <c r="X18" s="17">
        <f t="shared" si="10"/>
        <v>2</v>
      </c>
      <c r="Y18" s="17">
        <f t="shared" si="10"/>
        <v>7</v>
      </c>
      <c r="Z18" s="17">
        <f t="shared" si="10"/>
        <v>1</v>
      </c>
      <c r="AA18" s="17">
        <f t="shared" si="10"/>
        <v>1</v>
      </c>
      <c r="AB18" s="17">
        <f t="shared" si="10"/>
        <v>1</v>
      </c>
      <c r="AC18" s="17">
        <f t="shared" si="10"/>
        <v>17</v>
      </c>
      <c r="AD18" s="17">
        <f t="shared" si="10"/>
        <v>3</v>
      </c>
      <c r="AE18" s="31">
        <f t="shared" si="10"/>
        <v>29</v>
      </c>
      <c r="AF18" s="31">
        <f t="shared" si="10"/>
        <v>46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1</v>
      </c>
      <c r="G19" s="50">
        <v>0</v>
      </c>
      <c r="H19" s="50">
        <v>1</v>
      </c>
      <c r="I19" s="50">
        <v>1</v>
      </c>
      <c r="J19" s="50">
        <v>0</v>
      </c>
      <c r="K19" s="50">
        <v>0</v>
      </c>
      <c r="L19" s="50">
        <v>0</v>
      </c>
      <c r="M19" s="50">
        <v>2</v>
      </c>
      <c r="N19" s="50">
        <v>0</v>
      </c>
      <c r="O19" s="15">
        <f t="shared" si="0"/>
        <v>4</v>
      </c>
      <c r="P19" s="15">
        <f t="shared" si="1"/>
        <v>6</v>
      </c>
      <c r="R19" s="1" t="s">
        <v>15</v>
      </c>
      <c r="S19" s="17">
        <f t="shared" ref="S19:AF19" si="11">SUM(C46:C49)</f>
        <v>2</v>
      </c>
      <c r="T19" s="17">
        <f t="shared" si="11"/>
        <v>0</v>
      </c>
      <c r="U19" s="17">
        <f t="shared" si="11"/>
        <v>3</v>
      </c>
      <c r="V19" s="17">
        <f t="shared" si="11"/>
        <v>2</v>
      </c>
      <c r="W19" s="17">
        <f t="shared" si="11"/>
        <v>0</v>
      </c>
      <c r="X19" s="17">
        <f t="shared" si="11"/>
        <v>1</v>
      </c>
      <c r="Y19" s="17">
        <f t="shared" si="11"/>
        <v>4</v>
      </c>
      <c r="Z19" s="17">
        <f t="shared" si="11"/>
        <v>0</v>
      </c>
      <c r="AA19" s="17">
        <f t="shared" si="11"/>
        <v>1</v>
      </c>
      <c r="AB19" s="17">
        <f t="shared" si="11"/>
        <v>3</v>
      </c>
      <c r="AC19" s="17">
        <f t="shared" si="11"/>
        <v>8</v>
      </c>
      <c r="AD19" s="17">
        <f t="shared" si="11"/>
        <v>2</v>
      </c>
      <c r="AE19" s="31">
        <f t="shared" si="11"/>
        <v>18</v>
      </c>
      <c r="AF19" s="31">
        <f t="shared" si="11"/>
        <v>26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1</v>
      </c>
      <c r="P20" s="15">
        <f t="shared" si="1"/>
        <v>3</v>
      </c>
      <c r="R20" s="1" t="s">
        <v>16</v>
      </c>
      <c r="S20" s="17">
        <f t="shared" ref="S20:AF20" si="12">SUM(C50:C53)</f>
        <v>7</v>
      </c>
      <c r="T20" s="17">
        <f t="shared" si="12"/>
        <v>1</v>
      </c>
      <c r="U20" s="17">
        <f t="shared" si="12"/>
        <v>4</v>
      </c>
      <c r="V20" s="17">
        <f t="shared" si="12"/>
        <v>4</v>
      </c>
      <c r="W20" s="17">
        <f t="shared" si="12"/>
        <v>1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0</v>
      </c>
      <c r="AB20" s="17">
        <f t="shared" si="12"/>
        <v>4</v>
      </c>
      <c r="AC20" s="17">
        <f t="shared" si="12"/>
        <v>9</v>
      </c>
      <c r="AD20" s="17">
        <f t="shared" si="12"/>
        <v>0</v>
      </c>
      <c r="AE20" s="31">
        <f t="shared" si="12"/>
        <v>22</v>
      </c>
      <c r="AF20" s="31">
        <f t="shared" si="12"/>
        <v>31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0</v>
      </c>
      <c r="P21" s="15">
        <f t="shared" si="1"/>
        <v>7</v>
      </c>
      <c r="R21" s="36" t="s">
        <v>20</v>
      </c>
      <c r="S21" s="34">
        <f t="shared" ref="S21:AF21" si="13">SUM(C54:C57)</f>
        <v>1</v>
      </c>
      <c r="T21" s="17">
        <f t="shared" si="13"/>
        <v>1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3</v>
      </c>
      <c r="AB21" s="17">
        <f t="shared" si="13"/>
        <v>1</v>
      </c>
      <c r="AC21" s="17">
        <f t="shared" si="13"/>
        <v>8</v>
      </c>
      <c r="AD21" s="17">
        <f t="shared" si="13"/>
        <v>0</v>
      </c>
      <c r="AE21" s="31">
        <f t="shared" si="13"/>
        <v>11</v>
      </c>
      <c r="AF21" s="31">
        <f t="shared" si="13"/>
        <v>19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1</v>
      </c>
      <c r="I22" s="50">
        <v>1</v>
      </c>
      <c r="J22" s="50">
        <v>0</v>
      </c>
      <c r="K22" s="50">
        <v>0</v>
      </c>
      <c r="L22" s="50">
        <v>1</v>
      </c>
      <c r="M22" s="50">
        <v>4</v>
      </c>
      <c r="N22" s="50">
        <v>0</v>
      </c>
      <c r="O22" s="15">
        <f t="shared" si="0"/>
        <v>4</v>
      </c>
      <c r="P22" s="15">
        <f t="shared" si="1"/>
        <v>8</v>
      </c>
      <c r="R22" s="38" t="s">
        <v>90</v>
      </c>
      <c r="S22" s="39">
        <f>MAX(S10:S12)</f>
        <v>3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3</v>
      </c>
      <c r="W22" s="39">
        <f t="shared" si="14"/>
        <v>0</v>
      </c>
      <c r="X22" s="39">
        <f t="shared" si="14"/>
        <v>1</v>
      </c>
      <c r="Y22" s="39">
        <f t="shared" si="14"/>
        <v>3</v>
      </c>
      <c r="Z22" s="39">
        <f t="shared" si="14"/>
        <v>1</v>
      </c>
      <c r="AA22" s="39">
        <f t="shared" si="14"/>
        <v>0</v>
      </c>
      <c r="AB22" s="39">
        <f t="shared" si="14"/>
        <v>7</v>
      </c>
      <c r="AC22" s="39">
        <f t="shared" si="14"/>
        <v>14</v>
      </c>
      <c r="AD22" s="39">
        <f t="shared" si="14"/>
        <v>1</v>
      </c>
      <c r="AE22" s="40">
        <f t="shared" si="14"/>
        <v>14</v>
      </c>
      <c r="AF22" s="40">
        <f t="shared" si="14"/>
        <v>22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2</v>
      </c>
      <c r="F23" s="50">
        <v>1</v>
      </c>
      <c r="G23" s="50">
        <v>0</v>
      </c>
      <c r="H23" s="50">
        <v>1</v>
      </c>
      <c r="I23" s="50">
        <v>2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8</v>
      </c>
      <c r="P23" s="15">
        <f t="shared" si="1"/>
        <v>8</v>
      </c>
      <c r="R23" s="38" t="s">
        <v>91</v>
      </c>
      <c r="S23" s="39">
        <f>MAX(S13:S18)</f>
        <v>5</v>
      </c>
      <c r="T23" s="39">
        <f t="shared" ref="T23:AF23" si="15">MAX(T13:T18)</f>
        <v>1</v>
      </c>
      <c r="U23" s="39">
        <f t="shared" si="15"/>
        <v>5</v>
      </c>
      <c r="V23" s="39">
        <f t="shared" si="15"/>
        <v>4</v>
      </c>
      <c r="W23" s="39">
        <f t="shared" si="15"/>
        <v>2</v>
      </c>
      <c r="X23" s="39">
        <f t="shared" si="15"/>
        <v>3</v>
      </c>
      <c r="Y23" s="39">
        <f t="shared" si="15"/>
        <v>7</v>
      </c>
      <c r="Z23" s="39">
        <f t="shared" si="15"/>
        <v>3</v>
      </c>
      <c r="AA23" s="39">
        <f t="shared" si="15"/>
        <v>1</v>
      </c>
      <c r="AB23" s="39">
        <f t="shared" si="15"/>
        <v>5</v>
      </c>
      <c r="AC23" s="39">
        <f t="shared" si="15"/>
        <v>17</v>
      </c>
      <c r="AD23" s="39">
        <f t="shared" si="15"/>
        <v>3</v>
      </c>
      <c r="AE23" s="40">
        <f t="shared" si="15"/>
        <v>29</v>
      </c>
      <c r="AF23" s="40">
        <f t="shared" si="15"/>
        <v>46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0</v>
      </c>
      <c r="P24" s="15">
        <f t="shared" si="1"/>
        <v>1</v>
      </c>
      <c r="R24" s="38" t="s">
        <v>92</v>
      </c>
      <c r="S24" s="39">
        <f>MAX(S19:S21)</f>
        <v>7</v>
      </c>
      <c r="T24" s="39">
        <f t="shared" ref="T24:AF24" si="16">MAX(T19:T21)</f>
        <v>1</v>
      </c>
      <c r="U24" s="39">
        <f t="shared" si="16"/>
        <v>4</v>
      </c>
      <c r="V24" s="39">
        <f t="shared" si="16"/>
        <v>4</v>
      </c>
      <c r="W24" s="39">
        <f t="shared" si="16"/>
        <v>1</v>
      </c>
      <c r="X24" s="39">
        <f t="shared" si="16"/>
        <v>1</v>
      </c>
      <c r="Y24" s="39">
        <f t="shared" si="16"/>
        <v>4</v>
      </c>
      <c r="Z24" s="39">
        <f t="shared" si="16"/>
        <v>1</v>
      </c>
      <c r="AA24" s="39">
        <f t="shared" si="16"/>
        <v>3</v>
      </c>
      <c r="AB24" s="39">
        <f t="shared" si="16"/>
        <v>4</v>
      </c>
      <c r="AC24" s="39">
        <f t="shared" si="16"/>
        <v>9</v>
      </c>
      <c r="AD24" s="39">
        <f t="shared" si="16"/>
        <v>2</v>
      </c>
      <c r="AE24" s="40">
        <f t="shared" si="16"/>
        <v>22</v>
      </c>
      <c r="AF24" s="40">
        <f t="shared" si="16"/>
        <v>31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2</v>
      </c>
      <c r="F25" s="50">
        <v>0</v>
      </c>
      <c r="G25" s="50">
        <v>0</v>
      </c>
      <c r="H25" s="50">
        <v>1</v>
      </c>
      <c r="I25" s="50">
        <v>2</v>
      </c>
      <c r="J25" s="50">
        <v>0</v>
      </c>
      <c r="K25" s="50">
        <v>0</v>
      </c>
      <c r="L25" s="50">
        <v>1</v>
      </c>
      <c r="M25" s="50">
        <v>3</v>
      </c>
      <c r="N25" s="50">
        <v>0</v>
      </c>
      <c r="O25" s="15">
        <f t="shared" si="0"/>
        <v>6</v>
      </c>
      <c r="P25" s="15">
        <f t="shared" si="1"/>
        <v>9</v>
      </c>
      <c r="R25" s="37" t="s">
        <v>85</v>
      </c>
      <c r="S25" s="35">
        <f t="shared" ref="S25:AF25" si="17">SUM(S10:S12)</f>
        <v>3</v>
      </c>
      <c r="T25" s="16">
        <f t="shared" si="17"/>
        <v>0</v>
      </c>
      <c r="U25" s="16">
        <f t="shared" si="17"/>
        <v>5</v>
      </c>
      <c r="V25" s="16">
        <f t="shared" si="17"/>
        <v>5</v>
      </c>
      <c r="W25" s="16">
        <f t="shared" si="17"/>
        <v>0</v>
      </c>
      <c r="X25" s="16">
        <f t="shared" si="17"/>
        <v>2</v>
      </c>
      <c r="Y25" s="16">
        <f t="shared" si="17"/>
        <v>4</v>
      </c>
      <c r="Z25" s="16">
        <f t="shared" si="17"/>
        <v>1</v>
      </c>
      <c r="AA25" s="16">
        <f t="shared" si="17"/>
        <v>0</v>
      </c>
      <c r="AB25" s="16">
        <f t="shared" si="17"/>
        <v>12</v>
      </c>
      <c r="AC25" s="16">
        <f t="shared" si="17"/>
        <v>31</v>
      </c>
      <c r="AD25" s="16">
        <f t="shared" si="17"/>
        <v>2</v>
      </c>
      <c r="AE25" s="32">
        <f t="shared" si="17"/>
        <v>34</v>
      </c>
      <c r="AF25" s="32">
        <f t="shared" si="17"/>
        <v>65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1</v>
      </c>
      <c r="I26" s="50">
        <v>0</v>
      </c>
      <c r="J26" s="50">
        <v>1</v>
      </c>
      <c r="K26" s="50">
        <v>0</v>
      </c>
      <c r="L26" s="50">
        <v>2</v>
      </c>
      <c r="M26" s="50">
        <v>6</v>
      </c>
      <c r="N26" s="50">
        <v>0</v>
      </c>
      <c r="O26" s="15">
        <f t="shared" si="0"/>
        <v>4</v>
      </c>
      <c r="P26" s="15">
        <f t="shared" si="1"/>
        <v>10</v>
      </c>
      <c r="R26" s="28" t="s">
        <v>86</v>
      </c>
      <c r="S26" s="16">
        <f t="shared" ref="S26:AF26" si="18">SUM(S13:S18)</f>
        <v>20</v>
      </c>
      <c r="T26" s="16">
        <f t="shared" si="18"/>
        <v>2</v>
      </c>
      <c r="U26" s="16">
        <f t="shared" si="18"/>
        <v>22</v>
      </c>
      <c r="V26" s="16">
        <f t="shared" si="18"/>
        <v>14</v>
      </c>
      <c r="W26" s="16">
        <f t="shared" si="18"/>
        <v>3</v>
      </c>
      <c r="X26" s="16">
        <f t="shared" si="18"/>
        <v>11</v>
      </c>
      <c r="Y26" s="16">
        <f t="shared" si="18"/>
        <v>21</v>
      </c>
      <c r="Z26" s="16">
        <f t="shared" si="18"/>
        <v>6</v>
      </c>
      <c r="AA26" s="16">
        <f t="shared" si="18"/>
        <v>1</v>
      </c>
      <c r="AB26" s="16">
        <f t="shared" si="18"/>
        <v>16</v>
      </c>
      <c r="AC26" s="16">
        <f t="shared" si="18"/>
        <v>65</v>
      </c>
      <c r="AD26" s="16">
        <f t="shared" si="18"/>
        <v>6</v>
      </c>
      <c r="AE26" s="32">
        <f t="shared" si="18"/>
        <v>122</v>
      </c>
      <c r="AF26" s="32">
        <f t="shared" si="18"/>
        <v>187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2</v>
      </c>
      <c r="I27" s="50">
        <v>0</v>
      </c>
      <c r="J27" s="50">
        <v>0</v>
      </c>
      <c r="K27" s="50">
        <v>0</v>
      </c>
      <c r="L27" s="50">
        <v>1</v>
      </c>
      <c r="M27" s="50">
        <v>2</v>
      </c>
      <c r="N27" s="50">
        <v>0</v>
      </c>
      <c r="O27" s="15">
        <f t="shared" si="0"/>
        <v>4</v>
      </c>
      <c r="P27" s="15">
        <f t="shared" si="1"/>
        <v>6</v>
      </c>
      <c r="R27" s="29" t="s">
        <v>87</v>
      </c>
      <c r="S27" s="16">
        <f t="shared" ref="S27:AF27" si="19">SUM(S19:S21)</f>
        <v>10</v>
      </c>
      <c r="T27" s="16">
        <f t="shared" si="19"/>
        <v>2</v>
      </c>
      <c r="U27" s="16">
        <f t="shared" si="19"/>
        <v>9</v>
      </c>
      <c r="V27" s="16">
        <f t="shared" si="19"/>
        <v>6</v>
      </c>
      <c r="W27" s="16">
        <f t="shared" si="19"/>
        <v>1</v>
      </c>
      <c r="X27" s="16">
        <f t="shared" si="19"/>
        <v>1</v>
      </c>
      <c r="Y27" s="16">
        <f t="shared" si="19"/>
        <v>7</v>
      </c>
      <c r="Z27" s="16">
        <f t="shared" si="19"/>
        <v>1</v>
      </c>
      <c r="AA27" s="16">
        <f t="shared" si="19"/>
        <v>4</v>
      </c>
      <c r="AB27" s="16">
        <f t="shared" si="19"/>
        <v>8</v>
      </c>
      <c r="AC27" s="16">
        <f t="shared" si="19"/>
        <v>25</v>
      </c>
      <c r="AD27" s="16">
        <f t="shared" si="19"/>
        <v>2</v>
      </c>
      <c r="AE27" s="32">
        <f t="shared" si="19"/>
        <v>51</v>
      </c>
      <c r="AF27" s="32">
        <f t="shared" si="19"/>
        <v>76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2</v>
      </c>
      <c r="P28" s="15">
        <f t="shared" si="1"/>
        <v>5</v>
      </c>
      <c r="R28" s="5" t="s">
        <v>17</v>
      </c>
      <c r="S28" s="16">
        <f t="shared" ref="S28:AF28" si="20">SUM(S10:S21)</f>
        <v>33</v>
      </c>
      <c r="T28" s="16">
        <f t="shared" si="20"/>
        <v>4</v>
      </c>
      <c r="U28" s="16">
        <f t="shared" si="20"/>
        <v>36</v>
      </c>
      <c r="V28" s="16">
        <f t="shared" si="20"/>
        <v>25</v>
      </c>
      <c r="W28" s="16">
        <f t="shared" si="20"/>
        <v>4</v>
      </c>
      <c r="X28" s="16">
        <f t="shared" si="20"/>
        <v>14</v>
      </c>
      <c r="Y28" s="16">
        <f t="shared" si="20"/>
        <v>32</v>
      </c>
      <c r="Z28" s="16">
        <f t="shared" si="20"/>
        <v>8</v>
      </c>
      <c r="AA28" s="16">
        <f t="shared" si="20"/>
        <v>5</v>
      </c>
      <c r="AB28" s="16">
        <f t="shared" si="20"/>
        <v>36</v>
      </c>
      <c r="AC28" s="16">
        <f t="shared" si="20"/>
        <v>121</v>
      </c>
      <c r="AD28" s="16">
        <f t="shared" si="20"/>
        <v>10</v>
      </c>
      <c r="AE28" s="32">
        <f t="shared" si="20"/>
        <v>207</v>
      </c>
      <c r="AF28" s="32">
        <f t="shared" si="20"/>
        <v>328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2</v>
      </c>
      <c r="G29" s="50">
        <v>1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7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2</v>
      </c>
      <c r="M30" s="50">
        <v>3</v>
      </c>
      <c r="N30" s="50">
        <v>0</v>
      </c>
      <c r="O30" s="15">
        <f t="shared" si="0"/>
        <v>4</v>
      </c>
      <c r="P30" s="15">
        <f t="shared" si="1"/>
        <v>7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2</v>
      </c>
      <c r="P31" s="15">
        <f t="shared" si="1"/>
        <v>3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2</v>
      </c>
      <c r="F32" s="50">
        <v>2</v>
      </c>
      <c r="G32" s="50">
        <v>1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8</v>
      </c>
      <c r="N32" s="50">
        <v>1</v>
      </c>
      <c r="O32" s="15">
        <f t="shared" si="0"/>
        <v>9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1</v>
      </c>
      <c r="G33" s="50">
        <v>1</v>
      </c>
      <c r="H33" s="50">
        <v>0</v>
      </c>
      <c r="I33" s="50">
        <v>1</v>
      </c>
      <c r="J33" s="50">
        <v>0</v>
      </c>
      <c r="K33" s="50">
        <v>0</v>
      </c>
      <c r="L33" s="50">
        <v>2</v>
      </c>
      <c r="M33" s="50">
        <v>4</v>
      </c>
      <c r="N33" s="50">
        <v>1</v>
      </c>
      <c r="O33" s="15">
        <f t="shared" si="0"/>
        <v>8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1</v>
      </c>
      <c r="F35" s="50">
        <v>2</v>
      </c>
      <c r="G35" s="50">
        <v>0</v>
      </c>
      <c r="H35" s="50">
        <v>1</v>
      </c>
      <c r="I35" s="50">
        <v>2</v>
      </c>
      <c r="J35" s="50">
        <v>0</v>
      </c>
      <c r="K35" s="50">
        <v>0</v>
      </c>
      <c r="L35" s="50">
        <v>2</v>
      </c>
      <c r="M35" s="50">
        <v>1</v>
      </c>
      <c r="N35" s="50">
        <v>0</v>
      </c>
      <c r="O35" s="15">
        <f t="shared" si="0"/>
        <v>12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2</v>
      </c>
      <c r="F36" s="50">
        <v>0</v>
      </c>
      <c r="G36" s="50">
        <v>0</v>
      </c>
      <c r="H36" s="50">
        <v>1</v>
      </c>
      <c r="I36" s="50">
        <v>0</v>
      </c>
      <c r="J36" s="50">
        <v>0</v>
      </c>
      <c r="K36" s="50">
        <v>0</v>
      </c>
      <c r="L36" s="50">
        <v>2</v>
      </c>
      <c r="M36" s="50">
        <v>2</v>
      </c>
      <c r="N36" s="50">
        <v>0</v>
      </c>
      <c r="O36" s="15">
        <f t="shared" si="0"/>
        <v>5</v>
      </c>
      <c r="P36" s="15">
        <f t="shared" si="1"/>
        <v>7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2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1</v>
      </c>
      <c r="M37" s="50">
        <v>1</v>
      </c>
      <c r="N37" s="50">
        <v>1</v>
      </c>
      <c r="O37" s="15">
        <f t="shared" si="0"/>
        <v>6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4</v>
      </c>
      <c r="P38" s="15">
        <f t="shared" si="1"/>
        <v>5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50">
        <v>1</v>
      </c>
      <c r="N39" s="50">
        <v>0</v>
      </c>
      <c r="O39" s="15">
        <f t="shared" si="0"/>
        <v>2</v>
      </c>
      <c r="P39" s="15">
        <f t="shared" si="1"/>
        <v>3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1</v>
      </c>
      <c r="P40" s="15">
        <f t="shared" si="1"/>
        <v>1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1</v>
      </c>
      <c r="F41" s="50">
        <v>0</v>
      </c>
      <c r="G41" s="50">
        <v>0</v>
      </c>
      <c r="H41" s="50">
        <v>1</v>
      </c>
      <c r="I41" s="50">
        <v>0</v>
      </c>
      <c r="J41" s="50">
        <v>0</v>
      </c>
      <c r="K41" s="50">
        <v>0</v>
      </c>
      <c r="L41" s="50">
        <v>0</v>
      </c>
      <c r="M41" s="50">
        <v>2</v>
      </c>
      <c r="N41" s="50">
        <v>0</v>
      </c>
      <c r="O41" s="15">
        <f t="shared" si="0"/>
        <v>4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1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5</v>
      </c>
      <c r="D43" s="50">
        <v>1</v>
      </c>
      <c r="E43" s="50">
        <v>4</v>
      </c>
      <c r="F43" s="50">
        <v>2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10</v>
      </c>
      <c r="N43" s="50">
        <v>3</v>
      </c>
      <c r="O43" s="15">
        <f t="shared" si="0"/>
        <v>19</v>
      </c>
      <c r="P43" s="15">
        <f t="shared" si="1"/>
        <v>29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2</v>
      </c>
      <c r="I44" s="50">
        <v>2</v>
      </c>
      <c r="J44" s="50">
        <v>0</v>
      </c>
      <c r="K44" s="50">
        <v>0</v>
      </c>
      <c r="L44" s="50">
        <v>1</v>
      </c>
      <c r="M44" s="50">
        <v>2</v>
      </c>
      <c r="N44" s="50">
        <v>0</v>
      </c>
      <c r="O44" s="15">
        <f t="shared" si="0"/>
        <v>6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4</v>
      </c>
      <c r="N45" s="50">
        <v>0</v>
      </c>
      <c r="O45" s="15">
        <f t="shared" si="0"/>
        <v>3</v>
      </c>
      <c r="P45" s="15">
        <f t="shared" si="1"/>
        <v>7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2</v>
      </c>
      <c r="P46" s="15">
        <f t="shared" si="1"/>
        <v>4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2</v>
      </c>
      <c r="M47" s="50">
        <v>1</v>
      </c>
      <c r="N47" s="50">
        <v>0</v>
      </c>
      <c r="O47" s="15">
        <f t="shared" si="0"/>
        <v>6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1</v>
      </c>
      <c r="I48" s="50">
        <v>1</v>
      </c>
      <c r="J48" s="50">
        <v>0</v>
      </c>
      <c r="K48" s="50">
        <v>1</v>
      </c>
      <c r="L48" s="50">
        <v>1</v>
      </c>
      <c r="M48" s="50">
        <v>4</v>
      </c>
      <c r="N48" s="50">
        <v>2</v>
      </c>
      <c r="O48" s="15">
        <f t="shared" si="0"/>
        <v>6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</v>
      </c>
      <c r="N49" s="50">
        <v>0</v>
      </c>
      <c r="O49" s="15">
        <f t="shared" si="0"/>
        <v>4</v>
      </c>
      <c r="P49" s="15">
        <f t="shared" si="1"/>
        <v>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2</v>
      </c>
      <c r="F50" s="50">
        <v>2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2</v>
      </c>
      <c r="M50" s="50">
        <v>1</v>
      </c>
      <c r="N50" s="50">
        <v>0</v>
      </c>
      <c r="O50" s="15">
        <f t="shared" si="0"/>
        <v>8</v>
      </c>
      <c r="P50" s="15">
        <f t="shared" si="1"/>
        <v>9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1</v>
      </c>
      <c r="N51" s="50">
        <v>0</v>
      </c>
      <c r="O51" s="15">
        <f t="shared" si="0"/>
        <v>4</v>
      </c>
      <c r="P51" s="15">
        <f t="shared" si="1"/>
        <v>5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1</v>
      </c>
      <c r="F53" s="50">
        <v>1</v>
      </c>
      <c r="G53" s="50">
        <v>1</v>
      </c>
      <c r="H53" s="50">
        <v>0</v>
      </c>
      <c r="I53" s="50">
        <v>0</v>
      </c>
      <c r="J53" s="50">
        <v>0</v>
      </c>
      <c r="K53" s="50">
        <v>0</v>
      </c>
      <c r="L53" s="50">
        <v>1</v>
      </c>
      <c r="M53" s="50">
        <v>7</v>
      </c>
      <c r="N53" s="50">
        <v>0</v>
      </c>
      <c r="O53" s="15">
        <f t="shared" si="0"/>
        <v>10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3</v>
      </c>
      <c r="P54" s="15">
        <f t="shared" si="1"/>
        <v>3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2</v>
      </c>
      <c r="P55" s="15">
        <f t="shared" si="1"/>
        <v>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3</v>
      </c>
      <c r="L56" s="50">
        <v>1</v>
      </c>
      <c r="M56" s="50">
        <v>6</v>
      </c>
      <c r="N56" s="50">
        <v>0</v>
      </c>
      <c r="O56" s="15">
        <f t="shared" si="0"/>
        <v>6</v>
      </c>
      <c r="P56" s="15">
        <f t="shared" si="1"/>
        <v>12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1">SUM(D10:D57)</f>
        <v>4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1"/>
        <v>36</v>
      </c>
      <c r="M58" s="16">
        <v>0</v>
      </c>
      <c r="N58" s="16">
        <v>0</v>
      </c>
      <c r="O58" s="16">
        <f t="shared" si="21"/>
        <v>207</v>
      </c>
      <c r="P58" s="16">
        <f t="shared" si="21"/>
        <v>328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L59" si="22">D58/$P$58</f>
        <v>1.2195121951219513E-2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2"/>
        <v>0.10975609756097561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3">D58/$O$58</f>
        <v>1.932367149758454E-2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3"/>
        <v>0.17391304347826086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6" t="str">
        <f>'29.07 Pakwach-Karuma'!G5:H5</f>
        <v>xxx</v>
      </c>
      <c r="H5" s="67"/>
      <c r="I5" s="14"/>
      <c r="J5" s="2" t="s">
        <v>5</v>
      </c>
      <c r="K5" s="66" t="str">
        <f>'29.07 Pakwach-Karuma'!K5:L5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167</v>
      </c>
      <c r="E6" s="67"/>
      <c r="F6" s="2" t="s">
        <v>2</v>
      </c>
      <c r="G6" s="66" t="s">
        <v>166</v>
      </c>
      <c r="H6" s="67"/>
      <c r="J6" s="2" t="s">
        <v>21</v>
      </c>
      <c r="K6" s="66" t="str">
        <f>'29.07 Pakwach-Karuma'!K6:L6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7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1</v>
      </c>
      <c r="AB10" s="17">
        <f t="shared" si="2"/>
        <v>3</v>
      </c>
      <c r="AC10" s="17">
        <f t="shared" si="2"/>
        <v>9</v>
      </c>
      <c r="AD10" s="17">
        <f t="shared" si="2"/>
        <v>0</v>
      </c>
      <c r="AE10" s="31">
        <f t="shared" si="2"/>
        <v>17</v>
      </c>
      <c r="AF10" s="31">
        <f t="shared" si="2"/>
        <v>26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2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5</v>
      </c>
      <c r="P11" s="15">
        <f t="shared" si="1"/>
        <v>6</v>
      </c>
      <c r="R11" s="1" t="s">
        <v>7</v>
      </c>
      <c r="S11" s="17">
        <f t="shared" ref="S11:AF11" si="3">SUM(C14:C17)</f>
        <v>11</v>
      </c>
      <c r="T11" s="17">
        <f t="shared" si="3"/>
        <v>1</v>
      </c>
      <c r="U11" s="17">
        <f t="shared" si="3"/>
        <v>5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3</v>
      </c>
      <c r="AA11" s="17">
        <f t="shared" si="3"/>
        <v>4</v>
      </c>
      <c r="AB11" s="17">
        <f t="shared" si="3"/>
        <v>3</v>
      </c>
      <c r="AC11" s="17">
        <f t="shared" si="3"/>
        <v>13</v>
      </c>
      <c r="AD11" s="17">
        <f t="shared" si="3"/>
        <v>0</v>
      </c>
      <c r="AE11" s="31">
        <f t="shared" si="3"/>
        <v>30</v>
      </c>
      <c r="AF11" s="31">
        <f t="shared" si="3"/>
        <v>43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2</v>
      </c>
      <c r="F12" s="50">
        <v>0</v>
      </c>
      <c r="G12" s="50">
        <v>1</v>
      </c>
      <c r="H12" s="50">
        <v>0</v>
      </c>
      <c r="I12" s="50">
        <v>0</v>
      </c>
      <c r="J12" s="50">
        <v>1</v>
      </c>
      <c r="K12" s="50">
        <v>1</v>
      </c>
      <c r="L12" s="50">
        <v>1</v>
      </c>
      <c r="M12" s="50">
        <v>3</v>
      </c>
      <c r="N12" s="50">
        <v>0</v>
      </c>
      <c r="O12" s="15">
        <f t="shared" si="0"/>
        <v>6</v>
      </c>
      <c r="P12" s="15">
        <f t="shared" si="1"/>
        <v>9</v>
      </c>
      <c r="R12" s="1" t="s">
        <v>8</v>
      </c>
      <c r="S12" s="17">
        <f t="shared" ref="S12:AF12" si="4">SUM(C18:C21)</f>
        <v>3</v>
      </c>
      <c r="T12" s="17">
        <f t="shared" si="4"/>
        <v>2</v>
      </c>
      <c r="U12" s="17">
        <f t="shared" si="4"/>
        <v>5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2</v>
      </c>
      <c r="AA12" s="17">
        <f t="shared" si="4"/>
        <v>1</v>
      </c>
      <c r="AB12" s="17">
        <f t="shared" si="4"/>
        <v>2</v>
      </c>
      <c r="AC12" s="17">
        <f t="shared" si="4"/>
        <v>15</v>
      </c>
      <c r="AD12" s="17">
        <f t="shared" si="4"/>
        <v>1</v>
      </c>
      <c r="AE12" s="31">
        <f t="shared" si="4"/>
        <v>20</v>
      </c>
      <c r="AF12" s="31">
        <f t="shared" si="4"/>
        <v>35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2</v>
      </c>
      <c r="M13" s="50">
        <v>2</v>
      </c>
      <c r="N13" s="50">
        <v>0</v>
      </c>
      <c r="O13" s="15">
        <f t="shared" si="0"/>
        <v>3</v>
      </c>
      <c r="P13" s="15">
        <f t="shared" si="1"/>
        <v>5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6</v>
      </c>
      <c r="V13" s="17">
        <f t="shared" si="5"/>
        <v>4</v>
      </c>
      <c r="W13" s="17">
        <f t="shared" si="5"/>
        <v>1</v>
      </c>
      <c r="X13" s="17">
        <f t="shared" si="5"/>
        <v>0</v>
      </c>
      <c r="Y13" s="17">
        <f t="shared" si="5"/>
        <v>2</v>
      </c>
      <c r="Z13" s="17">
        <f t="shared" si="5"/>
        <v>4</v>
      </c>
      <c r="AA13" s="17">
        <f t="shared" si="5"/>
        <v>1</v>
      </c>
      <c r="AB13" s="17">
        <f t="shared" si="5"/>
        <v>5</v>
      </c>
      <c r="AC13" s="17">
        <f t="shared" si="5"/>
        <v>15</v>
      </c>
      <c r="AD13" s="17">
        <f t="shared" si="5"/>
        <v>1</v>
      </c>
      <c r="AE13" s="31">
        <f t="shared" si="5"/>
        <v>26</v>
      </c>
      <c r="AF13" s="31">
        <f t="shared" si="5"/>
        <v>41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1</v>
      </c>
      <c r="M14" s="50">
        <v>2</v>
      </c>
      <c r="N14" s="50">
        <v>0</v>
      </c>
      <c r="O14" s="15">
        <f t="shared" si="0"/>
        <v>6</v>
      </c>
      <c r="P14" s="15">
        <f t="shared" si="1"/>
        <v>8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6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1</v>
      </c>
      <c r="AB14" s="17">
        <f t="shared" si="6"/>
        <v>1</v>
      </c>
      <c r="AC14" s="17">
        <f t="shared" si="6"/>
        <v>13</v>
      </c>
      <c r="AD14" s="17">
        <f t="shared" si="6"/>
        <v>0</v>
      </c>
      <c r="AE14" s="31">
        <f t="shared" si="6"/>
        <v>20</v>
      </c>
      <c r="AF14" s="31">
        <f t="shared" si="6"/>
        <v>33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2</v>
      </c>
      <c r="L15" s="50">
        <v>0</v>
      </c>
      <c r="M15" s="50">
        <v>3</v>
      </c>
      <c r="N15" s="50">
        <v>0</v>
      </c>
      <c r="O15" s="15">
        <f t="shared" si="0"/>
        <v>7</v>
      </c>
      <c r="P15" s="15">
        <f t="shared" si="1"/>
        <v>10</v>
      </c>
      <c r="R15" s="1" t="s">
        <v>11</v>
      </c>
      <c r="S15" s="17">
        <f t="shared" ref="S15:AF15" si="7">SUM(C30:C33)</f>
        <v>1</v>
      </c>
      <c r="T15" s="17">
        <f t="shared" si="7"/>
        <v>1</v>
      </c>
      <c r="U15" s="17">
        <f t="shared" si="7"/>
        <v>4</v>
      </c>
      <c r="V15" s="17">
        <f t="shared" si="7"/>
        <v>6</v>
      </c>
      <c r="W15" s="17">
        <f t="shared" si="7"/>
        <v>0</v>
      </c>
      <c r="X15" s="17">
        <f t="shared" si="7"/>
        <v>1</v>
      </c>
      <c r="Y15" s="17">
        <f t="shared" si="7"/>
        <v>0</v>
      </c>
      <c r="Z15" s="17">
        <f t="shared" si="7"/>
        <v>0</v>
      </c>
      <c r="AA15" s="17">
        <f t="shared" si="7"/>
        <v>2</v>
      </c>
      <c r="AB15" s="17">
        <f t="shared" si="7"/>
        <v>1</v>
      </c>
      <c r="AC15" s="17">
        <f t="shared" si="7"/>
        <v>24</v>
      </c>
      <c r="AD15" s="17">
        <f t="shared" si="7"/>
        <v>0</v>
      </c>
      <c r="AE15" s="31">
        <f t="shared" si="7"/>
        <v>16</v>
      </c>
      <c r="AF15" s="31">
        <f t="shared" si="7"/>
        <v>40</v>
      </c>
    </row>
    <row r="16" spans="2:32" ht="23.1" customHeight="1" x14ac:dyDescent="0.25">
      <c r="B16" s="23" t="s">
        <v>43</v>
      </c>
      <c r="C16" s="50">
        <v>4</v>
      </c>
      <c r="D16" s="50">
        <v>1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2</v>
      </c>
      <c r="L16" s="50">
        <v>0</v>
      </c>
      <c r="M16" s="50">
        <v>4</v>
      </c>
      <c r="N16" s="50">
        <v>0</v>
      </c>
      <c r="O16" s="15">
        <f t="shared" si="0"/>
        <v>9</v>
      </c>
      <c r="P16" s="15">
        <f t="shared" si="1"/>
        <v>13</v>
      </c>
      <c r="R16" s="1" t="s">
        <v>12</v>
      </c>
      <c r="S16" s="17">
        <f t="shared" ref="S16:AF16" si="8">SUM(C34:C37)</f>
        <v>1</v>
      </c>
      <c r="T16" s="17">
        <f t="shared" si="8"/>
        <v>2</v>
      </c>
      <c r="U16" s="17">
        <f t="shared" si="8"/>
        <v>9</v>
      </c>
      <c r="V16" s="17">
        <f t="shared" si="8"/>
        <v>3</v>
      </c>
      <c r="W16" s="17">
        <f t="shared" si="8"/>
        <v>1</v>
      </c>
      <c r="X16" s="17">
        <f t="shared" si="8"/>
        <v>1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5</v>
      </c>
      <c r="AC16" s="17">
        <f t="shared" si="8"/>
        <v>14</v>
      </c>
      <c r="AD16" s="17">
        <f t="shared" si="8"/>
        <v>0</v>
      </c>
      <c r="AE16" s="31">
        <f t="shared" si="8"/>
        <v>26</v>
      </c>
      <c r="AF16" s="31">
        <f t="shared" si="8"/>
        <v>40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1</v>
      </c>
      <c r="J17" s="50">
        <v>2</v>
      </c>
      <c r="K17" s="50">
        <v>0</v>
      </c>
      <c r="L17" s="50">
        <v>2</v>
      </c>
      <c r="M17" s="50">
        <v>4</v>
      </c>
      <c r="N17" s="50">
        <v>0</v>
      </c>
      <c r="O17" s="15">
        <f t="shared" si="0"/>
        <v>8</v>
      </c>
      <c r="P17" s="15">
        <f t="shared" si="1"/>
        <v>12</v>
      </c>
      <c r="R17" s="1" t="s">
        <v>13</v>
      </c>
      <c r="S17" s="17">
        <f t="shared" ref="S17:AF17" si="9">SUM(C38:C41)</f>
        <v>0</v>
      </c>
      <c r="T17" s="17">
        <f t="shared" si="9"/>
        <v>2</v>
      </c>
      <c r="U17" s="17">
        <f t="shared" si="9"/>
        <v>4</v>
      </c>
      <c r="V17" s="17">
        <f t="shared" si="9"/>
        <v>4</v>
      </c>
      <c r="W17" s="17">
        <f t="shared" si="9"/>
        <v>1</v>
      </c>
      <c r="X17" s="17">
        <f t="shared" si="9"/>
        <v>2</v>
      </c>
      <c r="Y17" s="17">
        <f t="shared" si="9"/>
        <v>0</v>
      </c>
      <c r="Z17" s="17">
        <f t="shared" si="9"/>
        <v>1</v>
      </c>
      <c r="AA17" s="17">
        <f t="shared" si="9"/>
        <v>1</v>
      </c>
      <c r="AB17" s="17">
        <f t="shared" si="9"/>
        <v>2</v>
      </c>
      <c r="AC17" s="17">
        <f t="shared" si="9"/>
        <v>15</v>
      </c>
      <c r="AD17" s="17">
        <f t="shared" si="9"/>
        <v>1</v>
      </c>
      <c r="AE17" s="31">
        <f t="shared" si="9"/>
        <v>18</v>
      </c>
      <c r="AF17" s="31">
        <f t="shared" si="9"/>
        <v>33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1</v>
      </c>
      <c r="O18" s="15">
        <f t="shared" si="0"/>
        <v>2</v>
      </c>
      <c r="P18" s="15">
        <f t="shared" si="1"/>
        <v>5</v>
      </c>
      <c r="R18" s="1" t="s">
        <v>14</v>
      </c>
      <c r="S18" s="17">
        <f t="shared" ref="S18:AF18" si="10">SUM(C42:C45)</f>
        <v>1</v>
      </c>
      <c r="T18" s="17">
        <f t="shared" si="10"/>
        <v>2</v>
      </c>
      <c r="U18" s="17">
        <f t="shared" si="10"/>
        <v>6</v>
      </c>
      <c r="V18" s="17">
        <f t="shared" si="10"/>
        <v>5</v>
      </c>
      <c r="W18" s="17">
        <f t="shared" si="10"/>
        <v>0</v>
      </c>
      <c r="X18" s="17">
        <f t="shared" si="10"/>
        <v>1</v>
      </c>
      <c r="Y18" s="17">
        <f t="shared" si="10"/>
        <v>3</v>
      </c>
      <c r="Z18" s="17">
        <f t="shared" si="10"/>
        <v>0</v>
      </c>
      <c r="AA18" s="17">
        <f t="shared" si="10"/>
        <v>1</v>
      </c>
      <c r="AB18" s="17">
        <f t="shared" si="10"/>
        <v>2</v>
      </c>
      <c r="AC18" s="17">
        <f t="shared" si="10"/>
        <v>20</v>
      </c>
      <c r="AD18" s="17">
        <f t="shared" si="10"/>
        <v>0</v>
      </c>
      <c r="AE18" s="31">
        <f t="shared" si="10"/>
        <v>21</v>
      </c>
      <c r="AF18" s="31">
        <f t="shared" si="10"/>
        <v>41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1</v>
      </c>
      <c r="P19" s="15">
        <f t="shared" si="1"/>
        <v>2</v>
      </c>
      <c r="R19" s="1" t="s">
        <v>15</v>
      </c>
      <c r="S19" s="17">
        <f t="shared" ref="S19:AF19" si="11">SUM(C46:C49)</f>
        <v>3</v>
      </c>
      <c r="T19" s="17">
        <f t="shared" si="11"/>
        <v>1</v>
      </c>
      <c r="U19" s="17">
        <f t="shared" si="11"/>
        <v>3</v>
      </c>
      <c r="V19" s="17">
        <f t="shared" si="11"/>
        <v>4</v>
      </c>
      <c r="W19" s="17">
        <f t="shared" si="11"/>
        <v>0</v>
      </c>
      <c r="X19" s="17">
        <f t="shared" si="11"/>
        <v>3</v>
      </c>
      <c r="Y19" s="17">
        <f t="shared" si="11"/>
        <v>0</v>
      </c>
      <c r="Z19" s="17">
        <f t="shared" si="11"/>
        <v>1</v>
      </c>
      <c r="AA19" s="17">
        <f t="shared" si="11"/>
        <v>1</v>
      </c>
      <c r="AB19" s="17">
        <f t="shared" si="11"/>
        <v>8</v>
      </c>
      <c r="AC19" s="17">
        <f t="shared" si="11"/>
        <v>22</v>
      </c>
      <c r="AD19" s="17">
        <f t="shared" si="11"/>
        <v>0</v>
      </c>
      <c r="AE19" s="31">
        <f t="shared" si="11"/>
        <v>24</v>
      </c>
      <c r="AF19" s="31">
        <f t="shared" si="11"/>
        <v>46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2</v>
      </c>
      <c r="F20" s="50">
        <v>1</v>
      </c>
      <c r="G20" s="50">
        <v>0</v>
      </c>
      <c r="H20" s="50">
        <v>0</v>
      </c>
      <c r="I20" s="50">
        <v>0</v>
      </c>
      <c r="J20" s="50">
        <v>2</v>
      </c>
      <c r="K20" s="50">
        <v>0</v>
      </c>
      <c r="L20" s="50">
        <v>2</v>
      </c>
      <c r="M20" s="50">
        <v>6</v>
      </c>
      <c r="N20" s="50">
        <v>0</v>
      </c>
      <c r="O20" s="15">
        <f t="shared" si="0"/>
        <v>10</v>
      </c>
      <c r="P20" s="15">
        <f t="shared" si="1"/>
        <v>16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6</v>
      </c>
      <c r="V20" s="17">
        <f t="shared" si="12"/>
        <v>3</v>
      </c>
      <c r="W20" s="17">
        <f t="shared" si="12"/>
        <v>0</v>
      </c>
      <c r="X20" s="17">
        <f t="shared" si="12"/>
        <v>3</v>
      </c>
      <c r="Y20" s="17">
        <f t="shared" si="12"/>
        <v>1</v>
      </c>
      <c r="Z20" s="17">
        <f t="shared" si="12"/>
        <v>3</v>
      </c>
      <c r="AA20" s="17">
        <f t="shared" si="12"/>
        <v>0</v>
      </c>
      <c r="AB20" s="17">
        <f t="shared" si="12"/>
        <v>1</v>
      </c>
      <c r="AC20" s="17">
        <f t="shared" si="12"/>
        <v>20</v>
      </c>
      <c r="AD20" s="17">
        <f t="shared" si="12"/>
        <v>1</v>
      </c>
      <c r="AE20" s="31">
        <f t="shared" si="12"/>
        <v>21</v>
      </c>
      <c r="AF20" s="31">
        <f t="shared" si="12"/>
        <v>41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2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0</v>
      </c>
      <c r="M21" s="50">
        <v>5</v>
      </c>
      <c r="N21" s="50">
        <v>0</v>
      </c>
      <c r="O21" s="15">
        <f t="shared" si="0"/>
        <v>7</v>
      </c>
      <c r="P21" s="15">
        <f t="shared" si="1"/>
        <v>12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2</v>
      </c>
      <c r="V21" s="17">
        <f t="shared" si="13"/>
        <v>4</v>
      </c>
      <c r="W21" s="17">
        <f t="shared" si="13"/>
        <v>3</v>
      </c>
      <c r="X21" s="17">
        <f t="shared" si="13"/>
        <v>2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4</v>
      </c>
      <c r="AC21" s="17">
        <f t="shared" si="13"/>
        <v>23</v>
      </c>
      <c r="AD21" s="17">
        <f t="shared" si="13"/>
        <v>1</v>
      </c>
      <c r="AE21" s="31">
        <f t="shared" si="13"/>
        <v>17</v>
      </c>
      <c r="AF21" s="31">
        <f t="shared" si="13"/>
        <v>40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2</v>
      </c>
      <c r="M22" s="50">
        <v>4</v>
      </c>
      <c r="N22" s="50">
        <v>0</v>
      </c>
      <c r="O22" s="15">
        <f t="shared" si="0"/>
        <v>8</v>
      </c>
      <c r="P22" s="15">
        <f t="shared" si="1"/>
        <v>12</v>
      </c>
      <c r="R22" s="38" t="s">
        <v>90</v>
      </c>
      <c r="S22" s="39">
        <f>MAX(S10:S12)</f>
        <v>11</v>
      </c>
      <c r="T22" s="39">
        <f t="shared" ref="T22:AF22" si="14">MAX(T10:T12)</f>
        <v>2</v>
      </c>
      <c r="U22" s="39">
        <f t="shared" si="14"/>
        <v>7</v>
      </c>
      <c r="V22" s="39">
        <f t="shared" si="14"/>
        <v>2</v>
      </c>
      <c r="W22" s="39">
        <f t="shared" si="14"/>
        <v>1</v>
      </c>
      <c r="X22" s="39">
        <f t="shared" si="14"/>
        <v>0</v>
      </c>
      <c r="Y22" s="39">
        <f t="shared" si="14"/>
        <v>3</v>
      </c>
      <c r="Z22" s="39">
        <f t="shared" si="14"/>
        <v>3</v>
      </c>
      <c r="AA22" s="39">
        <f t="shared" si="14"/>
        <v>4</v>
      </c>
      <c r="AB22" s="39">
        <f t="shared" si="14"/>
        <v>3</v>
      </c>
      <c r="AC22" s="39">
        <f t="shared" si="14"/>
        <v>15</v>
      </c>
      <c r="AD22" s="39">
        <f t="shared" si="14"/>
        <v>1</v>
      </c>
      <c r="AE22" s="40">
        <f t="shared" si="14"/>
        <v>30</v>
      </c>
      <c r="AF22" s="40">
        <f t="shared" si="14"/>
        <v>43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2</v>
      </c>
      <c r="F23" s="50">
        <v>1</v>
      </c>
      <c r="G23" s="50">
        <v>1</v>
      </c>
      <c r="H23" s="50">
        <v>0</v>
      </c>
      <c r="I23" s="50">
        <v>0</v>
      </c>
      <c r="J23" s="50">
        <v>1</v>
      </c>
      <c r="K23" s="50">
        <v>0</v>
      </c>
      <c r="L23" s="50">
        <v>2</v>
      </c>
      <c r="M23" s="50">
        <v>4</v>
      </c>
      <c r="N23" s="50">
        <v>1</v>
      </c>
      <c r="O23" s="15">
        <f t="shared" si="0"/>
        <v>8</v>
      </c>
      <c r="P23" s="15">
        <f t="shared" si="1"/>
        <v>12</v>
      </c>
      <c r="R23" s="38" t="s">
        <v>91</v>
      </c>
      <c r="S23" s="39">
        <f>MAX(S13:S18)</f>
        <v>3</v>
      </c>
      <c r="T23" s="39">
        <f t="shared" ref="T23:AF23" si="15">MAX(T13:T18)</f>
        <v>2</v>
      </c>
      <c r="U23" s="39">
        <f t="shared" si="15"/>
        <v>9</v>
      </c>
      <c r="V23" s="39">
        <f t="shared" si="15"/>
        <v>7</v>
      </c>
      <c r="W23" s="39">
        <f t="shared" si="15"/>
        <v>1</v>
      </c>
      <c r="X23" s="39">
        <f t="shared" si="15"/>
        <v>2</v>
      </c>
      <c r="Y23" s="39">
        <f t="shared" si="15"/>
        <v>4</v>
      </c>
      <c r="Z23" s="39">
        <f t="shared" si="15"/>
        <v>4</v>
      </c>
      <c r="AA23" s="39">
        <f t="shared" si="15"/>
        <v>2</v>
      </c>
      <c r="AB23" s="39">
        <f t="shared" si="15"/>
        <v>5</v>
      </c>
      <c r="AC23" s="39">
        <f t="shared" si="15"/>
        <v>24</v>
      </c>
      <c r="AD23" s="39">
        <f t="shared" si="15"/>
        <v>1</v>
      </c>
      <c r="AE23" s="40">
        <f t="shared" si="15"/>
        <v>26</v>
      </c>
      <c r="AF23" s="40">
        <f t="shared" si="15"/>
        <v>41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2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1</v>
      </c>
      <c r="M24" s="50">
        <v>5</v>
      </c>
      <c r="N24" s="50">
        <v>0</v>
      </c>
      <c r="O24" s="15">
        <f t="shared" si="0"/>
        <v>6</v>
      </c>
      <c r="P24" s="15">
        <f t="shared" si="1"/>
        <v>11</v>
      </c>
      <c r="R24" s="38" t="s">
        <v>92</v>
      </c>
      <c r="S24" s="39">
        <f>MAX(S19:S21)</f>
        <v>3</v>
      </c>
      <c r="T24" s="39">
        <f t="shared" ref="T24:AF24" si="16">MAX(T19:T21)</f>
        <v>1</v>
      </c>
      <c r="U24" s="39">
        <f t="shared" si="16"/>
        <v>6</v>
      </c>
      <c r="V24" s="39">
        <f t="shared" si="16"/>
        <v>4</v>
      </c>
      <c r="W24" s="39">
        <f t="shared" si="16"/>
        <v>3</v>
      </c>
      <c r="X24" s="39">
        <f t="shared" si="16"/>
        <v>3</v>
      </c>
      <c r="Y24" s="39">
        <f t="shared" si="16"/>
        <v>1</v>
      </c>
      <c r="Z24" s="39">
        <f t="shared" si="16"/>
        <v>3</v>
      </c>
      <c r="AA24" s="39">
        <f t="shared" si="16"/>
        <v>1</v>
      </c>
      <c r="AB24" s="39">
        <f t="shared" si="16"/>
        <v>8</v>
      </c>
      <c r="AC24" s="39">
        <f t="shared" si="16"/>
        <v>23</v>
      </c>
      <c r="AD24" s="39">
        <f t="shared" si="16"/>
        <v>1</v>
      </c>
      <c r="AE24" s="40">
        <f t="shared" si="16"/>
        <v>24</v>
      </c>
      <c r="AF24" s="40">
        <f t="shared" si="16"/>
        <v>46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2</v>
      </c>
      <c r="N25" s="50">
        <v>0</v>
      </c>
      <c r="O25" s="15">
        <f t="shared" si="0"/>
        <v>4</v>
      </c>
      <c r="P25" s="15">
        <f t="shared" si="1"/>
        <v>6</v>
      </c>
      <c r="R25" s="37" t="s">
        <v>85</v>
      </c>
      <c r="S25" s="35">
        <f t="shared" ref="S25:AF25" si="17">SUM(S10:S12)</f>
        <v>16</v>
      </c>
      <c r="T25" s="16">
        <f t="shared" si="17"/>
        <v>3</v>
      </c>
      <c r="U25" s="16">
        <f t="shared" si="17"/>
        <v>17</v>
      </c>
      <c r="V25" s="16">
        <f t="shared" si="17"/>
        <v>4</v>
      </c>
      <c r="W25" s="16">
        <f t="shared" si="17"/>
        <v>1</v>
      </c>
      <c r="X25" s="16">
        <f t="shared" si="17"/>
        <v>0</v>
      </c>
      <c r="Y25" s="16">
        <f t="shared" si="17"/>
        <v>5</v>
      </c>
      <c r="Z25" s="16">
        <f t="shared" si="17"/>
        <v>6</v>
      </c>
      <c r="AA25" s="16">
        <f t="shared" si="17"/>
        <v>6</v>
      </c>
      <c r="AB25" s="16">
        <f t="shared" si="17"/>
        <v>8</v>
      </c>
      <c r="AC25" s="16">
        <f t="shared" si="17"/>
        <v>37</v>
      </c>
      <c r="AD25" s="16">
        <f t="shared" si="17"/>
        <v>1</v>
      </c>
      <c r="AE25" s="32">
        <f t="shared" si="17"/>
        <v>67</v>
      </c>
      <c r="AF25" s="32">
        <f t="shared" si="17"/>
        <v>104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2</v>
      </c>
      <c r="F26" s="50">
        <v>4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1</v>
      </c>
      <c r="M26" s="50">
        <v>1</v>
      </c>
      <c r="N26" s="50">
        <v>0</v>
      </c>
      <c r="O26" s="15">
        <f t="shared" si="0"/>
        <v>9</v>
      </c>
      <c r="P26" s="15">
        <f t="shared" si="1"/>
        <v>10</v>
      </c>
      <c r="R26" s="28" t="s">
        <v>86</v>
      </c>
      <c r="S26" s="16">
        <f t="shared" ref="S26:AF26" si="18">SUM(S13:S18)</f>
        <v>7</v>
      </c>
      <c r="T26" s="16">
        <f t="shared" si="18"/>
        <v>9</v>
      </c>
      <c r="U26" s="16">
        <f t="shared" si="18"/>
        <v>35</v>
      </c>
      <c r="V26" s="16">
        <f t="shared" si="18"/>
        <v>29</v>
      </c>
      <c r="W26" s="16">
        <f t="shared" si="18"/>
        <v>3</v>
      </c>
      <c r="X26" s="16">
        <f t="shared" si="18"/>
        <v>5</v>
      </c>
      <c r="Y26" s="16">
        <f t="shared" si="18"/>
        <v>9</v>
      </c>
      <c r="Z26" s="16">
        <f t="shared" si="18"/>
        <v>6</v>
      </c>
      <c r="AA26" s="16">
        <f t="shared" si="18"/>
        <v>6</v>
      </c>
      <c r="AB26" s="16">
        <f t="shared" si="18"/>
        <v>16</v>
      </c>
      <c r="AC26" s="16">
        <f t="shared" si="18"/>
        <v>101</v>
      </c>
      <c r="AD26" s="16">
        <f t="shared" si="18"/>
        <v>2</v>
      </c>
      <c r="AE26" s="32">
        <f t="shared" si="18"/>
        <v>127</v>
      </c>
      <c r="AF26" s="32">
        <f t="shared" si="18"/>
        <v>228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4</v>
      </c>
      <c r="P27" s="15">
        <f t="shared" si="1"/>
        <v>9</v>
      </c>
      <c r="R27" s="29" t="s">
        <v>87</v>
      </c>
      <c r="S27" s="16">
        <f t="shared" ref="S27:AF27" si="19">SUM(S19:S21)</f>
        <v>7</v>
      </c>
      <c r="T27" s="16">
        <f t="shared" si="19"/>
        <v>1</v>
      </c>
      <c r="U27" s="16">
        <f t="shared" si="19"/>
        <v>11</v>
      </c>
      <c r="V27" s="16">
        <f t="shared" si="19"/>
        <v>11</v>
      </c>
      <c r="W27" s="16">
        <f t="shared" si="19"/>
        <v>3</v>
      </c>
      <c r="X27" s="16">
        <f t="shared" si="19"/>
        <v>8</v>
      </c>
      <c r="Y27" s="16">
        <f t="shared" si="19"/>
        <v>1</v>
      </c>
      <c r="Z27" s="16">
        <f t="shared" si="19"/>
        <v>4</v>
      </c>
      <c r="AA27" s="16">
        <f t="shared" si="19"/>
        <v>1</v>
      </c>
      <c r="AB27" s="16">
        <f t="shared" si="19"/>
        <v>13</v>
      </c>
      <c r="AC27" s="16">
        <f t="shared" si="19"/>
        <v>65</v>
      </c>
      <c r="AD27" s="16">
        <f t="shared" si="19"/>
        <v>2</v>
      </c>
      <c r="AE27" s="32">
        <f t="shared" si="19"/>
        <v>62</v>
      </c>
      <c r="AF27" s="32">
        <f t="shared" si="19"/>
        <v>127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1</v>
      </c>
      <c r="P28" s="15">
        <f t="shared" si="1"/>
        <v>5</v>
      </c>
      <c r="R28" s="5" t="s">
        <v>17</v>
      </c>
      <c r="S28" s="16">
        <f t="shared" ref="S28:AF28" si="20">SUM(S10:S21)</f>
        <v>30</v>
      </c>
      <c r="T28" s="16">
        <f t="shared" si="20"/>
        <v>13</v>
      </c>
      <c r="U28" s="16">
        <f t="shared" si="20"/>
        <v>63</v>
      </c>
      <c r="V28" s="16">
        <f t="shared" si="20"/>
        <v>44</v>
      </c>
      <c r="W28" s="16">
        <f t="shared" si="20"/>
        <v>7</v>
      </c>
      <c r="X28" s="16">
        <f t="shared" si="20"/>
        <v>13</v>
      </c>
      <c r="Y28" s="16">
        <f t="shared" si="20"/>
        <v>15</v>
      </c>
      <c r="Z28" s="16">
        <f t="shared" si="20"/>
        <v>16</v>
      </c>
      <c r="AA28" s="16">
        <f t="shared" si="20"/>
        <v>13</v>
      </c>
      <c r="AB28" s="16">
        <f t="shared" si="20"/>
        <v>37</v>
      </c>
      <c r="AC28" s="16">
        <f t="shared" si="20"/>
        <v>203</v>
      </c>
      <c r="AD28" s="16">
        <f t="shared" si="20"/>
        <v>5</v>
      </c>
      <c r="AE28" s="32">
        <f t="shared" si="20"/>
        <v>256</v>
      </c>
      <c r="AF28" s="32">
        <f t="shared" si="20"/>
        <v>459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2</v>
      </c>
      <c r="F29" s="50">
        <v>2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6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3</v>
      </c>
      <c r="P30" s="15">
        <f t="shared" si="1"/>
        <v>12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1</v>
      </c>
      <c r="M31" s="50">
        <v>4</v>
      </c>
      <c r="N31" s="50">
        <v>0</v>
      </c>
      <c r="O31" s="15">
        <f t="shared" si="0"/>
        <v>5</v>
      </c>
      <c r="P31" s="15">
        <f t="shared" si="1"/>
        <v>9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0</v>
      </c>
      <c r="M32" s="50">
        <v>5</v>
      </c>
      <c r="N32" s="50">
        <v>0</v>
      </c>
      <c r="O32" s="15">
        <f t="shared" si="0"/>
        <v>2</v>
      </c>
      <c r="P32" s="15">
        <f t="shared" si="1"/>
        <v>7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2</v>
      </c>
      <c r="F33" s="50">
        <v>2</v>
      </c>
      <c r="G33" s="50">
        <v>0</v>
      </c>
      <c r="H33" s="50">
        <v>1</v>
      </c>
      <c r="I33" s="50">
        <v>0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6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2</v>
      </c>
      <c r="F34" s="50">
        <v>2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2</v>
      </c>
      <c r="M34" s="50">
        <v>6</v>
      </c>
      <c r="N34" s="50">
        <v>0</v>
      </c>
      <c r="O34" s="15">
        <f t="shared" si="0"/>
        <v>7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1</v>
      </c>
      <c r="M35" s="50">
        <v>2</v>
      </c>
      <c r="N35" s="50">
        <v>0</v>
      </c>
      <c r="O35" s="15">
        <f t="shared" si="0"/>
        <v>7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0</v>
      </c>
      <c r="D36" s="50">
        <v>2</v>
      </c>
      <c r="E36" s="50">
        <v>3</v>
      </c>
      <c r="F36" s="50">
        <v>0</v>
      </c>
      <c r="G36" s="50">
        <v>1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7</v>
      </c>
      <c r="P36" s="15">
        <f t="shared" si="1"/>
        <v>10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2</v>
      </c>
      <c r="F37" s="50">
        <v>0</v>
      </c>
      <c r="G37" s="50">
        <v>0</v>
      </c>
      <c r="H37" s="50">
        <v>1</v>
      </c>
      <c r="I37" s="50">
        <v>0</v>
      </c>
      <c r="J37" s="50">
        <v>0</v>
      </c>
      <c r="K37" s="50">
        <v>0</v>
      </c>
      <c r="L37" s="50">
        <v>2</v>
      </c>
      <c r="M37" s="50">
        <v>3</v>
      </c>
      <c r="N37" s="50">
        <v>0</v>
      </c>
      <c r="O37" s="15">
        <f t="shared" si="0"/>
        <v>5</v>
      </c>
      <c r="P37" s="15">
        <f t="shared" si="1"/>
        <v>8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3</v>
      </c>
      <c r="G38" s="50">
        <v>0</v>
      </c>
      <c r="H38" s="50">
        <v>1</v>
      </c>
      <c r="I38" s="50">
        <v>0</v>
      </c>
      <c r="J38" s="50">
        <v>1</v>
      </c>
      <c r="K38" s="50">
        <v>1</v>
      </c>
      <c r="L38" s="50">
        <v>1</v>
      </c>
      <c r="M38" s="50">
        <v>5</v>
      </c>
      <c r="N38" s="50">
        <v>0</v>
      </c>
      <c r="O38" s="15">
        <f t="shared" si="0"/>
        <v>7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0</v>
      </c>
      <c r="P39" s="15">
        <f t="shared" si="1"/>
        <v>3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2</v>
      </c>
      <c r="F40" s="50">
        <v>0</v>
      </c>
      <c r="G40" s="50">
        <v>1</v>
      </c>
      <c r="H40" s="50">
        <v>1</v>
      </c>
      <c r="I40" s="50">
        <v>0</v>
      </c>
      <c r="J40" s="50">
        <v>0</v>
      </c>
      <c r="K40" s="50">
        <v>0</v>
      </c>
      <c r="L40" s="50">
        <v>1</v>
      </c>
      <c r="M40" s="50">
        <v>4</v>
      </c>
      <c r="N40" s="50">
        <v>1</v>
      </c>
      <c r="O40" s="15">
        <f t="shared" si="0"/>
        <v>7</v>
      </c>
      <c r="P40" s="15">
        <f t="shared" si="1"/>
        <v>11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2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4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2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2</v>
      </c>
      <c r="F43" s="50">
        <v>2</v>
      </c>
      <c r="G43" s="50">
        <v>0</v>
      </c>
      <c r="H43" s="50">
        <v>1</v>
      </c>
      <c r="I43" s="50">
        <v>1</v>
      </c>
      <c r="J43" s="50">
        <v>0</v>
      </c>
      <c r="K43" s="50">
        <v>1</v>
      </c>
      <c r="L43" s="50">
        <v>1</v>
      </c>
      <c r="M43" s="50">
        <v>6</v>
      </c>
      <c r="N43" s="50">
        <v>0</v>
      </c>
      <c r="O43" s="15">
        <f t="shared" si="0"/>
        <v>9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2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6</v>
      </c>
      <c r="P44" s="15">
        <f t="shared" si="1"/>
        <v>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1</v>
      </c>
      <c r="M45" s="50">
        <v>6</v>
      </c>
      <c r="N45" s="50">
        <v>0</v>
      </c>
      <c r="O45" s="15">
        <f t="shared" si="0"/>
        <v>4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4</v>
      </c>
      <c r="N46" s="50">
        <v>0</v>
      </c>
      <c r="O46" s="15">
        <f t="shared" si="0"/>
        <v>1</v>
      </c>
      <c r="P46" s="15">
        <f t="shared" si="1"/>
        <v>5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1</v>
      </c>
      <c r="I47" s="50">
        <v>0</v>
      </c>
      <c r="J47" s="50">
        <v>0</v>
      </c>
      <c r="K47" s="50">
        <v>0</v>
      </c>
      <c r="L47" s="50">
        <v>2</v>
      </c>
      <c r="M47" s="50">
        <v>6</v>
      </c>
      <c r="N47" s="50">
        <v>0</v>
      </c>
      <c r="O47" s="15">
        <f t="shared" si="0"/>
        <v>3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2</v>
      </c>
      <c r="F48" s="50">
        <v>3</v>
      </c>
      <c r="G48" s="50">
        <v>0</v>
      </c>
      <c r="H48" s="50">
        <v>1</v>
      </c>
      <c r="I48" s="50">
        <v>0</v>
      </c>
      <c r="J48" s="50">
        <v>0</v>
      </c>
      <c r="K48" s="50">
        <v>1</v>
      </c>
      <c r="L48" s="50">
        <v>3</v>
      </c>
      <c r="M48" s="50">
        <v>4</v>
      </c>
      <c r="N48" s="50">
        <v>0</v>
      </c>
      <c r="O48" s="15">
        <f t="shared" si="0"/>
        <v>13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1</v>
      </c>
      <c r="F49" s="50">
        <v>1</v>
      </c>
      <c r="G49" s="50">
        <v>0</v>
      </c>
      <c r="H49" s="50">
        <v>1</v>
      </c>
      <c r="I49" s="50">
        <v>0</v>
      </c>
      <c r="J49" s="50">
        <v>0</v>
      </c>
      <c r="K49" s="50">
        <v>0</v>
      </c>
      <c r="L49" s="50">
        <v>3</v>
      </c>
      <c r="M49" s="50">
        <v>8</v>
      </c>
      <c r="N49" s="50">
        <v>0</v>
      </c>
      <c r="O49" s="15">
        <f t="shared" si="0"/>
        <v>7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2</v>
      </c>
      <c r="F50" s="50">
        <v>0</v>
      </c>
      <c r="G50" s="50">
        <v>0</v>
      </c>
      <c r="H50" s="50">
        <v>1</v>
      </c>
      <c r="I50" s="50">
        <v>1</v>
      </c>
      <c r="J50" s="50">
        <v>0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4</v>
      </c>
      <c r="P50" s="15">
        <f t="shared" si="1"/>
        <v>12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2</v>
      </c>
      <c r="F51" s="50">
        <v>1</v>
      </c>
      <c r="G51" s="50">
        <v>0</v>
      </c>
      <c r="H51" s="50">
        <v>2</v>
      </c>
      <c r="I51" s="50">
        <v>0</v>
      </c>
      <c r="J51" s="50">
        <v>2</v>
      </c>
      <c r="K51" s="50">
        <v>0</v>
      </c>
      <c r="L51" s="50">
        <v>1</v>
      </c>
      <c r="M51" s="50">
        <v>2</v>
      </c>
      <c r="N51" s="50">
        <v>0</v>
      </c>
      <c r="O51" s="15">
        <f t="shared" si="0"/>
        <v>10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2</v>
      </c>
      <c r="N52" s="50">
        <v>0</v>
      </c>
      <c r="O52" s="15">
        <f t="shared" si="0"/>
        <v>3</v>
      </c>
      <c r="P52" s="15">
        <f t="shared" si="1"/>
        <v>5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8</v>
      </c>
      <c r="N53" s="50">
        <v>1</v>
      </c>
      <c r="O53" s="15">
        <f t="shared" si="0"/>
        <v>4</v>
      </c>
      <c r="P53" s="15">
        <f t="shared" si="1"/>
        <v>12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1</v>
      </c>
      <c r="I54" s="50">
        <v>0</v>
      </c>
      <c r="J54" s="50">
        <v>0</v>
      </c>
      <c r="K54" s="50">
        <v>0</v>
      </c>
      <c r="L54" s="50">
        <v>2</v>
      </c>
      <c r="M54" s="50">
        <v>11</v>
      </c>
      <c r="N54" s="50">
        <v>1</v>
      </c>
      <c r="O54" s="15">
        <f t="shared" si="0"/>
        <v>6</v>
      </c>
      <c r="P54" s="15">
        <f t="shared" si="1"/>
        <v>17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3</v>
      </c>
      <c r="G55" s="50">
        <v>1</v>
      </c>
      <c r="H55" s="50">
        <v>1</v>
      </c>
      <c r="I55" s="50">
        <v>0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6</v>
      </c>
      <c r="P55" s="15">
        <f t="shared" si="1"/>
        <v>15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2</v>
      </c>
      <c r="M56" s="50">
        <v>3</v>
      </c>
      <c r="N56" s="50">
        <v>0</v>
      </c>
      <c r="O56" s="15">
        <f t="shared" si="0"/>
        <v>3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2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2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v>0</v>
      </c>
      <c r="E58" s="16">
        <f t="shared" ref="E58:P58" si="21">SUM(E10:E57)</f>
        <v>63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1"/>
        <v>37</v>
      </c>
      <c r="M58" s="16">
        <v>0</v>
      </c>
      <c r="N58" s="16">
        <v>0</v>
      </c>
      <c r="O58" s="16">
        <f t="shared" si="21"/>
        <v>256</v>
      </c>
      <c r="P58" s="16">
        <f t="shared" si="21"/>
        <v>459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v>0</v>
      </c>
      <c r="E59" s="43">
        <f t="shared" ref="E59:L59" si="22">E58/$P$58</f>
        <v>0.13725490196078433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2"/>
        <v>8.0610021786492375E-2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v>0</v>
      </c>
      <c r="E60" s="44">
        <f t="shared" ref="E60:L60" si="23">E58/$O$58</f>
        <v>0.24609375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3"/>
        <v>0.14453125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>
        <v>0</v>
      </c>
      <c r="E61" s="3"/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J10" sqref="J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karuma-pakwach'!C3:G3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6" t="str">
        <f>'29.07 Pakwach-Karuma'!G5:H5</f>
        <v>xxx</v>
      </c>
      <c r="H5" s="67"/>
      <c r="I5" s="14"/>
      <c r="J5" s="2" t="s">
        <v>5</v>
      </c>
      <c r="K5" s="66" t="str">
        <f>'29.07 Pakwach-Karuma'!K5:L5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166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'29.07 Pakwach-Karuma'!K6:L6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0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2</v>
      </c>
      <c r="AC10" s="17">
        <f t="shared" si="2"/>
        <v>3</v>
      </c>
      <c r="AD10" s="17">
        <f t="shared" si="2"/>
        <v>0</v>
      </c>
      <c r="AE10" s="31">
        <f t="shared" si="2"/>
        <v>7</v>
      </c>
      <c r="AF10" s="31">
        <f t="shared" si="2"/>
        <v>10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1</v>
      </c>
      <c r="N11" s="50">
        <v>0</v>
      </c>
      <c r="O11" s="15">
        <f t="shared" si="0"/>
        <v>3</v>
      </c>
      <c r="P11" s="15">
        <f t="shared" si="1"/>
        <v>4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4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4</v>
      </c>
      <c r="AD11" s="17">
        <f t="shared" si="3"/>
        <v>0</v>
      </c>
      <c r="AE11" s="31">
        <f t="shared" si="3"/>
        <v>12</v>
      </c>
      <c r="AF11" s="31">
        <f t="shared" si="3"/>
        <v>16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0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4</v>
      </c>
      <c r="V12" s="17">
        <f t="shared" si="4"/>
        <v>2</v>
      </c>
      <c r="W12" s="17">
        <f t="shared" si="4"/>
        <v>0</v>
      </c>
      <c r="X12" s="17">
        <f t="shared" si="4"/>
        <v>1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18</v>
      </c>
      <c r="AD12" s="17">
        <f t="shared" si="4"/>
        <v>1</v>
      </c>
      <c r="AE12" s="31">
        <f t="shared" si="4"/>
        <v>12</v>
      </c>
      <c r="AF12" s="31">
        <f t="shared" si="4"/>
        <v>30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2</v>
      </c>
      <c r="P13" s="15">
        <f t="shared" si="1"/>
        <v>2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6</v>
      </c>
      <c r="V13" s="17">
        <f t="shared" si="5"/>
        <v>5</v>
      </c>
      <c r="W13" s="17">
        <f t="shared" si="5"/>
        <v>0</v>
      </c>
      <c r="X13" s="17">
        <f t="shared" si="5"/>
        <v>2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1</v>
      </c>
      <c r="AC13" s="17">
        <f t="shared" si="5"/>
        <v>8</v>
      </c>
      <c r="AD13" s="17">
        <f t="shared" si="5"/>
        <v>0</v>
      </c>
      <c r="AE13" s="31">
        <f t="shared" si="5"/>
        <v>21</v>
      </c>
      <c r="AF13" s="31">
        <f t="shared" si="5"/>
        <v>29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2</v>
      </c>
      <c r="P14" s="15">
        <f t="shared" si="1"/>
        <v>5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6</v>
      </c>
      <c r="V14" s="17">
        <f t="shared" si="6"/>
        <v>3</v>
      </c>
      <c r="W14" s="17">
        <f t="shared" si="6"/>
        <v>1</v>
      </c>
      <c r="X14" s="17">
        <f t="shared" si="6"/>
        <v>16</v>
      </c>
      <c r="Y14" s="17">
        <f t="shared" si="6"/>
        <v>2</v>
      </c>
      <c r="Z14" s="17">
        <f t="shared" si="6"/>
        <v>0</v>
      </c>
      <c r="AA14" s="17">
        <f t="shared" si="6"/>
        <v>3</v>
      </c>
      <c r="AB14" s="17">
        <f t="shared" si="6"/>
        <v>0</v>
      </c>
      <c r="AC14" s="17">
        <f t="shared" si="6"/>
        <v>5</v>
      </c>
      <c r="AD14" s="17">
        <f t="shared" si="6"/>
        <v>0</v>
      </c>
      <c r="AE14" s="31">
        <f t="shared" si="6"/>
        <v>35</v>
      </c>
      <c r="AF14" s="31">
        <f t="shared" si="6"/>
        <v>40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3</v>
      </c>
      <c r="P15" s="15">
        <f t="shared" si="1"/>
        <v>3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7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</v>
      </c>
      <c r="AD15" s="17">
        <f t="shared" si="7"/>
        <v>0</v>
      </c>
      <c r="AE15" s="31">
        <f t="shared" si="7"/>
        <v>18</v>
      </c>
      <c r="AF15" s="31">
        <f t="shared" si="7"/>
        <v>24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2</v>
      </c>
      <c r="P16" s="15">
        <f t="shared" si="1"/>
        <v>3</v>
      </c>
      <c r="R16" s="1" t="s">
        <v>12</v>
      </c>
      <c r="S16" s="17">
        <f t="shared" ref="S16:AF16" si="8">SUM(C34:C37)</f>
        <v>5</v>
      </c>
      <c r="T16" s="17">
        <f t="shared" si="8"/>
        <v>1</v>
      </c>
      <c r="U16" s="17">
        <f t="shared" si="8"/>
        <v>6</v>
      </c>
      <c r="V16" s="17">
        <f t="shared" si="8"/>
        <v>5</v>
      </c>
      <c r="W16" s="17">
        <f t="shared" si="8"/>
        <v>0</v>
      </c>
      <c r="X16" s="17">
        <f t="shared" si="8"/>
        <v>2</v>
      </c>
      <c r="Y16" s="17">
        <f t="shared" si="8"/>
        <v>4</v>
      </c>
      <c r="Z16" s="17">
        <f t="shared" si="8"/>
        <v>1</v>
      </c>
      <c r="AA16" s="17">
        <f t="shared" si="8"/>
        <v>1</v>
      </c>
      <c r="AB16" s="17">
        <f t="shared" si="8"/>
        <v>3</v>
      </c>
      <c r="AC16" s="17">
        <f t="shared" si="8"/>
        <v>12</v>
      </c>
      <c r="AD16" s="17">
        <f t="shared" si="8"/>
        <v>2</v>
      </c>
      <c r="AE16" s="31">
        <f t="shared" si="8"/>
        <v>30</v>
      </c>
      <c r="AF16" s="31">
        <f t="shared" si="8"/>
        <v>42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1</v>
      </c>
      <c r="M17" s="50">
        <v>0</v>
      </c>
      <c r="N17" s="50">
        <v>0</v>
      </c>
      <c r="O17" s="15">
        <f t="shared" si="0"/>
        <v>5</v>
      </c>
      <c r="P17" s="15">
        <f t="shared" si="1"/>
        <v>5</v>
      </c>
      <c r="R17" s="1" t="s">
        <v>13</v>
      </c>
      <c r="S17" s="17">
        <f t="shared" ref="S17:AF17" si="9">SUM(C38:C41)</f>
        <v>2</v>
      </c>
      <c r="T17" s="17">
        <f t="shared" si="9"/>
        <v>1</v>
      </c>
      <c r="U17" s="17">
        <f t="shared" si="9"/>
        <v>7</v>
      </c>
      <c r="V17" s="17">
        <f t="shared" si="9"/>
        <v>0</v>
      </c>
      <c r="W17" s="17">
        <f t="shared" si="9"/>
        <v>0</v>
      </c>
      <c r="X17" s="17">
        <f t="shared" si="9"/>
        <v>1</v>
      </c>
      <c r="Y17" s="17">
        <f t="shared" si="9"/>
        <v>3</v>
      </c>
      <c r="Z17" s="17">
        <f t="shared" si="9"/>
        <v>2</v>
      </c>
      <c r="AA17" s="17">
        <f t="shared" si="9"/>
        <v>1</v>
      </c>
      <c r="AB17" s="17">
        <f t="shared" si="9"/>
        <v>8</v>
      </c>
      <c r="AC17" s="17">
        <f t="shared" si="9"/>
        <v>7</v>
      </c>
      <c r="AD17" s="17">
        <f t="shared" si="9"/>
        <v>1</v>
      </c>
      <c r="AE17" s="31">
        <f t="shared" si="9"/>
        <v>26</v>
      </c>
      <c r="AF17" s="31">
        <f t="shared" si="9"/>
        <v>33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8</v>
      </c>
      <c r="N18" s="50">
        <v>0</v>
      </c>
      <c r="O18" s="15">
        <f t="shared" si="0"/>
        <v>2</v>
      </c>
      <c r="P18" s="15">
        <f t="shared" si="1"/>
        <v>10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2</v>
      </c>
      <c r="V18" s="17">
        <f t="shared" si="10"/>
        <v>3</v>
      </c>
      <c r="W18" s="17">
        <f t="shared" si="10"/>
        <v>0</v>
      </c>
      <c r="X18" s="17">
        <f t="shared" si="10"/>
        <v>2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5</v>
      </c>
      <c r="AC18" s="17">
        <f t="shared" si="10"/>
        <v>17</v>
      </c>
      <c r="AD18" s="17">
        <f t="shared" si="10"/>
        <v>0</v>
      </c>
      <c r="AE18" s="31">
        <f t="shared" si="10"/>
        <v>16</v>
      </c>
      <c r="AF18" s="31">
        <f t="shared" si="10"/>
        <v>33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3</v>
      </c>
      <c r="P19" s="15">
        <f t="shared" si="1"/>
        <v>6</v>
      </c>
      <c r="R19" s="1" t="s">
        <v>15</v>
      </c>
      <c r="S19" s="17">
        <f t="shared" ref="S19:AF19" si="11">SUM(C46:C49)</f>
        <v>3</v>
      </c>
      <c r="T19" s="17">
        <f t="shared" si="11"/>
        <v>1</v>
      </c>
      <c r="U19" s="17">
        <f t="shared" si="11"/>
        <v>7</v>
      </c>
      <c r="V19" s="17">
        <f t="shared" si="11"/>
        <v>5</v>
      </c>
      <c r="W19" s="17">
        <f t="shared" si="11"/>
        <v>0</v>
      </c>
      <c r="X19" s="17">
        <f t="shared" si="11"/>
        <v>1</v>
      </c>
      <c r="Y19" s="17">
        <f t="shared" si="11"/>
        <v>8</v>
      </c>
      <c r="Z19" s="17">
        <f t="shared" si="11"/>
        <v>0</v>
      </c>
      <c r="AA19" s="17">
        <f t="shared" si="11"/>
        <v>0</v>
      </c>
      <c r="AB19" s="17">
        <f t="shared" si="11"/>
        <v>8</v>
      </c>
      <c r="AC19" s="17">
        <f t="shared" si="11"/>
        <v>12</v>
      </c>
      <c r="AD19" s="17">
        <f t="shared" si="11"/>
        <v>1</v>
      </c>
      <c r="AE19" s="31">
        <f t="shared" si="11"/>
        <v>34</v>
      </c>
      <c r="AF19" s="31">
        <f t="shared" si="11"/>
        <v>46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6</v>
      </c>
      <c r="N20" s="50">
        <v>1</v>
      </c>
      <c r="O20" s="15">
        <f t="shared" si="0"/>
        <v>2</v>
      </c>
      <c r="P20" s="15">
        <f t="shared" si="1"/>
        <v>8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3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2</v>
      </c>
      <c r="AB20" s="17">
        <f t="shared" si="12"/>
        <v>4</v>
      </c>
      <c r="AC20" s="17">
        <f t="shared" si="12"/>
        <v>14</v>
      </c>
      <c r="AD20" s="17">
        <f t="shared" si="12"/>
        <v>0</v>
      </c>
      <c r="AE20" s="31">
        <f t="shared" si="12"/>
        <v>17</v>
      </c>
      <c r="AF20" s="31">
        <f t="shared" si="12"/>
        <v>31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2</v>
      </c>
      <c r="F21" s="50">
        <v>1</v>
      </c>
      <c r="G21" s="50">
        <v>0</v>
      </c>
      <c r="H21" s="50">
        <v>1</v>
      </c>
      <c r="I21" s="50">
        <v>1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5</v>
      </c>
      <c r="P21" s="15">
        <f t="shared" si="1"/>
        <v>6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7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2</v>
      </c>
      <c r="AC21" s="17">
        <f t="shared" si="13"/>
        <v>14</v>
      </c>
      <c r="AD21" s="17">
        <f t="shared" si="13"/>
        <v>0</v>
      </c>
      <c r="AE21" s="31">
        <f t="shared" si="13"/>
        <v>20</v>
      </c>
      <c r="AF21" s="31">
        <f t="shared" si="13"/>
        <v>34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6</v>
      </c>
      <c r="P22" s="15">
        <f t="shared" si="1"/>
        <v>8</v>
      </c>
      <c r="R22" s="38" t="s">
        <v>90</v>
      </c>
      <c r="S22" s="39">
        <f>MAX(S10:S12)</f>
        <v>3</v>
      </c>
      <c r="T22" s="39">
        <f t="shared" ref="T22:AF22" si="14">MAX(T10:T12)</f>
        <v>0</v>
      </c>
      <c r="U22" s="39">
        <f t="shared" si="14"/>
        <v>4</v>
      </c>
      <c r="V22" s="39">
        <f t="shared" si="14"/>
        <v>3</v>
      </c>
      <c r="W22" s="39">
        <f t="shared" si="14"/>
        <v>0</v>
      </c>
      <c r="X22" s="39">
        <f t="shared" si="14"/>
        <v>1</v>
      </c>
      <c r="Y22" s="39">
        <f t="shared" si="14"/>
        <v>4</v>
      </c>
      <c r="Z22" s="39">
        <f t="shared" si="14"/>
        <v>0</v>
      </c>
      <c r="AA22" s="39">
        <f t="shared" si="14"/>
        <v>0</v>
      </c>
      <c r="AB22" s="39">
        <f t="shared" si="14"/>
        <v>2</v>
      </c>
      <c r="AC22" s="39">
        <f t="shared" si="14"/>
        <v>18</v>
      </c>
      <c r="AD22" s="39">
        <f t="shared" si="14"/>
        <v>1</v>
      </c>
      <c r="AE22" s="40">
        <f t="shared" si="14"/>
        <v>12</v>
      </c>
      <c r="AF22" s="40">
        <f t="shared" si="14"/>
        <v>30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2</v>
      </c>
      <c r="G23" s="50">
        <v>0</v>
      </c>
      <c r="H23" s="50">
        <v>1</v>
      </c>
      <c r="I23" s="50">
        <v>0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4</v>
      </c>
      <c r="P23" s="15">
        <f t="shared" si="1"/>
        <v>7</v>
      </c>
      <c r="R23" s="38" t="s">
        <v>91</v>
      </c>
      <c r="S23" s="39">
        <f>MAX(S13:S18)</f>
        <v>5</v>
      </c>
      <c r="T23" s="39">
        <f t="shared" ref="T23:AF23" si="15">MAX(T13:T18)</f>
        <v>1</v>
      </c>
      <c r="U23" s="39">
        <f t="shared" si="15"/>
        <v>7</v>
      </c>
      <c r="V23" s="39">
        <f t="shared" si="15"/>
        <v>5</v>
      </c>
      <c r="W23" s="39">
        <f t="shared" si="15"/>
        <v>1</v>
      </c>
      <c r="X23" s="39">
        <f t="shared" si="15"/>
        <v>16</v>
      </c>
      <c r="Y23" s="39">
        <f t="shared" si="15"/>
        <v>4</v>
      </c>
      <c r="Z23" s="39">
        <f t="shared" si="15"/>
        <v>2</v>
      </c>
      <c r="AA23" s="39">
        <f t="shared" si="15"/>
        <v>3</v>
      </c>
      <c r="AB23" s="39">
        <f t="shared" si="15"/>
        <v>8</v>
      </c>
      <c r="AC23" s="39">
        <f t="shared" si="15"/>
        <v>17</v>
      </c>
      <c r="AD23" s="39">
        <f t="shared" si="15"/>
        <v>2</v>
      </c>
      <c r="AE23" s="40">
        <f t="shared" si="15"/>
        <v>35</v>
      </c>
      <c r="AF23" s="40">
        <f t="shared" si="15"/>
        <v>42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1</v>
      </c>
      <c r="P24" s="15">
        <f t="shared" si="1"/>
        <v>2</v>
      </c>
      <c r="R24" s="38" t="s">
        <v>92</v>
      </c>
      <c r="S24" s="39">
        <f>MAX(S19:S21)</f>
        <v>4</v>
      </c>
      <c r="T24" s="39">
        <f t="shared" ref="T24:AF24" si="16">MAX(T19:T21)</f>
        <v>1</v>
      </c>
      <c r="U24" s="39">
        <f t="shared" si="16"/>
        <v>7</v>
      </c>
      <c r="V24" s="39">
        <f t="shared" si="16"/>
        <v>5</v>
      </c>
      <c r="W24" s="39">
        <f t="shared" si="16"/>
        <v>0</v>
      </c>
      <c r="X24" s="39">
        <f t="shared" si="16"/>
        <v>1</v>
      </c>
      <c r="Y24" s="39">
        <f t="shared" si="16"/>
        <v>8</v>
      </c>
      <c r="Z24" s="39">
        <f t="shared" si="16"/>
        <v>0</v>
      </c>
      <c r="AA24" s="39">
        <f t="shared" si="16"/>
        <v>2</v>
      </c>
      <c r="AB24" s="39">
        <f t="shared" si="16"/>
        <v>8</v>
      </c>
      <c r="AC24" s="39">
        <f t="shared" si="16"/>
        <v>14</v>
      </c>
      <c r="AD24" s="39">
        <f t="shared" si="16"/>
        <v>1</v>
      </c>
      <c r="AE24" s="40">
        <f t="shared" si="16"/>
        <v>34</v>
      </c>
      <c r="AF24" s="40">
        <f t="shared" si="16"/>
        <v>46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3</v>
      </c>
      <c r="F25" s="50">
        <v>1</v>
      </c>
      <c r="G25" s="50">
        <v>0</v>
      </c>
      <c r="H25" s="50">
        <v>1</v>
      </c>
      <c r="I25" s="50">
        <v>3</v>
      </c>
      <c r="J25" s="50">
        <v>0</v>
      </c>
      <c r="K25" s="50">
        <v>0</v>
      </c>
      <c r="L25" s="50">
        <v>1</v>
      </c>
      <c r="M25" s="50">
        <v>2</v>
      </c>
      <c r="N25" s="50">
        <v>0</v>
      </c>
      <c r="O25" s="15">
        <f t="shared" si="0"/>
        <v>10</v>
      </c>
      <c r="P25" s="15">
        <f t="shared" si="1"/>
        <v>12</v>
      </c>
      <c r="R25" s="37" t="s">
        <v>85</v>
      </c>
      <c r="S25" s="35">
        <f t="shared" ref="S25:AF25" si="17">SUM(S10:S12)</f>
        <v>5</v>
      </c>
      <c r="T25" s="16">
        <f t="shared" si="17"/>
        <v>0</v>
      </c>
      <c r="U25" s="16">
        <f t="shared" si="17"/>
        <v>9</v>
      </c>
      <c r="V25" s="16">
        <f t="shared" si="17"/>
        <v>7</v>
      </c>
      <c r="W25" s="16">
        <f t="shared" si="17"/>
        <v>0</v>
      </c>
      <c r="X25" s="16">
        <f t="shared" si="17"/>
        <v>1</v>
      </c>
      <c r="Y25" s="16">
        <f t="shared" si="17"/>
        <v>5</v>
      </c>
      <c r="Z25" s="16">
        <f t="shared" si="17"/>
        <v>0</v>
      </c>
      <c r="AA25" s="16">
        <f t="shared" si="17"/>
        <v>0</v>
      </c>
      <c r="AB25" s="16">
        <f t="shared" si="17"/>
        <v>3</v>
      </c>
      <c r="AC25" s="16">
        <f t="shared" si="17"/>
        <v>25</v>
      </c>
      <c r="AD25" s="16">
        <f t="shared" si="17"/>
        <v>1</v>
      </c>
      <c r="AE25" s="32">
        <f t="shared" si="17"/>
        <v>31</v>
      </c>
      <c r="AF25" s="32">
        <f t="shared" si="17"/>
        <v>56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2</v>
      </c>
      <c r="G26" s="50">
        <v>0</v>
      </c>
      <c r="H26" s="50">
        <v>1</v>
      </c>
      <c r="I26" s="50">
        <v>0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5</v>
      </c>
      <c r="P26" s="15">
        <f t="shared" si="1"/>
        <v>6</v>
      </c>
      <c r="R26" s="28" t="s">
        <v>86</v>
      </c>
      <c r="S26" s="16">
        <f t="shared" ref="S26:AF26" si="18">SUM(S13:S18)</f>
        <v>17</v>
      </c>
      <c r="T26" s="16">
        <f t="shared" si="18"/>
        <v>5</v>
      </c>
      <c r="U26" s="16">
        <f t="shared" si="18"/>
        <v>34</v>
      </c>
      <c r="V26" s="16">
        <f t="shared" si="18"/>
        <v>21</v>
      </c>
      <c r="W26" s="16">
        <f t="shared" si="18"/>
        <v>1</v>
      </c>
      <c r="X26" s="16">
        <f t="shared" si="18"/>
        <v>23</v>
      </c>
      <c r="Y26" s="16">
        <f t="shared" si="18"/>
        <v>17</v>
      </c>
      <c r="Z26" s="16">
        <f t="shared" si="18"/>
        <v>3</v>
      </c>
      <c r="AA26" s="16">
        <f t="shared" si="18"/>
        <v>5</v>
      </c>
      <c r="AB26" s="16">
        <f t="shared" si="18"/>
        <v>17</v>
      </c>
      <c r="AC26" s="16">
        <f t="shared" si="18"/>
        <v>55</v>
      </c>
      <c r="AD26" s="16">
        <f t="shared" si="18"/>
        <v>3</v>
      </c>
      <c r="AE26" s="32">
        <f t="shared" si="18"/>
        <v>146</v>
      </c>
      <c r="AF26" s="32">
        <f t="shared" si="18"/>
        <v>201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1</v>
      </c>
      <c r="H27" s="50">
        <v>3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6</v>
      </c>
      <c r="P27" s="15">
        <f t="shared" si="1"/>
        <v>6</v>
      </c>
      <c r="R27" s="29" t="s">
        <v>87</v>
      </c>
      <c r="S27" s="16">
        <f t="shared" ref="S27:AF27" si="19">SUM(S19:S21)</f>
        <v>8</v>
      </c>
      <c r="T27" s="16">
        <f t="shared" si="19"/>
        <v>1</v>
      </c>
      <c r="U27" s="16">
        <f t="shared" si="19"/>
        <v>17</v>
      </c>
      <c r="V27" s="16">
        <f t="shared" si="19"/>
        <v>12</v>
      </c>
      <c r="W27" s="16">
        <f t="shared" si="19"/>
        <v>0</v>
      </c>
      <c r="X27" s="16">
        <f t="shared" si="19"/>
        <v>1</v>
      </c>
      <c r="Y27" s="16">
        <f t="shared" si="19"/>
        <v>15</v>
      </c>
      <c r="Z27" s="16">
        <f t="shared" si="19"/>
        <v>0</v>
      </c>
      <c r="AA27" s="16">
        <f t="shared" si="19"/>
        <v>2</v>
      </c>
      <c r="AB27" s="16">
        <f t="shared" si="19"/>
        <v>14</v>
      </c>
      <c r="AC27" s="16">
        <f t="shared" si="19"/>
        <v>40</v>
      </c>
      <c r="AD27" s="16">
        <f t="shared" si="19"/>
        <v>1</v>
      </c>
      <c r="AE27" s="32">
        <f t="shared" si="19"/>
        <v>71</v>
      </c>
      <c r="AF27" s="32">
        <f t="shared" si="19"/>
        <v>111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3</v>
      </c>
      <c r="F28" s="50">
        <v>1</v>
      </c>
      <c r="G28" s="50">
        <v>0</v>
      </c>
      <c r="H28" s="50">
        <v>1</v>
      </c>
      <c r="I28" s="50">
        <v>2</v>
      </c>
      <c r="J28" s="50">
        <v>0</v>
      </c>
      <c r="K28" s="50">
        <v>3</v>
      </c>
      <c r="L28" s="50">
        <v>0</v>
      </c>
      <c r="M28" s="50">
        <v>3</v>
      </c>
      <c r="N28" s="50">
        <v>0</v>
      </c>
      <c r="O28" s="15">
        <f t="shared" si="0"/>
        <v>11</v>
      </c>
      <c r="P28" s="15">
        <f t="shared" si="1"/>
        <v>14</v>
      </c>
      <c r="R28" s="5" t="s">
        <v>17</v>
      </c>
      <c r="S28" s="16">
        <f t="shared" ref="S28:AF28" si="20">SUM(S10:S21)</f>
        <v>30</v>
      </c>
      <c r="T28" s="16">
        <f t="shared" si="20"/>
        <v>6</v>
      </c>
      <c r="U28" s="16">
        <f t="shared" si="20"/>
        <v>60</v>
      </c>
      <c r="V28" s="16">
        <f t="shared" si="20"/>
        <v>40</v>
      </c>
      <c r="W28" s="16">
        <f t="shared" si="20"/>
        <v>1</v>
      </c>
      <c r="X28" s="16">
        <f t="shared" si="20"/>
        <v>25</v>
      </c>
      <c r="Y28" s="16">
        <f t="shared" si="20"/>
        <v>37</v>
      </c>
      <c r="Z28" s="16">
        <f t="shared" si="20"/>
        <v>3</v>
      </c>
      <c r="AA28" s="16">
        <f t="shared" si="20"/>
        <v>7</v>
      </c>
      <c r="AB28" s="16">
        <f t="shared" si="20"/>
        <v>34</v>
      </c>
      <c r="AC28" s="16">
        <f t="shared" si="20"/>
        <v>120</v>
      </c>
      <c r="AD28" s="16">
        <f t="shared" si="20"/>
        <v>5</v>
      </c>
      <c r="AE28" s="32">
        <f t="shared" si="20"/>
        <v>248</v>
      </c>
      <c r="AF28" s="32">
        <f t="shared" si="20"/>
        <v>368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2</v>
      </c>
      <c r="F29" s="50">
        <v>0</v>
      </c>
      <c r="G29" s="50">
        <v>0</v>
      </c>
      <c r="H29" s="50">
        <v>11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13</v>
      </c>
      <c r="P29" s="15">
        <f t="shared" si="1"/>
        <v>14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2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5</v>
      </c>
      <c r="P30" s="15">
        <f t="shared" si="1"/>
        <v>5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4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6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1</v>
      </c>
      <c r="P32" s="15">
        <f t="shared" si="1"/>
        <v>2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6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2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4</v>
      </c>
      <c r="N34" s="50">
        <v>1</v>
      </c>
      <c r="O34" s="15">
        <f t="shared" si="0"/>
        <v>7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1</v>
      </c>
      <c r="L35" s="50">
        <v>1</v>
      </c>
      <c r="M35" s="50">
        <v>1</v>
      </c>
      <c r="N35" s="50">
        <v>0</v>
      </c>
      <c r="O35" s="15">
        <f t="shared" si="0"/>
        <v>7</v>
      </c>
      <c r="P35" s="15">
        <f t="shared" si="1"/>
        <v>8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2</v>
      </c>
      <c r="G36" s="50">
        <v>0</v>
      </c>
      <c r="H36" s="50">
        <v>2</v>
      </c>
      <c r="I36" s="50">
        <v>1</v>
      </c>
      <c r="J36" s="50">
        <v>1</v>
      </c>
      <c r="K36" s="50">
        <v>0</v>
      </c>
      <c r="L36" s="50">
        <v>2</v>
      </c>
      <c r="M36" s="50">
        <v>5</v>
      </c>
      <c r="N36" s="50">
        <v>1</v>
      </c>
      <c r="O36" s="15">
        <f t="shared" si="0"/>
        <v>11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5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0</v>
      </c>
      <c r="D38" s="50">
        <v>1</v>
      </c>
      <c r="E38" s="50">
        <v>4</v>
      </c>
      <c r="F38" s="50">
        <v>0</v>
      </c>
      <c r="G38" s="50">
        <v>0</v>
      </c>
      <c r="H38" s="50">
        <v>1</v>
      </c>
      <c r="I38" s="50">
        <v>1</v>
      </c>
      <c r="J38" s="50">
        <v>1</v>
      </c>
      <c r="K38" s="50">
        <v>0</v>
      </c>
      <c r="L38" s="50">
        <v>4</v>
      </c>
      <c r="M38" s="50">
        <v>2</v>
      </c>
      <c r="N38" s="50">
        <v>1</v>
      </c>
      <c r="O38" s="15">
        <f t="shared" si="0"/>
        <v>13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50">
        <v>5</v>
      </c>
      <c r="N39" s="50">
        <v>0</v>
      </c>
      <c r="O39" s="15">
        <f t="shared" si="0"/>
        <v>4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1</v>
      </c>
      <c r="K40" s="50">
        <v>1</v>
      </c>
      <c r="L40" s="50">
        <v>0</v>
      </c>
      <c r="M40" s="50">
        <v>0</v>
      </c>
      <c r="N40" s="50">
        <v>0</v>
      </c>
      <c r="O40" s="15">
        <f t="shared" si="0"/>
        <v>3</v>
      </c>
      <c r="P40" s="15">
        <f t="shared" si="1"/>
        <v>3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3</v>
      </c>
      <c r="M41" s="50">
        <v>0</v>
      </c>
      <c r="N41" s="50">
        <v>0</v>
      </c>
      <c r="O41" s="15">
        <f t="shared" si="0"/>
        <v>6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1</v>
      </c>
      <c r="I42" s="50">
        <v>2</v>
      </c>
      <c r="J42" s="50">
        <v>0</v>
      </c>
      <c r="K42" s="50">
        <v>0</v>
      </c>
      <c r="L42" s="50">
        <v>4</v>
      </c>
      <c r="M42" s="50">
        <v>5</v>
      </c>
      <c r="N42" s="50">
        <v>0</v>
      </c>
      <c r="O42" s="15">
        <f t="shared" si="0"/>
        <v>8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1</v>
      </c>
      <c r="M43" s="50">
        <v>6</v>
      </c>
      <c r="N43" s="50">
        <v>0</v>
      </c>
      <c r="O43" s="15">
        <f t="shared" si="0"/>
        <v>1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2</v>
      </c>
      <c r="G44" s="50">
        <v>0</v>
      </c>
      <c r="H44" s="50">
        <v>1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4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3</v>
      </c>
      <c r="P45" s="15">
        <f t="shared" si="1"/>
        <v>3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3</v>
      </c>
      <c r="M46" s="50">
        <v>1</v>
      </c>
      <c r="N46" s="50">
        <v>0</v>
      </c>
      <c r="O46" s="15">
        <f t="shared" si="0"/>
        <v>9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6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3</v>
      </c>
      <c r="F48" s="50">
        <v>2</v>
      </c>
      <c r="G48" s="50">
        <v>0</v>
      </c>
      <c r="H48" s="50">
        <v>1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1</v>
      </c>
      <c r="O48" s="15">
        <f t="shared" si="0"/>
        <v>9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2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5</v>
      </c>
      <c r="M49" s="50">
        <v>4</v>
      </c>
      <c r="N49" s="50">
        <v>0</v>
      </c>
      <c r="O49" s="15">
        <f t="shared" si="0"/>
        <v>10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3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2</v>
      </c>
      <c r="M51" s="50">
        <v>1</v>
      </c>
      <c r="N51" s="50">
        <v>0</v>
      </c>
      <c r="O51" s="15">
        <f t="shared" si="0"/>
        <v>3</v>
      </c>
      <c r="P51" s="15">
        <f t="shared" si="1"/>
        <v>4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3</v>
      </c>
      <c r="J53" s="50">
        <v>0</v>
      </c>
      <c r="K53" s="50">
        <v>2</v>
      </c>
      <c r="L53" s="50">
        <v>2</v>
      </c>
      <c r="M53" s="50">
        <v>5</v>
      </c>
      <c r="N53" s="50">
        <v>0</v>
      </c>
      <c r="O53" s="15">
        <f t="shared" si="0"/>
        <v>10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2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4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2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</v>
      </c>
      <c r="N55" s="50">
        <v>0</v>
      </c>
      <c r="O55" s="15">
        <f t="shared" si="0"/>
        <v>6</v>
      </c>
      <c r="P55" s="15">
        <f t="shared" si="1"/>
        <v>9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2</v>
      </c>
      <c r="M56" s="50">
        <v>2</v>
      </c>
      <c r="N56" s="50">
        <v>0</v>
      </c>
      <c r="O56" s="15">
        <f t="shared" si="0"/>
        <v>6</v>
      </c>
      <c r="P56" s="15">
        <f t="shared" si="1"/>
        <v>8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2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</v>
      </c>
      <c r="N57" s="50">
        <v>0</v>
      </c>
      <c r="O57" s="15">
        <f t="shared" si="0"/>
        <v>4</v>
      </c>
      <c r="P57" s="15">
        <f t="shared" si="1"/>
        <v>6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1">SUM(D10:D57)</f>
        <v>6</v>
      </c>
      <c r="E58" s="16">
        <v>1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1"/>
        <v>34</v>
      </c>
      <c r="M58" s="16">
        <v>2</v>
      </c>
      <c r="N58" s="16">
        <v>0</v>
      </c>
      <c r="O58" s="16">
        <f t="shared" si="21"/>
        <v>248</v>
      </c>
      <c r="P58" s="16">
        <f t="shared" si="21"/>
        <v>368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L59" si="22">D58/$P$58</f>
        <v>1.6304347826086956E-2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2"/>
        <v>9.2391304347826081E-2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3">D58/$O$58</f>
        <v>2.4193548387096774E-2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3"/>
        <v>0.13709677419354838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zoomScale="60" workbookViewId="0">
      <selection activeCell="L12" sqref="L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6" t="str">
        <f>'31.07 karuma-pakwach'!G5:H5</f>
        <v>xxx</v>
      </c>
      <c r="H5" s="67"/>
      <c r="I5" s="14"/>
      <c r="J5" s="2" t="s">
        <v>5</v>
      </c>
      <c r="K5" s="66" t="str">
        <f>'31.07 karuma-pakwach'!K5:L5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167</v>
      </c>
      <c r="E6" s="67"/>
      <c r="F6" s="2" t="s">
        <v>2</v>
      </c>
      <c r="G6" s="66" t="s">
        <v>166</v>
      </c>
      <c r="H6" s="67"/>
      <c r="J6" s="2" t="s">
        <v>21</v>
      </c>
      <c r="K6" s="66" t="str">
        <f>'31.07 karuma-pakwach'!K6:L6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3</v>
      </c>
      <c r="M10" s="50">
        <v>1</v>
      </c>
      <c r="N10" s="50">
        <v>1</v>
      </c>
      <c r="O10" s="15">
        <f t="shared" ref="O10:O57" si="0">SUM(C10:L10,N10)</f>
        <v>6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3</v>
      </c>
      <c r="AA10" s="17">
        <f t="shared" si="2"/>
        <v>0</v>
      </c>
      <c r="AB10" s="17">
        <f t="shared" si="2"/>
        <v>10</v>
      </c>
      <c r="AC10" s="17">
        <f t="shared" si="2"/>
        <v>13</v>
      </c>
      <c r="AD10" s="17">
        <f t="shared" si="2"/>
        <v>2</v>
      </c>
      <c r="AE10" s="31">
        <f t="shared" si="2"/>
        <v>21</v>
      </c>
      <c r="AF10" s="31">
        <f t="shared" si="2"/>
        <v>34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1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1</v>
      </c>
      <c r="AB11" s="17">
        <f t="shared" si="3"/>
        <v>10</v>
      </c>
      <c r="AC11" s="17">
        <f t="shared" si="3"/>
        <v>13</v>
      </c>
      <c r="AD11" s="17">
        <f t="shared" si="3"/>
        <v>0</v>
      </c>
      <c r="AE11" s="31">
        <f t="shared" si="3"/>
        <v>17</v>
      </c>
      <c r="AF11" s="31">
        <f t="shared" si="3"/>
        <v>30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2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4</v>
      </c>
      <c r="M12" s="50">
        <v>6</v>
      </c>
      <c r="N12" s="50">
        <v>1</v>
      </c>
      <c r="O12" s="15">
        <f t="shared" si="0"/>
        <v>9</v>
      </c>
      <c r="P12" s="15">
        <f t="shared" si="1"/>
        <v>15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5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1</v>
      </c>
      <c r="AB12" s="17">
        <f t="shared" si="4"/>
        <v>4</v>
      </c>
      <c r="AC12" s="17">
        <f t="shared" si="4"/>
        <v>19</v>
      </c>
      <c r="AD12" s="17">
        <f t="shared" si="4"/>
        <v>0</v>
      </c>
      <c r="AE12" s="31">
        <f t="shared" si="4"/>
        <v>15</v>
      </c>
      <c r="AF12" s="31">
        <f t="shared" si="4"/>
        <v>34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3</v>
      </c>
      <c r="M13" s="50">
        <v>5</v>
      </c>
      <c r="N13" s="50">
        <v>0</v>
      </c>
      <c r="O13" s="15">
        <f t="shared" si="0"/>
        <v>5</v>
      </c>
      <c r="P13" s="15">
        <f t="shared" si="1"/>
        <v>10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7</v>
      </c>
      <c r="V13" s="17">
        <f t="shared" si="5"/>
        <v>3</v>
      </c>
      <c r="W13" s="17">
        <f t="shared" si="5"/>
        <v>2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5</v>
      </c>
      <c r="AC13" s="17">
        <f t="shared" si="5"/>
        <v>10</v>
      </c>
      <c r="AD13" s="17">
        <f t="shared" si="5"/>
        <v>2</v>
      </c>
      <c r="AE13" s="31">
        <f t="shared" si="5"/>
        <v>25</v>
      </c>
      <c r="AF13" s="31">
        <f t="shared" si="5"/>
        <v>35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4</v>
      </c>
      <c r="M14" s="50">
        <v>1</v>
      </c>
      <c r="N14" s="50">
        <v>0</v>
      </c>
      <c r="O14" s="15">
        <f t="shared" si="0"/>
        <v>6</v>
      </c>
      <c r="P14" s="15">
        <f t="shared" si="1"/>
        <v>7</v>
      </c>
      <c r="R14" s="1" t="s">
        <v>10</v>
      </c>
      <c r="S14" s="17">
        <f t="shared" ref="S14:AF14" si="6">SUM(C26:C29)</f>
        <v>8</v>
      </c>
      <c r="T14" s="17">
        <f t="shared" si="6"/>
        <v>0</v>
      </c>
      <c r="U14" s="17">
        <f t="shared" si="6"/>
        <v>4</v>
      </c>
      <c r="V14" s="17">
        <f t="shared" si="6"/>
        <v>4</v>
      </c>
      <c r="W14" s="17">
        <f t="shared" si="6"/>
        <v>1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2</v>
      </c>
      <c r="AB14" s="17">
        <f t="shared" si="6"/>
        <v>8</v>
      </c>
      <c r="AC14" s="17">
        <f t="shared" si="6"/>
        <v>20</v>
      </c>
      <c r="AD14" s="17">
        <f t="shared" si="6"/>
        <v>1</v>
      </c>
      <c r="AE14" s="31">
        <f t="shared" si="6"/>
        <v>33</v>
      </c>
      <c r="AF14" s="31">
        <f t="shared" si="6"/>
        <v>53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1</v>
      </c>
      <c r="L15" s="50">
        <v>1</v>
      </c>
      <c r="M15" s="50">
        <v>4</v>
      </c>
      <c r="N15" s="50">
        <v>0</v>
      </c>
      <c r="O15" s="15">
        <f t="shared" si="0"/>
        <v>4</v>
      </c>
      <c r="P15" s="15">
        <f t="shared" si="1"/>
        <v>8</v>
      </c>
      <c r="R15" s="1" t="s">
        <v>11</v>
      </c>
      <c r="S15" s="17">
        <f t="shared" ref="S15:AF15" si="7">SUM(C30:C33)</f>
        <v>4</v>
      </c>
      <c r="T15" s="17">
        <f t="shared" si="7"/>
        <v>2</v>
      </c>
      <c r="U15" s="17">
        <f t="shared" si="7"/>
        <v>7</v>
      </c>
      <c r="V15" s="17">
        <f t="shared" si="7"/>
        <v>3</v>
      </c>
      <c r="W15" s="17">
        <f t="shared" si="7"/>
        <v>0</v>
      </c>
      <c r="X15" s="17">
        <f t="shared" si="7"/>
        <v>1</v>
      </c>
      <c r="Y15" s="17">
        <f t="shared" si="7"/>
        <v>0</v>
      </c>
      <c r="Z15" s="17">
        <f t="shared" si="7"/>
        <v>1</v>
      </c>
      <c r="AA15" s="17">
        <f t="shared" si="7"/>
        <v>1</v>
      </c>
      <c r="AB15" s="17">
        <f t="shared" si="7"/>
        <v>3</v>
      </c>
      <c r="AC15" s="17">
        <f t="shared" si="7"/>
        <v>9</v>
      </c>
      <c r="AD15" s="17">
        <f t="shared" si="7"/>
        <v>1</v>
      </c>
      <c r="AE15" s="31">
        <f t="shared" si="7"/>
        <v>23</v>
      </c>
      <c r="AF15" s="31">
        <f t="shared" si="7"/>
        <v>32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4</v>
      </c>
      <c r="M16" s="50">
        <v>3</v>
      </c>
      <c r="N16" s="50">
        <v>0</v>
      </c>
      <c r="O16" s="15">
        <f t="shared" si="0"/>
        <v>6</v>
      </c>
      <c r="P16" s="15">
        <f t="shared" si="1"/>
        <v>9</v>
      </c>
      <c r="R16" s="1" t="s">
        <v>12</v>
      </c>
      <c r="S16" s="17">
        <f t="shared" ref="S16:AF16" si="8">SUM(C34:C37)</f>
        <v>3</v>
      </c>
      <c r="T16" s="17">
        <f t="shared" si="8"/>
        <v>2</v>
      </c>
      <c r="U16" s="17">
        <f t="shared" si="8"/>
        <v>5</v>
      </c>
      <c r="V16" s="17">
        <f t="shared" si="8"/>
        <v>1</v>
      </c>
      <c r="W16" s="17">
        <f t="shared" si="8"/>
        <v>2</v>
      </c>
      <c r="X16" s="17">
        <f t="shared" si="8"/>
        <v>1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5</v>
      </c>
      <c r="AC16" s="17">
        <f t="shared" si="8"/>
        <v>17</v>
      </c>
      <c r="AD16" s="17">
        <f t="shared" si="8"/>
        <v>1</v>
      </c>
      <c r="AE16" s="31">
        <f t="shared" si="8"/>
        <v>22</v>
      </c>
      <c r="AF16" s="31">
        <f t="shared" si="8"/>
        <v>39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1</v>
      </c>
      <c r="M17" s="50">
        <v>5</v>
      </c>
      <c r="N17" s="50">
        <v>0</v>
      </c>
      <c r="O17" s="15">
        <f t="shared" si="0"/>
        <v>1</v>
      </c>
      <c r="P17" s="15">
        <f t="shared" si="1"/>
        <v>6</v>
      </c>
      <c r="R17" s="1" t="s">
        <v>13</v>
      </c>
      <c r="S17" s="17">
        <f t="shared" ref="S17:AF17" si="9">SUM(C38:C41)</f>
        <v>4</v>
      </c>
      <c r="T17" s="17">
        <f t="shared" si="9"/>
        <v>5</v>
      </c>
      <c r="U17" s="17">
        <f t="shared" si="9"/>
        <v>12</v>
      </c>
      <c r="V17" s="17">
        <f t="shared" si="9"/>
        <v>1</v>
      </c>
      <c r="W17" s="17">
        <f t="shared" si="9"/>
        <v>0</v>
      </c>
      <c r="X17" s="17">
        <f t="shared" si="9"/>
        <v>4</v>
      </c>
      <c r="Y17" s="17">
        <f t="shared" si="9"/>
        <v>3</v>
      </c>
      <c r="Z17" s="17">
        <f t="shared" si="9"/>
        <v>0</v>
      </c>
      <c r="AA17" s="17">
        <f t="shared" si="9"/>
        <v>1</v>
      </c>
      <c r="AB17" s="17">
        <f t="shared" si="9"/>
        <v>5</v>
      </c>
      <c r="AC17" s="17">
        <f t="shared" si="9"/>
        <v>18</v>
      </c>
      <c r="AD17" s="17">
        <f t="shared" si="9"/>
        <v>1</v>
      </c>
      <c r="AE17" s="31">
        <f t="shared" si="9"/>
        <v>36</v>
      </c>
      <c r="AF17" s="31">
        <f t="shared" si="9"/>
        <v>54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2</v>
      </c>
      <c r="M18" s="50">
        <v>7</v>
      </c>
      <c r="N18" s="50">
        <v>0</v>
      </c>
      <c r="O18" s="15">
        <f t="shared" si="0"/>
        <v>3</v>
      </c>
      <c r="P18" s="15">
        <f t="shared" si="1"/>
        <v>10</v>
      </c>
      <c r="R18" s="1" t="s">
        <v>14</v>
      </c>
      <c r="S18" s="17">
        <f t="shared" ref="S18:AF18" si="10">SUM(C42:C45)</f>
        <v>5</v>
      </c>
      <c r="T18" s="17">
        <f t="shared" si="10"/>
        <v>4</v>
      </c>
      <c r="U18" s="17">
        <f t="shared" si="10"/>
        <v>10</v>
      </c>
      <c r="V18" s="17">
        <f t="shared" si="10"/>
        <v>4</v>
      </c>
      <c r="W18" s="17">
        <f t="shared" si="10"/>
        <v>5</v>
      </c>
      <c r="X18" s="17">
        <f t="shared" si="10"/>
        <v>2</v>
      </c>
      <c r="Y18" s="17">
        <f t="shared" si="10"/>
        <v>4</v>
      </c>
      <c r="Z18" s="17">
        <f t="shared" si="10"/>
        <v>1</v>
      </c>
      <c r="AA18" s="17">
        <f t="shared" si="10"/>
        <v>9</v>
      </c>
      <c r="AB18" s="17">
        <f t="shared" si="10"/>
        <v>14</v>
      </c>
      <c r="AC18" s="17">
        <f t="shared" si="10"/>
        <v>16</v>
      </c>
      <c r="AD18" s="17">
        <f t="shared" si="10"/>
        <v>0</v>
      </c>
      <c r="AE18" s="31">
        <f t="shared" si="10"/>
        <v>58</v>
      </c>
      <c r="AF18" s="31">
        <f t="shared" si="10"/>
        <v>74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3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1</v>
      </c>
      <c r="M19" s="50">
        <v>5</v>
      </c>
      <c r="N19" s="50">
        <v>0</v>
      </c>
      <c r="O19" s="15">
        <f t="shared" si="0"/>
        <v>8</v>
      </c>
      <c r="P19" s="15">
        <f t="shared" si="1"/>
        <v>13</v>
      </c>
      <c r="R19" s="1" t="s">
        <v>15</v>
      </c>
      <c r="S19" s="17">
        <f t="shared" ref="S19:AF19" si="11">SUM(C46:C49)</f>
        <v>5</v>
      </c>
      <c r="T19" s="17">
        <f t="shared" si="11"/>
        <v>4</v>
      </c>
      <c r="U19" s="17">
        <f t="shared" si="11"/>
        <v>10</v>
      </c>
      <c r="V19" s="17">
        <f t="shared" si="11"/>
        <v>0</v>
      </c>
      <c r="W19" s="17">
        <f t="shared" si="11"/>
        <v>0</v>
      </c>
      <c r="X19" s="17">
        <f t="shared" si="11"/>
        <v>1</v>
      </c>
      <c r="Y19" s="17">
        <f t="shared" si="11"/>
        <v>0</v>
      </c>
      <c r="Z19" s="17">
        <f t="shared" si="11"/>
        <v>0</v>
      </c>
      <c r="AA19" s="17">
        <f t="shared" si="11"/>
        <v>6</v>
      </c>
      <c r="AB19" s="17">
        <f t="shared" si="11"/>
        <v>8</v>
      </c>
      <c r="AC19" s="17">
        <f t="shared" si="11"/>
        <v>14</v>
      </c>
      <c r="AD19" s="17">
        <f t="shared" si="11"/>
        <v>0</v>
      </c>
      <c r="AE19" s="31">
        <f t="shared" si="11"/>
        <v>34</v>
      </c>
      <c r="AF19" s="31">
        <f t="shared" si="11"/>
        <v>48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2</v>
      </c>
      <c r="P20" s="15">
        <f t="shared" si="1"/>
        <v>5</v>
      </c>
      <c r="R20" s="1" t="s">
        <v>16</v>
      </c>
      <c r="S20" s="17">
        <f t="shared" ref="S20:AF20" si="12">SUM(C50:C53)</f>
        <v>5</v>
      </c>
      <c r="T20" s="17">
        <f t="shared" si="12"/>
        <v>2</v>
      </c>
      <c r="U20" s="17">
        <f t="shared" si="12"/>
        <v>7</v>
      </c>
      <c r="V20" s="17">
        <f t="shared" si="12"/>
        <v>4</v>
      </c>
      <c r="W20" s="17">
        <f t="shared" si="12"/>
        <v>0</v>
      </c>
      <c r="X20" s="17">
        <f t="shared" si="12"/>
        <v>4</v>
      </c>
      <c r="Y20" s="17">
        <f t="shared" si="12"/>
        <v>4</v>
      </c>
      <c r="Z20" s="17">
        <f t="shared" si="12"/>
        <v>4</v>
      </c>
      <c r="AA20" s="17">
        <f t="shared" si="12"/>
        <v>0</v>
      </c>
      <c r="AB20" s="17">
        <f t="shared" si="12"/>
        <v>8</v>
      </c>
      <c r="AC20" s="17">
        <f t="shared" si="12"/>
        <v>28</v>
      </c>
      <c r="AD20" s="17">
        <f t="shared" si="12"/>
        <v>3</v>
      </c>
      <c r="AE20" s="31">
        <f t="shared" si="12"/>
        <v>41</v>
      </c>
      <c r="AF20" s="31">
        <f t="shared" si="12"/>
        <v>69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4</v>
      </c>
      <c r="N21" s="50">
        <v>0</v>
      </c>
      <c r="O21" s="15">
        <f t="shared" si="0"/>
        <v>2</v>
      </c>
      <c r="P21" s="15">
        <f t="shared" si="1"/>
        <v>6</v>
      </c>
      <c r="R21" s="36" t="s">
        <v>20</v>
      </c>
      <c r="S21" s="34">
        <f t="shared" ref="S21:AF21" si="13">SUM(C54:C57)</f>
        <v>1</v>
      </c>
      <c r="T21" s="17">
        <f t="shared" si="13"/>
        <v>2</v>
      </c>
      <c r="U21" s="17">
        <f t="shared" si="13"/>
        <v>7</v>
      </c>
      <c r="V21" s="17">
        <f t="shared" si="13"/>
        <v>2</v>
      </c>
      <c r="W21" s="17">
        <f t="shared" si="13"/>
        <v>0</v>
      </c>
      <c r="X21" s="17">
        <f t="shared" si="13"/>
        <v>5</v>
      </c>
      <c r="Y21" s="17">
        <f t="shared" si="13"/>
        <v>1</v>
      </c>
      <c r="Z21" s="17">
        <f t="shared" si="13"/>
        <v>3</v>
      </c>
      <c r="AA21" s="17">
        <f t="shared" si="13"/>
        <v>3</v>
      </c>
      <c r="AB21" s="17">
        <f t="shared" si="13"/>
        <v>1</v>
      </c>
      <c r="AC21" s="17">
        <f t="shared" si="13"/>
        <v>17</v>
      </c>
      <c r="AD21" s="17">
        <f t="shared" si="13"/>
        <v>2</v>
      </c>
      <c r="AE21" s="31">
        <f t="shared" si="13"/>
        <v>27</v>
      </c>
      <c r="AF21" s="31">
        <f t="shared" si="13"/>
        <v>44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2</v>
      </c>
      <c r="F22" s="50">
        <v>0</v>
      </c>
      <c r="G22" s="50">
        <v>1</v>
      </c>
      <c r="H22" s="50">
        <v>0</v>
      </c>
      <c r="I22" s="50">
        <v>3</v>
      </c>
      <c r="J22" s="50">
        <v>1</v>
      </c>
      <c r="K22" s="50">
        <v>0</v>
      </c>
      <c r="L22" s="50">
        <v>1</v>
      </c>
      <c r="M22" s="50">
        <v>5</v>
      </c>
      <c r="N22" s="50">
        <v>0</v>
      </c>
      <c r="O22" s="15">
        <f t="shared" si="0"/>
        <v>8</v>
      </c>
      <c r="P22" s="15">
        <f t="shared" si="1"/>
        <v>13</v>
      </c>
      <c r="R22" s="38" t="s">
        <v>90</v>
      </c>
      <c r="S22" s="39">
        <f>MAX(S10:S12)</f>
        <v>2</v>
      </c>
      <c r="T22" s="39">
        <f t="shared" ref="T22:AF22" si="14">MAX(T10:T12)</f>
        <v>2</v>
      </c>
      <c r="U22" s="39">
        <f t="shared" si="14"/>
        <v>5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3</v>
      </c>
      <c r="AA22" s="39">
        <f t="shared" si="14"/>
        <v>1</v>
      </c>
      <c r="AB22" s="39">
        <f t="shared" si="14"/>
        <v>10</v>
      </c>
      <c r="AC22" s="39">
        <f t="shared" si="14"/>
        <v>19</v>
      </c>
      <c r="AD22" s="39">
        <f t="shared" si="14"/>
        <v>2</v>
      </c>
      <c r="AE22" s="40">
        <f t="shared" si="14"/>
        <v>21</v>
      </c>
      <c r="AF22" s="40">
        <f t="shared" si="14"/>
        <v>34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2</v>
      </c>
      <c r="M23" s="50">
        <v>2</v>
      </c>
      <c r="N23" s="50">
        <v>0</v>
      </c>
      <c r="O23" s="15">
        <f t="shared" si="0"/>
        <v>4</v>
      </c>
      <c r="P23" s="15">
        <f t="shared" si="1"/>
        <v>6</v>
      </c>
      <c r="R23" s="38" t="s">
        <v>91</v>
      </c>
      <c r="S23" s="39">
        <f>MAX(S13:S18)</f>
        <v>8</v>
      </c>
      <c r="T23" s="39">
        <f t="shared" ref="T23:AF23" si="15">MAX(T13:T18)</f>
        <v>5</v>
      </c>
      <c r="U23" s="39">
        <f t="shared" si="15"/>
        <v>12</v>
      </c>
      <c r="V23" s="39">
        <f t="shared" si="15"/>
        <v>4</v>
      </c>
      <c r="W23" s="39">
        <f t="shared" si="15"/>
        <v>5</v>
      </c>
      <c r="X23" s="39">
        <f t="shared" si="15"/>
        <v>4</v>
      </c>
      <c r="Y23" s="39">
        <f t="shared" si="15"/>
        <v>5</v>
      </c>
      <c r="Z23" s="39">
        <f t="shared" si="15"/>
        <v>1</v>
      </c>
      <c r="AA23" s="39">
        <f t="shared" si="15"/>
        <v>9</v>
      </c>
      <c r="AB23" s="39">
        <f t="shared" si="15"/>
        <v>14</v>
      </c>
      <c r="AC23" s="39">
        <f t="shared" si="15"/>
        <v>20</v>
      </c>
      <c r="AD23" s="39">
        <f t="shared" si="15"/>
        <v>2</v>
      </c>
      <c r="AE23" s="40">
        <f t="shared" si="15"/>
        <v>58</v>
      </c>
      <c r="AF23" s="40">
        <f t="shared" si="15"/>
        <v>74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2</v>
      </c>
      <c r="F24" s="50">
        <v>1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1</v>
      </c>
      <c r="O24" s="15">
        <f t="shared" si="0"/>
        <v>5</v>
      </c>
      <c r="P24" s="15">
        <f t="shared" si="1"/>
        <v>7</v>
      </c>
      <c r="R24" s="38" t="s">
        <v>92</v>
      </c>
      <c r="S24" s="39">
        <f>MAX(S19:S21)</f>
        <v>5</v>
      </c>
      <c r="T24" s="39">
        <f t="shared" ref="T24:AF24" si="16">MAX(T19:T21)</f>
        <v>4</v>
      </c>
      <c r="U24" s="39">
        <f t="shared" si="16"/>
        <v>10</v>
      </c>
      <c r="V24" s="39">
        <f t="shared" si="16"/>
        <v>4</v>
      </c>
      <c r="W24" s="39">
        <f t="shared" si="16"/>
        <v>0</v>
      </c>
      <c r="X24" s="39">
        <f t="shared" si="16"/>
        <v>5</v>
      </c>
      <c r="Y24" s="39">
        <f t="shared" si="16"/>
        <v>4</v>
      </c>
      <c r="Z24" s="39">
        <f t="shared" si="16"/>
        <v>4</v>
      </c>
      <c r="AA24" s="39">
        <f t="shared" si="16"/>
        <v>6</v>
      </c>
      <c r="AB24" s="39">
        <f t="shared" si="16"/>
        <v>8</v>
      </c>
      <c r="AC24" s="39">
        <f t="shared" si="16"/>
        <v>28</v>
      </c>
      <c r="AD24" s="39">
        <f t="shared" si="16"/>
        <v>3</v>
      </c>
      <c r="AE24" s="40">
        <f t="shared" si="16"/>
        <v>41</v>
      </c>
      <c r="AF24" s="40">
        <f t="shared" si="16"/>
        <v>69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2</v>
      </c>
      <c r="M25" s="50">
        <v>1</v>
      </c>
      <c r="N25" s="50">
        <v>1</v>
      </c>
      <c r="O25" s="15">
        <f t="shared" si="0"/>
        <v>8</v>
      </c>
      <c r="P25" s="15">
        <f t="shared" si="1"/>
        <v>9</v>
      </c>
      <c r="R25" s="37" t="s">
        <v>85</v>
      </c>
      <c r="S25" s="35">
        <f t="shared" ref="S25:AF25" si="17">SUM(S10:S12)</f>
        <v>2</v>
      </c>
      <c r="T25" s="16">
        <f t="shared" si="17"/>
        <v>2</v>
      </c>
      <c r="U25" s="16">
        <f t="shared" si="17"/>
        <v>10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4</v>
      </c>
      <c r="AA25" s="16">
        <f t="shared" si="17"/>
        <v>2</v>
      </c>
      <c r="AB25" s="16">
        <f t="shared" si="17"/>
        <v>24</v>
      </c>
      <c r="AC25" s="16">
        <f t="shared" si="17"/>
        <v>45</v>
      </c>
      <c r="AD25" s="16">
        <f t="shared" si="17"/>
        <v>2</v>
      </c>
      <c r="AE25" s="32">
        <f t="shared" si="17"/>
        <v>53</v>
      </c>
      <c r="AF25" s="32">
        <f t="shared" si="17"/>
        <v>98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1</v>
      </c>
      <c r="M26" s="50">
        <v>6</v>
      </c>
      <c r="N26" s="50">
        <v>0</v>
      </c>
      <c r="O26" s="15">
        <f t="shared" si="0"/>
        <v>7</v>
      </c>
      <c r="P26" s="15">
        <f t="shared" si="1"/>
        <v>13</v>
      </c>
      <c r="R26" s="28" t="s">
        <v>86</v>
      </c>
      <c r="S26" s="16">
        <f t="shared" ref="S26:AF26" si="18">SUM(S13:S18)</f>
        <v>25</v>
      </c>
      <c r="T26" s="16">
        <f t="shared" si="18"/>
        <v>13</v>
      </c>
      <c r="U26" s="16">
        <f t="shared" si="18"/>
        <v>45</v>
      </c>
      <c r="V26" s="16">
        <f t="shared" si="18"/>
        <v>16</v>
      </c>
      <c r="W26" s="16">
        <f t="shared" si="18"/>
        <v>10</v>
      </c>
      <c r="X26" s="16">
        <f t="shared" si="18"/>
        <v>8</v>
      </c>
      <c r="Y26" s="16">
        <f t="shared" si="18"/>
        <v>17</v>
      </c>
      <c r="Z26" s="16">
        <f t="shared" si="18"/>
        <v>4</v>
      </c>
      <c r="AA26" s="16">
        <f t="shared" si="18"/>
        <v>13</v>
      </c>
      <c r="AB26" s="16">
        <f t="shared" si="18"/>
        <v>40</v>
      </c>
      <c r="AC26" s="16">
        <f t="shared" si="18"/>
        <v>90</v>
      </c>
      <c r="AD26" s="16">
        <f t="shared" si="18"/>
        <v>6</v>
      </c>
      <c r="AE26" s="32">
        <f t="shared" si="18"/>
        <v>197</v>
      </c>
      <c r="AF26" s="32">
        <f t="shared" si="18"/>
        <v>287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3</v>
      </c>
      <c r="J27" s="50">
        <v>0</v>
      </c>
      <c r="K27" s="50">
        <v>2</v>
      </c>
      <c r="L27" s="50">
        <v>2</v>
      </c>
      <c r="M27" s="50">
        <v>5</v>
      </c>
      <c r="N27" s="50">
        <v>0</v>
      </c>
      <c r="O27" s="15">
        <f t="shared" si="0"/>
        <v>9</v>
      </c>
      <c r="P27" s="15">
        <f t="shared" si="1"/>
        <v>14</v>
      </c>
      <c r="R27" s="29" t="s">
        <v>87</v>
      </c>
      <c r="S27" s="16">
        <f t="shared" ref="S27:AF27" si="19">SUM(S19:S21)</f>
        <v>11</v>
      </c>
      <c r="T27" s="16">
        <f t="shared" si="19"/>
        <v>8</v>
      </c>
      <c r="U27" s="16">
        <f t="shared" si="19"/>
        <v>24</v>
      </c>
      <c r="V27" s="16">
        <f t="shared" si="19"/>
        <v>6</v>
      </c>
      <c r="W27" s="16">
        <f t="shared" si="19"/>
        <v>0</v>
      </c>
      <c r="X27" s="16">
        <f t="shared" si="19"/>
        <v>10</v>
      </c>
      <c r="Y27" s="16">
        <f t="shared" si="19"/>
        <v>5</v>
      </c>
      <c r="Z27" s="16">
        <f t="shared" si="19"/>
        <v>7</v>
      </c>
      <c r="AA27" s="16">
        <f t="shared" si="19"/>
        <v>9</v>
      </c>
      <c r="AB27" s="16">
        <f t="shared" si="19"/>
        <v>17</v>
      </c>
      <c r="AC27" s="16">
        <f t="shared" si="19"/>
        <v>59</v>
      </c>
      <c r="AD27" s="16">
        <f t="shared" si="19"/>
        <v>5</v>
      </c>
      <c r="AE27" s="32">
        <f t="shared" si="19"/>
        <v>102</v>
      </c>
      <c r="AF27" s="32">
        <f t="shared" si="19"/>
        <v>161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1</v>
      </c>
      <c r="F28" s="50">
        <v>0</v>
      </c>
      <c r="G28" s="50">
        <v>1</v>
      </c>
      <c r="H28" s="50">
        <v>0</v>
      </c>
      <c r="I28" s="50">
        <v>0</v>
      </c>
      <c r="J28" s="50">
        <v>0</v>
      </c>
      <c r="K28" s="50">
        <v>0</v>
      </c>
      <c r="L28" s="50">
        <v>4</v>
      </c>
      <c r="M28" s="50">
        <v>6</v>
      </c>
      <c r="N28" s="50">
        <v>1</v>
      </c>
      <c r="O28" s="15">
        <f t="shared" si="0"/>
        <v>11</v>
      </c>
      <c r="P28" s="15">
        <f t="shared" si="1"/>
        <v>17</v>
      </c>
      <c r="R28" s="5" t="s">
        <v>17</v>
      </c>
      <c r="S28" s="16">
        <f t="shared" ref="S28:AF28" si="20">SUM(S10:S21)</f>
        <v>38</v>
      </c>
      <c r="T28" s="16">
        <f t="shared" si="20"/>
        <v>23</v>
      </c>
      <c r="U28" s="16">
        <f t="shared" si="20"/>
        <v>79</v>
      </c>
      <c r="V28" s="16">
        <f t="shared" si="20"/>
        <v>25</v>
      </c>
      <c r="W28" s="16">
        <f t="shared" si="20"/>
        <v>10</v>
      </c>
      <c r="X28" s="16">
        <f t="shared" si="20"/>
        <v>18</v>
      </c>
      <c r="Y28" s="16">
        <f t="shared" si="20"/>
        <v>26</v>
      </c>
      <c r="Z28" s="16">
        <f t="shared" si="20"/>
        <v>15</v>
      </c>
      <c r="AA28" s="16">
        <f t="shared" si="20"/>
        <v>24</v>
      </c>
      <c r="AB28" s="16">
        <f t="shared" si="20"/>
        <v>81</v>
      </c>
      <c r="AC28" s="16">
        <f t="shared" si="20"/>
        <v>194</v>
      </c>
      <c r="AD28" s="16">
        <f t="shared" si="20"/>
        <v>13</v>
      </c>
      <c r="AE28" s="32">
        <f t="shared" si="20"/>
        <v>352</v>
      </c>
      <c r="AF28" s="32">
        <f t="shared" si="20"/>
        <v>546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1</v>
      </c>
      <c r="M29" s="50">
        <v>3</v>
      </c>
      <c r="N29" s="50">
        <v>0</v>
      </c>
      <c r="O29" s="15">
        <f t="shared" si="0"/>
        <v>6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1</v>
      </c>
      <c r="E30" s="50">
        <v>2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1</v>
      </c>
      <c r="M30" s="50">
        <v>3</v>
      </c>
      <c r="N30" s="50">
        <v>1</v>
      </c>
      <c r="O30" s="15">
        <f t="shared" si="0"/>
        <v>9</v>
      </c>
      <c r="P30" s="15">
        <f t="shared" si="1"/>
        <v>12</v>
      </c>
    </row>
    <row r="31" spans="2:32" ht="23.1" customHeight="1" x14ac:dyDescent="0.25">
      <c r="B31" s="24" t="s">
        <v>58</v>
      </c>
      <c r="C31" s="50">
        <v>2</v>
      </c>
      <c r="D31" s="50">
        <v>1</v>
      </c>
      <c r="E31" s="50">
        <v>3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7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2</v>
      </c>
      <c r="M32" s="50">
        <v>3</v>
      </c>
      <c r="N32" s="50">
        <v>0</v>
      </c>
      <c r="O32" s="15">
        <f t="shared" si="0"/>
        <v>5</v>
      </c>
      <c r="P32" s="15">
        <f t="shared" si="1"/>
        <v>8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1</v>
      </c>
      <c r="I33" s="50">
        <v>0</v>
      </c>
      <c r="J33" s="50">
        <v>0</v>
      </c>
      <c r="K33" s="50">
        <v>1</v>
      </c>
      <c r="L33" s="50">
        <v>0</v>
      </c>
      <c r="M33" s="50">
        <v>3</v>
      </c>
      <c r="N33" s="50">
        <v>0</v>
      </c>
      <c r="O33" s="15">
        <f t="shared" si="0"/>
        <v>2</v>
      </c>
      <c r="P33" s="15">
        <f t="shared" si="1"/>
        <v>5</v>
      </c>
    </row>
    <row r="34" spans="2:20" ht="23.1" customHeight="1" x14ac:dyDescent="0.25">
      <c r="B34" s="24" t="s">
        <v>61</v>
      </c>
      <c r="C34" s="50">
        <v>0</v>
      </c>
      <c r="D34" s="50">
        <v>2</v>
      </c>
      <c r="E34" s="50">
        <v>3</v>
      </c>
      <c r="F34" s="50">
        <v>0</v>
      </c>
      <c r="G34" s="50">
        <v>1</v>
      </c>
      <c r="H34" s="50">
        <v>0</v>
      </c>
      <c r="I34" s="50">
        <v>0</v>
      </c>
      <c r="J34" s="50">
        <v>0</v>
      </c>
      <c r="K34" s="50">
        <v>0</v>
      </c>
      <c r="L34" s="50">
        <v>2</v>
      </c>
      <c r="M34" s="50">
        <v>6</v>
      </c>
      <c r="N34" s="50">
        <v>1</v>
      </c>
      <c r="O34" s="15">
        <f t="shared" si="0"/>
        <v>9</v>
      </c>
      <c r="P34" s="15">
        <f t="shared" si="1"/>
        <v>15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1</v>
      </c>
      <c r="F35" s="50">
        <v>1</v>
      </c>
      <c r="G35" s="50">
        <v>0</v>
      </c>
      <c r="H35" s="50">
        <v>1</v>
      </c>
      <c r="I35" s="50">
        <v>0</v>
      </c>
      <c r="J35" s="50">
        <v>1</v>
      </c>
      <c r="K35" s="50">
        <v>0</v>
      </c>
      <c r="L35" s="50">
        <v>1</v>
      </c>
      <c r="M35" s="50">
        <v>1</v>
      </c>
      <c r="N35" s="50">
        <v>0</v>
      </c>
      <c r="O35" s="15">
        <f t="shared" si="0"/>
        <v>7</v>
      </c>
      <c r="P35" s="15">
        <f t="shared" si="1"/>
        <v>8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1</v>
      </c>
      <c r="H36" s="50">
        <v>0</v>
      </c>
      <c r="I36" s="50">
        <v>1</v>
      </c>
      <c r="J36" s="50">
        <v>0</v>
      </c>
      <c r="K36" s="50">
        <v>0</v>
      </c>
      <c r="L36" s="50">
        <v>2</v>
      </c>
      <c r="M36" s="50">
        <v>3</v>
      </c>
      <c r="N36" s="50">
        <v>0</v>
      </c>
      <c r="O36" s="15">
        <f t="shared" si="0"/>
        <v>5</v>
      </c>
      <c r="P36" s="15">
        <f t="shared" si="1"/>
        <v>8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1</v>
      </c>
      <c r="P37" s="15">
        <f t="shared" si="1"/>
        <v>8</v>
      </c>
    </row>
    <row r="38" spans="2:20" ht="23.1" customHeight="1" x14ac:dyDescent="0.25">
      <c r="B38" s="24" t="s">
        <v>65</v>
      </c>
      <c r="C38" s="50">
        <v>2</v>
      </c>
      <c r="D38" s="50">
        <v>3</v>
      </c>
      <c r="E38" s="50">
        <v>5</v>
      </c>
      <c r="F38" s="50">
        <v>1</v>
      </c>
      <c r="G38" s="50">
        <v>0</v>
      </c>
      <c r="H38" s="50">
        <v>1</v>
      </c>
      <c r="I38" s="50">
        <v>1</v>
      </c>
      <c r="J38" s="50">
        <v>0</v>
      </c>
      <c r="K38" s="50">
        <v>0</v>
      </c>
      <c r="L38" s="50">
        <v>2</v>
      </c>
      <c r="M38" s="50">
        <v>8</v>
      </c>
      <c r="N38" s="50">
        <v>0</v>
      </c>
      <c r="O38" s="15">
        <f t="shared" si="0"/>
        <v>15</v>
      </c>
      <c r="P38" s="15">
        <f t="shared" si="1"/>
        <v>23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1</v>
      </c>
      <c r="I39" s="50">
        <v>0</v>
      </c>
      <c r="J39" s="50">
        <v>0</v>
      </c>
      <c r="K39" s="50">
        <v>1</v>
      </c>
      <c r="L39" s="50">
        <v>0</v>
      </c>
      <c r="M39" s="50">
        <v>2</v>
      </c>
      <c r="N39" s="50">
        <v>0</v>
      </c>
      <c r="O39" s="15">
        <f t="shared" si="0"/>
        <v>3</v>
      </c>
      <c r="P39" s="15">
        <f t="shared" si="1"/>
        <v>5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3</v>
      </c>
      <c r="N40" s="50">
        <v>1</v>
      </c>
      <c r="O40" s="15">
        <f t="shared" si="0"/>
        <v>4</v>
      </c>
      <c r="P40" s="15">
        <f t="shared" si="1"/>
        <v>7</v>
      </c>
    </row>
    <row r="41" spans="2:20" ht="23.1" customHeight="1" x14ac:dyDescent="0.25">
      <c r="B41" s="23" t="s">
        <v>68</v>
      </c>
      <c r="C41" s="50">
        <v>2</v>
      </c>
      <c r="D41" s="50">
        <v>2</v>
      </c>
      <c r="E41" s="50">
        <v>4</v>
      </c>
      <c r="F41" s="50">
        <v>0</v>
      </c>
      <c r="G41" s="50">
        <v>0</v>
      </c>
      <c r="H41" s="50">
        <v>1</v>
      </c>
      <c r="I41" s="50">
        <v>2</v>
      </c>
      <c r="J41" s="50">
        <v>0</v>
      </c>
      <c r="K41" s="50">
        <v>0</v>
      </c>
      <c r="L41" s="50">
        <v>3</v>
      </c>
      <c r="M41" s="50">
        <v>5</v>
      </c>
      <c r="N41" s="50">
        <v>0</v>
      </c>
      <c r="O41" s="15">
        <f t="shared" si="0"/>
        <v>14</v>
      </c>
      <c r="P41" s="15">
        <f t="shared" si="1"/>
        <v>19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2</v>
      </c>
      <c r="F42" s="50">
        <v>0</v>
      </c>
      <c r="G42" s="50">
        <v>2</v>
      </c>
      <c r="H42" s="50">
        <v>1</v>
      </c>
      <c r="I42" s="50">
        <v>1</v>
      </c>
      <c r="J42" s="50">
        <v>1</v>
      </c>
      <c r="K42" s="50">
        <v>3</v>
      </c>
      <c r="L42" s="50">
        <v>4</v>
      </c>
      <c r="M42" s="50">
        <v>4</v>
      </c>
      <c r="N42" s="50">
        <v>0</v>
      </c>
      <c r="O42" s="15">
        <f t="shared" si="0"/>
        <v>17</v>
      </c>
      <c r="P42" s="15">
        <f t="shared" si="1"/>
        <v>21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2</v>
      </c>
      <c r="F43" s="50">
        <v>1</v>
      </c>
      <c r="G43" s="50">
        <v>0</v>
      </c>
      <c r="H43" s="50">
        <v>1</v>
      </c>
      <c r="I43" s="50">
        <v>2</v>
      </c>
      <c r="J43" s="50">
        <v>0</v>
      </c>
      <c r="K43" s="50">
        <v>1</v>
      </c>
      <c r="L43" s="50">
        <v>3</v>
      </c>
      <c r="M43" s="50">
        <v>2</v>
      </c>
      <c r="N43" s="50">
        <v>0</v>
      </c>
      <c r="O43" s="15">
        <f t="shared" si="0"/>
        <v>11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1</v>
      </c>
      <c r="D44" s="50">
        <v>2</v>
      </c>
      <c r="E44" s="50">
        <v>4</v>
      </c>
      <c r="F44" s="50">
        <v>2</v>
      </c>
      <c r="G44" s="50">
        <v>3</v>
      </c>
      <c r="H44" s="50">
        <v>0</v>
      </c>
      <c r="I44" s="50">
        <v>0</v>
      </c>
      <c r="J44" s="50">
        <v>0</v>
      </c>
      <c r="K44" s="50">
        <v>2</v>
      </c>
      <c r="L44" s="50">
        <v>5</v>
      </c>
      <c r="M44" s="50">
        <v>7</v>
      </c>
      <c r="N44" s="50">
        <v>0</v>
      </c>
      <c r="O44" s="15">
        <f t="shared" si="0"/>
        <v>19</v>
      </c>
      <c r="P44" s="15">
        <f t="shared" si="1"/>
        <v>26</v>
      </c>
    </row>
    <row r="45" spans="2:20" ht="23.1" customHeight="1" x14ac:dyDescent="0.25">
      <c r="B45" s="23" t="s">
        <v>72</v>
      </c>
      <c r="C45" s="50">
        <v>1</v>
      </c>
      <c r="D45" s="50">
        <v>1</v>
      </c>
      <c r="E45" s="50">
        <v>2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3</v>
      </c>
      <c r="L45" s="50">
        <v>2</v>
      </c>
      <c r="M45" s="50">
        <v>3</v>
      </c>
      <c r="N45" s="50">
        <v>0</v>
      </c>
      <c r="O45" s="15">
        <f t="shared" si="0"/>
        <v>11</v>
      </c>
      <c r="P45" s="15">
        <f t="shared" si="1"/>
        <v>14</v>
      </c>
    </row>
    <row r="46" spans="2:20" ht="23.1" customHeight="1" x14ac:dyDescent="0.25">
      <c r="B46" s="24" t="s">
        <v>73</v>
      </c>
      <c r="C46" s="50">
        <v>0</v>
      </c>
      <c r="D46" s="50">
        <v>1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1</v>
      </c>
      <c r="M46" s="50">
        <v>2</v>
      </c>
      <c r="N46" s="50">
        <v>0</v>
      </c>
      <c r="O46" s="15">
        <f t="shared" si="0"/>
        <v>4</v>
      </c>
      <c r="P46" s="15">
        <f t="shared" si="1"/>
        <v>6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2</v>
      </c>
      <c r="E47" s="50">
        <v>4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2</v>
      </c>
      <c r="M47" s="50">
        <v>4</v>
      </c>
      <c r="N47" s="50">
        <v>0</v>
      </c>
      <c r="O47" s="15">
        <f t="shared" si="0"/>
        <v>12</v>
      </c>
      <c r="P47" s="15">
        <f t="shared" si="1"/>
        <v>16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2</v>
      </c>
      <c r="F48" s="50">
        <v>0</v>
      </c>
      <c r="G48" s="50">
        <v>0</v>
      </c>
      <c r="H48" s="50">
        <v>1</v>
      </c>
      <c r="I48" s="50">
        <v>0</v>
      </c>
      <c r="J48" s="50">
        <v>0</v>
      </c>
      <c r="K48" s="50">
        <v>2</v>
      </c>
      <c r="L48" s="50">
        <v>2</v>
      </c>
      <c r="M48" s="50">
        <v>3</v>
      </c>
      <c r="N48" s="50">
        <v>0</v>
      </c>
      <c r="O48" s="15">
        <f t="shared" si="0"/>
        <v>8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1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3</v>
      </c>
      <c r="M49" s="50">
        <v>5</v>
      </c>
      <c r="N49" s="50">
        <v>0</v>
      </c>
      <c r="O49" s="15">
        <f t="shared" si="0"/>
        <v>10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1</v>
      </c>
      <c r="E50" s="50">
        <v>3</v>
      </c>
      <c r="F50" s="50">
        <v>2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1</v>
      </c>
      <c r="M50" s="50">
        <v>6</v>
      </c>
      <c r="N50" s="50">
        <v>1</v>
      </c>
      <c r="O50" s="15">
        <f t="shared" si="0"/>
        <v>12</v>
      </c>
      <c r="P50" s="15">
        <f t="shared" si="1"/>
        <v>18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2</v>
      </c>
      <c r="I51" s="50">
        <v>1</v>
      </c>
      <c r="J51" s="50">
        <v>1</v>
      </c>
      <c r="K51" s="50">
        <v>0</v>
      </c>
      <c r="L51" s="50">
        <v>3</v>
      </c>
      <c r="M51" s="50">
        <v>5</v>
      </c>
      <c r="N51" s="50">
        <v>2</v>
      </c>
      <c r="O51" s="15">
        <f t="shared" si="0"/>
        <v>11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3</v>
      </c>
      <c r="M52" s="50">
        <v>7</v>
      </c>
      <c r="N52" s="50">
        <v>0</v>
      </c>
      <c r="O52" s="15">
        <f t="shared" si="0"/>
        <v>8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2</v>
      </c>
      <c r="F53" s="50">
        <v>2</v>
      </c>
      <c r="G53" s="50">
        <v>0</v>
      </c>
      <c r="H53" s="50">
        <v>2</v>
      </c>
      <c r="I53" s="50">
        <v>1</v>
      </c>
      <c r="J53" s="50">
        <v>1</v>
      </c>
      <c r="K53" s="50">
        <v>0</v>
      </c>
      <c r="L53" s="50">
        <v>1</v>
      </c>
      <c r="M53" s="50">
        <v>10</v>
      </c>
      <c r="N53" s="50">
        <v>0</v>
      </c>
      <c r="O53" s="15">
        <f t="shared" si="0"/>
        <v>10</v>
      </c>
      <c r="P53" s="15">
        <f t="shared" si="1"/>
        <v>20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3</v>
      </c>
      <c r="F54" s="50">
        <v>0</v>
      </c>
      <c r="G54" s="50">
        <v>0</v>
      </c>
      <c r="H54" s="50">
        <v>1</v>
      </c>
      <c r="I54" s="50">
        <v>1</v>
      </c>
      <c r="J54" s="50">
        <v>1</v>
      </c>
      <c r="K54" s="50">
        <v>0</v>
      </c>
      <c r="L54" s="50">
        <v>1</v>
      </c>
      <c r="M54" s="50">
        <v>4</v>
      </c>
      <c r="N54" s="50">
        <v>0</v>
      </c>
      <c r="O54" s="15">
        <f t="shared" si="0"/>
        <v>8</v>
      </c>
      <c r="P54" s="15">
        <f t="shared" si="1"/>
        <v>12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2</v>
      </c>
      <c r="F55" s="50">
        <v>2</v>
      </c>
      <c r="G55" s="50">
        <v>0</v>
      </c>
      <c r="H55" s="50">
        <v>2</v>
      </c>
      <c r="I55" s="50">
        <v>0</v>
      </c>
      <c r="J55" s="50">
        <v>0</v>
      </c>
      <c r="K55" s="50">
        <v>2</v>
      </c>
      <c r="L55" s="50">
        <v>0</v>
      </c>
      <c r="M55" s="50">
        <v>3</v>
      </c>
      <c r="N55" s="50">
        <v>2</v>
      </c>
      <c r="O55" s="15">
        <f t="shared" si="0"/>
        <v>11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2</v>
      </c>
      <c r="K56" s="50">
        <v>1</v>
      </c>
      <c r="L56" s="50">
        <v>0</v>
      </c>
      <c r="M56" s="50">
        <v>6</v>
      </c>
      <c r="N56" s="50">
        <v>0</v>
      </c>
      <c r="O56" s="15">
        <f t="shared" si="0"/>
        <v>6</v>
      </c>
      <c r="P56" s="15">
        <f t="shared" si="1"/>
        <v>12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2</v>
      </c>
      <c r="I57" s="50">
        <v>0</v>
      </c>
      <c r="J57" s="50">
        <v>0</v>
      </c>
      <c r="K57" s="50">
        <v>0</v>
      </c>
      <c r="L57" s="50">
        <v>0</v>
      </c>
      <c r="M57" s="50">
        <v>4</v>
      </c>
      <c r="N57" s="50">
        <v>0</v>
      </c>
      <c r="O57" s="15">
        <f t="shared" si="0"/>
        <v>2</v>
      </c>
      <c r="P57" s="15">
        <f t="shared" si="1"/>
        <v>6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1">SUM(D10:D57)</f>
        <v>23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1"/>
        <v>81</v>
      </c>
      <c r="M58" s="16">
        <v>0</v>
      </c>
      <c r="N58" s="16">
        <v>0</v>
      </c>
      <c r="O58" s="16">
        <f t="shared" si="21"/>
        <v>352</v>
      </c>
      <c r="P58" s="16">
        <f t="shared" si="21"/>
        <v>546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L59" si="22">D58/$P$58</f>
        <v>4.2124542124542128E-2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2"/>
        <v>0.14835164835164835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3">D58/$O$58</f>
        <v>6.5340909090909088E-2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3"/>
        <v>0.23011363636363635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zoomScale="60" workbookViewId="0">
      <selection activeCell="D11" sqref="D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karuma-pakwach'!C3:G3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6" t="str">
        <f>'01.08 pakwach-karuma'!G5:H5</f>
        <v>xxx</v>
      </c>
      <c r="H5" s="67"/>
      <c r="I5" s="14"/>
      <c r="J5" s="2" t="s">
        <v>5</v>
      </c>
      <c r="K5" s="66" t="str">
        <f>'01.08 pakwach-karuma'!K5:L5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166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'01.08 pakwach-karuma'!K6:L6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1</v>
      </c>
      <c r="T10" s="17">
        <f t="shared" si="2"/>
        <v>2</v>
      </c>
      <c r="U10" s="17">
        <f t="shared" si="2"/>
        <v>5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10</v>
      </c>
      <c r="AF10" s="31">
        <f t="shared" si="2"/>
        <v>19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2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4</v>
      </c>
      <c r="P11" s="15">
        <f t="shared" si="1"/>
        <v>4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5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3</v>
      </c>
      <c r="AC11" s="17">
        <f t="shared" si="3"/>
        <v>13</v>
      </c>
      <c r="AD11" s="17">
        <f t="shared" si="3"/>
        <v>4</v>
      </c>
      <c r="AE11" s="31">
        <f t="shared" si="3"/>
        <v>16</v>
      </c>
      <c r="AF11" s="31">
        <f t="shared" si="3"/>
        <v>29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1</v>
      </c>
      <c r="P12" s="15">
        <f t="shared" si="1"/>
        <v>3</v>
      </c>
      <c r="R12" s="1" t="s">
        <v>8</v>
      </c>
      <c r="S12" s="17">
        <f t="shared" ref="S12:AF12" si="4">SUM(C18:C21)</f>
        <v>2</v>
      </c>
      <c r="T12" s="17">
        <f t="shared" si="4"/>
        <v>2</v>
      </c>
      <c r="U12" s="17">
        <f t="shared" si="4"/>
        <v>5</v>
      </c>
      <c r="V12" s="17">
        <f t="shared" si="4"/>
        <v>6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19</v>
      </c>
      <c r="AD12" s="17">
        <f t="shared" si="4"/>
        <v>0</v>
      </c>
      <c r="AE12" s="31">
        <f t="shared" si="4"/>
        <v>17</v>
      </c>
      <c r="AF12" s="31">
        <f t="shared" si="4"/>
        <v>36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4</v>
      </c>
      <c r="P13" s="15">
        <f t="shared" si="1"/>
        <v>8</v>
      </c>
      <c r="R13" s="1" t="s">
        <v>9</v>
      </c>
      <c r="S13" s="17">
        <f t="shared" ref="S13:AF13" si="5">SUM(C22:C25)</f>
        <v>0</v>
      </c>
      <c r="T13" s="17">
        <f t="shared" si="5"/>
        <v>2</v>
      </c>
      <c r="U13" s="17">
        <f t="shared" si="5"/>
        <v>7</v>
      </c>
      <c r="V13" s="17">
        <f t="shared" si="5"/>
        <v>3</v>
      </c>
      <c r="W13" s="17">
        <f t="shared" si="5"/>
        <v>2</v>
      </c>
      <c r="X13" s="17">
        <f t="shared" si="5"/>
        <v>7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3</v>
      </c>
      <c r="AC13" s="17">
        <f t="shared" si="5"/>
        <v>8</v>
      </c>
      <c r="AD13" s="17">
        <f t="shared" si="5"/>
        <v>0</v>
      </c>
      <c r="AE13" s="31">
        <f t="shared" si="5"/>
        <v>25</v>
      </c>
      <c r="AF13" s="31">
        <f t="shared" si="5"/>
        <v>33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0</v>
      </c>
      <c r="P14" s="15">
        <f t="shared" si="1"/>
        <v>2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7</v>
      </c>
      <c r="V14" s="17">
        <f t="shared" si="6"/>
        <v>6</v>
      </c>
      <c r="W14" s="17">
        <f t="shared" si="6"/>
        <v>1</v>
      </c>
      <c r="X14" s="17">
        <f t="shared" si="6"/>
        <v>1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2</v>
      </c>
      <c r="AC14" s="17">
        <f t="shared" si="6"/>
        <v>7</v>
      </c>
      <c r="AD14" s="17">
        <f t="shared" si="6"/>
        <v>0</v>
      </c>
      <c r="AE14" s="31">
        <f t="shared" si="6"/>
        <v>21</v>
      </c>
      <c r="AF14" s="31">
        <f t="shared" si="6"/>
        <v>28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2</v>
      </c>
      <c r="M15" s="50">
        <v>3</v>
      </c>
      <c r="N15" s="50">
        <v>0</v>
      </c>
      <c r="O15" s="15">
        <f t="shared" si="0"/>
        <v>3</v>
      </c>
      <c r="P15" s="15">
        <f t="shared" si="1"/>
        <v>6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4</v>
      </c>
      <c r="V15" s="17">
        <f t="shared" si="7"/>
        <v>2</v>
      </c>
      <c r="W15" s="17">
        <f t="shared" si="7"/>
        <v>0</v>
      </c>
      <c r="X15" s="17">
        <f t="shared" si="7"/>
        <v>2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1</v>
      </c>
      <c r="AC15" s="17">
        <f t="shared" si="7"/>
        <v>10</v>
      </c>
      <c r="AD15" s="17">
        <f t="shared" si="7"/>
        <v>2</v>
      </c>
      <c r="AE15" s="31">
        <f t="shared" si="7"/>
        <v>16</v>
      </c>
      <c r="AF15" s="31">
        <f t="shared" si="7"/>
        <v>26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2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5</v>
      </c>
      <c r="P16" s="15">
        <f t="shared" si="1"/>
        <v>12</v>
      </c>
      <c r="R16" s="1" t="s">
        <v>12</v>
      </c>
      <c r="S16" s="17">
        <f t="shared" ref="S16:AF16" si="8">SUM(C34:C37)</f>
        <v>4</v>
      </c>
      <c r="T16" s="17">
        <f t="shared" si="8"/>
        <v>0</v>
      </c>
      <c r="U16" s="17">
        <f t="shared" si="8"/>
        <v>3</v>
      </c>
      <c r="V16" s="17">
        <f t="shared" si="8"/>
        <v>6</v>
      </c>
      <c r="W16" s="17">
        <f t="shared" si="8"/>
        <v>0</v>
      </c>
      <c r="X16" s="17">
        <f t="shared" si="8"/>
        <v>1</v>
      </c>
      <c r="Y16" s="17">
        <f t="shared" si="8"/>
        <v>3</v>
      </c>
      <c r="Z16" s="17">
        <f t="shared" si="8"/>
        <v>0</v>
      </c>
      <c r="AA16" s="17">
        <f t="shared" si="8"/>
        <v>1</v>
      </c>
      <c r="AB16" s="17">
        <f t="shared" si="8"/>
        <v>5</v>
      </c>
      <c r="AC16" s="17">
        <f t="shared" si="8"/>
        <v>15</v>
      </c>
      <c r="AD16" s="17">
        <f t="shared" si="8"/>
        <v>0</v>
      </c>
      <c r="AE16" s="31">
        <f t="shared" si="8"/>
        <v>23</v>
      </c>
      <c r="AF16" s="31">
        <f t="shared" si="8"/>
        <v>38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1</v>
      </c>
      <c r="M17" s="50">
        <v>1</v>
      </c>
      <c r="N17" s="50">
        <v>4</v>
      </c>
      <c r="O17" s="15">
        <f t="shared" si="0"/>
        <v>8</v>
      </c>
      <c r="P17" s="15">
        <f t="shared" si="1"/>
        <v>9</v>
      </c>
      <c r="R17" s="1" t="s">
        <v>13</v>
      </c>
      <c r="S17" s="17">
        <f t="shared" ref="S17:AF17" si="9">SUM(C38:C41)</f>
        <v>7</v>
      </c>
      <c r="T17" s="17">
        <f t="shared" si="9"/>
        <v>2</v>
      </c>
      <c r="U17" s="17">
        <f t="shared" si="9"/>
        <v>8</v>
      </c>
      <c r="V17" s="17">
        <f t="shared" si="9"/>
        <v>3</v>
      </c>
      <c r="W17" s="17">
        <f t="shared" si="9"/>
        <v>0</v>
      </c>
      <c r="X17" s="17">
        <f t="shared" si="9"/>
        <v>3</v>
      </c>
      <c r="Y17" s="17">
        <f t="shared" si="9"/>
        <v>5</v>
      </c>
      <c r="Z17" s="17">
        <f t="shared" si="9"/>
        <v>1</v>
      </c>
      <c r="AA17" s="17">
        <f t="shared" si="9"/>
        <v>3</v>
      </c>
      <c r="AB17" s="17">
        <f t="shared" si="9"/>
        <v>7</v>
      </c>
      <c r="AC17" s="17">
        <f t="shared" si="9"/>
        <v>28</v>
      </c>
      <c r="AD17" s="17">
        <f t="shared" si="9"/>
        <v>1</v>
      </c>
      <c r="AE17" s="31">
        <f t="shared" si="9"/>
        <v>40</v>
      </c>
      <c r="AF17" s="31">
        <f t="shared" si="9"/>
        <v>68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0</v>
      </c>
      <c r="P18" s="15">
        <f t="shared" si="1"/>
        <v>4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5</v>
      </c>
      <c r="V18" s="17">
        <f t="shared" si="10"/>
        <v>3</v>
      </c>
      <c r="W18" s="17">
        <f t="shared" si="10"/>
        <v>0</v>
      </c>
      <c r="X18" s="17">
        <f t="shared" si="10"/>
        <v>1</v>
      </c>
      <c r="Y18" s="17">
        <f t="shared" si="10"/>
        <v>4</v>
      </c>
      <c r="Z18" s="17">
        <f t="shared" si="10"/>
        <v>2</v>
      </c>
      <c r="AA18" s="17">
        <f t="shared" si="10"/>
        <v>1</v>
      </c>
      <c r="AB18" s="17">
        <f t="shared" si="10"/>
        <v>12</v>
      </c>
      <c r="AC18" s="17">
        <f t="shared" si="10"/>
        <v>16</v>
      </c>
      <c r="AD18" s="17">
        <f t="shared" si="10"/>
        <v>1</v>
      </c>
      <c r="AE18" s="31">
        <f t="shared" si="10"/>
        <v>34</v>
      </c>
      <c r="AF18" s="31">
        <f t="shared" si="10"/>
        <v>50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2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6</v>
      </c>
      <c r="P19" s="15">
        <f t="shared" si="1"/>
        <v>7</v>
      </c>
      <c r="R19" s="1" t="s">
        <v>15</v>
      </c>
      <c r="S19" s="17">
        <f t="shared" ref="S19:AF19" si="11">SUM(C46:C49)</f>
        <v>4</v>
      </c>
      <c r="T19" s="17">
        <f t="shared" si="11"/>
        <v>1</v>
      </c>
      <c r="U19" s="17">
        <f t="shared" si="11"/>
        <v>3</v>
      </c>
      <c r="V19" s="17">
        <f t="shared" si="11"/>
        <v>3</v>
      </c>
      <c r="W19" s="17">
        <f t="shared" si="11"/>
        <v>1</v>
      </c>
      <c r="X19" s="17">
        <f t="shared" si="11"/>
        <v>1</v>
      </c>
      <c r="Y19" s="17">
        <f t="shared" si="11"/>
        <v>9</v>
      </c>
      <c r="Z19" s="17">
        <f t="shared" si="11"/>
        <v>3</v>
      </c>
      <c r="AA19" s="17">
        <f t="shared" si="11"/>
        <v>1</v>
      </c>
      <c r="AB19" s="17">
        <f t="shared" si="11"/>
        <v>6</v>
      </c>
      <c r="AC19" s="17">
        <f t="shared" si="11"/>
        <v>21</v>
      </c>
      <c r="AD19" s="17">
        <f t="shared" si="11"/>
        <v>1</v>
      </c>
      <c r="AE19" s="31">
        <f t="shared" si="11"/>
        <v>33</v>
      </c>
      <c r="AF19" s="31">
        <f t="shared" si="11"/>
        <v>54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2</v>
      </c>
      <c r="F20" s="50">
        <v>2</v>
      </c>
      <c r="G20" s="50">
        <v>0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7</v>
      </c>
      <c r="P20" s="15">
        <f t="shared" si="1"/>
        <v>15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4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1</v>
      </c>
      <c r="AA20" s="17">
        <f t="shared" si="12"/>
        <v>0</v>
      </c>
      <c r="AB20" s="17">
        <f t="shared" si="12"/>
        <v>5</v>
      </c>
      <c r="AC20" s="17">
        <f t="shared" si="12"/>
        <v>24</v>
      </c>
      <c r="AD20" s="17">
        <f t="shared" si="12"/>
        <v>0</v>
      </c>
      <c r="AE20" s="31">
        <f t="shared" si="12"/>
        <v>22</v>
      </c>
      <c r="AF20" s="31">
        <f t="shared" si="12"/>
        <v>46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4</v>
      </c>
      <c r="P21" s="15">
        <f t="shared" si="1"/>
        <v>10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1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1</v>
      </c>
      <c r="AC21" s="17">
        <f t="shared" si="13"/>
        <v>0</v>
      </c>
      <c r="AD21" s="17">
        <f t="shared" si="13"/>
        <v>0</v>
      </c>
      <c r="AE21" s="31">
        <f t="shared" si="13"/>
        <v>3</v>
      </c>
      <c r="AF21" s="31">
        <f t="shared" si="13"/>
        <v>3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1</v>
      </c>
      <c r="H22" s="50">
        <v>1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3</v>
      </c>
      <c r="P22" s="15">
        <f t="shared" si="1"/>
        <v>4</v>
      </c>
      <c r="R22" s="38" t="s">
        <v>90</v>
      </c>
      <c r="S22" s="39">
        <f>MAX(S10:S12)</f>
        <v>2</v>
      </c>
      <c r="T22" s="39">
        <f t="shared" ref="T22:AF22" si="14">MAX(T10:T12)</f>
        <v>2</v>
      </c>
      <c r="U22" s="39">
        <f t="shared" si="14"/>
        <v>5</v>
      </c>
      <c r="V22" s="39">
        <f t="shared" si="14"/>
        <v>6</v>
      </c>
      <c r="W22" s="39">
        <f t="shared" si="14"/>
        <v>0</v>
      </c>
      <c r="X22" s="39">
        <f t="shared" si="14"/>
        <v>1</v>
      </c>
      <c r="Y22" s="39">
        <f t="shared" si="14"/>
        <v>1</v>
      </c>
      <c r="Z22" s="39">
        <f t="shared" si="14"/>
        <v>1</v>
      </c>
      <c r="AA22" s="39">
        <f t="shared" si="14"/>
        <v>0</v>
      </c>
      <c r="AB22" s="39">
        <f t="shared" si="14"/>
        <v>3</v>
      </c>
      <c r="AC22" s="39">
        <f t="shared" si="14"/>
        <v>19</v>
      </c>
      <c r="AD22" s="39">
        <f t="shared" si="14"/>
        <v>4</v>
      </c>
      <c r="AE22" s="40">
        <f t="shared" si="14"/>
        <v>17</v>
      </c>
      <c r="AF22" s="40">
        <f t="shared" si="14"/>
        <v>36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3</v>
      </c>
      <c r="F23" s="50">
        <v>2</v>
      </c>
      <c r="G23" s="50">
        <v>1</v>
      </c>
      <c r="H23" s="50">
        <v>1</v>
      </c>
      <c r="I23" s="50">
        <v>1</v>
      </c>
      <c r="J23" s="50">
        <v>0</v>
      </c>
      <c r="K23" s="50">
        <v>0</v>
      </c>
      <c r="L23" s="50">
        <v>1</v>
      </c>
      <c r="M23" s="50">
        <v>4</v>
      </c>
      <c r="N23" s="50">
        <v>0</v>
      </c>
      <c r="O23" s="15">
        <f t="shared" si="0"/>
        <v>10</v>
      </c>
      <c r="P23" s="15">
        <f t="shared" si="1"/>
        <v>14</v>
      </c>
      <c r="R23" s="38" t="s">
        <v>91</v>
      </c>
      <c r="S23" s="39">
        <f>MAX(S13:S18)</f>
        <v>7</v>
      </c>
      <c r="T23" s="39">
        <f t="shared" ref="T23:AF23" si="15">MAX(T13:T18)</f>
        <v>2</v>
      </c>
      <c r="U23" s="39">
        <f t="shared" si="15"/>
        <v>8</v>
      </c>
      <c r="V23" s="39">
        <f t="shared" si="15"/>
        <v>6</v>
      </c>
      <c r="W23" s="39">
        <f t="shared" si="15"/>
        <v>2</v>
      </c>
      <c r="X23" s="39">
        <f t="shared" si="15"/>
        <v>7</v>
      </c>
      <c r="Y23" s="39">
        <f t="shared" si="15"/>
        <v>5</v>
      </c>
      <c r="Z23" s="39">
        <f t="shared" si="15"/>
        <v>2</v>
      </c>
      <c r="AA23" s="39">
        <f t="shared" si="15"/>
        <v>3</v>
      </c>
      <c r="AB23" s="39">
        <f t="shared" si="15"/>
        <v>12</v>
      </c>
      <c r="AC23" s="39">
        <f t="shared" si="15"/>
        <v>28</v>
      </c>
      <c r="AD23" s="39">
        <f t="shared" si="15"/>
        <v>2</v>
      </c>
      <c r="AE23" s="40">
        <f t="shared" si="15"/>
        <v>40</v>
      </c>
      <c r="AF23" s="40">
        <f t="shared" si="15"/>
        <v>68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1</v>
      </c>
      <c r="P24" s="15">
        <f t="shared" si="1"/>
        <v>3</v>
      </c>
      <c r="R24" s="38" t="s">
        <v>92</v>
      </c>
      <c r="S24" s="39">
        <f>MAX(S19:S21)</f>
        <v>4</v>
      </c>
      <c r="T24" s="39">
        <f t="shared" ref="T24:AF24" si="16">MAX(T19:T21)</f>
        <v>1</v>
      </c>
      <c r="U24" s="39">
        <f t="shared" si="16"/>
        <v>4</v>
      </c>
      <c r="V24" s="39">
        <f t="shared" si="16"/>
        <v>3</v>
      </c>
      <c r="W24" s="39">
        <f t="shared" si="16"/>
        <v>1</v>
      </c>
      <c r="X24" s="39">
        <f t="shared" si="16"/>
        <v>1</v>
      </c>
      <c r="Y24" s="39">
        <f t="shared" si="16"/>
        <v>9</v>
      </c>
      <c r="Z24" s="39">
        <f t="shared" si="16"/>
        <v>3</v>
      </c>
      <c r="AA24" s="39">
        <f t="shared" si="16"/>
        <v>1</v>
      </c>
      <c r="AB24" s="39">
        <f t="shared" si="16"/>
        <v>6</v>
      </c>
      <c r="AC24" s="39">
        <f t="shared" si="16"/>
        <v>24</v>
      </c>
      <c r="AD24" s="39">
        <f t="shared" si="16"/>
        <v>1</v>
      </c>
      <c r="AE24" s="40">
        <f t="shared" si="16"/>
        <v>33</v>
      </c>
      <c r="AF24" s="40">
        <f t="shared" si="16"/>
        <v>54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3</v>
      </c>
      <c r="F25" s="50">
        <v>0</v>
      </c>
      <c r="G25" s="50">
        <v>0</v>
      </c>
      <c r="H25" s="50">
        <v>5</v>
      </c>
      <c r="I25" s="50">
        <v>0</v>
      </c>
      <c r="J25" s="50">
        <v>0</v>
      </c>
      <c r="K25" s="50">
        <v>0</v>
      </c>
      <c r="L25" s="50">
        <v>2</v>
      </c>
      <c r="M25" s="50">
        <v>1</v>
      </c>
      <c r="N25" s="50">
        <v>0</v>
      </c>
      <c r="O25" s="15">
        <f t="shared" si="0"/>
        <v>11</v>
      </c>
      <c r="P25" s="15">
        <f t="shared" si="1"/>
        <v>12</v>
      </c>
      <c r="R25" s="37" t="s">
        <v>85</v>
      </c>
      <c r="S25" s="35">
        <f t="shared" ref="S25:AF25" si="17">SUM(S10:S12)</f>
        <v>3</v>
      </c>
      <c r="T25" s="16">
        <f t="shared" si="17"/>
        <v>5</v>
      </c>
      <c r="U25" s="16">
        <f t="shared" si="17"/>
        <v>15</v>
      </c>
      <c r="V25" s="16">
        <f t="shared" si="17"/>
        <v>9</v>
      </c>
      <c r="W25" s="16">
        <f t="shared" si="17"/>
        <v>0</v>
      </c>
      <c r="X25" s="16">
        <f t="shared" si="17"/>
        <v>1</v>
      </c>
      <c r="Y25" s="16">
        <f t="shared" si="17"/>
        <v>2</v>
      </c>
      <c r="Z25" s="16">
        <f t="shared" si="17"/>
        <v>1</v>
      </c>
      <c r="AA25" s="16">
        <f t="shared" si="17"/>
        <v>0</v>
      </c>
      <c r="AB25" s="16">
        <f t="shared" si="17"/>
        <v>3</v>
      </c>
      <c r="AC25" s="16">
        <f t="shared" si="17"/>
        <v>41</v>
      </c>
      <c r="AD25" s="16">
        <f t="shared" si="17"/>
        <v>4</v>
      </c>
      <c r="AE25" s="32">
        <f t="shared" si="17"/>
        <v>43</v>
      </c>
      <c r="AF25" s="32">
        <f t="shared" si="17"/>
        <v>84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2</v>
      </c>
      <c r="G26" s="50">
        <v>0</v>
      </c>
      <c r="H26" s="50">
        <v>1</v>
      </c>
      <c r="I26" s="50">
        <v>0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4</v>
      </c>
      <c r="P26" s="15">
        <f t="shared" si="1"/>
        <v>5</v>
      </c>
      <c r="R26" s="28" t="s">
        <v>86</v>
      </c>
      <c r="S26" s="16">
        <f t="shared" ref="S26:AF26" si="18">SUM(S13:S18)</f>
        <v>21</v>
      </c>
      <c r="T26" s="16">
        <f t="shared" si="18"/>
        <v>6</v>
      </c>
      <c r="U26" s="16">
        <f t="shared" si="18"/>
        <v>34</v>
      </c>
      <c r="V26" s="16">
        <f t="shared" si="18"/>
        <v>23</v>
      </c>
      <c r="W26" s="16">
        <f t="shared" si="18"/>
        <v>3</v>
      </c>
      <c r="X26" s="16">
        <f t="shared" si="18"/>
        <v>15</v>
      </c>
      <c r="Y26" s="16">
        <f t="shared" si="18"/>
        <v>14</v>
      </c>
      <c r="Z26" s="16">
        <f t="shared" si="18"/>
        <v>4</v>
      </c>
      <c r="AA26" s="16">
        <f t="shared" si="18"/>
        <v>5</v>
      </c>
      <c r="AB26" s="16">
        <f t="shared" si="18"/>
        <v>30</v>
      </c>
      <c r="AC26" s="16">
        <f t="shared" si="18"/>
        <v>84</v>
      </c>
      <c r="AD26" s="16">
        <f t="shared" si="18"/>
        <v>4</v>
      </c>
      <c r="AE26" s="32">
        <f t="shared" si="18"/>
        <v>159</v>
      </c>
      <c r="AF26" s="32">
        <f t="shared" si="18"/>
        <v>243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</v>
      </c>
      <c r="N27" s="50">
        <v>0</v>
      </c>
      <c r="O27" s="15">
        <f t="shared" si="0"/>
        <v>1</v>
      </c>
      <c r="P27" s="15">
        <f t="shared" si="1"/>
        <v>3</v>
      </c>
      <c r="R27" s="29" t="s">
        <v>87</v>
      </c>
      <c r="S27" s="16">
        <f t="shared" ref="S27:AF27" si="19">SUM(S19:S21)</f>
        <v>7</v>
      </c>
      <c r="T27" s="16">
        <f t="shared" si="19"/>
        <v>2</v>
      </c>
      <c r="U27" s="16">
        <f t="shared" si="19"/>
        <v>8</v>
      </c>
      <c r="V27" s="16">
        <f t="shared" si="19"/>
        <v>5</v>
      </c>
      <c r="W27" s="16">
        <f t="shared" si="19"/>
        <v>1</v>
      </c>
      <c r="X27" s="16">
        <f t="shared" si="19"/>
        <v>2</v>
      </c>
      <c r="Y27" s="16">
        <f t="shared" si="19"/>
        <v>15</v>
      </c>
      <c r="Z27" s="16">
        <f t="shared" si="19"/>
        <v>4</v>
      </c>
      <c r="AA27" s="16">
        <f t="shared" si="19"/>
        <v>1</v>
      </c>
      <c r="AB27" s="16">
        <f t="shared" si="19"/>
        <v>12</v>
      </c>
      <c r="AC27" s="16">
        <f t="shared" si="19"/>
        <v>45</v>
      </c>
      <c r="AD27" s="16">
        <f t="shared" si="19"/>
        <v>1</v>
      </c>
      <c r="AE27" s="32">
        <f t="shared" si="19"/>
        <v>58</v>
      </c>
      <c r="AF27" s="32">
        <f t="shared" si="19"/>
        <v>103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4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5</v>
      </c>
      <c r="P28" s="15">
        <f t="shared" si="1"/>
        <v>9</v>
      </c>
      <c r="R28" s="5" t="s">
        <v>17</v>
      </c>
      <c r="S28" s="16">
        <f t="shared" ref="S28:AF28" si="20">SUM(S10:S21)</f>
        <v>31</v>
      </c>
      <c r="T28" s="16">
        <f t="shared" si="20"/>
        <v>13</v>
      </c>
      <c r="U28" s="16">
        <f t="shared" si="20"/>
        <v>57</v>
      </c>
      <c r="V28" s="16">
        <f t="shared" si="20"/>
        <v>37</v>
      </c>
      <c r="W28" s="16">
        <f t="shared" si="20"/>
        <v>4</v>
      </c>
      <c r="X28" s="16">
        <f t="shared" si="20"/>
        <v>18</v>
      </c>
      <c r="Y28" s="16">
        <f t="shared" si="20"/>
        <v>31</v>
      </c>
      <c r="Z28" s="16">
        <f t="shared" si="20"/>
        <v>9</v>
      </c>
      <c r="AA28" s="16">
        <f t="shared" si="20"/>
        <v>6</v>
      </c>
      <c r="AB28" s="16">
        <f t="shared" si="20"/>
        <v>45</v>
      </c>
      <c r="AC28" s="16">
        <f t="shared" si="20"/>
        <v>170</v>
      </c>
      <c r="AD28" s="16">
        <f t="shared" si="20"/>
        <v>9</v>
      </c>
      <c r="AE28" s="32">
        <f t="shared" si="20"/>
        <v>260</v>
      </c>
      <c r="AF28" s="32">
        <f t="shared" si="20"/>
        <v>430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2</v>
      </c>
      <c r="F29" s="50">
        <v>4</v>
      </c>
      <c r="G29" s="50">
        <v>1</v>
      </c>
      <c r="H29" s="50">
        <v>0</v>
      </c>
      <c r="I29" s="50">
        <v>1</v>
      </c>
      <c r="J29" s="50">
        <v>0</v>
      </c>
      <c r="K29" s="50">
        <v>0</v>
      </c>
      <c r="L29" s="50">
        <v>2</v>
      </c>
      <c r="M29" s="50">
        <v>0</v>
      </c>
      <c r="N29" s="50">
        <v>0</v>
      </c>
      <c r="O29" s="15">
        <f t="shared" si="0"/>
        <v>11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0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3</v>
      </c>
      <c r="P30" s="15">
        <f t="shared" si="1"/>
        <v>5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1</v>
      </c>
      <c r="G31" s="50">
        <v>0</v>
      </c>
      <c r="H31" s="50">
        <v>1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4</v>
      </c>
      <c r="P31" s="15">
        <f t="shared" si="1"/>
        <v>6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1</v>
      </c>
      <c r="M32" s="50">
        <v>1</v>
      </c>
      <c r="N32" s="50">
        <v>2</v>
      </c>
      <c r="O32" s="15">
        <f t="shared" si="0"/>
        <v>5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2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4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2</v>
      </c>
      <c r="M34" s="50">
        <v>4</v>
      </c>
      <c r="N34" s="50">
        <v>0</v>
      </c>
      <c r="O34" s="15">
        <f t="shared" si="0"/>
        <v>4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3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4</v>
      </c>
      <c r="P35" s="15">
        <f t="shared" si="1"/>
        <v>5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1</v>
      </c>
      <c r="M36" s="50">
        <v>3</v>
      </c>
      <c r="N36" s="50">
        <v>0</v>
      </c>
      <c r="O36" s="15">
        <f t="shared" si="0"/>
        <v>5</v>
      </c>
      <c r="P36" s="15">
        <f t="shared" si="1"/>
        <v>8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2</v>
      </c>
      <c r="G37" s="50">
        <v>0</v>
      </c>
      <c r="H37" s="50">
        <v>1</v>
      </c>
      <c r="I37" s="50">
        <v>2</v>
      </c>
      <c r="J37" s="50">
        <v>0</v>
      </c>
      <c r="K37" s="50">
        <v>1</v>
      </c>
      <c r="L37" s="50">
        <v>2</v>
      </c>
      <c r="M37" s="50">
        <v>7</v>
      </c>
      <c r="N37" s="50">
        <v>0</v>
      </c>
      <c r="O37" s="15">
        <f t="shared" si="0"/>
        <v>10</v>
      </c>
      <c r="P37" s="15">
        <f t="shared" si="1"/>
        <v>17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2</v>
      </c>
      <c r="F38" s="50">
        <v>1</v>
      </c>
      <c r="G38" s="50">
        <v>0</v>
      </c>
      <c r="H38" s="50">
        <v>2</v>
      </c>
      <c r="I38" s="50">
        <v>2</v>
      </c>
      <c r="J38" s="50">
        <v>0</v>
      </c>
      <c r="K38" s="50">
        <v>2</v>
      </c>
      <c r="L38" s="50">
        <v>3</v>
      </c>
      <c r="M38" s="50">
        <v>5</v>
      </c>
      <c r="N38" s="50">
        <v>1</v>
      </c>
      <c r="O38" s="15">
        <f t="shared" si="0"/>
        <v>14</v>
      </c>
      <c r="P38" s="15">
        <f t="shared" si="1"/>
        <v>19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2</v>
      </c>
      <c r="F39" s="50">
        <v>0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2</v>
      </c>
      <c r="M39" s="50">
        <v>8</v>
      </c>
      <c r="N39" s="50">
        <v>0</v>
      </c>
      <c r="O39" s="15">
        <f t="shared" si="0"/>
        <v>9</v>
      </c>
      <c r="P39" s="15">
        <f t="shared" si="1"/>
        <v>17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2</v>
      </c>
      <c r="M40" s="50">
        <v>9</v>
      </c>
      <c r="N40" s="50">
        <v>0</v>
      </c>
      <c r="O40" s="15">
        <f t="shared" si="0"/>
        <v>6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2</v>
      </c>
      <c r="F41" s="50">
        <v>2</v>
      </c>
      <c r="G41" s="50">
        <v>0</v>
      </c>
      <c r="H41" s="50">
        <v>1</v>
      </c>
      <c r="I41" s="50">
        <v>1</v>
      </c>
      <c r="J41" s="50">
        <v>0</v>
      </c>
      <c r="K41" s="50">
        <v>1</v>
      </c>
      <c r="L41" s="50">
        <v>0</v>
      </c>
      <c r="M41" s="50">
        <v>6</v>
      </c>
      <c r="N41" s="50">
        <v>0</v>
      </c>
      <c r="O41" s="15">
        <f t="shared" si="0"/>
        <v>11</v>
      </c>
      <c r="P41" s="15">
        <f t="shared" si="1"/>
        <v>17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3</v>
      </c>
      <c r="M42" s="50">
        <v>3</v>
      </c>
      <c r="N42" s="50">
        <v>0</v>
      </c>
      <c r="O42" s="15">
        <f t="shared" si="0"/>
        <v>3</v>
      </c>
      <c r="P42" s="15">
        <f t="shared" si="1"/>
        <v>6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1</v>
      </c>
      <c r="L43" s="50">
        <v>0</v>
      </c>
      <c r="M43" s="50">
        <v>3</v>
      </c>
      <c r="N43" s="50">
        <v>1</v>
      </c>
      <c r="O43" s="15">
        <f t="shared" si="0"/>
        <v>8</v>
      </c>
      <c r="P43" s="15">
        <f t="shared" si="1"/>
        <v>11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8</v>
      </c>
      <c r="M44" s="50">
        <v>4</v>
      </c>
      <c r="N44" s="50">
        <v>0</v>
      </c>
      <c r="O44" s="15">
        <f t="shared" si="0"/>
        <v>11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2</v>
      </c>
      <c r="F45" s="50">
        <v>2</v>
      </c>
      <c r="G45" s="50">
        <v>0</v>
      </c>
      <c r="H45" s="50">
        <v>1</v>
      </c>
      <c r="I45" s="50">
        <v>2</v>
      </c>
      <c r="J45" s="50">
        <v>2</v>
      </c>
      <c r="K45" s="50">
        <v>0</v>
      </c>
      <c r="L45" s="50">
        <v>1</v>
      </c>
      <c r="M45" s="50">
        <v>6</v>
      </c>
      <c r="N45" s="50">
        <v>0</v>
      </c>
      <c r="O45" s="15">
        <f t="shared" si="0"/>
        <v>12</v>
      </c>
      <c r="P45" s="15">
        <f t="shared" si="1"/>
        <v>18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1</v>
      </c>
      <c r="I46" s="50">
        <v>1</v>
      </c>
      <c r="J46" s="50">
        <v>0</v>
      </c>
      <c r="K46" s="50">
        <v>1</v>
      </c>
      <c r="L46" s="50">
        <v>2</v>
      </c>
      <c r="M46" s="50">
        <v>2</v>
      </c>
      <c r="N46" s="50">
        <v>0</v>
      </c>
      <c r="O46" s="15">
        <f t="shared" si="0"/>
        <v>6</v>
      </c>
      <c r="P46" s="15">
        <f t="shared" si="1"/>
        <v>8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2</v>
      </c>
      <c r="F47" s="50">
        <v>0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1</v>
      </c>
      <c r="M47" s="50">
        <v>8</v>
      </c>
      <c r="N47" s="50">
        <v>0</v>
      </c>
      <c r="O47" s="15">
        <f t="shared" si="0"/>
        <v>8</v>
      </c>
      <c r="P47" s="15">
        <f t="shared" si="1"/>
        <v>16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1</v>
      </c>
      <c r="F48" s="50">
        <v>2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1</v>
      </c>
      <c r="M48" s="50">
        <v>4</v>
      </c>
      <c r="N48" s="50">
        <v>0</v>
      </c>
      <c r="O48" s="15">
        <f t="shared" si="0"/>
        <v>8</v>
      </c>
      <c r="P48" s="15">
        <f t="shared" si="1"/>
        <v>12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4</v>
      </c>
      <c r="J49" s="50">
        <v>3</v>
      </c>
      <c r="K49" s="50">
        <v>0</v>
      </c>
      <c r="L49" s="50">
        <v>2</v>
      </c>
      <c r="M49" s="50">
        <v>7</v>
      </c>
      <c r="N49" s="50">
        <v>1</v>
      </c>
      <c r="O49" s="15">
        <f t="shared" si="0"/>
        <v>11</v>
      </c>
      <c r="P49" s="15">
        <f t="shared" si="1"/>
        <v>18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2</v>
      </c>
      <c r="M50" s="50">
        <v>3</v>
      </c>
      <c r="N50" s="50">
        <v>0</v>
      </c>
      <c r="O50" s="15">
        <f t="shared" si="0"/>
        <v>4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1</v>
      </c>
      <c r="E51" s="50">
        <v>2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2</v>
      </c>
      <c r="M51" s="50">
        <v>5</v>
      </c>
      <c r="N51" s="50">
        <v>0</v>
      </c>
      <c r="O51" s="15">
        <f t="shared" si="0"/>
        <v>7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1</v>
      </c>
      <c r="M52" s="50">
        <v>8</v>
      </c>
      <c r="N52" s="50">
        <v>0</v>
      </c>
      <c r="O52" s="15">
        <f t="shared" si="0"/>
        <v>3</v>
      </c>
      <c r="P52" s="15">
        <f t="shared" si="1"/>
        <v>11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8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1</v>
      </c>
      <c r="I54" s="50">
        <v>0</v>
      </c>
      <c r="J54" s="50">
        <v>0</v>
      </c>
      <c r="K54" s="50">
        <v>0</v>
      </c>
      <c r="L54" s="50">
        <v>1</v>
      </c>
      <c r="M54" s="50">
        <v>0</v>
      </c>
      <c r="N54" s="50">
        <v>0</v>
      </c>
      <c r="O54" s="15">
        <f t="shared" si="0"/>
        <v>3</v>
      </c>
      <c r="P54" s="15">
        <f t="shared" si="1"/>
        <v>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1">SUM(D10:D57)</f>
        <v>13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1"/>
        <v>45</v>
      </c>
      <c r="M58" s="16">
        <v>0</v>
      </c>
      <c r="N58" s="16">
        <v>0</v>
      </c>
      <c r="O58" s="16">
        <f t="shared" si="21"/>
        <v>260</v>
      </c>
      <c r="P58" s="16">
        <f t="shared" si="21"/>
        <v>430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L59" si="22">D58/$P$58</f>
        <v>3.0232558139534883E-2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2"/>
        <v>0.10465116279069768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3">D58/$O$58</f>
        <v>0.05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3"/>
        <v>0.17307692307692307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89" zoomScale="60" workbookViewId="0">
      <selection activeCell="C58" sqref="C58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6" t="str">
        <f>'01.08 karuma-pakwach'!G5:H5</f>
        <v>xxx</v>
      </c>
      <c r="H5" s="67"/>
      <c r="I5" s="14"/>
      <c r="J5" s="2" t="s">
        <v>5</v>
      </c>
      <c r="K5" s="66" t="str">
        <f>'01.08 karuma-pakwach'!K5:L5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Pakwach-Karuma'!D6:E6</f>
        <v>pakwach</v>
      </c>
      <c r="E6" s="67"/>
      <c r="F6" s="2" t="s">
        <v>2</v>
      </c>
      <c r="G6" s="66" t="str">
        <f>'29.07 Pakwach-Karuma'!G6:H6</f>
        <v>karuma</v>
      </c>
      <c r="H6" s="67"/>
      <c r="J6" s="2" t="s">
        <v>21</v>
      </c>
      <c r="K6" s="66" t="str">
        <f>'01.08 karuma-pakwach'!K6:L6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2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3</v>
      </c>
      <c r="M10" s="50">
        <v>3</v>
      </c>
      <c r="N10" s="50">
        <v>1</v>
      </c>
      <c r="O10" s="15">
        <f t="shared" ref="O10:O57" si="0">SUM(C10:L10,N10)</f>
        <v>10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3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5</v>
      </c>
      <c r="AA10" s="17">
        <f t="shared" si="2"/>
        <v>2</v>
      </c>
      <c r="AB10" s="17">
        <f t="shared" si="2"/>
        <v>6</v>
      </c>
      <c r="AC10" s="17">
        <f t="shared" si="2"/>
        <v>18</v>
      </c>
      <c r="AD10" s="17">
        <f t="shared" si="2"/>
        <v>3</v>
      </c>
      <c r="AE10" s="31">
        <f t="shared" si="2"/>
        <v>26</v>
      </c>
      <c r="AF10" s="31">
        <f t="shared" si="2"/>
        <v>44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1</v>
      </c>
      <c r="M11" s="50">
        <v>2</v>
      </c>
      <c r="N11" s="50">
        <v>0</v>
      </c>
      <c r="O11" s="15">
        <f t="shared" si="0"/>
        <v>2</v>
      </c>
      <c r="P11" s="15">
        <f t="shared" si="1"/>
        <v>4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1</v>
      </c>
      <c r="AB11" s="17">
        <f t="shared" si="3"/>
        <v>6</v>
      </c>
      <c r="AC11" s="17">
        <f t="shared" si="3"/>
        <v>12</v>
      </c>
      <c r="AD11" s="17">
        <f t="shared" si="3"/>
        <v>0</v>
      </c>
      <c r="AE11" s="31">
        <f t="shared" si="3"/>
        <v>11</v>
      </c>
      <c r="AF11" s="31">
        <f t="shared" si="3"/>
        <v>23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2</v>
      </c>
      <c r="K12" s="50">
        <v>2</v>
      </c>
      <c r="L12" s="50">
        <v>1</v>
      </c>
      <c r="M12" s="50">
        <v>11</v>
      </c>
      <c r="N12" s="50">
        <v>0</v>
      </c>
      <c r="O12" s="15">
        <f t="shared" si="0"/>
        <v>9</v>
      </c>
      <c r="P12" s="15">
        <f t="shared" si="1"/>
        <v>20</v>
      </c>
      <c r="R12" s="1" t="s">
        <v>8</v>
      </c>
      <c r="S12" s="17">
        <f t="shared" ref="S12:AF12" si="4">SUM(C18:C21)</f>
        <v>8</v>
      </c>
      <c r="T12" s="17">
        <f t="shared" si="4"/>
        <v>2</v>
      </c>
      <c r="U12" s="17">
        <f t="shared" si="4"/>
        <v>7</v>
      </c>
      <c r="V12" s="17">
        <f t="shared" si="4"/>
        <v>6</v>
      </c>
      <c r="W12" s="17">
        <f t="shared" si="4"/>
        <v>1</v>
      </c>
      <c r="X12" s="17">
        <f t="shared" si="4"/>
        <v>0</v>
      </c>
      <c r="Y12" s="17">
        <f t="shared" si="4"/>
        <v>1</v>
      </c>
      <c r="Z12" s="17">
        <f t="shared" si="4"/>
        <v>4</v>
      </c>
      <c r="AA12" s="17">
        <f t="shared" si="4"/>
        <v>3</v>
      </c>
      <c r="AB12" s="17">
        <f t="shared" si="4"/>
        <v>4</v>
      </c>
      <c r="AC12" s="17">
        <f t="shared" si="4"/>
        <v>18</v>
      </c>
      <c r="AD12" s="17">
        <f t="shared" si="4"/>
        <v>1</v>
      </c>
      <c r="AE12" s="31">
        <f t="shared" si="4"/>
        <v>37</v>
      </c>
      <c r="AF12" s="31">
        <f t="shared" si="4"/>
        <v>55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1</v>
      </c>
      <c r="M13" s="50">
        <v>2</v>
      </c>
      <c r="N13" s="50">
        <v>2</v>
      </c>
      <c r="O13" s="15">
        <f t="shared" si="0"/>
        <v>5</v>
      </c>
      <c r="P13" s="15">
        <f t="shared" si="1"/>
        <v>7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4</v>
      </c>
      <c r="V13" s="17">
        <f t="shared" si="5"/>
        <v>2</v>
      </c>
      <c r="W13" s="17">
        <f t="shared" si="5"/>
        <v>1</v>
      </c>
      <c r="X13" s="17">
        <f t="shared" si="5"/>
        <v>1</v>
      </c>
      <c r="Y13" s="17">
        <f t="shared" si="5"/>
        <v>0</v>
      </c>
      <c r="Z13" s="17">
        <f t="shared" si="5"/>
        <v>2</v>
      </c>
      <c r="AA13" s="17">
        <f t="shared" si="5"/>
        <v>4</v>
      </c>
      <c r="AB13" s="17">
        <f t="shared" si="5"/>
        <v>2</v>
      </c>
      <c r="AC13" s="17">
        <f t="shared" si="5"/>
        <v>15</v>
      </c>
      <c r="AD13" s="17">
        <f t="shared" si="5"/>
        <v>0</v>
      </c>
      <c r="AE13" s="31">
        <f t="shared" si="5"/>
        <v>17</v>
      </c>
      <c r="AF13" s="31">
        <f t="shared" si="5"/>
        <v>32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2</v>
      </c>
      <c r="M14" s="50">
        <v>7</v>
      </c>
      <c r="N14" s="50">
        <v>0</v>
      </c>
      <c r="O14" s="15">
        <f t="shared" si="0"/>
        <v>5</v>
      </c>
      <c r="P14" s="15">
        <f t="shared" si="1"/>
        <v>12</v>
      </c>
      <c r="R14" s="1" t="s">
        <v>10</v>
      </c>
      <c r="S14" s="17">
        <f t="shared" ref="S14:AF14" si="6">SUM(C26:C29)</f>
        <v>1</v>
      </c>
      <c r="T14" s="17">
        <f t="shared" si="6"/>
        <v>1</v>
      </c>
      <c r="U14" s="17">
        <f t="shared" si="6"/>
        <v>8</v>
      </c>
      <c r="V14" s="17">
        <f t="shared" si="6"/>
        <v>2</v>
      </c>
      <c r="W14" s="17">
        <f t="shared" si="6"/>
        <v>0</v>
      </c>
      <c r="X14" s="17">
        <f t="shared" si="6"/>
        <v>1</v>
      </c>
      <c r="Y14" s="17">
        <f t="shared" si="6"/>
        <v>2</v>
      </c>
      <c r="Z14" s="17">
        <f t="shared" si="6"/>
        <v>1</v>
      </c>
      <c r="AA14" s="17">
        <f t="shared" si="6"/>
        <v>2</v>
      </c>
      <c r="AB14" s="17">
        <f t="shared" si="6"/>
        <v>4</v>
      </c>
      <c r="AC14" s="17">
        <f t="shared" si="6"/>
        <v>18</v>
      </c>
      <c r="AD14" s="17">
        <f t="shared" si="6"/>
        <v>1</v>
      </c>
      <c r="AE14" s="31">
        <f t="shared" si="6"/>
        <v>23</v>
      </c>
      <c r="AF14" s="31">
        <f t="shared" si="6"/>
        <v>41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2</v>
      </c>
      <c r="M15" s="50">
        <v>0</v>
      </c>
      <c r="N15" s="50">
        <v>0</v>
      </c>
      <c r="O15" s="15">
        <f t="shared" si="0"/>
        <v>3</v>
      </c>
      <c r="P15" s="15">
        <f t="shared" si="1"/>
        <v>3</v>
      </c>
      <c r="R15" s="1" t="s">
        <v>11</v>
      </c>
      <c r="S15" s="17">
        <f t="shared" ref="S15:AF15" si="7">SUM(C30:C33)</f>
        <v>0</v>
      </c>
      <c r="T15" s="17">
        <f t="shared" si="7"/>
        <v>2</v>
      </c>
      <c r="U15" s="17">
        <f t="shared" si="7"/>
        <v>9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10</v>
      </c>
      <c r="AD15" s="17">
        <f t="shared" si="7"/>
        <v>0</v>
      </c>
      <c r="AE15" s="31">
        <f t="shared" si="7"/>
        <v>13</v>
      </c>
      <c r="AF15" s="31">
        <f t="shared" si="7"/>
        <v>23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1</v>
      </c>
      <c r="P16" s="15">
        <f t="shared" si="1"/>
        <v>4</v>
      </c>
      <c r="R16" s="1" t="s">
        <v>12</v>
      </c>
      <c r="S16" s="17">
        <f t="shared" ref="S16:AF16" si="8">SUM(C34:C37)</f>
        <v>0</v>
      </c>
      <c r="T16" s="17">
        <f t="shared" si="8"/>
        <v>2</v>
      </c>
      <c r="U16" s="17">
        <f t="shared" si="8"/>
        <v>6</v>
      </c>
      <c r="V16" s="17">
        <f t="shared" si="8"/>
        <v>2</v>
      </c>
      <c r="W16" s="17">
        <f t="shared" si="8"/>
        <v>1</v>
      </c>
      <c r="X16" s="17">
        <f t="shared" si="8"/>
        <v>2</v>
      </c>
      <c r="Y16" s="17">
        <f t="shared" si="8"/>
        <v>0</v>
      </c>
      <c r="Z16" s="17">
        <f t="shared" si="8"/>
        <v>0</v>
      </c>
      <c r="AA16" s="17">
        <f t="shared" si="8"/>
        <v>1</v>
      </c>
      <c r="AB16" s="17">
        <f t="shared" si="8"/>
        <v>4</v>
      </c>
      <c r="AC16" s="17">
        <f t="shared" si="8"/>
        <v>18</v>
      </c>
      <c r="AD16" s="17">
        <f t="shared" si="8"/>
        <v>0</v>
      </c>
      <c r="AE16" s="31">
        <f t="shared" si="8"/>
        <v>18</v>
      </c>
      <c r="AF16" s="31">
        <f t="shared" si="8"/>
        <v>36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2</v>
      </c>
      <c r="M17" s="50">
        <v>2</v>
      </c>
      <c r="N17" s="50">
        <v>0</v>
      </c>
      <c r="O17" s="15">
        <f t="shared" si="0"/>
        <v>2</v>
      </c>
      <c r="P17" s="15">
        <f t="shared" si="1"/>
        <v>4</v>
      </c>
      <c r="R17" s="1" t="s">
        <v>13</v>
      </c>
      <c r="S17" s="17">
        <f t="shared" ref="S17:AF17" si="9">SUM(C38:C41)</f>
        <v>6</v>
      </c>
      <c r="T17" s="17">
        <f t="shared" si="9"/>
        <v>2</v>
      </c>
      <c r="U17" s="17">
        <f t="shared" si="9"/>
        <v>8</v>
      </c>
      <c r="V17" s="17">
        <f t="shared" si="9"/>
        <v>6</v>
      </c>
      <c r="W17" s="17">
        <f t="shared" si="9"/>
        <v>5</v>
      </c>
      <c r="X17" s="17">
        <f t="shared" si="9"/>
        <v>3</v>
      </c>
      <c r="Y17" s="17">
        <f t="shared" si="9"/>
        <v>0</v>
      </c>
      <c r="Z17" s="17">
        <f t="shared" si="9"/>
        <v>0</v>
      </c>
      <c r="AA17" s="17">
        <f t="shared" si="9"/>
        <v>1</v>
      </c>
      <c r="AB17" s="17">
        <f t="shared" si="9"/>
        <v>2</v>
      </c>
      <c r="AC17" s="17">
        <f t="shared" si="9"/>
        <v>19</v>
      </c>
      <c r="AD17" s="17">
        <f t="shared" si="9"/>
        <v>0</v>
      </c>
      <c r="AE17" s="31">
        <f t="shared" si="9"/>
        <v>33</v>
      </c>
      <c r="AF17" s="31">
        <f t="shared" si="9"/>
        <v>52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2</v>
      </c>
      <c r="M18" s="50">
        <v>3</v>
      </c>
      <c r="N18" s="50">
        <v>0</v>
      </c>
      <c r="O18" s="15">
        <f t="shared" si="0"/>
        <v>5</v>
      </c>
      <c r="P18" s="15">
        <f t="shared" si="1"/>
        <v>8</v>
      </c>
      <c r="R18" s="1" t="s">
        <v>14</v>
      </c>
      <c r="S18" s="17">
        <f t="shared" ref="S18:AF18" si="10">SUM(C42:C45)</f>
        <v>7</v>
      </c>
      <c r="T18" s="17">
        <f t="shared" si="10"/>
        <v>1</v>
      </c>
      <c r="U18" s="17">
        <f t="shared" si="10"/>
        <v>6</v>
      </c>
      <c r="V18" s="17">
        <f t="shared" si="10"/>
        <v>2</v>
      </c>
      <c r="W18" s="17">
        <f t="shared" si="10"/>
        <v>1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2</v>
      </c>
      <c r="AB18" s="17">
        <f t="shared" si="10"/>
        <v>6</v>
      </c>
      <c r="AC18" s="17">
        <f t="shared" si="10"/>
        <v>14</v>
      </c>
      <c r="AD18" s="17">
        <f t="shared" si="10"/>
        <v>0</v>
      </c>
      <c r="AE18" s="31">
        <f t="shared" si="10"/>
        <v>26</v>
      </c>
      <c r="AF18" s="31">
        <f t="shared" si="10"/>
        <v>40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2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0</v>
      </c>
      <c r="N19" s="50">
        <v>0</v>
      </c>
      <c r="O19" s="15">
        <f t="shared" si="0"/>
        <v>3</v>
      </c>
      <c r="P19" s="15">
        <f t="shared" si="1"/>
        <v>3</v>
      </c>
      <c r="R19" s="1" t="s">
        <v>15</v>
      </c>
      <c r="S19" s="17">
        <f t="shared" ref="S19:AF19" si="11">SUM(C46:C49)</f>
        <v>8</v>
      </c>
      <c r="T19" s="17">
        <f t="shared" si="11"/>
        <v>3</v>
      </c>
      <c r="U19" s="17">
        <f t="shared" si="11"/>
        <v>7</v>
      </c>
      <c r="V19" s="17">
        <f t="shared" si="11"/>
        <v>8</v>
      </c>
      <c r="W19" s="17">
        <f t="shared" si="11"/>
        <v>0</v>
      </c>
      <c r="X19" s="17">
        <f t="shared" si="11"/>
        <v>6</v>
      </c>
      <c r="Y19" s="17">
        <f t="shared" si="11"/>
        <v>0</v>
      </c>
      <c r="Z19" s="17">
        <f t="shared" si="11"/>
        <v>1</v>
      </c>
      <c r="AA19" s="17">
        <f t="shared" si="11"/>
        <v>2</v>
      </c>
      <c r="AB19" s="17">
        <f t="shared" si="11"/>
        <v>7</v>
      </c>
      <c r="AC19" s="17">
        <f t="shared" si="11"/>
        <v>18</v>
      </c>
      <c r="AD19" s="17">
        <f t="shared" si="11"/>
        <v>0</v>
      </c>
      <c r="AE19" s="31">
        <f t="shared" si="11"/>
        <v>42</v>
      </c>
      <c r="AF19" s="31">
        <f t="shared" si="11"/>
        <v>60</v>
      </c>
    </row>
    <row r="20" spans="2:32" ht="23.1" customHeight="1" x14ac:dyDescent="0.25">
      <c r="B20" s="45" t="s">
        <v>47</v>
      </c>
      <c r="C20" s="50">
        <v>5</v>
      </c>
      <c r="D20" s="50">
        <v>2</v>
      </c>
      <c r="E20" s="50">
        <v>4</v>
      </c>
      <c r="F20" s="50">
        <v>5</v>
      </c>
      <c r="G20" s="50">
        <v>0</v>
      </c>
      <c r="H20" s="50">
        <v>0</v>
      </c>
      <c r="I20" s="50">
        <v>0</v>
      </c>
      <c r="J20" s="50">
        <v>3</v>
      </c>
      <c r="K20" s="50">
        <v>1</v>
      </c>
      <c r="L20" s="50">
        <v>2</v>
      </c>
      <c r="M20" s="50">
        <v>9</v>
      </c>
      <c r="N20" s="50">
        <v>1</v>
      </c>
      <c r="O20" s="15">
        <f t="shared" si="0"/>
        <v>23</v>
      </c>
      <c r="P20" s="15">
        <f t="shared" si="1"/>
        <v>32</v>
      </c>
      <c r="R20" s="1" t="s">
        <v>16</v>
      </c>
      <c r="S20" s="17">
        <f t="shared" ref="S20:AF20" si="12">SUM(C50:C53)</f>
        <v>6</v>
      </c>
      <c r="T20" s="17">
        <f t="shared" si="12"/>
        <v>5</v>
      </c>
      <c r="U20" s="17">
        <f t="shared" si="12"/>
        <v>12</v>
      </c>
      <c r="V20" s="17">
        <f t="shared" si="12"/>
        <v>6</v>
      </c>
      <c r="W20" s="17">
        <f t="shared" si="12"/>
        <v>0</v>
      </c>
      <c r="X20" s="17">
        <f t="shared" si="12"/>
        <v>2</v>
      </c>
      <c r="Y20" s="17">
        <f t="shared" si="12"/>
        <v>0</v>
      </c>
      <c r="Z20" s="17">
        <f t="shared" si="12"/>
        <v>0</v>
      </c>
      <c r="AA20" s="17">
        <f t="shared" si="12"/>
        <v>1</v>
      </c>
      <c r="AB20" s="17">
        <f t="shared" si="12"/>
        <v>3</v>
      </c>
      <c r="AC20" s="17">
        <f t="shared" si="12"/>
        <v>19</v>
      </c>
      <c r="AD20" s="17">
        <f t="shared" si="12"/>
        <v>3</v>
      </c>
      <c r="AE20" s="31">
        <f t="shared" si="12"/>
        <v>38</v>
      </c>
      <c r="AF20" s="31">
        <f t="shared" si="12"/>
        <v>57</v>
      </c>
    </row>
    <row r="21" spans="2:32" ht="23.1" customHeight="1" x14ac:dyDescent="0.25">
      <c r="B21" s="45" t="s">
        <v>48</v>
      </c>
      <c r="C21" s="50">
        <v>3</v>
      </c>
      <c r="D21" s="50">
        <v>0</v>
      </c>
      <c r="E21" s="50">
        <v>0</v>
      </c>
      <c r="F21" s="50">
        <v>0</v>
      </c>
      <c r="G21" s="50">
        <v>1</v>
      </c>
      <c r="H21" s="50">
        <v>0</v>
      </c>
      <c r="I21" s="50">
        <v>0</v>
      </c>
      <c r="J21" s="50">
        <v>1</v>
      </c>
      <c r="K21" s="50">
        <v>1</v>
      </c>
      <c r="L21" s="50">
        <v>0</v>
      </c>
      <c r="M21" s="50">
        <v>6</v>
      </c>
      <c r="N21" s="50">
        <v>0</v>
      </c>
      <c r="O21" s="15">
        <f t="shared" si="0"/>
        <v>6</v>
      </c>
      <c r="P21" s="15">
        <f t="shared" si="1"/>
        <v>12</v>
      </c>
      <c r="R21" s="36" t="s">
        <v>20</v>
      </c>
      <c r="S21" s="34">
        <f t="shared" ref="S21:AF21" si="13">SUM(C54:C57)</f>
        <v>3</v>
      </c>
      <c r="T21" s="17">
        <f t="shared" si="13"/>
        <v>3</v>
      </c>
      <c r="U21" s="17">
        <f t="shared" si="13"/>
        <v>11</v>
      </c>
      <c r="V21" s="17">
        <f t="shared" si="13"/>
        <v>7</v>
      </c>
      <c r="W21" s="17">
        <f t="shared" si="13"/>
        <v>1</v>
      </c>
      <c r="X21" s="17">
        <f t="shared" si="13"/>
        <v>3</v>
      </c>
      <c r="Y21" s="17">
        <f t="shared" si="13"/>
        <v>3</v>
      </c>
      <c r="Z21" s="17">
        <f t="shared" si="13"/>
        <v>1</v>
      </c>
      <c r="AA21" s="17">
        <f t="shared" si="13"/>
        <v>0</v>
      </c>
      <c r="AB21" s="17">
        <f t="shared" si="13"/>
        <v>6</v>
      </c>
      <c r="AC21" s="17">
        <f t="shared" si="13"/>
        <v>12</v>
      </c>
      <c r="AD21" s="17">
        <f t="shared" si="13"/>
        <v>0</v>
      </c>
      <c r="AE21" s="31">
        <f t="shared" si="13"/>
        <v>38</v>
      </c>
      <c r="AF21" s="31">
        <f t="shared" si="13"/>
        <v>50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3</v>
      </c>
      <c r="L22" s="50">
        <v>1</v>
      </c>
      <c r="M22" s="50">
        <v>3</v>
      </c>
      <c r="N22" s="50">
        <v>0</v>
      </c>
      <c r="O22" s="15">
        <f t="shared" si="0"/>
        <v>6</v>
      </c>
      <c r="P22" s="15">
        <f t="shared" si="1"/>
        <v>9</v>
      </c>
      <c r="R22" s="36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4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2</v>
      </c>
      <c r="AA22" s="34">
        <f t="shared" si="14"/>
        <v>0</v>
      </c>
      <c r="AB22" s="34">
        <f t="shared" si="14"/>
        <v>4</v>
      </c>
      <c r="AC22" s="34">
        <f t="shared" si="14"/>
        <v>9</v>
      </c>
      <c r="AD22" s="34">
        <f t="shared" si="14"/>
        <v>0</v>
      </c>
      <c r="AE22" s="31">
        <f t="shared" si="14"/>
        <v>12</v>
      </c>
      <c r="AF22" s="31">
        <f t="shared" si="14"/>
        <v>21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1</v>
      </c>
      <c r="I23" s="50">
        <v>0</v>
      </c>
      <c r="J23" s="50">
        <v>0</v>
      </c>
      <c r="K23" s="50">
        <v>1</v>
      </c>
      <c r="L23" s="50">
        <v>0</v>
      </c>
      <c r="M23" s="50">
        <v>4</v>
      </c>
      <c r="N23" s="50">
        <v>0</v>
      </c>
      <c r="O23" s="15">
        <f t="shared" si="0"/>
        <v>3</v>
      </c>
      <c r="P23" s="15">
        <f t="shared" si="1"/>
        <v>7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3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3</v>
      </c>
      <c r="AA23" s="34">
        <f t="shared" si="15"/>
        <v>0</v>
      </c>
      <c r="AB23" s="34">
        <f t="shared" si="15"/>
        <v>4</v>
      </c>
      <c r="AC23" s="34">
        <f t="shared" si="15"/>
        <v>9</v>
      </c>
      <c r="AD23" s="34">
        <f t="shared" si="15"/>
        <v>0</v>
      </c>
      <c r="AE23" s="31">
        <f t="shared" si="15"/>
        <v>12</v>
      </c>
      <c r="AF23" s="31">
        <f t="shared" si="15"/>
        <v>21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1</v>
      </c>
      <c r="F24" s="50">
        <v>1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2</v>
      </c>
      <c r="N24" s="50">
        <v>0</v>
      </c>
      <c r="O24" s="15">
        <f t="shared" si="0"/>
        <v>4</v>
      </c>
      <c r="P24" s="15">
        <f t="shared" si="1"/>
        <v>6</v>
      </c>
      <c r="R24" s="36" t="s">
        <v>148</v>
      </c>
      <c r="S24" s="34">
        <f>SUM(C66:C69)</f>
        <v>2</v>
      </c>
      <c r="T24" s="34">
        <f t="shared" ref="T24:AF24" si="16">SUM(D66:D69)</f>
        <v>0</v>
      </c>
      <c r="U24" s="34">
        <f t="shared" si="16"/>
        <v>3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2</v>
      </c>
      <c r="AC24" s="34">
        <f t="shared" si="16"/>
        <v>15</v>
      </c>
      <c r="AD24" s="34">
        <f t="shared" si="16"/>
        <v>0</v>
      </c>
      <c r="AE24" s="31">
        <f t="shared" si="16"/>
        <v>10</v>
      </c>
      <c r="AF24" s="31">
        <f t="shared" si="16"/>
        <v>25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4</v>
      </c>
      <c r="P25" s="15">
        <f t="shared" si="1"/>
        <v>10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3</v>
      </c>
      <c r="AC25" s="34">
        <f t="shared" si="17"/>
        <v>8</v>
      </c>
      <c r="AD25" s="34">
        <f t="shared" si="17"/>
        <v>0</v>
      </c>
      <c r="AE25" s="31">
        <f t="shared" si="17"/>
        <v>10</v>
      </c>
      <c r="AF25" s="31">
        <f t="shared" si="17"/>
        <v>18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1</v>
      </c>
      <c r="M26" s="50">
        <v>1</v>
      </c>
      <c r="N26" s="50">
        <v>0</v>
      </c>
      <c r="O26" s="15">
        <f t="shared" si="0"/>
        <v>3</v>
      </c>
      <c r="P26" s="15">
        <f t="shared" si="1"/>
        <v>4</v>
      </c>
      <c r="R26" s="36" t="s">
        <v>150</v>
      </c>
      <c r="S26" s="34">
        <f>SUM(C74:C77)</f>
        <v>2</v>
      </c>
      <c r="T26" s="34">
        <f t="shared" ref="T26:AF26" si="18">SUM(D74:D77)</f>
        <v>1</v>
      </c>
      <c r="U26" s="34">
        <f t="shared" si="18"/>
        <v>5</v>
      </c>
      <c r="V26" s="34">
        <f t="shared" si="18"/>
        <v>3</v>
      </c>
      <c r="W26" s="34">
        <f t="shared" si="18"/>
        <v>1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7</v>
      </c>
      <c r="AD26" s="34">
        <f t="shared" si="18"/>
        <v>0</v>
      </c>
      <c r="AE26" s="31">
        <f t="shared" si="18"/>
        <v>16</v>
      </c>
      <c r="AF26" s="31">
        <f t="shared" si="18"/>
        <v>23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1</v>
      </c>
      <c r="M27" s="50">
        <v>6</v>
      </c>
      <c r="N27" s="50">
        <v>0</v>
      </c>
      <c r="O27" s="15">
        <f t="shared" si="0"/>
        <v>4</v>
      </c>
      <c r="P27" s="15">
        <f t="shared" si="1"/>
        <v>10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5</v>
      </c>
      <c r="AD27" s="34">
        <f t="shared" si="19"/>
        <v>0</v>
      </c>
      <c r="AE27" s="31">
        <f t="shared" si="19"/>
        <v>5</v>
      </c>
      <c r="AF27" s="31">
        <f t="shared" si="19"/>
        <v>10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2</v>
      </c>
      <c r="F28" s="50">
        <v>0</v>
      </c>
      <c r="G28" s="50">
        <v>0</v>
      </c>
      <c r="H28" s="50">
        <v>1</v>
      </c>
      <c r="I28" s="50">
        <v>1</v>
      </c>
      <c r="J28" s="50">
        <v>1</v>
      </c>
      <c r="K28" s="50">
        <v>2</v>
      </c>
      <c r="L28" s="50">
        <v>2</v>
      </c>
      <c r="M28" s="50">
        <v>7</v>
      </c>
      <c r="N28" s="50">
        <v>1</v>
      </c>
      <c r="O28" s="15">
        <f t="shared" si="0"/>
        <v>11</v>
      </c>
      <c r="P28" s="15">
        <f t="shared" si="1"/>
        <v>18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4</v>
      </c>
      <c r="AD28" s="34">
        <f t="shared" si="20"/>
        <v>0</v>
      </c>
      <c r="AE28" s="31">
        <f t="shared" si="20"/>
        <v>7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3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5</v>
      </c>
      <c r="P29" s="15">
        <f t="shared" si="1"/>
        <v>9</v>
      </c>
      <c r="R29" s="36" t="s">
        <v>153</v>
      </c>
      <c r="S29" s="34">
        <f>SUM(C86:C89)</f>
        <v>1</v>
      </c>
      <c r="T29" s="34">
        <f t="shared" ref="T29:AF29" si="21">SUM(D86:D89)</f>
        <v>2</v>
      </c>
      <c r="U29" s="34">
        <f t="shared" si="21"/>
        <v>5</v>
      </c>
      <c r="V29" s="34">
        <f t="shared" si="21"/>
        <v>3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16</v>
      </c>
      <c r="AF29" s="31">
        <f t="shared" si="21"/>
        <v>16</v>
      </c>
    </row>
    <row r="30" spans="2:32" ht="23.1" customHeight="1" x14ac:dyDescent="0.25">
      <c r="B30" s="45" t="s">
        <v>57</v>
      </c>
      <c r="C30" s="50">
        <v>0</v>
      </c>
      <c r="D30" s="50">
        <v>1</v>
      </c>
      <c r="E30" s="50">
        <v>3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4</v>
      </c>
      <c r="P30" s="15">
        <f t="shared" si="1"/>
        <v>5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</v>
      </c>
      <c r="AF30" s="31">
        <f t="shared" si="22"/>
        <v>3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2</v>
      </c>
      <c r="P31" s="15">
        <f t="shared" si="1"/>
        <v>4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2</v>
      </c>
      <c r="Y31" s="34">
        <f t="shared" si="23"/>
        <v>0</v>
      </c>
      <c r="Z31" s="34">
        <f t="shared" si="23"/>
        <v>0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12</v>
      </c>
      <c r="AF31" s="31">
        <f t="shared" si="23"/>
        <v>12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3</v>
      </c>
      <c r="P32" s="15">
        <f t="shared" si="1"/>
        <v>8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5</v>
      </c>
      <c r="V32" s="34">
        <f t="shared" si="24"/>
        <v>2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3</v>
      </c>
      <c r="AC32" s="34">
        <f t="shared" si="24"/>
        <v>1</v>
      </c>
      <c r="AD32" s="34">
        <f t="shared" si="24"/>
        <v>0</v>
      </c>
      <c r="AE32" s="31">
        <f t="shared" si="24"/>
        <v>16</v>
      </c>
      <c r="AF32" s="31">
        <f t="shared" si="24"/>
        <v>17</v>
      </c>
    </row>
    <row r="33" spans="2:32" ht="23.1" customHeight="1" x14ac:dyDescent="0.25">
      <c r="B33" s="45" t="s">
        <v>60</v>
      </c>
      <c r="C33" s="50">
        <v>0</v>
      </c>
      <c r="D33" s="50">
        <v>1</v>
      </c>
      <c r="E33" s="50">
        <v>2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4</v>
      </c>
      <c r="P33" s="15">
        <f t="shared" si="1"/>
        <v>6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5</v>
      </c>
      <c r="V33" s="34">
        <f t="shared" si="25"/>
        <v>2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3</v>
      </c>
      <c r="AC33" s="34">
        <f t="shared" si="25"/>
        <v>8</v>
      </c>
      <c r="AD33" s="34">
        <f t="shared" si="25"/>
        <v>0</v>
      </c>
      <c r="AE33" s="31">
        <f t="shared" si="25"/>
        <v>15</v>
      </c>
      <c r="AF33" s="31">
        <f t="shared" si="25"/>
        <v>23</v>
      </c>
    </row>
    <row r="34" spans="2:32" ht="23.1" customHeight="1" x14ac:dyDescent="0.25">
      <c r="B34" s="46" t="s">
        <v>61</v>
      </c>
      <c r="C34" s="50">
        <v>0</v>
      </c>
      <c r="D34" s="50">
        <v>1</v>
      </c>
      <c r="E34" s="50">
        <v>2</v>
      </c>
      <c r="F34" s="50">
        <v>1</v>
      </c>
      <c r="G34" s="50">
        <v>0</v>
      </c>
      <c r="H34" s="50">
        <v>1</v>
      </c>
      <c r="I34" s="50">
        <v>0</v>
      </c>
      <c r="J34" s="50">
        <v>0</v>
      </c>
      <c r="K34" s="50">
        <v>0</v>
      </c>
      <c r="L34" s="50">
        <v>1</v>
      </c>
      <c r="M34" s="50">
        <v>8</v>
      </c>
      <c r="N34" s="50">
        <v>0</v>
      </c>
      <c r="O34" s="15">
        <f t="shared" si="0"/>
        <v>6</v>
      </c>
      <c r="P34" s="15">
        <f t="shared" si="1"/>
        <v>14</v>
      </c>
      <c r="R34" s="38" t="s">
        <v>90</v>
      </c>
      <c r="S34" s="39">
        <f t="shared" ref="S34:AF34" si="26">MAX(S10:S12)</f>
        <v>8</v>
      </c>
      <c r="T34" s="39">
        <f t="shared" si="26"/>
        <v>2</v>
      </c>
      <c r="U34" s="39">
        <f t="shared" si="26"/>
        <v>7</v>
      </c>
      <c r="V34" s="39">
        <f t="shared" si="26"/>
        <v>6</v>
      </c>
      <c r="W34" s="39">
        <f t="shared" si="26"/>
        <v>1</v>
      </c>
      <c r="X34" s="39">
        <f t="shared" si="26"/>
        <v>0</v>
      </c>
      <c r="Y34" s="39">
        <f t="shared" si="26"/>
        <v>1</v>
      </c>
      <c r="Z34" s="39">
        <f t="shared" si="26"/>
        <v>5</v>
      </c>
      <c r="AA34" s="39">
        <f t="shared" si="26"/>
        <v>3</v>
      </c>
      <c r="AB34" s="39">
        <f t="shared" si="26"/>
        <v>6</v>
      </c>
      <c r="AC34" s="39">
        <f t="shared" si="26"/>
        <v>18</v>
      </c>
      <c r="AD34" s="39">
        <f t="shared" si="26"/>
        <v>3</v>
      </c>
      <c r="AE34" s="40">
        <f t="shared" si="26"/>
        <v>37</v>
      </c>
      <c r="AF34" s="40">
        <f t="shared" si="26"/>
        <v>55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3</v>
      </c>
      <c r="M35" s="50">
        <v>4</v>
      </c>
      <c r="N35" s="50">
        <v>0</v>
      </c>
      <c r="O35" s="15">
        <f t="shared" si="0"/>
        <v>3</v>
      </c>
      <c r="P35" s="15">
        <f t="shared" si="1"/>
        <v>7</v>
      </c>
      <c r="R35" s="38" t="s">
        <v>91</v>
      </c>
      <c r="S35" s="39">
        <f t="shared" ref="S35:AF35" si="27">MAX(S13:S18)</f>
        <v>7</v>
      </c>
      <c r="T35" s="39">
        <f t="shared" si="27"/>
        <v>2</v>
      </c>
      <c r="U35" s="39">
        <f t="shared" si="27"/>
        <v>9</v>
      </c>
      <c r="V35" s="39">
        <f t="shared" si="27"/>
        <v>6</v>
      </c>
      <c r="W35" s="39">
        <f t="shared" si="27"/>
        <v>5</v>
      </c>
      <c r="X35" s="39">
        <f t="shared" si="27"/>
        <v>3</v>
      </c>
      <c r="Y35" s="39">
        <f t="shared" si="27"/>
        <v>2</v>
      </c>
      <c r="Z35" s="39">
        <f t="shared" si="27"/>
        <v>2</v>
      </c>
      <c r="AA35" s="39">
        <f t="shared" si="27"/>
        <v>4</v>
      </c>
      <c r="AB35" s="39">
        <f t="shared" si="27"/>
        <v>6</v>
      </c>
      <c r="AC35" s="39">
        <f t="shared" si="27"/>
        <v>19</v>
      </c>
      <c r="AD35" s="39">
        <f t="shared" si="27"/>
        <v>1</v>
      </c>
      <c r="AE35" s="40">
        <f t="shared" si="27"/>
        <v>33</v>
      </c>
      <c r="AF35" s="40">
        <f t="shared" si="27"/>
        <v>52</v>
      </c>
    </row>
    <row r="36" spans="2:32" ht="23.1" customHeight="1" x14ac:dyDescent="0.25">
      <c r="B36" s="46" t="s">
        <v>63</v>
      </c>
      <c r="C36" s="50">
        <v>0</v>
      </c>
      <c r="D36" s="50">
        <v>1</v>
      </c>
      <c r="E36" s="50">
        <v>4</v>
      </c>
      <c r="F36" s="50">
        <v>1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7</v>
      </c>
      <c r="P36" s="15">
        <f t="shared" si="1"/>
        <v>8</v>
      </c>
      <c r="R36" s="38" t="s">
        <v>92</v>
      </c>
      <c r="S36" s="39">
        <f t="shared" ref="S36:AF36" si="28">MAX(S19:S21)</f>
        <v>8</v>
      </c>
      <c r="T36" s="39">
        <f t="shared" si="28"/>
        <v>5</v>
      </c>
      <c r="U36" s="39">
        <f t="shared" si="28"/>
        <v>12</v>
      </c>
      <c r="V36" s="39">
        <f t="shared" si="28"/>
        <v>8</v>
      </c>
      <c r="W36" s="39">
        <f t="shared" si="28"/>
        <v>1</v>
      </c>
      <c r="X36" s="39">
        <f t="shared" si="28"/>
        <v>6</v>
      </c>
      <c r="Y36" s="39">
        <f t="shared" si="28"/>
        <v>3</v>
      </c>
      <c r="Z36" s="39">
        <f t="shared" si="28"/>
        <v>1</v>
      </c>
      <c r="AA36" s="39">
        <f t="shared" si="28"/>
        <v>2</v>
      </c>
      <c r="AB36" s="39">
        <f t="shared" si="28"/>
        <v>7</v>
      </c>
      <c r="AC36" s="39">
        <f t="shared" si="28"/>
        <v>19</v>
      </c>
      <c r="AD36" s="39">
        <f t="shared" si="28"/>
        <v>3</v>
      </c>
      <c r="AE36" s="40">
        <f t="shared" si="28"/>
        <v>42</v>
      </c>
      <c r="AF36" s="40">
        <f t="shared" si="28"/>
        <v>60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1</v>
      </c>
      <c r="I37" s="50">
        <v>0</v>
      </c>
      <c r="J37" s="50">
        <v>0</v>
      </c>
      <c r="K37" s="50">
        <v>1</v>
      </c>
      <c r="L37" s="50">
        <v>0</v>
      </c>
      <c r="M37" s="50">
        <v>5</v>
      </c>
      <c r="N37" s="50">
        <v>0</v>
      </c>
      <c r="O37" s="15">
        <f t="shared" si="0"/>
        <v>2</v>
      </c>
      <c r="P37" s="15">
        <f t="shared" si="1"/>
        <v>7</v>
      </c>
      <c r="R37" s="37" t="s">
        <v>85</v>
      </c>
      <c r="S37" s="35">
        <f t="shared" ref="S37:AF37" si="29">SUM(S10:S12)</f>
        <v>11</v>
      </c>
      <c r="T37" s="16">
        <f t="shared" si="29"/>
        <v>2</v>
      </c>
      <c r="U37" s="16">
        <f t="shared" si="29"/>
        <v>13</v>
      </c>
      <c r="V37" s="16">
        <f t="shared" si="29"/>
        <v>10</v>
      </c>
      <c r="W37" s="16">
        <f t="shared" si="29"/>
        <v>1</v>
      </c>
      <c r="X37" s="16">
        <f t="shared" si="29"/>
        <v>0</v>
      </c>
      <c r="Y37" s="16">
        <f t="shared" si="29"/>
        <v>2</v>
      </c>
      <c r="Z37" s="16">
        <f t="shared" si="29"/>
        <v>9</v>
      </c>
      <c r="AA37" s="16">
        <f t="shared" si="29"/>
        <v>6</v>
      </c>
      <c r="AB37" s="16">
        <f t="shared" si="29"/>
        <v>16</v>
      </c>
      <c r="AC37" s="16">
        <f t="shared" si="29"/>
        <v>48</v>
      </c>
      <c r="AD37" s="16">
        <f t="shared" si="29"/>
        <v>4</v>
      </c>
      <c r="AE37" s="32">
        <f t="shared" si="29"/>
        <v>74</v>
      </c>
      <c r="AF37" s="32">
        <f t="shared" si="29"/>
        <v>122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2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3</v>
      </c>
      <c r="N38" s="50">
        <v>0</v>
      </c>
      <c r="O38" s="15">
        <f t="shared" si="0"/>
        <v>4</v>
      </c>
      <c r="P38" s="15">
        <f t="shared" si="1"/>
        <v>7</v>
      </c>
      <c r="R38" s="28" t="s">
        <v>86</v>
      </c>
      <c r="S38" s="16">
        <f t="shared" ref="S38:AF38" si="30">SUM(S13:S18)</f>
        <v>15</v>
      </c>
      <c r="T38" s="16">
        <f t="shared" si="30"/>
        <v>8</v>
      </c>
      <c r="U38" s="16">
        <f t="shared" si="30"/>
        <v>41</v>
      </c>
      <c r="V38" s="16">
        <f t="shared" si="30"/>
        <v>15</v>
      </c>
      <c r="W38" s="16">
        <f t="shared" si="30"/>
        <v>8</v>
      </c>
      <c r="X38" s="16">
        <f t="shared" si="30"/>
        <v>7</v>
      </c>
      <c r="Y38" s="16">
        <f t="shared" si="30"/>
        <v>3</v>
      </c>
      <c r="Z38" s="16">
        <f t="shared" si="30"/>
        <v>4</v>
      </c>
      <c r="AA38" s="16">
        <f t="shared" si="30"/>
        <v>10</v>
      </c>
      <c r="AB38" s="16">
        <f t="shared" si="30"/>
        <v>18</v>
      </c>
      <c r="AC38" s="16">
        <f t="shared" si="30"/>
        <v>94</v>
      </c>
      <c r="AD38" s="16">
        <f t="shared" si="30"/>
        <v>1</v>
      </c>
      <c r="AE38" s="32">
        <f t="shared" si="30"/>
        <v>130</v>
      </c>
      <c r="AF38" s="32">
        <f t="shared" si="30"/>
        <v>224</v>
      </c>
    </row>
    <row r="39" spans="2:32" ht="23.1" customHeight="1" x14ac:dyDescent="0.25">
      <c r="B39" s="46" t="s">
        <v>66</v>
      </c>
      <c r="C39" s="50">
        <v>0</v>
      </c>
      <c r="D39" s="50">
        <v>1</v>
      </c>
      <c r="E39" s="50">
        <v>3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5</v>
      </c>
      <c r="P39" s="15">
        <f t="shared" si="1"/>
        <v>9</v>
      </c>
      <c r="R39" s="29" t="s">
        <v>87</v>
      </c>
      <c r="S39" s="16">
        <f t="shared" ref="S39:AF39" si="31">SUM(S19:S21)</f>
        <v>17</v>
      </c>
      <c r="T39" s="16">
        <f t="shared" si="31"/>
        <v>11</v>
      </c>
      <c r="U39" s="16">
        <f t="shared" si="31"/>
        <v>30</v>
      </c>
      <c r="V39" s="16">
        <f t="shared" si="31"/>
        <v>21</v>
      </c>
      <c r="W39" s="16">
        <f t="shared" si="31"/>
        <v>1</v>
      </c>
      <c r="X39" s="16">
        <f t="shared" si="31"/>
        <v>11</v>
      </c>
      <c r="Y39" s="16">
        <f t="shared" si="31"/>
        <v>3</v>
      </c>
      <c r="Z39" s="16">
        <f t="shared" si="31"/>
        <v>2</v>
      </c>
      <c r="AA39" s="16">
        <f t="shared" si="31"/>
        <v>3</v>
      </c>
      <c r="AB39" s="16">
        <f t="shared" si="31"/>
        <v>16</v>
      </c>
      <c r="AC39" s="16">
        <f t="shared" si="31"/>
        <v>49</v>
      </c>
      <c r="AD39" s="16">
        <f t="shared" si="31"/>
        <v>3</v>
      </c>
      <c r="AE39" s="32">
        <f t="shared" si="31"/>
        <v>118</v>
      </c>
      <c r="AF39" s="32">
        <f t="shared" si="31"/>
        <v>167</v>
      </c>
    </row>
    <row r="40" spans="2:32" ht="23.1" customHeight="1" x14ac:dyDescent="0.25">
      <c r="B40" s="46" t="s">
        <v>67</v>
      </c>
      <c r="C40" s="50">
        <v>2</v>
      </c>
      <c r="D40" s="50">
        <v>0</v>
      </c>
      <c r="E40" s="50">
        <v>1</v>
      </c>
      <c r="F40" s="50">
        <v>2</v>
      </c>
      <c r="G40" s="50">
        <v>2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8</v>
      </c>
      <c r="P40" s="15">
        <f t="shared" si="1"/>
        <v>10</v>
      </c>
      <c r="R40" s="5" t="s">
        <v>17</v>
      </c>
      <c r="S40" s="16">
        <f t="shared" ref="S40:AF40" si="32">SUM(S10:S21)</f>
        <v>43</v>
      </c>
      <c r="T40" s="16">
        <f t="shared" si="32"/>
        <v>21</v>
      </c>
      <c r="U40" s="16">
        <f t="shared" si="32"/>
        <v>84</v>
      </c>
      <c r="V40" s="16">
        <f t="shared" si="32"/>
        <v>46</v>
      </c>
      <c r="W40" s="16">
        <f t="shared" si="32"/>
        <v>10</v>
      </c>
      <c r="X40" s="16">
        <f t="shared" si="32"/>
        <v>18</v>
      </c>
      <c r="Y40" s="16">
        <f t="shared" si="32"/>
        <v>8</v>
      </c>
      <c r="Z40" s="16">
        <f t="shared" si="32"/>
        <v>15</v>
      </c>
      <c r="AA40" s="16">
        <f t="shared" si="32"/>
        <v>19</v>
      </c>
      <c r="AB40" s="16">
        <f t="shared" si="32"/>
        <v>50</v>
      </c>
      <c r="AC40" s="16">
        <f t="shared" si="32"/>
        <v>191</v>
      </c>
      <c r="AD40" s="16">
        <f t="shared" si="32"/>
        <v>8</v>
      </c>
      <c r="AE40" s="32">
        <f t="shared" si="32"/>
        <v>322</v>
      </c>
      <c r="AF40" s="32">
        <f t="shared" si="32"/>
        <v>513</v>
      </c>
    </row>
    <row r="41" spans="2:32" ht="23.1" customHeight="1" x14ac:dyDescent="0.25">
      <c r="B41" s="45" t="s">
        <v>68</v>
      </c>
      <c r="C41" s="50">
        <v>4</v>
      </c>
      <c r="D41" s="50">
        <v>1</v>
      </c>
      <c r="E41" s="50">
        <v>2</v>
      </c>
      <c r="F41" s="50">
        <v>2</v>
      </c>
      <c r="G41" s="50">
        <v>3</v>
      </c>
      <c r="H41" s="50">
        <v>2</v>
      </c>
      <c r="I41" s="50">
        <v>0</v>
      </c>
      <c r="J41" s="50">
        <v>0</v>
      </c>
      <c r="K41" s="50">
        <v>0</v>
      </c>
      <c r="L41" s="50">
        <v>2</v>
      </c>
      <c r="M41" s="50">
        <v>10</v>
      </c>
      <c r="N41" s="50">
        <v>0</v>
      </c>
      <c r="O41" s="15">
        <f t="shared" si="0"/>
        <v>16</v>
      </c>
      <c r="P41" s="15">
        <f t="shared" si="1"/>
        <v>26</v>
      </c>
      <c r="R41" s="5" t="s">
        <v>159</v>
      </c>
      <c r="S41" s="16">
        <f>SUM(S10:S33)</f>
        <v>61</v>
      </c>
      <c r="T41" s="16">
        <f t="shared" ref="T41:AF41" si="33">SUM(T10:T33)</f>
        <v>27</v>
      </c>
      <c r="U41" s="16">
        <f t="shared" si="33"/>
        <v>125</v>
      </c>
      <c r="V41" s="16">
        <f t="shared" si="33"/>
        <v>65</v>
      </c>
      <c r="W41" s="16">
        <f t="shared" si="33"/>
        <v>12</v>
      </c>
      <c r="X41" s="16">
        <f t="shared" si="33"/>
        <v>24</v>
      </c>
      <c r="Y41" s="16">
        <f t="shared" si="33"/>
        <v>12</v>
      </c>
      <c r="Z41" s="16">
        <f t="shared" si="33"/>
        <v>23</v>
      </c>
      <c r="AA41" s="16">
        <f t="shared" si="33"/>
        <v>21</v>
      </c>
      <c r="AB41" s="16">
        <f t="shared" si="33"/>
        <v>78</v>
      </c>
      <c r="AC41" s="16">
        <f t="shared" si="33"/>
        <v>257</v>
      </c>
      <c r="AD41" s="16">
        <f t="shared" si="33"/>
        <v>8</v>
      </c>
      <c r="AE41" s="32">
        <f t="shared" si="33"/>
        <v>456</v>
      </c>
      <c r="AF41" s="32">
        <f t="shared" si="33"/>
        <v>713</v>
      </c>
    </row>
    <row r="42" spans="2:32" ht="23.1" customHeight="1" x14ac:dyDescent="0.25">
      <c r="B42" s="46" t="s">
        <v>69</v>
      </c>
      <c r="C42" s="50">
        <v>2</v>
      </c>
      <c r="D42" s="50">
        <v>1</v>
      </c>
      <c r="E42" s="50">
        <v>3</v>
      </c>
      <c r="F42" s="50">
        <v>2</v>
      </c>
      <c r="G42" s="50">
        <v>1</v>
      </c>
      <c r="H42" s="50">
        <v>0</v>
      </c>
      <c r="I42" s="50">
        <v>0</v>
      </c>
      <c r="J42" s="50">
        <v>0</v>
      </c>
      <c r="K42" s="50">
        <v>0</v>
      </c>
      <c r="L42" s="50">
        <v>3</v>
      </c>
      <c r="M42" s="50">
        <v>5</v>
      </c>
      <c r="N42" s="50">
        <v>0</v>
      </c>
      <c r="O42" s="15">
        <f t="shared" si="0"/>
        <v>12</v>
      </c>
      <c r="P42" s="15">
        <f t="shared" si="1"/>
        <v>17</v>
      </c>
      <c r="R42" s="5" t="s">
        <v>160</v>
      </c>
      <c r="S42" s="48">
        <f>S41/S40</f>
        <v>1.4186046511627908</v>
      </c>
      <c r="T42" s="48">
        <f t="shared" ref="T42:AF42" si="34">T41/T40</f>
        <v>1.2857142857142858</v>
      </c>
      <c r="U42" s="48">
        <f t="shared" si="34"/>
        <v>1.4880952380952381</v>
      </c>
      <c r="V42" s="48">
        <f t="shared" si="34"/>
        <v>1.4130434782608696</v>
      </c>
      <c r="W42" s="48">
        <f t="shared" si="34"/>
        <v>1.2</v>
      </c>
      <c r="X42" s="48">
        <f t="shared" si="34"/>
        <v>1.3333333333333333</v>
      </c>
      <c r="Y42" s="48">
        <f t="shared" si="34"/>
        <v>1.5</v>
      </c>
      <c r="Z42" s="48">
        <f t="shared" si="34"/>
        <v>1.5333333333333334</v>
      </c>
      <c r="AA42" s="48">
        <f t="shared" si="34"/>
        <v>1.1052631578947369</v>
      </c>
      <c r="AB42" s="48">
        <f t="shared" si="34"/>
        <v>1.56</v>
      </c>
      <c r="AC42" s="48">
        <f t="shared" si="34"/>
        <v>1.3455497382198953</v>
      </c>
      <c r="AD42" s="48">
        <f t="shared" si="34"/>
        <v>1</v>
      </c>
      <c r="AE42" s="48">
        <f t="shared" si="34"/>
        <v>1.4161490683229814</v>
      </c>
      <c r="AF42" s="48">
        <f t="shared" si="34"/>
        <v>1.3898635477582846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2</v>
      </c>
      <c r="L43" s="50">
        <v>2</v>
      </c>
      <c r="M43" s="50">
        <v>3</v>
      </c>
      <c r="N43" s="50">
        <v>0</v>
      </c>
      <c r="O43" s="15">
        <f t="shared" si="0"/>
        <v>8</v>
      </c>
      <c r="P43" s="15">
        <f t="shared" si="1"/>
        <v>11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2</v>
      </c>
      <c r="P44" s="15">
        <f t="shared" si="1"/>
        <v>4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1</v>
      </c>
      <c r="M45" s="50">
        <v>4</v>
      </c>
      <c r="N45" s="50">
        <v>0</v>
      </c>
      <c r="O45" s="15">
        <f t="shared" si="0"/>
        <v>4</v>
      </c>
      <c r="P45" s="15">
        <f t="shared" si="1"/>
        <v>8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1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1</v>
      </c>
      <c r="M46" s="50">
        <v>5</v>
      </c>
      <c r="N46" s="50">
        <v>0</v>
      </c>
      <c r="O46" s="15">
        <f t="shared" si="0"/>
        <v>6</v>
      </c>
      <c r="P46" s="15">
        <f t="shared" si="1"/>
        <v>11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1</v>
      </c>
      <c r="E47" s="50">
        <v>2</v>
      </c>
      <c r="F47" s="50">
        <v>2</v>
      </c>
      <c r="G47" s="50">
        <v>0</v>
      </c>
      <c r="H47" s="50">
        <v>1</v>
      </c>
      <c r="I47" s="50">
        <v>0</v>
      </c>
      <c r="J47" s="50">
        <v>0</v>
      </c>
      <c r="K47" s="50">
        <v>2</v>
      </c>
      <c r="L47" s="50">
        <v>2</v>
      </c>
      <c r="M47" s="50">
        <v>3</v>
      </c>
      <c r="N47" s="50">
        <v>0</v>
      </c>
      <c r="O47" s="15">
        <f t="shared" si="0"/>
        <v>10</v>
      </c>
      <c r="P47" s="15">
        <f t="shared" si="1"/>
        <v>13</v>
      </c>
      <c r="R47" s="8"/>
      <c r="T47"/>
    </row>
    <row r="48" spans="2:32" ht="23.1" customHeight="1" x14ac:dyDescent="0.25">
      <c r="B48" s="46" t="s">
        <v>75</v>
      </c>
      <c r="C48" s="50">
        <v>5</v>
      </c>
      <c r="D48" s="50">
        <v>1</v>
      </c>
      <c r="E48" s="50">
        <v>2</v>
      </c>
      <c r="F48" s="50">
        <v>2</v>
      </c>
      <c r="G48" s="50">
        <v>0</v>
      </c>
      <c r="H48" s="50">
        <v>2</v>
      </c>
      <c r="I48" s="50">
        <v>0</v>
      </c>
      <c r="J48" s="50">
        <v>0</v>
      </c>
      <c r="K48" s="50">
        <v>0</v>
      </c>
      <c r="L48" s="50">
        <v>1</v>
      </c>
      <c r="M48" s="50">
        <v>7</v>
      </c>
      <c r="N48" s="50">
        <v>0</v>
      </c>
      <c r="O48" s="15">
        <f t="shared" si="0"/>
        <v>13</v>
      </c>
      <c r="P48" s="15">
        <f t="shared" si="1"/>
        <v>20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1</v>
      </c>
      <c r="E49" s="50">
        <v>2</v>
      </c>
      <c r="F49" s="50">
        <v>2</v>
      </c>
      <c r="G49" s="50">
        <v>0</v>
      </c>
      <c r="H49" s="50">
        <v>3</v>
      </c>
      <c r="I49" s="50">
        <v>0</v>
      </c>
      <c r="J49" s="50">
        <v>1</v>
      </c>
      <c r="K49" s="50">
        <v>0</v>
      </c>
      <c r="L49" s="50">
        <v>3</v>
      </c>
      <c r="M49" s="50">
        <v>3</v>
      </c>
      <c r="N49" s="50">
        <v>0</v>
      </c>
      <c r="O49" s="15">
        <f t="shared" si="0"/>
        <v>13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2</v>
      </c>
      <c r="E50" s="50">
        <v>4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1</v>
      </c>
      <c r="M50" s="50">
        <v>3</v>
      </c>
      <c r="N50" s="50">
        <v>2</v>
      </c>
      <c r="O50" s="15">
        <f t="shared" si="0"/>
        <v>11</v>
      </c>
      <c r="P50" s="15">
        <f t="shared" si="1"/>
        <v>14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1</v>
      </c>
      <c r="F51" s="50">
        <v>3</v>
      </c>
      <c r="G51" s="50">
        <v>0</v>
      </c>
      <c r="H51" s="50">
        <v>1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6</v>
      </c>
      <c r="P51" s="15">
        <f t="shared" si="1"/>
        <v>11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1</v>
      </c>
      <c r="E52" s="50">
        <v>2</v>
      </c>
      <c r="F52" s="50">
        <v>1</v>
      </c>
      <c r="G52" s="50">
        <v>0</v>
      </c>
      <c r="H52" s="50">
        <v>1</v>
      </c>
      <c r="I52" s="50">
        <v>0</v>
      </c>
      <c r="J52" s="50">
        <v>0</v>
      </c>
      <c r="K52" s="50">
        <v>0</v>
      </c>
      <c r="L52" s="50">
        <v>1</v>
      </c>
      <c r="M52" s="50">
        <v>5</v>
      </c>
      <c r="N52" s="50">
        <v>1</v>
      </c>
      <c r="O52" s="15">
        <f t="shared" si="0"/>
        <v>9</v>
      </c>
      <c r="P52" s="15">
        <f t="shared" si="1"/>
        <v>14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2</v>
      </c>
      <c r="E53" s="50">
        <v>5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1</v>
      </c>
      <c r="M53" s="50">
        <v>6</v>
      </c>
      <c r="N53" s="50">
        <v>0</v>
      </c>
      <c r="O53" s="15">
        <f t="shared" si="0"/>
        <v>12</v>
      </c>
      <c r="P53" s="15">
        <f t="shared" si="1"/>
        <v>18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1</v>
      </c>
      <c r="E54" s="50">
        <v>2</v>
      </c>
      <c r="F54" s="50">
        <v>1</v>
      </c>
      <c r="G54" s="50">
        <v>0</v>
      </c>
      <c r="H54" s="50">
        <v>1</v>
      </c>
      <c r="I54" s="50">
        <v>1</v>
      </c>
      <c r="J54" s="50">
        <v>1</v>
      </c>
      <c r="K54" s="50">
        <v>0</v>
      </c>
      <c r="L54" s="50">
        <v>3</v>
      </c>
      <c r="M54" s="50">
        <v>2</v>
      </c>
      <c r="N54" s="50">
        <v>0</v>
      </c>
      <c r="O54" s="15">
        <f t="shared" si="0"/>
        <v>10</v>
      </c>
      <c r="P54" s="15">
        <f t="shared" si="1"/>
        <v>12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1</v>
      </c>
      <c r="E55" s="50">
        <v>4</v>
      </c>
      <c r="F55" s="50">
        <v>3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10</v>
      </c>
      <c r="P55" s="15">
        <f t="shared" si="1"/>
        <v>14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2</v>
      </c>
      <c r="F56" s="50">
        <v>2</v>
      </c>
      <c r="G56" s="50">
        <v>0</v>
      </c>
      <c r="H56" s="50">
        <v>2</v>
      </c>
      <c r="I56" s="50">
        <v>2</v>
      </c>
      <c r="J56" s="50">
        <v>0</v>
      </c>
      <c r="K56" s="50">
        <v>0</v>
      </c>
      <c r="L56" s="50">
        <v>1</v>
      </c>
      <c r="M56" s="50">
        <v>2</v>
      </c>
      <c r="N56" s="50">
        <v>0</v>
      </c>
      <c r="O56" s="15">
        <f t="shared" si="0"/>
        <v>11</v>
      </c>
      <c r="P56" s="15">
        <f t="shared" si="1"/>
        <v>13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1</v>
      </c>
      <c r="E57" s="50">
        <v>3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2</v>
      </c>
      <c r="M57" s="50">
        <v>4</v>
      </c>
      <c r="N57" s="50">
        <v>0</v>
      </c>
      <c r="O57" s="15">
        <f t="shared" si="0"/>
        <v>7</v>
      </c>
      <c r="P57" s="15">
        <f t="shared" si="1"/>
        <v>11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1</v>
      </c>
      <c r="M58" s="50">
        <v>2</v>
      </c>
      <c r="N58" s="50">
        <v>0</v>
      </c>
      <c r="O58" s="15">
        <f t="shared" ref="O58:O105" si="35">SUM(C58:L58,N58)</f>
        <v>3</v>
      </c>
      <c r="P58" s="15">
        <f t="shared" ref="P58:P105" si="36">SUM(C58:N58)</f>
        <v>5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1</v>
      </c>
      <c r="M59" s="50">
        <v>2</v>
      </c>
      <c r="N59" s="50">
        <v>0</v>
      </c>
      <c r="O59" s="15">
        <f t="shared" si="35"/>
        <v>2</v>
      </c>
      <c r="P59" s="15">
        <f t="shared" si="36"/>
        <v>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1</v>
      </c>
      <c r="M60" s="50">
        <v>3</v>
      </c>
      <c r="N60" s="50">
        <v>0</v>
      </c>
      <c r="O60" s="15">
        <f t="shared" si="35"/>
        <v>4</v>
      </c>
      <c r="P60" s="15">
        <f t="shared" si="36"/>
        <v>7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1</v>
      </c>
      <c r="M61" s="50">
        <v>2</v>
      </c>
      <c r="N61" s="50">
        <v>0</v>
      </c>
      <c r="O61" s="15">
        <f t="shared" si="35"/>
        <v>3</v>
      </c>
      <c r="P61" s="15">
        <f t="shared" si="36"/>
        <v>5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1</v>
      </c>
      <c r="M62" s="50">
        <v>2</v>
      </c>
      <c r="N62" s="50">
        <v>0</v>
      </c>
      <c r="O62" s="15">
        <f t="shared" si="35"/>
        <v>2</v>
      </c>
      <c r="P62" s="15">
        <f t="shared" si="36"/>
        <v>4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1</v>
      </c>
      <c r="M63" s="50">
        <v>2</v>
      </c>
      <c r="N63" s="50">
        <v>0</v>
      </c>
      <c r="O63" s="15">
        <f t="shared" si="35"/>
        <v>4</v>
      </c>
      <c r="P63" s="15">
        <f t="shared" si="36"/>
        <v>6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1</v>
      </c>
      <c r="M64" s="50">
        <v>2</v>
      </c>
      <c r="N64" s="50">
        <v>0</v>
      </c>
      <c r="O64" s="15">
        <f t="shared" si="35"/>
        <v>3</v>
      </c>
      <c r="P64" s="15">
        <f t="shared" si="36"/>
        <v>5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1</v>
      </c>
      <c r="M65" s="50">
        <v>3</v>
      </c>
      <c r="N65" s="50">
        <v>0</v>
      </c>
      <c r="O65" s="15">
        <f t="shared" si="35"/>
        <v>3</v>
      </c>
      <c r="P65" s="15">
        <f t="shared" si="36"/>
        <v>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1</v>
      </c>
      <c r="M66" s="50">
        <v>3</v>
      </c>
      <c r="N66" s="50">
        <v>0</v>
      </c>
      <c r="O66" s="15">
        <f t="shared" si="35"/>
        <v>1</v>
      </c>
      <c r="P66" s="15">
        <f t="shared" si="36"/>
        <v>4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1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4</v>
      </c>
      <c r="N67" s="50">
        <v>0</v>
      </c>
      <c r="O67" s="15">
        <f t="shared" si="35"/>
        <v>1</v>
      </c>
      <c r="P67" s="15">
        <f t="shared" si="36"/>
        <v>5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1</v>
      </c>
      <c r="F68" s="50">
        <v>1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1</v>
      </c>
      <c r="M68" s="50">
        <v>4</v>
      </c>
      <c r="N68" s="50">
        <v>0</v>
      </c>
      <c r="O68" s="15">
        <f t="shared" si="35"/>
        <v>5</v>
      </c>
      <c r="P68" s="15">
        <f t="shared" si="36"/>
        <v>9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1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</v>
      </c>
      <c r="N69" s="50">
        <v>0</v>
      </c>
      <c r="O69" s="15">
        <f t="shared" si="35"/>
        <v>3</v>
      </c>
      <c r="P69" s="15">
        <f t="shared" si="36"/>
        <v>7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1</v>
      </c>
      <c r="M70" s="50">
        <v>3</v>
      </c>
      <c r="N70" s="50">
        <v>0</v>
      </c>
      <c r="O70" s="15">
        <f t="shared" si="35"/>
        <v>3</v>
      </c>
      <c r="P70" s="15">
        <f t="shared" si="36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1</v>
      </c>
      <c r="M71" s="50">
        <v>3</v>
      </c>
      <c r="N71" s="50">
        <v>0</v>
      </c>
      <c r="O71" s="15">
        <f t="shared" si="35"/>
        <v>2</v>
      </c>
      <c r="P71" s="15">
        <f t="shared" si="36"/>
        <v>5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1</v>
      </c>
      <c r="M72" s="50">
        <v>2</v>
      </c>
      <c r="N72" s="50">
        <v>0</v>
      </c>
      <c r="O72" s="15">
        <f t="shared" si="35"/>
        <v>3</v>
      </c>
      <c r="P72" s="15">
        <f t="shared" si="36"/>
        <v>5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1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35"/>
        <v>2</v>
      </c>
      <c r="P73" s="15">
        <f t="shared" si="36"/>
        <v>2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si="35"/>
        <v>3</v>
      </c>
      <c r="P74" s="15">
        <f t="shared" si="36"/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1</v>
      </c>
      <c r="F75" s="50">
        <v>1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1</v>
      </c>
      <c r="M75" s="50">
        <v>2</v>
      </c>
      <c r="N75" s="50">
        <v>0</v>
      </c>
      <c r="O75" s="15">
        <f t="shared" si="35"/>
        <v>4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1</v>
      </c>
      <c r="M76" s="50">
        <v>3</v>
      </c>
      <c r="N76" s="50">
        <v>0</v>
      </c>
      <c r="O76" s="15">
        <f t="shared" si="35"/>
        <v>3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2</v>
      </c>
      <c r="F77" s="50">
        <v>1</v>
      </c>
      <c r="G77" s="50">
        <v>1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6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2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1</v>
      </c>
      <c r="M80" s="50">
        <v>0</v>
      </c>
      <c r="N80" s="50"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0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1</v>
      </c>
      <c r="N82" s="50"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1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1</v>
      </c>
      <c r="M83" s="50">
        <v>2</v>
      </c>
      <c r="N83" s="50">
        <v>0</v>
      </c>
      <c r="O83" s="15">
        <f t="shared" si="35"/>
        <v>4</v>
      </c>
      <c r="P83" s="15">
        <f t="shared" si="36"/>
        <v>6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1</v>
      </c>
      <c r="E86" s="50">
        <v>2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1</v>
      </c>
      <c r="M86" s="50">
        <v>0</v>
      </c>
      <c r="N86" s="50"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1</v>
      </c>
      <c r="E89" s="50">
        <v>2</v>
      </c>
      <c r="F89" s="50">
        <v>1</v>
      </c>
      <c r="G89" s="50">
        <v>1</v>
      </c>
      <c r="H89" s="50">
        <v>1</v>
      </c>
      <c r="I89" s="50">
        <v>0</v>
      </c>
      <c r="J89" s="50">
        <v>0</v>
      </c>
      <c r="K89" s="50">
        <v>0</v>
      </c>
      <c r="L89" s="50">
        <v>1</v>
      </c>
      <c r="M89" s="50">
        <v>0</v>
      </c>
      <c r="N89" s="50">
        <v>0</v>
      </c>
      <c r="O89" s="15">
        <f t="shared" si="35"/>
        <v>7</v>
      </c>
      <c r="P89" s="15">
        <f t="shared" si="36"/>
        <v>7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1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1</v>
      </c>
      <c r="L95" s="50">
        <v>1</v>
      </c>
      <c r="M95" s="50">
        <v>0</v>
      </c>
      <c r="N95" s="50">
        <v>0</v>
      </c>
      <c r="O95" s="15">
        <f t="shared" si="35"/>
        <v>5</v>
      </c>
      <c r="P95" s="15">
        <f t="shared" si="36"/>
        <v>5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1</v>
      </c>
      <c r="G96" s="50">
        <v>0</v>
      </c>
      <c r="H96" s="50">
        <v>1</v>
      </c>
      <c r="I96" s="50">
        <v>0</v>
      </c>
      <c r="J96" s="50">
        <v>0</v>
      </c>
      <c r="K96" s="50">
        <v>1</v>
      </c>
      <c r="L96" s="50">
        <v>0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1</v>
      </c>
      <c r="M97" s="50">
        <v>0</v>
      </c>
      <c r="N97" s="50"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1</v>
      </c>
      <c r="E98" s="50">
        <v>1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3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1</v>
      </c>
      <c r="M99" s="50">
        <v>0</v>
      </c>
      <c r="N99" s="50">
        <v>0</v>
      </c>
      <c r="O99" s="15">
        <f t="shared" si="35"/>
        <v>3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1</v>
      </c>
      <c r="E100" s="50">
        <v>2</v>
      </c>
      <c r="F100" s="50">
        <v>1</v>
      </c>
      <c r="G100" s="50">
        <v>0</v>
      </c>
      <c r="H100" s="50">
        <v>1</v>
      </c>
      <c r="I100" s="50">
        <v>0</v>
      </c>
      <c r="J100" s="50">
        <v>1</v>
      </c>
      <c r="K100" s="50">
        <v>0</v>
      </c>
      <c r="L100" s="50">
        <v>1</v>
      </c>
      <c r="M100" s="50">
        <v>1</v>
      </c>
      <c r="N100" s="50">
        <v>0</v>
      </c>
      <c r="O100" s="15">
        <f t="shared" si="35"/>
        <v>8</v>
      </c>
      <c r="P100" s="15">
        <f t="shared" si="36"/>
        <v>9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0</v>
      </c>
      <c r="N101" s="50"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1</v>
      </c>
      <c r="G102" s="50">
        <v>0</v>
      </c>
      <c r="H102" s="50">
        <v>1</v>
      </c>
      <c r="I102" s="50">
        <v>0</v>
      </c>
      <c r="J102" s="50">
        <v>0</v>
      </c>
      <c r="K102" s="50">
        <v>0</v>
      </c>
      <c r="L102" s="50">
        <v>1</v>
      </c>
      <c r="M102" s="50">
        <v>1</v>
      </c>
      <c r="N102" s="50">
        <v>0</v>
      </c>
      <c r="O102" s="15">
        <f t="shared" si="35"/>
        <v>5</v>
      </c>
      <c r="P102" s="15">
        <f t="shared" si="36"/>
        <v>6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2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4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50">
        <v>3</v>
      </c>
      <c r="N104" s="50">
        <v>0</v>
      </c>
      <c r="O104" s="15">
        <f t="shared" si="35"/>
        <v>3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1</v>
      </c>
      <c r="M105" s="50">
        <v>3</v>
      </c>
      <c r="N105" s="50">
        <v>0</v>
      </c>
      <c r="O105" s="15">
        <f t="shared" si="35"/>
        <v>3</v>
      </c>
      <c r="P105" s="15">
        <f t="shared" si="36"/>
        <v>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61</v>
      </c>
      <c r="D106" s="16">
        <f t="shared" ref="D106:P106" si="37">SUM(D10:D105)</f>
        <v>27</v>
      </c>
      <c r="E106" s="16">
        <f t="shared" si="37"/>
        <v>125</v>
      </c>
      <c r="F106" s="16">
        <f t="shared" si="37"/>
        <v>65</v>
      </c>
      <c r="G106" s="16">
        <f t="shared" si="37"/>
        <v>12</v>
      </c>
      <c r="H106" s="16">
        <f t="shared" si="37"/>
        <v>24</v>
      </c>
      <c r="I106" s="16">
        <f t="shared" si="37"/>
        <v>12</v>
      </c>
      <c r="J106" s="16">
        <f t="shared" si="37"/>
        <v>23</v>
      </c>
      <c r="K106" s="16">
        <f t="shared" si="37"/>
        <v>21</v>
      </c>
      <c r="L106" s="16">
        <f t="shared" si="37"/>
        <v>78</v>
      </c>
      <c r="M106" s="16">
        <f t="shared" si="37"/>
        <v>257</v>
      </c>
      <c r="N106" s="16">
        <f t="shared" si="37"/>
        <v>8</v>
      </c>
      <c r="O106" s="16">
        <f t="shared" si="37"/>
        <v>456</v>
      </c>
      <c r="P106" s="16">
        <f t="shared" si="37"/>
        <v>713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8.5553997194950909E-2</v>
      </c>
      <c r="D107" s="43">
        <f t="shared" si="38"/>
        <v>3.7868162692847124E-2</v>
      </c>
      <c r="E107" s="43">
        <f t="shared" si="38"/>
        <v>0.17531556802244039</v>
      </c>
      <c r="F107" s="43">
        <f t="shared" si="38"/>
        <v>9.1164095371669002E-2</v>
      </c>
      <c r="G107" s="43">
        <f t="shared" si="38"/>
        <v>1.6830294530154277E-2</v>
      </c>
      <c r="H107" s="43">
        <f t="shared" si="38"/>
        <v>3.3660589060308554E-2</v>
      </c>
      <c r="I107" s="43">
        <f t="shared" si="38"/>
        <v>1.6830294530154277E-2</v>
      </c>
      <c r="J107" s="43">
        <f t="shared" si="38"/>
        <v>3.2258064516129031E-2</v>
      </c>
      <c r="K107" s="43">
        <f t="shared" si="38"/>
        <v>2.9453015427769985E-2</v>
      </c>
      <c r="L107" s="43">
        <f t="shared" si="38"/>
        <v>0.1093969144460028</v>
      </c>
      <c r="M107" s="43">
        <f t="shared" si="38"/>
        <v>0.36044880785413747</v>
      </c>
      <c r="N107" s="43">
        <f t="shared" si="38"/>
        <v>1.1220196353436185E-2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0.1337719298245614</v>
      </c>
      <c r="D108" s="44">
        <f t="shared" ref="D108:N108" si="39">D106/$O$106</f>
        <v>5.921052631578947E-2</v>
      </c>
      <c r="E108" s="44">
        <f t="shared" si="39"/>
        <v>0.27412280701754388</v>
      </c>
      <c r="F108" s="44">
        <f t="shared" si="39"/>
        <v>0.14254385964912281</v>
      </c>
      <c r="G108" s="44">
        <f t="shared" si="39"/>
        <v>2.6315789473684209E-2</v>
      </c>
      <c r="H108" s="44">
        <f t="shared" si="39"/>
        <v>5.2631578947368418E-2</v>
      </c>
      <c r="I108" s="44">
        <f t="shared" si="39"/>
        <v>2.6315789473684209E-2</v>
      </c>
      <c r="J108" s="44">
        <f t="shared" si="39"/>
        <v>5.0438596491228067E-2</v>
      </c>
      <c r="K108" s="44">
        <f t="shared" si="39"/>
        <v>4.6052631578947366E-2</v>
      </c>
      <c r="L108" s="44">
        <f t="shared" si="39"/>
        <v>0.17105263157894737</v>
      </c>
      <c r="M108" s="44"/>
      <c r="N108" s="44">
        <f t="shared" si="39"/>
        <v>1.7543859649122806E-2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83" zoomScale="60" workbookViewId="0">
      <selection activeCell="J103" sqref="J10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'2.08 Pakwach-Karuma-24h'!D5</f>
        <v>26.07.19</v>
      </c>
      <c r="E5" s="3"/>
      <c r="F5" s="41" t="s">
        <v>1</v>
      </c>
      <c r="G5" s="66" t="str">
        <f>'2.08 Pakwach-Karuma-24h'!G5:H5</f>
        <v>xxx</v>
      </c>
      <c r="H5" s="67"/>
      <c r="I5" s="14"/>
      <c r="J5" s="2" t="s">
        <v>5</v>
      </c>
      <c r="K5" s="66" t="str">
        <f>'2.08 Pakwach-Karuma-24h'!K5:L5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karuma-pakwach'!D6:E6</f>
        <v>karuma</v>
      </c>
      <c r="E6" s="67"/>
      <c r="F6" s="2" t="s">
        <v>2</v>
      </c>
      <c r="G6" s="66" t="str">
        <f>'30.07 karuma-pakwach'!G6:H6</f>
        <v>pakwach</v>
      </c>
      <c r="H6" s="67"/>
      <c r="J6" s="2" t="s">
        <v>21</v>
      </c>
      <c r="K6" s="66" t="str">
        <f>'2.08 Pakwach-Karuma-24h'!K6:L6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2</v>
      </c>
      <c r="M10" s="50">
        <v>3</v>
      </c>
      <c r="N10" s="50">
        <v>0</v>
      </c>
      <c r="O10" s="15">
        <f t="shared" ref="O10:O73" si="0">SUM(C10:L10,N10)</f>
        <v>4</v>
      </c>
      <c r="P10" s="15">
        <f t="shared" ref="P10:P73" si="1">SUM(C10:N10)</f>
        <v>7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5</v>
      </c>
      <c r="V10" s="17">
        <f t="shared" si="2"/>
        <v>0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4</v>
      </c>
      <c r="AC10" s="17">
        <f t="shared" si="2"/>
        <v>10</v>
      </c>
      <c r="AD10" s="17">
        <f t="shared" si="2"/>
        <v>0</v>
      </c>
      <c r="AE10" s="31">
        <f t="shared" si="2"/>
        <v>12</v>
      </c>
      <c r="AF10" s="31">
        <f t="shared" si="2"/>
        <v>22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2</v>
      </c>
      <c r="M11" s="50">
        <v>3</v>
      </c>
      <c r="N11" s="50">
        <v>0</v>
      </c>
      <c r="O11" s="15">
        <f t="shared" si="0"/>
        <v>3</v>
      </c>
      <c r="P11" s="15">
        <f t="shared" si="1"/>
        <v>6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2</v>
      </c>
      <c r="V11" s="17">
        <f t="shared" si="3"/>
        <v>6</v>
      </c>
      <c r="W11" s="17">
        <f t="shared" si="3"/>
        <v>1</v>
      </c>
      <c r="X11" s="17">
        <f t="shared" si="3"/>
        <v>0</v>
      </c>
      <c r="Y11" s="17">
        <f t="shared" si="3"/>
        <v>2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18</v>
      </c>
      <c r="AD11" s="17">
        <f t="shared" si="3"/>
        <v>1</v>
      </c>
      <c r="AE11" s="31">
        <f t="shared" si="3"/>
        <v>15</v>
      </c>
      <c r="AF11" s="31">
        <f t="shared" si="3"/>
        <v>33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2</v>
      </c>
      <c r="P12" s="15">
        <f t="shared" si="1"/>
        <v>3</v>
      </c>
      <c r="R12" s="1" t="s">
        <v>8</v>
      </c>
      <c r="S12" s="17">
        <f t="shared" ref="S12:AF12" si="4">SUM(C18:C21)</f>
        <v>2</v>
      </c>
      <c r="T12" s="17">
        <f t="shared" si="4"/>
        <v>3</v>
      </c>
      <c r="U12" s="17">
        <f t="shared" si="4"/>
        <v>7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3</v>
      </c>
      <c r="AA12" s="17">
        <f t="shared" si="4"/>
        <v>1</v>
      </c>
      <c r="AB12" s="17">
        <f t="shared" si="4"/>
        <v>10</v>
      </c>
      <c r="AC12" s="17">
        <f t="shared" si="4"/>
        <v>26</v>
      </c>
      <c r="AD12" s="17">
        <f t="shared" si="4"/>
        <v>0</v>
      </c>
      <c r="AE12" s="31">
        <f t="shared" si="4"/>
        <v>30</v>
      </c>
      <c r="AF12" s="31">
        <f t="shared" si="4"/>
        <v>56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1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2</v>
      </c>
      <c r="T13" s="17">
        <f t="shared" si="5"/>
        <v>2</v>
      </c>
      <c r="U13" s="17">
        <f t="shared" si="5"/>
        <v>7</v>
      </c>
      <c r="V13" s="17">
        <f t="shared" si="5"/>
        <v>5</v>
      </c>
      <c r="W13" s="17">
        <f t="shared" si="5"/>
        <v>0</v>
      </c>
      <c r="X13" s="17">
        <f t="shared" si="5"/>
        <v>3</v>
      </c>
      <c r="Y13" s="17">
        <f t="shared" si="5"/>
        <v>0</v>
      </c>
      <c r="Z13" s="17">
        <f t="shared" si="5"/>
        <v>0</v>
      </c>
      <c r="AA13" s="17">
        <f t="shared" si="5"/>
        <v>2</v>
      </c>
      <c r="AB13" s="17">
        <f t="shared" si="5"/>
        <v>5</v>
      </c>
      <c r="AC13" s="17">
        <f t="shared" si="5"/>
        <v>19</v>
      </c>
      <c r="AD13" s="17">
        <f t="shared" si="5"/>
        <v>0</v>
      </c>
      <c r="AE13" s="31">
        <f t="shared" si="5"/>
        <v>26</v>
      </c>
      <c r="AF13" s="31">
        <f t="shared" si="5"/>
        <v>45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1</v>
      </c>
      <c r="P14" s="15">
        <f t="shared" si="1"/>
        <v>3</v>
      </c>
      <c r="R14" s="1" t="s">
        <v>10</v>
      </c>
      <c r="S14" s="17">
        <f t="shared" ref="S14:AF14" si="6">SUM(C26:C29)</f>
        <v>1</v>
      </c>
      <c r="T14" s="17">
        <f t="shared" si="6"/>
        <v>2</v>
      </c>
      <c r="U14" s="17">
        <f t="shared" si="6"/>
        <v>5</v>
      </c>
      <c r="V14" s="17">
        <f t="shared" si="6"/>
        <v>4</v>
      </c>
      <c r="W14" s="17">
        <f t="shared" si="6"/>
        <v>3</v>
      </c>
      <c r="X14" s="17">
        <f t="shared" si="6"/>
        <v>0</v>
      </c>
      <c r="Y14" s="17">
        <f t="shared" si="6"/>
        <v>0</v>
      </c>
      <c r="Z14" s="17">
        <f t="shared" si="6"/>
        <v>3</v>
      </c>
      <c r="AA14" s="17">
        <f t="shared" si="6"/>
        <v>0</v>
      </c>
      <c r="AB14" s="17">
        <f t="shared" si="6"/>
        <v>2</v>
      </c>
      <c r="AC14" s="17">
        <f t="shared" si="6"/>
        <v>10</v>
      </c>
      <c r="AD14" s="17">
        <f t="shared" si="6"/>
        <v>0</v>
      </c>
      <c r="AE14" s="31">
        <f t="shared" si="6"/>
        <v>20</v>
      </c>
      <c r="AF14" s="31">
        <f t="shared" si="6"/>
        <v>30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2</v>
      </c>
      <c r="F15" s="50">
        <v>1</v>
      </c>
      <c r="G15" s="50">
        <v>1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1</v>
      </c>
      <c r="O15" s="15">
        <f t="shared" si="0"/>
        <v>6</v>
      </c>
      <c r="P15" s="15">
        <f t="shared" si="1"/>
        <v>10</v>
      </c>
      <c r="R15" s="1" t="s">
        <v>11</v>
      </c>
      <c r="S15" s="17">
        <f t="shared" ref="S15:AF15" si="7">SUM(C30:C33)</f>
        <v>1</v>
      </c>
      <c r="T15" s="17">
        <f t="shared" si="7"/>
        <v>1</v>
      </c>
      <c r="U15" s="17">
        <f t="shared" si="7"/>
        <v>5</v>
      </c>
      <c r="V15" s="17">
        <f t="shared" si="7"/>
        <v>2</v>
      </c>
      <c r="W15" s="17">
        <f t="shared" si="7"/>
        <v>0</v>
      </c>
      <c r="X15" s="17">
        <f t="shared" si="7"/>
        <v>2</v>
      </c>
      <c r="Y15" s="17">
        <f t="shared" si="7"/>
        <v>0</v>
      </c>
      <c r="Z15" s="17">
        <f t="shared" si="7"/>
        <v>3</v>
      </c>
      <c r="AA15" s="17">
        <f t="shared" si="7"/>
        <v>3</v>
      </c>
      <c r="AB15" s="17">
        <f t="shared" si="7"/>
        <v>1</v>
      </c>
      <c r="AC15" s="17">
        <f t="shared" si="7"/>
        <v>18</v>
      </c>
      <c r="AD15" s="17">
        <f t="shared" si="7"/>
        <v>0</v>
      </c>
      <c r="AE15" s="31">
        <f t="shared" si="7"/>
        <v>18</v>
      </c>
      <c r="AF15" s="31">
        <f t="shared" si="7"/>
        <v>36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4</v>
      </c>
      <c r="P16" s="15">
        <f t="shared" si="1"/>
        <v>8</v>
      </c>
      <c r="R16" s="1" t="s">
        <v>12</v>
      </c>
      <c r="S16" s="17">
        <f t="shared" ref="S16:AF16" si="8">SUM(C34:C37)</f>
        <v>6</v>
      </c>
      <c r="T16" s="17">
        <f t="shared" si="8"/>
        <v>2</v>
      </c>
      <c r="U16" s="17">
        <f t="shared" si="8"/>
        <v>5</v>
      </c>
      <c r="V16" s="17">
        <f t="shared" si="8"/>
        <v>3</v>
      </c>
      <c r="W16" s="17">
        <f t="shared" si="8"/>
        <v>3</v>
      </c>
      <c r="X16" s="17">
        <f t="shared" si="8"/>
        <v>2</v>
      </c>
      <c r="Y16" s="17">
        <f t="shared" si="8"/>
        <v>3</v>
      </c>
      <c r="Z16" s="17">
        <f t="shared" si="8"/>
        <v>4</v>
      </c>
      <c r="AA16" s="17">
        <f t="shared" si="8"/>
        <v>1</v>
      </c>
      <c r="AB16" s="17">
        <f t="shared" si="8"/>
        <v>4</v>
      </c>
      <c r="AC16" s="17">
        <f t="shared" si="8"/>
        <v>9</v>
      </c>
      <c r="AD16" s="17">
        <f t="shared" si="8"/>
        <v>1</v>
      </c>
      <c r="AE16" s="31">
        <f t="shared" si="8"/>
        <v>34</v>
      </c>
      <c r="AF16" s="31">
        <f t="shared" si="8"/>
        <v>43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4</v>
      </c>
      <c r="P17" s="15">
        <f t="shared" si="1"/>
        <v>12</v>
      </c>
      <c r="R17" s="1" t="s">
        <v>13</v>
      </c>
      <c r="S17" s="17">
        <f t="shared" ref="S17:AF17" si="9">SUM(C38:C41)</f>
        <v>4</v>
      </c>
      <c r="T17" s="17">
        <f t="shared" si="9"/>
        <v>2</v>
      </c>
      <c r="U17" s="17">
        <f t="shared" si="9"/>
        <v>8</v>
      </c>
      <c r="V17" s="17">
        <f t="shared" si="9"/>
        <v>3</v>
      </c>
      <c r="W17" s="17">
        <f t="shared" si="9"/>
        <v>0</v>
      </c>
      <c r="X17" s="17">
        <f t="shared" si="9"/>
        <v>4</v>
      </c>
      <c r="Y17" s="17">
        <f t="shared" si="9"/>
        <v>3</v>
      </c>
      <c r="Z17" s="17">
        <f t="shared" si="9"/>
        <v>6</v>
      </c>
      <c r="AA17" s="17">
        <f t="shared" si="9"/>
        <v>1</v>
      </c>
      <c r="AB17" s="17">
        <f t="shared" si="9"/>
        <v>8</v>
      </c>
      <c r="AC17" s="17">
        <f t="shared" si="9"/>
        <v>13</v>
      </c>
      <c r="AD17" s="17">
        <f t="shared" si="9"/>
        <v>0</v>
      </c>
      <c r="AE17" s="31">
        <f t="shared" si="9"/>
        <v>39</v>
      </c>
      <c r="AF17" s="31">
        <f t="shared" si="9"/>
        <v>52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2</v>
      </c>
      <c r="P18" s="15">
        <f t="shared" si="1"/>
        <v>7</v>
      </c>
      <c r="R18" s="1" t="s">
        <v>14</v>
      </c>
      <c r="S18" s="17">
        <f t="shared" ref="S18:AF18" si="10">SUM(C42:C45)</f>
        <v>3</v>
      </c>
      <c r="T18" s="17">
        <f t="shared" si="10"/>
        <v>4</v>
      </c>
      <c r="U18" s="17">
        <f t="shared" si="10"/>
        <v>9</v>
      </c>
      <c r="V18" s="17">
        <f t="shared" si="10"/>
        <v>9</v>
      </c>
      <c r="W18" s="17">
        <f t="shared" si="10"/>
        <v>0</v>
      </c>
      <c r="X18" s="17">
        <f t="shared" si="10"/>
        <v>4</v>
      </c>
      <c r="Y18" s="17">
        <f t="shared" si="10"/>
        <v>2</v>
      </c>
      <c r="Z18" s="17">
        <f t="shared" si="10"/>
        <v>3</v>
      </c>
      <c r="AA18" s="17">
        <f t="shared" si="10"/>
        <v>7</v>
      </c>
      <c r="AB18" s="17">
        <f t="shared" si="10"/>
        <v>0</v>
      </c>
      <c r="AC18" s="17">
        <f t="shared" si="10"/>
        <v>22</v>
      </c>
      <c r="AD18" s="17">
        <f t="shared" si="10"/>
        <v>0</v>
      </c>
      <c r="AE18" s="31">
        <f t="shared" si="10"/>
        <v>41</v>
      </c>
      <c r="AF18" s="31">
        <f t="shared" si="10"/>
        <v>63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5</v>
      </c>
      <c r="M19" s="50">
        <v>0</v>
      </c>
      <c r="N19" s="50">
        <v>0</v>
      </c>
      <c r="O19" s="15">
        <f t="shared" si="0"/>
        <v>6</v>
      </c>
      <c r="P19" s="15">
        <f t="shared" si="1"/>
        <v>6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5</v>
      </c>
      <c r="V19" s="17">
        <f t="shared" si="11"/>
        <v>6</v>
      </c>
      <c r="W19" s="17">
        <f t="shared" si="11"/>
        <v>2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1</v>
      </c>
      <c r="AB19" s="17">
        <f t="shared" si="11"/>
        <v>3</v>
      </c>
      <c r="AC19" s="17">
        <f t="shared" si="11"/>
        <v>22</v>
      </c>
      <c r="AD19" s="17">
        <f t="shared" si="11"/>
        <v>0</v>
      </c>
      <c r="AE19" s="31">
        <f t="shared" si="11"/>
        <v>24</v>
      </c>
      <c r="AF19" s="31">
        <f t="shared" si="11"/>
        <v>46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2</v>
      </c>
      <c r="F20" s="50">
        <v>1</v>
      </c>
      <c r="G20" s="50">
        <v>0</v>
      </c>
      <c r="H20" s="50">
        <v>0</v>
      </c>
      <c r="I20" s="50">
        <v>1</v>
      </c>
      <c r="J20" s="50">
        <v>1</v>
      </c>
      <c r="K20" s="50">
        <v>1</v>
      </c>
      <c r="L20" s="50">
        <v>0</v>
      </c>
      <c r="M20" s="50">
        <v>15</v>
      </c>
      <c r="N20" s="50">
        <v>0</v>
      </c>
      <c r="O20" s="15">
        <f t="shared" si="0"/>
        <v>7</v>
      </c>
      <c r="P20" s="15">
        <f t="shared" si="1"/>
        <v>22</v>
      </c>
      <c r="R20" s="1" t="s">
        <v>16</v>
      </c>
      <c r="S20" s="17">
        <f t="shared" ref="S20:AF20" si="12">SUM(C50:C53)</f>
        <v>10</v>
      </c>
      <c r="T20" s="17">
        <f t="shared" si="12"/>
        <v>2</v>
      </c>
      <c r="U20" s="17">
        <f t="shared" si="12"/>
        <v>7</v>
      </c>
      <c r="V20" s="17">
        <f t="shared" si="12"/>
        <v>7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5</v>
      </c>
      <c r="AA20" s="17">
        <f t="shared" si="12"/>
        <v>0</v>
      </c>
      <c r="AB20" s="17">
        <f t="shared" si="12"/>
        <v>3</v>
      </c>
      <c r="AC20" s="17">
        <f t="shared" si="12"/>
        <v>17</v>
      </c>
      <c r="AD20" s="17">
        <f t="shared" si="12"/>
        <v>1</v>
      </c>
      <c r="AE20" s="31">
        <f t="shared" si="12"/>
        <v>37</v>
      </c>
      <c r="AF20" s="31">
        <f t="shared" si="12"/>
        <v>54</v>
      </c>
    </row>
    <row r="21" spans="2:32" ht="23.1" customHeight="1" x14ac:dyDescent="0.25">
      <c r="B21" s="45" t="s">
        <v>48</v>
      </c>
      <c r="C21" s="50">
        <v>2</v>
      </c>
      <c r="D21" s="50">
        <v>2</v>
      </c>
      <c r="E21" s="50">
        <v>4</v>
      </c>
      <c r="F21" s="50">
        <v>1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5</v>
      </c>
      <c r="M21" s="50">
        <v>6</v>
      </c>
      <c r="N21" s="50">
        <v>0</v>
      </c>
      <c r="O21" s="15">
        <f t="shared" si="0"/>
        <v>15</v>
      </c>
      <c r="P21" s="15">
        <f t="shared" si="1"/>
        <v>21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4</v>
      </c>
      <c r="V21" s="17">
        <f t="shared" si="13"/>
        <v>3</v>
      </c>
      <c r="W21" s="17">
        <f t="shared" si="13"/>
        <v>1</v>
      </c>
      <c r="X21" s="17">
        <f t="shared" si="13"/>
        <v>6</v>
      </c>
      <c r="Y21" s="17">
        <f t="shared" si="13"/>
        <v>0</v>
      </c>
      <c r="Z21" s="17">
        <f t="shared" si="13"/>
        <v>3</v>
      </c>
      <c r="AA21" s="17">
        <f t="shared" si="13"/>
        <v>6</v>
      </c>
      <c r="AB21" s="17">
        <f t="shared" si="13"/>
        <v>4</v>
      </c>
      <c r="AC21" s="17">
        <f t="shared" si="13"/>
        <v>16</v>
      </c>
      <c r="AD21" s="17">
        <f t="shared" si="13"/>
        <v>4</v>
      </c>
      <c r="AE21" s="31">
        <f t="shared" si="13"/>
        <v>35</v>
      </c>
      <c r="AF21" s="31">
        <f t="shared" si="13"/>
        <v>51</v>
      </c>
    </row>
    <row r="22" spans="2:32" ht="23.1" customHeight="1" x14ac:dyDescent="0.25">
      <c r="B22" s="45" t="s">
        <v>49</v>
      </c>
      <c r="C22" s="50">
        <v>2</v>
      </c>
      <c r="D22" s="50">
        <v>1</v>
      </c>
      <c r="E22" s="50">
        <v>2</v>
      </c>
      <c r="F22" s="50">
        <v>1</v>
      </c>
      <c r="G22" s="50">
        <v>0</v>
      </c>
      <c r="H22" s="50">
        <v>1</v>
      </c>
      <c r="I22" s="50">
        <v>0</v>
      </c>
      <c r="J22" s="50">
        <v>0</v>
      </c>
      <c r="K22" s="50">
        <v>1</v>
      </c>
      <c r="L22" s="50">
        <v>1</v>
      </c>
      <c r="M22" s="50">
        <v>3</v>
      </c>
      <c r="N22" s="50">
        <v>0</v>
      </c>
      <c r="O22" s="15">
        <f t="shared" si="0"/>
        <v>9</v>
      </c>
      <c r="P22" s="15">
        <f t="shared" si="1"/>
        <v>12</v>
      </c>
      <c r="R22" s="36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4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2</v>
      </c>
      <c r="AA22" s="34">
        <f t="shared" si="14"/>
        <v>0</v>
      </c>
      <c r="AB22" s="34">
        <f t="shared" si="14"/>
        <v>4</v>
      </c>
      <c r="AC22" s="34">
        <f t="shared" si="14"/>
        <v>7</v>
      </c>
      <c r="AD22" s="34">
        <f t="shared" si="14"/>
        <v>0</v>
      </c>
      <c r="AE22" s="31">
        <f t="shared" si="14"/>
        <v>12</v>
      </c>
      <c r="AF22" s="31">
        <f t="shared" si="14"/>
        <v>19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1</v>
      </c>
      <c r="F23" s="50">
        <v>2</v>
      </c>
      <c r="G23" s="50">
        <v>0</v>
      </c>
      <c r="H23" s="50">
        <v>1</v>
      </c>
      <c r="I23" s="50">
        <v>0</v>
      </c>
      <c r="J23" s="50">
        <v>0</v>
      </c>
      <c r="K23" s="50">
        <v>0</v>
      </c>
      <c r="L23" s="50">
        <v>2</v>
      </c>
      <c r="M23" s="50">
        <v>10</v>
      </c>
      <c r="N23" s="50">
        <v>0</v>
      </c>
      <c r="O23" s="15">
        <f t="shared" si="0"/>
        <v>6</v>
      </c>
      <c r="P23" s="15">
        <f t="shared" si="1"/>
        <v>16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3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3</v>
      </c>
      <c r="AA23" s="34">
        <f t="shared" si="15"/>
        <v>0</v>
      </c>
      <c r="AB23" s="34">
        <f t="shared" si="15"/>
        <v>4</v>
      </c>
      <c r="AC23" s="34">
        <f t="shared" si="15"/>
        <v>8</v>
      </c>
      <c r="AD23" s="34">
        <f t="shared" si="15"/>
        <v>0</v>
      </c>
      <c r="AE23" s="31">
        <f t="shared" si="15"/>
        <v>12</v>
      </c>
      <c r="AF23" s="31">
        <f t="shared" si="15"/>
        <v>20</v>
      </c>
    </row>
    <row r="24" spans="2:32" ht="23.1" customHeight="1" x14ac:dyDescent="0.25">
      <c r="B24" s="45" t="s">
        <v>51</v>
      </c>
      <c r="C24" s="50">
        <v>0</v>
      </c>
      <c r="D24" s="50">
        <v>1</v>
      </c>
      <c r="E24" s="50">
        <v>2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1</v>
      </c>
      <c r="M24" s="50">
        <v>2</v>
      </c>
      <c r="N24" s="50">
        <v>0</v>
      </c>
      <c r="O24" s="15">
        <f t="shared" si="0"/>
        <v>5</v>
      </c>
      <c r="P24" s="15">
        <f t="shared" si="1"/>
        <v>7</v>
      </c>
      <c r="R24" s="36" t="s">
        <v>148</v>
      </c>
      <c r="S24" s="34">
        <f>SUM(C66:C69)</f>
        <v>2</v>
      </c>
      <c r="T24" s="34">
        <f t="shared" ref="T24:AF24" si="16">SUM(D66:D69)</f>
        <v>0</v>
      </c>
      <c r="U24" s="34">
        <f t="shared" si="16"/>
        <v>3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2</v>
      </c>
      <c r="AC24" s="34">
        <f t="shared" si="16"/>
        <v>12</v>
      </c>
      <c r="AD24" s="34">
        <f t="shared" si="16"/>
        <v>0</v>
      </c>
      <c r="AE24" s="31">
        <f t="shared" si="16"/>
        <v>10</v>
      </c>
      <c r="AF24" s="31">
        <f t="shared" si="16"/>
        <v>22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2</v>
      </c>
      <c r="F25" s="50">
        <v>2</v>
      </c>
      <c r="G25" s="50">
        <v>0</v>
      </c>
      <c r="H25" s="50">
        <v>1</v>
      </c>
      <c r="I25" s="50">
        <v>0</v>
      </c>
      <c r="J25" s="50">
        <v>0</v>
      </c>
      <c r="K25" s="50">
        <v>0</v>
      </c>
      <c r="L25" s="50">
        <v>1</v>
      </c>
      <c r="M25" s="50">
        <v>4</v>
      </c>
      <c r="N25" s="50">
        <v>0</v>
      </c>
      <c r="O25" s="15">
        <f t="shared" si="0"/>
        <v>6</v>
      </c>
      <c r="P25" s="15">
        <f t="shared" si="1"/>
        <v>10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3</v>
      </c>
      <c r="AC25" s="34">
        <f t="shared" si="17"/>
        <v>6</v>
      </c>
      <c r="AD25" s="34">
        <f t="shared" si="17"/>
        <v>0</v>
      </c>
      <c r="AE25" s="31">
        <f t="shared" si="17"/>
        <v>10</v>
      </c>
      <c r="AF25" s="31">
        <f t="shared" si="17"/>
        <v>16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1</v>
      </c>
      <c r="F26" s="50">
        <v>3</v>
      </c>
      <c r="G26" s="50">
        <v>0</v>
      </c>
      <c r="H26" s="50">
        <v>0</v>
      </c>
      <c r="I26" s="50">
        <v>0</v>
      </c>
      <c r="J26" s="50">
        <v>2</v>
      </c>
      <c r="K26" s="50">
        <v>0</v>
      </c>
      <c r="L26" s="50">
        <v>2</v>
      </c>
      <c r="M26" s="50">
        <v>2</v>
      </c>
      <c r="N26" s="50">
        <v>0</v>
      </c>
      <c r="O26" s="15">
        <f t="shared" si="0"/>
        <v>8</v>
      </c>
      <c r="P26" s="15">
        <f t="shared" si="1"/>
        <v>10</v>
      </c>
      <c r="R26" s="36" t="s">
        <v>150</v>
      </c>
      <c r="S26" s="34">
        <f>SUM(C74:C77)</f>
        <v>2</v>
      </c>
      <c r="T26" s="34">
        <f t="shared" ref="T26:AF26" si="18">SUM(D74:D77)</f>
        <v>1</v>
      </c>
      <c r="U26" s="34">
        <f t="shared" si="18"/>
        <v>5</v>
      </c>
      <c r="V26" s="34">
        <f t="shared" si="18"/>
        <v>3</v>
      </c>
      <c r="W26" s="34">
        <f t="shared" si="18"/>
        <v>1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3</v>
      </c>
      <c r="AD26" s="34">
        <f t="shared" si="18"/>
        <v>0</v>
      </c>
      <c r="AE26" s="31">
        <f t="shared" si="18"/>
        <v>16</v>
      </c>
      <c r="AF26" s="31">
        <f t="shared" si="18"/>
        <v>19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1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2</v>
      </c>
      <c r="P27" s="15">
        <f t="shared" si="1"/>
        <v>7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5</v>
      </c>
      <c r="AD27" s="34">
        <f t="shared" si="19"/>
        <v>0</v>
      </c>
      <c r="AE27" s="31">
        <f t="shared" si="19"/>
        <v>5</v>
      </c>
      <c r="AF27" s="31">
        <f t="shared" si="19"/>
        <v>10</v>
      </c>
    </row>
    <row r="28" spans="2:32" ht="23.1" customHeight="1" x14ac:dyDescent="0.25">
      <c r="B28" s="45" t="s">
        <v>55</v>
      </c>
      <c r="C28" s="50">
        <v>1</v>
      </c>
      <c r="D28" s="50">
        <v>2</v>
      </c>
      <c r="E28" s="50">
        <v>3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7</v>
      </c>
      <c r="P28" s="15">
        <f t="shared" si="1"/>
        <v>8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4</v>
      </c>
      <c r="AD28" s="34">
        <f t="shared" si="20"/>
        <v>0</v>
      </c>
      <c r="AE28" s="31">
        <f t="shared" si="20"/>
        <v>7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2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</v>
      </c>
      <c r="N29" s="50">
        <v>0</v>
      </c>
      <c r="O29" s="15">
        <f t="shared" si="0"/>
        <v>3</v>
      </c>
      <c r="P29" s="15">
        <f t="shared" si="1"/>
        <v>5</v>
      </c>
      <c r="R29" s="36" t="s">
        <v>153</v>
      </c>
      <c r="S29" s="34">
        <f>SUM(C86:C89)</f>
        <v>1</v>
      </c>
      <c r="T29" s="34">
        <f t="shared" ref="T29:AF29" si="21">SUM(D86:D89)</f>
        <v>2</v>
      </c>
      <c r="U29" s="34">
        <f t="shared" si="21"/>
        <v>5</v>
      </c>
      <c r="V29" s="34">
        <f t="shared" si="21"/>
        <v>3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16</v>
      </c>
      <c r="AF29" s="31">
        <f t="shared" si="21"/>
        <v>16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1</v>
      </c>
      <c r="I30" s="50">
        <v>0</v>
      </c>
      <c r="J30" s="50">
        <v>1</v>
      </c>
      <c r="K30" s="50">
        <v>0</v>
      </c>
      <c r="L30" s="50">
        <v>1</v>
      </c>
      <c r="M30" s="50">
        <v>0</v>
      </c>
      <c r="N30" s="50">
        <v>0</v>
      </c>
      <c r="O30" s="15">
        <f t="shared" si="0"/>
        <v>3</v>
      </c>
      <c r="P30" s="15">
        <f t="shared" si="1"/>
        <v>3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</v>
      </c>
      <c r="AF30" s="31">
        <f t="shared" si="22"/>
        <v>3</v>
      </c>
    </row>
    <row r="31" spans="2:32" ht="23.1" customHeight="1" x14ac:dyDescent="0.25">
      <c r="B31" s="46" t="s">
        <v>58</v>
      </c>
      <c r="C31" s="50">
        <v>1</v>
      </c>
      <c r="D31" s="50">
        <v>1</v>
      </c>
      <c r="E31" s="50">
        <v>3</v>
      </c>
      <c r="F31" s="50">
        <v>0</v>
      </c>
      <c r="G31" s="50">
        <v>0</v>
      </c>
      <c r="H31" s="50">
        <v>0</v>
      </c>
      <c r="I31" s="50">
        <v>0</v>
      </c>
      <c r="J31" s="50">
        <v>2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7</v>
      </c>
      <c r="P31" s="15">
        <f t="shared" si="1"/>
        <v>12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2</v>
      </c>
      <c r="Y31" s="34">
        <f t="shared" si="23"/>
        <v>0</v>
      </c>
      <c r="Z31" s="34">
        <f t="shared" si="23"/>
        <v>0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12</v>
      </c>
      <c r="AF31" s="31">
        <f t="shared" si="23"/>
        <v>12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1</v>
      </c>
      <c r="F32" s="50">
        <v>2</v>
      </c>
      <c r="G32" s="50">
        <v>0</v>
      </c>
      <c r="H32" s="50">
        <v>1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4</v>
      </c>
      <c r="P32" s="15">
        <f t="shared" si="1"/>
        <v>7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5</v>
      </c>
      <c r="V32" s="34">
        <f t="shared" si="24"/>
        <v>2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3</v>
      </c>
      <c r="AC32" s="34">
        <f t="shared" si="24"/>
        <v>1</v>
      </c>
      <c r="AD32" s="34">
        <f t="shared" si="24"/>
        <v>0</v>
      </c>
      <c r="AE32" s="31">
        <f t="shared" si="24"/>
        <v>16</v>
      </c>
      <c r="AF32" s="31">
        <f t="shared" si="24"/>
        <v>17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3</v>
      </c>
      <c r="L33" s="50">
        <v>0</v>
      </c>
      <c r="M33" s="50">
        <v>10</v>
      </c>
      <c r="N33" s="50">
        <v>0</v>
      </c>
      <c r="O33" s="15">
        <f t="shared" si="0"/>
        <v>4</v>
      </c>
      <c r="P33" s="15">
        <f t="shared" si="1"/>
        <v>14</v>
      </c>
      <c r="R33" s="33" t="s">
        <v>157</v>
      </c>
      <c r="S33" s="34">
        <f>SUM(C102:C105)</f>
        <v>3</v>
      </c>
      <c r="T33" s="34">
        <f t="shared" ref="T33:AF33" si="25">SUM(D102:D105)</f>
        <v>0</v>
      </c>
      <c r="U33" s="34">
        <f t="shared" si="25"/>
        <v>5</v>
      </c>
      <c r="V33" s="34">
        <f t="shared" si="25"/>
        <v>2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2</v>
      </c>
      <c r="AC33" s="34">
        <f t="shared" si="25"/>
        <v>7</v>
      </c>
      <c r="AD33" s="34">
        <f t="shared" si="25"/>
        <v>0</v>
      </c>
      <c r="AE33" s="31">
        <f t="shared" si="25"/>
        <v>13</v>
      </c>
      <c r="AF33" s="31">
        <f t="shared" si="25"/>
        <v>20</v>
      </c>
    </row>
    <row r="34" spans="2:32" ht="23.1" customHeight="1" x14ac:dyDescent="0.25">
      <c r="B34" s="46" t="s">
        <v>61</v>
      </c>
      <c r="C34" s="50">
        <v>2</v>
      </c>
      <c r="D34" s="50">
        <v>1</v>
      </c>
      <c r="E34" s="50">
        <v>2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1</v>
      </c>
      <c r="O34" s="15">
        <f t="shared" si="0"/>
        <v>8</v>
      </c>
      <c r="P34" s="15">
        <f t="shared" si="1"/>
        <v>10</v>
      </c>
      <c r="R34" s="38" t="s">
        <v>90</v>
      </c>
      <c r="S34" s="39">
        <f t="shared" ref="S34:AF34" si="26">MAX(S10:S12)</f>
        <v>2</v>
      </c>
      <c r="T34" s="39">
        <f t="shared" si="26"/>
        <v>3</v>
      </c>
      <c r="U34" s="39">
        <f t="shared" si="26"/>
        <v>7</v>
      </c>
      <c r="V34" s="39">
        <f t="shared" si="26"/>
        <v>6</v>
      </c>
      <c r="W34" s="39">
        <f t="shared" si="26"/>
        <v>1</v>
      </c>
      <c r="X34" s="39">
        <f t="shared" si="26"/>
        <v>0</v>
      </c>
      <c r="Y34" s="39">
        <f t="shared" si="26"/>
        <v>2</v>
      </c>
      <c r="Z34" s="39">
        <f t="shared" si="26"/>
        <v>3</v>
      </c>
      <c r="AA34" s="39">
        <f t="shared" si="26"/>
        <v>1</v>
      </c>
      <c r="AB34" s="39">
        <f t="shared" si="26"/>
        <v>10</v>
      </c>
      <c r="AC34" s="39">
        <f t="shared" si="26"/>
        <v>26</v>
      </c>
      <c r="AD34" s="39">
        <f t="shared" si="26"/>
        <v>1</v>
      </c>
      <c r="AE34" s="40">
        <f t="shared" si="26"/>
        <v>30</v>
      </c>
      <c r="AF34" s="40">
        <f t="shared" si="26"/>
        <v>56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0</v>
      </c>
      <c r="F35" s="50">
        <v>0</v>
      </c>
      <c r="G35" s="50">
        <v>1</v>
      </c>
      <c r="H35" s="50">
        <v>1</v>
      </c>
      <c r="I35" s="50">
        <v>0</v>
      </c>
      <c r="J35" s="50">
        <v>0</v>
      </c>
      <c r="K35" s="50">
        <v>0</v>
      </c>
      <c r="L35" s="50">
        <v>3</v>
      </c>
      <c r="M35" s="50">
        <v>3</v>
      </c>
      <c r="N35" s="50">
        <v>0</v>
      </c>
      <c r="O35" s="15">
        <f t="shared" si="0"/>
        <v>7</v>
      </c>
      <c r="P35" s="15">
        <f t="shared" si="1"/>
        <v>10</v>
      </c>
      <c r="R35" s="38" t="s">
        <v>91</v>
      </c>
      <c r="S35" s="39">
        <f t="shared" ref="S35:AF35" si="27">MAX(S13:S18)</f>
        <v>6</v>
      </c>
      <c r="T35" s="39">
        <f t="shared" si="27"/>
        <v>4</v>
      </c>
      <c r="U35" s="39">
        <f t="shared" si="27"/>
        <v>9</v>
      </c>
      <c r="V35" s="39">
        <f t="shared" si="27"/>
        <v>9</v>
      </c>
      <c r="W35" s="39">
        <f t="shared" si="27"/>
        <v>3</v>
      </c>
      <c r="X35" s="39">
        <f t="shared" si="27"/>
        <v>4</v>
      </c>
      <c r="Y35" s="39">
        <f t="shared" si="27"/>
        <v>3</v>
      </c>
      <c r="Z35" s="39">
        <f t="shared" si="27"/>
        <v>6</v>
      </c>
      <c r="AA35" s="39">
        <f t="shared" si="27"/>
        <v>7</v>
      </c>
      <c r="AB35" s="39">
        <f t="shared" si="27"/>
        <v>8</v>
      </c>
      <c r="AC35" s="39">
        <f t="shared" si="27"/>
        <v>22</v>
      </c>
      <c r="AD35" s="39">
        <f t="shared" si="27"/>
        <v>1</v>
      </c>
      <c r="AE35" s="40">
        <f t="shared" si="27"/>
        <v>41</v>
      </c>
      <c r="AF35" s="40">
        <f t="shared" si="27"/>
        <v>63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1</v>
      </c>
      <c r="F36" s="50">
        <v>1</v>
      </c>
      <c r="G36" s="50">
        <v>2</v>
      </c>
      <c r="H36" s="50">
        <v>0</v>
      </c>
      <c r="I36" s="50">
        <v>3</v>
      </c>
      <c r="J36" s="50">
        <v>3</v>
      </c>
      <c r="K36" s="50">
        <v>1</v>
      </c>
      <c r="L36" s="50">
        <v>1</v>
      </c>
      <c r="M36" s="50">
        <v>2</v>
      </c>
      <c r="N36" s="50">
        <v>0</v>
      </c>
      <c r="O36" s="15">
        <f t="shared" si="0"/>
        <v>13</v>
      </c>
      <c r="P36" s="15">
        <f t="shared" si="1"/>
        <v>15</v>
      </c>
      <c r="R36" s="38" t="s">
        <v>92</v>
      </c>
      <c r="S36" s="39">
        <f t="shared" ref="S36:AF36" si="28">MAX(S19:S21)</f>
        <v>10</v>
      </c>
      <c r="T36" s="39">
        <f t="shared" si="28"/>
        <v>2</v>
      </c>
      <c r="U36" s="39">
        <f t="shared" si="28"/>
        <v>7</v>
      </c>
      <c r="V36" s="39">
        <f t="shared" si="28"/>
        <v>7</v>
      </c>
      <c r="W36" s="39">
        <f t="shared" si="28"/>
        <v>2</v>
      </c>
      <c r="X36" s="39">
        <f t="shared" si="28"/>
        <v>6</v>
      </c>
      <c r="Y36" s="39">
        <f t="shared" si="28"/>
        <v>1</v>
      </c>
      <c r="Z36" s="39">
        <f t="shared" si="28"/>
        <v>5</v>
      </c>
      <c r="AA36" s="39">
        <f t="shared" si="28"/>
        <v>6</v>
      </c>
      <c r="AB36" s="39">
        <f t="shared" si="28"/>
        <v>4</v>
      </c>
      <c r="AC36" s="39">
        <f t="shared" si="28"/>
        <v>22</v>
      </c>
      <c r="AD36" s="39">
        <f t="shared" si="28"/>
        <v>4</v>
      </c>
      <c r="AE36" s="40">
        <f t="shared" si="28"/>
        <v>37</v>
      </c>
      <c r="AF36" s="40">
        <f t="shared" si="28"/>
        <v>54</v>
      </c>
    </row>
    <row r="37" spans="2:32" ht="23.1" customHeight="1" x14ac:dyDescent="0.25">
      <c r="B37" s="45" t="s">
        <v>64</v>
      </c>
      <c r="C37" s="50">
        <v>1</v>
      </c>
      <c r="D37" s="50">
        <v>1</v>
      </c>
      <c r="E37" s="50">
        <v>2</v>
      </c>
      <c r="F37" s="50">
        <v>0</v>
      </c>
      <c r="G37" s="50">
        <v>0</v>
      </c>
      <c r="H37" s="50">
        <v>1</v>
      </c>
      <c r="I37" s="50">
        <v>0</v>
      </c>
      <c r="J37" s="50">
        <v>1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6</v>
      </c>
      <c r="P37" s="15">
        <f t="shared" si="1"/>
        <v>8</v>
      </c>
      <c r="R37" s="37" t="s">
        <v>85</v>
      </c>
      <c r="S37" s="35">
        <f t="shared" ref="S37:AF37" si="29">SUM(S10:S12)</f>
        <v>3</v>
      </c>
      <c r="T37" s="16">
        <f t="shared" si="29"/>
        <v>4</v>
      </c>
      <c r="U37" s="16">
        <f t="shared" si="29"/>
        <v>14</v>
      </c>
      <c r="V37" s="16">
        <f t="shared" si="29"/>
        <v>9</v>
      </c>
      <c r="W37" s="16">
        <f t="shared" si="29"/>
        <v>2</v>
      </c>
      <c r="X37" s="16">
        <f t="shared" si="29"/>
        <v>0</v>
      </c>
      <c r="Y37" s="16">
        <f t="shared" si="29"/>
        <v>3</v>
      </c>
      <c r="Z37" s="16">
        <f t="shared" si="29"/>
        <v>6</v>
      </c>
      <c r="AA37" s="16">
        <f t="shared" si="29"/>
        <v>1</v>
      </c>
      <c r="AB37" s="16">
        <f t="shared" si="29"/>
        <v>14</v>
      </c>
      <c r="AC37" s="16">
        <f t="shared" si="29"/>
        <v>54</v>
      </c>
      <c r="AD37" s="16">
        <f t="shared" si="29"/>
        <v>1</v>
      </c>
      <c r="AE37" s="32">
        <f t="shared" si="29"/>
        <v>57</v>
      </c>
      <c r="AF37" s="32">
        <f t="shared" si="29"/>
        <v>111</v>
      </c>
    </row>
    <row r="38" spans="2:32" ht="23.1" customHeight="1" x14ac:dyDescent="0.25">
      <c r="B38" s="46" t="s">
        <v>65</v>
      </c>
      <c r="C38" s="50">
        <v>1</v>
      </c>
      <c r="D38" s="50">
        <v>1</v>
      </c>
      <c r="E38" s="50">
        <v>2</v>
      </c>
      <c r="F38" s="50">
        <v>0</v>
      </c>
      <c r="G38" s="50">
        <v>0</v>
      </c>
      <c r="H38" s="50">
        <v>1</v>
      </c>
      <c r="I38" s="50">
        <v>0</v>
      </c>
      <c r="J38" s="50">
        <v>1</v>
      </c>
      <c r="K38" s="50">
        <v>1</v>
      </c>
      <c r="L38" s="50">
        <v>1</v>
      </c>
      <c r="M38" s="50">
        <v>5</v>
      </c>
      <c r="N38" s="50">
        <v>0</v>
      </c>
      <c r="O38" s="15">
        <f t="shared" si="0"/>
        <v>8</v>
      </c>
      <c r="P38" s="15">
        <f t="shared" si="1"/>
        <v>13</v>
      </c>
      <c r="R38" s="28" t="s">
        <v>86</v>
      </c>
      <c r="S38" s="16">
        <f t="shared" ref="S38:AF38" si="30">SUM(S13:S18)</f>
        <v>17</v>
      </c>
      <c r="T38" s="16">
        <f t="shared" si="30"/>
        <v>13</v>
      </c>
      <c r="U38" s="16">
        <f t="shared" si="30"/>
        <v>39</v>
      </c>
      <c r="V38" s="16">
        <f t="shared" si="30"/>
        <v>26</v>
      </c>
      <c r="W38" s="16">
        <f t="shared" si="30"/>
        <v>6</v>
      </c>
      <c r="X38" s="16">
        <f t="shared" si="30"/>
        <v>15</v>
      </c>
      <c r="Y38" s="16">
        <f t="shared" si="30"/>
        <v>8</v>
      </c>
      <c r="Z38" s="16">
        <f t="shared" si="30"/>
        <v>19</v>
      </c>
      <c r="AA38" s="16">
        <f t="shared" si="30"/>
        <v>14</v>
      </c>
      <c r="AB38" s="16">
        <f t="shared" si="30"/>
        <v>20</v>
      </c>
      <c r="AC38" s="16">
        <f t="shared" si="30"/>
        <v>91</v>
      </c>
      <c r="AD38" s="16">
        <f t="shared" si="30"/>
        <v>1</v>
      </c>
      <c r="AE38" s="32">
        <f t="shared" si="30"/>
        <v>178</v>
      </c>
      <c r="AF38" s="32">
        <f t="shared" si="30"/>
        <v>269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2</v>
      </c>
      <c r="F39" s="50">
        <v>2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3</v>
      </c>
      <c r="M39" s="50">
        <v>2</v>
      </c>
      <c r="N39" s="50">
        <v>0</v>
      </c>
      <c r="O39" s="15">
        <f t="shared" si="0"/>
        <v>9</v>
      </c>
      <c r="P39" s="15">
        <f t="shared" si="1"/>
        <v>11</v>
      </c>
      <c r="R39" s="29" t="s">
        <v>87</v>
      </c>
      <c r="S39" s="16">
        <f t="shared" ref="S39:AF39" si="31">SUM(S19:S21)</f>
        <v>19</v>
      </c>
      <c r="T39" s="16">
        <f t="shared" si="31"/>
        <v>2</v>
      </c>
      <c r="U39" s="16">
        <f t="shared" si="31"/>
        <v>16</v>
      </c>
      <c r="V39" s="16">
        <f t="shared" si="31"/>
        <v>16</v>
      </c>
      <c r="W39" s="16">
        <f t="shared" si="31"/>
        <v>4</v>
      </c>
      <c r="X39" s="16">
        <f t="shared" si="31"/>
        <v>6</v>
      </c>
      <c r="Y39" s="16">
        <f t="shared" si="31"/>
        <v>2</v>
      </c>
      <c r="Z39" s="16">
        <f t="shared" si="31"/>
        <v>9</v>
      </c>
      <c r="AA39" s="16">
        <f t="shared" si="31"/>
        <v>7</v>
      </c>
      <c r="AB39" s="16">
        <f t="shared" si="31"/>
        <v>10</v>
      </c>
      <c r="AC39" s="16">
        <f t="shared" si="31"/>
        <v>55</v>
      </c>
      <c r="AD39" s="16">
        <f t="shared" si="31"/>
        <v>5</v>
      </c>
      <c r="AE39" s="32">
        <f t="shared" si="31"/>
        <v>96</v>
      </c>
      <c r="AF39" s="32">
        <f t="shared" si="31"/>
        <v>151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2</v>
      </c>
      <c r="F40" s="50">
        <v>1</v>
      </c>
      <c r="G40" s="50">
        <v>0</v>
      </c>
      <c r="H40" s="50">
        <v>1</v>
      </c>
      <c r="I40" s="50">
        <v>0</v>
      </c>
      <c r="J40" s="50">
        <v>4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9</v>
      </c>
      <c r="P40" s="15">
        <f t="shared" si="1"/>
        <v>13</v>
      </c>
      <c r="R40" s="5" t="s">
        <v>17</v>
      </c>
      <c r="S40" s="16">
        <f t="shared" ref="S40:AF40" si="32">SUM(S10:S21)</f>
        <v>39</v>
      </c>
      <c r="T40" s="16">
        <f t="shared" si="32"/>
        <v>19</v>
      </c>
      <c r="U40" s="16">
        <f t="shared" si="32"/>
        <v>69</v>
      </c>
      <c r="V40" s="16">
        <f t="shared" si="32"/>
        <v>51</v>
      </c>
      <c r="W40" s="16">
        <f t="shared" si="32"/>
        <v>12</v>
      </c>
      <c r="X40" s="16">
        <f t="shared" si="32"/>
        <v>21</v>
      </c>
      <c r="Y40" s="16">
        <f t="shared" si="32"/>
        <v>13</v>
      </c>
      <c r="Z40" s="16">
        <f t="shared" si="32"/>
        <v>34</v>
      </c>
      <c r="AA40" s="16">
        <f t="shared" si="32"/>
        <v>22</v>
      </c>
      <c r="AB40" s="16">
        <f t="shared" si="32"/>
        <v>44</v>
      </c>
      <c r="AC40" s="16">
        <f t="shared" si="32"/>
        <v>200</v>
      </c>
      <c r="AD40" s="16">
        <f t="shared" si="32"/>
        <v>7</v>
      </c>
      <c r="AE40" s="32">
        <f t="shared" si="32"/>
        <v>331</v>
      </c>
      <c r="AF40" s="32">
        <f t="shared" si="32"/>
        <v>531</v>
      </c>
    </row>
    <row r="41" spans="2:32" ht="23.1" customHeight="1" x14ac:dyDescent="0.25">
      <c r="B41" s="45" t="s">
        <v>68</v>
      </c>
      <c r="C41" s="50">
        <v>1</v>
      </c>
      <c r="D41" s="50">
        <v>1</v>
      </c>
      <c r="E41" s="50">
        <v>2</v>
      </c>
      <c r="F41" s="50">
        <v>0</v>
      </c>
      <c r="G41" s="50">
        <v>0</v>
      </c>
      <c r="H41" s="50">
        <v>2</v>
      </c>
      <c r="I41" s="50">
        <v>3</v>
      </c>
      <c r="J41" s="50">
        <v>0</v>
      </c>
      <c r="K41" s="50">
        <v>0</v>
      </c>
      <c r="L41" s="50">
        <v>4</v>
      </c>
      <c r="M41" s="50">
        <v>2</v>
      </c>
      <c r="N41" s="50">
        <v>0</v>
      </c>
      <c r="O41" s="15">
        <f t="shared" si="0"/>
        <v>13</v>
      </c>
      <c r="P41" s="15">
        <f t="shared" si="1"/>
        <v>15</v>
      </c>
      <c r="R41" s="5" t="s">
        <v>159</v>
      </c>
      <c r="S41" s="16">
        <f>SUM(S10:S33)</f>
        <v>56</v>
      </c>
      <c r="T41" s="16">
        <f t="shared" ref="T41:AF41" si="33">SUM(T10:T33)</f>
        <v>25</v>
      </c>
      <c r="U41" s="16">
        <f t="shared" si="33"/>
        <v>110</v>
      </c>
      <c r="V41" s="16">
        <f t="shared" si="33"/>
        <v>70</v>
      </c>
      <c r="W41" s="16">
        <f t="shared" si="33"/>
        <v>14</v>
      </c>
      <c r="X41" s="16">
        <f t="shared" si="33"/>
        <v>27</v>
      </c>
      <c r="Y41" s="16">
        <f t="shared" si="33"/>
        <v>17</v>
      </c>
      <c r="Z41" s="16">
        <f t="shared" si="33"/>
        <v>42</v>
      </c>
      <c r="AA41" s="16">
        <f t="shared" si="33"/>
        <v>24</v>
      </c>
      <c r="AB41" s="16">
        <f t="shared" si="33"/>
        <v>71</v>
      </c>
      <c r="AC41" s="16">
        <f t="shared" si="33"/>
        <v>253</v>
      </c>
      <c r="AD41" s="16">
        <f t="shared" si="33"/>
        <v>7</v>
      </c>
      <c r="AE41" s="32">
        <f t="shared" si="33"/>
        <v>463</v>
      </c>
      <c r="AF41" s="32">
        <f t="shared" si="33"/>
        <v>716</v>
      </c>
    </row>
    <row r="42" spans="2:32" ht="23.1" customHeight="1" x14ac:dyDescent="0.25">
      <c r="B42" s="46" t="s">
        <v>69</v>
      </c>
      <c r="C42" s="50">
        <v>0</v>
      </c>
      <c r="D42" s="50">
        <v>2</v>
      </c>
      <c r="E42" s="50">
        <v>3</v>
      </c>
      <c r="F42" s="50">
        <v>5</v>
      </c>
      <c r="G42" s="50">
        <v>0</v>
      </c>
      <c r="H42" s="50">
        <v>2</v>
      </c>
      <c r="I42" s="50">
        <v>2</v>
      </c>
      <c r="J42" s="50">
        <v>1</v>
      </c>
      <c r="K42" s="50">
        <v>1</v>
      </c>
      <c r="L42" s="50">
        <v>0</v>
      </c>
      <c r="M42" s="50">
        <v>11</v>
      </c>
      <c r="N42" s="50">
        <v>0</v>
      </c>
      <c r="O42" s="15">
        <f t="shared" si="0"/>
        <v>16</v>
      </c>
      <c r="P42" s="15">
        <f t="shared" si="1"/>
        <v>27</v>
      </c>
      <c r="R42" s="5" t="s">
        <v>160</v>
      </c>
      <c r="S42" s="48">
        <f>S41/S40</f>
        <v>1.4358974358974359</v>
      </c>
      <c r="T42" s="48">
        <f t="shared" ref="T42:AF42" si="34">T41/T40</f>
        <v>1.3157894736842106</v>
      </c>
      <c r="U42" s="48">
        <f t="shared" si="34"/>
        <v>1.5942028985507246</v>
      </c>
      <c r="V42" s="48">
        <f t="shared" si="34"/>
        <v>1.3725490196078431</v>
      </c>
      <c r="W42" s="48">
        <f t="shared" si="34"/>
        <v>1.1666666666666667</v>
      </c>
      <c r="X42" s="48">
        <f t="shared" si="34"/>
        <v>1.2857142857142858</v>
      </c>
      <c r="Y42" s="48">
        <f t="shared" si="34"/>
        <v>1.3076923076923077</v>
      </c>
      <c r="Z42" s="48">
        <f t="shared" si="34"/>
        <v>1.2352941176470589</v>
      </c>
      <c r="AA42" s="48">
        <f t="shared" si="34"/>
        <v>1.0909090909090908</v>
      </c>
      <c r="AB42" s="48">
        <f t="shared" si="34"/>
        <v>1.6136363636363635</v>
      </c>
      <c r="AC42" s="48">
        <f t="shared" si="34"/>
        <v>1.2649999999999999</v>
      </c>
      <c r="AD42" s="48">
        <f t="shared" si="34"/>
        <v>1</v>
      </c>
      <c r="AE42" s="48">
        <f t="shared" si="34"/>
        <v>1.3987915407854985</v>
      </c>
      <c r="AF42" s="48">
        <f t="shared" si="34"/>
        <v>1.3483992467043315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3</v>
      </c>
      <c r="N43" s="50">
        <v>0</v>
      </c>
      <c r="O43" s="15">
        <f t="shared" si="0"/>
        <v>3</v>
      </c>
      <c r="P43" s="15">
        <f t="shared" si="1"/>
        <v>6</v>
      </c>
    </row>
    <row r="44" spans="2:32" ht="23.1" customHeight="1" x14ac:dyDescent="0.25">
      <c r="B44" s="47" t="s">
        <v>71</v>
      </c>
      <c r="C44" s="50">
        <v>2</v>
      </c>
      <c r="D44" s="50">
        <v>1</v>
      </c>
      <c r="E44" s="50">
        <v>3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2</v>
      </c>
      <c r="L44" s="50">
        <v>0</v>
      </c>
      <c r="M44" s="50">
        <v>3</v>
      </c>
      <c r="N44" s="50">
        <v>0</v>
      </c>
      <c r="O44" s="15">
        <f t="shared" si="0"/>
        <v>9</v>
      </c>
      <c r="P44" s="15">
        <f t="shared" si="1"/>
        <v>12</v>
      </c>
    </row>
    <row r="45" spans="2:32" ht="23.1" customHeight="1" x14ac:dyDescent="0.25">
      <c r="B45" s="45" t="s">
        <v>72</v>
      </c>
      <c r="C45" s="50">
        <v>1</v>
      </c>
      <c r="D45" s="50">
        <v>1</v>
      </c>
      <c r="E45" s="50">
        <v>2</v>
      </c>
      <c r="F45" s="50">
        <v>2</v>
      </c>
      <c r="G45" s="50">
        <v>0</v>
      </c>
      <c r="H45" s="50">
        <v>2</v>
      </c>
      <c r="I45" s="50">
        <v>0</v>
      </c>
      <c r="J45" s="50">
        <v>2</v>
      </c>
      <c r="K45" s="50">
        <v>3</v>
      </c>
      <c r="L45" s="50">
        <v>0</v>
      </c>
      <c r="M45" s="50">
        <v>5</v>
      </c>
      <c r="N45" s="50">
        <v>0</v>
      </c>
      <c r="O45" s="15">
        <f t="shared" si="0"/>
        <v>13</v>
      </c>
      <c r="P45" s="15">
        <f t="shared" si="1"/>
        <v>18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2</v>
      </c>
      <c r="F46" s="50">
        <v>1</v>
      </c>
      <c r="G46" s="50">
        <v>0</v>
      </c>
      <c r="H46" s="50">
        <v>0</v>
      </c>
      <c r="I46" s="50">
        <v>0</v>
      </c>
      <c r="J46" s="50">
        <v>1</v>
      </c>
      <c r="K46" s="50">
        <v>1</v>
      </c>
      <c r="L46" s="50">
        <v>2</v>
      </c>
      <c r="M46" s="50">
        <v>6</v>
      </c>
      <c r="N46" s="50">
        <v>0</v>
      </c>
      <c r="O46" s="15">
        <f t="shared" si="0"/>
        <v>8</v>
      </c>
      <c r="P46" s="15">
        <f t="shared" si="1"/>
        <v>14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6</v>
      </c>
      <c r="P47" s="15">
        <f t="shared" si="1"/>
        <v>10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1</v>
      </c>
      <c r="F48" s="50">
        <v>0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3</v>
      </c>
      <c r="P48" s="15">
        <f t="shared" si="1"/>
        <v>9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2</v>
      </c>
      <c r="F49" s="50">
        <v>2</v>
      </c>
      <c r="G49" s="50">
        <v>1</v>
      </c>
      <c r="H49" s="50">
        <v>0</v>
      </c>
      <c r="I49" s="50">
        <v>0</v>
      </c>
      <c r="J49" s="50">
        <v>0</v>
      </c>
      <c r="K49" s="50">
        <v>0</v>
      </c>
      <c r="L49" s="50">
        <v>1</v>
      </c>
      <c r="M49" s="50">
        <v>6</v>
      </c>
      <c r="N49" s="50">
        <v>0</v>
      </c>
      <c r="O49" s="15">
        <f t="shared" si="0"/>
        <v>7</v>
      </c>
      <c r="P49" s="15">
        <f t="shared" si="1"/>
        <v>13</v>
      </c>
      <c r="R49" s="8"/>
      <c r="T49"/>
    </row>
    <row r="50" spans="2:20" ht="23.1" customHeight="1" x14ac:dyDescent="0.25">
      <c r="B50" s="46" t="s">
        <v>77</v>
      </c>
      <c r="C50" s="50">
        <v>5</v>
      </c>
      <c r="D50" s="50">
        <v>1</v>
      </c>
      <c r="E50" s="50">
        <v>2</v>
      </c>
      <c r="F50" s="50">
        <v>4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5</v>
      </c>
      <c r="N50" s="50">
        <v>1</v>
      </c>
      <c r="O50" s="15">
        <f t="shared" si="0"/>
        <v>13</v>
      </c>
      <c r="P50" s="15">
        <f t="shared" si="1"/>
        <v>18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1</v>
      </c>
      <c r="F51" s="50">
        <v>1</v>
      </c>
      <c r="G51" s="50">
        <v>1</v>
      </c>
      <c r="H51" s="50">
        <v>0</v>
      </c>
      <c r="I51" s="50">
        <v>0</v>
      </c>
      <c r="J51" s="50">
        <v>3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7</v>
      </c>
      <c r="P51" s="15">
        <f t="shared" si="1"/>
        <v>10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2</v>
      </c>
      <c r="F52" s="50">
        <v>1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3</v>
      </c>
      <c r="M52" s="50">
        <v>3</v>
      </c>
      <c r="N52" s="50">
        <v>0</v>
      </c>
      <c r="O52" s="15">
        <f t="shared" si="0"/>
        <v>8</v>
      </c>
      <c r="P52" s="15">
        <f t="shared" si="1"/>
        <v>11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1</v>
      </c>
      <c r="E53" s="50">
        <v>2</v>
      </c>
      <c r="F53" s="50">
        <v>1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9</v>
      </c>
      <c r="P53" s="15">
        <f t="shared" si="1"/>
        <v>15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0</v>
      </c>
      <c r="F54" s="50">
        <v>1</v>
      </c>
      <c r="G54" s="50">
        <v>0</v>
      </c>
      <c r="H54" s="50">
        <v>2</v>
      </c>
      <c r="I54" s="50">
        <v>0</v>
      </c>
      <c r="J54" s="50">
        <v>1</v>
      </c>
      <c r="K54" s="50">
        <v>3</v>
      </c>
      <c r="L54" s="50">
        <v>1</v>
      </c>
      <c r="M54" s="50">
        <v>3</v>
      </c>
      <c r="N54" s="50">
        <v>1</v>
      </c>
      <c r="O54" s="15">
        <f t="shared" si="0"/>
        <v>10</v>
      </c>
      <c r="P54" s="15">
        <f t="shared" si="1"/>
        <v>13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1</v>
      </c>
      <c r="M55" s="50">
        <v>6</v>
      </c>
      <c r="N55" s="50">
        <v>0</v>
      </c>
      <c r="O55" s="15">
        <f t="shared" si="0"/>
        <v>6</v>
      </c>
      <c r="P55" s="15">
        <f t="shared" si="1"/>
        <v>12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0</v>
      </c>
      <c r="E56" s="50">
        <v>0</v>
      </c>
      <c r="F56" s="50">
        <v>2</v>
      </c>
      <c r="G56" s="50">
        <v>1</v>
      </c>
      <c r="H56" s="50">
        <v>2</v>
      </c>
      <c r="I56" s="50">
        <v>0</v>
      </c>
      <c r="J56" s="50">
        <v>2</v>
      </c>
      <c r="K56" s="50">
        <v>2</v>
      </c>
      <c r="L56" s="50">
        <v>0</v>
      </c>
      <c r="M56" s="50">
        <v>3</v>
      </c>
      <c r="N56" s="50">
        <v>2</v>
      </c>
      <c r="O56" s="15">
        <f t="shared" si="0"/>
        <v>12</v>
      </c>
      <c r="P56" s="15">
        <f t="shared" si="1"/>
        <v>15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2</v>
      </c>
      <c r="F57" s="50">
        <v>0</v>
      </c>
      <c r="G57" s="50">
        <v>0</v>
      </c>
      <c r="H57" s="50">
        <v>2</v>
      </c>
      <c r="I57" s="50">
        <v>0</v>
      </c>
      <c r="J57" s="50">
        <v>0</v>
      </c>
      <c r="K57" s="50">
        <v>0</v>
      </c>
      <c r="L57" s="50">
        <v>2</v>
      </c>
      <c r="M57" s="50">
        <v>4</v>
      </c>
      <c r="N57" s="50">
        <v>1</v>
      </c>
      <c r="O57" s="15">
        <f t="shared" si="0"/>
        <v>7</v>
      </c>
      <c r="P57" s="15">
        <f t="shared" si="1"/>
        <v>11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1</v>
      </c>
      <c r="M58" s="50">
        <v>2</v>
      </c>
      <c r="N58" s="50">
        <v>0</v>
      </c>
      <c r="O58" s="15">
        <f t="shared" si="0"/>
        <v>3</v>
      </c>
      <c r="P58" s="15">
        <f t="shared" si="1"/>
        <v>5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1</v>
      </c>
      <c r="M59" s="50">
        <v>2</v>
      </c>
      <c r="N59" s="50">
        <v>0</v>
      </c>
      <c r="O59" s="15">
        <f t="shared" si="0"/>
        <v>2</v>
      </c>
      <c r="P59" s="15">
        <f t="shared" si="1"/>
        <v>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1</v>
      </c>
      <c r="M60" s="50">
        <v>1</v>
      </c>
      <c r="N60" s="50">
        <v>0</v>
      </c>
      <c r="O60" s="15">
        <f t="shared" si="0"/>
        <v>4</v>
      </c>
      <c r="P60" s="15">
        <f t="shared" si="1"/>
        <v>5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1</v>
      </c>
      <c r="M61" s="50">
        <v>2</v>
      </c>
      <c r="N61" s="50">
        <v>0</v>
      </c>
      <c r="O61" s="15">
        <f t="shared" si="0"/>
        <v>3</v>
      </c>
      <c r="P61" s="15">
        <f t="shared" si="1"/>
        <v>5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1</v>
      </c>
      <c r="M62" s="50">
        <v>2</v>
      </c>
      <c r="N62" s="50">
        <v>0</v>
      </c>
      <c r="O62" s="15">
        <f t="shared" si="0"/>
        <v>2</v>
      </c>
      <c r="P62" s="15">
        <f t="shared" si="1"/>
        <v>4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1</v>
      </c>
      <c r="M63" s="50">
        <v>1</v>
      </c>
      <c r="N63" s="50">
        <v>0</v>
      </c>
      <c r="O63" s="15">
        <f t="shared" si="0"/>
        <v>4</v>
      </c>
      <c r="P63" s="15">
        <f t="shared" si="1"/>
        <v>5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1</v>
      </c>
      <c r="M64" s="50">
        <v>2</v>
      </c>
      <c r="N64" s="50">
        <v>0</v>
      </c>
      <c r="O64" s="15">
        <f t="shared" si="0"/>
        <v>3</v>
      </c>
      <c r="P64" s="15">
        <f t="shared" si="1"/>
        <v>5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1</v>
      </c>
      <c r="M65" s="50">
        <v>3</v>
      </c>
      <c r="N65" s="50">
        <v>0</v>
      </c>
      <c r="O65" s="15">
        <f t="shared" si="0"/>
        <v>3</v>
      </c>
      <c r="P65" s="15">
        <f t="shared" si="1"/>
        <v>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1</v>
      </c>
      <c r="M66" s="50">
        <v>3</v>
      </c>
      <c r="N66" s="50">
        <v>0</v>
      </c>
      <c r="O66" s="15">
        <f t="shared" si="0"/>
        <v>1</v>
      </c>
      <c r="P66" s="15">
        <f t="shared" si="1"/>
        <v>4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1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1</v>
      </c>
      <c r="P67" s="15">
        <f t="shared" si="1"/>
        <v>4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1</v>
      </c>
      <c r="F68" s="50">
        <v>1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1</v>
      </c>
      <c r="M68" s="50">
        <v>4</v>
      </c>
      <c r="N68" s="50">
        <v>0</v>
      </c>
      <c r="O68" s="15">
        <f t="shared" si="0"/>
        <v>5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1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3</v>
      </c>
      <c r="P69" s="15">
        <f t="shared" si="1"/>
        <v>5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1</v>
      </c>
      <c r="M70" s="50">
        <v>3</v>
      </c>
      <c r="N70" s="50">
        <v>0</v>
      </c>
      <c r="O70" s="15">
        <f t="shared" si="0"/>
        <v>3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1</v>
      </c>
      <c r="M71" s="50">
        <v>2</v>
      </c>
      <c r="N71" s="50">
        <v>0</v>
      </c>
      <c r="O71" s="15">
        <f t="shared" si="0"/>
        <v>2</v>
      </c>
      <c r="P71" s="15">
        <f t="shared" si="1"/>
        <v>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1</v>
      </c>
      <c r="M72" s="50">
        <v>1</v>
      </c>
      <c r="N72" s="50">
        <v>0</v>
      </c>
      <c r="O72" s="15">
        <f t="shared" si="0"/>
        <v>3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1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2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1</v>
      </c>
      <c r="F75" s="50">
        <v>1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1</v>
      </c>
      <c r="M75" s="50">
        <v>2</v>
      </c>
      <c r="N75" s="50">
        <v>0</v>
      </c>
      <c r="O75" s="15">
        <f t="shared" si="35"/>
        <v>4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1</v>
      </c>
      <c r="M76" s="50">
        <v>0</v>
      </c>
      <c r="N76" s="50">
        <v>0</v>
      </c>
      <c r="O76" s="15">
        <f t="shared" si="35"/>
        <v>3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2</v>
      </c>
      <c r="F77" s="50">
        <v>1</v>
      </c>
      <c r="G77" s="50">
        <v>1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6</v>
      </c>
      <c r="P77" s="15">
        <f t="shared" si="36"/>
        <v>6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2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1</v>
      </c>
      <c r="M80" s="50">
        <v>0</v>
      </c>
      <c r="N80" s="50"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0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1</v>
      </c>
      <c r="N82" s="50"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1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1</v>
      </c>
      <c r="M83" s="50">
        <v>2</v>
      </c>
      <c r="N83" s="50">
        <v>0</v>
      </c>
      <c r="O83" s="15">
        <f t="shared" si="35"/>
        <v>4</v>
      </c>
      <c r="P83" s="15">
        <f t="shared" si="36"/>
        <v>6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1</v>
      </c>
      <c r="E86" s="50">
        <v>2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1</v>
      </c>
      <c r="M86" s="50">
        <v>0</v>
      </c>
      <c r="N86" s="50"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1</v>
      </c>
      <c r="E89" s="50">
        <v>2</v>
      </c>
      <c r="F89" s="50">
        <v>1</v>
      </c>
      <c r="G89" s="50">
        <v>1</v>
      </c>
      <c r="H89" s="50">
        <v>1</v>
      </c>
      <c r="I89" s="50">
        <v>0</v>
      </c>
      <c r="J89" s="50">
        <v>0</v>
      </c>
      <c r="K89" s="50">
        <v>0</v>
      </c>
      <c r="L89" s="50">
        <v>1</v>
      </c>
      <c r="M89" s="50">
        <v>0</v>
      </c>
      <c r="N89" s="50">
        <v>0</v>
      </c>
      <c r="O89" s="15">
        <f t="shared" si="35"/>
        <v>7</v>
      </c>
      <c r="P89" s="15">
        <f t="shared" si="36"/>
        <v>7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1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1</v>
      </c>
      <c r="L95" s="50">
        <v>1</v>
      </c>
      <c r="M95" s="50">
        <v>0</v>
      </c>
      <c r="N95" s="50">
        <v>0</v>
      </c>
      <c r="O95" s="15">
        <f t="shared" si="35"/>
        <v>5</v>
      </c>
      <c r="P95" s="15">
        <f t="shared" si="36"/>
        <v>5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1</v>
      </c>
      <c r="G96" s="50">
        <v>0</v>
      </c>
      <c r="H96" s="50">
        <v>1</v>
      </c>
      <c r="I96" s="50">
        <v>0</v>
      </c>
      <c r="J96" s="50">
        <v>0</v>
      </c>
      <c r="K96" s="50">
        <v>1</v>
      </c>
      <c r="L96" s="50">
        <v>0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1</v>
      </c>
      <c r="M97" s="50">
        <v>0</v>
      </c>
      <c r="N97" s="50"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1</v>
      </c>
      <c r="E98" s="50">
        <v>1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3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1</v>
      </c>
      <c r="M99" s="50">
        <v>0</v>
      </c>
      <c r="N99" s="50">
        <v>0</v>
      </c>
      <c r="O99" s="15">
        <f t="shared" si="35"/>
        <v>3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1</v>
      </c>
      <c r="E100" s="50">
        <v>2</v>
      </c>
      <c r="F100" s="50">
        <v>1</v>
      </c>
      <c r="G100" s="50">
        <v>0</v>
      </c>
      <c r="H100" s="50">
        <v>1</v>
      </c>
      <c r="I100" s="50">
        <v>0</v>
      </c>
      <c r="J100" s="50">
        <v>1</v>
      </c>
      <c r="K100" s="50">
        <v>0</v>
      </c>
      <c r="L100" s="50">
        <v>1</v>
      </c>
      <c r="M100" s="50">
        <v>1</v>
      </c>
      <c r="N100" s="50">
        <v>0</v>
      </c>
      <c r="O100" s="15">
        <f t="shared" si="35"/>
        <v>8</v>
      </c>
      <c r="P100" s="15">
        <f t="shared" si="36"/>
        <v>9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0</v>
      </c>
      <c r="N101" s="50"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1</v>
      </c>
      <c r="G102" s="50">
        <v>0</v>
      </c>
      <c r="H102" s="50">
        <v>1</v>
      </c>
      <c r="I102" s="50">
        <v>0</v>
      </c>
      <c r="J102" s="50">
        <v>0</v>
      </c>
      <c r="K102" s="50">
        <v>0</v>
      </c>
      <c r="L102" s="50">
        <v>1</v>
      </c>
      <c r="M102" s="50">
        <v>1</v>
      </c>
      <c r="N102" s="50">
        <v>0</v>
      </c>
      <c r="O102" s="15">
        <f t="shared" si="35"/>
        <v>5</v>
      </c>
      <c r="P102" s="15">
        <f t="shared" si="36"/>
        <v>6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2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3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2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1</v>
      </c>
      <c r="M105" s="50">
        <v>2</v>
      </c>
      <c r="N105" s="50">
        <v>0</v>
      </c>
      <c r="O105" s="15">
        <f t="shared" si="35"/>
        <v>3</v>
      </c>
      <c r="P105" s="15">
        <f t="shared" si="36"/>
        <v>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56</v>
      </c>
      <c r="D106" s="16">
        <f t="shared" ref="D106:P106" si="37">SUM(D10:D105)</f>
        <v>25</v>
      </c>
      <c r="E106" s="16">
        <f t="shared" si="37"/>
        <v>110</v>
      </c>
      <c r="F106" s="16">
        <f t="shared" si="37"/>
        <v>70</v>
      </c>
      <c r="G106" s="16">
        <f t="shared" si="37"/>
        <v>14</v>
      </c>
      <c r="H106" s="16">
        <f t="shared" si="37"/>
        <v>27</v>
      </c>
      <c r="I106" s="16">
        <f t="shared" si="37"/>
        <v>17</v>
      </c>
      <c r="J106" s="16">
        <f t="shared" si="37"/>
        <v>42</v>
      </c>
      <c r="K106" s="16">
        <f t="shared" si="37"/>
        <v>24</v>
      </c>
      <c r="L106" s="16">
        <f t="shared" si="37"/>
        <v>71</v>
      </c>
      <c r="M106" s="16">
        <f t="shared" si="37"/>
        <v>253</v>
      </c>
      <c r="N106" s="16">
        <f t="shared" si="37"/>
        <v>7</v>
      </c>
      <c r="O106" s="16">
        <f t="shared" si="37"/>
        <v>463</v>
      </c>
      <c r="P106" s="16">
        <f t="shared" si="37"/>
        <v>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7.8212290502793297E-2</v>
      </c>
      <c r="D107" s="43">
        <f t="shared" si="38"/>
        <v>3.4916201117318434E-2</v>
      </c>
      <c r="E107" s="43">
        <f t="shared" si="38"/>
        <v>0.15363128491620112</v>
      </c>
      <c r="F107" s="43">
        <f t="shared" si="38"/>
        <v>9.7765363128491614E-2</v>
      </c>
      <c r="G107" s="43">
        <f t="shared" si="38"/>
        <v>1.9553072625698324E-2</v>
      </c>
      <c r="H107" s="43">
        <f t="shared" si="38"/>
        <v>3.7709497206703912E-2</v>
      </c>
      <c r="I107" s="43">
        <f t="shared" si="38"/>
        <v>2.3743016759776536E-2</v>
      </c>
      <c r="J107" s="43">
        <f t="shared" si="38"/>
        <v>5.8659217877094973E-2</v>
      </c>
      <c r="K107" s="43">
        <f t="shared" si="38"/>
        <v>3.3519553072625698E-2</v>
      </c>
      <c r="L107" s="43">
        <f t="shared" si="38"/>
        <v>9.9162011173184364E-2</v>
      </c>
      <c r="M107" s="43">
        <f t="shared" si="38"/>
        <v>0.35335195530726254</v>
      </c>
      <c r="N107" s="43">
        <f t="shared" si="38"/>
        <v>9.7765363128491621E-3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0.12095032397408208</v>
      </c>
      <c r="D108" s="44">
        <f t="shared" ref="D108:N108" si="39">D106/$O$106</f>
        <v>5.3995680345572353E-2</v>
      </c>
      <c r="E108" s="44">
        <f t="shared" si="39"/>
        <v>0.23758099352051837</v>
      </c>
      <c r="F108" s="44">
        <f t="shared" si="39"/>
        <v>0.15118790496760259</v>
      </c>
      <c r="G108" s="44">
        <f t="shared" si="39"/>
        <v>3.0237580993520519E-2</v>
      </c>
      <c r="H108" s="44">
        <f t="shared" si="39"/>
        <v>5.8315334773218146E-2</v>
      </c>
      <c r="I108" s="44">
        <f t="shared" si="39"/>
        <v>3.6717062634989202E-2</v>
      </c>
      <c r="J108" s="44">
        <f t="shared" si="39"/>
        <v>9.0712742980561561E-2</v>
      </c>
      <c r="K108" s="44">
        <f t="shared" si="39"/>
        <v>5.183585313174946E-2</v>
      </c>
      <c r="L108" s="44">
        <f t="shared" si="39"/>
        <v>0.15334773218142547</v>
      </c>
      <c r="M108" s="44"/>
      <c r="N108" s="44">
        <f t="shared" si="39"/>
        <v>1.511879049676026E-2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82" zoomScale="60" workbookViewId="0">
      <selection activeCell="J102" sqref="J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6" t="str">
        <f>'2.08 Karuma-Pakwach-24h'!G5:H5</f>
        <v>xxx</v>
      </c>
      <c r="H5" s="67"/>
      <c r="I5" s="14"/>
      <c r="J5" s="2" t="s">
        <v>5</v>
      </c>
      <c r="K5" s="66" t="str">
        <f>'2.08 Karuma-Pakwach-24h'!K5:L5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Pakwach-Karuma'!D6:E6</f>
        <v>pakwach</v>
      </c>
      <c r="E6" s="67"/>
      <c r="F6" s="2" t="s">
        <v>2</v>
      </c>
      <c r="G6" s="66" t="str">
        <f>'29.07 Pakwach-Karuma'!G6:H6</f>
        <v>karuma</v>
      </c>
      <c r="H6" s="67"/>
      <c r="J6" s="2" t="s">
        <v>21</v>
      </c>
      <c r="K6" s="66" t="str">
        <f>'2.08 Karuma-Pakwach-24h'!K6:L6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6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7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0</v>
      </c>
      <c r="AB10" s="17">
        <f t="shared" si="2"/>
        <v>6</v>
      </c>
      <c r="AC10" s="17">
        <f t="shared" si="2"/>
        <v>15</v>
      </c>
      <c r="AD10" s="17">
        <f t="shared" si="2"/>
        <v>1</v>
      </c>
      <c r="AE10" s="31">
        <f t="shared" si="2"/>
        <v>21</v>
      </c>
      <c r="AF10" s="31">
        <f t="shared" si="2"/>
        <v>36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3</v>
      </c>
      <c r="P11" s="15">
        <f t="shared" si="1"/>
        <v>6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8</v>
      </c>
      <c r="AA11" s="17">
        <f t="shared" si="3"/>
        <v>1</v>
      </c>
      <c r="AB11" s="17">
        <f t="shared" si="3"/>
        <v>8</v>
      </c>
      <c r="AC11" s="17">
        <f t="shared" si="3"/>
        <v>12</v>
      </c>
      <c r="AD11" s="17">
        <f t="shared" si="3"/>
        <v>0</v>
      </c>
      <c r="AE11" s="31">
        <f t="shared" si="3"/>
        <v>23</v>
      </c>
      <c r="AF11" s="31">
        <f t="shared" si="3"/>
        <v>35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3</v>
      </c>
      <c r="P12" s="15">
        <f t="shared" si="1"/>
        <v>6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6</v>
      </c>
      <c r="V12" s="17">
        <f t="shared" si="4"/>
        <v>4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5</v>
      </c>
      <c r="AA12" s="17">
        <f t="shared" si="4"/>
        <v>0</v>
      </c>
      <c r="AB12" s="17">
        <f t="shared" si="4"/>
        <v>4</v>
      </c>
      <c r="AC12" s="17">
        <f t="shared" si="4"/>
        <v>21</v>
      </c>
      <c r="AD12" s="17">
        <f t="shared" si="4"/>
        <v>0</v>
      </c>
      <c r="AE12" s="31">
        <f t="shared" si="4"/>
        <v>22</v>
      </c>
      <c r="AF12" s="31">
        <f t="shared" si="4"/>
        <v>43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6</v>
      </c>
      <c r="M13" s="50">
        <v>6</v>
      </c>
      <c r="N13" s="50">
        <v>1</v>
      </c>
      <c r="O13" s="15">
        <f t="shared" si="0"/>
        <v>12</v>
      </c>
      <c r="P13" s="15">
        <f t="shared" si="1"/>
        <v>18</v>
      </c>
      <c r="R13" s="1" t="s">
        <v>9</v>
      </c>
      <c r="S13" s="17">
        <f t="shared" ref="S13:AF13" si="5">SUM(C22:C25)</f>
        <v>3</v>
      </c>
      <c r="T13" s="17">
        <f t="shared" si="5"/>
        <v>5</v>
      </c>
      <c r="U13" s="17">
        <f t="shared" si="5"/>
        <v>11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0</v>
      </c>
      <c r="AB13" s="17">
        <f t="shared" si="5"/>
        <v>4</v>
      </c>
      <c r="AC13" s="17">
        <f t="shared" si="5"/>
        <v>22</v>
      </c>
      <c r="AD13" s="17">
        <f t="shared" si="5"/>
        <v>3</v>
      </c>
      <c r="AE13" s="31">
        <f t="shared" si="5"/>
        <v>34</v>
      </c>
      <c r="AF13" s="31">
        <f t="shared" si="5"/>
        <v>56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1</v>
      </c>
      <c r="P14" s="15">
        <f t="shared" si="1"/>
        <v>4</v>
      </c>
      <c r="R14" s="1" t="s">
        <v>10</v>
      </c>
      <c r="S14" s="17">
        <f t="shared" ref="S14:AF14" si="6">SUM(C26:C29)</f>
        <v>0</v>
      </c>
      <c r="T14" s="17">
        <f t="shared" si="6"/>
        <v>2</v>
      </c>
      <c r="U14" s="17">
        <f t="shared" si="6"/>
        <v>7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2</v>
      </c>
      <c r="AB14" s="17">
        <f t="shared" si="6"/>
        <v>3</v>
      </c>
      <c r="AC14" s="17">
        <f t="shared" si="6"/>
        <v>9</v>
      </c>
      <c r="AD14" s="17">
        <f t="shared" si="6"/>
        <v>0</v>
      </c>
      <c r="AE14" s="31">
        <f t="shared" si="6"/>
        <v>23</v>
      </c>
      <c r="AF14" s="31">
        <f t="shared" si="6"/>
        <v>32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3</v>
      </c>
      <c r="K15" s="50">
        <v>0</v>
      </c>
      <c r="L15" s="50">
        <v>5</v>
      </c>
      <c r="M15" s="50">
        <v>2</v>
      </c>
      <c r="N15" s="50">
        <v>0</v>
      </c>
      <c r="O15" s="15">
        <f t="shared" si="0"/>
        <v>10</v>
      </c>
      <c r="P15" s="15">
        <f t="shared" si="1"/>
        <v>12</v>
      </c>
      <c r="R15" s="1" t="s">
        <v>11</v>
      </c>
      <c r="S15" s="17">
        <f t="shared" ref="S15:AF15" si="7">SUM(C30:C33)</f>
        <v>6</v>
      </c>
      <c r="T15" s="17">
        <f t="shared" si="7"/>
        <v>1</v>
      </c>
      <c r="U15" s="17">
        <f t="shared" si="7"/>
        <v>7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1</v>
      </c>
      <c r="AB15" s="17">
        <f t="shared" si="7"/>
        <v>7</v>
      </c>
      <c r="AC15" s="17">
        <f t="shared" si="7"/>
        <v>15</v>
      </c>
      <c r="AD15" s="17">
        <f t="shared" si="7"/>
        <v>2</v>
      </c>
      <c r="AE15" s="31">
        <f t="shared" si="7"/>
        <v>26</v>
      </c>
      <c r="AF15" s="31">
        <f t="shared" si="7"/>
        <v>41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4</v>
      </c>
      <c r="K16" s="50">
        <v>1</v>
      </c>
      <c r="L16" s="50">
        <v>1</v>
      </c>
      <c r="M16" s="50">
        <v>3</v>
      </c>
      <c r="N16" s="50">
        <v>0</v>
      </c>
      <c r="O16" s="15">
        <f t="shared" si="0"/>
        <v>7</v>
      </c>
      <c r="P16" s="15">
        <f t="shared" si="1"/>
        <v>10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7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3</v>
      </c>
      <c r="AA16" s="17">
        <f t="shared" si="8"/>
        <v>0</v>
      </c>
      <c r="AB16" s="17">
        <f t="shared" si="8"/>
        <v>6</v>
      </c>
      <c r="AC16" s="17">
        <f t="shared" si="8"/>
        <v>17</v>
      </c>
      <c r="AD16" s="17">
        <f t="shared" si="8"/>
        <v>2</v>
      </c>
      <c r="AE16" s="31">
        <f t="shared" si="8"/>
        <v>22</v>
      </c>
      <c r="AF16" s="31">
        <f t="shared" si="8"/>
        <v>39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2</v>
      </c>
      <c r="M17" s="50">
        <v>4</v>
      </c>
      <c r="N17" s="50">
        <v>0</v>
      </c>
      <c r="O17" s="15">
        <f t="shared" si="0"/>
        <v>5</v>
      </c>
      <c r="P17" s="15">
        <f t="shared" si="1"/>
        <v>9</v>
      </c>
      <c r="R17" s="1" t="s">
        <v>13</v>
      </c>
      <c r="S17" s="17">
        <f t="shared" ref="S17:AF17" si="9">SUM(C38:C41)</f>
        <v>5</v>
      </c>
      <c r="T17" s="17">
        <f t="shared" si="9"/>
        <v>1</v>
      </c>
      <c r="U17" s="17">
        <f t="shared" si="9"/>
        <v>7</v>
      </c>
      <c r="V17" s="17">
        <f t="shared" si="9"/>
        <v>7</v>
      </c>
      <c r="W17" s="17">
        <f t="shared" si="9"/>
        <v>0</v>
      </c>
      <c r="X17" s="17">
        <f t="shared" si="9"/>
        <v>3</v>
      </c>
      <c r="Y17" s="17">
        <f t="shared" si="9"/>
        <v>0</v>
      </c>
      <c r="Z17" s="17">
        <f t="shared" si="9"/>
        <v>1</v>
      </c>
      <c r="AA17" s="17">
        <f t="shared" si="9"/>
        <v>2</v>
      </c>
      <c r="AB17" s="17">
        <f t="shared" si="9"/>
        <v>2</v>
      </c>
      <c r="AC17" s="17">
        <f t="shared" si="9"/>
        <v>15</v>
      </c>
      <c r="AD17" s="17">
        <f t="shared" si="9"/>
        <v>0</v>
      </c>
      <c r="AE17" s="31">
        <f t="shared" si="9"/>
        <v>28</v>
      </c>
      <c r="AF17" s="31">
        <f t="shared" si="9"/>
        <v>43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1</v>
      </c>
      <c r="M18" s="50">
        <v>2</v>
      </c>
      <c r="N18" s="50">
        <v>0</v>
      </c>
      <c r="O18" s="15">
        <f t="shared" si="0"/>
        <v>5</v>
      </c>
      <c r="P18" s="15">
        <f t="shared" si="1"/>
        <v>7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2</v>
      </c>
      <c r="Y18" s="17">
        <f t="shared" si="10"/>
        <v>0</v>
      </c>
      <c r="Z18" s="17">
        <f t="shared" si="10"/>
        <v>3</v>
      </c>
      <c r="AA18" s="17">
        <f t="shared" si="10"/>
        <v>0</v>
      </c>
      <c r="AB18" s="17">
        <f t="shared" si="10"/>
        <v>2</v>
      </c>
      <c r="AC18" s="17">
        <f t="shared" si="10"/>
        <v>15</v>
      </c>
      <c r="AD18" s="17">
        <f t="shared" si="10"/>
        <v>1</v>
      </c>
      <c r="AE18" s="31">
        <f t="shared" si="10"/>
        <v>14</v>
      </c>
      <c r="AF18" s="31">
        <f t="shared" si="10"/>
        <v>29</v>
      </c>
    </row>
    <row r="19" spans="2:32" ht="23.1" customHeight="1" x14ac:dyDescent="0.25">
      <c r="B19" s="45" t="s">
        <v>46</v>
      </c>
      <c r="C19" s="50">
        <v>0</v>
      </c>
      <c r="D19" s="50">
        <v>1</v>
      </c>
      <c r="E19" s="50">
        <v>2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1</v>
      </c>
      <c r="M19" s="50">
        <v>7</v>
      </c>
      <c r="N19" s="50">
        <v>0</v>
      </c>
      <c r="O19" s="15">
        <f t="shared" si="0"/>
        <v>5</v>
      </c>
      <c r="P19" s="15">
        <f t="shared" si="1"/>
        <v>12</v>
      </c>
      <c r="R19" s="1" t="s">
        <v>15</v>
      </c>
      <c r="S19" s="17">
        <f t="shared" ref="S19:AF19" si="11">SUM(C46:C49)</f>
        <v>3</v>
      </c>
      <c r="T19" s="17">
        <f t="shared" si="11"/>
        <v>1</v>
      </c>
      <c r="U19" s="17">
        <f t="shared" si="11"/>
        <v>4</v>
      </c>
      <c r="V19" s="17">
        <f t="shared" si="11"/>
        <v>3</v>
      </c>
      <c r="W19" s="17">
        <f t="shared" si="11"/>
        <v>0</v>
      </c>
      <c r="X19" s="17">
        <f t="shared" si="11"/>
        <v>2</v>
      </c>
      <c r="Y19" s="17">
        <f t="shared" si="11"/>
        <v>0</v>
      </c>
      <c r="Z19" s="17">
        <f t="shared" si="11"/>
        <v>2</v>
      </c>
      <c r="AA19" s="17">
        <f t="shared" si="11"/>
        <v>5</v>
      </c>
      <c r="AB19" s="17">
        <f t="shared" si="11"/>
        <v>6</v>
      </c>
      <c r="AC19" s="17">
        <f t="shared" si="11"/>
        <v>17</v>
      </c>
      <c r="AD19" s="17">
        <f t="shared" si="11"/>
        <v>1</v>
      </c>
      <c r="AE19" s="31">
        <f t="shared" si="11"/>
        <v>27</v>
      </c>
      <c r="AF19" s="31">
        <f t="shared" si="11"/>
        <v>44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1</v>
      </c>
      <c r="F20" s="50">
        <v>1</v>
      </c>
      <c r="G20" s="50">
        <v>0</v>
      </c>
      <c r="H20" s="50">
        <v>1</v>
      </c>
      <c r="I20" s="50">
        <v>0</v>
      </c>
      <c r="J20" s="50">
        <v>2</v>
      </c>
      <c r="K20" s="50">
        <v>0</v>
      </c>
      <c r="L20" s="50">
        <v>2</v>
      </c>
      <c r="M20" s="50">
        <v>2</v>
      </c>
      <c r="N20" s="50">
        <v>0</v>
      </c>
      <c r="O20" s="15">
        <f t="shared" si="0"/>
        <v>8</v>
      </c>
      <c r="P20" s="15">
        <f t="shared" si="1"/>
        <v>10</v>
      </c>
      <c r="R20" s="1" t="s">
        <v>16</v>
      </c>
      <c r="S20" s="17">
        <f t="shared" ref="S20:AF20" si="12">SUM(C50:C53)</f>
        <v>8</v>
      </c>
      <c r="T20" s="17">
        <f t="shared" si="12"/>
        <v>3</v>
      </c>
      <c r="U20" s="17">
        <f t="shared" si="12"/>
        <v>10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4</v>
      </c>
      <c r="AA20" s="17">
        <f t="shared" si="12"/>
        <v>0</v>
      </c>
      <c r="AB20" s="17">
        <f t="shared" si="12"/>
        <v>5</v>
      </c>
      <c r="AC20" s="17">
        <f t="shared" si="12"/>
        <v>23</v>
      </c>
      <c r="AD20" s="17">
        <f t="shared" si="12"/>
        <v>0</v>
      </c>
      <c r="AE20" s="31">
        <f t="shared" si="12"/>
        <v>31</v>
      </c>
      <c r="AF20" s="31">
        <f t="shared" si="12"/>
        <v>54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2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4</v>
      </c>
      <c r="P21" s="15">
        <f t="shared" si="1"/>
        <v>14</v>
      </c>
      <c r="R21" s="36" t="s">
        <v>20</v>
      </c>
      <c r="S21" s="34">
        <f t="shared" ref="S21:AF21" si="13">SUM(C54:C57)</f>
        <v>5</v>
      </c>
      <c r="T21" s="17">
        <f t="shared" si="13"/>
        <v>1</v>
      </c>
      <c r="U21" s="17">
        <f t="shared" si="13"/>
        <v>5</v>
      </c>
      <c r="V21" s="17">
        <f t="shared" si="13"/>
        <v>1</v>
      </c>
      <c r="W21" s="17">
        <f t="shared" si="13"/>
        <v>0</v>
      </c>
      <c r="X21" s="17">
        <f t="shared" si="13"/>
        <v>1</v>
      </c>
      <c r="Y21" s="17">
        <f t="shared" si="13"/>
        <v>0</v>
      </c>
      <c r="Z21" s="17">
        <f t="shared" si="13"/>
        <v>1</v>
      </c>
      <c r="AA21" s="17">
        <f t="shared" si="13"/>
        <v>1</v>
      </c>
      <c r="AB21" s="17">
        <f t="shared" si="13"/>
        <v>5</v>
      </c>
      <c r="AC21" s="17">
        <f t="shared" si="13"/>
        <v>18</v>
      </c>
      <c r="AD21" s="17">
        <f t="shared" si="13"/>
        <v>0</v>
      </c>
      <c r="AE21" s="31">
        <f t="shared" si="13"/>
        <v>20</v>
      </c>
      <c r="AF21" s="31">
        <f t="shared" si="13"/>
        <v>38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3</v>
      </c>
      <c r="P22" s="15">
        <f t="shared" si="1"/>
        <v>7</v>
      </c>
      <c r="R22" s="36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4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2</v>
      </c>
      <c r="AA22" s="34">
        <f t="shared" si="14"/>
        <v>0</v>
      </c>
      <c r="AB22" s="34">
        <f t="shared" si="14"/>
        <v>4</v>
      </c>
      <c r="AC22" s="34">
        <f t="shared" si="14"/>
        <v>7</v>
      </c>
      <c r="AD22" s="34">
        <f t="shared" si="14"/>
        <v>0</v>
      </c>
      <c r="AE22" s="31">
        <f t="shared" si="14"/>
        <v>12</v>
      </c>
      <c r="AF22" s="31">
        <f t="shared" si="14"/>
        <v>19</v>
      </c>
    </row>
    <row r="23" spans="2:32" ht="23.1" customHeight="1" x14ac:dyDescent="0.25">
      <c r="B23" s="45" t="s">
        <v>50</v>
      </c>
      <c r="C23" s="50">
        <v>1</v>
      </c>
      <c r="D23" s="50">
        <v>2</v>
      </c>
      <c r="E23" s="50">
        <v>4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</v>
      </c>
      <c r="M23" s="50">
        <v>7</v>
      </c>
      <c r="N23" s="50">
        <v>1</v>
      </c>
      <c r="O23" s="15">
        <f t="shared" si="0"/>
        <v>9</v>
      </c>
      <c r="P23" s="15">
        <f t="shared" si="1"/>
        <v>16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3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3</v>
      </c>
      <c r="AA23" s="34">
        <f t="shared" si="15"/>
        <v>0</v>
      </c>
      <c r="AB23" s="34">
        <f t="shared" si="15"/>
        <v>4</v>
      </c>
      <c r="AC23" s="34">
        <f t="shared" si="15"/>
        <v>8</v>
      </c>
      <c r="AD23" s="34">
        <f t="shared" si="15"/>
        <v>0</v>
      </c>
      <c r="AE23" s="31">
        <f t="shared" si="15"/>
        <v>12</v>
      </c>
      <c r="AF23" s="31">
        <f t="shared" si="15"/>
        <v>20</v>
      </c>
    </row>
    <row r="24" spans="2:32" ht="23.1" customHeight="1" x14ac:dyDescent="0.25">
      <c r="B24" s="45" t="s">
        <v>51</v>
      </c>
      <c r="C24" s="50">
        <v>0</v>
      </c>
      <c r="D24" s="50">
        <v>2</v>
      </c>
      <c r="E24" s="50">
        <v>4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3</v>
      </c>
      <c r="M24" s="50">
        <v>5</v>
      </c>
      <c r="N24" s="50">
        <v>2</v>
      </c>
      <c r="O24" s="15">
        <f t="shared" si="0"/>
        <v>12</v>
      </c>
      <c r="P24" s="15">
        <f t="shared" si="1"/>
        <v>17</v>
      </c>
      <c r="R24" s="36" t="s">
        <v>148</v>
      </c>
      <c r="S24" s="34">
        <f>SUM(C66:C69)</f>
        <v>2</v>
      </c>
      <c r="T24" s="34">
        <f t="shared" ref="T24:AF24" si="16">SUM(D66:D69)</f>
        <v>0</v>
      </c>
      <c r="U24" s="34">
        <f t="shared" si="16"/>
        <v>3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2</v>
      </c>
      <c r="AC24" s="34">
        <f t="shared" si="16"/>
        <v>12</v>
      </c>
      <c r="AD24" s="34">
        <f t="shared" si="16"/>
        <v>0</v>
      </c>
      <c r="AE24" s="31">
        <f t="shared" si="16"/>
        <v>10</v>
      </c>
      <c r="AF24" s="31">
        <f t="shared" si="16"/>
        <v>22</v>
      </c>
    </row>
    <row r="25" spans="2:32" ht="23.1" customHeight="1" x14ac:dyDescent="0.25">
      <c r="B25" s="45" t="s">
        <v>52</v>
      </c>
      <c r="C25" s="50">
        <v>2</v>
      </c>
      <c r="D25" s="50">
        <v>1</v>
      </c>
      <c r="E25" s="50">
        <v>2</v>
      </c>
      <c r="F25" s="50">
        <v>3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10</v>
      </c>
      <c r="P25" s="15">
        <f t="shared" si="1"/>
        <v>16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3</v>
      </c>
      <c r="AC25" s="34">
        <f t="shared" si="17"/>
        <v>6</v>
      </c>
      <c r="AD25" s="34">
        <f t="shared" si="17"/>
        <v>0</v>
      </c>
      <c r="AE25" s="31">
        <f t="shared" si="17"/>
        <v>10</v>
      </c>
      <c r="AF25" s="31">
        <f t="shared" si="17"/>
        <v>16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1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3</v>
      </c>
      <c r="P26" s="15">
        <f t="shared" si="1"/>
        <v>5</v>
      </c>
      <c r="R26" s="36" t="s">
        <v>150</v>
      </c>
      <c r="S26" s="34">
        <f>SUM(C74:C77)</f>
        <v>2</v>
      </c>
      <c r="T26" s="34">
        <f t="shared" ref="T26:AF26" si="18">SUM(D74:D77)</f>
        <v>1</v>
      </c>
      <c r="U26" s="34">
        <f t="shared" si="18"/>
        <v>5</v>
      </c>
      <c r="V26" s="34">
        <f t="shared" si="18"/>
        <v>3</v>
      </c>
      <c r="W26" s="34">
        <f t="shared" si="18"/>
        <v>1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3</v>
      </c>
      <c r="AD26" s="34">
        <f t="shared" si="18"/>
        <v>0</v>
      </c>
      <c r="AE26" s="31">
        <f t="shared" si="18"/>
        <v>16</v>
      </c>
      <c r="AF26" s="31">
        <f t="shared" si="18"/>
        <v>19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2</v>
      </c>
      <c r="F27" s="50">
        <v>2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6</v>
      </c>
      <c r="P27" s="15">
        <f t="shared" si="1"/>
        <v>10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5</v>
      </c>
      <c r="AD27" s="34">
        <f t="shared" si="19"/>
        <v>0</v>
      </c>
      <c r="AE27" s="31">
        <f t="shared" si="19"/>
        <v>5</v>
      </c>
      <c r="AF27" s="31">
        <f t="shared" si="19"/>
        <v>10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0</v>
      </c>
      <c r="P28" s="15">
        <f t="shared" si="1"/>
        <v>1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4</v>
      </c>
      <c r="AD28" s="34">
        <f t="shared" si="20"/>
        <v>0</v>
      </c>
      <c r="AE28" s="31">
        <f t="shared" si="20"/>
        <v>7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0</v>
      </c>
      <c r="D29" s="50">
        <v>2</v>
      </c>
      <c r="E29" s="50">
        <v>4</v>
      </c>
      <c r="F29" s="50">
        <v>1</v>
      </c>
      <c r="G29" s="50">
        <v>0</v>
      </c>
      <c r="H29" s="50">
        <v>0</v>
      </c>
      <c r="I29" s="50">
        <v>2</v>
      </c>
      <c r="J29" s="50">
        <v>0</v>
      </c>
      <c r="K29" s="50">
        <v>2</v>
      </c>
      <c r="L29" s="50">
        <v>3</v>
      </c>
      <c r="M29" s="50">
        <v>2</v>
      </c>
      <c r="N29" s="50">
        <v>0</v>
      </c>
      <c r="O29" s="15">
        <f t="shared" si="0"/>
        <v>14</v>
      </c>
      <c r="P29" s="15">
        <f t="shared" si="1"/>
        <v>16</v>
      </c>
      <c r="R29" s="36" t="s">
        <v>153</v>
      </c>
      <c r="S29" s="34">
        <f>SUM(C86:C89)</f>
        <v>1</v>
      </c>
      <c r="T29" s="34">
        <f t="shared" ref="T29:AF29" si="21">SUM(D86:D89)</f>
        <v>2</v>
      </c>
      <c r="U29" s="34">
        <f t="shared" si="21"/>
        <v>5</v>
      </c>
      <c r="V29" s="34">
        <f t="shared" si="21"/>
        <v>3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16</v>
      </c>
      <c r="AF29" s="31">
        <f t="shared" si="21"/>
        <v>16</v>
      </c>
    </row>
    <row r="30" spans="2:32" ht="23.1" customHeight="1" x14ac:dyDescent="0.25">
      <c r="B30" s="45" t="s">
        <v>57</v>
      </c>
      <c r="C30" s="50">
        <v>0</v>
      </c>
      <c r="D30" s="50">
        <v>1</v>
      </c>
      <c r="E30" s="50">
        <v>2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1</v>
      </c>
      <c r="M30" s="50">
        <v>5</v>
      </c>
      <c r="N30" s="50">
        <v>0</v>
      </c>
      <c r="O30" s="15">
        <f t="shared" si="0"/>
        <v>5</v>
      </c>
      <c r="P30" s="15">
        <f t="shared" si="1"/>
        <v>10</v>
      </c>
      <c r="R30" s="36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4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50">
        <v>2</v>
      </c>
      <c r="N31" s="50">
        <v>1</v>
      </c>
      <c r="O31" s="15">
        <f t="shared" si="0"/>
        <v>5</v>
      </c>
      <c r="P31" s="15">
        <f t="shared" si="1"/>
        <v>7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1</v>
      </c>
      <c r="W31" s="34">
        <f t="shared" si="23"/>
        <v>0</v>
      </c>
      <c r="X31" s="34">
        <f t="shared" si="23"/>
        <v>2</v>
      </c>
      <c r="Y31" s="34">
        <f t="shared" si="23"/>
        <v>0</v>
      </c>
      <c r="Z31" s="34">
        <f t="shared" si="23"/>
        <v>0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11</v>
      </c>
      <c r="AF31" s="31">
        <f t="shared" si="23"/>
        <v>11</v>
      </c>
    </row>
    <row r="32" spans="2:32" ht="23.1" customHeight="1" x14ac:dyDescent="0.25">
      <c r="B32" s="46" t="s">
        <v>59</v>
      </c>
      <c r="C32" s="50">
        <v>3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2</v>
      </c>
      <c r="M32" s="50">
        <v>5</v>
      </c>
      <c r="N32" s="50">
        <v>1</v>
      </c>
      <c r="O32" s="15">
        <f t="shared" si="0"/>
        <v>8</v>
      </c>
      <c r="P32" s="15">
        <f t="shared" si="1"/>
        <v>13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4</v>
      </c>
      <c r="V32" s="34">
        <f t="shared" si="24"/>
        <v>2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2</v>
      </c>
      <c r="AC32" s="34">
        <f t="shared" si="24"/>
        <v>1</v>
      </c>
      <c r="AD32" s="34">
        <f t="shared" si="24"/>
        <v>0</v>
      </c>
      <c r="AE32" s="31">
        <f t="shared" si="24"/>
        <v>14</v>
      </c>
      <c r="AF32" s="31">
        <f t="shared" si="24"/>
        <v>15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2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3</v>
      </c>
      <c r="M33" s="50">
        <v>3</v>
      </c>
      <c r="N33" s="50">
        <v>0</v>
      </c>
      <c r="O33" s="15">
        <f t="shared" si="0"/>
        <v>8</v>
      </c>
      <c r="P33" s="15">
        <f t="shared" si="1"/>
        <v>11</v>
      </c>
      <c r="R33" s="33" t="s">
        <v>157</v>
      </c>
      <c r="S33" s="34">
        <f>SUM(C102:C105)</f>
        <v>3</v>
      </c>
      <c r="T33" s="34">
        <f t="shared" ref="T33:AF33" si="25">SUM(D102:D105)</f>
        <v>0</v>
      </c>
      <c r="U33" s="34">
        <f t="shared" si="25"/>
        <v>5</v>
      </c>
      <c r="V33" s="34">
        <f t="shared" si="25"/>
        <v>2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3</v>
      </c>
      <c r="AC33" s="34">
        <f t="shared" si="25"/>
        <v>6</v>
      </c>
      <c r="AD33" s="34">
        <f t="shared" si="25"/>
        <v>0</v>
      </c>
      <c r="AE33" s="31">
        <f t="shared" si="25"/>
        <v>14</v>
      </c>
      <c r="AF33" s="31">
        <f t="shared" si="25"/>
        <v>20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3</v>
      </c>
      <c r="P34" s="15">
        <f t="shared" si="1"/>
        <v>8</v>
      </c>
      <c r="R34" s="38" t="s">
        <v>90</v>
      </c>
      <c r="S34" s="39">
        <f t="shared" ref="S34:AF34" si="26">MAX(S10:S12)</f>
        <v>5</v>
      </c>
      <c r="T34" s="39">
        <f t="shared" si="26"/>
        <v>1</v>
      </c>
      <c r="U34" s="39">
        <f t="shared" si="26"/>
        <v>7</v>
      </c>
      <c r="V34" s="39">
        <f t="shared" si="26"/>
        <v>4</v>
      </c>
      <c r="W34" s="39">
        <f t="shared" si="26"/>
        <v>0</v>
      </c>
      <c r="X34" s="39">
        <f t="shared" si="26"/>
        <v>1</v>
      </c>
      <c r="Y34" s="39">
        <f t="shared" si="26"/>
        <v>1</v>
      </c>
      <c r="Z34" s="39">
        <f t="shared" si="26"/>
        <v>8</v>
      </c>
      <c r="AA34" s="39">
        <f t="shared" si="26"/>
        <v>1</v>
      </c>
      <c r="AB34" s="39">
        <f t="shared" si="26"/>
        <v>8</v>
      </c>
      <c r="AC34" s="39">
        <f t="shared" si="26"/>
        <v>21</v>
      </c>
      <c r="AD34" s="39">
        <f t="shared" si="26"/>
        <v>1</v>
      </c>
      <c r="AE34" s="40">
        <f t="shared" si="26"/>
        <v>23</v>
      </c>
      <c r="AF34" s="40">
        <f t="shared" si="26"/>
        <v>43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1</v>
      </c>
      <c r="F35" s="50">
        <v>2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6</v>
      </c>
      <c r="M35" s="50">
        <v>4</v>
      </c>
      <c r="N35" s="50">
        <v>2</v>
      </c>
      <c r="O35" s="15">
        <f t="shared" si="0"/>
        <v>15</v>
      </c>
      <c r="P35" s="15">
        <f t="shared" si="1"/>
        <v>19</v>
      </c>
      <c r="R35" s="38" t="s">
        <v>91</v>
      </c>
      <c r="S35" s="39">
        <f t="shared" ref="S35:AF35" si="27">MAX(S13:S18)</f>
        <v>6</v>
      </c>
      <c r="T35" s="39">
        <f t="shared" si="27"/>
        <v>5</v>
      </c>
      <c r="U35" s="39">
        <f t="shared" si="27"/>
        <v>11</v>
      </c>
      <c r="V35" s="39">
        <f t="shared" si="27"/>
        <v>7</v>
      </c>
      <c r="W35" s="39">
        <f t="shared" si="27"/>
        <v>0</v>
      </c>
      <c r="X35" s="39">
        <f t="shared" si="27"/>
        <v>3</v>
      </c>
      <c r="Y35" s="39">
        <f t="shared" si="27"/>
        <v>3</v>
      </c>
      <c r="Z35" s="39">
        <f t="shared" si="27"/>
        <v>3</v>
      </c>
      <c r="AA35" s="39">
        <f t="shared" si="27"/>
        <v>2</v>
      </c>
      <c r="AB35" s="39">
        <f t="shared" si="27"/>
        <v>7</v>
      </c>
      <c r="AC35" s="39">
        <f t="shared" si="27"/>
        <v>22</v>
      </c>
      <c r="AD35" s="39">
        <f t="shared" si="27"/>
        <v>3</v>
      </c>
      <c r="AE35" s="40">
        <f t="shared" si="27"/>
        <v>34</v>
      </c>
      <c r="AF35" s="40">
        <f t="shared" si="27"/>
        <v>56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2</v>
      </c>
      <c r="P36" s="15">
        <f t="shared" si="1"/>
        <v>6</v>
      </c>
      <c r="R36" s="38" t="s">
        <v>92</v>
      </c>
      <c r="S36" s="39">
        <f t="shared" ref="S36:AF36" si="28">MAX(S19:S21)</f>
        <v>8</v>
      </c>
      <c r="T36" s="39">
        <f t="shared" si="28"/>
        <v>3</v>
      </c>
      <c r="U36" s="39">
        <f t="shared" si="28"/>
        <v>10</v>
      </c>
      <c r="V36" s="39">
        <f t="shared" si="28"/>
        <v>3</v>
      </c>
      <c r="W36" s="39">
        <f t="shared" si="28"/>
        <v>0</v>
      </c>
      <c r="X36" s="39">
        <f t="shared" si="28"/>
        <v>2</v>
      </c>
      <c r="Y36" s="39">
        <f t="shared" si="28"/>
        <v>0</v>
      </c>
      <c r="Z36" s="39">
        <f t="shared" si="28"/>
        <v>4</v>
      </c>
      <c r="AA36" s="39">
        <f t="shared" si="28"/>
        <v>5</v>
      </c>
      <c r="AB36" s="39">
        <f t="shared" si="28"/>
        <v>6</v>
      </c>
      <c r="AC36" s="39">
        <f t="shared" si="28"/>
        <v>23</v>
      </c>
      <c r="AD36" s="39">
        <f t="shared" si="28"/>
        <v>1</v>
      </c>
      <c r="AE36" s="40">
        <f t="shared" si="28"/>
        <v>31</v>
      </c>
      <c r="AF36" s="40">
        <f t="shared" si="28"/>
        <v>54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2</v>
      </c>
      <c r="P37" s="15">
        <f t="shared" si="1"/>
        <v>6</v>
      </c>
      <c r="R37" s="37" t="s">
        <v>85</v>
      </c>
      <c r="S37" s="35">
        <f t="shared" ref="S37:AF37" si="29">SUM(S10:S12)</f>
        <v>8</v>
      </c>
      <c r="T37" s="16">
        <f t="shared" si="29"/>
        <v>1</v>
      </c>
      <c r="U37" s="16">
        <f t="shared" si="29"/>
        <v>16</v>
      </c>
      <c r="V37" s="16">
        <f t="shared" si="29"/>
        <v>4</v>
      </c>
      <c r="W37" s="16">
        <f t="shared" si="29"/>
        <v>0</v>
      </c>
      <c r="X37" s="16">
        <f t="shared" si="29"/>
        <v>1</v>
      </c>
      <c r="Y37" s="16">
        <f t="shared" si="29"/>
        <v>1</v>
      </c>
      <c r="Z37" s="16">
        <f t="shared" si="29"/>
        <v>15</v>
      </c>
      <c r="AA37" s="16">
        <f t="shared" si="29"/>
        <v>1</v>
      </c>
      <c r="AB37" s="16">
        <f t="shared" si="29"/>
        <v>18</v>
      </c>
      <c r="AC37" s="16">
        <f t="shared" si="29"/>
        <v>48</v>
      </c>
      <c r="AD37" s="16">
        <f t="shared" si="29"/>
        <v>1</v>
      </c>
      <c r="AE37" s="32">
        <f t="shared" si="29"/>
        <v>66</v>
      </c>
      <c r="AF37" s="32">
        <f t="shared" si="29"/>
        <v>114</v>
      </c>
    </row>
    <row r="38" spans="2:32" ht="23.1" customHeight="1" x14ac:dyDescent="0.25">
      <c r="B38" s="46" t="s">
        <v>65</v>
      </c>
      <c r="C38" s="50">
        <v>3</v>
      </c>
      <c r="D38" s="50">
        <v>1</v>
      </c>
      <c r="E38" s="50">
        <v>2</v>
      </c>
      <c r="F38" s="50">
        <v>4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10</v>
      </c>
      <c r="P38" s="15">
        <f t="shared" si="1"/>
        <v>15</v>
      </c>
      <c r="R38" s="28" t="s">
        <v>86</v>
      </c>
      <c r="S38" s="16">
        <f t="shared" ref="S38:AF38" si="30">SUM(S13:S18)</f>
        <v>18</v>
      </c>
      <c r="T38" s="16">
        <f t="shared" si="30"/>
        <v>10</v>
      </c>
      <c r="U38" s="16">
        <f t="shared" si="30"/>
        <v>42</v>
      </c>
      <c r="V38" s="16">
        <f t="shared" si="30"/>
        <v>19</v>
      </c>
      <c r="W38" s="16">
        <f t="shared" si="30"/>
        <v>0</v>
      </c>
      <c r="X38" s="16">
        <f t="shared" si="30"/>
        <v>5</v>
      </c>
      <c r="Y38" s="16">
        <f t="shared" si="30"/>
        <v>6</v>
      </c>
      <c r="Z38" s="16">
        <f t="shared" si="30"/>
        <v>10</v>
      </c>
      <c r="AA38" s="16">
        <f t="shared" si="30"/>
        <v>5</v>
      </c>
      <c r="AB38" s="16">
        <f t="shared" si="30"/>
        <v>24</v>
      </c>
      <c r="AC38" s="16">
        <f t="shared" si="30"/>
        <v>93</v>
      </c>
      <c r="AD38" s="16">
        <f t="shared" si="30"/>
        <v>8</v>
      </c>
      <c r="AE38" s="32">
        <f t="shared" si="30"/>
        <v>147</v>
      </c>
      <c r="AF38" s="32">
        <f t="shared" si="30"/>
        <v>240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1</v>
      </c>
      <c r="F39" s="50">
        <v>3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5</v>
      </c>
      <c r="P39" s="15">
        <f t="shared" si="1"/>
        <v>9</v>
      </c>
      <c r="R39" s="29" t="s">
        <v>87</v>
      </c>
      <c r="S39" s="16">
        <f t="shared" ref="S39:AF39" si="31">SUM(S19:S21)</f>
        <v>16</v>
      </c>
      <c r="T39" s="16">
        <f t="shared" si="31"/>
        <v>5</v>
      </c>
      <c r="U39" s="16">
        <f t="shared" si="31"/>
        <v>19</v>
      </c>
      <c r="V39" s="16">
        <f t="shared" si="31"/>
        <v>5</v>
      </c>
      <c r="W39" s="16">
        <f t="shared" si="31"/>
        <v>0</v>
      </c>
      <c r="X39" s="16">
        <f t="shared" si="31"/>
        <v>3</v>
      </c>
      <c r="Y39" s="16">
        <f t="shared" si="31"/>
        <v>0</v>
      </c>
      <c r="Z39" s="16">
        <f t="shared" si="31"/>
        <v>7</v>
      </c>
      <c r="AA39" s="16">
        <f t="shared" si="31"/>
        <v>6</v>
      </c>
      <c r="AB39" s="16">
        <f t="shared" si="31"/>
        <v>16</v>
      </c>
      <c r="AC39" s="16">
        <f t="shared" si="31"/>
        <v>58</v>
      </c>
      <c r="AD39" s="16">
        <f t="shared" si="31"/>
        <v>1</v>
      </c>
      <c r="AE39" s="32">
        <f t="shared" si="31"/>
        <v>78</v>
      </c>
      <c r="AF39" s="32">
        <f t="shared" si="31"/>
        <v>136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2</v>
      </c>
      <c r="M40" s="50">
        <v>5</v>
      </c>
      <c r="N40" s="50">
        <v>0</v>
      </c>
      <c r="O40" s="15">
        <f t="shared" si="0"/>
        <v>5</v>
      </c>
      <c r="P40" s="15">
        <f t="shared" si="1"/>
        <v>10</v>
      </c>
      <c r="R40" s="5" t="s">
        <v>17</v>
      </c>
      <c r="S40" s="16">
        <f t="shared" ref="S40:AF40" si="32">SUM(S10:S21)</f>
        <v>42</v>
      </c>
      <c r="T40" s="16">
        <f t="shared" si="32"/>
        <v>16</v>
      </c>
      <c r="U40" s="16">
        <f t="shared" si="32"/>
        <v>77</v>
      </c>
      <c r="V40" s="16">
        <f t="shared" si="32"/>
        <v>28</v>
      </c>
      <c r="W40" s="16">
        <f t="shared" si="32"/>
        <v>0</v>
      </c>
      <c r="X40" s="16">
        <f t="shared" si="32"/>
        <v>9</v>
      </c>
      <c r="Y40" s="16">
        <f t="shared" si="32"/>
        <v>7</v>
      </c>
      <c r="Z40" s="16">
        <f t="shared" si="32"/>
        <v>32</v>
      </c>
      <c r="AA40" s="16">
        <f t="shared" si="32"/>
        <v>12</v>
      </c>
      <c r="AB40" s="16">
        <f t="shared" si="32"/>
        <v>58</v>
      </c>
      <c r="AC40" s="16">
        <f t="shared" si="32"/>
        <v>199</v>
      </c>
      <c r="AD40" s="16">
        <f t="shared" si="32"/>
        <v>10</v>
      </c>
      <c r="AE40" s="32">
        <f t="shared" si="32"/>
        <v>291</v>
      </c>
      <c r="AF40" s="32">
        <f t="shared" si="32"/>
        <v>490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2</v>
      </c>
      <c r="F41" s="50">
        <v>0</v>
      </c>
      <c r="G41" s="50">
        <v>0</v>
      </c>
      <c r="H41" s="50">
        <v>2</v>
      </c>
      <c r="I41" s="50">
        <v>0</v>
      </c>
      <c r="J41" s="50">
        <v>1</v>
      </c>
      <c r="K41" s="50">
        <v>2</v>
      </c>
      <c r="L41" s="50">
        <v>0</v>
      </c>
      <c r="M41" s="50">
        <v>1</v>
      </c>
      <c r="N41" s="50">
        <v>0</v>
      </c>
      <c r="O41" s="15">
        <f t="shared" si="0"/>
        <v>8</v>
      </c>
      <c r="P41" s="15">
        <f t="shared" si="1"/>
        <v>9</v>
      </c>
      <c r="R41" s="5" t="s">
        <v>159</v>
      </c>
      <c r="S41" s="16">
        <f>SUM(S10:S33)</f>
        <v>60</v>
      </c>
      <c r="T41" s="16">
        <f t="shared" ref="T41:AF41" si="33">SUM(T10:T33)</f>
        <v>22</v>
      </c>
      <c r="U41" s="16">
        <f t="shared" si="33"/>
        <v>116</v>
      </c>
      <c r="V41" s="16">
        <f t="shared" si="33"/>
        <v>47</v>
      </c>
      <c r="W41" s="16">
        <f t="shared" si="33"/>
        <v>2</v>
      </c>
      <c r="X41" s="16">
        <f t="shared" si="33"/>
        <v>15</v>
      </c>
      <c r="Y41" s="16">
        <f t="shared" si="33"/>
        <v>11</v>
      </c>
      <c r="Z41" s="16">
        <f t="shared" si="33"/>
        <v>40</v>
      </c>
      <c r="AA41" s="16">
        <f t="shared" si="33"/>
        <v>14</v>
      </c>
      <c r="AB41" s="16">
        <f t="shared" si="33"/>
        <v>85</v>
      </c>
      <c r="AC41" s="16">
        <f t="shared" si="33"/>
        <v>251</v>
      </c>
      <c r="AD41" s="16">
        <f t="shared" si="33"/>
        <v>10</v>
      </c>
      <c r="AE41" s="32">
        <f t="shared" si="33"/>
        <v>422</v>
      </c>
      <c r="AF41" s="32">
        <f t="shared" si="33"/>
        <v>673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1</v>
      </c>
      <c r="I42" s="50">
        <v>0</v>
      </c>
      <c r="J42" s="50">
        <v>2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5</v>
      </c>
      <c r="P42" s="15">
        <f t="shared" si="1"/>
        <v>11</v>
      </c>
      <c r="R42" s="5" t="s">
        <v>160</v>
      </c>
      <c r="S42" s="48">
        <f>S41/S40</f>
        <v>1.4285714285714286</v>
      </c>
      <c r="T42" s="48">
        <f t="shared" ref="T42:AF42" si="34">T41/T40</f>
        <v>1.375</v>
      </c>
      <c r="U42" s="48">
        <f t="shared" si="34"/>
        <v>1.5064935064935066</v>
      </c>
      <c r="V42" s="48">
        <f t="shared" si="34"/>
        <v>1.6785714285714286</v>
      </c>
      <c r="W42" s="48" t="e">
        <f t="shared" si="34"/>
        <v>#DIV/0!</v>
      </c>
      <c r="X42" s="48">
        <f t="shared" si="34"/>
        <v>1.6666666666666667</v>
      </c>
      <c r="Y42" s="48">
        <f t="shared" si="34"/>
        <v>1.5714285714285714</v>
      </c>
      <c r="Z42" s="48">
        <f t="shared" si="34"/>
        <v>1.25</v>
      </c>
      <c r="AA42" s="48">
        <f t="shared" si="34"/>
        <v>1.1666666666666667</v>
      </c>
      <c r="AB42" s="48">
        <f t="shared" si="34"/>
        <v>1.4655172413793103</v>
      </c>
      <c r="AC42" s="48">
        <f t="shared" si="34"/>
        <v>1.2613065326633166</v>
      </c>
      <c r="AD42" s="48">
        <f t="shared" si="34"/>
        <v>1</v>
      </c>
      <c r="AE42" s="48">
        <f t="shared" si="34"/>
        <v>1.4501718213058419</v>
      </c>
      <c r="AF42" s="48">
        <f t="shared" si="34"/>
        <v>1.3734693877551021</v>
      </c>
    </row>
    <row r="43" spans="2:32" ht="23.1" customHeight="1" x14ac:dyDescent="0.25">
      <c r="B43" s="45" t="s">
        <v>70</v>
      </c>
      <c r="C43" s="50">
        <v>0</v>
      </c>
      <c r="D43" s="50">
        <v>1</v>
      </c>
      <c r="E43" s="50">
        <v>2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2</v>
      </c>
      <c r="M43" s="50">
        <v>5</v>
      </c>
      <c r="N43" s="50">
        <v>1</v>
      </c>
      <c r="O43" s="15">
        <f t="shared" si="0"/>
        <v>6</v>
      </c>
      <c r="P43" s="15">
        <f t="shared" si="1"/>
        <v>11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1</v>
      </c>
      <c r="I44" s="50">
        <v>0</v>
      </c>
      <c r="J44" s="50">
        <v>1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3</v>
      </c>
      <c r="P44" s="15">
        <f t="shared" si="1"/>
        <v>5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0</v>
      </c>
      <c r="P45" s="15">
        <f t="shared" si="1"/>
        <v>2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2</v>
      </c>
      <c r="L46" s="50">
        <v>3</v>
      </c>
      <c r="M46" s="50">
        <v>3</v>
      </c>
      <c r="N46" s="50">
        <v>0</v>
      </c>
      <c r="O46" s="15">
        <f t="shared" si="0"/>
        <v>10</v>
      </c>
      <c r="P46" s="15">
        <f t="shared" si="1"/>
        <v>13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1</v>
      </c>
      <c r="E47" s="50">
        <v>2</v>
      </c>
      <c r="F47" s="50">
        <v>1</v>
      </c>
      <c r="G47" s="50">
        <v>0</v>
      </c>
      <c r="H47" s="50">
        <v>1</v>
      </c>
      <c r="I47" s="50">
        <v>0</v>
      </c>
      <c r="J47" s="50">
        <v>1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6</v>
      </c>
      <c r="P47" s="15">
        <f t="shared" si="1"/>
        <v>9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1</v>
      </c>
      <c r="I48" s="50">
        <v>0</v>
      </c>
      <c r="J48" s="50">
        <v>0</v>
      </c>
      <c r="K48" s="50">
        <v>2</v>
      </c>
      <c r="L48" s="50">
        <v>2</v>
      </c>
      <c r="M48" s="50">
        <v>5</v>
      </c>
      <c r="N48" s="50">
        <v>1</v>
      </c>
      <c r="O48" s="15">
        <f t="shared" si="0"/>
        <v>6</v>
      </c>
      <c r="P48" s="15">
        <f t="shared" si="1"/>
        <v>11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1</v>
      </c>
      <c r="M49" s="50">
        <v>6</v>
      </c>
      <c r="N49" s="50">
        <v>0</v>
      </c>
      <c r="O49" s="15">
        <f t="shared" si="0"/>
        <v>5</v>
      </c>
      <c r="P49" s="15">
        <f t="shared" si="1"/>
        <v>11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1</v>
      </c>
      <c r="E50" s="50">
        <v>2</v>
      </c>
      <c r="F50" s="50">
        <v>1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7</v>
      </c>
      <c r="P50" s="15">
        <f t="shared" si="1"/>
        <v>14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1</v>
      </c>
      <c r="E51" s="50">
        <v>4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2</v>
      </c>
      <c r="M51" s="50">
        <v>6</v>
      </c>
      <c r="N51" s="50">
        <v>0</v>
      </c>
      <c r="O51" s="15">
        <f t="shared" si="0"/>
        <v>9</v>
      </c>
      <c r="P51" s="15">
        <f t="shared" si="1"/>
        <v>15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6</v>
      </c>
      <c r="P52" s="15">
        <f t="shared" si="1"/>
        <v>10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1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3</v>
      </c>
      <c r="M53" s="50">
        <v>6</v>
      </c>
      <c r="N53" s="50">
        <v>0</v>
      </c>
      <c r="O53" s="15">
        <f t="shared" si="0"/>
        <v>9</v>
      </c>
      <c r="P53" s="15">
        <f t="shared" si="1"/>
        <v>15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1</v>
      </c>
      <c r="E54" s="50">
        <v>2</v>
      </c>
      <c r="F54" s="50">
        <v>1</v>
      </c>
      <c r="G54" s="50">
        <v>0</v>
      </c>
      <c r="H54" s="50">
        <v>1</v>
      </c>
      <c r="I54" s="50">
        <v>0</v>
      </c>
      <c r="J54" s="50">
        <v>1</v>
      </c>
      <c r="K54" s="50">
        <v>1</v>
      </c>
      <c r="L54" s="50">
        <v>1</v>
      </c>
      <c r="M54" s="50">
        <v>8</v>
      </c>
      <c r="N54" s="50">
        <v>0</v>
      </c>
      <c r="O54" s="15">
        <f t="shared" si="0"/>
        <v>11</v>
      </c>
      <c r="P54" s="15">
        <f t="shared" si="1"/>
        <v>19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1</v>
      </c>
      <c r="M55" s="50">
        <v>5</v>
      </c>
      <c r="N55" s="50">
        <v>0</v>
      </c>
      <c r="O55" s="15">
        <f t="shared" si="0"/>
        <v>3</v>
      </c>
      <c r="P55" s="15">
        <f t="shared" si="1"/>
        <v>8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3</v>
      </c>
      <c r="N56" s="50">
        <v>0</v>
      </c>
      <c r="O56" s="15">
        <f t="shared" si="0"/>
        <v>3</v>
      </c>
      <c r="P56" s="15">
        <f t="shared" si="1"/>
        <v>6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2</v>
      </c>
      <c r="M57" s="50">
        <v>2</v>
      </c>
      <c r="N57" s="50">
        <v>0</v>
      </c>
      <c r="O57" s="15">
        <f t="shared" si="0"/>
        <v>3</v>
      </c>
      <c r="P57" s="15">
        <f t="shared" si="1"/>
        <v>5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1</v>
      </c>
      <c r="M58" s="50">
        <v>2</v>
      </c>
      <c r="N58" s="50">
        <v>0</v>
      </c>
      <c r="O58" s="15">
        <f t="shared" si="0"/>
        <v>3</v>
      </c>
      <c r="P58" s="15">
        <f t="shared" si="1"/>
        <v>5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1</v>
      </c>
      <c r="M59" s="50">
        <v>2</v>
      </c>
      <c r="N59" s="50">
        <v>0</v>
      </c>
      <c r="O59" s="15">
        <f t="shared" si="0"/>
        <v>2</v>
      </c>
      <c r="P59" s="15">
        <f t="shared" si="1"/>
        <v>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1</v>
      </c>
      <c r="M60" s="50">
        <v>1</v>
      </c>
      <c r="N60" s="50">
        <v>0</v>
      </c>
      <c r="O60" s="15">
        <f t="shared" si="0"/>
        <v>4</v>
      </c>
      <c r="P60" s="15">
        <f t="shared" si="1"/>
        <v>5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1</v>
      </c>
      <c r="M61" s="50">
        <v>2</v>
      </c>
      <c r="N61" s="50">
        <v>0</v>
      </c>
      <c r="O61" s="15">
        <f t="shared" si="0"/>
        <v>3</v>
      </c>
      <c r="P61" s="15">
        <f t="shared" si="1"/>
        <v>5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1</v>
      </c>
      <c r="M62" s="50">
        <v>2</v>
      </c>
      <c r="N62" s="50">
        <v>0</v>
      </c>
      <c r="O62" s="15">
        <f t="shared" si="0"/>
        <v>2</v>
      </c>
      <c r="P62" s="15">
        <f t="shared" si="1"/>
        <v>4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1</v>
      </c>
      <c r="M63" s="50">
        <v>1</v>
      </c>
      <c r="N63" s="50">
        <v>0</v>
      </c>
      <c r="O63" s="15">
        <f t="shared" si="0"/>
        <v>4</v>
      </c>
      <c r="P63" s="15">
        <f t="shared" si="1"/>
        <v>5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1</v>
      </c>
      <c r="M64" s="50">
        <v>2</v>
      </c>
      <c r="N64" s="50">
        <v>0</v>
      </c>
      <c r="O64" s="15">
        <f t="shared" si="0"/>
        <v>3</v>
      </c>
      <c r="P64" s="15">
        <f t="shared" si="1"/>
        <v>5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1</v>
      </c>
      <c r="M65" s="50">
        <v>3</v>
      </c>
      <c r="N65" s="50">
        <v>0</v>
      </c>
      <c r="O65" s="15">
        <f t="shared" si="0"/>
        <v>3</v>
      </c>
      <c r="P65" s="15">
        <f t="shared" si="1"/>
        <v>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1</v>
      </c>
      <c r="M66" s="50">
        <v>3</v>
      </c>
      <c r="N66" s="50">
        <v>0</v>
      </c>
      <c r="O66" s="15">
        <f t="shared" si="0"/>
        <v>1</v>
      </c>
      <c r="P66" s="15">
        <f t="shared" si="1"/>
        <v>4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1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1</v>
      </c>
      <c r="P67" s="15">
        <f t="shared" si="1"/>
        <v>4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1</v>
      </c>
      <c r="F68" s="50">
        <v>1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1</v>
      </c>
      <c r="M68" s="50">
        <v>4</v>
      </c>
      <c r="N68" s="50">
        <v>0</v>
      </c>
      <c r="O68" s="15">
        <f t="shared" si="0"/>
        <v>5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1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3</v>
      </c>
      <c r="P69" s="15">
        <f t="shared" si="1"/>
        <v>5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1</v>
      </c>
      <c r="M70" s="50">
        <v>3</v>
      </c>
      <c r="N70" s="50">
        <v>0</v>
      </c>
      <c r="O70" s="15">
        <f t="shared" si="0"/>
        <v>3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1</v>
      </c>
      <c r="M71" s="50">
        <v>2</v>
      </c>
      <c r="N71" s="50">
        <v>0</v>
      </c>
      <c r="O71" s="15">
        <f t="shared" si="0"/>
        <v>2</v>
      </c>
      <c r="P71" s="15">
        <f t="shared" si="1"/>
        <v>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1</v>
      </c>
      <c r="M72" s="50">
        <v>1</v>
      </c>
      <c r="N72" s="50">
        <v>0</v>
      </c>
      <c r="O72" s="15">
        <f t="shared" si="0"/>
        <v>3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1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2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1</v>
      </c>
      <c r="F75" s="50">
        <v>1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1</v>
      </c>
      <c r="M75" s="50">
        <v>2</v>
      </c>
      <c r="N75" s="50">
        <v>0</v>
      </c>
      <c r="O75" s="15">
        <f t="shared" si="35"/>
        <v>4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1</v>
      </c>
      <c r="M76" s="50">
        <v>0</v>
      </c>
      <c r="N76" s="50">
        <v>0</v>
      </c>
      <c r="O76" s="15">
        <f t="shared" si="35"/>
        <v>3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2</v>
      </c>
      <c r="F77" s="50">
        <v>1</v>
      </c>
      <c r="G77" s="50">
        <v>1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6</v>
      </c>
      <c r="P77" s="15">
        <f t="shared" si="36"/>
        <v>6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2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1</v>
      </c>
      <c r="M80" s="50">
        <v>0</v>
      </c>
      <c r="N80" s="50"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0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1</v>
      </c>
      <c r="N82" s="50"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1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1</v>
      </c>
      <c r="M83" s="50">
        <v>2</v>
      </c>
      <c r="N83" s="50">
        <v>0</v>
      </c>
      <c r="O83" s="15">
        <f t="shared" si="35"/>
        <v>4</v>
      </c>
      <c r="P83" s="15">
        <f t="shared" si="36"/>
        <v>6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1</v>
      </c>
      <c r="E86" s="50">
        <v>2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1</v>
      </c>
      <c r="M86" s="50">
        <v>0</v>
      </c>
      <c r="N86" s="50"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1</v>
      </c>
      <c r="E89" s="50">
        <v>2</v>
      </c>
      <c r="F89" s="50">
        <v>1</v>
      </c>
      <c r="G89" s="50">
        <v>1</v>
      </c>
      <c r="H89" s="50">
        <v>1</v>
      </c>
      <c r="I89" s="50">
        <v>0</v>
      </c>
      <c r="J89" s="50">
        <v>0</v>
      </c>
      <c r="K89" s="50">
        <v>0</v>
      </c>
      <c r="L89" s="50">
        <v>1</v>
      </c>
      <c r="M89" s="50">
        <v>0</v>
      </c>
      <c r="N89" s="50">
        <v>0</v>
      </c>
      <c r="O89" s="15">
        <f t="shared" si="35"/>
        <v>7</v>
      </c>
      <c r="P89" s="15">
        <f t="shared" si="36"/>
        <v>7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1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1</v>
      </c>
      <c r="L95" s="50">
        <v>1</v>
      </c>
      <c r="M95" s="50">
        <v>0</v>
      </c>
      <c r="N95" s="50">
        <v>0</v>
      </c>
      <c r="O95" s="15">
        <f t="shared" si="35"/>
        <v>5</v>
      </c>
      <c r="P95" s="15">
        <f t="shared" si="36"/>
        <v>5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1</v>
      </c>
      <c r="G96" s="50">
        <v>0</v>
      </c>
      <c r="H96" s="50">
        <v>1</v>
      </c>
      <c r="I96" s="50">
        <v>0</v>
      </c>
      <c r="J96" s="50">
        <v>0</v>
      </c>
      <c r="K96" s="50">
        <v>1</v>
      </c>
      <c r="L96" s="50">
        <v>0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1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1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1</v>
      </c>
      <c r="E100" s="50">
        <v>2</v>
      </c>
      <c r="F100" s="50">
        <v>1</v>
      </c>
      <c r="G100" s="50">
        <v>0</v>
      </c>
      <c r="H100" s="50">
        <v>1</v>
      </c>
      <c r="I100" s="50">
        <v>0</v>
      </c>
      <c r="J100" s="50">
        <v>1</v>
      </c>
      <c r="K100" s="50">
        <v>0</v>
      </c>
      <c r="L100" s="50">
        <v>1</v>
      </c>
      <c r="M100" s="50">
        <v>1</v>
      </c>
      <c r="N100" s="50">
        <v>0</v>
      </c>
      <c r="O100" s="15">
        <f t="shared" si="35"/>
        <v>8</v>
      </c>
      <c r="P100" s="15">
        <f t="shared" si="36"/>
        <v>9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0</v>
      </c>
      <c r="N101" s="50"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1</v>
      </c>
      <c r="F102" s="50">
        <v>1</v>
      </c>
      <c r="G102" s="50">
        <v>0</v>
      </c>
      <c r="H102" s="50">
        <v>1</v>
      </c>
      <c r="I102" s="50">
        <v>0</v>
      </c>
      <c r="J102" s="50">
        <v>0</v>
      </c>
      <c r="K102" s="50">
        <v>0</v>
      </c>
      <c r="L102" s="50">
        <v>1</v>
      </c>
      <c r="M102" s="50">
        <v>1</v>
      </c>
      <c r="N102" s="50">
        <v>0</v>
      </c>
      <c r="O102" s="15">
        <f t="shared" si="35"/>
        <v>4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2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4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50">
        <v>2</v>
      </c>
      <c r="N104" s="50">
        <v>0</v>
      </c>
      <c r="O104" s="15">
        <f t="shared" si="35"/>
        <v>3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1</v>
      </c>
      <c r="M105" s="50">
        <v>2</v>
      </c>
      <c r="N105" s="50">
        <v>0</v>
      </c>
      <c r="O105" s="15">
        <f t="shared" si="35"/>
        <v>3</v>
      </c>
      <c r="P105" s="15">
        <f t="shared" si="36"/>
        <v>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60</v>
      </c>
      <c r="D106" s="16">
        <f t="shared" ref="D106:P106" si="37">SUM(D10:D105)</f>
        <v>22</v>
      </c>
      <c r="E106" s="16">
        <f t="shared" si="37"/>
        <v>116</v>
      </c>
      <c r="F106" s="16">
        <f t="shared" si="37"/>
        <v>47</v>
      </c>
      <c r="G106" s="16">
        <f t="shared" si="37"/>
        <v>2</v>
      </c>
      <c r="H106" s="16">
        <f t="shared" si="37"/>
        <v>15</v>
      </c>
      <c r="I106" s="16">
        <f t="shared" si="37"/>
        <v>11</v>
      </c>
      <c r="J106" s="16">
        <f t="shared" si="37"/>
        <v>40</v>
      </c>
      <c r="K106" s="16">
        <f t="shared" si="37"/>
        <v>14</v>
      </c>
      <c r="L106" s="16">
        <f t="shared" si="37"/>
        <v>85</v>
      </c>
      <c r="M106" s="16">
        <f t="shared" si="37"/>
        <v>251</v>
      </c>
      <c r="N106" s="16">
        <f t="shared" si="37"/>
        <v>10</v>
      </c>
      <c r="O106" s="16">
        <f t="shared" si="37"/>
        <v>422</v>
      </c>
      <c r="P106" s="16">
        <f t="shared" si="37"/>
        <v>673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8.9153046062407135E-2</v>
      </c>
      <c r="D107" s="43">
        <f t="shared" si="38"/>
        <v>3.2689450222882617E-2</v>
      </c>
      <c r="E107" s="43">
        <f t="shared" si="38"/>
        <v>0.17236255572065379</v>
      </c>
      <c r="F107" s="43">
        <f t="shared" si="38"/>
        <v>6.9836552748885589E-2</v>
      </c>
      <c r="G107" s="43">
        <f t="shared" si="38"/>
        <v>2.9717682020802376E-3</v>
      </c>
      <c r="H107" s="43">
        <f t="shared" si="38"/>
        <v>2.2288261515601784E-2</v>
      </c>
      <c r="I107" s="43">
        <f t="shared" si="38"/>
        <v>1.6344725111441308E-2</v>
      </c>
      <c r="J107" s="43">
        <f t="shared" si="38"/>
        <v>5.9435364041604752E-2</v>
      </c>
      <c r="K107" s="43">
        <f t="shared" si="38"/>
        <v>2.0802377414561663E-2</v>
      </c>
      <c r="L107" s="43">
        <f t="shared" si="38"/>
        <v>0.1263001485884101</v>
      </c>
      <c r="M107" s="43">
        <f t="shared" si="38"/>
        <v>0.37295690936106984</v>
      </c>
      <c r="N107" s="43">
        <f t="shared" si="38"/>
        <v>1.4858841010401188E-2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0.14218009478672985</v>
      </c>
      <c r="D108" s="44">
        <f t="shared" ref="D108:N108" si="39">D106/$O$106</f>
        <v>5.2132701421800945E-2</v>
      </c>
      <c r="E108" s="44">
        <f t="shared" si="39"/>
        <v>0.27488151658767773</v>
      </c>
      <c r="F108" s="44">
        <f t="shared" si="39"/>
        <v>0.11137440758293839</v>
      </c>
      <c r="G108" s="44">
        <f t="shared" si="39"/>
        <v>4.7393364928909956E-3</v>
      </c>
      <c r="H108" s="44">
        <f t="shared" si="39"/>
        <v>3.5545023696682464E-2</v>
      </c>
      <c r="I108" s="44">
        <f t="shared" si="39"/>
        <v>2.6066350710900472E-2</v>
      </c>
      <c r="J108" s="44">
        <f t="shared" si="39"/>
        <v>9.4786729857819899E-2</v>
      </c>
      <c r="K108" s="44">
        <f t="shared" si="39"/>
        <v>3.3175355450236969E-2</v>
      </c>
      <c r="L108" s="44">
        <f t="shared" si="39"/>
        <v>0.2014218009478673</v>
      </c>
      <c r="M108" s="44"/>
      <c r="N108" s="44">
        <f t="shared" si="39"/>
        <v>2.3696682464454975E-2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67" zoomScale="60" workbookViewId="0">
      <selection activeCell="E82" sqref="E8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'3.08 Pakwach-Karuma-24h'!D5</f>
        <v>27.07.19</v>
      </c>
      <c r="E5" s="3"/>
      <c r="F5" s="41" t="s">
        <v>1</v>
      </c>
      <c r="G5" s="66" t="str">
        <f>'3.08 Pakwach-Karuma-24h'!G5:H5</f>
        <v>xxx</v>
      </c>
      <c r="H5" s="67"/>
      <c r="I5" s="14"/>
      <c r="J5" s="2" t="s">
        <v>5</v>
      </c>
      <c r="K5" s="66" t="str">
        <f>'3.08 Pakwach-Karuma-24h'!K5:L5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'29.07 karuma-pakwach'!D6:E6</f>
        <v>karuma</v>
      </c>
      <c r="E6" s="67"/>
      <c r="F6" s="2" t="s">
        <v>2</v>
      </c>
      <c r="G6" s="66" t="str">
        <f>'29.07 karuma-pakwach'!G6:H6</f>
        <v>pakwach</v>
      </c>
      <c r="H6" s="67"/>
      <c r="J6" s="2" t="s">
        <v>21</v>
      </c>
      <c r="K6" s="66" t="str">
        <f>'3.08 Pakwach-Karuma-24h'!K6:L6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73" si="0">SUM(C10:L10,N10)</f>
        <v>4</v>
      </c>
      <c r="P10" s="15">
        <f t="shared" ref="P10:P73" si="1">SUM(C10:N10)</f>
        <v>9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2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1</v>
      </c>
      <c r="AB10" s="17">
        <f t="shared" si="2"/>
        <v>4</v>
      </c>
      <c r="AC10" s="17">
        <f t="shared" si="2"/>
        <v>12</v>
      </c>
      <c r="AD10" s="17">
        <f t="shared" si="2"/>
        <v>0</v>
      </c>
      <c r="AE10" s="31">
        <f t="shared" si="2"/>
        <v>16</v>
      </c>
      <c r="AF10" s="31">
        <f t="shared" si="2"/>
        <v>28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4</v>
      </c>
      <c r="T11" s="17">
        <f t="shared" si="3"/>
        <v>1</v>
      </c>
      <c r="U11" s="17">
        <f t="shared" si="3"/>
        <v>8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11</v>
      </c>
      <c r="AD11" s="17">
        <f t="shared" si="3"/>
        <v>0</v>
      </c>
      <c r="AE11" s="31">
        <f t="shared" si="3"/>
        <v>18</v>
      </c>
      <c r="AF11" s="31">
        <f t="shared" si="3"/>
        <v>29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3</v>
      </c>
      <c r="M12" s="50">
        <v>3</v>
      </c>
      <c r="N12" s="50">
        <v>0</v>
      </c>
      <c r="O12" s="15">
        <f t="shared" si="0"/>
        <v>8</v>
      </c>
      <c r="P12" s="15">
        <f t="shared" si="1"/>
        <v>11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3</v>
      </c>
      <c r="V12" s="17">
        <f t="shared" si="4"/>
        <v>2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14</v>
      </c>
      <c r="AD12" s="17">
        <f t="shared" si="4"/>
        <v>0</v>
      </c>
      <c r="AE12" s="31">
        <f t="shared" si="4"/>
        <v>9</v>
      </c>
      <c r="AF12" s="31">
        <f t="shared" si="4"/>
        <v>23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1</v>
      </c>
      <c r="M13" s="50">
        <v>4</v>
      </c>
      <c r="N13" s="50">
        <v>0</v>
      </c>
      <c r="O13" s="15">
        <f t="shared" si="0"/>
        <v>2</v>
      </c>
      <c r="P13" s="15">
        <f t="shared" si="1"/>
        <v>6</v>
      </c>
      <c r="R13" s="1" t="s">
        <v>9</v>
      </c>
      <c r="S13" s="17">
        <f t="shared" ref="S13:AF13" si="5">SUM(C22:C25)</f>
        <v>5</v>
      </c>
      <c r="T13" s="17">
        <f t="shared" si="5"/>
        <v>1</v>
      </c>
      <c r="U13" s="17">
        <f t="shared" si="5"/>
        <v>7</v>
      </c>
      <c r="V13" s="17">
        <f t="shared" si="5"/>
        <v>4</v>
      </c>
      <c r="W13" s="17">
        <f t="shared" si="5"/>
        <v>1</v>
      </c>
      <c r="X13" s="17">
        <f t="shared" si="5"/>
        <v>2</v>
      </c>
      <c r="Y13" s="17">
        <f t="shared" si="5"/>
        <v>1</v>
      </c>
      <c r="Z13" s="17">
        <f t="shared" si="5"/>
        <v>4</v>
      </c>
      <c r="AA13" s="17">
        <f t="shared" si="5"/>
        <v>0</v>
      </c>
      <c r="AB13" s="17">
        <f t="shared" si="5"/>
        <v>2</v>
      </c>
      <c r="AC13" s="17">
        <f t="shared" si="5"/>
        <v>22</v>
      </c>
      <c r="AD13" s="17">
        <f t="shared" si="5"/>
        <v>0</v>
      </c>
      <c r="AE13" s="31">
        <f t="shared" si="5"/>
        <v>27</v>
      </c>
      <c r="AF13" s="31">
        <f t="shared" si="5"/>
        <v>49</v>
      </c>
    </row>
    <row r="14" spans="2:32" ht="23.1" customHeight="1" x14ac:dyDescent="0.25">
      <c r="B14" s="45" t="s">
        <v>41</v>
      </c>
      <c r="C14" s="50">
        <v>0</v>
      </c>
      <c r="D14" s="50">
        <v>1</v>
      </c>
      <c r="E14" s="50">
        <v>3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4</v>
      </c>
      <c r="P14" s="15">
        <f t="shared" si="1"/>
        <v>4</v>
      </c>
      <c r="R14" s="1" t="s">
        <v>10</v>
      </c>
      <c r="S14" s="17">
        <f t="shared" ref="S14:AF14" si="6">SUM(C26:C29)</f>
        <v>2</v>
      </c>
      <c r="T14" s="17">
        <f t="shared" si="6"/>
        <v>3</v>
      </c>
      <c r="U14" s="17">
        <f t="shared" si="6"/>
        <v>10</v>
      </c>
      <c r="V14" s="17">
        <f t="shared" si="6"/>
        <v>5</v>
      </c>
      <c r="W14" s="17">
        <f t="shared" si="6"/>
        <v>0</v>
      </c>
      <c r="X14" s="17">
        <f t="shared" si="6"/>
        <v>2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15</v>
      </c>
      <c r="AD14" s="17">
        <f t="shared" si="6"/>
        <v>0</v>
      </c>
      <c r="AE14" s="31">
        <f t="shared" si="6"/>
        <v>26</v>
      </c>
      <c r="AF14" s="31">
        <f t="shared" si="6"/>
        <v>41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3</v>
      </c>
      <c r="P15" s="15">
        <f t="shared" si="1"/>
        <v>9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2</v>
      </c>
      <c r="V15" s="17">
        <f t="shared" si="7"/>
        <v>0</v>
      </c>
      <c r="W15" s="17">
        <f t="shared" si="7"/>
        <v>1</v>
      </c>
      <c r="X15" s="17">
        <f t="shared" si="7"/>
        <v>2</v>
      </c>
      <c r="Y15" s="17">
        <f t="shared" si="7"/>
        <v>1</v>
      </c>
      <c r="Z15" s="17">
        <f t="shared" si="7"/>
        <v>1</v>
      </c>
      <c r="AA15" s="17">
        <f t="shared" si="7"/>
        <v>1</v>
      </c>
      <c r="AB15" s="17">
        <f t="shared" si="7"/>
        <v>2</v>
      </c>
      <c r="AC15" s="17">
        <f t="shared" si="7"/>
        <v>29</v>
      </c>
      <c r="AD15" s="17">
        <f t="shared" si="7"/>
        <v>0</v>
      </c>
      <c r="AE15" s="31">
        <f t="shared" si="7"/>
        <v>13</v>
      </c>
      <c r="AF15" s="31">
        <f t="shared" si="7"/>
        <v>42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2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5</v>
      </c>
      <c r="P16" s="15">
        <f t="shared" si="1"/>
        <v>9</v>
      </c>
      <c r="R16" s="1" t="s">
        <v>12</v>
      </c>
      <c r="S16" s="17">
        <f t="shared" ref="S16:AF16" si="8">SUM(C34:C37)</f>
        <v>4</v>
      </c>
      <c r="T16" s="17">
        <f t="shared" si="8"/>
        <v>0</v>
      </c>
      <c r="U16" s="17">
        <f t="shared" si="8"/>
        <v>3</v>
      </c>
      <c r="V16" s="17">
        <f t="shared" si="8"/>
        <v>5</v>
      </c>
      <c r="W16" s="17">
        <f t="shared" si="8"/>
        <v>0</v>
      </c>
      <c r="X16" s="17">
        <f t="shared" si="8"/>
        <v>1</v>
      </c>
      <c r="Y16" s="17">
        <f t="shared" si="8"/>
        <v>4</v>
      </c>
      <c r="Z16" s="17">
        <f t="shared" si="8"/>
        <v>0</v>
      </c>
      <c r="AA16" s="17">
        <f t="shared" si="8"/>
        <v>3</v>
      </c>
      <c r="AB16" s="17">
        <f t="shared" si="8"/>
        <v>3</v>
      </c>
      <c r="AC16" s="17">
        <f t="shared" si="8"/>
        <v>13</v>
      </c>
      <c r="AD16" s="17">
        <f t="shared" si="8"/>
        <v>0</v>
      </c>
      <c r="AE16" s="31">
        <f t="shared" si="8"/>
        <v>23</v>
      </c>
      <c r="AF16" s="31">
        <f t="shared" si="8"/>
        <v>36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2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1</v>
      </c>
      <c r="L17" s="50">
        <v>0</v>
      </c>
      <c r="M17" s="50">
        <v>1</v>
      </c>
      <c r="N17" s="50">
        <v>0</v>
      </c>
      <c r="O17" s="15">
        <f t="shared" si="0"/>
        <v>6</v>
      </c>
      <c r="P17" s="15">
        <f t="shared" si="1"/>
        <v>7</v>
      </c>
      <c r="R17" s="1" t="s">
        <v>13</v>
      </c>
      <c r="S17" s="17">
        <f t="shared" ref="S17:AF17" si="9">SUM(C38:C41)</f>
        <v>5</v>
      </c>
      <c r="T17" s="17">
        <f t="shared" si="9"/>
        <v>0</v>
      </c>
      <c r="U17" s="17">
        <f t="shared" si="9"/>
        <v>3</v>
      </c>
      <c r="V17" s="17">
        <f t="shared" si="9"/>
        <v>6</v>
      </c>
      <c r="W17" s="17">
        <f t="shared" si="9"/>
        <v>0</v>
      </c>
      <c r="X17" s="17">
        <f t="shared" si="9"/>
        <v>2</v>
      </c>
      <c r="Y17" s="17">
        <f t="shared" si="9"/>
        <v>6</v>
      </c>
      <c r="Z17" s="17">
        <f t="shared" si="9"/>
        <v>2</v>
      </c>
      <c r="AA17" s="17">
        <f t="shared" si="9"/>
        <v>4</v>
      </c>
      <c r="AB17" s="17">
        <f t="shared" si="9"/>
        <v>5</v>
      </c>
      <c r="AC17" s="17">
        <f t="shared" si="9"/>
        <v>16</v>
      </c>
      <c r="AD17" s="17">
        <f t="shared" si="9"/>
        <v>0</v>
      </c>
      <c r="AE17" s="31">
        <f t="shared" si="9"/>
        <v>33</v>
      </c>
      <c r="AF17" s="31">
        <f t="shared" si="9"/>
        <v>49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2</v>
      </c>
      <c r="T18" s="17">
        <f t="shared" si="10"/>
        <v>3</v>
      </c>
      <c r="U18" s="17">
        <f t="shared" si="10"/>
        <v>9</v>
      </c>
      <c r="V18" s="17">
        <f t="shared" si="10"/>
        <v>3</v>
      </c>
      <c r="W18" s="17">
        <f t="shared" si="10"/>
        <v>0</v>
      </c>
      <c r="X18" s="17">
        <f t="shared" si="10"/>
        <v>1</v>
      </c>
      <c r="Y18" s="17">
        <f t="shared" si="10"/>
        <v>4</v>
      </c>
      <c r="Z18" s="17">
        <f t="shared" si="10"/>
        <v>2</v>
      </c>
      <c r="AA18" s="17">
        <f t="shared" si="10"/>
        <v>0</v>
      </c>
      <c r="AB18" s="17">
        <f t="shared" si="10"/>
        <v>6</v>
      </c>
      <c r="AC18" s="17">
        <f t="shared" si="10"/>
        <v>7</v>
      </c>
      <c r="AD18" s="17">
        <f t="shared" si="10"/>
        <v>0</v>
      </c>
      <c r="AE18" s="31">
        <f t="shared" si="10"/>
        <v>30</v>
      </c>
      <c r="AF18" s="31">
        <f t="shared" si="10"/>
        <v>37</v>
      </c>
    </row>
    <row r="19" spans="2:32" ht="23.1" customHeight="1" x14ac:dyDescent="0.25">
      <c r="B19" s="45" t="s">
        <v>46</v>
      </c>
      <c r="C19" s="50">
        <v>0</v>
      </c>
      <c r="D19" s="50">
        <v>1</v>
      </c>
      <c r="E19" s="50">
        <v>3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4</v>
      </c>
      <c r="P19" s="15">
        <f t="shared" si="1"/>
        <v>5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4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6</v>
      </c>
      <c r="AC19" s="17">
        <f t="shared" si="11"/>
        <v>15</v>
      </c>
      <c r="AD19" s="17">
        <f t="shared" si="11"/>
        <v>0</v>
      </c>
      <c r="AE19" s="31">
        <f t="shared" si="11"/>
        <v>18</v>
      </c>
      <c r="AF19" s="31">
        <f t="shared" si="11"/>
        <v>33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2</v>
      </c>
      <c r="P20" s="15">
        <f t="shared" si="1"/>
        <v>7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6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1</v>
      </c>
      <c r="AB20" s="17">
        <f t="shared" si="12"/>
        <v>6</v>
      </c>
      <c r="AC20" s="17">
        <f t="shared" si="12"/>
        <v>12</v>
      </c>
      <c r="AD20" s="17">
        <f t="shared" si="12"/>
        <v>0</v>
      </c>
      <c r="AE20" s="31">
        <f t="shared" si="12"/>
        <v>25</v>
      </c>
      <c r="AF20" s="31">
        <f t="shared" si="12"/>
        <v>37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1</v>
      </c>
      <c r="P21" s="15">
        <f t="shared" si="1"/>
        <v>5</v>
      </c>
      <c r="R21" s="36" t="s">
        <v>20</v>
      </c>
      <c r="S21" s="34">
        <f t="shared" ref="S21:AF21" si="13">SUM(C54:C57)</f>
        <v>3</v>
      </c>
      <c r="T21" s="17">
        <f t="shared" si="13"/>
        <v>0</v>
      </c>
      <c r="U21" s="17">
        <f t="shared" si="13"/>
        <v>6</v>
      </c>
      <c r="V21" s="17">
        <f t="shared" si="13"/>
        <v>3</v>
      </c>
      <c r="W21" s="17">
        <f t="shared" si="13"/>
        <v>0</v>
      </c>
      <c r="X21" s="17">
        <f t="shared" si="13"/>
        <v>3</v>
      </c>
      <c r="Y21" s="17">
        <f t="shared" si="13"/>
        <v>1</v>
      </c>
      <c r="Z21" s="17">
        <f t="shared" si="13"/>
        <v>3</v>
      </c>
      <c r="AA21" s="17">
        <f t="shared" si="13"/>
        <v>0</v>
      </c>
      <c r="AB21" s="17">
        <f t="shared" si="13"/>
        <v>7</v>
      </c>
      <c r="AC21" s="17">
        <f t="shared" si="13"/>
        <v>17</v>
      </c>
      <c r="AD21" s="17">
        <f t="shared" si="13"/>
        <v>0</v>
      </c>
      <c r="AE21" s="31">
        <f t="shared" si="13"/>
        <v>26</v>
      </c>
      <c r="AF21" s="31">
        <f t="shared" si="13"/>
        <v>43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1</v>
      </c>
      <c r="F22" s="50">
        <v>2</v>
      </c>
      <c r="G22" s="50">
        <v>1</v>
      </c>
      <c r="H22" s="50">
        <v>1</v>
      </c>
      <c r="I22" s="50">
        <v>0</v>
      </c>
      <c r="J22" s="50">
        <v>1</v>
      </c>
      <c r="K22" s="50">
        <v>0</v>
      </c>
      <c r="L22" s="50">
        <v>0</v>
      </c>
      <c r="M22" s="50">
        <v>8</v>
      </c>
      <c r="N22" s="50">
        <v>0</v>
      </c>
      <c r="O22" s="15">
        <f t="shared" si="0"/>
        <v>6</v>
      </c>
      <c r="P22" s="15">
        <f t="shared" si="1"/>
        <v>14</v>
      </c>
      <c r="R22" s="36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4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2</v>
      </c>
      <c r="AA22" s="34">
        <f t="shared" si="14"/>
        <v>0</v>
      </c>
      <c r="AB22" s="34">
        <f t="shared" si="14"/>
        <v>4</v>
      </c>
      <c r="AC22" s="34">
        <f t="shared" si="14"/>
        <v>7</v>
      </c>
      <c r="AD22" s="34">
        <f t="shared" si="14"/>
        <v>0</v>
      </c>
      <c r="AE22" s="31">
        <f t="shared" si="14"/>
        <v>12</v>
      </c>
      <c r="AF22" s="31">
        <f t="shared" si="14"/>
        <v>19</v>
      </c>
    </row>
    <row r="23" spans="2:32" ht="23.1" customHeight="1" x14ac:dyDescent="0.25">
      <c r="B23" s="45" t="s">
        <v>50</v>
      </c>
      <c r="C23" s="50">
        <v>1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1</v>
      </c>
      <c r="M23" s="50">
        <v>6</v>
      </c>
      <c r="N23" s="50">
        <v>0</v>
      </c>
      <c r="O23" s="15">
        <f t="shared" si="0"/>
        <v>4</v>
      </c>
      <c r="P23" s="15">
        <f t="shared" si="1"/>
        <v>10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3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3</v>
      </c>
      <c r="AA23" s="34">
        <f t="shared" si="15"/>
        <v>0</v>
      </c>
      <c r="AB23" s="34">
        <f t="shared" si="15"/>
        <v>4</v>
      </c>
      <c r="AC23" s="34">
        <f t="shared" si="15"/>
        <v>8</v>
      </c>
      <c r="AD23" s="34">
        <f t="shared" si="15"/>
        <v>0</v>
      </c>
      <c r="AE23" s="31">
        <f t="shared" si="15"/>
        <v>12</v>
      </c>
      <c r="AF23" s="31">
        <f t="shared" si="15"/>
        <v>20</v>
      </c>
    </row>
    <row r="24" spans="2:32" ht="23.1" customHeight="1" x14ac:dyDescent="0.25">
      <c r="B24" s="45" t="s">
        <v>51</v>
      </c>
      <c r="C24" s="50">
        <v>3</v>
      </c>
      <c r="D24" s="50">
        <v>1</v>
      </c>
      <c r="E24" s="50">
        <v>4</v>
      </c>
      <c r="F24" s="50">
        <v>2</v>
      </c>
      <c r="G24" s="50">
        <v>0</v>
      </c>
      <c r="H24" s="50">
        <v>1</v>
      </c>
      <c r="I24" s="50">
        <v>0</v>
      </c>
      <c r="J24" s="50">
        <v>3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14</v>
      </c>
      <c r="P24" s="15">
        <f t="shared" si="1"/>
        <v>20</v>
      </c>
      <c r="R24" s="36" t="s">
        <v>148</v>
      </c>
      <c r="S24" s="34">
        <f>SUM(C66:C69)</f>
        <v>2</v>
      </c>
      <c r="T24" s="34">
        <f t="shared" ref="T24:AF24" si="16">SUM(D66:D69)</f>
        <v>0</v>
      </c>
      <c r="U24" s="34">
        <f t="shared" si="16"/>
        <v>3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2</v>
      </c>
      <c r="AC24" s="34">
        <f t="shared" si="16"/>
        <v>12</v>
      </c>
      <c r="AD24" s="34">
        <f t="shared" si="16"/>
        <v>0</v>
      </c>
      <c r="AE24" s="31">
        <f t="shared" si="16"/>
        <v>10</v>
      </c>
      <c r="AF24" s="31">
        <f t="shared" si="16"/>
        <v>22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2</v>
      </c>
      <c r="N25" s="50">
        <v>0</v>
      </c>
      <c r="O25" s="15">
        <f t="shared" si="0"/>
        <v>3</v>
      </c>
      <c r="P25" s="15">
        <f t="shared" si="1"/>
        <v>5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3</v>
      </c>
      <c r="AC25" s="34">
        <f t="shared" si="17"/>
        <v>6</v>
      </c>
      <c r="AD25" s="34">
        <f t="shared" si="17"/>
        <v>0</v>
      </c>
      <c r="AE25" s="31">
        <f t="shared" si="17"/>
        <v>10</v>
      </c>
      <c r="AF25" s="31">
        <f t="shared" si="17"/>
        <v>16</v>
      </c>
    </row>
    <row r="26" spans="2:32" ht="23.1" customHeight="1" x14ac:dyDescent="0.25">
      <c r="B26" s="45" t="s">
        <v>53</v>
      </c>
      <c r="C26" s="50">
        <v>1</v>
      </c>
      <c r="D26" s="50">
        <v>1</v>
      </c>
      <c r="E26" s="50">
        <v>4</v>
      </c>
      <c r="F26" s="50">
        <v>3</v>
      </c>
      <c r="G26" s="50">
        <v>0</v>
      </c>
      <c r="H26" s="50">
        <v>2</v>
      </c>
      <c r="I26" s="50">
        <v>1</v>
      </c>
      <c r="J26" s="50">
        <v>0</v>
      </c>
      <c r="K26" s="50">
        <v>0</v>
      </c>
      <c r="L26" s="50">
        <v>1</v>
      </c>
      <c r="M26" s="50">
        <v>6</v>
      </c>
      <c r="N26" s="50">
        <v>0</v>
      </c>
      <c r="O26" s="15">
        <f t="shared" si="0"/>
        <v>13</v>
      </c>
      <c r="P26" s="15">
        <f t="shared" si="1"/>
        <v>19</v>
      </c>
      <c r="R26" s="36" t="s">
        <v>150</v>
      </c>
      <c r="S26" s="34">
        <f>SUM(C74:C77)</f>
        <v>2</v>
      </c>
      <c r="T26" s="34">
        <f t="shared" ref="T26:AF26" si="18">SUM(D74:D77)</f>
        <v>1</v>
      </c>
      <c r="U26" s="34">
        <f t="shared" si="18"/>
        <v>5</v>
      </c>
      <c r="V26" s="34">
        <f t="shared" si="18"/>
        <v>3</v>
      </c>
      <c r="W26" s="34">
        <f t="shared" si="18"/>
        <v>1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3</v>
      </c>
      <c r="AD26" s="34">
        <f t="shared" si="18"/>
        <v>0</v>
      </c>
      <c r="AE26" s="31">
        <f t="shared" si="18"/>
        <v>16</v>
      </c>
      <c r="AF26" s="31">
        <f t="shared" si="18"/>
        <v>19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</v>
      </c>
      <c r="N27" s="50">
        <v>0</v>
      </c>
      <c r="O27" s="15">
        <f t="shared" si="0"/>
        <v>2</v>
      </c>
      <c r="P27" s="15">
        <f t="shared" si="1"/>
        <v>4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5</v>
      </c>
      <c r="AD27" s="34">
        <f t="shared" si="19"/>
        <v>0</v>
      </c>
      <c r="AE27" s="31">
        <f t="shared" si="19"/>
        <v>6</v>
      </c>
      <c r="AF27" s="31">
        <f t="shared" si="19"/>
        <v>11</v>
      </c>
    </row>
    <row r="28" spans="2:32" ht="23.1" customHeight="1" x14ac:dyDescent="0.25">
      <c r="B28" s="45" t="s">
        <v>55</v>
      </c>
      <c r="C28" s="50">
        <v>0</v>
      </c>
      <c r="D28" s="50">
        <v>2</v>
      </c>
      <c r="E28" s="50">
        <v>6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8</v>
      </c>
      <c r="P28" s="15">
        <f t="shared" si="1"/>
        <v>12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4</v>
      </c>
      <c r="AD28" s="34">
        <f t="shared" si="20"/>
        <v>0</v>
      </c>
      <c r="AE28" s="31">
        <f t="shared" si="20"/>
        <v>7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3</v>
      </c>
      <c r="P29" s="15">
        <f t="shared" si="1"/>
        <v>6</v>
      </c>
      <c r="R29" s="36" t="s">
        <v>153</v>
      </c>
      <c r="S29" s="34">
        <f>SUM(C86:C89)</f>
        <v>1</v>
      </c>
      <c r="T29" s="34">
        <f t="shared" ref="T29:AF29" si="21">SUM(D86:D89)</f>
        <v>2</v>
      </c>
      <c r="U29" s="34">
        <f t="shared" si="21"/>
        <v>5</v>
      </c>
      <c r="V29" s="34">
        <f t="shared" si="21"/>
        <v>3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16</v>
      </c>
      <c r="AF29" s="31">
        <f t="shared" si="21"/>
        <v>16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1</v>
      </c>
      <c r="I30" s="50">
        <v>0</v>
      </c>
      <c r="J30" s="50">
        <v>0</v>
      </c>
      <c r="K30" s="50">
        <v>1</v>
      </c>
      <c r="L30" s="50">
        <v>0</v>
      </c>
      <c r="M30" s="50">
        <v>7</v>
      </c>
      <c r="N30" s="50">
        <v>0</v>
      </c>
      <c r="O30" s="15">
        <f t="shared" si="0"/>
        <v>3</v>
      </c>
      <c r="P30" s="15">
        <f t="shared" si="1"/>
        <v>10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</v>
      </c>
      <c r="AF30" s="31">
        <f t="shared" si="22"/>
        <v>3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1</v>
      </c>
      <c r="I31" s="50">
        <v>0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2</v>
      </c>
      <c r="P31" s="15">
        <f t="shared" si="1"/>
        <v>12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11</v>
      </c>
      <c r="AF31" s="31">
        <f t="shared" si="23"/>
        <v>11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1</v>
      </c>
      <c r="M32" s="50">
        <v>5</v>
      </c>
      <c r="N32" s="50">
        <v>0</v>
      </c>
      <c r="O32" s="15">
        <f t="shared" si="0"/>
        <v>5</v>
      </c>
      <c r="P32" s="15">
        <f t="shared" si="1"/>
        <v>10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4</v>
      </c>
      <c r="V32" s="34">
        <f t="shared" si="24"/>
        <v>2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3</v>
      </c>
      <c r="AC32" s="34">
        <f t="shared" si="24"/>
        <v>1</v>
      </c>
      <c r="AD32" s="34">
        <f t="shared" si="24"/>
        <v>0</v>
      </c>
      <c r="AE32" s="31">
        <f t="shared" si="24"/>
        <v>15</v>
      </c>
      <c r="AF32" s="31">
        <f t="shared" si="24"/>
        <v>16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v>1</v>
      </c>
      <c r="M33" s="50">
        <v>7</v>
      </c>
      <c r="N33" s="50">
        <v>0</v>
      </c>
      <c r="O33" s="15">
        <f t="shared" si="0"/>
        <v>3</v>
      </c>
      <c r="P33" s="15">
        <f t="shared" si="1"/>
        <v>10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2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3</v>
      </c>
      <c r="AC33" s="34">
        <f t="shared" si="25"/>
        <v>8</v>
      </c>
      <c r="AD33" s="34">
        <f t="shared" si="25"/>
        <v>0</v>
      </c>
      <c r="AE33" s="31">
        <f t="shared" si="25"/>
        <v>13</v>
      </c>
      <c r="AF33" s="31">
        <f t="shared" si="25"/>
        <v>21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1</v>
      </c>
      <c r="M34" s="50">
        <v>3</v>
      </c>
      <c r="N34" s="50">
        <v>0</v>
      </c>
      <c r="O34" s="15">
        <f t="shared" si="0"/>
        <v>5</v>
      </c>
      <c r="P34" s="15">
        <f t="shared" si="1"/>
        <v>8</v>
      </c>
      <c r="R34" s="38" t="s">
        <v>90</v>
      </c>
      <c r="S34" s="39">
        <f t="shared" ref="S34:AF34" si="26">MAX(S10:S12)</f>
        <v>4</v>
      </c>
      <c r="T34" s="39">
        <f t="shared" si="26"/>
        <v>1</v>
      </c>
      <c r="U34" s="39">
        <f t="shared" si="26"/>
        <v>8</v>
      </c>
      <c r="V34" s="39">
        <f t="shared" si="26"/>
        <v>4</v>
      </c>
      <c r="W34" s="39">
        <f t="shared" si="26"/>
        <v>0</v>
      </c>
      <c r="X34" s="39">
        <f t="shared" si="26"/>
        <v>1</v>
      </c>
      <c r="Y34" s="39">
        <f t="shared" si="26"/>
        <v>2</v>
      </c>
      <c r="Z34" s="39">
        <f t="shared" si="26"/>
        <v>1</v>
      </c>
      <c r="AA34" s="39">
        <f t="shared" si="26"/>
        <v>1</v>
      </c>
      <c r="AB34" s="39">
        <f t="shared" si="26"/>
        <v>4</v>
      </c>
      <c r="AC34" s="39">
        <f t="shared" si="26"/>
        <v>14</v>
      </c>
      <c r="AD34" s="39">
        <f t="shared" si="26"/>
        <v>0</v>
      </c>
      <c r="AE34" s="40">
        <f t="shared" si="26"/>
        <v>18</v>
      </c>
      <c r="AF34" s="40">
        <f t="shared" si="26"/>
        <v>29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3</v>
      </c>
      <c r="P35" s="15">
        <f t="shared" si="1"/>
        <v>4</v>
      </c>
      <c r="R35" s="38" t="s">
        <v>91</v>
      </c>
      <c r="S35" s="39">
        <f t="shared" ref="S35:AF35" si="27">MAX(S13:S18)</f>
        <v>5</v>
      </c>
      <c r="T35" s="39">
        <f t="shared" si="27"/>
        <v>3</v>
      </c>
      <c r="U35" s="39">
        <f t="shared" si="27"/>
        <v>10</v>
      </c>
      <c r="V35" s="39">
        <f t="shared" si="27"/>
        <v>6</v>
      </c>
      <c r="W35" s="39">
        <f t="shared" si="27"/>
        <v>1</v>
      </c>
      <c r="X35" s="39">
        <f t="shared" si="27"/>
        <v>2</v>
      </c>
      <c r="Y35" s="39">
        <f t="shared" si="27"/>
        <v>6</v>
      </c>
      <c r="Z35" s="39">
        <f t="shared" si="27"/>
        <v>4</v>
      </c>
      <c r="AA35" s="39">
        <f t="shared" si="27"/>
        <v>4</v>
      </c>
      <c r="AB35" s="39">
        <f t="shared" si="27"/>
        <v>6</v>
      </c>
      <c r="AC35" s="39">
        <f t="shared" si="27"/>
        <v>29</v>
      </c>
      <c r="AD35" s="39">
        <f t="shared" si="27"/>
        <v>0</v>
      </c>
      <c r="AE35" s="40">
        <f t="shared" si="27"/>
        <v>33</v>
      </c>
      <c r="AF35" s="40">
        <f t="shared" si="27"/>
        <v>49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1</v>
      </c>
      <c r="F36" s="50">
        <v>0</v>
      </c>
      <c r="G36" s="50">
        <v>0</v>
      </c>
      <c r="H36" s="50">
        <v>1</v>
      </c>
      <c r="I36" s="50">
        <v>3</v>
      </c>
      <c r="J36" s="50">
        <v>0</v>
      </c>
      <c r="K36" s="50">
        <v>2</v>
      </c>
      <c r="L36" s="50">
        <v>0</v>
      </c>
      <c r="M36" s="50">
        <v>6</v>
      </c>
      <c r="N36" s="50">
        <v>0</v>
      </c>
      <c r="O36" s="15">
        <f t="shared" si="0"/>
        <v>8</v>
      </c>
      <c r="P36" s="15">
        <f t="shared" si="1"/>
        <v>14</v>
      </c>
      <c r="R36" s="38" t="s">
        <v>92</v>
      </c>
      <c r="S36" s="39">
        <f t="shared" ref="S36:AF36" si="28">MAX(S19:S21)</f>
        <v>3</v>
      </c>
      <c r="T36" s="39">
        <f t="shared" si="28"/>
        <v>1</v>
      </c>
      <c r="U36" s="39">
        <f t="shared" si="28"/>
        <v>6</v>
      </c>
      <c r="V36" s="39">
        <f t="shared" si="28"/>
        <v>4</v>
      </c>
      <c r="W36" s="39">
        <f t="shared" si="28"/>
        <v>0</v>
      </c>
      <c r="X36" s="39">
        <f t="shared" si="28"/>
        <v>3</v>
      </c>
      <c r="Y36" s="39">
        <f t="shared" si="28"/>
        <v>4</v>
      </c>
      <c r="Z36" s="39">
        <f t="shared" si="28"/>
        <v>3</v>
      </c>
      <c r="AA36" s="39">
        <f t="shared" si="28"/>
        <v>1</v>
      </c>
      <c r="AB36" s="39">
        <f t="shared" si="28"/>
        <v>7</v>
      </c>
      <c r="AC36" s="39">
        <f t="shared" si="28"/>
        <v>17</v>
      </c>
      <c r="AD36" s="39">
        <f t="shared" si="28"/>
        <v>0</v>
      </c>
      <c r="AE36" s="40">
        <f t="shared" si="28"/>
        <v>26</v>
      </c>
      <c r="AF36" s="40">
        <f t="shared" si="28"/>
        <v>43</v>
      </c>
    </row>
    <row r="37" spans="2:32" ht="23.1" customHeight="1" x14ac:dyDescent="0.25">
      <c r="B37" s="45" t="s">
        <v>64</v>
      </c>
      <c r="C37" s="50">
        <v>2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2</v>
      </c>
      <c r="M37" s="50">
        <v>3</v>
      </c>
      <c r="N37" s="50">
        <v>0</v>
      </c>
      <c r="O37" s="15">
        <f t="shared" si="0"/>
        <v>7</v>
      </c>
      <c r="P37" s="15">
        <f t="shared" si="1"/>
        <v>10</v>
      </c>
      <c r="R37" s="37" t="s">
        <v>85</v>
      </c>
      <c r="S37" s="35">
        <f t="shared" ref="S37:AF37" si="29">SUM(S10:S12)</f>
        <v>8</v>
      </c>
      <c r="T37" s="16">
        <f t="shared" si="29"/>
        <v>2</v>
      </c>
      <c r="U37" s="16">
        <f t="shared" si="29"/>
        <v>13</v>
      </c>
      <c r="V37" s="16">
        <f t="shared" si="29"/>
        <v>8</v>
      </c>
      <c r="W37" s="16">
        <f t="shared" si="29"/>
        <v>0</v>
      </c>
      <c r="X37" s="16">
        <f t="shared" si="29"/>
        <v>1</v>
      </c>
      <c r="Y37" s="16">
        <f t="shared" si="29"/>
        <v>4</v>
      </c>
      <c r="Z37" s="16">
        <f t="shared" si="29"/>
        <v>1</v>
      </c>
      <c r="AA37" s="16">
        <f t="shared" si="29"/>
        <v>2</v>
      </c>
      <c r="AB37" s="16">
        <f t="shared" si="29"/>
        <v>4</v>
      </c>
      <c r="AC37" s="16">
        <f t="shared" si="29"/>
        <v>37</v>
      </c>
      <c r="AD37" s="16">
        <f t="shared" si="29"/>
        <v>0</v>
      </c>
      <c r="AE37" s="32">
        <f t="shared" si="29"/>
        <v>43</v>
      </c>
      <c r="AF37" s="32">
        <f t="shared" si="29"/>
        <v>80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3</v>
      </c>
      <c r="L38" s="50">
        <v>0</v>
      </c>
      <c r="M38" s="50">
        <v>4</v>
      </c>
      <c r="N38" s="50">
        <v>0</v>
      </c>
      <c r="O38" s="15">
        <f t="shared" si="0"/>
        <v>8</v>
      </c>
      <c r="P38" s="15">
        <f t="shared" si="1"/>
        <v>12</v>
      </c>
      <c r="R38" s="28" t="s">
        <v>86</v>
      </c>
      <c r="S38" s="16">
        <f t="shared" ref="S38:AF38" si="30">SUM(S13:S18)</f>
        <v>21</v>
      </c>
      <c r="T38" s="16">
        <f t="shared" si="30"/>
        <v>7</v>
      </c>
      <c r="U38" s="16">
        <f t="shared" si="30"/>
        <v>34</v>
      </c>
      <c r="V38" s="16">
        <f t="shared" si="30"/>
        <v>23</v>
      </c>
      <c r="W38" s="16">
        <f t="shared" si="30"/>
        <v>2</v>
      </c>
      <c r="X38" s="16">
        <f t="shared" si="30"/>
        <v>10</v>
      </c>
      <c r="Y38" s="16">
        <f t="shared" si="30"/>
        <v>19</v>
      </c>
      <c r="Z38" s="16">
        <f t="shared" si="30"/>
        <v>9</v>
      </c>
      <c r="AA38" s="16">
        <f t="shared" si="30"/>
        <v>8</v>
      </c>
      <c r="AB38" s="16">
        <f t="shared" si="30"/>
        <v>19</v>
      </c>
      <c r="AC38" s="16">
        <f t="shared" si="30"/>
        <v>102</v>
      </c>
      <c r="AD38" s="16">
        <f t="shared" si="30"/>
        <v>0</v>
      </c>
      <c r="AE38" s="32">
        <f t="shared" si="30"/>
        <v>152</v>
      </c>
      <c r="AF38" s="32">
        <f t="shared" si="30"/>
        <v>254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1</v>
      </c>
      <c r="F39" s="50">
        <v>0</v>
      </c>
      <c r="G39" s="50">
        <v>0</v>
      </c>
      <c r="H39" s="50">
        <v>1</v>
      </c>
      <c r="I39" s="50">
        <v>2</v>
      </c>
      <c r="J39" s="50">
        <v>0</v>
      </c>
      <c r="K39" s="50">
        <v>0</v>
      </c>
      <c r="L39" s="50">
        <v>3</v>
      </c>
      <c r="M39" s="50">
        <v>4</v>
      </c>
      <c r="N39" s="50">
        <v>0</v>
      </c>
      <c r="O39" s="15">
        <f t="shared" si="0"/>
        <v>8</v>
      </c>
      <c r="P39" s="15">
        <f t="shared" si="1"/>
        <v>12</v>
      </c>
      <c r="R39" s="29" t="s">
        <v>87</v>
      </c>
      <c r="S39" s="16">
        <f t="shared" ref="S39:AF39" si="31">SUM(S19:S21)</f>
        <v>7</v>
      </c>
      <c r="T39" s="16">
        <f t="shared" si="31"/>
        <v>1</v>
      </c>
      <c r="U39" s="16">
        <f t="shared" si="31"/>
        <v>16</v>
      </c>
      <c r="V39" s="16">
        <f t="shared" si="31"/>
        <v>10</v>
      </c>
      <c r="W39" s="16">
        <f t="shared" si="31"/>
        <v>0</v>
      </c>
      <c r="X39" s="16">
        <f t="shared" si="31"/>
        <v>3</v>
      </c>
      <c r="Y39" s="16">
        <f t="shared" si="31"/>
        <v>8</v>
      </c>
      <c r="Z39" s="16">
        <f t="shared" si="31"/>
        <v>4</v>
      </c>
      <c r="AA39" s="16">
        <f t="shared" si="31"/>
        <v>1</v>
      </c>
      <c r="AB39" s="16">
        <f t="shared" si="31"/>
        <v>19</v>
      </c>
      <c r="AC39" s="16">
        <f t="shared" si="31"/>
        <v>44</v>
      </c>
      <c r="AD39" s="16">
        <f t="shared" si="31"/>
        <v>0</v>
      </c>
      <c r="AE39" s="32">
        <f t="shared" si="31"/>
        <v>69</v>
      </c>
      <c r="AF39" s="32">
        <f t="shared" si="31"/>
        <v>113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2</v>
      </c>
      <c r="M40" s="50">
        <v>5</v>
      </c>
      <c r="N40" s="50">
        <v>0</v>
      </c>
      <c r="O40" s="15">
        <f t="shared" si="0"/>
        <v>5</v>
      </c>
      <c r="P40" s="15">
        <f t="shared" si="1"/>
        <v>10</v>
      </c>
      <c r="R40" s="5" t="s">
        <v>17</v>
      </c>
      <c r="S40" s="16">
        <f t="shared" ref="S40:AF40" si="32">SUM(S10:S21)</f>
        <v>36</v>
      </c>
      <c r="T40" s="16">
        <f t="shared" si="32"/>
        <v>10</v>
      </c>
      <c r="U40" s="16">
        <f t="shared" si="32"/>
        <v>63</v>
      </c>
      <c r="V40" s="16">
        <f t="shared" si="32"/>
        <v>41</v>
      </c>
      <c r="W40" s="16">
        <f t="shared" si="32"/>
        <v>2</v>
      </c>
      <c r="X40" s="16">
        <f t="shared" si="32"/>
        <v>14</v>
      </c>
      <c r="Y40" s="16">
        <f t="shared" si="32"/>
        <v>31</v>
      </c>
      <c r="Z40" s="16">
        <f t="shared" si="32"/>
        <v>14</v>
      </c>
      <c r="AA40" s="16">
        <f t="shared" si="32"/>
        <v>11</v>
      </c>
      <c r="AB40" s="16">
        <f t="shared" si="32"/>
        <v>42</v>
      </c>
      <c r="AC40" s="16">
        <f t="shared" si="32"/>
        <v>183</v>
      </c>
      <c r="AD40" s="16">
        <f t="shared" si="32"/>
        <v>0</v>
      </c>
      <c r="AE40" s="32">
        <f t="shared" si="32"/>
        <v>264</v>
      </c>
      <c r="AF40" s="32">
        <f t="shared" si="32"/>
        <v>447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1</v>
      </c>
      <c r="F41" s="50">
        <v>5</v>
      </c>
      <c r="G41" s="50">
        <v>0</v>
      </c>
      <c r="H41" s="50">
        <v>1</v>
      </c>
      <c r="I41" s="50">
        <v>2</v>
      </c>
      <c r="J41" s="50">
        <v>2</v>
      </c>
      <c r="K41" s="50">
        <v>1</v>
      </c>
      <c r="L41" s="50">
        <v>0</v>
      </c>
      <c r="M41" s="50">
        <v>3</v>
      </c>
      <c r="N41" s="50">
        <v>0</v>
      </c>
      <c r="O41" s="15">
        <f t="shared" si="0"/>
        <v>12</v>
      </c>
      <c r="P41" s="15">
        <f t="shared" si="1"/>
        <v>15</v>
      </c>
      <c r="R41" s="5" t="s">
        <v>159</v>
      </c>
      <c r="S41" s="16">
        <f>SUM(S10:S33)</f>
        <v>55</v>
      </c>
      <c r="T41" s="16">
        <f t="shared" ref="T41:AF41" si="33">SUM(T10:T33)</f>
        <v>16</v>
      </c>
      <c r="U41" s="16">
        <f t="shared" si="33"/>
        <v>101</v>
      </c>
      <c r="V41" s="16">
        <f t="shared" si="33"/>
        <v>60</v>
      </c>
      <c r="W41" s="16">
        <f t="shared" si="33"/>
        <v>4</v>
      </c>
      <c r="X41" s="16">
        <f t="shared" si="33"/>
        <v>19</v>
      </c>
      <c r="Y41" s="16">
        <f t="shared" si="33"/>
        <v>35</v>
      </c>
      <c r="Z41" s="16">
        <f t="shared" si="33"/>
        <v>22</v>
      </c>
      <c r="AA41" s="16">
        <f t="shared" si="33"/>
        <v>13</v>
      </c>
      <c r="AB41" s="16">
        <f t="shared" si="33"/>
        <v>70</v>
      </c>
      <c r="AC41" s="16">
        <f t="shared" si="33"/>
        <v>237</v>
      </c>
      <c r="AD41" s="16">
        <f t="shared" si="33"/>
        <v>0</v>
      </c>
      <c r="AE41" s="32">
        <f t="shared" si="33"/>
        <v>395</v>
      </c>
      <c r="AF41" s="32">
        <f t="shared" si="33"/>
        <v>632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6</v>
      </c>
      <c r="P42" s="15">
        <f t="shared" si="1"/>
        <v>10</v>
      </c>
      <c r="R42" s="5" t="s">
        <v>160</v>
      </c>
      <c r="S42" s="48">
        <f>S41/S40</f>
        <v>1.5277777777777777</v>
      </c>
      <c r="T42" s="48">
        <f t="shared" ref="T42:AF42" si="34">T41/T40</f>
        <v>1.6</v>
      </c>
      <c r="U42" s="48">
        <f t="shared" si="34"/>
        <v>1.6031746031746033</v>
      </c>
      <c r="V42" s="48">
        <f t="shared" si="34"/>
        <v>1.4634146341463414</v>
      </c>
      <c r="W42" s="48">
        <f t="shared" si="34"/>
        <v>2</v>
      </c>
      <c r="X42" s="48">
        <f t="shared" si="34"/>
        <v>1.3571428571428572</v>
      </c>
      <c r="Y42" s="48">
        <f t="shared" si="34"/>
        <v>1.1290322580645162</v>
      </c>
      <c r="Z42" s="48">
        <f t="shared" si="34"/>
        <v>1.5714285714285714</v>
      </c>
      <c r="AA42" s="48">
        <f t="shared" si="34"/>
        <v>1.1818181818181819</v>
      </c>
      <c r="AB42" s="48">
        <f t="shared" si="34"/>
        <v>1.6666666666666667</v>
      </c>
      <c r="AC42" s="48">
        <f t="shared" si="34"/>
        <v>1.2950819672131149</v>
      </c>
      <c r="AD42" s="48" t="e">
        <f t="shared" si="34"/>
        <v>#DIV/0!</v>
      </c>
      <c r="AE42" s="48">
        <f t="shared" si="34"/>
        <v>1.4962121212121211</v>
      </c>
      <c r="AF42" s="48">
        <f t="shared" si="34"/>
        <v>1.4138702460850112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1</v>
      </c>
      <c r="M43" s="50">
        <v>1</v>
      </c>
      <c r="N43" s="50">
        <v>0</v>
      </c>
      <c r="O43" s="15">
        <f t="shared" si="0"/>
        <v>2</v>
      </c>
      <c r="P43" s="15">
        <f t="shared" si="1"/>
        <v>3</v>
      </c>
    </row>
    <row r="44" spans="2:32" ht="23.1" customHeight="1" x14ac:dyDescent="0.25">
      <c r="B44" s="47" t="s">
        <v>71</v>
      </c>
      <c r="C44" s="50">
        <v>0</v>
      </c>
      <c r="D44" s="50">
        <v>3</v>
      </c>
      <c r="E44" s="50">
        <v>7</v>
      </c>
      <c r="F44" s="50">
        <v>0</v>
      </c>
      <c r="G44" s="50">
        <v>0</v>
      </c>
      <c r="H44" s="50">
        <v>1</v>
      </c>
      <c r="I44" s="50">
        <v>0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11</v>
      </c>
      <c r="P44" s="15">
        <f t="shared" si="1"/>
        <v>12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1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5</v>
      </c>
      <c r="M45" s="50">
        <v>1</v>
      </c>
      <c r="N45" s="50">
        <v>0</v>
      </c>
      <c r="O45" s="15">
        <f t="shared" si="0"/>
        <v>11</v>
      </c>
      <c r="P45" s="15">
        <f t="shared" si="1"/>
        <v>12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3</v>
      </c>
      <c r="P46" s="15">
        <f t="shared" si="1"/>
        <v>6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1</v>
      </c>
      <c r="M47" s="50">
        <v>5</v>
      </c>
      <c r="N47" s="50">
        <v>0</v>
      </c>
      <c r="O47" s="15">
        <f t="shared" si="0"/>
        <v>3</v>
      </c>
      <c r="P47" s="15">
        <f t="shared" si="1"/>
        <v>8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2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3</v>
      </c>
      <c r="P48" s="15">
        <f t="shared" si="1"/>
        <v>5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1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5</v>
      </c>
      <c r="M49" s="50">
        <v>5</v>
      </c>
      <c r="N49" s="50">
        <v>0</v>
      </c>
      <c r="O49" s="15">
        <f t="shared" si="0"/>
        <v>9</v>
      </c>
      <c r="P49" s="15">
        <f t="shared" si="1"/>
        <v>14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1</v>
      </c>
      <c r="M50" s="50">
        <v>3</v>
      </c>
      <c r="N50" s="50">
        <v>0</v>
      </c>
      <c r="O50" s="15">
        <f t="shared" si="0"/>
        <v>3</v>
      </c>
      <c r="P50" s="15">
        <f t="shared" si="1"/>
        <v>6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2</v>
      </c>
      <c r="M51" s="50">
        <v>2</v>
      </c>
      <c r="N51" s="50">
        <v>0</v>
      </c>
      <c r="O51" s="15">
        <f t="shared" si="0"/>
        <v>4</v>
      </c>
      <c r="P51" s="15">
        <f t="shared" si="1"/>
        <v>6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3</v>
      </c>
      <c r="M52" s="50">
        <v>4</v>
      </c>
      <c r="N52" s="50">
        <v>0</v>
      </c>
      <c r="O52" s="15">
        <f t="shared" si="0"/>
        <v>9</v>
      </c>
      <c r="P52" s="15">
        <f t="shared" si="1"/>
        <v>13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1</v>
      </c>
      <c r="E53" s="50">
        <v>4</v>
      </c>
      <c r="F53" s="50">
        <v>1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9</v>
      </c>
      <c r="P53" s="15">
        <f t="shared" si="1"/>
        <v>12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1</v>
      </c>
      <c r="F54" s="50">
        <v>1</v>
      </c>
      <c r="G54" s="50">
        <v>0</v>
      </c>
      <c r="H54" s="50">
        <v>2</v>
      </c>
      <c r="I54" s="50">
        <v>0</v>
      </c>
      <c r="J54" s="50">
        <v>0</v>
      </c>
      <c r="K54" s="50">
        <v>0</v>
      </c>
      <c r="L54" s="50">
        <v>1</v>
      </c>
      <c r="M54" s="50">
        <v>4</v>
      </c>
      <c r="N54" s="50">
        <v>0</v>
      </c>
      <c r="O54" s="15">
        <f t="shared" si="0"/>
        <v>7</v>
      </c>
      <c r="P54" s="15">
        <f t="shared" si="1"/>
        <v>11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2</v>
      </c>
      <c r="F55" s="50">
        <v>1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4</v>
      </c>
      <c r="M55" s="50">
        <v>5</v>
      </c>
      <c r="N55" s="50">
        <v>0</v>
      </c>
      <c r="O55" s="15">
        <f t="shared" si="0"/>
        <v>8</v>
      </c>
      <c r="P55" s="15">
        <f t="shared" si="1"/>
        <v>13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1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2</v>
      </c>
      <c r="P56" s="15">
        <f t="shared" si="1"/>
        <v>4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2</v>
      </c>
      <c r="F57" s="50">
        <v>1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2</v>
      </c>
      <c r="M57" s="50">
        <v>6</v>
      </c>
      <c r="N57" s="50">
        <v>0</v>
      </c>
      <c r="O57" s="15">
        <f t="shared" si="0"/>
        <v>9</v>
      </c>
      <c r="P57" s="15">
        <f t="shared" si="1"/>
        <v>15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1</v>
      </c>
      <c r="M58" s="50">
        <v>2</v>
      </c>
      <c r="N58" s="50">
        <v>0</v>
      </c>
      <c r="O58" s="15">
        <f t="shared" si="0"/>
        <v>3</v>
      </c>
      <c r="P58" s="15">
        <f t="shared" si="1"/>
        <v>5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1</v>
      </c>
      <c r="M59" s="50">
        <v>2</v>
      </c>
      <c r="N59" s="50">
        <v>0</v>
      </c>
      <c r="O59" s="15">
        <f t="shared" si="0"/>
        <v>2</v>
      </c>
      <c r="P59" s="15">
        <f t="shared" si="1"/>
        <v>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1</v>
      </c>
      <c r="M60" s="50">
        <v>1</v>
      </c>
      <c r="N60" s="50">
        <v>0</v>
      </c>
      <c r="O60" s="15">
        <f t="shared" si="0"/>
        <v>4</v>
      </c>
      <c r="P60" s="15">
        <f t="shared" si="1"/>
        <v>5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1</v>
      </c>
      <c r="M61" s="50">
        <v>2</v>
      </c>
      <c r="N61" s="50">
        <v>0</v>
      </c>
      <c r="O61" s="15">
        <f t="shared" si="0"/>
        <v>3</v>
      </c>
      <c r="P61" s="15">
        <f t="shared" si="1"/>
        <v>5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1</v>
      </c>
      <c r="M62" s="50">
        <v>2</v>
      </c>
      <c r="N62" s="50">
        <v>0</v>
      </c>
      <c r="O62" s="15">
        <f t="shared" si="0"/>
        <v>2</v>
      </c>
      <c r="P62" s="15">
        <f t="shared" si="1"/>
        <v>4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1</v>
      </c>
      <c r="M63" s="50">
        <v>1</v>
      </c>
      <c r="N63" s="50">
        <v>0</v>
      </c>
      <c r="O63" s="15">
        <f t="shared" si="0"/>
        <v>4</v>
      </c>
      <c r="P63" s="15">
        <f t="shared" si="1"/>
        <v>5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1</v>
      </c>
      <c r="M64" s="50">
        <v>2</v>
      </c>
      <c r="N64" s="50">
        <v>0</v>
      </c>
      <c r="O64" s="15">
        <f t="shared" si="0"/>
        <v>3</v>
      </c>
      <c r="P64" s="15">
        <f t="shared" si="1"/>
        <v>5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1</v>
      </c>
      <c r="M65" s="50">
        <v>3</v>
      </c>
      <c r="N65" s="50">
        <v>0</v>
      </c>
      <c r="O65" s="15">
        <f t="shared" si="0"/>
        <v>3</v>
      </c>
      <c r="P65" s="15">
        <f t="shared" si="1"/>
        <v>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1</v>
      </c>
      <c r="M66" s="50">
        <v>3</v>
      </c>
      <c r="N66" s="50">
        <v>0</v>
      </c>
      <c r="O66" s="15">
        <f t="shared" si="0"/>
        <v>1</v>
      </c>
      <c r="P66" s="15">
        <f t="shared" si="1"/>
        <v>4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1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1</v>
      </c>
      <c r="P67" s="15">
        <f t="shared" si="1"/>
        <v>4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1</v>
      </c>
      <c r="F68" s="50">
        <v>1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1</v>
      </c>
      <c r="M68" s="50">
        <v>4</v>
      </c>
      <c r="N68" s="50">
        <v>0</v>
      </c>
      <c r="O68" s="15">
        <f t="shared" si="0"/>
        <v>5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1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3</v>
      </c>
      <c r="P69" s="15">
        <f t="shared" si="1"/>
        <v>5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1</v>
      </c>
      <c r="M70" s="50">
        <v>3</v>
      </c>
      <c r="N70" s="50">
        <v>0</v>
      </c>
      <c r="O70" s="15">
        <f t="shared" si="0"/>
        <v>3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1</v>
      </c>
      <c r="M71" s="50">
        <v>2</v>
      </c>
      <c r="N71" s="50">
        <v>0</v>
      </c>
      <c r="O71" s="15">
        <f t="shared" si="0"/>
        <v>2</v>
      </c>
      <c r="P71" s="15">
        <f t="shared" si="1"/>
        <v>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1</v>
      </c>
      <c r="M72" s="50">
        <v>1</v>
      </c>
      <c r="N72" s="50">
        <v>0</v>
      </c>
      <c r="O72" s="15">
        <f t="shared" si="0"/>
        <v>3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1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2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1</v>
      </c>
      <c r="F75" s="50">
        <v>1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1</v>
      </c>
      <c r="M75" s="50">
        <v>2</v>
      </c>
      <c r="N75" s="50">
        <v>0</v>
      </c>
      <c r="O75" s="15">
        <f t="shared" si="35"/>
        <v>4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1</v>
      </c>
      <c r="M76" s="50">
        <v>0</v>
      </c>
      <c r="N76" s="50">
        <v>0</v>
      </c>
      <c r="O76" s="15">
        <f t="shared" si="35"/>
        <v>3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2</v>
      </c>
      <c r="F77" s="50">
        <v>1</v>
      </c>
      <c r="G77" s="50">
        <v>1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6</v>
      </c>
      <c r="P77" s="15">
        <f t="shared" si="36"/>
        <v>6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2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1</v>
      </c>
      <c r="M80" s="50">
        <v>0</v>
      </c>
      <c r="N80" s="50"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1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1</v>
      </c>
      <c r="N82" s="50"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1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1</v>
      </c>
      <c r="M83" s="50">
        <v>2</v>
      </c>
      <c r="N83" s="50">
        <v>0</v>
      </c>
      <c r="O83" s="15">
        <f t="shared" si="35"/>
        <v>4</v>
      </c>
      <c r="P83" s="15">
        <f t="shared" si="36"/>
        <v>6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1</v>
      </c>
      <c r="E86" s="50">
        <v>2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1</v>
      </c>
      <c r="M86" s="50">
        <v>0</v>
      </c>
      <c r="N86" s="50"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1</v>
      </c>
      <c r="E89" s="50">
        <v>2</v>
      </c>
      <c r="F89" s="50">
        <v>1</v>
      </c>
      <c r="G89" s="50">
        <v>1</v>
      </c>
      <c r="H89" s="50">
        <v>1</v>
      </c>
      <c r="I89" s="50">
        <v>0</v>
      </c>
      <c r="J89" s="50">
        <v>0</v>
      </c>
      <c r="K89" s="50">
        <v>0</v>
      </c>
      <c r="L89" s="50">
        <v>1</v>
      </c>
      <c r="M89" s="50">
        <v>0</v>
      </c>
      <c r="N89" s="50">
        <v>0</v>
      </c>
      <c r="O89" s="15">
        <f t="shared" si="35"/>
        <v>7</v>
      </c>
      <c r="P89" s="15">
        <f t="shared" si="36"/>
        <v>7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1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1</v>
      </c>
      <c r="L95" s="50">
        <v>1</v>
      </c>
      <c r="M95" s="50">
        <v>0</v>
      </c>
      <c r="N95" s="50">
        <v>0</v>
      </c>
      <c r="O95" s="15">
        <f t="shared" si="35"/>
        <v>5</v>
      </c>
      <c r="P95" s="15">
        <f t="shared" si="36"/>
        <v>5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1</v>
      </c>
      <c r="L96" s="50">
        <v>0</v>
      </c>
      <c r="M96" s="50">
        <v>0</v>
      </c>
      <c r="N96" s="50">
        <v>0</v>
      </c>
      <c r="O96" s="15">
        <f t="shared" si="35"/>
        <v>3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1</v>
      </c>
      <c r="M97" s="50">
        <v>0</v>
      </c>
      <c r="N97" s="50"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1</v>
      </c>
      <c r="E98" s="50">
        <v>1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3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1</v>
      </c>
      <c r="M99" s="50">
        <v>0</v>
      </c>
      <c r="N99" s="50">
        <v>0</v>
      </c>
      <c r="O99" s="15">
        <f t="shared" si="35"/>
        <v>3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1</v>
      </c>
      <c r="E100" s="50">
        <v>1</v>
      </c>
      <c r="F100" s="50">
        <v>1</v>
      </c>
      <c r="G100" s="50">
        <v>0</v>
      </c>
      <c r="H100" s="50">
        <v>1</v>
      </c>
      <c r="I100" s="50">
        <v>0</v>
      </c>
      <c r="J100" s="50">
        <v>1</v>
      </c>
      <c r="K100" s="50">
        <v>0</v>
      </c>
      <c r="L100" s="50">
        <v>1</v>
      </c>
      <c r="M100" s="50">
        <v>1</v>
      </c>
      <c r="N100" s="50">
        <v>0</v>
      </c>
      <c r="O100" s="15">
        <f t="shared" si="35"/>
        <v>7</v>
      </c>
      <c r="P100" s="15">
        <f t="shared" si="36"/>
        <v>8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0</v>
      </c>
      <c r="N101" s="50"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1</v>
      </c>
      <c r="G102" s="50">
        <v>0</v>
      </c>
      <c r="H102" s="50">
        <v>1</v>
      </c>
      <c r="I102" s="50">
        <v>0</v>
      </c>
      <c r="J102" s="50">
        <v>0</v>
      </c>
      <c r="K102" s="50">
        <v>0</v>
      </c>
      <c r="L102" s="50">
        <v>2</v>
      </c>
      <c r="M102" s="50">
        <v>1</v>
      </c>
      <c r="N102" s="50">
        <v>0</v>
      </c>
      <c r="O102" s="15">
        <f t="shared" si="35"/>
        <v>6</v>
      </c>
      <c r="P102" s="15">
        <f t="shared" si="36"/>
        <v>7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2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50">
        <v>2</v>
      </c>
      <c r="N104" s="50">
        <v>0</v>
      </c>
      <c r="O104" s="15">
        <f t="shared" si="35"/>
        <v>3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</v>
      </c>
      <c r="N105" s="50">
        <v>0</v>
      </c>
      <c r="O105" s="15">
        <f t="shared" si="35"/>
        <v>2</v>
      </c>
      <c r="P105" s="15">
        <f t="shared" si="36"/>
        <v>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55</v>
      </c>
      <c r="D106" s="16">
        <f t="shared" ref="D106:P106" si="37">SUM(D10:D105)</f>
        <v>16</v>
      </c>
      <c r="E106" s="16">
        <f t="shared" si="37"/>
        <v>101</v>
      </c>
      <c r="F106" s="16">
        <f t="shared" si="37"/>
        <v>60</v>
      </c>
      <c r="G106" s="16">
        <f t="shared" si="37"/>
        <v>4</v>
      </c>
      <c r="H106" s="16">
        <f t="shared" si="37"/>
        <v>19</v>
      </c>
      <c r="I106" s="16">
        <f t="shared" si="37"/>
        <v>35</v>
      </c>
      <c r="J106" s="16">
        <f t="shared" si="37"/>
        <v>22</v>
      </c>
      <c r="K106" s="16">
        <f t="shared" si="37"/>
        <v>13</v>
      </c>
      <c r="L106" s="16">
        <f t="shared" si="37"/>
        <v>70</v>
      </c>
      <c r="M106" s="16">
        <f t="shared" si="37"/>
        <v>237</v>
      </c>
      <c r="N106" s="16">
        <f t="shared" si="37"/>
        <v>0</v>
      </c>
      <c r="O106" s="16">
        <f t="shared" si="37"/>
        <v>395</v>
      </c>
      <c r="P106" s="16">
        <f t="shared" si="37"/>
        <v>632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8.7025316455696208E-2</v>
      </c>
      <c r="D107" s="43">
        <f t="shared" si="38"/>
        <v>2.5316455696202531E-2</v>
      </c>
      <c r="E107" s="43">
        <f t="shared" si="38"/>
        <v>0.15981012658227847</v>
      </c>
      <c r="F107" s="43">
        <f t="shared" si="38"/>
        <v>9.49367088607595E-2</v>
      </c>
      <c r="G107" s="43">
        <f t="shared" si="38"/>
        <v>6.3291139240506328E-3</v>
      </c>
      <c r="H107" s="43">
        <f t="shared" si="38"/>
        <v>3.0063291139240507E-2</v>
      </c>
      <c r="I107" s="43">
        <f t="shared" si="38"/>
        <v>5.5379746835443035E-2</v>
      </c>
      <c r="J107" s="43">
        <f t="shared" si="38"/>
        <v>3.4810126582278479E-2</v>
      </c>
      <c r="K107" s="43">
        <f t="shared" si="38"/>
        <v>2.0569620253164556E-2</v>
      </c>
      <c r="L107" s="43">
        <f t="shared" si="38"/>
        <v>0.11075949367088607</v>
      </c>
      <c r="M107" s="43">
        <f t="shared" si="38"/>
        <v>0.375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0.13924050632911392</v>
      </c>
      <c r="D108" s="44">
        <f t="shared" ref="D108:N108" si="39">D106/$O$106</f>
        <v>4.0506329113924051E-2</v>
      </c>
      <c r="E108" s="44">
        <f t="shared" si="39"/>
        <v>0.25569620253164554</v>
      </c>
      <c r="F108" s="44">
        <f t="shared" si="39"/>
        <v>0.15189873417721519</v>
      </c>
      <c r="G108" s="44">
        <f t="shared" si="39"/>
        <v>1.0126582278481013E-2</v>
      </c>
      <c r="H108" s="44">
        <f t="shared" si="39"/>
        <v>4.810126582278481E-2</v>
      </c>
      <c r="I108" s="44">
        <f t="shared" si="39"/>
        <v>8.8607594936708861E-2</v>
      </c>
      <c r="J108" s="44">
        <f t="shared" si="39"/>
        <v>5.5696202531645568E-2</v>
      </c>
      <c r="K108" s="44">
        <f t="shared" si="39"/>
        <v>3.2911392405063293E-2</v>
      </c>
      <c r="L108" s="44">
        <f t="shared" si="39"/>
        <v>0.17721518987341772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544A-9E57-43F4-A00E-8C509C98FCE7}">
  <dimension ref="B1:AF126"/>
  <sheetViews>
    <sheetView view="pageBreakPreview" topLeftCell="A49" zoomScale="60" workbookViewId="0">
      <selection activeCell="G15" sqref="G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Pakwach-Karuma'!C3:G3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6" t="str">
        <f>'31.07 karuma-pakwach'!G5:H5</f>
        <v>xxx</v>
      </c>
      <c r="H5" s="67"/>
      <c r="I5" s="14"/>
      <c r="J5" s="2" t="s">
        <v>5</v>
      </c>
      <c r="K5" s="66" t="str">
        <f>'31.07 karuma-pakwach'!K5:L5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167</v>
      </c>
      <c r="E6" s="67"/>
      <c r="F6" s="2" t="s">
        <v>2</v>
      </c>
      <c r="G6" s="66" t="s">
        <v>166</v>
      </c>
      <c r="H6" s="67"/>
      <c r="J6" s="2" t="s">
        <v>21</v>
      </c>
      <c r="K6" s="66" t="str">
        <f>'31.07 karuma-pakwach'!K6:L6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2</v>
      </c>
      <c r="N10" s="50">
        <v>0</v>
      </c>
      <c r="O10" s="15">
        <v>3</v>
      </c>
      <c r="P10" s="15">
        <f t="shared" ref="P10:P57" si="0">SUM(C10:N10)</f>
        <v>5</v>
      </c>
      <c r="R10" s="1" t="s">
        <v>6</v>
      </c>
      <c r="S10" s="17">
        <f t="shared" ref="S10:AF10" si="1">SUM(C10:C13)</f>
        <v>1</v>
      </c>
      <c r="T10" s="17">
        <f t="shared" si="1"/>
        <v>0</v>
      </c>
      <c r="U10" s="17">
        <f t="shared" si="1"/>
        <v>4</v>
      </c>
      <c r="V10" s="17">
        <f t="shared" si="1"/>
        <v>1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2</v>
      </c>
      <c r="AA10" s="17">
        <f t="shared" si="1"/>
        <v>0</v>
      </c>
      <c r="AB10" s="17">
        <f t="shared" si="1"/>
        <v>4</v>
      </c>
      <c r="AC10" s="17">
        <f t="shared" si="1"/>
        <v>9</v>
      </c>
      <c r="AD10" s="17">
        <f t="shared" si="1"/>
        <v>0</v>
      </c>
      <c r="AE10" s="31">
        <f t="shared" si="1"/>
        <v>12</v>
      </c>
      <c r="AF10" s="31">
        <f t="shared" si="1"/>
        <v>21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2</v>
      </c>
      <c r="N11" s="50">
        <v>0</v>
      </c>
      <c r="O11" s="15">
        <v>2</v>
      </c>
      <c r="P11" s="15">
        <f t="shared" si="0"/>
        <v>4</v>
      </c>
      <c r="R11" s="1" t="s">
        <v>7</v>
      </c>
      <c r="S11" s="17">
        <f t="shared" ref="S11:AF11" si="2">SUM(C14:C17)</f>
        <v>1</v>
      </c>
      <c r="T11" s="17">
        <f t="shared" si="2"/>
        <v>0</v>
      </c>
      <c r="U11" s="17">
        <f t="shared" si="2"/>
        <v>3</v>
      </c>
      <c r="V11" s="17">
        <f t="shared" si="2"/>
        <v>0</v>
      </c>
      <c r="W11" s="17">
        <f t="shared" si="2"/>
        <v>0</v>
      </c>
      <c r="X11" s="17">
        <f t="shared" si="2"/>
        <v>0</v>
      </c>
      <c r="Y11" s="17">
        <f t="shared" si="2"/>
        <v>1</v>
      </c>
      <c r="Z11" s="17">
        <f t="shared" si="2"/>
        <v>3</v>
      </c>
      <c r="AA11" s="17">
        <f t="shared" si="2"/>
        <v>0</v>
      </c>
      <c r="AB11" s="17">
        <f t="shared" si="2"/>
        <v>4</v>
      </c>
      <c r="AC11" s="17">
        <f t="shared" si="2"/>
        <v>9</v>
      </c>
      <c r="AD11" s="17">
        <f t="shared" si="2"/>
        <v>0</v>
      </c>
      <c r="AE11" s="31">
        <f t="shared" si="2"/>
        <v>12</v>
      </c>
      <c r="AF11" s="31">
        <f t="shared" si="2"/>
        <v>21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1</v>
      </c>
      <c r="M12" s="50">
        <v>3</v>
      </c>
      <c r="N12" s="50">
        <v>0</v>
      </c>
      <c r="O12" s="15">
        <v>4</v>
      </c>
      <c r="P12" s="15">
        <f t="shared" si="0"/>
        <v>7</v>
      </c>
      <c r="R12" s="1" t="s">
        <v>8</v>
      </c>
      <c r="S12" s="17">
        <f t="shared" ref="S12:AF12" si="3">SUM(C18:C21)</f>
        <v>2</v>
      </c>
      <c r="T12" s="17">
        <f t="shared" si="3"/>
        <v>0</v>
      </c>
      <c r="U12" s="17">
        <f t="shared" si="3"/>
        <v>3</v>
      </c>
      <c r="V12" s="17">
        <f t="shared" si="3"/>
        <v>2</v>
      </c>
      <c r="W12" s="17">
        <f t="shared" si="3"/>
        <v>0</v>
      </c>
      <c r="X12" s="17">
        <f t="shared" si="3"/>
        <v>0</v>
      </c>
      <c r="Y12" s="17">
        <f t="shared" si="3"/>
        <v>0</v>
      </c>
      <c r="Z12" s="17">
        <f t="shared" si="3"/>
        <v>1</v>
      </c>
      <c r="AA12" s="17">
        <f t="shared" si="3"/>
        <v>0</v>
      </c>
      <c r="AB12" s="17">
        <f t="shared" si="3"/>
        <v>2</v>
      </c>
      <c r="AC12" s="17">
        <f t="shared" si="3"/>
        <v>15</v>
      </c>
      <c r="AD12" s="17">
        <f t="shared" si="3"/>
        <v>0</v>
      </c>
      <c r="AE12" s="31">
        <f t="shared" si="3"/>
        <v>10</v>
      </c>
      <c r="AF12" s="31">
        <f t="shared" si="3"/>
        <v>25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1</v>
      </c>
      <c r="M13" s="50">
        <v>2</v>
      </c>
      <c r="N13" s="50">
        <v>0</v>
      </c>
      <c r="O13" s="15">
        <v>3</v>
      </c>
      <c r="P13" s="15">
        <f t="shared" si="0"/>
        <v>5</v>
      </c>
      <c r="R13" s="1" t="s">
        <v>9</v>
      </c>
      <c r="S13" s="17">
        <f t="shared" ref="S13:AF13" si="4">SUM(C22:C25)</f>
        <v>0</v>
      </c>
      <c r="T13" s="17">
        <f t="shared" si="4"/>
        <v>0</v>
      </c>
      <c r="U13" s="17">
        <f t="shared" si="4"/>
        <v>4</v>
      </c>
      <c r="V13" s="17">
        <f t="shared" si="4"/>
        <v>1</v>
      </c>
      <c r="W13" s="17">
        <f t="shared" si="4"/>
        <v>0</v>
      </c>
      <c r="X13" s="17">
        <f t="shared" si="4"/>
        <v>0</v>
      </c>
      <c r="Y13" s="17">
        <f t="shared" si="4"/>
        <v>1</v>
      </c>
      <c r="Z13" s="17">
        <f t="shared" si="4"/>
        <v>1</v>
      </c>
      <c r="AA13" s="17">
        <f t="shared" si="4"/>
        <v>0</v>
      </c>
      <c r="AB13" s="17">
        <f t="shared" si="4"/>
        <v>3</v>
      </c>
      <c r="AC13" s="17">
        <f t="shared" si="4"/>
        <v>12</v>
      </c>
      <c r="AD13" s="17">
        <f t="shared" si="4"/>
        <v>0</v>
      </c>
      <c r="AE13" s="31">
        <f t="shared" si="4"/>
        <v>10</v>
      </c>
      <c r="AF13" s="31">
        <f t="shared" si="4"/>
        <v>22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1</v>
      </c>
      <c r="M14" s="50">
        <v>2</v>
      </c>
      <c r="N14" s="50">
        <v>0</v>
      </c>
      <c r="O14" s="15">
        <v>2</v>
      </c>
      <c r="P14" s="15">
        <f t="shared" si="0"/>
        <v>4</v>
      </c>
      <c r="R14" s="1" t="s">
        <v>10</v>
      </c>
      <c r="S14" s="17">
        <f t="shared" ref="S14:AF14" si="5">SUM(C26:C29)</f>
        <v>2</v>
      </c>
      <c r="T14" s="17">
        <f t="shared" si="5"/>
        <v>1</v>
      </c>
      <c r="U14" s="17">
        <f t="shared" si="5"/>
        <v>5</v>
      </c>
      <c r="V14" s="17">
        <f t="shared" si="5"/>
        <v>3</v>
      </c>
      <c r="W14" s="17">
        <f t="shared" si="5"/>
        <v>1</v>
      </c>
      <c r="X14" s="17">
        <f t="shared" si="5"/>
        <v>0</v>
      </c>
      <c r="Y14" s="17">
        <f t="shared" si="5"/>
        <v>2</v>
      </c>
      <c r="Z14" s="17">
        <f t="shared" si="5"/>
        <v>0</v>
      </c>
      <c r="AA14" s="17">
        <f t="shared" si="5"/>
        <v>0</v>
      </c>
      <c r="AB14" s="17">
        <f t="shared" si="5"/>
        <v>2</v>
      </c>
      <c r="AC14" s="17">
        <f t="shared" si="5"/>
        <v>13</v>
      </c>
      <c r="AD14" s="17">
        <f t="shared" si="5"/>
        <v>0</v>
      </c>
      <c r="AE14" s="31">
        <f t="shared" si="5"/>
        <v>16</v>
      </c>
      <c r="AF14" s="31">
        <f t="shared" si="5"/>
        <v>29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1</v>
      </c>
      <c r="M15" s="50">
        <v>2</v>
      </c>
      <c r="N15" s="50">
        <v>0</v>
      </c>
      <c r="O15" s="15">
        <v>4</v>
      </c>
      <c r="P15" s="15">
        <f t="shared" si="0"/>
        <v>6</v>
      </c>
      <c r="R15" s="1" t="s">
        <v>11</v>
      </c>
      <c r="S15" s="17">
        <f t="shared" ref="S15:AF15" si="6">SUM(C30:C33)</f>
        <v>1</v>
      </c>
      <c r="T15" s="17">
        <f t="shared" si="6"/>
        <v>0</v>
      </c>
      <c r="U15" s="17">
        <f t="shared" si="6"/>
        <v>4</v>
      </c>
      <c r="V15" s="17">
        <f t="shared" si="6"/>
        <v>2</v>
      </c>
      <c r="W15" s="17">
        <f t="shared" si="6"/>
        <v>0</v>
      </c>
      <c r="X15" s="17">
        <f t="shared" si="6"/>
        <v>0</v>
      </c>
      <c r="Y15" s="17">
        <f t="shared" si="6"/>
        <v>0</v>
      </c>
      <c r="Z15" s="17">
        <f t="shared" si="6"/>
        <v>0</v>
      </c>
      <c r="AA15" s="17">
        <f t="shared" si="6"/>
        <v>0</v>
      </c>
      <c r="AB15" s="17">
        <f t="shared" si="6"/>
        <v>1</v>
      </c>
      <c r="AC15" s="17">
        <f t="shared" si="6"/>
        <v>10</v>
      </c>
      <c r="AD15" s="17">
        <f t="shared" si="6"/>
        <v>0</v>
      </c>
      <c r="AE15" s="31">
        <f t="shared" si="6"/>
        <v>8</v>
      </c>
      <c r="AF15" s="31">
        <f t="shared" si="6"/>
        <v>18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1</v>
      </c>
      <c r="M16" s="50">
        <v>2</v>
      </c>
      <c r="N16" s="50">
        <v>0</v>
      </c>
      <c r="O16" s="15">
        <v>3</v>
      </c>
      <c r="P16" s="15">
        <f t="shared" si="0"/>
        <v>5</v>
      </c>
      <c r="R16" s="1" t="s">
        <v>12</v>
      </c>
      <c r="S16" s="17">
        <f t="shared" ref="S16:AF16" si="7">SUM(C34:C37)</f>
        <v>1</v>
      </c>
      <c r="T16" s="17">
        <f t="shared" si="7"/>
        <v>0</v>
      </c>
      <c r="U16" s="17">
        <f t="shared" si="7"/>
        <v>4</v>
      </c>
      <c r="V16" s="17">
        <f t="shared" si="7"/>
        <v>1</v>
      </c>
      <c r="W16" s="17">
        <f t="shared" si="7"/>
        <v>0</v>
      </c>
      <c r="X16" s="17">
        <f t="shared" si="7"/>
        <v>0</v>
      </c>
      <c r="Y16" s="17">
        <f t="shared" si="7"/>
        <v>0</v>
      </c>
      <c r="Z16" s="17">
        <f t="shared" si="7"/>
        <v>0</v>
      </c>
      <c r="AA16" s="17">
        <f t="shared" si="7"/>
        <v>0</v>
      </c>
      <c r="AB16" s="17">
        <f t="shared" si="7"/>
        <v>2</v>
      </c>
      <c r="AC16" s="17">
        <f t="shared" si="7"/>
        <v>11</v>
      </c>
      <c r="AD16" s="17">
        <f t="shared" si="7"/>
        <v>0</v>
      </c>
      <c r="AE16" s="31">
        <f t="shared" si="7"/>
        <v>8</v>
      </c>
      <c r="AF16" s="31">
        <f t="shared" si="7"/>
        <v>19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1</v>
      </c>
      <c r="M17" s="50">
        <v>3</v>
      </c>
      <c r="N17" s="50">
        <v>0</v>
      </c>
      <c r="O17" s="15">
        <v>3</v>
      </c>
      <c r="P17" s="15">
        <f t="shared" si="0"/>
        <v>6</v>
      </c>
      <c r="R17" s="1" t="s">
        <v>13</v>
      </c>
      <c r="S17" s="17">
        <f t="shared" ref="S17:AF17" si="8">SUM(C38:C41)</f>
        <v>2</v>
      </c>
      <c r="T17" s="17">
        <f t="shared" si="8"/>
        <v>2</v>
      </c>
      <c r="U17" s="17">
        <f t="shared" si="8"/>
        <v>6</v>
      </c>
      <c r="V17" s="17">
        <f t="shared" si="8"/>
        <v>3</v>
      </c>
      <c r="W17" s="17">
        <f t="shared" si="8"/>
        <v>1</v>
      </c>
      <c r="X17" s="17">
        <f t="shared" si="8"/>
        <v>2</v>
      </c>
      <c r="Y17" s="17">
        <f t="shared" si="8"/>
        <v>0</v>
      </c>
      <c r="Z17" s="17">
        <f t="shared" si="8"/>
        <v>0</v>
      </c>
      <c r="AA17" s="17">
        <f t="shared" si="8"/>
        <v>0</v>
      </c>
      <c r="AB17" s="17">
        <f t="shared" si="8"/>
        <v>2</v>
      </c>
      <c r="AC17" s="17">
        <f t="shared" si="8"/>
        <v>11</v>
      </c>
      <c r="AD17" s="17">
        <f t="shared" si="8"/>
        <v>0</v>
      </c>
      <c r="AE17" s="31">
        <f t="shared" si="8"/>
        <v>18</v>
      </c>
      <c r="AF17" s="31">
        <f t="shared" si="8"/>
        <v>29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3</v>
      </c>
      <c r="N18" s="50">
        <v>0</v>
      </c>
      <c r="O18" s="15">
        <v>1</v>
      </c>
      <c r="P18" s="15">
        <f t="shared" si="0"/>
        <v>4</v>
      </c>
      <c r="R18" s="1" t="s">
        <v>14</v>
      </c>
      <c r="S18" s="17">
        <f t="shared" ref="S18:AF18" si="9">SUM(C42:C45)</f>
        <v>3</v>
      </c>
      <c r="T18" s="17">
        <f t="shared" si="9"/>
        <v>0</v>
      </c>
      <c r="U18" s="17">
        <f t="shared" si="9"/>
        <v>4</v>
      </c>
      <c r="V18" s="17">
        <f t="shared" si="9"/>
        <v>1</v>
      </c>
      <c r="W18" s="17">
        <f t="shared" si="9"/>
        <v>0</v>
      </c>
      <c r="X18" s="17">
        <f t="shared" si="9"/>
        <v>0</v>
      </c>
      <c r="Y18" s="17">
        <f t="shared" si="9"/>
        <v>0</v>
      </c>
      <c r="Z18" s="17">
        <f t="shared" si="9"/>
        <v>0</v>
      </c>
      <c r="AA18" s="17">
        <f t="shared" si="9"/>
        <v>0</v>
      </c>
      <c r="AB18" s="17">
        <f t="shared" si="9"/>
        <v>4</v>
      </c>
      <c r="AC18" s="17">
        <f t="shared" si="9"/>
        <v>10</v>
      </c>
      <c r="AD18" s="17">
        <f t="shared" si="9"/>
        <v>0</v>
      </c>
      <c r="AE18" s="31">
        <f t="shared" si="9"/>
        <v>12</v>
      </c>
      <c r="AF18" s="31">
        <f t="shared" si="9"/>
        <v>22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v>1</v>
      </c>
      <c r="P19" s="15">
        <f t="shared" si="0"/>
        <v>5</v>
      </c>
      <c r="R19" s="1" t="s">
        <v>15</v>
      </c>
      <c r="S19" s="17">
        <f t="shared" ref="S19:AF19" si="10">SUM(C46:C49)</f>
        <v>3</v>
      </c>
      <c r="T19" s="17">
        <f t="shared" si="10"/>
        <v>1</v>
      </c>
      <c r="U19" s="17">
        <f t="shared" si="10"/>
        <v>4</v>
      </c>
      <c r="V19" s="17">
        <f t="shared" si="10"/>
        <v>2</v>
      </c>
      <c r="W19" s="17">
        <f t="shared" si="10"/>
        <v>0</v>
      </c>
      <c r="X19" s="17">
        <f t="shared" si="10"/>
        <v>2</v>
      </c>
      <c r="Y19" s="17">
        <f t="shared" si="10"/>
        <v>0</v>
      </c>
      <c r="Z19" s="17">
        <f t="shared" si="10"/>
        <v>0</v>
      </c>
      <c r="AA19" s="17">
        <f t="shared" si="10"/>
        <v>2</v>
      </c>
      <c r="AB19" s="17">
        <f t="shared" si="10"/>
        <v>4</v>
      </c>
      <c r="AC19" s="17">
        <f t="shared" si="10"/>
        <v>13</v>
      </c>
      <c r="AD19" s="17">
        <f t="shared" si="10"/>
        <v>0</v>
      </c>
      <c r="AE19" s="31">
        <f t="shared" si="10"/>
        <v>18</v>
      </c>
      <c r="AF19" s="31">
        <f t="shared" si="10"/>
        <v>31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1</v>
      </c>
      <c r="M20" s="50">
        <v>4</v>
      </c>
      <c r="N20" s="50">
        <v>0</v>
      </c>
      <c r="O20" s="15">
        <v>5</v>
      </c>
      <c r="P20" s="15">
        <f t="shared" si="0"/>
        <v>9</v>
      </c>
      <c r="R20" s="1" t="s">
        <v>16</v>
      </c>
      <c r="S20" s="17">
        <f t="shared" ref="S20:AF20" si="11">SUM(C50:C53)</f>
        <v>4</v>
      </c>
      <c r="T20" s="17">
        <f t="shared" si="11"/>
        <v>3</v>
      </c>
      <c r="U20" s="17">
        <f t="shared" si="11"/>
        <v>8</v>
      </c>
      <c r="V20" s="17">
        <f t="shared" si="11"/>
        <v>3</v>
      </c>
      <c r="W20" s="17">
        <f t="shared" si="11"/>
        <v>0</v>
      </c>
      <c r="X20" s="17">
        <f t="shared" si="11"/>
        <v>2</v>
      </c>
      <c r="Y20" s="17">
        <f t="shared" si="11"/>
        <v>0</v>
      </c>
      <c r="Z20" s="17">
        <f t="shared" si="11"/>
        <v>1</v>
      </c>
      <c r="AA20" s="17">
        <f t="shared" si="11"/>
        <v>0</v>
      </c>
      <c r="AB20" s="17">
        <f t="shared" si="11"/>
        <v>2</v>
      </c>
      <c r="AC20" s="17">
        <f t="shared" si="11"/>
        <v>14</v>
      </c>
      <c r="AD20" s="17">
        <f t="shared" si="11"/>
        <v>0</v>
      </c>
      <c r="AE20" s="31">
        <f t="shared" si="11"/>
        <v>23</v>
      </c>
      <c r="AF20" s="31">
        <f t="shared" si="11"/>
        <v>37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1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v>3</v>
      </c>
      <c r="P21" s="15">
        <f t="shared" si="0"/>
        <v>7</v>
      </c>
      <c r="R21" s="36" t="s">
        <v>20</v>
      </c>
      <c r="S21" s="34">
        <f t="shared" ref="S21:AF21" si="12">SUM(C54:C57)</f>
        <v>1</v>
      </c>
      <c r="T21" s="17">
        <f t="shared" si="12"/>
        <v>0</v>
      </c>
      <c r="U21" s="17">
        <f t="shared" si="12"/>
        <v>5</v>
      </c>
      <c r="V21" s="17">
        <f t="shared" si="12"/>
        <v>1</v>
      </c>
      <c r="W21" s="17">
        <f t="shared" si="12"/>
        <v>0</v>
      </c>
      <c r="X21" s="17">
        <f t="shared" si="12"/>
        <v>1</v>
      </c>
      <c r="Y21" s="17">
        <f t="shared" si="12"/>
        <v>0</v>
      </c>
      <c r="Z21" s="17">
        <f t="shared" si="12"/>
        <v>0</v>
      </c>
      <c r="AA21" s="17">
        <f t="shared" si="12"/>
        <v>0</v>
      </c>
      <c r="AB21" s="17">
        <f t="shared" si="12"/>
        <v>3</v>
      </c>
      <c r="AC21" s="17">
        <f t="shared" si="12"/>
        <v>11</v>
      </c>
      <c r="AD21" s="17">
        <f t="shared" si="12"/>
        <v>0</v>
      </c>
      <c r="AE21" s="31">
        <f t="shared" si="12"/>
        <v>11</v>
      </c>
      <c r="AF21" s="31">
        <f t="shared" si="12"/>
        <v>22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50">
        <v>3</v>
      </c>
      <c r="N22" s="50">
        <v>0</v>
      </c>
      <c r="O22" s="15">
        <v>3</v>
      </c>
      <c r="P22" s="15">
        <f t="shared" si="0"/>
        <v>6</v>
      </c>
      <c r="R22" s="38" t="s">
        <v>90</v>
      </c>
      <c r="S22" s="39">
        <f>MAX(S10:S12)</f>
        <v>2</v>
      </c>
      <c r="T22" s="39">
        <f t="shared" ref="T22:AF22" si="13">MAX(T10:T12)</f>
        <v>0</v>
      </c>
      <c r="U22" s="39">
        <f t="shared" si="13"/>
        <v>4</v>
      </c>
      <c r="V22" s="39">
        <f t="shared" si="13"/>
        <v>2</v>
      </c>
      <c r="W22" s="39">
        <f t="shared" si="13"/>
        <v>0</v>
      </c>
      <c r="X22" s="39">
        <f t="shared" si="13"/>
        <v>0</v>
      </c>
      <c r="Y22" s="39">
        <f t="shared" si="13"/>
        <v>1</v>
      </c>
      <c r="Z22" s="39">
        <f t="shared" si="13"/>
        <v>3</v>
      </c>
      <c r="AA22" s="39">
        <f t="shared" si="13"/>
        <v>0</v>
      </c>
      <c r="AB22" s="39">
        <f t="shared" si="13"/>
        <v>4</v>
      </c>
      <c r="AC22" s="39">
        <f t="shared" si="13"/>
        <v>15</v>
      </c>
      <c r="AD22" s="39">
        <f t="shared" si="13"/>
        <v>0</v>
      </c>
      <c r="AE22" s="40">
        <f t="shared" si="13"/>
        <v>12</v>
      </c>
      <c r="AF22" s="40">
        <f t="shared" si="13"/>
        <v>25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</v>
      </c>
      <c r="M23" s="50">
        <v>3</v>
      </c>
      <c r="N23" s="50">
        <v>0</v>
      </c>
      <c r="O23" s="15">
        <v>2</v>
      </c>
      <c r="P23" s="15">
        <f t="shared" si="0"/>
        <v>5</v>
      </c>
      <c r="R23" s="38" t="s">
        <v>91</v>
      </c>
      <c r="S23" s="39">
        <f>MAX(S13:S18)</f>
        <v>3</v>
      </c>
      <c r="T23" s="39">
        <f t="shared" ref="T23:AF23" si="14">MAX(T13:T18)</f>
        <v>2</v>
      </c>
      <c r="U23" s="39">
        <f t="shared" si="14"/>
        <v>6</v>
      </c>
      <c r="V23" s="39">
        <f t="shared" si="14"/>
        <v>3</v>
      </c>
      <c r="W23" s="39">
        <f t="shared" si="14"/>
        <v>1</v>
      </c>
      <c r="X23" s="39">
        <f t="shared" si="14"/>
        <v>2</v>
      </c>
      <c r="Y23" s="39">
        <f t="shared" si="14"/>
        <v>2</v>
      </c>
      <c r="Z23" s="39">
        <f t="shared" si="14"/>
        <v>1</v>
      </c>
      <c r="AA23" s="39">
        <f t="shared" si="14"/>
        <v>0</v>
      </c>
      <c r="AB23" s="39">
        <f t="shared" si="14"/>
        <v>4</v>
      </c>
      <c r="AC23" s="39">
        <f t="shared" si="14"/>
        <v>13</v>
      </c>
      <c r="AD23" s="39">
        <f t="shared" si="14"/>
        <v>0</v>
      </c>
      <c r="AE23" s="40">
        <f t="shared" si="14"/>
        <v>18</v>
      </c>
      <c r="AF23" s="40">
        <f t="shared" si="14"/>
        <v>29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1</v>
      </c>
      <c r="M24" s="50">
        <v>3</v>
      </c>
      <c r="N24" s="50">
        <v>0</v>
      </c>
      <c r="O24" s="15">
        <v>3</v>
      </c>
      <c r="P24" s="15">
        <f t="shared" si="0"/>
        <v>6</v>
      </c>
      <c r="R24" s="38" t="s">
        <v>92</v>
      </c>
      <c r="S24" s="39">
        <f>MAX(S19:S21)</f>
        <v>4</v>
      </c>
      <c r="T24" s="39">
        <f t="shared" ref="T24:AF24" si="15">MAX(T19:T21)</f>
        <v>3</v>
      </c>
      <c r="U24" s="39">
        <f t="shared" si="15"/>
        <v>8</v>
      </c>
      <c r="V24" s="39">
        <f t="shared" si="15"/>
        <v>3</v>
      </c>
      <c r="W24" s="39">
        <f t="shared" si="15"/>
        <v>0</v>
      </c>
      <c r="X24" s="39">
        <f t="shared" si="15"/>
        <v>2</v>
      </c>
      <c r="Y24" s="39">
        <f t="shared" si="15"/>
        <v>0</v>
      </c>
      <c r="Z24" s="39">
        <f t="shared" si="15"/>
        <v>1</v>
      </c>
      <c r="AA24" s="39">
        <f t="shared" si="15"/>
        <v>2</v>
      </c>
      <c r="AB24" s="39">
        <f t="shared" si="15"/>
        <v>4</v>
      </c>
      <c r="AC24" s="39">
        <f t="shared" si="15"/>
        <v>14</v>
      </c>
      <c r="AD24" s="39">
        <f t="shared" si="15"/>
        <v>0</v>
      </c>
      <c r="AE24" s="40">
        <f t="shared" si="15"/>
        <v>23</v>
      </c>
      <c r="AF24" s="40">
        <f t="shared" si="15"/>
        <v>37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v>2</v>
      </c>
      <c r="P25" s="15">
        <f t="shared" si="0"/>
        <v>5</v>
      </c>
      <c r="R25" s="37" t="s">
        <v>85</v>
      </c>
      <c r="S25" s="35">
        <f t="shared" ref="S25:AF25" si="16">SUM(S10:S12)</f>
        <v>4</v>
      </c>
      <c r="T25" s="16">
        <f t="shared" si="16"/>
        <v>0</v>
      </c>
      <c r="U25" s="16">
        <f t="shared" si="16"/>
        <v>10</v>
      </c>
      <c r="V25" s="16">
        <f t="shared" si="16"/>
        <v>3</v>
      </c>
      <c r="W25" s="16">
        <f t="shared" si="16"/>
        <v>0</v>
      </c>
      <c r="X25" s="16">
        <f t="shared" si="16"/>
        <v>0</v>
      </c>
      <c r="Y25" s="16">
        <f t="shared" si="16"/>
        <v>1</v>
      </c>
      <c r="Z25" s="16">
        <f t="shared" si="16"/>
        <v>6</v>
      </c>
      <c r="AA25" s="16">
        <f t="shared" si="16"/>
        <v>0</v>
      </c>
      <c r="AB25" s="16">
        <f t="shared" si="16"/>
        <v>10</v>
      </c>
      <c r="AC25" s="16">
        <f t="shared" si="16"/>
        <v>33</v>
      </c>
      <c r="AD25" s="16">
        <f t="shared" si="16"/>
        <v>0</v>
      </c>
      <c r="AE25" s="32">
        <f t="shared" si="16"/>
        <v>34</v>
      </c>
      <c r="AF25" s="32">
        <f t="shared" si="16"/>
        <v>67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</v>
      </c>
      <c r="N26" s="50">
        <v>0</v>
      </c>
      <c r="O26" s="15">
        <v>3</v>
      </c>
      <c r="P26" s="15">
        <f t="shared" si="0"/>
        <v>6</v>
      </c>
      <c r="R26" s="28" t="s">
        <v>86</v>
      </c>
      <c r="S26" s="16">
        <f t="shared" ref="S26:AF26" si="17">SUM(S13:S18)</f>
        <v>9</v>
      </c>
      <c r="T26" s="16">
        <f t="shared" si="17"/>
        <v>3</v>
      </c>
      <c r="U26" s="16">
        <f t="shared" si="17"/>
        <v>27</v>
      </c>
      <c r="V26" s="16">
        <f t="shared" si="17"/>
        <v>11</v>
      </c>
      <c r="W26" s="16">
        <f t="shared" si="17"/>
        <v>2</v>
      </c>
      <c r="X26" s="16">
        <f t="shared" si="17"/>
        <v>2</v>
      </c>
      <c r="Y26" s="16">
        <f t="shared" si="17"/>
        <v>3</v>
      </c>
      <c r="Z26" s="16">
        <f t="shared" si="17"/>
        <v>1</v>
      </c>
      <c r="AA26" s="16">
        <f t="shared" si="17"/>
        <v>0</v>
      </c>
      <c r="AB26" s="16">
        <f t="shared" si="17"/>
        <v>14</v>
      </c>
      <c r="AC26" s="16">
        <f t="shared" si="17"/>
        <v>67</v>
      </c>
      <c r="AD26" s="16">
        <f t="shared" si="17"/>
        <v>0</v>
      </c>
      <c r="AE26" s="32">
        <f t="shared" si="17"/>
        <v>72</v>
      </c>
      <c r="AF26" s="32">
        <f t="shared" si="17"/>
        <v>139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1</v>
      </c>
      <c r="M27" s="50">
        <v>4</v>
      </c>
      <c r="N27" s="50">
        <v>0</v>
      </c>
      <c r="O27" s="15">
        <v>4</v>
      </c>
      <c r="P27" s="15">
        <f t="shared" si="0"/>
        <v>8</v>
      </c>
      <c r="R27" s="29" t="s">
        <v>87</v>
      </c>
      <c r="S27" s="16">
        <f t="shared" ref="S27:AF27" si="18">SUM(S19:S21)</f>
        <v>8</v>
      </c>
      <c r="T27" s="16">
        <f t="shared" si="18"/>
        <v>4</v>
      </c>
      <c r="U27" s="16">
        <f t="shared" si="18"/>
        <v>17</v>
      </c>
      <c r="V27" s="16">
        <f t="shared" si="18"/>
        <v>6</v>
      </c>
      <c r="W27" s="16">
        <f t="shared" si="18"/>
        <v>0</v>
      </c>
      <c r="X27" s="16">
        <f t="shared" si="18"/>
        <v>5</v>
      </c>
      <c r="Y27" s="16">
        <f t="shared" si="18"/>
        <v>0</v>
      </c>
      <c r="Z27" s="16">
        <f t="shared" si="18"/>
        <v>1</v>
      </c>
      <c r="AA27" s="16">
        <f t="shared" si="18"/>
        <v>2</v>
      </c>
      <c r="AB27" s="16">
        <f t="shared" si="18"/>
        <v>9</v>
      </c>
      <c r="AC27" s="16">
        <f t="shared" si="18"/>
        <v>38</v>
      </c>
      <c r="AD27" s="16">
        <f t="shared" si="18"/>
        <v>0</v>
      </c>
      <c r="AE27" s="32">
        <f t="shared" si="18"/>
        <v>52</v>
      </c>
      <c r="AF27" s="32">
        <f t="shared" si="18"/>
        <v>90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1</v>
      </c>
      <c r="M28" s="50">
        <v>3</v>
      </c>
      <c r="N28" s="50">
        <v>0</v>
      </c>
      <c r="O28" s="15">
        <v>3</v>
      </c>
      <c r="P28" s="15">
        <f t="shared" si="0"/>
        <v>6</v>
      </c>
      <c r="R28" s="5" t="s">
        <v>17</v>
      </c>
      <c r="S28" s="16">
        <f t="shared" ref="S28:AF28" si="19">SUM(S10:S21)</f>
        <v>21</v>
      </c>
      <c r="T28" s="16">
        <f t="shared" si="19"/>
        <v>7</v>
      </c>
      <c r="U28" s="16">
        <f t="shared" si="19"/>
        <v>54</v>
      </c>
      <c r="V28" s="16">
        <f t="shared" si="19"/>
        <v>20</v>
      </c>
      <c r="W28" s="16">
        <f t="shared" si="19"/>
        <v>2</v>
      </c>
      <c r="X28" s="16">
        <f t="shared" si="19"/>
        <v>7</v>
      </c>
      <c r="Y28" s="16">
        <f t="shared" si="19"/>
        <v>4</v>
      </c>
      <c r="Z28" s="16">
        <f t="shared" si="19"/>
        <v>8</v>
      </c>
      <c r="AA28" s="16">
        <f t="shared" si="19"/>
        <v>2</v>
      </c>
      <c r="AB28" s="16">
        <f t="shared" si="19"/>
        <v>33</v>
      </c>
      <c r="AC28" s="16">
        <f t="shared" si="19"/>
        <v>138</v>
      </c>
      <c r="AD28" s="16">
        <f t="shared" si="19"/>
        <v>0</v>
      </c>
      <c r="AE28" s="32">
        <f t="shared" si="19"/>
        <v>158</v>
      </c>
      <c r="AF28" s="32">
        <f t="shared" si="19"/>
        <v>296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2</v>
      </c>
      <c r="F29" s="50">
        <v>1</v>
      </c>
      <c r="G29" s="50">
        <v>1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v>6</v>
      </c>
      <c r="P29" s="15">
        <f t="shared" si="0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v>2</v>
      </c>
      <c r="P30" s="15">
        <f t="shared" si="0"/>
        <v>5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v>2</v>
      </c>
      <c r="P31" s="15">
        <f t="shared" si="0"/>
        <v>4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1</v>
      </c>
      <c r="M32" s="50">
        <v>3</v>
      </c>
      <c r="N32" s="50">
        <v>0</v>
      </c>
      <c r="O32" s="15">
        <v>3</v>
      </c>
      <c r="P32" s="15">
        <f t="shared" si="0"/>
        <v>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v>1</v>
      </c>
      <c r="P33" s="15">
        <f t="shared" si="0"/>
        <v>3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1</v>
      </c>
      <c r="M34" s="50">
        <v>4</v>
      </c>
      <c r="N34" s="50">
        <v>0</v>
      </c>
      <c r="O34" s="15">
        <v>2</v>
      </c>
      <c r="P34" s="15">
        <f t="shared" si="0"/>
        <v>6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1</v>
      </c>
      <c r="M35" s="50">
        <v>2</v>
      </c>
      <c r="N35" s="50">
        <v>0</v>
      </c>
      <c r="O35" s="15">
        <v>4</v>
      </c>
      <c r="P35" s="15">
        <f t="shared" si="0"/>
        <v>6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</v>
      </c>
      <c r="N36" s="50">
        <v>0</v>
      </c>
      <c r="O36" s="15">
        <v>1</v>
      </c>
      <c r="P36" s="15">
        <f t="shared" si="0"/>
        <v>3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v>1</v>
      </c>
      <c r="P37" s="15">
        <f t="shared" si="0"/>
        <v>4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2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1</v>
      </c>
      <c r="M38" s="50">
        <v>3</v>
      </c>
      <c r="N38" s="50">
        <v>0</v>
      </c>
      <c r="O38" s="15">
        <v>6</v>
      </c>
      <c r="P38" s="15">
        <f t="shared" si="0"/>
        <v>9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v>2</v>
      </c>
      <c r="P39" s="15">
        <f t="shared" si="0"/>
        <v>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3</v>
      </c>
      <c r="N40" s="50">
        <v>0</v>
      </c>
      <c r="O40" s="15">
        <v>2</v>
      </c>
      <c r="P40" s="15">
        <f t="shared" si="0"/>
        <v>5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2</v>
      </c>
      <c r="F41" s="50">
        <v>1</v>
      </c>
      <c r="G41" s="50">
        <v>1</v>
      </c>
      <c r="H41" s="50">
        <v>1</v>
      </c>
      <c r="I41" s="50">
        <v>0</v>
      </c>
      <c r="J41" s="50">
        <v>0</v>
      </c>
      <c r="K41" s="50">
        <v>0</v>
      </c>
      <c r="L41" s="50">
        <v>1</v>
      </c>
      <c r="M41" s="50">
        <v>3</v>
      </c>
      <c r="N41" s="50">
        <v>0</v>
      </c>
      <c r="O41" s="15">
        <v>8</v>
      </c>
      <c r="P41" s="15">
        <f t="shared" si="0"/>
        <v>11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1</v>
      </c>
      <c r="M42" s="50">
        <v>3</v>
      </c>
      <c r="N42" s="50">
        <v>0</v>
      </c>
      <c r="O42" s="15">
        <v>3</v>
      </c>
      <c r="P42" s="15">
        <f t="shared" si="0"/>
        <v>6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1</v>
      </c>
      <c r="M43" s="50">
        <v>3</v>
      </c>
      <c r="N43" s="50">
        <v>0</v>
      </c>
      <c r="O43" s="15">
        <v>3</v>
      </c>
      <c r="P43" s="15">
        <f t="shared" si="0"/>
        <v>6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1</v>
      </c>
      <c r="M44" s="50">
        <v>2</v>
      </c>
      <c r="N44" s="50">
        <v>0</v>
      </c>
      <c r="O44" s="15">
        <v>3</v>
      </c>
      <c r="P44" s="15">
        <f t="shared" si="0"/>
        <v>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1</v>
      </c>
      <c r="M45" s="50">
        <v>2</v>
      </c>
      <c r="N45" s="50">
        <v>0</v>
      </c>
      <c r="O45" s="15">
        <v>3</v>
      </c>
      <c r="P45" s="15">
        <f t="shared" si="0"/>
        <v>5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1</v>
      </c>
      <c r="M46" s="50">
        <v>3</v>
      </c>
      <c r="N46" s="50">
        <v>0</v>
      </c>
      <c r="O46" s="15">
        <v>3</v>
      </c>
      <c r="P46" s="15">
        <f t="shared" si="0"/>
        <v>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1</v>
      </c>
      <c r="F47" s="50">
        <v>0</v>
      </c>
      <c r="G47" s="50">
        <v>0</v>
      </c>
      <c r="H47" s="50">
        <v>1</v>
      </c>
      <c r="I47" s="50">
        <v>0</v>
      </c>
      <c r="J47" s="50">
        <v>0</v>
      </c>
      <c r="K47" s="50">
        <v>1</v>
      </c>
      <c r="L47" s="50">
        <v>1</v>
      </c>
      <c r="M47" s="50">
        <v>3</v>
      </c>
      <c r="N47" s="50">
        <v>0</v>
      </c>
      <c r="O47" s="15">
        <v>5</v>
      </c>
      <c r="P47" s="15">
        <f t="shared" si="0"/>
        <v>8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1</v>
      </c>
      <c r="F48" s="50">
        <v>1</v>
      </c>
      <c r="G48" s="50">
        <v>0</v>
      </c>
      <c r="H48" s="50">
        <v>1</v>
      </c>
      <c r="I48" s="50">
        <v>0</v>
      </c>
      <c r="J48" s="50">
        <v>0</v>
      </c>
      <c r="K48" s="50">
        <v>1</v>
      </c>
      <c r="L48" s="50">
        <v>1</v>
      </c>
      <c r="M48" s="50">
        <v>4</v>
      </c>
      <c r="N48" s="50">
        <v>0</v>
      </c>
      <c r="O48" s="15">
        <v>6</v>
      </c>
      <c r="P48" s="15">
        <f t="shared" si="0"/>
        <v>10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1</v>
      </c>
      <c r="M49" s="50">
        <v>3</v>
      </c>
      <c r="N49" s="50">
        <v>0</v>
      </c>
      <c r="O49" s="15">
        <v>4</v>
      </c>
      <c r="P49" s="15">
        <f t="shared" si="0"/>
        <v>7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2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v>5</v>
      </c>
      <c r="P50" s="15">
        <f t="shared" si="0"/>
        <v>9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2</v>
      </c>
      <c r="F51" s="50">
        <v>1</v>
      </c>
      <c r="G51" s="50">
        <v>0</v>
      </c>
      <c r="H51" s="50">
        <v>1</v>
      </c>
      <c r="I51" s="50">
        <v>0</v>
      </c>
      <c r="J51" s="50">
        <v>1</v>
      </c>
      <c r="K51" s="50">
        <v>0</v>
      </c>
      <c r="L51" s="50">
        <v>1</v>
      </c>
      <c r="M51" s="50">
        <v>3</v>
      </c>
      <c r="N51" s="50">
        <v>0</v>
      </c>
      <c r="O51" s="15">
        <v>7</v>
      </c>
      <c r="P51" s="15">
        <f t="shared" si="0"/>
        <v>10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1</v>
      </c>
      <c r="E52" s="50">
        <v>2</v>
      </c>
      <c r="F52" s="50">
        <v>1</v>
      </c>
      <c r="G52" s="50">
        <v>0</v>
      </c>
      <c r="H52" s="50">
        <v>1</v>
      </c>
      <c r="I52" s="50">
        <v>0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5">
        <v>6</v>
      </c>
      <c r="P52" s="15">
        <f t="shared" si="0"/>
        <v>9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1</v>
      </c>
      <c r="M53" s="50">
        <v>4</v>
      </c>
      <c r="N53" s="50">
        <v>0</v>
      </c>
      <c r="O53" s="15">
        <v>5</v>
      </c>
      <c r="P53" s="15">
        <f t="shared" si="0"/>
        <v>9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1</v>
      </c>
      <c r="I54" s="50">
        <v>0</v>
      </c>
      <c r="J54" s="50">
        <v>0</v>
      </c>
      <c r="K54" s="50">
        <v>0</v>
      </c>
      <c r="L54" s="50">
        <v>1</v>
      </c>
      <c r="M54" s="50">
        <v>4</v>
      </c>
      <c r="N54" s="50">
        <v>0</v>
      </c>
      <c r="O54" s="15">
        <v>4</v>
      </c>
      <c r="P54" s="15">
        <f t="shared" si="0"/>
        <v>8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</v>
      </c>
      <c r="N55" s="50">
        <v>0</v>
      </c>
      <c r="O55" s="15">
        <v>3</v>
      </c>
      <c r="P55" s="15">
        <f t="shared" si="0"/>
        <v>6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2</v>
      </c>
      <c r="N56" s="50">
        <v>0</v>
      </c>
      <c r="O56" s="15">
        <v>2</v>
      </c>
      <c r="P56" s="15">
        <f t="shared" si="0"/>
        <v>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1</v>
      </c>
      <c r="M57" s="50">
        <v>2</v>
      </c>
      <c r="N57" s="50">
        <v>0</v>
      </c>
      <c r="O57" s="15">
        <v>2</v>
      </c>
      <c r="P57" s="15">
        <f t="shared" si="0"/>
        <v>4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0">SUM(D10:D57)</f>
        <v>7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0"/>
        <v>33</v>
      </c>
      <c r="M58" s="16">
        <v>0</v>
      </c>
      <c r="N58" s="16">
        <v>0</v>
      </c>
      <c r="O58" s="16">
        <f t="shared" si="20"/>
        <v>158</v>
      </c>
      <c r="P58" s="16">
        <f t="shared" si="20"/>
        <v>296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L59" si="21">D58/$P$58</f>
        <v>2.364864864864865E-2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1"/>
        <v>0.11148648648648649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2">D58/$O$58</f>
        <v>4.4303797468354431E-2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2"/>
        <v>0.20886075949367089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33A1-A63C-49EF-B875-45D475A6AF32}">
  <dimension ref="B1:AF126"/>
  <sheetViews>
    <sheetView view="pageBreakPreview" topLeftCell="A40" zoomScale="60" workbookViewId="0">
      <selection activeCell="J18" sqref="J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'29.07 karuma-pakwach'!C3:G3</f>
        <v>MCC - C5 - STN115 - KARUMA-PAKWACH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6" t="str">
        <f>'01.08 pakwach-karuma'!G5:H5</f>
        <v>xxx</v>
      </c>
      <c r="H5" s="67"/>
      <c r="I5" s="14"/>
      <c r="J5" s="2" t="s">
        <v>5</v>
      </c>
      <c r="K5" s="66" t="str">
        <f>'01.08 pakwach-karuma'!K5:L5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166</v>
      </c>
      <c r="E6" s="67"/>
      <c r="F6" s="2" t="s">
        <v>2</v>
      </c>
      <c r="G6" s="66" t="s">
        <v>167</v>
      </c>
      <c r="H6" s="67"/>
      <c r="J6" s="2" t="s">
        <v>21</v>
      </c>
      <c r="K6" s="66" t="str">
        <f>'01.08 pakwach-karuma'!K6:L6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</v>
      </c>
      <c r="AD10" s="17">
        <f t="shared" si="2"/>
        <v>0</v>
      </c>
      <c r="AE10" s="31">
        <f t="shared" si="2"/>
        <v>0</v>
      </c>
      <c r="AF10" s="31">
        <f t="shared" si="2"/>
        <v>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</v>
      </c>
      <c r="AD11" s="17">
        <f t="shared" si="3"/>
        <v>0</v>
      </c>
      <c r="AE11" s="31">
        <f t="shared" si="3"/>
        <v>2</v>
      </c>
      <c r="AF11" s="31">
        <f t="shared" si="3"/>
        <v>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0</v>
      </c>
      <c r="P12" s="15">
        <f t="shared" si="1"/>
        <v>1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</v>
      </c>
      <c r="AD12" s="17">
        <f t="shared" si="4"/>
        <v>0</v>
      </c>
      <c r="AE12" s="31">
        <f t="shared" si="4"/>
        <v>1</v>
      </c>
      <c r="AF12" s="31">
        <f t="shared" si="4"/>
        <v>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0</v>
      </c>
      <c r="P13" s="15">
        <f t="shared" si="1"/>
        <v>1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1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</v>
      </c>
      <c r="AD13" s="17">
        <f t="shared" si="5"/>
        <v>0</v>
      </c>
      <c r="AE13" s="31">
        <f t="shared" si="5"/>
        <v>4</v>
      </c>
      <c r="AF13" s="31">
        <f t="shared" si="5"/>
        <v>9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0</v>
      </c>
      <c r="P14" s="15">
        <f t="shared" si="1"/>
        <v>1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1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</v>
      </c>
      <c r="AD14" s="17">
        <f t="shared" si="6"/>
        <v>0</v>
      </c>
      <c r="AE14" s="31">
        <f t="shared" si="6"/>
        <v>4</v>
      </c>
      <c r="AF14" s="31">
        <f t="shared" si="6"/>
        <v>8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0</v>
      </c>
      <c r="P15" s="15">
        <f t="shared" si="1"/>
        <v>1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</v>
      </c>
      <c r="AD15" s="17">
        <f t="shared" si="7"/>
        <v>0</v>
      </c>
      <c r="AE15" s="31">
        <f t="shared" si="7"/>
        <v>1</v>
      </c>
      <c r="AF15" s="31">
        <f t="shared" si="7"/>
        <v>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1</v>
      </c>
      <c r="P16" s="15">
        <f t="shared" si="1"/>
        <v>3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</v>
      </c>
      <c r="AD16" s="17">
        <f t="shared" si="8"/>
        <v>0</v>
      </c>
      <c r="AE16" s="31">
        <f t="shared" si="8"/>
        <v>5</v>
      </c>
      <c r="AF16" s="31">
        <f t="shared" si="8"/>
        <v>10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1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2</v>
      </c>
      <c r="AC17" s="17">
        <f t="shared" si="9"/>
        <v>6</v>
      </c>
      <c r="AD17" s="17">
        <f t="shared" si="9"/>
        <v>0</v>
      </c>
      <c r="AE17" s="31">
        <f t="shared" si="9"/>
        <v>6</v>
      </c>
      <c r="AF17" s="31">
        <f t="shared" si="9"/>
        <v>12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0</v>
      </c>
      <c r="P18" s="15">
        <f t="shared" si="1"/>
        <v>2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3</v>
      </c>
      <c r="AC18" s="17">
        <f t="shared" si="10"/>
        <v>6</v>
      </c>
      <c r="AD18" s="17">
        <f t="shared" si="10"/>
        <v>0</v>
      </c>
      <c r="AE18" s="31">
        <f t="shared" si="10"/>
        <v>7</v>
      </c>
      <c r="AF18" s="31">
        <f t="shared" si="10"/>
        <v>13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6</v>
      </c>
      <c r="AD19" s="17">
        <f t="shared" si="11"/>
        <v>0</v>
      </c>
      <c r="AE19" s="31">
        <f t="shared" si="11"/>
        <v>3</v>
      </c>
      <c r="AF19" s="31">
        <f t="shared" si="11"/>
        <v>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0</v>
      </c>
      <c r="P20" s="15">
        <f t="shared" si="1"/>
        <v>3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2</v>
      </c>
      <c r="AC20" s="17">
        <f t="shared" si="12"/>
        <v>5</v>
      </c>
      <c r="AD20" s="17">
        <f t="shared" si="12"/>
        <v>0</v>
      </c>
      <c r="AE20" s="31">
        <f t="shared" si="12"/>
        <v>4</v>
      </c>
      <c r="AF20" s="31">
        <f t="shared" si="12"/>
        <v>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1</v>
      </c>
      <c r="P21" s="15">
        <f t="shared" si="1"/>
        <v>3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</v>
      </c>
      <c r="AD21" s="17">
        <f t="shared" si="13"/>
        <v>0</v>
      </c>
      <c r="AE21" s="31">
        <f t="shared" si="13"/>
        <v>1</v>
      </c>
      <c r="AF21" s="31">
        <f t="shared" si="13"/>
        <v>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0</v>
      </c>
      <c r="P22" s="15">
        <f t="shared" si="1"/>
        <v>1</v>
      </c>
      <c r="R22" s="38" t="s">
        <v>90</v>
      </c>
      <c r="S22" s="39">
        <f>MAX(S10:S12)</f>
        <v>0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8</v>
      </c>
      <c r="AD22" s="39">
        <f t="shared" si="14"/>
        <v>0</v>
      </c>
      <c r="AE22" s="40">
        <f t="shared" si="14"/>
        <v>2</v>
      </c>
      <c r="AF22" s="40">
        <f t="shared" si="14"/>
        <v>9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1</v>
      </c>
      <c r="P23" s="15">
        <f t="shared" si="1"/>
        <v>3</v>
      </c>
      <c r="R23" s="38" t="s">
        <v>91</v>
      </c>
      <c r="S23" s="39">
        <f>MAX(S13:S18)</f>
        <v>2</v>
      </c>
      <c r="T23" s="39">
        <f t="shared" ref="T23:AF23" si="15">MAX(T13:T18)</f>
        <v>0</v>
      </c>
      <c r="U23" s="39">
        <f t="shared" si="15"/>
        <v>3</v>
      </c>
      <c r="V23" s="39">
        <f t="shared" si="15"/>
        <v>1</v>
      </c>
      <c r="W23" s="39">
        <f t="shared" si="15"/>
        <v>0</v>
      </c>
      <c r="X23" s="39">
        <f t="shared" si="15"/>
        <v>1</v>
      </c>
      <c r="Y23" s="39">
        <f t="shared" si="15"/>
        <v>1</v>
      </c>
      <c r="Z23" s="39">
        <f t="shared" si="15"/>
        <v>0</v>
      </c>
      <c r="AA23" s="39">
        <f t="shared" si="15"/>
        <v>0</v>
      </c>
      <c r="AB23" s="39">
        <f t="shared" si="15"/>
        <v>3</v>
      </c>
      <c r="AC23" s="39">
        <f t="shared" si="15"/>
        <v>6</v>
      </c>
      <c r="AD23" s="39">
        <f t="shared" si="15"/>
        <v>0</v>
      </c>
      <c r="AE23" s="40">
        <f t="shared" si="15"/>
        <v>7</v>
      </c>
      <c r="AF23" s="40">
        <f t="shared" si="15"/>
        <v>13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1</v>
      </c>
      <c r="P24" s="15">
        <f t="shared" si="1"/>
        <v>2</v>
      </c>
      <c r="R24" s="38" t="s">
        <v>92</v>
      </c>
      <c r="S24" s="39">
        <f>MAX(S19:S21)</f>
        <v>1</v>
      </c>
      <c r="T24" s="39">
        <f t="shared" ref="T24:AF24" si="16">MAX(T19:T21)</f>
        <v>0</v>
      </c>
      <c r="U24" s="39">
        <f t="shared" si="16"/>
        <v>1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0</v>
      </c>
      <c r="AA24" s="39">
        <f t="shared" si="16"/>
        <v>0</v>
      </c>
      <c r="AB24" s="39">
        <f t="shared" si="16"/>
        <v>2</v>
      </c>
      <c r="AC24" s="39">
        <f t="shared" si="16"/>
        <v>6</v>
      </c>
      <c r="AD24" s="39">
        <f t="shared" si="16"/>
        <v>0</v>
      </c>
      <c r="AE24" s="40">
        <f t="shared" si="16"/>
        <v>4</v>
      </c>
      <c r="AF24" s="40">
        <f t="shared" si="16"/>
        <v>9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1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2</v>
      </c>
      <c r="P25" s="15">
        <f t="shared" si="1"/>
        <v>3</v>
      </c>
      <c r="R25" s="37" t="s">
        <v>85</v>
      </c>
      <c r="S25" s="35">
        <f t="shared" ref="S25:AF25" si="17">SUM(S10:S12)</f>
        <v>0</v>
      </c>
      <c r="T25" s="16">
        <f t="shared" si="17"/>
        <v>0</v>
      </c>
      <c r="U25" s="16">
        <f t="shared" si="17"/>
        <v>2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17</v>
      </c>
      <c r="AD25" s="16">
        <f t="shared" si="17"/>
        <v>0</v>
      </c>
      <c r="AE25" s="32">
        <f t="shared" si="17"/>
        <v>3</v>
      </c>
      <c r="AF25" s="32">
        <f t="shared" si="17"/>
        <v>20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2</v>
      </c>
      <c r="P26" s="15">
        <f t="shared" si="1"/>
        <v>3</v>
      </c>
      <c r="R26" s="28" t="s">
        <v>86</v>
      </c>
      <c r="S26" s="16">
        <f t="shared" ref="S26:AF26" si="18">SUM(S13:S18)</f>
        <v>3</v>
      </c>
      <c r="T26" s="16">
        <f t="shared" si="18"/>
        <v>0</v>
      </c>
      <c r="U26" s="16">
        <f t="shared" si="18"/>
        <v>12</v>
      </c>
      <c r="V26" s="16">
        <f t="shared" si="18"/>
        <v>3</v>
      </c>
      <c r="W26" s="16">
        <f t="shared" si="18"/>
        <v>0</v>
      </c>
      <c r="X26" s="16">
        <f t="shared" si="18"/>
        <v>2</v>
      </c>
      <c r="Y26" s="16">
        <f t="shared" si="18"/>
        <v>2</v>
      </c>
      <c r="Z26" s="16">
        <f t="shared" si="18"/>
        <v>0</v>
      </c>
      <c r="AA26" s="16">
        <f t="shared" si="18"/>
        <v>0</v>
      </c>
      <c r="AB26" s="16">
        <f t="shared" si="18"/>
        <v>5</v>
      </c>
      <c r="AC26" s="16">
        <f t="shared" si="18"/>
        <v>31</v>
      </c>
      <c r="AD26" s="16">
        <f t="shared" si="18"/>
        <v>0</v>
      </c>
      <c r="AE26" s="32">
        <f t="shared" si="18"/>
        <v>27</v>
      </c>
      <c r="AF26" s="32">
        <f t="shared" si="18"/>
        <v>58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0</v>
      </c>
      <c r="P27" s="15">
        <f t="shared" si="1"/>
        <v>1</v>
      </c>
      <c r="R27" s="29" t="s">
        <v>87</v>
      </c>
      <c r="S27" s="16">
        <f t="shared" ref="S27:AF27" si="19">SUM(S19:S21)</f>
        <v>1</v>
      </c>
      <c r="T27" s="16">
        <f t="shared" si="19"/>
        <v>0</v>
      </c>
      <c r="U27" s="16">
        <f t="shared" si="19"/>
        <v>3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0</v>
      </c>
      <c r="AA27" s="16">
        <f t="shared" si="19"/>
        <v>0</v>
      </c>
      <c r="AB27" s="16">
        <f t="shared" si="19"/>
        <v>3</v>
      </c>
      <c r="AC27" s="16">
        <f t="shared" si="19"/>
        <v>15</v>
      </c>
      <c r="AD27" s="16">
        <f t="shared" si="19"/>
        <v>0</v>
      </c>
      <c r="AE27" s="32">
        <f t="shared" si="19"/>
        <v>8</v>
      </c>
      <c r="AF27" s="32">
        <f t="shared" si="19"/>
        <v>23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1</v>
      </c>
      <c r="P28" s="15">
        <f t="shared" si="1"/>
        <v>2</v>
      </c>
      <c r="R28" s="5" t="s">
        <v>17</v>
      </c>
      <c r="S28" s="16">
        <f t="shared" ref="S28:AF28" si="20">SUM(S10:S21)</f>
        <v>4</v>
      </c>
      <c r="T28" s="16">
        <f t="shared" si="20"/>
        <v>0</v>
      </c>
      <c r="U28" s="16">
        <f t="shared" si="20"/>
        <v>17</v>
      </c>
      <c r="V28" s="16">
        <f t="shared" si="20"/>
        <v>4</v>
      </c>
      <c r="W28" s="16">
        <f t="shared" si="20"/>
        <v>0</v>
      </c>
      <c r="X28" s="16">
        <f t="shared" si="20"/>
        <v>2</v>
      </c>
      <c r="Y28" s="16">
        <f t="shared" si="20"/>
        <v>3</v>
      </c>
      <c r="Z28" s="16">
        <f t="shared" si="20"/>
        <v>0</v>
      </c>
      <c r="AA28" s="16">
        <f t="shared" si="20"/>
        <v>0</v>
      </c>
      <c r="AB28" s="16">
        <f t="shared" si="20"/>
        <v>8</v>
      </c>
      <c r="AC28" s="16">
        <f t="shared" si="20"/>
        <v>63</v>
      </c>
      <c r="AD28" s="16">
        <f t="shared" si="20"/>
        <v>0</v>
      </c>
      <c r="AE28" s="32">
        <f t="shared" si="20"/>
        <v>38</v>
      </c>
      <c r="AF28" s="32">
        <f t="shared" si="20"/>
        <v>101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1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1</v>
      </c>
      <c r="P29" s="15">
        <f t="shared" si="1"/>
        <v>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0</v>
      </c>
      <c r="P30" s="15">
        <f t="shared" si="1"/>
        <v>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1</v>
      </c>
      <c r="P31" s="15">
        <f t="shared" si="1"/>
        <v>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0</v>
      </c>
      <c r="P33" s="15">
        <f t="shared" si="1"/>
        <v>2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0</v>
      </c>
      <c r="P34" s="15">
        <f t="shared" si="1"/>
        <v>2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2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2</v>
      </c>
      <c r="P36" s="15">
        <f t="shared" si="1"/>
        <v>3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15">
        <f t="shared" si="0"/>
        <v>1</v>
      </c>
      <c r="P37" s="15">
        <f t="shared" si="1"/>
        <v>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1</v>
      </c>
      <c r="M38" s="50">
        <v>2</v>
      </c>
      <c r="N38" s="50">
        <v>0</v>
      </c>
      <c r="O38" s="15">
        <f t="shared" si="0"/>
        <v>2</v>
      </c>
      <c r="P38" s="15">
        <f t="shared" si="1"/>
        <v>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1</v>
      </c>
      <c r="M39" s="50">
        <v>2</v>
      </c>
      <c r="N39" s="50">
        <v>0</v>
      </c>
      <c r="O39" s="15">
        <f t="shared" si="0"/>
        <v>1</v>
      </c>
      <c r="P39" s="15">
        <f t="shared" si="1"/>
        <v>3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1</v>
      </c>
      <c r="P40" s="15">
        <f t="shared" si="1"/>
        <v>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2</v>
      </c>
      <c r="P41" s="15">
        <f t="shared" si="1"/>
        <v>3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1</v>
      </c>
      <c r="M42" s="50">
        <v>2</v>
      </c>
      <c r="N42" s="50">
        <v>0</v>
      </c>
      <c r="O42" s="15">
        <f t="shared" si="0"/>
        <v>1</v>
      </c>
      <c r="P42" s="15">
        <f t="shared" si="1"/>
        <v>3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2</v>
      </c>
      <c r="P43" s="15">
        <f t="shared" si="1"/>
        <v>4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1</v>
      </c>
      <c r="M44" s="50">
        <v>1</v>
      </c>
      <c r="N44" s="50">
        <v>0</v>
      </c>
      <c r="O44" s="15">
        <f t="shared" si="0"/>
        <v>2</v>
      </c>
      <c r="P44" s="15">
        <f t="shared" si="1"/>
        <v>3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1</v>
      </c>
      <c r="M45" s="50">
        <v>1</v>
      </c>
      <c r="N45" s="50">
        <v>0</v>
      </c>
      <c r="O45" s="15">
        <f t="shared" si="0"/>
        <v>2</v>
      </c>
      <c r="P45" s="15">
        <f t="shared" si="1"/>
        <v>3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0</v>
      </c>
      <c r="P46" s="15">
        <f t="shared" si="1"/>
        <v>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0</v>
      </c>
      <c r="P47" s="15">
        <f t="shared" si="1"/>
        <v>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1</v>
      </c>
      <c r="P48" s="15">
        <f t="shared" si="1"/>
        <v>2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1</v>
      </c>
      <c r="M49" s="50">
        <v>2</v>
      </c>
      <c r="N49" s="50">
        <v>0</v>
      </c>
      <c r="O49" s="15">
        <f t="shared" si="0"/>
        <v>2</v>
      </c>
      <c r="P49" s="15">
        <f t="shared" si="1"/>
        <v>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0</v>
      </c>
      <c r="P50" s="15">
        <f t="shared" si="1"/>
        <v>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1</v>
      </c>
      <c r="N52" s="50">
        <v>0</v>
      </c>
      <c r="O52" s="15">
        <f t="shared" si="0"/>
        <v>1</v>
      </c>
      <c r="P52" s="15">
        <f t="shared" si="1"/>
        <v>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</v>
      </c>
      <c r="N53" s="50">
        <v>0</v>
      </c>
      <c r="O53" s="15">
        <f t="shared" si="0"/>
        <v>2</v>
      </c>
      <c r="P53" s="15">
        <f t="shared" si="1"/>
        <v>4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0</v>
      </c>
      <c r="P54" s="15">
        <f t="shared" si="1"/>
        <v>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0</v>
      </c>
      <c r="P56" s="15">
        <f t="shared" si="1"/>
        <v>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1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1">SUM(D10:D57)</f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f t="shared" si="21"/>
        <v>8</v>
      </c>
      <c r="M58" s="16">
        <v>0</v>
      </c>
      <c r="N58" s="16">
        <v>0</v>
      </c>
      <c r="O58" s="16">
        <f t="shared" si="21"/>
        <v>38</v>
      </c>
      <c r="P58" s="16">
        <f t="shared" si="21"/>
        <v>101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L59" si="22">D58/$P$58</f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2"/>
        <v>7.9207920792079209E-2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3">D58/$O$58</f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3"/>
        <v>0.21052631578947367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A82" zoomScale="60" workbookViewId="0">
      <selection activeCell="M86" sqref="M8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172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165</v>
      </c>
      <c r="E5" s="69"/>
      <c r="F5" s="41" t="s">
        <v>1</v>
      </c>
      <c r="G5" s="66" t="e">
        <f>#REF!</f>
        <v>#REF!</v>
      </c>
      <c r="H5" s="67"/>
      <c r="I5" s="14"/>
      <c r="J5" s="2" t="s">
        <v>5</v>
      </c>
      <c r="K5" s="66" t="e">
        <f>#REF!</f>
        <v>#REF!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174</v>
      </c>
      <c r="E6" s="67"/>
      <c r="F6" s="2" t="s">
        <v>2</v>
      </c>
      <c r="G6" s="66" t="s">
        <v>173</v>
      </c>
      <c r="H6" s="67"/>
      <c r="J6" s="2" t="s">
        <v>21</v>
      </c>
      <c r="K6" s="66" t="e">
        <f>#REF!</f>
        <v>#REF!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Pakwach-Karuma'!C10,'30.07.19 pakwach-karuma'!C10,'31.07 pakwach-karuma'!C10,'01.08 pakwach-karuma'!C10,'2.08 Pakwach-Karuma-24h'!C10,'3.08 Pakwach-Karuma-24h'!C10,'4.08 Pakwach-Karuma '!C10)</f>
        <v>1</v>
      </c>
      <c r="D10" s="49">
        <f>AVERAGE('29.07 Pakwach-Karuma'!D10,'30.07.19 pakwach-karuma'!D10,'31.07 pakwach-karuma'!D10,'01.08 pakwach-karuma'!D10,'2.08 Pakwach-Karuma-24h'!D10,'3.08 Pakwach-Karuma-24h'!D10,'4.08 Pakwach-Karuma '!D10)</f>
        <v>0.14285714285714285</v>
      </c>
      <c r="E10" s="49">
        <f>AVERAGE('29.07 Pakwach-Karuma'!E10,'30.07.19 pakwach-karuma'!E10,'31.07 pakwach-karuma'!E10,'01.08 pakwach-karuma'!E10,'2.08 Pakwach-Karuma-24h'!E10,'3.08 Pakwach-Karuma-24h'!E10,'4.08 Pakwach-Karuma '!E10)</f>
        <v>1.7142857142857142</v>
      </c>
      <c r="F10" s="49">
        <f>AVERAGE('29.07 Pakwach-Karuma'!F10,'30.07.19 pakwach-karuma'!F10,'31.07 pakwach-karuma'!F10,'01.08 pakwach-karuma'!F10,'2.08 Pakwach-Karuma-24h'!F10,'3.08 Pakwach-Karuma-24h'!F10,'4.08 Pakwach-Karuma '!F10)</f>
        <v>0.42857142857142855</v>
      </c>
      <c r="G10" s="49">
        <f>AVERAGE('29.07 Pakwach-Karuma'!G10,'30.07.19 pakwach-karuma'!G10,'31.07 pakwach-karuma'!G10,'01.08 pakwach-karuma'!G10,'2.08 Pakwach-Karuma-24h'!G10,'3.08 Pakwach-Karuma-24h'!G10,'4.08 Pakwach-Karuma '!G10)</f>
        <v>0</v>
      </c>
      <c r="H10" s="49">
        <f>AVERAGE('29.07 Pakwach-Karuma'!H10,'30.07.19 pakwach-karuma'!H10,'31.07 pakwach-karuma'!H10,'01.08 pakwach-karuma'!H10,'2.08 Pakwach-Karuma-24h'!H10,'3.08 Pakwach-Karuma-24h'!H10,'4.08 Pakwach-Karuma '!H10)</f>
        <v>0</v>
      </c>
      <c r="I10" s="49">
        <f>AVERAGE('29.07 Pakwach-Karuma'!I10,'30.07.19 pakwach-karuma'!I10,'31.07 pakwach-karuma'!I10,'01.08 pakwach-karuma'!I10,'2.08 Pakwach-Karuma-24h'!I10,'3.08 Pakwach-Karuma-24h'!I10,'4.08 Pakwach-Karuma '!I10)</f>
        <v>0.42857142857142855</v>
      </c>
      <c r="J10" s="49">
        <f>AVERAGE('29.07 Pakwach-Karuma'!J10,'30.07.19 pakwach-karuma'!J10,'31.07 pakwach-karuma'!J10,'01.08 pakwach-karuma'!J10,'2.08 Pakwach-Karuma-24h'!J10,'3.08 Pakwach-Karuma-24h'!J10,'4.08 Pakwach-Karuma '!J10)</f>
        <v>0.14285714285714285</v>
      </c>
      <c r="K10" s="49">
        <f>AVERAGE('29.07 Pakwach-Karuma'!K10,'30.07.19 pakwach-karuma'!K10,'31.07 pakwach-karuma'!K10,'01.08 pakwach-karuma'!K10,'2.08 Pakwach-Karuma-24h'!K10,'3.08 Pakwach-Karuma-24h'!K10,'4.08 Pakwach-Karuma '!K10)</f>
        <v>0</v>
      </c>
      <c r="L10" s="49">
        <f>AVERAGE('29.07 Pakwach-Karuma'!L10,'30.07.19 pakwach-karuma'!L10,'31.07 pakwach-karuma'!L10,'01.08 pakwach-karuma'!L10,'2.08 Pakwach-Karuma-24h'!L10,'3.08 Pakwach-Karuma-24h'!L10,'4.08 Pakwach-Karuma '!L10)</f>
        <v>1.2857142857142858</v>
      </c>
      <c r="M10" s="49">
        <f>AVERAGE('29.07 Pakwach-Karuma'!M10,'30.07.19 pakwach-karuma'!M10,'31.07 pakwach-karuma'!M10,'01.08 pakwach-karuma'!M10,'2.08 Pakwach-Karuma-24h'!M10,'3.08 Pakwach-Karuma-24h'!M10,'4.08 Pakwach-Karuma '!M10)</f>
        <v>2.8571428571428572</v>
      </c>
      <c r="N10" s="49">
        <f>AVERAGE('29.07 Pakwach-Karuma'!N10,'30.07.19 pakwach-karuma'!N10,'31.07 pakwach-karuma'!N10,'01.08 pakwach-karuma'!N10,'2.08 Pakwach-Karuma-24h'!N10,'3.08 Pakwach-Karuma-24h'!N10,'4.08 Pakwach-Karuma '!N10)</f>
        <v>0.42857142857142855</v>
      </c>
      <c r="O10" s="15">
        <f t="shared" ref="O10:O73" si="0">SUM(C10:L10,N10)</f>
        <v>5.5714285714285712</v>
      </c>
      <c r="P10" s="15">
        <f t="shared" ref="P10:P73" si="1">SUM(C10:N10)</f>
        <v>8.4285714285714288</v>
      </c>
      <c r="R10" s="1" t="s">
        <v>6</v>
      </c>
      <c r="S10" s="17">
        <f t="shared" ref="S10:AF10" si="2">SUM(C10:C13)</f>
        <v>2.4285714285714284</v>
      </c>
      <c r="T10" s="17">
        <f t="shared" si="2"/>
        <v>0.5714285714285714</v>
      </c>
      <c r="U10" s="17">
        <f t="shared" si="2"/>
        <v>5.5714285714285712</v>
      </c>
      <c r="V10" s="17">
        <f t="shared" si="2"/>
        <v>1.5714285714285712</v>
      </c>
      <c r="W10" s="17">
        <f t="shared" si="2"/>
        <v>0.14285714285714285</v>
      </c>
      <c r="X10" s="17">
        <f t="shared" si="2"/>
        <v>0</v>
      </c>
      <c r="Y10" s="17">
        <f t="shared" si="2"/>
        <v>0.42857142857142855</v>
      </c>
      <c r="Z10" s="17">
        <f t="shared" si="2"/>
        <v>2.7142857142857144</v>
      </c>
      <c r="AA10" s="17">
        <f t="shared" si="2"/>
        <v>1</v>
      </c>
      <c r="AB10" s="17">
        <f t="shared" si="2"/>
        <v>5.4285714285714288</v>
      </c>
      <c r="AC10" s="17">
        <f t="shared" si="2"/>
        <v>13.142857142857142</v>
      </c>
      <c r="AD10" s="17">
        <f t="shared" si="2"/>
        <v>1.2857142857142856</v>
      </c>
      <c r="AE10" s="31">
        <f t="shared" si="2"/>
        <v>21.142857142857142</v>
      </c>
      <c r="AF10" s="31">
        <f t="shared" si="2"/>
        <v>34.285714285714285</v>
      </c>
    </row>
    <row r="11" spans="2:32" s="6" customFormat="1" ht="23.1" customHeight="1" x14ac:dyDescent="0.25">
      <c r="B11" s="23" t="s">
        <v>38</v>
      </c>
      <c r="C11" s="49">
        <f>AVERAGE('29.07 Pakwach-Karuma'!C11,'30.07.19 pakwach-karuma'!C11,'31.07 pakwach-karuma'!C11,'01.08 pakwach-karuma'!C11,'2.08 Pakwach-Karuma-24h'!C11,'3.08 Pakwach-Karuma-24h'!C11,'4.08 Pakwach-Karuma '!C11)</f>
        <v>0.42857142857142855</v>
      </c>
      <c r="D11" s="49">
        <f>AVERAGE('29.07 Pakwach-Karuma'!D11,'30.07.19 pakwach-karuma'!D11,'31.07 pakwach-karuma'!D11,'01.08 pakwach-karuma'!D11,'2.08 Pakwach-Karuma-24h'!D11,'3.08 Pakwach-Karuma-24h'!D11,'4.08 Pakwach-Karuma '!D11)</f>
        <v>0.14285714285714285</v>
      </c>
      <c r="E11" s="49">
        <f>AVERAGE('29.07 Pakwach-Karuma'!E11,'30.07.19 pakwach-karuma'!E11,'31.07 pakwach-karuma'!E11,'01.08 pakwach-karuma'!E11,'2.08 Pakwach-Karuma-24h'!E11,'3.08 Pakwach-Karuma-24h'!E11,'4.08 Pakwach-Karuma '!E11)</f>
        <v>1</v>
      </c>
      <c r="F11" s="49">
        <f>AVERAGE('29.07 Pakwach-Karuma'!F11,'30.07.19 pakwach-karuma'!F11,'31.07 pakwach-karuma'!F11,'01.08 pakwach-karuma'!F11,'2.08 Pakwach-Karuma-24h'!F11,'3.08 Pakwach-Karuma-24h'!F11,'4.08 Pakwach-Karuma '!F11)</f>
        <v>0.2857142857142857</v>
      </c>
      <c r="G11" s="49">
        <f>AVERAGE('29.07 Pakwach-Karuma'!G11,'30.07.19 pakwach-karuma'!G11,'31.07 pakwach-karuma'!G11,'01.08 pakwach-karuma'!G11,'2.08 Pakwach-Karuma-24h'!G11,'3.08 Pakwach-Karuma-24h'!G11,'4.08 Pakwach-Karuma '!G11)</f>
        <v>0</v>
      </c>
      <c r="H11" s="49">
        <f>AVERAGE('29.07 Pakwach-Karuma'!H11,'30.07.19 pakwach-karuma'!H11,'31.07 pakwach-karuma'!H11,'01.08 pakwach-karuma'!H11,'2.08 Pakwach-Karuma-24h'!H11,'3.08 Pakwach-Karuma-24h'!H11,'4.08 Pakwach-Karuma '!H11)</f>
        <v>0</v>
      </c>
      <c r="I11" s="49">
        <f>AVERAGE('29.07 Pakwach-Karuma'!I11,'30.07.19 pakwach-karuma'!I11,'31.07 pakwach-karuma'!I11,'01.08 pakwach-karuma'!I11,'2.08 Pakwach-Karuma-24h'!I11,'3.08 Pakwach-Karuma-24h'!I11,'4.08 Pakwach-Karuma '!I11)</f>
        <v>0</v>
      </c>
      <c r="J11" s="49">
        <f>AVERAGE('29.07 Pakwach-Karuma'!J11,'30.07.19 pakwach-karuma'!J11,'31.07 pakwach-karuma'!J11,'01.08 pakwach-karuma'!J11,'2.08 Pakwach-Karuma-24h'!J11,'3.08 Pakwach-Karuma-24h'!J11,'4.08 Pakwach-Karuma '!J11)</f>
        <v>0.42857142857142855</v>
      </c>
      <c r="K11" s="49">
        <f>AVERAGE('29.07 Pakwach-Karuma'!K11,'30.07.19 pakwach-karuma'!K11,'31.07 pakwach-karuma'!K11,'01.08 pakwach-karuma'!K11,'2.08 Pakwach-Karuma-24h'!K11,'3.08 Pakwach-Karuma-24h'!K11,'4.08 Pakwach-Karuma '!K11)</f>
        <v>0.42857142857142855</v>
      </c>
      <c r="L11" s="49">
        <f>AVERAGE('29.07 Pakwach-Karuma'!L11,'30.07.19 pakwach-karuma'!L11,'31.07 pakwach-karuma'!L11,'01.08 pakwach-karuma'!L11,'2.08 Pakwach-Karuma-24h'!L11,'3.08 Pakwach-Karuma-24h'!L11,'4.08 Pakwach-Karuma '!L11)</f>
        <v>0.8571428571428571</v>
      </c>
      <c r="M11" s="49">
        <f>AVERAGE('29.07 Pakwach-Karuma'!M11,'30.07.19 pakwach-karuma'!M11,'31.07 pakwach-karuma'!M11,'01.08 pakwach-karuma'!M11,'2.08 Pakwach-Karuma-24h'!M11,'3.08 Pakwach-Karuma-24h'!M11,'4.08 Pakwach-Karuma '!M11)</f>
        <v>2.7142857142857144</v>
      </c>
      <c r="N11" s="49">
        <f>AVERAGE('29.07 Pakwach-Karuma'!N11,'30.07.19 pakwach-karuma'!N11,'31.07 pakwach-karuma'!N11,'01.08 pakwach-karuma'!N11,'2.08 Pakwach-Karuma-24h'!N11,'3.08 Pakwach-Karuma-24h'!N11,'4.08 Pakwach-Karuma '!N11)</f>
        <v>0</v>
      </c>
      <c r="O11" s="15">
        <f t="shared" si="0"/>
        <v>3.5714285714285712</v>
      </c>
      <c r="P11" s="15">
        <f t="shared" si="1"/>
        <v>6.2857142857142856</v>
      </c>
      <c r="R11" s="1" t="s">
        <v>7</v>
      </c>
      <c r="S11" s="17">
        <f t="shared" ref="S11:AF11" si="3">SUM(C14:C17)</f>
        <v>2.2857142857142856</v>
      </c>
      <c r="T11" s="17">
        <f t="shared" si="3"/>
        <v>0.5714285714285714</v>
      </c>
      <c r="U11" s="17">
        <f t="shared" si="3"/>
        <v>4.1428571428571423</v>
      </c>
      <c r="V11" s="17">
        <f t="shared" si="3"/>
        <v>0.5714285714285714</v>
      </c>
      <c r="W11" s="17">
        <f t="shared" si="3"/>
        <v>0.42857142857142855</v>
      </c>
      <c r="X11" s="17">
        <f t="shared" si="3"/>
        <v>0</v>
      </c>
      <c r="Y11" s="17">
        <f t="shared" si="3"/>
        <v>2.1428571428571428</v>
      </c>
      <c r="Z11" s="17">
        <f t="shared" si="3"/>
        <v>3.285714285714286</v>
      </c>
      <c r="AA11" s="17">
        <f t="shared" si="3"/>
        <v>1.5714285714285714</v>
      </c>
      <c r="AB11" s="17">
        <f t="shared" si="3"/>
        <v>6.2857142857142856</v>
      </c>
      <c r="AC11" s="17">
        <f t="shared" si="3"/>
        <v>12.714285714285715</v>
      </c>
      <c r="AD11" s="17">
        <f t="shared" si="3"/>
        <v>1</v>
      </c>
      <c r="AE11" s="31">
        <f t="shared" si="3"/>
        <v>22.285714285714285</v>
      </c>
      <c r="AF11" s="31">
        <f t="shared" si="3"/>
        <v>35</v>
      </c>
    </row>
    <row r="12" spans="2:32" ht="23.1" customHeight="1" x14ac:dyDescent="0.25">
      <c r="B12" s="23" t="s">
        <v>39</v>
      </c>
      <c r="C12" s="49">
        <f>AVERAGE('29.07 Pakwach-Karuma'!C12,'30.07.19 pakwach-karuma'!C12,'31.07 pakwach-karuma'!C12,'01.08 pakwach-karuma'!C12,'2.08 Pakwach-Karuma-24h'!C12,'3.08 Pakwach-Karuma-24h'!C12,'4.08 Pakwach-Karuma '!C12)</f>
        <v>0.5714285714285714</v>
      </c>
      <c r="D12" s="49">
        <f>AVERAGE('29.07 Pakwach-Karuma'!D12,'30.07.19 pakwach-karuma'!D12,'31.07 pakwach-karuma'!D12,'01.08 pakwach-karuma'!D12,'2.08 Pakwach-Karuma-24h'!D12,'3.08 Pakwach-Karuma-24h'!D12,'4.08 Pakwach-Karuma '!D12)</f>
        <v>0</v>
      </c>
      <c r="E12" s="49">
        <f>AVERAGE('29.07 Pakwach-Karuma'!E12,'30.07.19 pakwach-karuma'!E12,'31.07 pakwach-karuma'!E12,'01.08 pakwach-karuma'!E12,'2.08 Pakwach-Karuma-24h'!E12,'3.08 Pakwach-Karuma-24h'!E12,'4.08 Pakwach-Karuma '!E12)</f>
        <v>1.5714285714285714</v>
      </c>
      <c r="F12" s="49">
        <f>AVERAGE('29.07 Pakwach-Karuma'!F12,'30.07.19 pakwach-karuma'!F12,'31.07 pakwach-karuma'!F12,'01.08 pakwach-karuma'!F12,'2.08 Pakwach-Karuma-24h'!F12,'3.08 Pakwach-Karuma-24h'!F12,'4.08 Pakwach-Karuma '!F12)</f>
        <v>0.8571428571428571</v>
      </c>
      <c r="G12" s="49">
        <f>AVERAGE('29.07 Pakwach-Karuma'!G12,'30.07.19 pakwach-karuma'!G12,'31.07 pakwach-karuma'!G12,'01.08 pakwach-karuma'!G12,'2.08 Pakwach-Karuma-24h'!G12,'3.08 Pakwach-Karuma-24h'!G12,'4.08 Pakwach-Karuma '!G12)</f>
        <v>0.14285714285714285</v>
      </c>
      <c r="H12" s="49">
        <f>AVERAGE('29.07 Pakwach-Karuma'!H12,'30.07.19 pakwach-karuma'!H12,'31.07 pakwach-karuma'!H12,'01.08 pakwach-karuma'!H12,'2.08 Pakwach-Karuma-24h'!H12,'3.08 Pakwach-Karuma-24h'!H12,'4.08 Pakwach-Karuma '!H12)</f>
        <v>0</v>
      </c>
      <c r="I12" s="49">
        <f>AVERAGE('29.07 Pakwach-Karuma'!I12,'30.07.19 pakwach-karuma'!I12,'31.07 pakwach-karuma'!I12,'01.08 pakwach-karuma'!I12,'2.08 Pakwach-Karuma-24h'!I12,'3.08 Pakwach-Karuma-24h'!I12,'4.08 Pakwach-Karuma '!I12)</f>
        <v>0</v>
      </c>
      <c r="J12" s="49">
        <f>AVERAGE('29.07 Pakwach-Karuma'!J12,'30.07.19 pakwach-karuma'!J12,'31.07 pakwach-karuma'!J12,'01.08 pakwach-karuma'!J12,'2.08 Pakwach-Karuma-24h'!J12,'3.08 Pakwach-Karuma-24h'!J12,'4.08 Pakwach-Karuma '!J12)</f>
        <v>1</v>
      </c>
      <c r="K12" s="49">
        <f>AVERAGE('29.07 Pakwach-Karuma'!K12,'30.07.19 pakwach-karuma'!K12,'31.07 pakwach-karuma'!K12,'01.08 pakwach-karuma'!K12,'2.08 Pakwach-Karuma-24h'!K12,'3.08 Pakwach-Karuma-24h'!K12,'4.08 Pakwach-Karuma '!K12)</f>
        <v>0.42857142857142855</v>
      </c>
      <c r="L12" s="49">
        <f>AVERAGE('29.07 Pakwach-Karuma'!L12,'30.07.19 pakwach-karuma'!L12,'31.07 pakwach-karuma'!L12,'01.08 pakwach-karuma'!L12,'2.08 Pakwach-Karuma-24h'!L12,'3.08 Pakwach-Karuma-24h'!L12,'4.08 Pakwach-Karuma '!L12)</f>
        <v>1.4285714285714286</v>
      </c>
      <c r="M12" s="49">
        <f>AVERAGE('29.07 Pakwach-Karuma'!M12,'30.07.19 pakwach-karuma'!M12,'31.07 pakwach-karuma'!M12,'01.08 pakwach-karuma'!M12,'2.08 Pakwach-Karuma-24h'!M12,'3.08 Pakwach-Karuma-24h'!M12,'4.08 Pakwach-Karuma '!M12)</f>
        <v>4.4285714285714288</v>
      </c>
      <c r="N12" s="49">
        <f>AVERAGE('29.07 Pakwach-Karuma'!N12,'30.07.19 pakwach-karuma'!N12,'31.07 pakwach-karuma'!N12,'01.08 pakwach-karuma'!N12,'2.08 Pakwach-Karuma-24h'!N12,'3.08 Pakwach-Karuma-24h'!N12,'4.08 Pakwach-Karuma '!N12)</f>
        <v>0.42857142857142855</v>
      </c>
      <c r="O12" s="15">
        <f t="shared" si="0"/>
        <v>6.4285714285714288</v>
      </c>
      <c r="P12" s="15">
        <f t="shared" si="1"/>
        <v>10.857142857142858</v>
      </c>
      <c r="R12" s="1" t="s">
        <v>8</v>
      </c>
      <c r="S12" s="17">
        <f t="shared" ref="S12:AF12" si="4">SUM(C18:C21)</f>
        <v>3</v>
      </c>
      <c r="T12" s="17">
        <f t="shared" si="4"/>
        <v>1</v>
      </c>
      <c r="U12" s="17">
        <f t="shared" si="4"/>
        <v>4.8571428571428568</v>
      </c>
      <c r="V12" s="17">
        <f t="shared" si="4"/>
        <v>2.8571428571428572</v>
      </c>
      <c r="W12" s="17">
        <f t="shared" si="4"/>
        <v>0.8571428571428571</v>
      </c>
      <c r="X12" s="17">
        <f t="shared" si="4"/>
        <v>0.2857142857142857</v>
      </c>
      <c r="Y12" s="17">
        <f t="shared" si="4"/>
        <v>1</v>
      </c>
      <c r="Z12" s="17">
        <f t="shared" si="4"/>
        <v>2.1428571428571428</v>
      </c>
      <c r="AA12" s="17">
        <f t="shared" si="4"/>
        <v>0.71428571428571419</v>
      </c>
      <c r="AB12" s="17">
        <f t="shared" si="4"/>
        <v>3.1428571428571428</v>
      </c>
      <c r="AC12" s="17">
        <f t="shared" si="4"/>
        <v>19.571428571428569</v>
      </c>
      <c r="AD12" s="17">
        <f t="shared" si="4"/>
        <v>0.5714285714285714</v>
      </c>
      <c r="AE12" s="31">
        <f t="shared" si="4"/>
        <v>20.428571428571427</v>
      </c>
      <c r="AF12" s="31">
        <f t="shared" si="4"/>
        <v>40</v>
      </c>
    </row>
    <row r="13" spans="2:32" ht="23.1" customHeight="1" x14ac:dyDescent="0.25">
      <c r="B13" s="23" t="s">
        <v>40</v>
      </c>
      <c r="C13" s="49">
        <f>AVERAGE('29.07 Pakwach-Karuma'!C13,'30.07.19 pakwach-karuma'!C13,'31.07 pakwach-karuma'!C13,'01.08 pakwach-karuma'!C13,'2.08 Pakwach-Karuma-24h'!C13,'3.08 Pakwach-Karuma-24h'!C13,'4.08 Pakwach-Karuma '!C13)</f>
        <v>0.42857142857142855</v>
      </c>
      <c r="D13" s="49">
        <f>AVERAGE('29.07 Pakwach-Karuma'!D13,'30.07.19 pakwach-karuma'!D13,'31.07 pakwach-karuma'!D13,'01.08 pakwach-karuma'!D13,'2.08 Pakwach-Karuma-24h'!D13,'3.08 Pakwach-Karuma-24h'!D13,'4.08 Pakwach-Karuma '!D13)</f>
        <v>0.2857142857142857</v>
      </c>
      <c r="E13" s="49">
        <f>AVERAGE('29.07 Pakwach-Karuma'!E13,'30.07.19 pakwach-karuma'!E13,'31.07 pakwach-karuma'!E13,'01.08 pakwach-karuma'!E13,'2.08 Pakwach-Karuma-24h'!E13,'3.08 Pakwach-Karuma-24h'!E13,'4.08 Pakwach-Karuma '!E13)</f>
        <v>1.2857142857142858</v>
      </c>
      <c r="F13" s="49">
        <f>AVERAGE('29.07 Pakwach-Karuma'!F13,'30.07.19 pakwach-karuma'!F13,'31.07 pakwach-karuma'!F13,'01.08 pakwach-karuma'!F13,'2.08 Pakwach-Karuma-24h'!F13,'3.08 Pakwach-Karuma-24h'!F13,'4.08 Pakwach-Karuma '!F13)</f>
        <v>0</v>
      </c>
      <c r="G13" s="49">
        <f>AVERAGE('29.07 Pakwach-Karuma'!G13,'30.07.19 pakwach-karuma'!G13,'31.07 pakwach-karuma'!G13,'01.08 pakwach-karuma'!G13,'2.08 Pakwach-Karuma-24h'!G13,'3.08 Pakwach-Karuma-24h'!G13,'4.08 Pakwach-Karuma '!G13)</f>
        <v>0</v>
      </c>
      <c r="H13" s="49">
        <f>AVERAGE('29.07 Pakwach-Karuma'!H13,'30.07.19 pakwach-karuma'!H13,'31.07 pakwach-karuma'!H13,'01.08 pakwach-karuma'!H13,'2.08 Pakwach-Karuma-24h'!H13,'3.08 Pakwach-Karuma-24h'!H13,'4.08 Pakwach-Karuma '!H13)</f>
        <v>0</v>
      </c>
      <c r="I13" s="49">
        <f>AVERAGE('29.07 Pakwach-Karuma'!I13,'30.07.19 pakwach-karuma'!I13,'31.07 pakwach-karuma'!I13,'01.08 pakwach-karuma'!I13,'2.08 Pakwach-Karuma-24h'!I13,'3.08 Pakwach-Karuma-24h'!I13,'4.08 Pakwach-Karuma '!I13)</f>
        <v>0</v>
      </c>
      <c r="J13" s="49">
        <f>AVERAGE('29.07 Pakwach-Karuma'!J13,'30.07.19 pakwach-karuma'!J13,'31.07 pakwach-karuma'!J13,'01.08 pakwach-karuma'!J13,'2.08 Pakwach-Karuma-24h'!J13,'3.08 Pakwach-Karuma-24h'!J13,'4.08 Pakwach-Karuma '!J13)</f>
        <v>1.1428571428571428</v>
      </c>
      <c r="K13" s="49">
        <f>AVERAGE('29.07 Pakwach-Karuma'!K13,'30.07.19 pakwach-karuma'!K13,'31.07 pakwach-karuma'!K13,'01.08 pakwach-karuma'!K13,'2.08 Pakwach-Karuma-24h'!K13,'3.08 Pakwach-Karuma-24h'!K13,'4.08 Pakwach-Karuma '!K13)</f>
        <v>0.14285714285714285</v>
      </c>
      <c r="L13" s="49">
        <f>AVERAGE('29.07 Pakwach-Karuma'!L13,'30.07.19 pakwach-karuma'!L13,'31.07 pakwach-karuma'!L13,'01.08 pakwach-karuma'!L13,'2.08 Pakwach-Karuma-24h'!L13,'3.08 Pakwach-Karuma-24h'!L13,'4.08 Pakwach-Karuma '!L13)</f>
        <v>1.8571428571428572</v>
      </c>
      <c r="M13" s="49">
        <f>AVERAGE('29.07 Pakwach-Karuma'!M13,'30.07.19 pakwach-karuma'!M13,'31.07 pakwach-karuma'!M13,'01.08 pakwach-karuma'!M13,'2.08 Pakwach-Karuma-24h'!M13,'3.08 Pakwach-Karuma-24h'!M13,'4.08 Pakwach-Karuma '!M13)</f>
        <v>3.1428571428571428</v>
      </c>
      <c r="N13" s="49">
        <f>AVERAGE('29.07 Pakwach-Karuma'!N13,'30.07.19 pakwach-karuma'!N13,'31.07 pakwach-karuma'!N13,'01.08 pakwach-karuma'!N13,'2.08 Pakwach-Karuma-24h'!N13,'3.08 Pakwach-Karuma-24h'!N13,'4.08 Pakwach-Karuma '!N13)</f>
        <v>0.42857142857142855</v>
      </c>
      <c r="O13" s="15">
        <f t="shared" si="0"/>
        <v>5.5714285714285712</v>
      </c>
      <c r="P13" s="15">
        <f t="shared" si="1"/>
        <v>8.7142857142857135</v>
      </c>
      <c r="R13" s="1" t="s">
        <v>9</v>
      </c>
      <c r="S13" s="17">
        <f t="shared" ref="S13:AF13" si="5">SUM(C22:C25)</f>
        <v>1.5714285714285714</v>
      </c>
      <c r="T13" s="17">
        <f t="shared" si="5"/>
        <v>1</v>
      </c>
      <c r="U13" s="17">
        <f t="shared" si="5"/>
        <v>6.2857142857142847</v>
      </c>
      <c r="V13" s="17">
        <f t="shared" si="5"/>
        <v>3</v>
      </c>
      <c r="W13" s="17">
        <f t="shared" si="5"/>
        <v>1.2857142857142856</v>
      </c>
      <c r="X13" s="17">
        <f t="shared" si="5"/>
        <v>0.14285714285714285</v>
      </c>
      <c r="Y13" s="17">
        <f t="shared" si="5"/>
        <v>1.7142857142857142</v>
      </c>
      <c r="Z13" s="17">
        <f t="shared" si="5"/>
        <v>2.2857142857142856</v>
      </c>
      <c r="AA13" s="17">
        <f t="shared" si="5"/>
        <v>0.85714285714285698</v>
      </c>
      <c r="AB13" s="17">
        <f t="shared" si="5"/>
        <v>3.5714285714285712</v>
      </c>
      <c r="AC13" s="17">
        <f t="shared" si="5"/>
        <v>15.571428571428573</v>
      </c>
      <c r="AD13" s="17">
        <f t="shared" si="5"/>
        <v>0.85714285714285698</v>
      </c>
      <c r="AE13" s="31">
        <f t="shared" si="5"/>
        <v>22.571428571428569</v>
      </c>
      <c r="AF13" s="31">
        <f t="shared" si="5"/>
        <v>38.142857142857139</v>
      </c>
    </row>
    <row r="14" spans="2:32" ht="23.1" customHeight="1" x14ac:dyDescent="0.25">
      <c r="B14" s="23" t="s">
        <v>41</v>
      </c>
      <c r="C14" s="49">
        <f>AVERAGE('29.07 Pakwach-Karuma'!C14,'30.07.19 pakwach-karuma'!C14,'31.07 pakwach-karuma'!C14,'01.08 pakwach-karuma'!C14,'2.08 Pakwach-Karuma-24h'!C14,'3.08 Pakwach-Karuma-24h'!C14,'4.08 Pakwach-Karuma '!C14)</f>
        <v>0.42857142857142855</v>
      </c>
      <c r="D14" s="49">
        <f>AVERAGE('29.07 Pakwach-Karuma'!D14,'30.07.19 pakwach-karuma'!D14,'31.07 pakwach-karuma'!D14,'01.08 pakwach-karuma'!D14,'2.08 Pakwach-Karuma-24h'!D14,'3.08 Pakwach-Karuma-24h'!D14,'4.08 Pakwach-Karuma '!D14)</f>
        <v>0</v>
      </c>
      <c r="E14" s="49">
        <f>AVERAGE('29.07 Pakwach-Karuma'!E14,'30.07.19 pakwach-karuma'!E14,'31.07 pakwach-karuma'!E14,'01.08 pakwach-karuma'!E14,'2.08 Pakwach-Karuma-24h'!E14,'3.08 Pakwach-Karuma-24h'!E14,'4.08 Pakwach-Karuma '!E14)</f>
        <v>0.2857142857142857</v>
      </c>
      <c r="F14" s="49">
        <f>AVERAGE('29.07 Pakwach-Karuma'!F14,'30.07.19 pakwach-karuma'!F14,'31.07 pakwach-karuma'!F14,'01.08 pakwach-karuma'!F14,'2.08 Pakwach-Karuma-24h'!F14,'3.08 Pakwach-Karuma-24h'!F14,'4.08 Pakwach-Karuma '!F14)</f>
        <v>0</v>
      </c>
      <c r="G14" s="49">
        <f>AVERAGE('29.07 Pakwach-Karuma'!G14,'30.07.19 pakwach-karuma'!G14,'31.07 pakwach-karuma'!G14,'01.08 pakwach-karuma'!G14,'2.08 Pakwach-Karuma-24h'!G14,'3.08 Pakwach-Karuma-24h'!G14,'4.08 Pakwach-Karuma '!G14)</f>
        <v>0</v>
      </c>
      <c r="H14" s="49">
        <f>AVERAGE('29.07 Pakwach-Karuma'!H14,'30.07.19 pakwach-karuma'!H14,'31.07 pakwach-karuma'!H14,'01.08 pakwach-karuma'!H14,'2.08 Pakwach-Karuma-24h'!H14,'3.08 Pakwach-Karuma-24h'!H14,'4.08 Pakwach-Karuma '!H14)</f>
        <v>0</v>
      </c>
      <c r="I14" s="49">
        <f>AVERAGE('29.07 Pakwach-Karuma'!I14,'30.07.19 pakwach-karuma'!I14,'31.07 pakwach-karuma'!I14,'01.08 pakwach-karuma'!I14,'2.08 Pakwach-Karuma-24h'!I14,'3.08 Pakwach-Karuma-24h'!I14,'4.08 Pakwach-Karuma '!I14)</f>
        <v>0.5714285714285714</v>
      </c>
      <c r="J14" s="49">
        <f>AVERAGE('29.07 Pakwach-Karuma'!J14,'30.07.19 pakwach-karuma'!J14,'31.07 pakwach-karuma'!J14,'01.08 pakwach-karuma'!J14,'2.08 Pakwach-Karuma-24h'!J14,'3.08 Pakwach-Karuma-24h'!J14,'4.08 Pakwach-Karuma '!J14)</f>
        <v>1</v>
      </c>
      <c r="K14" s="49">
        <f>AVERAGE('29.07 Pakwach-Karuma'!K14,'30.07.19 pakwach-karuma'!K14,'31.07 pakwach-karuma'!K14,'01.08 pakwach-karuma'!K14,'2.08 Pakwach-Karuma-24h'!K14,'3.08 Pakwach-Karuma-24h'!K14,'4.08 Pakwach-Karuma '!K14)</f>
        <v>0.42857142857142855</v>
      </c>
      <c r="L14" s="49">
        <f>AVERAGE('29.07 Pakwach-Karuma'!L14,'30.07.19 pakwach-karuma'!L14,'31.07 pakwach-karuma'!L14,'01.08 pakwach-karuma'!L14,'2.08 Pakwach-Karuma-24h'!L14,'3.08 Pakwach-Karuma-24h'!L14,'4.08 Pakwach-Karuma '!L14)</f>
        <v>1.7142857142857142</v>
      </c>
      <c r="M14" s="49">
        <f>AVERAGE('29.07 Pakwach-Karuma'!M14,'30.07.19 pakwach-karuma'!M14,'31.07 pakwach-karuma'!M14,'01.08 pakwach-karuma'!M14,'2.08 Pakwach-Karuma-24h'!M14,'3.08 Pakwach-Karuma-24h'!M14,'4.08 Pakwach-Karuma '!M14)</f>
        <v>2.7142857142857144</v>
      </c>
      <c r="N14" s="49">
        <f>AVERAGE('29.07 Pakwach-Karuma'!N14,'30.07.19 pakwach-karuma'!N14,'31.07 pakwach-karuma'!N14,'01.08 pakwach-karuma'!N14,'2.08 Pakwach-Karuma-24h'!N14,'3.08 Pakwach-Karuma-24h'!N14,'4.08 Pakwach-Karuma '!N14)</f>
        <v>0.14285714285714285</v>
      </c>
      <c r="O14" s="15">
        <f t="shared" si="0"/>
        <v>4.5714285714285712</v>
      </c>
      <c r="P14" s="15">
        <f t="shared" si="1"/>
        <v>7.2857142857142856</v>
      </c>
      <c r="R14" s="1" t="s">
        <v>10</v>
      </c>
      <c r="S14" s="17">
        <f t="shared" ref="S14:AF14" si="6">SUM(C26:C29)</f>
        <v>2.5714285714285712</v>
      </c>
      <c r="T14" s="17">
        <f t="shared" si="6"/>
        <v>1.5714285714285714</v>
      </c>
      <c r="U14" s="17">
        <f t="shared" si="6"/>
        <v>7.1428571428571432</v>
      </c>
      <c r="V14" s="17">
        <f t="shared" si="6"/>
        <v>4.1428571428571432</v>
      </c>
      <c r="W14" s="17">
        <f t="shared" si="6"/>
        <v>2</v>
      </c>
      <c r="X14" s="17">
        <f t="shared" si="6"/>
        <v>0.2857142857142857</v>
      </c>
      <c r="Y14" s="17">
        <f t="shared" si="6"/>
        <v>2.4285714285714284</v>
      </c>
      <c r="Z14" s="17">
        <f t="shared" si="6"/>
        <v>1</v>
      </c>
      <c r="AA14" s="17">
        <f t="shared" si="6"/>
        <v>1.1428571428571428</v>
      </c>
      <c r="AB14" s="17">
        <f t="shared" si="6"/>
        <v>3.1428571428571423</v>
      </c>
      <c r="AC14" s="17">
        <f t="shared" si="6"/>
        <v>18</v>
      </c>
      <c r="AD14" s="17">
        <f t="shared" si="6"/>
        <v>0.5714285714285714</v>
      </c>
      <c r="AE14" s="31">
        <f t="shared" si="6"/>
        <v>26</v>
      </c>
      <c r="AF14" s="31">
        <f t="shared" si="6"/>
        <v>44</v>
      </c>
    </row>
    <row r="15" spans="2:32" ht="23.1" customHeight="1" x14ac:dyDescent="0.25">
      <c r="B15" s="23" t="s">
        <v>42</v>
      </c>
      <c r="C15" s="49">
        <f>AVERAGE('29.07 Pakwach-Karuma'!C15,'30.07.19 pakwach-karuma'!C15,'31.07 pakwach-karuma'!C15,'01.08 pakwach-karuma'!C15,'2.08 Pakwach-Karuma-24h'!C15,'3.08 Pakwach-Karuma-24h'!C15,'4.08 Pakwach-Karuma '!C15)</f>
        <v>0.42857142857142855</v>
      </c>
      <c r="D15" s="49">
        <f>AVERAGE('29.07 Pakwach-Karuma'!D15,'30.07.19 pakwach-karuma'!D15,'31.07 pakwach-karuma'!D15,'01.08 pakwach-karuma'!D15,'2.08 Pakwach-Karuma-24h'!D15,'3.08 Pakwach-Karuma-24h'!D15,'4.08 Pakwach-Karuma '!D15)</f>
        <v>0.14285714285714285</v>
      </c>
      <c r="E15" s="49">
        <f>AVERAGE('29.07 Pakwach-Karuma'!E15,'30.07.19 pakwach-karuma'!E15,'31.07 pakwach-karuma'!E15,'01.08 pakwach-karuma'!E15,'2.08 Pakwach-Karuma-24h'!E15,'3.08 Pakwach-Karuma-24h'!E15,'4.08 Pakwach-Karuma '!E15)</f>
        <v>1.1428571428571428</v>
      </c>
      <c r="F15" s="49">
        <f>AVERAGE('29.07 Pakwach-Karuma'!F15,'30.07.19 pakwach-karuma'!F15,'31.07 pakwach-karuma'!F15,'01.08 pakwach-karuma'!F15,'2.08 Pakwach-Karuma-24h'!F15,'3.08 Pakwach-Karuma-24h'!F15,'4.08 Pakwach-Karuma '!F15)</f>
        <v>0.2857142857142857</v>
      </c>
      <c r="G15" s="49">
        <f>AVERAGE('29.07 Pakwach-Karuma'!G15,'30.07.19 pakwach-karuma'!G15,'31.07 pakwach-karuma'!G15,'01.08 pakwach-karuma'!G15,'2.08 Pakwach-Karuma-24h'!G15,'3.08 Pakwach-Karuma-24h'!G15,'4.08 Pakwach-Karuma '!G15)</f>
        <v>0.14285714285714285</v>
      </c>
      <c r="H15" s="49">
        <f>AVERAGE('29.07 Pakwach-Karuma'!H15,'30.07.19 pakwach-karuma'!H15,'31.07 pakwach-karuma'!H15,'01.08 pakwach-karuma'!H15,'2.08 Pakwach-Karuma-24h'!H15,'3.08 Pakwach-Karuma-24h'!H15,'4.08 Pakwach-Karuma '!H15)</f>
        <v>0</v>
      </c>
      <c r="I15" s="49">
        <f>AVERAGE('29.07 Pakwach-Karuma'!I15,'30.07.19 pakwach-karuma'!I15,'31.07 pakwach-karuma'!I15,'01.08 pakwach-karuma'!I15,'2.08 Pakwach-Karuma-24h'!I15,'3.08 Pakwach-Karuma-24h'!I15,'4.08 Pakwach-Karuma '!I15)</f>
        <v>1.2857142857142858</v>
      </c>
      <c r="J15" s="49">
        <f>AVERAGE('29.07 Pakwach-Karuma'!J15,'30.07.19 pakwach-karuma'!J15,'31.07 pakwach-karuma'!J15,'01.08 pakwach-karuma'!J15,'2.08 Pakwach-Karuma-24h'!J15,'3.08 Pakwach-Karuma-24h'!J15,'4.08 Pakwach-Karuma '!J15)</f>
        <v>0.8571428571428571</v>
      </c>
      <c r="K15" s="49">
        <f>AVERAGE('29.07 Pakwach-Karuma'!K15,'30.07.19 pakwach-karuma'!K15,'31.07 pakwach-karuma'!K15,'01.08 pakwach-karuma'!K15,'2.08 Pakwach-Karuma-24h'!K15,'3.08 Pakwach-Karuma-24h'!K15,'4.08 Pakwach-Karuma '!K15)</f>
        <v>0.5714285714285714</v>
      </c>
      <c r="L15" s="49">
        <f>AVERAGE('29.07 Pakwach-Karuma'!L15,'30.07.19 pakwach-karuma'!L15,'31.07 pakwach-karuma'!L15,'01.08 pakwach-karuma'!L15,'2.08 Pakwach-Karuma-24h'!L15,'3.08 Pakwach-Karuma-24h'!L15,'4.08 Pakwach-Karuma '!L15)</f>
        <v>1.4285714285714286</v>
      </c>
      <c r="M15" s="49">
        <f>AVERAGE('29.07 Pakwach-Karuma'!M15,'30.07.19 pakwach-karuma'!M15,'31.07 pakwach-karuma'!M15,'01.08 pakwach-karuma'!M15,'2.08 Pakwach-Karuma-24h'!M15,'3.08 Pakwach-Karuma-24h'!M15,'4.08 Pakwach-Karuma '!M15)</f>
        <v>3</v>
      </c>
      <c r="N15" s="49">
        <f>AVERAGE('29.07 Pakwach-Karuma'!N15,'30.07.19 pakwach-karuma'!N15,'31.07 pakwach-karuma'!N15,'01.08 pakwach-karuma'!N15,'2.08 Pakwach-Karuma-24h'!N15,'3.08 Pakwach-Karuma-24h'!N15,'4.08 Pakwach-Karuma '!N15)</f>
        <v>0.14285714285714285</v>
      </c>
      <c r="O15" s="15">
        <f t="shared" si="0"/>
        <v>6.4285714285714288</v>
      </c>
      <c r="P15" s="15">
        <f t="shared" si="1"/>
        <v>9.428571428571427</v>
      </c>
      <c r="R15" s="1" t="s">
        <v>11</v>
      </c>
      <c r="S15" s="17">
        <f t="shared" ref="S15:AF15" si="7">SUM(C30:C33)</f>
        <v>2.2857142857142856</v>
      </c>
      <c r="T15" s="17">
        <f t="shared" si="7"/>
        <v>1.1428571428571428</v>
      </c>
      <c r="U15" s="17">
        <f t="shared" si="7"/>
        <v>7.1428571428571423</v>
      </c>
      <c r="V15" s="17">
        <f t="shared" si="7"/>
        <v>2.8571428571428568</v>
      </c>
      <c r="W15" s="17">
        <f t="shared" si="7"/>
        <v>0.5714285714285714</v>
      </c>
      <c r="X15" s="17">
        <f t="shared" si="7"/>
        <v>0.5714285714285714</v>
      </c>
      <c r="Y15" s="17">
        <f t="shared" si="7"/>
        <v>0.2857142857142857</v>
      </c>
      <c r="Z15" s="17">
        <f t="shared" si="7"/>
        <v>0.42857142857142855</v>
      </c>
      <c r="AA15" s="17">
        <f t="shared" si="7"/>
        <v>0.5714285714285714</v>
      </c>
      <c r="AB15" s="17">
        <f t="shared" si="7"/>
        <v>1.857142857142857</v>
      </c>
      <c r="AC15" s="17">
        <f t="shared" si="7"/>
        <v>14.285714285714285</v>
      </c>
      <c r="AD15" s="17">
        <f t="shared" si="7"/>
        <v>0.5714285714285714</v>
      </c>
      <c r="AE15" s="31">
        <f t="shared" si="7"/>
        <v>18.285714285714285</v>
      </c>
      <c r="AF15" s="31">
        <f t="shared" si="7"/>
        <v>32.571428571428569</v>
      </c>
    </row>
    <row r="16" spans="2:32" ht="23.1" customHeight="1" x14ac:dyDescent="0.25">
      <c r="B16" s="23" t="s">
        <v>43</v>
      </c>
      <c r="C16" s="49">
        <f>AVERAGE('29.07 Pakwach-Karuma'!C16,'30.07.19 pakwach-karuma'!C16,'31.07 pakwach-karuma'!C16,'01.08 pakwach-karuma'!C16,'2.08 Pakwach-Karuma-24h'!C16,'3.08 Pakwach-Karuma-24h'!C16,'4.08 Pakwach-Karuma '!C16)</f>
        <v>0.8571428571428571</v>
      </c>
      <c r="D16" s="49">
        <f>AVERAGE('29.07 Pakwach-Karuma'!D16,'30.07.19 pakwach-karuma'!D16,'31.07 pakwach-karuma'!D16,'01.08 pakwach-karuma'!D16,'2.08 Pakwach-Karuma-24h'!D16,'3.08 Pakwach-Karuma-24h'!D16,'4.08 Pakwach-Karuma '!D16)</f>
        <v>0.2857142857142857</v>
      </c>
      <c r="E16" s="49">
        <f>AVERAGE('29.07 Pakwach-Karuma'!E16,'30.07.19 pakwach-karuma'!E16,'31.07 pakwach-karuma'!E16,'01.08 pakwach-karuma'!E16,'2.08 Pakwach-Karuma-24h'!E16,'3.08 Pakwach-Karuma-24h'!E16,'4.08 Pakwach-Karuma '!E16)</f>
        <v>1.5714285714285714</v>
      </c>
      <c r="F16" s="49">
        <f>AVERAGE('29.07 Pakwach-Karuma'!F16,'30.07.19 pakwach-karuma'!F16,'31.07 pakwach-karuma'!F16,'01.08 pakwach-karuma'!F16,'2.08 Pakwach-Karuma-24h'!F16,'3.08 Pakwach-Karuma-24h'!F16,'4.08 Pakwach-Karuma '!F16)</f>
        <v>0.2857142857142857</v>
      </c>
      <c r="G16" s="49">
        <f>AVERAGE('29.07 Pakwach-Karuma'!G16,'30.07.19 pakwach-karuma'!G16,'31.07 pakwach-karuma'!G16,'01.08 pakwach-karuma'!G16,'2.08 Pakwach-Karuma-24h'!G16,'3.08 Pakwach-Karuma-24h'!G16,'4.08 Pakwach-Karuma '!G16)</f>
        <v>0</v>
      </c>
      <c r="H16" s="49">
        <f>AVERAGE('29.07 Pakwach-Karuma'!H16,'30.07.19 pakwach-karuma'!H16,'31.07 pakwach-karuma'!H16,'01.08 pakwach-karuma'!H16,'2.08 Pakwach-Karuma-24h'!H16,'3.08 Pakwach-Karuma-24h'!H16,'4.08 Pakwach-Karuma '!H16)</f>
        <v>0</v>
      </c>
      <c r="I16" s="49">
        <f>AVERAGE('29.07 Pakwach-Karuma'!I16,'30.07.19 pakwach-karuma'!I16,'31.07 pakwach-karuma'!I16,'01.08 pakwach-karuma'!I16,'2.08 Pakwach-Karuma-24h'!I16,'3.08 Pakwach-Karuma-24h'!I16,'4.08 Pakwach-Karuma '!I16)</f>
        <v>0</v>
      </c>
      <c r="J16" s="49">
        <f>AVERAGE('29.07 Pakwach-Karuma'!J16,'30.07.19 pakwach-karuma'!J16,'31.07 pakwach-karuma'!J16,'01.08 pakwach-karuma'!J16,'2.08 Pakwach-Karuma-24h'!J16,'3.08 Pakwach-Karuma-24h'!J16,'4.08 Pakwach-Karuma '!J16)</f>
        <v>0.5714285714285714</v>
      </c>
      <c r="K16" s="49">
        <f>AVERAGE('29.07 Pakwach-Karuma'!K16,'30.07.19 pakwach-karuma'!K16,'31.07 pakwach-karuma'!K16,'01.08 pakwach-karuma'!K16,'2.08 Pakwach-Karuma-24h'!K16,'3.08 Pakwach-Karuma-24h'!K16,'4.08 Pakwach-Karuma '!K16)</f>
        <v>0.5714285714285714</v>
      </c>
      <c r="L16" s="49">
        <f>AVERAGE('29.07 Pakwach-Karuma'!L16,'30.07.19 pakwach-karuma'!L16,'31.07 pakwach-karuma'!L16,'01.08 pakwach-karuma'!L16,'2.08 Pakwach-Karuma-24h'!L16,'3.08 Pakwach-Karuma-24h'!L16,'4.08 Pakwach-Karuma '!L16)</f>
        <v>1.8571428571428572</v>
      </c>
      <c r="M16" s="49">
        <f>AVERAGE('29.07 Pakwach-Karuma'!M16,'30.07.19 pakwach-karuma'!M16,'31.07 pakwach-karuma'!M16,'01.08 pakwach-karuma'!M16,'2.08 Pakwach-Karuma-24h'!M16,'3.08 Pakwach-Karuma-24h'!M16,'4.08 Pakwach-Karuma '!M16)</f>
        <v>2.8571428571428572</v>
      </c>
      <c r="N16" s="49">
        <f>AVERAGE('29.07 Pakwach-Karuma'!N16,'30.07.19 pakwach-karuma'!N16,'31.07 pakwach-karuma'!N16,'01.08 pakwach-karuma'!N16,'2.08 Pakwach-Karuma-24h'!N16,'3.08 Pakwach-Karuma-24h'!N16,'4.08 Pakwach-Karuma '!N16)</f>
        <v>0.5714285714285714</v>
      </c>
      <c r="O16" s="15">
        <f t="shared" si="0"/>
        <v>6.5714285714285712</v>
      </c>
      <c r="P16" s="15">
        <f t="shared" si="1"/>
        <v>9.4285714285714288</v>
      </c>
      <c r="R16" s="1" t="s">
        <v>12</v>
      </c>
      <c r="S16" s="17">
        <f t="shared" ref="S16:AF16" si="8">SUM(C34:C37)</f>
        <v>1.714285714285714</v>
      </c>
      <c r="T16" s="17">
        <f t="shared" si="8"/>
        <v>1</v>
      </c>
      <c r="U16" s="17">
        <f t="shared" si="8"/>
        <v>5.7142857142857144</v>
      </c>
      <c r="V16" s="17">
        <f t="shared" si="8"/>
        <v>2.1428571428571428</v>
      </c>
      <c r="W16" s="17">
        <f t="shared" si="8"/>
        <v>0.85714285714285698</v>
      </c>
      <c r="X16" s="17">
        <f t="shared" si="8"/>
        <v>0.5714285714285714</v>
      </c>
      <c r="Y16" s="17">
        <f t="shared" si="8"/>
        <v>1.1428571428571428</v>
      </c>
      <c r="Z16" s="17">
        <f t="shared" si="8"/>
        <v>0.5714285714285714</v>
      </c>
      <c r="AA16" s="17">
        <f t="shared" si="8"/>
        <v>0.2857142857142857</v>
      </c>
      <c r="AB16" s="17">
        <f t="shared" si="8"/>
        <v>3.4285714285714279</v>
      </c>
      <c r="AC16" s="17">
        <f t="shared" si="8"/>
        <v>14.857142857142858</v>
      </c>
      <c r="AD16" s="17">
        <f t="shared" si="8"/>
        <v>0.42857142857142855</v>
      </c>
      <c r="AE16" s="31">
        <f t="shared" si="8"/>
        <v>17.857142857142854</v>
      </c>
      <c r="AF16" s="31">
        <f t="shared" si="8"/>
        <v>32.714285714285715</v>
      </c>
    </row>
    <row r="17" spans="2:32" ht="23.1" customHeight="1" x14ac:dyDescent="0.25">
      <c r="B17" s="23" t="s">
        <v>44</v>
      </c>
      <c r="C17" s="49">
        <f>AVERAGE('29.07 Pakwach-Karuma'!C17,'30.07.19 pakwach-karuma'!C17,'31.07 pakwach-karuma'!C17,'01.08 pakwach-karuma'!C17,'2.08 Pakwach-Karuma-24h'!C17,'3.08 Pakwach-Karuma-24h'!C17,'4.08 Pakwach-Karuma '!C17)</f>
        <v>0.5714285714285714</v>
      </c>
      <c r="D17" s="49">
        <f>AVERAGE('29.07 Pakwach-Karuma'!D17,'30.07.19 pakwach-karuma'!D17,'31.07 pakwach-karuma'!D17,'01.08 pakwach-karuma'!D17,'2.08 Pakwach-Karuma-24h'!D17,'3.08 Pakwach-Karuma-24h'!D17,'4.08 Pakwach-Karuma '!D17)</f>
        <v>0.14285714285714285</v>
      </c>
      <c r="E17" s="49">
        <f>AVERAGE('29.07 Pakwach-Karuma'!E17,'30.07.19 pakwach-karuma'!E17,'31.07 pakwach-karuma'!E17,'01.08 pakwach-karuma'!E17,'2.08 Pakwach-Karuma-24h'!E17,'3.08 Pakwach-Karuma-24h'!E17,'4.08 Pakwach-Karuma '!E17)</f>
        <v>1.1428571428571428</v>
      </c>
      <c r="F17" s="49">
        <f>AVERAGE('29.07 Pakwach-Karuma'!F17,'30.07.19 pakwach-karuma'!F17,'31.07 pakwach-karuma'!F17,'01.08 pakwach-karuma'!F17,'2.08 Pakwach-Karuma-24h'!F17,'3.08 Pakwach-Karuma-24h'!F17,'4.08 Pakwach-Karuma '!F17)</f>
        <v>0</v>
      </c>
      <c r="G17" s="49">
        <f>AVERAGE('29.07 Pakwach-Karuma'!G17,'30.07.19 pakwach-karuma'!G17,'31.07 pakwach-karuma'!G17,'01.08 pakwach-karuma'!G17,'2.08 Pakwach-Karuma-24h'!G17,'3.08 Pakwach-Karuma-24h'!G17,'4.08 Pakwach-Karuma '!G17)</f>
        <v>0.2857142857142857</v>
      </c>
      <c r="H17" s="49">
        <f>AVERAGE('29.07 Pakwach-Karuma'!H17,'30.07.19 pakwach-karuma'!H17,'31.07 pakwach-karuma'!H17,'01.08 pakwach-karuma'!H17,'2.08 Pakwach-Karuma-24h'!H17,'3.08 Pakwach-Karuma-24h'!H17,'4.08 Pakwach-Karuma '!H17)</f>
        <v>0</v>
      </c>
      <c r="I17" s="49">
        <f>AVERAGE('29.07 Pakwach-Karuma'!I17,'30.07.19 pakwach-karuma'!I17,'31.07 pakwach-karuma'!I17,'01.08 pakwach-karuma'!I17,'2.08 Pakwach-Karuma-24h'!I17,'3.08 Pakwach-Karuma-24h'!I17,'4.08 Pakwach-Karuma '!I17)</f>
        <v>0.2857142857142857</v>
      </c>
      <c r="J17" s="49">
        <f>AVERAGE('29.07 Pakwach-Karuma'!J17,'30.07.19 pakwach-karuma'!J17,'31.07 pakwach-karuma'!J17,'01.08 pakwach-karuma'!J17,'2.08 Pakwach-Karuma-24h'!J17,'3.08 Pakwach-Karuma-24h'!J17,'4.08 Pakwach-Karuma '!J17)</f>
        <v>0.8571428571428571</v>
      </c>
      <c r="K17" s="49">
        <f>AVERAGE('29.07 Pakwach-Karuma'!K17,'30.07.19 pakwach-karuma'!K17,'31.07 pakwach-karuma'!K17,'01.08 pakwach-karuma'!K17,'2.08 Pakwach-Karuma-24h'!K17,'3.08 Pakwach-Karuma-24h'!K17,'4.08 Pakwach-Karuma '!K17)</f>
        <v>0</v>
      </c>
      <c r="L17" s="49">
        <f>AVERAGE('29.07 Pakwach-Karuma'!L17,'30.07.19 pakwach-karuma'!L17,'31.07 pakwach-karuma'!L17,'01.08 pakwach-karuma'!L17,'2.08 Pakwach-Karuma-24h'!L17,'3.08 Pakwach-Karuma-24h'!L17,'4.08 Pakwach-Karuma '!L17)</f>
        <v>1.2857142857142858</v>
      </c>
      <c r="M17" s="49">
        <f>AVERAGE('29.07 Pakwach-Karuma'!M17,'30.07.19 pakwach-karuma'!M17,'31.07 pakwach-karuma'!M17,'01.08 pakwach-karuma'!M17,'2.08 Pakwach-Karuma-24h'!M17,'3.08 Pakwach-Karuma-24h'!M17,'4.08 Pakwach-Karuma '!M17)</f>
        <v>4.1428571428571432</v>
      </c>
      <c r="N17" s="49">
        <f>AVERAGE('29.07 Pakwach-Karuma'!N17,'30.07.19 pakwach-karuma'!N17,'31.07 pakwach-karuma'!N17,'01.08 pakwach-karuma'!N17,'2.08 Pakwach-Karuma-24h'!N17,'3.08 Pakwach-Karuma-24h'!N17,'4.08 Pakwach-Karuma '!N17)</f>
        <v>0.14285714285714285</v>
      </c>
      <c r="O17" s="15">
        <f t="shared" si="0"/>
        <v>4.7142857142857144</v>
      </c>
      <c r="P17" s="15">
        <f t="shared" si="1"/>
        <v>8.8571428571428577</v>
      </c>
      <c r="R17" s="1" t="s">
        <v>13</v>
      </c>
      <c r="S17" s="17">
        <f t="shared" ref="S17:AF17" si="9">SUM(C38:C41)</f>
        <v>3.1428571428571428</v>
      </c>
      <c r="T17" s="17">
        <f t="shared" si="9"/>
        <v>2.1428571428571428</v>
      </c>
      <c r="U17" s="17">
        <f t="shared" si="9"/>
        <v>7.7142857142857144</v>
      </c>
      <c r="V17" s="17">
        <f t="shared" si="9"/>
        <v>3.7142857142857144</v>
      </c>
      <c r="W17" s="17">
        <f t="shared" si="9"/>
        <v>1.8571428571428572</v>
      </c>
      <c r="X17" s="17">
        <f t="shared" si="9"/>
        <v>3</v>
      </c>
      <c r="Y17" s="17">
        <f t="shared" si="9"/>
        <v>0.8571428571428571</v>
      </c>
      <c r="Z17" s="17">
        <f t="shared" si="9"/>
        <v>0.5714285714285714</v>
      </c>
      <c r="AA17" s="17">
        <f t="shared" si="9"/>
        <v>1</v>
      </c>
      <c r="AB17" s="17">
        <f t="shared" si="9"/>
        <v>3.1428571428571428</v>
      </c>
      <c r="AC17" s="17">
        <f t="shared" si="9"/>
        <v>14.857142857142858</v>
      </c>
      <c r="AD17" s="17">
        <f t="shared" si="9"/>
        <v>0.42857142857142855</v>
      </c>
      <c r="AE17" s="31">
        <f t="shared" si="9"/>
        <v>27.571428571428569</v>
      </c>
      <c r="AF17" s="31">
        <f t="shared" si="9"/>
        <v>42.428571428571431</v>
      </c>
    </row>
    <row r="18" spans="2:32" ht="23.1" customHeight="1" x14ac:dyDescent="0.25">
      <c r="B18" s="23" t="s">
        <v>45</v>
      </c>
      <c r="C18" s="49">
        <f>AVERAGE('29.07 Pakwach-Karuma'!C18,'30.07.19 pakwach-karuma'!C18,'31.07 pakwach-karuma'!C18,'01.08 pakwach-karuma'!C18,'2.08 Pakwach-Karuma-24h'!C18,'3.08 Pakwach-Karuma-24h'!C18,'4.08 Pakwach-Karuma '!C18)</f>
        <v>0.42857142857142855</v>
      </c>
      <c r="D18" s="49">
        <f>AVERAGE('29.07 Pakwach-Karuma'!D18,'30.07.19 pakwach-karuma'!D18,'31.07 pakwach-karuma'!D18,'01.08 pakwach-karuma'!D18,'2.08 Pakwach-Karuma-24h'!D18,'3.08 Pakwach-Karuma-24h'!D18,'4.08 Pakwach-Karuma '!D18)</f>
        <v>0</v>
      </c>
      <c r="E18" s="49">
        <f>AVERAGE('29.07 Pakwach-Karuma'!E18,'30.07.19 pakwach-karuma'!E18,'31.07 pakwach-karuma'!E18,'01.08 pakwach-karuma'!E18,'2.08 Pakwach-Karuma-24h'!E18,'3.08 Pakwach-Karuma-24h'!E18,'4.08 Pakwach-Karuma '!E18)</f>
        <v>0.5714285714285714</v>
      </c>
      <c r="F18" s="49">
        <f>AVERAGE('29.07 Pakwach-Karuma'!F18,'30.07.19 pakwach-karuma'!F18,'31.07 pakwach-karuma'!F18,'01.08 pakwach-karuma'!F18,'2.08 Pakwach-Karuma-24h'!F18,'3.08 Pakwach-Karuma-24h'!F18,'4.08 Pakwach-Karuma '!F18)</f>
        <v>0.2857142857142857</v>
      </c>
      <c r="G18" s="49">
        <f>AVERAGE('29.07 Pakwach-Karuma'!G18,'30.07.19 pakwach-karuma'!G18,'31.07 pakwach-karuma'!G18,'01.08 pakwach-karuma'!G18,'2.08 Pakwach-Karuma-24h'!G18,'3.08 Pakwach-Karuma-24h'!G18,'4.08 Pakwach-Karuma '!G18)</f>
        <v>0.14285714285714285</v>
      </c>
      <c r="H18" s="49">
        <f>AVERAGE('29.07 Pakwach-Karuma'!H18,'30.07.19 pakwach-karuma'!H18,'31.07 pakwach-karuma'!H18,'01.08 pakwach-karuma'!H18,'2.08 Pakwach-Karuma-24h'!H18,'3.08 Pakwach-Karuma-24h'!H18,'4.08 Pakwach-Karuma '!H18)</f>
        <v>0</v>
      </c>
      <c r="I18" s="49">
        <f>AVERAGE('29.07 Pakwach-Karuma'!I18,'30.07.19 pakwach-karuma'!I18,'31.07 pakwach-karuma'!I18,'01.08 pakwach-karuma'!I18,'2.08 Pakwach-Karuma-24h'!I18,'3.08 Pakwach-Karuma-24h'!I18,'4.08 Pakwach-Karuma '!I18)</f>
        <v>0.14285714285714285</v>
      </c>
      <c r="J18" s="49">
        <f>AVERAGE('29.07 Pakwach-Karuma'!J18,'30.07.19 pakwach-karuma'!J18,'31.07 pakwach-karuma'!J18,'01.08 pakwach-karuma'!J18,'2.08 Pakwach-Karuma-24h'!J18,'3.08 Pakwach-Karuma-24h'!J18,'4.08 Pakwach-Karuma '!J18)</f>
        <v>0.2857142857142857</v>
      </c>
      <c r="K18" s="49">
        <f>AVERAGE('29.07 Pakwach-Karuma'!K18,'30.07.19 pakwach-karuma'!K18,'31.07 pakwach-karuma'!K18,'01.08 pakwach-karuma'!K18,'2.08 Pakwach-Karuma-24h'!K18,'3.08 Pakwach-Karuma-24h'!K18,'4.08 Pakwach-Karuma '!K18)</f>
        <v>0.14285714285714285</v>
      </c>
      <c r="L18" s="49">
        <f>AVERAGE('29.07 Pakwach-Karuma'!L18,'30.07.19 pakwach-karuma'!L18,'31.07 pakwach-karuma'!L18,'01.08 pakwach-karuma'!L18,'2.08 Pakwach-Karuma-24h'!L18,'3.08 Pakwach-Karuma-24h'!L18,'4.08 Pakwach-Karuma '!L18)</f>
        <v>1.2857142857142858</v>
      </c>
      <c r="M18" s="49">
        <f>AVERAGE('29.07 Pakwach-Karuma'!M18,'30.07.19 pakwach-karuma'!M18,'31.07 pakwach-karuma'!M18,'01.08 pakwach-karuma'!M18,'2.08 Pakwach-Karuma-24h'!M18,'3.08 Pakwach-Karuma-24h'!M18,'4.08 Pakwach-Karuma '!M18)</f>
        <v>3.8571428571428572</v>
      </c>
      <c r="N18" s="49">
        <f>AVERAGE('29.07 Pakwach-Karuma'!N18,'30.07.19 pakwach-karuma'!N18,'31.07 pakwach-karuma'!N18,'01.08 pakwach-karuma'!N18,'2.08 Pakwach-Karuma-24h'!N18,'3.08 Pakwach-Karuma-24h'!N18,'4.08 Pakwach-Karuma '!N18)</f>
        <v>0.42857142857142855</v>
      </c>
      <c r="O18" s="15">
        <f t="shared" si="0"/>
        <v>3.714285714285714</v>
      </c>
      <c r="P18" s="15">
        <f t="shared" si="1"/>
        <v>7.5714285714285712</v>
      </c>
      <c r="R18" s="1" t="s">
        <v>14</v>
      </c>
      <c r="S18" s="17">
        <f t="shared" ref="S18:AF18" si="10">SUM(C42:C45)</f>
        <v>3.2857142857142856</v>
      </c>
      <c r="T18" s="17">
        <f t="shared" si="10"/>
        <v>1.2857142857142856</v>
      </c>
      <c r="U18" s="17">
        <f t="shared" si="10"/>
        <v>6.1428571428571423</v>
      </c>
      <c r="V18" s="17">
        <f t="shared" si="10"/>
        <v>2.1428571428571428</v>
      </c>
      <c r="W18" s="17">
        <f t="shared" si="10"/>
        <v>1.4285714285714284</v>
      </c>
      <c r="X18" s="17">
        <f t="shared" si="10"/>
        <v>0.99999999999999989</v>
      </c>
      <c r="Y18" s="17">
        <f t="shared" si="10"/>
        <v>1.2857142857142856</v>
      </c>
      <c r="Z18" s="17">
        <f t="shared" si="10"/>
        <v>1</v>
      </c>
      <c r="AA18" s="17">
        <f t="shared" si="10"/>
        <v>1.8571428571428572</v>
      </c>
      <c r="AB18" s="17">
        <f t="shared" si="10"/>
        <v>5.1428571428571432</v>
      </c>
      <c r="AC18" s="17">
        <f t="shared" si="10"/>
        <v>15</v>
      </c>
      <c r="AD18" s="17">
        <f t="shared" si="10"/>
        <v>0.42857142857142855</v>
      </c>
      <c r="AE18" s="31">
        <f t="shared" si="10"/>
        <v>25</v>
      </c>
      <c r="AF18" s="31">
        <f t="shared" si="10"/>
        <v>40</v>
      </c>
    </row>
    <row r="19" spans="2:32" ht="23.1" customHeight="1" x14ac:dyDescent="0.25">
      <c r="B19" s="23" t="s">
        <v>46</v>
      </c>
      <c r="C19" s="49">
        <f>AVERAGE('29.07 Pakwach-Karuma'!C19,'30.07.19 pakwach-karuma'!C19,'31.07 pakwach-karuma'!C19,'01.08 pakwach-karuma'!C19,'2.08 Pakwach-Karuma-24h'!C19,'3.08 Pakwach-Karuma-24h'!C19,'4.08 Pakwach-Karuma '!C19)</f>
        <v>0.14285714285714285</v>
      </c>
      <c r="D19" s="49">
        <f>AVERAGE('29.07 Pakwach-Karuma'!D19,'30.07.19 pakwach-karuma'!D19,'31.07 pakwach-karuma'!D19,'01.08 pakwach-karuma'!D19,'2.08 Pakwach-Karuma-24h'!D19,'3.08 Pakwach-Karuma-24h'!D19,'4.08 Pakwach-Karuma '!D19)</f>
        <v>0.42857142857142855</v>
      </c>
      <c r="E19" s="49">
        <f>AVERAGE('29.07 Pakwach-Karuma'!E19,'30.07.19 pakwach-karuma'!E19,'31.07 pakwach-karuma'!E19,'01.08 pakwach-karuma'!E19,'2.08 Pakwach-Karuma-24h'!E19,'3.08 Pakwach-Karuma-24h'!E19,'4.08 Pakwach-Karuma '!E19)</f>
        <v>1.7142857142857142</v>
      </c>
      <c r="F19" s="49">
        <f>AVERAGE('29.07 Pakwach-Karuma'!F19,'30.07.19 pakwach-karuma'!F19,'31.07 pakwach-karuma'!F19,'01.08 pakwach-karuma'!F19,'2.08 Pakwach-Karuma-24h'!F19,'3.08 Pakwach-Karuma-24h'!F19,'4.08 Pakwach-Karuma '!F19)</f>
        <v>0.14285714285714285</v>
      </c>
      <c r="G19" s="49">
        <f>AVERAGE('29.07 Pakwach-Karuma'!G19,'30.07.19 pakwach-karuma'!G19,'31.07 pakwach-karuma'!G19,'01.08 pakwach-karuma'!G19,'2.08 Pakwach-Karuma-24h'!G19,'3.08 Pakwach-Karuma-24h'!G19,'4.08 Pakwach-Karuma '!G19)</f>
        <v>0.2857142857142857</v>
      </c>
      <c r="H19" s="49">
        <f>AVERAGE('29.07 Pakwach-Karuma'!H19,'30.07.19 pakwach-karuma'!H19,'31.07 pakwach-karuma'!H19,'01.08 pakwach-karuma'!H19,'2.08 Pakwach-Karuma-24h'!H19,'3.08 Pakwach-Karuma-24h'!H19,'4.08 Pakwach-Karuma '!H19)</f>
        <v>0.14285714285714285</v>
      </c>
      <c r="I19" s="49">
        <f>AVERAGE('29.07 Pakwach-Karuma'!I19,'30.07.19 pakwach-karuma'!I19,'31.07 pakwach-karuma'!I19,'01.08 pakwach-karuma'!I19,'2.08 Pakwach-Karuma-24h'!I19,'3.08 Pakwach-Karuma-24h'!I19,'4.08 Pakwach-Karuma '!I19)</f>
        <v>0.14285714285714285</v>
      </c>
      <c r="J19" s="49">
        <f>AVERAGE('29.07 Pakwach-Karuma'!J19,'30.07.19 pakwach-karuma'!J19,'31.07 pakwach-karuma'!J19,'01.08 pakwach-karuma'!J19,'2.08 Pakwach-Karuma-24h'!J19,'3.08 Pakwach-Karuma-24h'!J19,'4.08 Pakwach-Karuma '!J19)</f>
        <v>0.14285714285714285</v>
      </c>
      <c r="K19" s="49">
        <f>AVERAGE('29.07 Pakwach-Karuma'!K19,'30.07.19 pakwach-karuma'!K19,'31.07 pakwach-karuma'!K19,'01.08 pakwach-karuma'!K19,'2.08 Pakwach-Karuma-24h'!K19,'3.08 Pakwach-Karuma-24h'!K19,'4.08 Pakwach-Karuma '!K19)</f>
        <v>0.14285714285714285</v>
      </c>
      <c r="L19" s="49">
        <f>AVERAGE('29.07 Pakwach-Karuma'!L19,'30.07.19 pakwach-karuma'!L19,'31.07 pakwach-karuma'!L19,'01.08 pakwach-karuma'!L19,'2.08 Pakwach-Karuma-24h'!L19,'3.08 Pakwach-Karuma-24h'!L19,'4.08 Pakwach-Karuma '!L19)</f>
        <v>0.42857142857142855</v>
      </c>
      <c r="M19" s="49">
        <f>AVERAGE('29.07 Pakwach-Karuma'!M19,'30.07.19 pakwach-karuma'!M19,'31.07 pakwach-karuma'!M19,'01.08 pakwach-karuma'!M19,'2.08 Pakwach-Karuma-24h'!M19,'3.08 Pakwach-Karuma-24h'!M19,'4.08 Pakwach-Karuma '!M19)</f>
        <v>5.2857142857142856</v>
      </c>
      <c r="N19" s="49">
        <f>AVERAGE('29.07 Pakwach-Karuma'!N19,'30.07.19 pakwach-karuma'!N19,'31.07 pakwach-karuma'!N19,'01.08 pakwach-karuma'!N19,'2.08 Pakwach-Karuma-24h'!N19,'3.08 Pakwach-Karuma-24h'!N19,'4.08 Pakwach-Karuma '!N19)</f>
        <v>0</v>
      </c>
      <c r="O19" s="15">
        <f t="shared" si="0"/>
        <v>3.7142857142857135</v>
      </c>
      <c r="P19" s="15">
        <f t="shared" si="1"/>
        <v>9</v>
      </c>
      <c r="R19" s="1" t="s">
        <v>15</v>
      </c>
      <c r="S19" s="17">
        <f t="shared" ref="S19:AF19" si="11">SUM(C46:C49)</f>
        <v>3.8571428571428572</v>
      </c>
      <c r="T19" s="17">
        <f t="shared" si="11"/>
        <v>2.4285714285714284</v>
      </c>
      <c r="U19" s="17">
        <f t="shared" si="11"/>
        <v>6.8571428571428577</v>
      </c>
      <c r="V19" s="17">
        <f t="shared" si="11"/>
        <v>3.8571428571428568</v>
      </c>
      <c r="W19" s="17">
        <f t="shared" si="11"/>
        <v>1</v>
      </c>
      <c r="X19" s="17">
        <f t="shared" si="11"/>
        <v>2.4285714285714288</v>
      </c>
      <c r="Y19" s="17">
        <f t="shared" si="11"/>
        <v>0.71428571428571419</v>
      </c>
      <c r="Z19" s="17">
        <f t="shared" si="11"/>
        <v>0.85714285714285698</v>
      </c>
      <c r="AA19" s="17">
        <f t="shared" si="11"/>
        <v>2.4285714285714284</v>
      </c>
      <c r="AB19" s="17">
        <f t="shared" si="11"/>
        <v>5.5714285714285712</v>
      </c>
      <c r="AC19" s="17">
        <f t="shared" si="11"/>
        <v>16.857142857142854</v>
      </c>
      <c r="AD19" s="17">
        <f t="shared" si="11"/>
        <v>0.2857142857142857</v>
      </c>
      <c r="AE19" s="31">
        <f t="shared" si="11"/>
        <v>30.285714285714285</v>
      </c>
      <c r="AF19" s="31">
        <f t="shared" si="11"/>
        <v>47.142857142857139</v>
      </c>
    </row>
    <row r="20" spans="2:32" ht="23.1" customHeight="1" x14ac:dyDescent="0.25">
      <c r="B20" s="23" t="s">
        <v>47</v>
      </c>
      <c r="C20" s="49">
        <f>AVERAGE('29.07 Pakwach-Karuma'!C20,'30.07.19 pakwach-karuma'!C20,'31.07 pakwach-karuma'!C20,'01.08 pakwach-karuma'!C20,'2.08 Pakwach-Karuma-24h'!C20,'3.08 Pakwach-Karuma-24h'!C20,'4.08 Pakwach-Karuma '!C20)</f>
        <v>1.4285714285714286</v>
      </c>
      <c r="D20" s="49">
        <f>AVERAGE('29.07 Pakwach-Karuma'!D20,'30.07.19 pakwach-karuma'!D20,'31.07 pakwach-karuma'!D20,'01.08 pakwach-karuma'!D20,'2.08 Pakwach-Karuma-24h'!D20,'3.08 Pakwach-Karuma-24h'!D20,'4.08 Pakwach-Karuma '!D20)</f>
        <v>0.42857142857142855</v>
      </c>
      <c r="E20" s="49">
        <f>AVERAGE('29.07 Pakwach-Karuma'!E20,'30.07.19 pakwach-karuma'!E20,'31.07 pakwach-karuma'!E20,'01.08 pakwach-karuma'!E20,'2.08 Pakwach-Karuma-24h'!E20,'3.08 Pakwach-Karuma-24h'!E20,'4.08 Pakwach-Karuma '!E20)</f>
        <v>1.5714285714285714</v>
      </c>
      <c r="F20" s="49">
        <f>AVERAGE('29.07 Pakwach-Karuma'!F20,'30.07.19 pakwach-karuma'!F20,'31.07 pakwach-karuma'!F20,'01.08 pakwach-karuma'!F20,'2.08 Pakwach-Karuma-24h'!F20,'3.08 Pakwach-Karuma-24h'!F20,'4.08 Pakwach-Karuma '!F20)</f>
        <v>1.5714285714285714</v>
      </c>
      <c r="G20" s="49">
        <f>AVERAGE('29.07 Pakwach-Karuma'!G20,'30.07.19 pakwach-karuma'!G20,'31.07 pakwach-karuma'!G20,'01.08 pakwach-karuma'!G20,'2.08 Pakwach-Karuma-24h'!G20,'3.08 Pakwach-Karuma-24h'!G20,'4.08 Pakwach-Karuma '!G20)</f>
        <v>0</v>
      </c>
      <c r="H20" s="49">
        <f>AVERAGE('29.07 Pakwach-Karuma'!H20,'30.07.19 pakwach-karuma'!H20,'31.07 pakwach-karuma'!H20,'01.08 pakwach-karuma'!H20,'2.08 Pakwach-Karuma-24h'!H20,'3.08 Pakwach-Karuma-24h'!H20,'4.08 Pakwach-Karuma '!H20)</f>
        <v>0.14285714285714285</v>
      </c>
      <c r="I20" s="49">
        <f>AVERAGE('29.07 Pakwach-Karuma'!I20,'30.07.19 pakwach-karuma'!I20,'31.07 pakwach-karuma'!I20,'01.08 pakwach-karuma'!I20,'2.08 Pakwach-Karuma-24h'!I20,'3.08 Pakwach-Karuma-24h'!I20,'4.08 Pakwach-Karuma '!I20)</f>
        <v>0.2857142857142857</v>
      </c>
      <c r="J20" s="49">
        <f>AVERAGE('29.07 Pakwach-Karuma'!J20,'30.07.19 pakwach-karuma'!J20,'31.07 pakwach-karuma'!J20,'01.08 pakwach-karuma'!J20,'2.08 Pakwach-Karuma-24h'!J20,'3.08 Pakwach-Karuma-24h'!J20,'4.08 Pakwach-Karuma '!J20)</f>
        <v>1.4285714285714286</v>
      </c>
      <c r="K20" s="49">
        <f>AVERAGE('29.07 Pakwach-Karuma'!K20,'30.07.19 pakwach-karuma'!K20,'31.07 pakwach-karuma'!K20,'01.08 pakwach-karuma'!K20,'2.08 Pakwach-Karuma-24h'!K20,'3.08 Pakwach-Karuma-24h'!K20,'4.08 Pakwach-Karuma '!K20)</f>
        <v>0.14285714285714285</v>
      </c>
      <c r="L20" s="49">
        <f>AVERAGE('29.07 Pakwach-Karuma'!L20,'30.07.19 pakwach-karuma'!L20,'31.07 pakwach-karuma'!L20,'01.08 pakwach-karuma'!L20,'2.08 Pakwach-Karuma-24h'!L20,'3.08 Pakwach-Karuma-24h'!L20,'4.08 Pakwach-Karuma '!L20)</f>
        <v>1.1428571428571428</v>
      </c>
      <c r="M20" s="49">
        <f>AVERAGE('29.07 Pakwach-Karuma'!M20,'30.07.19 pakwach-karuma'!M20,'31.07 pakwach-karuma'!M20,'01.08 pakwach-karuma'!M20,'2.08 Pakwach-Karuma-24h'!M20,'3.08 Pakwach-Karuma-24h'!M20,'4.08 Pakwach-Karuma '!M20)</f>
        <v>5</v>
      </c>
      <c r="N20" s="49">
        <f>AVERAGE('29.07 Pakwach-Karuma'!N20,'30.07.19 pakwach-karuma'!N20,'31.07 pakwach-karuma'!N20,'01.08 pakwach-karuma'!N20,'2.08 Pakwach-Karuma-24h'!N20,'3.08 Pakwach-Karuma-24h'!N20,'4.08 Pakwach-Karuma '!N20)</f>
        <v>0.14285714285714285</v>
      </c>
      <c r="O20" s="15">
        <f t="shared" si="0"/>
        <v>8.2857142857142865</v>
      </c>
      <c r="P20" s="15">
        <f t="shared" si="1"/>
        <v>13.285714285714286</v>
      </c>
      <c r="R20" s="1" t="s">
        <v>16</v>
      </c>
      <c r="S20" s="17">
        <f t="shared" ref="S20:AF20" si="12">SUM(C50:C53)</f>
        <v>4.8571428571428568</v>
      </c>
      <c r="T20" s="17">
        <f t="shared" si="12"/>
        <v>3</v>
      </c>
      <c r="U20" s="17">
        <f t="shared" si="12"/>
        <v>9.7142857142857153</v>
      </c>
      <c r="V20" s="17">
        <f t="shared" si="12"/>
        <v>3.4285714285714284</v>
      </c>
      <c r="W20" s="17">
        <f t="shared" si="12"/>
        <v>0.8571428571428571</v>
      </c>
      <c r="X20" s="17">
        <f t="shared" si="12"/>
        <v>2.5714285714285712</v>
      </c>
      <c r="Y20" s="17">
        <f t="shared" si="12"/>
        <v>1.2857142857142856</v>
      </c>
      <c r="Z20" s="17">
        <f t="shared" si="12"/>
        <v>2.7142857142857144</v>
      </c>
      <c r="AA20" s="17">
        <f t="shared" si="12"/>
        <v>0.42857142857142855</v>
      </c>
      <c r="AB20" s="17">
        <f t="shared" si="12"/>
        <v>3.7142857142857144</v>
      </c>
      <c r="AC20" s="17">
        <f t="shared" si="12"/>
        <v>19.285714285714285</v>
      </c>
      <c r="AD20" s="17">
        <f t="shared" si="12"/>
        <v>1.1428571428571428</v>
      </c>
      <c r="AE20" s="31">
        <f t="shared" si="12"/>
        <v>33.714285714285715</v>
      </c>
      <c r="AF20" s="31">
        <f t="shared" si="12"/>
        <v>53</v>
      </c>
    </row>
    <row r="21" spans="2:32" ht="23.1" customHeight="1" x14ac:dyDescent="0.25">
      <c r="B21" s="23" t="s">
        <v>48</v>
      </c>
      <c r="C21" s="49">
        <f>AVERAGE('29.07 Pakwach-Karuma'!C21,'30.07.19 pakwach-karuma'!C21,'31.07 pakwach-karuma'!C21,'01.08 pakwach-karuma'!C21,'2.08 Pakwach-Karuma-24h'!C21,'3.08 Pakwach-Karuma-24h'!C21,'4.08 Pakwach-Karuma '!C21)</f>
        <v>1</v>
      </c>
      <c r="D21" s="49">
        <f>AVERAGE('29.07 Pakwach-Karuma'!D21,'30.07.19 pakwach-karuma'!D21,'31.07 pakwach-karuma'!D21,'01.08 pakwach-karuma'!D21,'2.08 Pakwach-Karuma-24h'!D21,'3.08 Pakwach-Karuma-24h'!D21,'4.08 Pakwach-Karuma '!D21)</f>
        <v>0.14285714285714285</v>
      </c>
      <c r="E21" s="49">
        <f>AVERAGE('29.07 Pakwach-Karuma'!E21,'30.07.19 pakwach-karuma'!E21,'31.07 pakwach-karuma'!E21,'01.08 pakwach-karuma'!E21,'2.08 Pakwach-Karuma-24h'!E21,'3.08 Pakwach-Karuma-24h'!E21,'4.08 Pakwach-Karuma '!E21)</f>
        <v>1</v>
      </c>
      <c r="F21" s="49">
        <f>AVERAGE('29.07 Pakwach-Karuma'!F21,'30.07.19 pakwach-karuma'!F21,'31.07 pakwach-karuma'!F21,'01.08 pakwach-karuma'!F21,'2.08 Pakwach-Karuma-24h'!F21,'3.08 Pakwach-Karuma-24h'!F21,'4.08 Pakwach-Karuma '!F21)</f>
        <v>0.8571428571428571</v>
      </c>
      <c r="G21" s="49">
        <f>AVERAGE('29.07 Pakwach-Karuma'!G21,'30.07.19 pakwach-karuma'!G21,'31.07 pakwach-karuma'!G21,'01.08 pakwach-karuma'!G21,'2.08 Pakwach-Karuma-24h'!G21,'3.08 Pakwach-Karuma-24h'!G21,'4.08 Pakwach-Karuma '!G21)</f>
        <v>0.42857142857142855</v>
      </c>
      <c r="H21" s="49">
        <f>AVERAGE('29.07 Pakwach-Karuma'!H21,'30.07.19 pakwach-karuma'!H21,'31.07 pakwach-karuma'!H21,'01.08 pakwach-karuma'!H21,'2.08 Pakwach-Karuma-24h'!H21,'3.08 Pakwach-Karuma-24h'!H21,'4.08 Pakwach-Karuma '!H21)</f>
        <v>0</v>
      </c>
      <c r="I21" s="49">
        <f>AVERAGE('29.07 Pakwach-Karuma'!I21,'30.07.19 pakwach-karuma'!I21,'31.07 pakwach-karuma'!I21,'01.08 pakwach-karuma'!I21,'2.08 Pakwach-Karuma-24h'!I21,'3.08 Pakwach-Karuma-24h'!I21,'4.08 Pakwach-Karuma '!I21)</f>
        <v>0.42857142857142855</v>
      </c>
      <c r="J21" s="49">
        <f>AVERAGE('29.07 Pakwach-Karuma'!J21,'30.07.19 pakwach-karuma'!J21,'31.07 pakwach-karuma'!J21,'01.08 pakwach-karuma'!J21,'2.08 Pakwach-Karuma-24h'!J21,'3.08 Pakwach-Karuma-24h'!J21,'4.08 Pakwach-Karuma '!J21)</f>
        <v>0.2857142857142857</v>
      </c>
      <c r="K21" s="49">
        <f>AVERAGE('29.07 Pakwach-Karuma'!K21,'30.07.19 pakwach-karuma'!K21,'31.07 pakwach-karuma'!K21,'01.08 pakwach-karuma'!K21,'2.08 Pakwach-Karuma-24h'!K21,'3.08 Pakwach-Karuma-24h'!K21,'4.08 Pakwach-Karuma '!K21)</f>
        <v>0.2857142857142857</v>
      </c>
      <c r="L21" s="49">
        <f>AVERAGE('29.07 Pakwach-Karuma'!L21,'30.07.19 pakwach-karuma'!L21,'31.07 pakwach-karuma'!L21,'01.08 pakwach-karuma'!L21,'2.08 Pakwach-Karuma-24h'!L21,'3.08 Pakwach-Karuma-24h'!L21,'4.08 Pakwach-Karuma '!L21)</f>
        <v>0.2857142857142857</v>
      </c>
      <c r="M21" s="49">
        <f>AVERAGE('29.07 Pakwach-Karuma'!M21,'30.07.19 pakwach-karuma'!M21,'31.07 pakwach-karuma'!M21,'01.08 pakwach-karuma'!M21,'2.08 Pakwach-Karuma-24h'!M21,'3.08 Pakwach-Karuma-24h'!M21,'4.08 Pakwach-Karuma '!M21)</f>
        <v>5.4285714285714288</v>
      </c>
      <c r="N21" s="49">
        <f>AVERAGE('29.07 Pakwach-Karuma'!N21,'30.07.19 pakwach-karuma'!N21,'31.07 pakwach-karuma'!N21,'01.08 pakwach-karuma'!N21,'2.08 Pakwach-Karuma-24h'!N21,'3.08 Pakwach-Karuma-24h'!N21,'4.08 Pakwach-Karuma '!N21)</f>
        <v>0</v>
      </c>
      <c r="O21" s="15">
        <f t="shared" si="0"/>
        <v>4.7142857142857135</v>
      </c>
      <c r="P21" s="15">
        <f t="shared" si="1"/>
        <v>10.142857142857142</v>
      </c>
      <c r="R21" s="36" t="s">
        <v>20</v>
      </c>
      <c r="S21" s="34">
        <f t="shared" ref="S21:AF21" si="13">SUM(C54:C57)</f>
        <v>1.714285714285714</v>
      </c>
      <c r="T21" s="17">
        <f t="shared" si="13"/>
        <v>1.2857142857142856</v>
      </c>
      <c r="U21" s="17">
        <f t="shared" si="13"/>
        <v>7.2857142857142865</v>
      </c>
      <c r="V21" s="17">
        <f t="shared" si="13"/>
        <v>2.5714285714285712</v>
      </c>
      <c r="W21" s="17">
        <f t="shared" si="13"/>
        <v>1.7142857142857142</v>
      </c>
      <c r="X21" s="17">
        <f t="shared" si="13"/>
        <v>2.2857142857142856</v>
      </c>
      <c r="Y21" s="17">
        <f t="shared" si="13"/>
        <v>1.1428571428571428</v>
      </c>
      <c r="Z21" s="17">
        <f t="shared" si="13"/>
        <v>1</v>
      </c>
      <c r="AA21" s="17">
        <f t="shared" si="13"/>
        <v>0.85714285714285698</v>
      </c>
      <c r="AB21" s="17">
        <f t="shared" si="13"/>
        <v>3.5714285714285712</v>
      </c>
      <c r="AC21" s="17">
        <f t="shared" si="13"/>
        <v>16.285714285714285</v>
      </c>
      <c r="AD21" s="17">
        <f t="shared" si="13"/>
        <v>0.71428571428571419</v>
      </c>
      <c r="AE21" s="31">
        <f t="shared" si="13"/>
        <v>24.142857142857146</v>
      </c>
      <c r="AF21" s="31">
        <f t="shared" si="13"/>
        <v>40.428571428571431</v>
      </c>
    </row>
    <row r="22" spans="2:32" ht="23.1" customHeight="1" x14ac:dyDescent="0.25">
      <c r="B22" s="23" t="s">
        <v>49</v>
      </c>
      <c r="C22" s="49">
        <f>AVERAGE('29.07 Pakwach-Karuma'!C22,'30.07.19 pakwach-karuma'!C22,'31.07 pakwach-karuma'!C22,'01.08 pakwach-karuma'!C22,'2.08 Pakwach-Karuma-24h'!C22,'3.08 Pakwach-Karuma-24h'!C22,'4.08 Pakwach-Karuma '!C22)</f>
        <v>0.42857142857142855</v>
      </c>
      <c r="D22" s="49">
        <f>AVERAGE('29.07 Pakwach-Karuma'!D22,'30.07.19 pakwach-karuma'!D22,'31.07 pakwach-karuma'!D22,'01.08 pakwach-karuma'!D22,'2.08 Pakwach-Karuma-24h'!D22,'3.08 Pakwach-Karuma-24h'!D22,'4.08 Pakwach-Karuma '!D22)</f>
        <v>0.14285714285714285</v>
      </c>
      <c r="E22" s="49">
        <f>AVERAGE('29.07 Pakwach-Karuma'!E22,'30.07.19 pakwach-karuma'!E22,'31.07 pakwach-karuma'!E22,'01.08 pakwach-karuma'!E22,'2.08 Pakwach-Karuma-24h'!E22,'3.08 Pakwach-Karuma-24h'!E22,'4.08 Pakwach-Karuma '!E22)</f>
        <v>1.4285714285714286</v>
      </c>
      <c r="F22" s="49">
        <f>AVERAGE('29.07 Pakwach-Karuma'!F22,'30.07.19 pakwach-karuma'!F22,'31.07 pakwach-karuma'!F22,'01.08 pakwach-karuma'!F22,'2.08 Pakwach-Karuma-24h'!F22,'3.08 Pakwach-Karuma-24h'!F22,'4.08 Pakwach-Karuma '!F22)</f>
        <v>0.5714285714285714</v>
      </c>
      <c r="G22" s="49">
        <f>AVERAGE('29.07 Pakwach-Karuma'!G22,'30.07.19 pakwach-karuma'!G22,'31.07 pakwach-karuma'!G22,'01.08 pakwach-karuma'!G22,'2.08 Pakwach-Karuma-24h'!G22,'3.08 Pakwach-Karuma-24h'!G22,'4.08 Pakwach-Karuma '!G22)</f>
        <v>0.14285714285714285</v>
      </c>
      <c r="H22" s="49">
        <f>AVERAGE('29.07 Pakwach-Karuma'!H22,'30.07.19 pakwach-karuma'!H22,'31.07 pakwach-karuma'!H22,'01.08 pakwach-karuma'!H22,'2.08 Pakwach-Karuma-24h'!H22,'3.08 Pakwach-Karuma-24h'!H22,'4.08 Pakwach-Karuma '!H22)</f>
        <v>0</v>
      </c>
      <c r="I22" s="49">
        <f>AVERAGE('29.07 Pakwach-Karuma'!I22,'30.07.19 pakwach-karuma'!I22,'31.07 pakwach-karuma'!I22,'01.08 pakwach-karuma'!I22,'2.08 Pakwach-Karuma-24h'!I22,'3.08 Pakwach-Karuma-24h'!I22,'4.08 Pakwach-Karuma '!I22)</f>
        <v>1</v>
      </c>
      <c r="J22" s="49">
        <f>AVERAGE('29.07 Pakwach-Karuma'!J22,'30.07.19 pakwach-karuma'!J22,'31.07 pakwach-karuma'!J22,'01.08 pakwach-karuma'!J22,'2.08 Pakwach-Karuma-24h'!J22,'3.08 Pakwach-Karuma-24h'!J22,'4.08 Pakwach-Karuma '!J22)</f>
        <v>0.5714285714285714</v>
      </c>
      <c r="K22" s="49">
        <f>AVERAGE('29.07 Pakwach-Karuma'!K22,'30.07.19 pakwach-karuma'!K22,'31.07 pakwach-karuma'!K22,'01.08 pakwach-karuma'!K22,'2.08 Pakwach-Karuma-24h'!K22,'3.08 Pakwach-Karuma-24h'!K22,'4.08 Pakwach-Karuma '!K22)</f>
        <v>0.5714285714285714</v>
      </c>
      <c r="L22" s="49">
        <f>AVERAGE('29.07 Pakwach-Karuma'!L22,'30.07.19 pakwach-karuma'!L22,'31.07 pakwach-karuma'!L22,'01.08 pakwach-karuma'!L22,'2.08 Pakwach-Karuma-24h'!L22,'3.08 Pakwach-Karuma-24h'!L22,'4.08 Pakwach-Karuma '!L22)</f>
        <v>1</v>
      </c>
      <c r="M22" s="49">
        <f>AVERAGE('29.07 Pakwach-Karuma'!M22,'30.07.19 pakwach-karuma'!M22,'31.07 pakwach-karuma'!M22,'01.08 pakwach-karuma'!M22,'2.08 Pakwach-Karuma-24h'!M22,'3.08 Pakwach-Karuma-24h'!M22,'4.08 Pakwach-Karuma '!M22)</f>
        <v>3.8571428571428572</v>
      </c>
      <c r="N22" s="49">
        <f>AVERAGE('29.07 Pakwach-Karuma'!N22,'30.07.19 pakwach-karuma'!N22,'31.07 pakwach-karuma'!N22,'01.08 pakwach-karuma'!N22,'2.08 Pakwach-Karuma-24h'!N22,'3.08 Pakwach-Karuma-24h'!N22,'4.08 Pakwach-Karuma '!N22)</f>
        <v>0</v>
      </c>
      <c r="O22" s="15">
        <f t="shared" si="0"/>
        <v>5.8571428571428568</v>
      </c>
      <c r="P22" s="15">
        <f t="shared" si="1"/>
        <v>9.7142857142857135</v>
      </c>
      <c r="R22" s="1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4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2</v>
      </c>
      <c r="AA22" s="34">
        <f t="shared" si="14"/>
        <v>0</v>
      </c>
      <c r="AB22" s="34">
        <f t="shared" si="14"/>
        <v>4</v>
      </c>
      <c r="AC22" s="34">
        <f t="shared" si="14"/>
        <v>8</v>
      </c>
      <c r="AD22" s="34">
        <f t="shared" si="14"/>
        <v>0</v>
      </c>
      <c r="AE22" s="31">
        <f t="shared" si="14"/>
        <v>12</v>
      </c>
      <c r="AF22" s="31">
        <f t="shared" si="14"/>
        <v>20</v>
      </c>
    </row>
    <row r="23" spans="2:32" ht="23.1" customHeight="1" x14ac:dyDescent="0.25">
      <c r="B23" s="23" t="s">
        <v>50</v>
      </c>
      <c r="C23" s="49">
        <f>AVERAGE('29.07 Pakwach-Karuma'!C23,'30.07.19 pakwach-karuma'!C23,'31.07 pakwach-karuma'!C23,'01.08 pakwach-karuma'!C23,'2.08 Pakwach-Karuma-24h'!C23,'3.08 Pakwach-Karuma-24h'!C23,'4.08 Pakwach-Karuma '!C23)</f>
        <v>0.42857142857142855</v>
      </c>
      <c r="D23" s="49">
        <f>AVERAGE('29.07 Pakwach-Karuma'!D23,'30.07.19 pakwach-karuma'!D23,'31.07 pakwach-karuma'!D23,'01.08 pakwach-karuma'!D23,'2.08 Pakwach-Karuma-24h'!D23,'3.08 Pakwach-Karuma-24h'!D23,'4.08 Pakwach-Karuma '!D23)</f>
        <v>0.2857142857142857</v>
      </c>
      <c r="E23" s="49">
        <f>AVERAGE('29.07 Pakwach-Karuma'!E23,'30.07.19 pakwach-karuma'!E23,'31.07 pakwach-karuma'!E23,'01.08 pakwach-karuma'!E23,'2.08 Pakwach-Karuma-24h'!E23,'3.08 Pakwach-Karuma-24h'!E23,'4.08 Pakwach-Karuma '!E23)</f>
        <v>1.8571428571428572</v>
      </c>
      <c r="F23" s="49">
        <f>AVERAGE('29.07 Pakwach-Karuma'!F23,'30.07.19 pakwach-karuma'!F23,'31.07 pakwach-karuma'!F23,'01.08 pakwach-karuma'!F23,'2.08 Pakwach-Karuma-24h'!F23,'3.08 Pakwach-Karuma-24h'!F23,'4.08 Pakwach-Karuma '!F23)</f>
        <v>0.5714285714285714</v>
      </c>
      <c r="G23" s="49">
        <f>AVERAGE('29.07 Pakwach-Karuma'!G23,'30.07.19 pakwach-karuma'!G23,'31.07 pakwach-karuma'!G23,'01.08 pakwach-karuma'!G23,'2.08 Pakwach-Karuma-24h'!G23,'3.08 Pakwach-Karuma-24h'!G23,'4.08 Pakwach-Karuma '!G23)</f>
        <v>0.42857142857142855</v>
      </c>
      <c r="H23" s="49">
        <f>AVERAGE('29.07 Pakwach-Karuma'!H23,'30.07.19 pakwach-karuma'!H23,'31.07 pakwach-karuma'!H23,'01.08 pakwach-karuma'!H23,'2.08 Pakwach-Karuma-24h'!H23,'3.08 Pakwach-Karuma-24h'!H23,'4.08 Pakwach-Karuma '!H23)</f>
        <v>0.14285714285714285</v>
      </c>
      <c r="I23" s="49">
        <f>AVERAGE('29.07 Pakwach-Karuma'!I23,'30.07.19 pakwach-karuma'!I23,'31.07 pakwach-karuma'!I23,'01.08 pakwach-karuma'!I23,'2.08 Pakwach-Karuma-24h'!I23,'3.08 Pakwach-Karuma-24h'!I23,'4.08 Pakwach-Karuma '!I23)</f>
        <v>0</v>
      </c>
      <c r="J23" s="49">
        <f>AVERAGE('29.07 Pakwach-Karuma'!J23,'30.07.19 pakwach-karuma'!J23,'31.07 pakwach-karuma'!J23,'01.08 pakwach-karuma'!J23,'2.08 Pakwach-Karuma-24h'!J23,'3.08 Pakwach-Karuma-24h'!J23,'4.08 Pakwach-Karuma '!J23)</f>
        <v>0.14285714285714285</v>
      </c>
      <c r="K23" s="49">
        <f>AVERAGE('29.07 Pakwach-Karuma'!K23,'30.07.19 pakwach-karuma'!K23,'31.07 pakwach-karuma'!K23,'01.08 pakwach-karuma'!K23,'2.08 Pakwach-Karuma-24h'!K23,'3.08 Pakwach-Karuma-24h'!K23,'4.08 Pakwach-Karuma '!K23)</f>
        <v>0.14285714285714285</v>
      </c>
      <c r="L23" s="49">
        <f>AVERAGE('29.07 Pakwach-Karuma'!L23,'30.07.19 pakwach-karuma'!L23,'31.07 pakwach-karuma'!L23,'01.08 pakwach-karuma'!L23,'2.08 Pakwach-Karuma-24h'!L23,'3.08 Pakwach-Karuma-24h'!L23,'4.08 Pakwach-Karuma '!L23)</f>
        <v>1.1428571428571428</v>
      </c>
      <c r="M23" s="49">
        <f>AVERAGE('29.07 Pakwach-Karuma'!M23,'30.07.19 pakwach-karuma'!M23,'31.07 pakwach-karuma'!M23,'01.08 pakwach-karuma'!M23,'2.08 Pakwach-Karuma-24h'!M23,'3.08 Pakwach-Karuma-24h'!M23,'4.08 Pakwach-Karuma '!M23)</f>
        <v>3.5714285714285716</v>
      </c>
      <c r="N23" s="49">
        <f>AVERAGE('29.07 Pakwach-Karuma'!N23,'30.07.19 pakwach-karuma'!N23,'31.07 pakwach-karuma'!N23,'01.08 pakwach-karuma'!N23,'2.08 Pakwach-Karuma-24h'!N23,'3.08 Pakwach-Karuma-24h'!N23,'4.08 Pakwach-Karuma '!N23)</f>
        <v>0.2857142857142857</v>
      </c>
      <c r="O23" s="15">
        <f t="shared" si="0"/>
        <v>5.4285714285714279</v>
      </c>
      <c r="P23" s="15">
        <f t="shared" si="1"/>
        <v>9</v>
      </c>
      <c r="R23" s="1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3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3</v>
      </c>
      <c r="AA23" s="34">
        <f t="shared" si="15"/>
        <v>0</v>
      </c>
      <c r="AB23" s="34">
        <f t="shared" si="15"/>
        <v>4</v>
      </c>
      <c r="AC23" s="34">
        <f t="shared" si="15"/>
        <v>8.5</v>
      </c>
      <c r="AD23" s="34">
        <f t="shared" si="15"/>
        <v>0</v>
      </c>
      <c r="AE23" s="31">
        <f t="shared" si="15"/>
        <v>12</v>
      </c>
      <c r="AF23" s="31">
        <f t="shared" si="15"/>
        <v>20.5</v>
      </c>
    </row>
    <row r="24" spans="2:32" ht="23.1" customHeight="1" x14ac:dyDescent="0.25">
      <c r="B24" s="23" t="s">
        <v>51</v>
      </c>
      <c r="C24" s="49">
        <f>AVERAGE('29.07 Pakwach-Karuma'!C24,'30.07.19 pakwach-karuma'!C24,'31.07 pakwach-karuma'!C24,'01.08 pakwach-karuma'!C24,'2.08 Pakwach-Karuma-24h'!C24,'3.08 Pakwach-Karuma-24h'!C24,'4.08 Pakwach-Karuma '!C24)</f>
        <v>0.14285714285714285</v>
      </c>
      <c r="D24" s="49">
        <f>AVERAGE('29.07 Pakwach-Karuma'!D24,'30.07.19 pakwach-karuma'!D24,'31.07 pakwach-karuma'!D24,'01.08 pakwach-karuma'!D24,'2.08 Pakwach-Karuma-24h'!D24,'3.08 Pakwach-Karuma-24h'!D24,'4.08 Pakwach-Karuma '!D24)</f>
        <v>0.42857142857142855</v>
      </c>
      <c r="E24" s="49">
        <f>AVERAGE('29.07 Pakwach-Karuma'!E24,'30.07.19 pakwach-karuma'!E24,'31.07 pakwach-karuma'!E24,'01.08 pakwach-karuma'!E24,'2.08 Pakwach-Karuma-24h'!E24,'3.08 Pakwach-Karuma-24h'!E24,'4.08 Pakwach-Karuma '!E24)</f>
        <v>1.8571428571428572</v>
      </c>
      <c r="F24" s="49">
        <f>AVERAGE('29.07 Pakwach-Karuma'!F24,'30.07.19 pakwach-karuma'!F24,'31.07 pakwach-karuma'!F24,'01.08 pakwach-karuma'!F24,'2.08 Pakwach-Karuma-24h'!F24,'3.08 Pakwach-Karuma-24h'!F24,'4.08 Pakwach-Karuma '!F24)</f>
        <v>0.5714285714285714</v>
      </c>
      <c r="G24" s="49">
        <f>AVERAGE('29.07 Pakwach-Karuma'!G24,'30.07.19 pakwach-karuma'!G24,'31.07 pakwach-karuma'!G24,'01.08 pakwach-karuma'!G24,'2.08 Pakwach-Karuma-24h'!G24,'3.08 Pakwach-Karuma-24h'!G24,'4.08 Pakwach-Karuma '!G24)</f>
        <v>0.2857142857142857</v>
      </c>
      <c r="H24" s="49">
        <f>AVERAGE('29.07 Pakwach-Karuma'!H24,'30.07.19 pakwach-karuma'!H24,'31.07 pakwach-karuma'!H24,'01.08 pakwach-karuma'!H24,'2.08 Pakwach-Karuma-24h'!H24,'3.08 Pakwach-Karuma-24h'!H24,'4.08 Pakwach-Karuma '!H24)</f>
        <v>0</v>
      </c>
      <c r="I24" s="49">
        <f>AVERAGE('29.07 Pakwach-Karuma'!I24,'30.07.19 pakwach-karuma'!I24,'31.07 pakwach-karuma'!I24,'01.08 pakwach-karuma'!I24,'2.08 Pakwach-Karuma-24h'!I24,'3.08 Pakwach-Karuma-24h'!I24,'4.08 Pakwach-Karuma '!I24)</f>
        <v>0.14285714285714285</v>
      </c>
      <c r="J24" s="49">
        <f>AVERAGE('29.07 Pakwach-Karuma'!J24,'30.07.19 pakwach-karuma'!J24,'31.07 pakwach-karuma'!J24,'01.08 pakwach-karuma'!J24,'2.08 Pakwach-Karuma-24h'!J24,'3.08 Pakwach-Karuma-24h'!J24,'4.08 Pakwach-Karuma '!J24)</f>
        <v>1</v>
      </c>
      <c r="K24" s="49">
        <f>AVERAGE('29.07 Pakwach-Karuma'!K24,'30.07.19 pakwach-karuma'!K24,'31.07 pakwach-karuma'!K24,'01.08 pakwach-karuma'!K24,'2.08 Pakwach-Karuma-24h'!K24,'3.08 Pakwach-Karuma-24h'!K24,'4.08 Pakwach-Karuma '!K24)</f>
        <v>0</v>
      </c>
      <c r="L24" s="49">
        <f>AVERAGE('29.07 Pakwach-Karuma'!L24,'30.07.19 pakwach-karuma'!L24,'31.07 pakwach-karuma'!L24,'01.08 pakwach-karuma'!L24,'2.08 Pakwach-Karuma-24h'!L24,'3.08 Pakwach-Karuma-24h'!L24,'4.08 Pakwach-Karuma '!L24)</f>
        <v>0.8571428571428571</v>
      </c>
      <c r="M24" s="49">
        <f>AVERAGE('29.07 Pakwach-Karuma'!M24,'30.07.19 pakwach-karuma'!M24,'31.07 pakwach-karuma'!M24,'01.08 pakwach-karuma'!M24,'2.08 Pakwach-Karuma-24h'!M24,'3.08 Pakwach-Karuma-24h'!M24,'4.08 Pakwach-Karuma '!M24)</f>
        <v>4.2857142857142856</v>
      </c>
      <c r="N24" s="49">
        <f>AVERAGE('29.07 Pakwach-Karuma'!N24,'30.07.19 pakwach-karuma'!N24,'31.07 pakwach-karuma'!N24,'01.08 pakwach-karuma'!N24,'2.08 Pakwach-Karuma-24h'!N24,'3.08 Pakwach-Karuma-24h'!N24,'4.08 Pakwach-Karuma '!N24)</f>
        <v>0.42857142857142855</v>
      </c>
      <c r="O24" s="15">
        <f t="shared" si="0"/>
        <v>5.7142857142857144</v>
      </c>
      <c r="P24" s="15">
        <f t="shared" si="1"/>
        <v>10</v>
      </c>
      <c r="R24" s="1" t="s">
        <v>148</v>
      </c>
      <c r="S24" s="34">
        <f>SUM(C66:C69)</f>
        <v>2</v>
      </c>
      <c r="T24" s="34">
        <f t="shared" ref="T24:AF24" si="16">SUM(D66:D69)</f>
        <v>0</v>
      </c>
      <c r="U24" s="34">
        <f t="shared" si="16"/>
        <v>3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2</v>
      </c>
      <c r="AC24" s="34">
        <f t="shared" si="16"/>
        <v>13.5</v>
      </c>
      <c r="AD24" s="34">
        <f t="shared" si="16"/>
        <v>0</v>
      </c>
      <c r="AE24" s="31">
        <f t="shared" si="16"/>
        <v>10</v>
      </c>
      <c r="AF24" s="31">
        <f t="shared" si="16"/>
        <v>23.5</v>
      </c>
    </row>
    <row r="25" spans="2:32" ht="23.1" customHeight="1" x14ac:dyDescent="0.25">
      <c r="B25" s="23" t="s">
        <v>52</v>
      </c>
      <c r="C25" s="49">
        <f>AVERAGE('29.07 Pakwach-Karuma'!C25,'30.07.19 pakwach-karuma'!C25,'31.07 pakwach-karuma'!C25,'01.08 pakwach-karuma'!C25,'2.08 Pakwach-Karuma-24h'!C25,'3.08 Pakwach-Karuma-24h'!C25,'4.08 Pakwach-Karuma '!C25)</f>
        <v>0.5714285714285714</v>
      </c>
      <c r="D25" s="49">
        <f>AVERAGE('29.07 Pakwach-Karuma'!D25,'30.07.19 pakwach-karuma'!D25,'31.07 pakwach-karuma'!D25,'01.08 pakwach-karuma'!D25,'2.08 Pakwach-Karuma-24h'!D25,'3.08 Pakwach-Karuma-24h'!D25,'4.08 Pakwach-Karuma '!D25)</f>
        <v>0.14285714285714285</v>
      </c>
      <c r="E25" s="49">
        <f>AVERAGE('29.07 Pakwach-Karuma'!E25,'30.07.19 pakwach-karuma'!E25,'31.07 pakwach-karuma'!E25,'01.08 pakwach-karuma'!E25,'2.08 Pakwach-Karuma-24h'!E25,'3.08 Pakwach-Karuma-24h'!E25,'4.08 Pakwach-Karuma '!E25)</f>
        <v>1.1428571428571428</v>
      </c>
      <c r="F25" s="49">
        <f>AVERAGE('29.07 Pakwach-Karuma'!F25,'30.07.19 pakwach-karuma'!F25,'31.07 pakwach-karuma'!F25,'01.08 pakwach-karuma'!F25,'2.08 Pakwach-Karuma-24h'!F25,'3.08 Pakwach-Karuma-24h'!F25,'4.08 Pakwach-Karuma '!F25)</f>
        <v>1.2857142857142858</v>
      </c>
      <c r="G25" s="49">
        <f>AVERAGE('29.07 Pakwach-Karuma'!G25,'30.07.19 pakwach-karuma'!G25,'31.07 pakwach-karuma'!G25,'01.08 pakwach-karuma'!G25,'2.08 Pakwach-Karuma-24h'!G25,'3.08 Pakwach-Karuma-24h'!G25,'4.08 Pakwach-Karuma '!G25)</f>
        <v>0.42857142857142855</v>
      </c>
      <c r="H25" s="49">
        <f>AVERAGE('29.07 Pakwach-Karuma'!H25,'30.07.19 pakwach-karuma'!H25,'31.07 pakwach-karuma'!H25,'01.08 pakwach-karuma'!H25,'2.08 Pakwach-Karuma-24h'!H25,'3.08 Pakwach-Karuma-24h'!H25,'4.08 Pakwach-Karuma '!H25)</f>
        <v>0</v>
      </c>
      <c r="I25" s="49">
        <f>AVERAGE('29.07 Pakwach-Karuma'!I25,'30.07.19 pakwach-karuma'!I25,'31.07 pakwach-karuma'!I25,'01.08 pakwach-karuma'!I25,'2.08 Pakwach-Karuma-24h'!I25,'3.08 Pakwach-Karuma-24h'!I25,'4.08 Pakwach-Karuma '!I25)</f>
        <v>0.5714285714285714</v>
      </c>
      <c r="J25" s="49">
        <f>AVERAGE('29.07 Pakwach-Karuma'!J25,'30.07.19 pakwach-karuma'!J25,'31.07 pakwach-karuma'!J25,'01.08 pakwach-karuma'!J25,'2.08 Pakwach-Karuma-24h'!J25,'3.08 Pakwach-Karuma-24h'!J25,'4.08 Pakwach-Karuma '!J25)</f>
        <v>0.5714285714285714</v>
      </c>
      <c r="K25" s="49">
        <f>AVERAGE('29.07 Pakwach-Karuma'!K25,'30.07.19 pakwach-karuma'!K25,'31.07 pakwach-karuma'!K25,'01.08 pakwach-karuma'!K25,'2.08 Pakwach-Karuma-24h'!K25,'3.08 Pakwach-Karuma-24h'!K25,'4.08 Pakwach-Karuma '!K25)</f>
        <v>0.14285714285714285</v>
      </c>
      <c r="L25" s="49">
        <f>AVERAGE('29.07 Pakwach-Karuma'!L25,'30.07.19 pakwach-karuma'!L25,'31.07 pakwach-karuma'!L25,'01.08 pakwach-karuma'!L25,'2.08 Pakwach-Karuma-24h'!L25,'3.08 Pakwach-Karuma-24h'!L25,'4.08 Pakwach-Karuma '!L25)</f>
        <v>0.5714285714285714</v>
      </c>
      <c r="M25" s="49">
        <f>AVERAGE('29.07 Pakwach-Karuma'!M25,'30.07.19 pakwach-karuma'!M25,'31.07 pakwach-karuma'!M25,'01.08 pakwach-karuma'!M25,'2.08 Pakwach-Karuma-24h'!M25,'3.08 Pakwach-Karuma-24h'!M25,'4.08 Pakwach-Karuma '!M25)</f>
        <v>3.8571428571428572</v>
      </c>
      <c r="N25" s="49">
        <f>AVERAGE('29.07 Pakwach-Karuma'!N25,'30.07.19 pakwach-karuma'!N25,'31.07 pakwach-karuma'!N25,'01.08 pakwach-karuma'!N25,'2.08 Pakwach-Karuma-24h'!N25,'3.08 Pakwach-Karuma-24h'!N25,'4.08 Pakwach-Karuma '!N25)</f>
        <v>0.14285714285714285</v>
      </c>
      <c r="O25" s="15">
        <f t="shared" si="0"/>
        <v>5.5714285714285712</v>
      </c>
      <c r="P25" s="15">
        <f t="shared" si="1"/>
        <v>9.428571428571427</v>
      </c>
      <c r="R25" s="1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3</v>
      </c>
      <c r="AC25" s="34">
        <f t="shared" si="17"/>
        <v>7</v>
      </c>
      <c r="AD25" s="34">
        <f t="shared" si="17"/>
        <v>0</v>
      </c>
      <c r="AE25" s="31">
        <f t="shared" si="17"/>
        <v>10</v>
      </c>
      <c r="AF25" s="31">
        <f t="shared" si="17"/>
        <v>17</v>
      </c>
    </row>
    <row r="26" spans="2:32" ht="23.1" customHeight="1" x14ac:dyDescent="0.25">
      <c r="B26" s="23" t="s">
        <v>53</v>
      </c>
      <c r="C26" s="49">
        <f>AVERAGE('29.07 Pakwach-Karuma'!C26,'30.07.19 pakwach-karuma'!C26,'31.07 pakwach-karuma'!C26,'01.08 pakwach-karuma'!C26,'2.08 Pakwach-Karuma-24h'!C26,'3.08 Pakwach-Karuma-24h'!C26,'4.08 Pakwach-Karuma '!C26)</f>
        <v>1</v>
      </c>
      <c r="D26" s="49">
        <f>AVERAGE('29.07 Pakwach-Karuma'!D26,'30.07.19 pakwach-karuma'!D26,'31.07 pakwach-karuma'!D26,'01.08 pakwach-karuma'!D26,'2.08 Pakwach-Karuma-24h'!D26,'3.08 Pakwach-Karuma-24h'!D26,'4.08 Pakwach-Karuma '!D26)</f>
        <v>0.14285714285714285</v>
      </c>
      <c r="E26" s="49">
        <f>AVERAGE('29.07 Pakwach-Karuma'!E26,'30.07.19 pakwach-karuma'!E26,'31.07 pakwach-karuma'!E26,'01.08 pakwach-karuma'!E26,'2.08 Pakwach-Karuma-24h'!E26,'3.08 Pakwach-Karuma-24h'!E26,'4.08 Pakwach-Karuma '!E26)</f>
        <v>1.2857142857142858</v>
      </c>
      <c r="F26" s="49">
        <f>AVERAGE('29.07 Pakwach-Karuma'!F26,'30.07.19 pakwach-karuma'!F26,'31.07 pakwach-karuma'!F26,'01.08 pakwach-karuma'!F26,'2.08 Pakwach-Karuma-24h'!F26,'3.08 Pakwach-Karuma-24h'!F26,'4.08 Pakwach-Karuma '!F26)</f>
        <v>1.5714285714285714</v>
      </c>
      <c r="G26" s="49">
        <f>AVERAGE('29.07 Pakwach-Karuma'!G26,'30.07.19 pakwach-karuma'!G26,'31.07 pakwach-karuma'!G26,'01.08 pakwach-karuma'!G26,'2.08 Pakwach-Karuma-24h'!G26,'3.08 Pakwach-Karuma-24h'!G26,'4.08 Pakwach-Karuma '!G26)</f>
        <v>0.2857142857142857</v>
      </c>
      <c r="H26" s="49">
        <f>AVERAGE('29.07 Pakwach-Karuma'!H26,'30.07.19 pakwach-karuma'!H26,'31.07 pakwach-karuma'!H26,'01.08 pakwach-karuma'!H26,'2.08 Pakwach-Karuma-24h'!H26,'3.08 Pakwach-Karuma-24h'!H26,'4.08 Pakwach-Karuma '!H26)</f>
        <v>0</v>
      </c>
      <c r="I26" s="49">
        <f>AVERAGE('29.07 Pakwach-Karuma'!I26,'30.07.19 pakwach-karuma'!I26,'31.07 pakwach-karuma'!I26,'01.08 pakwach-karuma'!I26,'2.08 Pakwach-Karuma-24h'!I26,'3.08 Pakwach-Karuma-24h'!I26,'4.08 Pakwach-Karuma '!I26)</f>
        <v>0.42857142857142855</v>
      </c>
      <c r="J26" s="49">
        <f>AVERAGE('29.07 Pakwach-Karuma'!J26,'30.07.19 pakwach-karuma'!J26,'31.07 pakwach-karuma'!J26,'01.08 pakwach-karuma'!J26,'2.08 Pakwach-Karuma-24h'!J26,'3.08 Pakwach-Karuma-24h'!J26,'4.08 Pakwach-Karuma '!J26)</f>
        <v>0</v>
      </c>
      <c r="K26" s="49">
        <f>AVERAGE('29.07 Pakwach-Karuma'!K26,'30.07.19 pakwach-karuma'!K26,'31.07 pakwach-karuma'!K26,'01.08 pakwach-karuma'!K26,'2.08 Pakwach-Karuma-24h'!K26,'3.08 Pakwach-Karuma-24h'!K26,'4.08 Pakwach-Karuma '!K26)</f>
        <v>0.2857142857142857</v>
      </c>
      <c r="L26" s="49">
        <f>AVERAGE('29.07 Pakwach-Karuma'!L26,'30.07.19 pakwach-karuma'!L26,'31.07 pakwach-karuma'!L26,'01.08 pakwach-karuma'!L26,'2.08 Pakwach-Karuma-24h'!L26,'3.08 Pakwach-Karuma-24h'!L26,'4.08 Pakwach-Karuma '!L26)</f>
        <v>0.5714285714285714</v>
      </c>
      <c r="M26" s="49">
        <f>AVERAGE('29.07 Pakwach-Karuma'!M26,'30.07.19 pakwach-karuma'!M26,'31.07 pakwach-karuma'!M26,'01.08 pakwach-karuma'!M26,'2.08 Pakwach-Karuma-24h'!M26,'3.08 Pakwach-Karuma-24h'!M26,'4.08 Pakwach-Karuma '!M26)</f>
        <v>4.4285714285714288</v>
      </c>
      <c r="N26" s="49">
        <f>AVERAGE('29.07 Pakwach-Karuma'!N26,'30.07.19 pakwach-karuma'!N26,'31.07 pakwach-karuma'!N26,'01.08 pakwach-karuma'!N26,'2.08 Pakwach-Karuma-24h'!N26,'3.08 Pakwach-Karuma-24h'!N26,'4.08 Pakwach-Karuma '!N26)</f>
        <v>0.14285714285714285</v>
      </c>
      <c r="O26" s="15">
        <f t="shared" si="0"/>
        <v>5.7142857142857144</v>
      </c>
      <c r="P26" s="15">
        <f t="shared" si="1"/>
        <v>10.142857142857142</v>
      </c>
      <c r="R26" s="1" t="s">
        <v>150</v>
      </c>
      <c r="S26" s="34">
        <f>SUM(C74:C77)</f>
        <v>2</v>
      </c>
      <c r="T26" s="34">
        <f t="shared" ref="T26:AF26" si="18">SUM(D74:D77)</f>
        <v>1</v>
      </c>
      <c r="U26" s="34">
        <f t="shared" si="18"/>
        <v>5</v>
      </c>
      <c r="V26" s="34">
        <f t="shared" si="18"/>
        <v>3</v>
      </c>
      <c r="W26" s="34">
        <f t="shared" si="18"/>
        <v>1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5</v>
      </c>
      <c r="AD26" s="34">
        <f t="shared" si="18"/>
        <v>0</v>
      </c>
      <c r="AE26" s="31">
        <f t="shared" si="18"/>
        <v>16</v>
      </c>
      <c r="AF26" s="31">
        <f t="shared" si="18"/>
        <v>21</v>
      </c>
    </row>
    <row r="27" spans="2:32" ht="23.1" customHeight="1" x14ac:dyDescent="0.25">
      <c r="B27" s="23" t="s">
        <v>54</v>
      </c>
      <c r="C27" s="49">
        <f>AVERAGE('29.07 Pakwach-Karuma'!C27,'30.07.19 pakwach-karuma'!C27,'31.07 pakwach-karuma'!C27,'01.08 pakwach-karuma'!C27,'2.08 Pakwach-Karuma-24h'!C27,'3.08 Pakwach-Karuma-24h'!C27,'4.08 Pakwach-Karuma '!C27)</f>
        <v>0.5714285714285714</v>
      </c>
      <c r="D27" s="49">
        <f>AVERAGE('29.07 Pakwach-Karuma'!D27,'30.07.19 pakwach-karuma'!D27,'31.07 pakwach-karuma'!D27,'01.08 pakwach-karuma'!D27,'2.08 Pakwach-Karuma-24h'!D27,'3.08 Pakwach-Karuma-24h'!D27,'4.08 Pakwach-Karuma '!D27)</f>
        <v>0.2857142857142857</v>
      </c>
      <c r="E27" s="49">
        <f>AVERAGE('29.07 Pakwach-Karuma'!E27,'30.07.19 pakwach-karuma'!E27,'31.07 pakwach-karuma'!E27,'01.08 pakwach-karuma'!E27,'2.08 Pakwach-Karuma-24h'!E27,'3.08 Pakwach-Karuma-24h'!E27,'4.08 Pakwach-Karuma '!E27)</f>
        <v>1.5714285714285714</v>
      </c>
      <c r="F27" s="49">
        <f>AVERAGE('29.07 Pakwach-Karuma'!F27,'30.07.19 pakwach-karuma'!F27,'31.07 pakwach-karuma'!F27,'01.08 pakwach-karuma'!F27,'2.08 Pakwach-Karuma-24h'!F27,'3.08 Pakwach-Karuma-24h'!F27,'4.08 Pakwach-Karuma '!F27)</f>
        <v>1.1428571428571428</v>
      </c>
      <c r="G27" s="49">
        <f>AVERAGE('29.07 Pakwach-Karuma'!G27,'30.07.19 pakwach-karuma'!G27,'31.07 pakwach-karuma'!G27,'01.08 pakwach-karuma'!G27,'2.08 Pakwach-Karuma-24h'!G27,'3.08 Pakwach-Karuma-24h'!G27,'4.08 Pakwach-Karuma '!G27)</f>
        <v>0.2857142857142857</v>
      </c>
      <c r="H27" s="49">
        <f>AVERAGE('29.07 Pakwach-Karuma'!H27,'30.07.19 pakwach-karuma'!H27,'31.07 pakwach-karuma'!H27,'01.08 pakwach-karuma'!H27,'2.08 Pakwach-Karuma-24h'!H27,'3.08 Pakwach-Karuma-24h'!H27,'4.08 Pakwach-Karuma '!H27)</f>
        <v>0</v>
      </c>
      <c r="I27" s="49">
        <f>AVERAGE('29.07 Pakwach-Karuma'!I27,'30.07.19 pakwach-karuma'!I27,'31.07 pakwach-karuma'!I27,'01.08 pakwach-karuma'!I27,'2.08 Pakwach-Karuma-24h'!I27,'3.08 Pakwach-Karuma-24h'!I27,'4.08 Pakwach-Karuma '!I27)</f>
        <v>1</v>
      </c>
      <c r="J27" s="49">
        <f>AVERAGE('29.07 Pakwach-Karuma'!J27,'30.07.19 pakwach-karuma'!J27,'31.07 pakwach-karuma'!J27,'01.08 pakwach-karuma'!J27,'2.08 Pakwach-Karuma-24h'!J27,'3.08 Pakwach-Karuma-24h'!J27,'4.08 Pakwach-Karuma '!J27)</f>
        <v>0.2857142857142857</v>
      </c>
      <c r="K27" s="49">
        <f>AVERAGE('29.07 Pakwach-Karuma'!K27,'30.07.19 pakwach-karuma'!K27,'31.07 pakwach-karuma'!K27,'01.08 pakwach-karuma'!K27,'2.08 Pakwach-Karuma-24h'!K27,'3.08 Pakwach-Karuma-24h'!K27,'4.08 Pakwach-Karuma '!K27)</f>
        <v>0.2857142857142857</v>
      </c>
      <c r="L27" s="49">
        <f>AVERAGE('29.07 Pakwach-Karuma'!L27,'30.07.19 pakwach-karuma'!L27,'31.07 pakwach-karuma'!L27,'01.08 pakwach-karuma'!L27,'2.08 Pakwach-Karuma-24h'!L27,'3.08 Pakwach-Karuma-24h'!L27,'4.08 Pakwach-Karuma '!L27)</f>
        <v>0.8571428571428571</v>
      </c>
      <c r="M27" s="49">
        <f>AVERAGE('29.07 Pakwach-Karuma'!M27,'30.07.19 pakwach-karuma'!M27,'31.07 pakwach-karuma'!M27,'01.08 pakwach-karuma'!M27,'2.08 Pakwach-Karuma-24h'!M27,'3.08 Pakwach-Karuma-24h'!M27,'4.08 Pakwach-Karuma '!M27)</f>
        <v>5.5714285714285712</v>
      </c>
      <c r="N27" s="49">
        <f>AVERAGE('29.07 Pakwach-Karuma'!N27,'30.07.19 pakwach-karuma'!N27,'31.07 pakwach-karuma'!N27,'01.08 pakwach-karuma'!N27,'2.08 Pakwach-Karuma-24h'!N27,'3.08 Pakwach-Karuma-24h'!N27,'4.08 Pakwach-Karuma '!N27)</f>
        <v>0.14285714285714285</v>
      </c>
      <c r="O27" s="15">
        <f t="shared" si="0"/>
        <v>6.4285714285714279</v>
      </c>
      <c r="P27" s="15">
        <f t="shared" si="1"/>
        <v>11.999999999999998</v>
      </c>
      <c r="R27" s="1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5</v>
      </c>
      <c r="AD27" s="34">
        <f t="shared" si="19"/>
        <v>0</v>
      </c>
      <c r="AE27" s="31">
        <f t="shared" si="19"/>
        <v>5</v>
      </c>
      <c r="AF27" s="31">
        <f t="shared" si="19"/>
        <v>10</v>
      </c>
    </row>
    <row r="28" spans="2:32" ht="23.1" customHeight="1" x14ac:dyDescent="0.25">
      <c r="B28" s="23" t="s">
        <v>55</v>
      </c>
      <c r="C28" s="49">
        <f>AVERAGE('29.07 Pakwach-Karuma'!C28,'30.07.19 pakwach-karuma'!C28,'31.07 pakwach-karuma'!C28,'01.08 pakwach-karuma'!C28,'2.08 Pakwach-Karuma-24h'!C28,'3.08 Pakwach-Karuma-24h'!C28,'4.08 Pakwach-Karuma '!C28)</f>
        <v>0.8571428571428571</v>
      </c>
      <c r="D28" s="49">
        <f>AVERAGE('29.07 Pakwach-Karuma'!D28,'30.07.19 pakwach-karuma'!D28,'31.07 pakwach-karuma'!D28,'01.08 pakwach-karuma'!D28,'2.08 Pakwach-Karuma-24h'!D28,'3.08 Pakwach-Karuma-24h'!D28,'4.08 Pakwach-Karuma '!D28)</f>
        <v>0.14285714285714285</v>
      </c>
      <c r="E28" s="49">
        <f>AVERAGE('29.07 Pakwach-Karuma'!E28,'30.07.19 pakwach-karuma'!E28,'31.07 pakwach-karuma'!E28,'01.08 pakwach-karuma'!E28,'2.08 Pakwach-Karuma-24h'!E28,'3.08 Pakwach-Karuma-24h'!E28,'4.08 Pakwach-Karuma '!E28)</f>
        <v>1.5714285714285714</v>
      </c>
      <c r="F28" s="49">
        <f>AVERAGE('29.07 Pakwach-Karuma'!F28,'30.07.19 pakwach-karuma'!F28,'31.07 pakwach-karuma'!F28,'01.08 pakwach-karuma'!F28,'2.08 Pakwach-Karuma-24h'!F28,'3.08 Pakwach-Karuma-24h'!F28,'4.08 Pakwach-Karuma '!F28)</f>
        <v>0.14285714285714285</v>
      </c>
      <c r="G28" s="49">
        <f>AVERAGE('29.07 Pakwach-Karuma'!G28,'30.07.19 pakwach-karuma'!G28,'31.07 pakwach-karuma'!G28,'01.08 pakwach-karuma'!G28,'2.08 Pakwach-Karuma-24h'!G28,'3.08 Pakwach-Karuma-24h'!G28,'4.08 Pakwach-Karuma '!G28)</f>
        <v>0.5714285714285714</v>
      </c>
      <c r="H28" s="49">
        <f>AVERAGE('29.07 Pakwach-Karuma'!H28,'30.07.19 pakwach-karuma'!H28,'31.07 pakwach-karuma'!H28,'01.08 pakwach-karuma'!H28,'2.08 Pakwach-Karuma-24h'!H28,'3.08 Pakwach-Karuma-24h'!H28,'4.08 Pakwach-Karuma '!H28)</f>
        <v>0.14285714285714285</v>
      </c>
      <c r="I28" s="49">
        <f>AVERAGE('29.07 Pakwach-Karuma'!I28,'30.07.19 pakwach-karuma'!I28,'31.07 pakwach-karuma'!I28,'01.08 pakwach-karuma'!I28,'2.08 Pakwach-Karuma-24h'!I28,'3.08 Pakwach-Karuma-24h'!I28,'4.08 Pakwach-Karuma '!I28)</f>
        <v>0.14285714285714285</v>
      </c>
      <c r="J28" s="49">
        <f>AVERAGE('29.07 Pakwach-Karuma'!J28,'30.07.19 pakwach-karuma'!J28,'31.07 pakwach-karuma'!J28,'01.08 pakwach-karuma'!J28,'2.08 Pakwach-Karuma-24h'!J28,'3.08 Pakwach-Karuma-24h'!J28,'4.08 Pakwach-Karuma '!J28)</f>
        <v>0.14285714285714285</v>
      </c>
      <c r="K28" s="49">
        <f>AVERAGE('29.07 Pakwach-Karuma'!K28,'30.07.19 pakwach-karuma'!K28,'31.07 pakwach-karuma'!K28,'01.08 pakwach-karuma'!K28,'2.08 Pakwach-Karuma-24h'!K28,'3.08 Pakwach-Karuma-24h'!K28,'4.08 Pakwach-Karuma '!K28)</f>
        <v>0.2857142857142857</v>
      </c>
      <c r="L28" s="49">
        <f>AVERAGE('29.07 Pakwach-Karuma'!L28,'30.07.19 pakwach-karuma'!L28,'31.07 pakwach-karuma'!L28,'01.08 pakwach-karuma'!L28,'2.08 Pakwach-Karuma-24h'!L28,'3.08 Pakwach-Karuma-24h'!L28,'4.08 Pakwach-Karuma '!L28)</f>
        <v>1.1428571428571428</v>
      </c>
      <c r="M28" s="49">
        <f>AVERAGE('29.07 Pakwach-Karuma'!M28,'30.07.19 pakwach-karuma'!M28,'31.07 pakwach-karuma'!M28,'01.08 pakwach-karuma'!M28,'2.08 Pakwach-Karuma-24h'!M28,'3.08 Pakwach-Karuma-24h'!M28,'4.08 Pakwach-Karuma '!M28)</f>
        <v>4</v>
      </c>
      <c r="N28" s="49">
        <f>AVERAGE('29.07 Pakwach-Karuma'!N28,'30.07.19 pakwach-karuma'!N28,'31.07 pakwach-karuma'!N28,'01.08 pakwach-karuma'!N28,'2.08 Pakwach-Karuma-24h'!N28,'3.08 Pakwach-Karuma-24h'!N28,'4.08 Pakwach-Karuma '!N28)</f>
        <v>0.2857142857142857</v>
      </c>
      <c r="O28" s="15">
        <f t="shared" si="0"/>
        <v>5.4285714285714279</v>
      </c>
      <c r="P28" s="15">
        <f t="shared" si="1"/>
        <v>9.4285714285714288</v>
      </c>
      <c r="R28" s="1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4</v>
      </c>
      <c r="AD28" s="34">
        <f t="shared" si="20"/>
        <v>0</v>
      </c>
      <c r="AE28" s="31">
        <f t="shared" si="20"/>
        <v>7</v>
      </c>
      <c r="AF28" s="31">
        <f t="shared" si="20"/>
        <v>11</v>
      </c>
    </row>
    <row r="29" spans="2:32" ht="23.1" customHeight="1" x14ac:dyDescent="0.25">
      <c r="B29" s="23" t="s">
        <v>56</v>
      </c>
      <c r="C29" s="49">
        <f>AVERAGE('29.07 Pakwach-Karuma'!C29,'30.07.19 pakwach-karuma'!C29,'31.07 pakwach-karuma'!C29,'01.08 pakwach-karuma'!C29,'2.08 Pakwach-Karuma-24h'!C29,'3.08 Pakwach-Karuma-24h'!C29,'4.08 Pakwach-Karuma '!C29)</f>
        <v>0.14285714285714285</v>
      </c>
      <c r="D29" s="49">
        <f>AVERAGE('29.07 Pakwach-Karuma'!D29,'30.07.19 pakwach-karuma'!D29,'31.07 pakwach-karuma'!D29,'01.08 pakwach-karuma'!D29,'2.08 Pakwach-Karuma-24h'!D29,'3.08 Pakwach-Karuma-24h'!D29,'4.08 Pakwach-Karuma '!D29)</f>
        <v>1</v>
      </c>
      <c r="E29" s="49">
        <f>AVERAGE('29.07 Pakwach-Karuma'!E29,'30.07.19 pakwach-karuma'!E29,'31.07 pakwach-karuma'!E29,'01.08 pakwach-karuma'!E29,'2.08 Pakwach-Karuma-24h'!E29,'3.08 Pakwach-Karuma-24h'!E29,'4.08 Pakwach-Karuma '!E29)</f>
        <v>2.7142857142857144</v>
      </c>
      <c r="F29" s="49">
        <f>AVERAGE('29.07 Pakwach-Karuma'!F29,'30.07.19 pakwach-karuma'!F29,'31.07 pakwach-karuma'!F29,'01.08 pakwach-karuma'!F29,'2.08 Pakwach-Karuma-24h'!F29,'3.08 Pakwach-Karuma-24h'!F29,'4.08 Pakwach-Karuma '!F29)</f>
        <v>1.2857142857142858</v>
      </c>
      <c r="G29" s="49">
        <f>AVERAGE('29.07 Pakwach-Karuma'!G29,'30.07.19 pakwach-karuma'!G29,'31.07 pakwach-karuma'!G29,'01.08 pakwach-karuma'!G29,'2.08 Pakwach-Karuma-24h'!G29,'3.08 Pakwach-Karuma-24h'!G29,'4.08 Pakwach-Karuma '!G29)</f>
        <v>0.8571428571428571</v>
      </c>
      <c r="H29" s="49">
        <f>AVERAGE('29.07 Pakwach-Karuma'!H29,'30.07.19 pakwach-karuma'!H29,'31.07 pakwach-karuma'!H29,'01.08 pakwach-karuma'!H29,'2.08 Pakwach-Karuma-24h'!H29,'3.08 Pakwach-Karuma-24h'!H29,'4.08 Pakwach-Karuma '!H29)</f>
        <v>0.14285714285714285</v>
      </c>
      <c r="I29" s="49">
        <f>AVERAGE('29.07 Pakwach-Karuma'!I29,'30.07.19 pakwach-karuma'!I29,'31.07 pakwach-karuma'!I29,'01.08 pakwach-karuma'!I29,'2.08 Pakwach-Karuma-24h'!I29,'3.08 Pakwach-Karuma-24h'!I29,'4.08 Pakwach-Karuma '!I29)</f>
        <v>0.8571428571428571</v>
      </c>
      <c r="J29" s="49">
        <f>AVERAGE('29.07 Pakwach-Karuma'!J29,'30.07.19 pakwach-karuma'!J29,'31.07 pakwach-karuma'!J29,'01.08 pakwach-karuma'!J29,'2.08 Pakwach-Karuma-24h'!J29,'3.08 Pakwach-Karuma-24h'!J29,'4.08 Pakwach-Karuma '!J29)</f>
        <v>0.5714285714285714</v>
      </c>
      <c r="K29" s="49">
        <f>AVERAGE('29.07 Pakwach-Karuma'!K29,'30.07.19 pakwach-karuma'!K29,'31.07 pakwach-karuma'!K29,'01.08 pakwach-karuma'!K29,'2.08 Pakwach-Karuma-24h'!K29,'3.08 Pakwach-Karuma-24h'!K29,'4.08 Pakwach-Karuma '!K29)</f>
        <v>0.2857142857142857</v>
      </c>
      <c r="L29" s="49">
        <f>AVERAGE('29.07 Pakwach-Karuma'!L29,'30.07.19 pakwach-karuma'!L29,'31.07 pakwach-karuma'!L29,'01.08 pakwach-karuma'!L29,'2.08 Pakwach-Karuma-24h'!L29,'3.08 Pakwach-Karuma-24h'!L29,'4.08 Pakwach-Karuma '!L29)</f>
        <v>0.5714285714285714</v>
      </c>
      <c r="M29" s="49">
        <f>AVERAGE('29.07 Pakwach-Karuma'!M29,'30.07.19 pakwach-karuma'!M29,'31.07 pakwach-karuma'!M29,'01.08 pakwach-karuma'!M29,'2.08 Pakwach-Karuma-24h'!M29,'3.08 Pakwach-Karuma-24h'!M29,'4.08 Pakwach-Karuma '!M29)</f>
        <v>4</v>
      </c>
      <c r="N29" s="49">
        <f>AVERAGE('29.07 Pakwach-Karuma'!N29,'30.07.19 pakwach-karuma'!N29,'31.07 pakwach-karuma'!N29,'01.08 pakwach-karuma'!N29,'2.08 Pakwach-Karuma-24h'!N29,'3.08 Pakwach-Karuma-24h'!N29,'4.08 Pakwach-Karuma '!N29)</f>
        <v>0</v>
      </c>
      <c r="O29" s="15">
        <f t="shared" si="0"/>
        <v>8.4285714285714288</v>
      </c>
      <c r="P29" s="15">
        <f t="shared" si="1"/>
        <v>12.428571428571429</v>
      </c>
      <c r="R29" s="1" t="s">
        <v>153</v>
      </c>
      <c r="S29" s="34">
        <f>SUM(C86:C89)</f>
        <v>1</v>
      </c>
      <c r="T29" s="34">
        <f t="shared" ref="T29:AF29" si="21">SUM(D86:D89)</f>
        <v>2</v>
      </c>
      <c r="U29" s="34">
        <f t="shared" si="21"/>
        <v>5</v>
      </c>
      <c r="V29" s="34">
        <f t="shared" si="21"/>
        <v>3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16</v>
      </c>
      <c r="AF29" s="31">
        <f t="shared" si="21"/>
        <v>16</v>
      </c>
    </row>
    <row r="30" spans="2:32" ht="23.1" customHeight="1" x14ac:dyDescent="0.25">
      <c r="B30" s="23" t="s">
        <v>57</v>
      </c>
      <c r="C30" s="49">
        <f>AVERAGE('29.07 Pakwach-Karuma'!C30,'30.07.19 pakwach-karuma'!C30,'31.07 pakwach-karuma'!C30,'01.08 pakwach-karuma'!C30,'2.08 Pakwach-Karuma-24h'!C30,'3.08 Pakwach-Karuma-24h'!C30,'4.08 Pakwach-Karuma '!C30)</f>
        <v>0.2857142857142857</v>
      </c>
      <c r="D30" s="49">
        <f>AVERAGE('29.07 Pakwach-Karuma'!D30,'30.07.19 pakwach-karuma'!D30,'31.07 pakwach-karuma'!D30,'01.08 pakwach-karuma'!D30,'2.08 Pakwach-Karuma-24h'!D30,'3.08 Pakwach-Karuma-24h'!D30,'4.08 Pakwach-Karuma '!D30)</f>
        <v>0.42857142857142855</v>
      </c>
      <c r="E30" s="49">
        <f>AVERAGE('29.07 Pakwach-Karuma'!E30,'30.07.19 pakwach-karuma'!E30,'31.07 pakwach-karuma'!E30,'01.08 pakwach-karuma'!E30,'2.08 Pakwach-Karuma-24h'!E30,'3.08 Pakwach-Karuma-24h'!E30,'4.08 Pakwach-Karuma '!E30)</f>
        <v>1.8571428571428572</v>
      </c>
      <c r="F30" s="49">
        <f>AVERAGE('29.07 Pakwach-Karuma'!F30,'30.07.19 pakwach-karuma'!F30,'31.07 pakwach-karuma'!F30,'01.08 pakwach-karuma'!F30,'2.08 Pakwach-Karuma-24h'!F30,'3.08 Pakwach-Karuma-24h'!F30,'4.08 Pakwach-Karuma '!F30)</f>
        <v>1</v>
      </c>
      <c r="G30" s="49">
        <f>AVERAGE('29.07 Pakwach-Karuma'!G30,'30.07.19 pakwach-karuma'!G30,'31.07 pakwach-karuma'!G30,'01.08 pakwach-karuma'!G30,'2.08 Pakwach-Karuma-24h'!G30,'3.08 Pakwach-Karuma-24h'!G30,'4.08 Pakwach-Karuma '!G30)</f>
        <v>0</v>
      </c>
      <c r="H30" s="49">
        <f>AVERAGE('29.07 Pakwach-Karuma'!H30,'30.07.19 pakwach-karuma'!H30,'31.07 pakwach-karuma'!H30,'01.08 pakwach-karuma'!H30,'2.08 Pakwach-Karuma-24h'!H30,'3.08 Pakwach-Karuma-24h'!H30,'4.08 Pakwach-Karuma '!H30)</f>
        <v>0</v>
      </c>
      <c r="I30" s="49">
        <f>AVERAGE('29.07 Pakwach-Karuma'!I30,'30.07.19 pakwach-karuma'!I30,'31.07 pakwach-karuma'!I30,'01.08 pakwach-karuma'!I30,'2.08 Pakwach-Karuma-24h'!I30,'3.08 Pakwach-Karuma-24h'!I30,'4.08 Pakwach-Karuma '!I30)</f>
        <v>0</v>
      </c>
      <c r="J30" s="49">
        <f>AVERAGE('29.07 Pakwach-Karuma'!J30,'30.07.19 pakwach-karuma'!J30,'31.07 pakwach-karuma'!J30,'01.08 pakwach-karuma'!J30,'2.08 Pakwach-Karuma-24h'!J30,'3.08 Pakwach-Karuma-24h'!J30,'4.08 Pakwach-Karuma '!J30)</f>
        <v>0</v>
      </c>
      <c r="K30" s="49">
        <f>AVERAGE('29.07 Pakwach-Karuma'!K30,'30.07.19 pakwach-karuma'!K30,'31.07 pakwach-karuma'!K30,'01.08 pakwach-karuma'!K30,'2.08 Pakwach-Karuma-24h'!K30,'3.08 Pakwach-Karuma-24h'!K30,'4.08 Pakwach-Karuma '!K30)</f>
        <v>0.14285714285714285</v>
      </c>
      <c r="L30" s="49">
        <f>AVERAGE('29.07 Pakwach-Karuma'!L30,'30.07.19 pakwach-karuma'!L30,'31.07 pakwach-karuma'!L30,'01.08 pakwach-karuma'!L30,'2.08 Pakwach-Karuma-24h'!L30,'3.08 Pakwach-Karuma-24h'!L30,'4.08 Pakwach-Karuma '!L30)</f>
        <v>0.2857142857142857</v>
      </c>
      <c r="M30" s="49">
        <f>AVERAGE('29.07 Pakwach-Karuma'!M30,'30.07.19 pakwach-karuma'!M30,'31.07 pakwach-karuma'!M30,'01.08 pakwach-karuma'!M30,'2.08 Pakwach-Karuma-24h'!M30,'3.08 Pakwach-Karuma-24h'!M30,'4.08 Pakwach-Karuma '!M30)</f>
        <v>4.2857142857142856</v>
      </c>
      <c r="N30" s="49">
        <f>AVERAGE('29.07 Pakwach-Karuma'!N30,'30.07.19 pakwach-karuma'!N30,'31.07 pakwach-karuma'!N30,'01.08 pakwach-karuma'!N30,'2.08 Pakwach-Karuma-24h'!N30,'3.08 Pakwach-Karuma-24h'!N30,'4.08 Pakwach-Karuma '!N30)</f>
        <v>0.14285714285714285</v>
      </c>
      <c r="O30" s="15">
        <f t="shared" si="0"/>
        <v>4.1428571428571423</v>
      </c>
      <c r="P30" s="15">
        <f t="shared" si="1"/>
        <v>8.428571428571427</v>
      </c>
      <c r="R30" s="1" t="s">
        <v>154</v>
      </c>
      <c r="S30" s="34">
        <f>SUM(C90:C93)</f>
        <v>1.5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3.5</v>
      </c>
      <c r="AF30" s="31">
        <f t="shared" si="22"/>
        <v>3.5</v>
      </c>
    </row>
    <row r="31" spans="2:32" ht="23.1" customHeight="1" x14ac:dyDescent="0.25">
      <c r="B31" s="24" t="s">
        <v>58</v>
      </c>
      <c r="C31" s="49">
        <f>AVERAGE('29.07 Pakwach-Karuma'!C31,'30.07.19 pakwach-karuma'!C31,'31.07 pakwach-karuma'!C31,'01.08 pakwach-karuma'!C31,'2.08 Pakwach-Karuma-24h'!C31,'3.08 Pakwach-Karuma-24h'!C31,'4.08 Pakwach-Karuma '!C31)</f>
        <v>0.8571428571428571</v>
      </c>
      <c r="D31" s="49">
        <f>AVERAGE('29.07 Pakwach-Karuma'!D31,'30.07.19 pakwach-karuma'!D31,'31.07 pakwach-karuma'!D31,'01.08 pakwach-karuma'!D31,'2.08 Pakwach-Karuma-24h'!D31,'3.08 Pakwach-Karuma-24h'!D31,'4.08 Pakwach-Karuma '!D31)</f>
        <v>0.14285714285714285</v>
      </c>
      <c r="E31" s="49">
        <f>AVERAGE('29.07 Pakwach-Karuma'!E31,'30.07.19 pakwach-karuma'!E31,'31.07 pakwach-karuma'!E31,'01.08 pakwach-karuma'!E31,'2.08 Pakwach-Karuma-24h'!E31,'3.08 Pakwach-Karuma-24h'!E31,'4.08 Pakwach-Karuma '!E31)</f>
        <v>1.8571428571428572</v>
      </c>
      <c r="F31" s="49">
        <f>AVERAGE('29.07 Pakwach-Karuma'!F31,'30.07.19 pakwach-karuma'!F31,'31.07 pakwach-karuma'!F31,'01.08 pakwach-karuma'!F31,'2.08 Pakwach-Karuma-24h'!F31,'3.08 Pakwach-Karuma-24h'!F31,'4.08 Pakwach-Karuma '!F31)</f>
        <v>0.42857142857142855</v>
      </c>
      <c r="G31" s="49">
        <f>AVERAGE('29.07 Pakwach-Karuma'!G31,'30.07.19 pakwach-karuma'!G31,'31.07 pakwach-karuma'!G31,'01.08 pakwach-karuma'!G31,'2.08 Pakwach-Karuma-24h'!G31,'3.08 Pakwach-Karuma-24h'!G31,'4.08 Pakwach-Karuma '!G31)</f>
        <v>0</v>
      </c>
      <c r="H31" s="49">
        <f>AVERAGE('29.07 Pakwach-Karuma'!H31,'30.07.19 pakwach-karuma'!H31,'31.07 pakwach-karuma'!H31,'01.08 pakwach-karuma'!H31,'2.08 Pakwach-Karuma-24h'!H31,'3.08 Pakwach-Karuma-24h'!H31,'4.08 Pakwach-Karuma '!H31)</f>
        <v>0</v>
      </c>
      <c r="I31" s="49">
        <f>AVERAGE('29.07 Pakwach-Karuma'!I31,'30.07.19 pakwach-karuma'!I31,'31.07 pakwach-karuma'!I31,'01.08 pakwach-karuma'!I31,'2.08 Pakwach-Karuma-24h'!I31,'3.08 Pakwach-Karuma-24h'!I31,'4.08 Pakwach-Karuma '!I31)</f>
        <v>0.14285714285714285</v>
      </c>
      <c r="J31" s="49">
        <f>AVERAGE('29.07 Pakwach-Karuma'!J31,'30.07.19 pakwach-karuma'!J31,'31.07 pakwach-karuma'!J31,'01.08 pakwach-karuma'!J31,'2.08 Pakwach-Karuma-24h'!J31,'3.08 Pakwach-Karuma-24h'!J31,'4.08 Pakwach-Karuma '!J31)</f>
        <v>0.14285714285714285</v>
      </c>
      <c r="K31" s="49">
        <f>AVERAGE('29.07 Pakwach-Karuma'!K31,'30.07.19 pakwach-karuma'!K31,'31.07 pakwach-karuma'!K31,'01.08 pakwach-karuma'!K31,'2.08 Pakwach-Karuma-24h'!K31,'3.08 Pakwach-Karuma-24h'!K31,'4.08 Pakwach-Karuma '!K31)</f>
        <v>0.14285714285714285</v>
      </c>
      <c r="L31" s="49">
        <f>AVERAGE('29.07 Pakwach-Karuma'!L31,'30.07.19 pakwach-karuma'!L31,'31.07 pakwach-karuma'!L31,'01.08 pakwach-karuma'!L31,'2.08 Pakwach-Karuma-24h'!L31,'3.08 Pakwach-Karuma-24h'!L31,'4.08 Pakwach-Karuma '!L31)</f>
        <v>0.2857142857142857</v>
      </c>
      <c r="M31" s="49">
        <f>AVERAGE('29.07 Pakwach-Karuma'!M31,'30.07.19 pakwach-karuma'!M31,'31.07 pakwach-karuma'!M31,'01.08 pakwach-karuma'!M31,'2.08 Pakwach-Karuma-24h'!M31,'3.08 Pakwach-Karuma-24h'!M31,'4.08 Pakwach-Karuma '!M31)</f>
        <v>2.8571428571428572</v>
      </c>
      <c r="N31" s="49">
        <f>AVERAGE('29.07 Pakwach-Karuma'!N31,'30.07.19 pakwach-karuma'!N31,'31.07 pakwach-karuma'!N31,'01.08 pakwach-karuma'!N31,'2.08 Pakwach-Karuma-24h'!N31,'3.08 Pakwach-Karuma-24h'!N31,'4.08 Pakwach-Karuma '!N31)</f>
        <v>0.14285714285714285</v>
      </c>
      <c r="O31" s="15">
        <f t="shared" si="0"/>
        <v>4.1428571428571423</v>
      </c>
      <c r="P31" s="15">
        <f t="shared" si="1"/>
        <v>7</v>
      </c>
      <c r="R31" s="1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1.5</v>
      </c>
      <c r="V31" s="34">
        <f t="shared" si="23"/>
        <v>1</v>
      </c>
      <c r="W31" s="34">
        <f t="shared" si="23"/>
        <v>0</v>
      </c>
      <c r="X31" s="34">
        <f t="shared" si="23"/>
        <v>2</v>
      </c>
      <c r="Y31" s="34">
        <f t="shared" si="23"/>
        <v>0</v>
      </c>
      <c r="Z31" s="34">
        <f t="shared" si="23"/>
        <v>0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11.5</v>
      </c>
      <c r="AF31" s="31">
        <f t="shared" si="23"/>
        <v>11.5</v>
      </c>
    </row>
    <row r="32" spans="2:32" ht="23.1" customHeight="1" x14ac:dyDescent="0.25">
      <c r="B32" s="24" t="s">
        <v>59</v>
      </c>
      <c r="C32" s="49">
        <f>AVERAGE('29.07 Pakwach-Karuma'!C32,'30.07.19 pakwach-karuma'!C32,'31.07 pakwach-karuma'!C32,'01.08 pakwach-karuma'!C32,'2.08 Pakwach-Karuma-24h'!C32,'3.08 Pakwach-Karuma-24h'!C32,'4.08 Pakwach-Karuma '!C32)</f>
        <v>0.5714285714285714</v>
      </c>
      <c r="D32" s="49">
        <f>AVERAGE('29.07 Pakwach-Karuma'!D32,'30.07.19 pakwach-karuma'!D32,'31.07 pakwach-karuma'!D32,'01.08 pakwach-karuma'!D32,'2.08 Pakwach-Karuma-24h'!D32,'3.08 Pakwach-Karuma-24h'!D32,'4.08 Pakwach-Karuma '!D32)</f>
        <v>0.14285714285714285</v>
      </c>
      <c r="E32" s="49">
        <f>AVERAGE('29.07 Pakwach-Karuma'!E32,'30.07.19 pakwach-karuma'!E32,'31.07 pakwach-karuma'!E32,'01.08 pakwach-karuma'!E32,'2.08 Pakwach-Karuma-24h'!E32,'3.08 Pakwach-Karuma-24h'!E32,'4.08 Pakwach-Karuma '!E32)</f>
        <v>1.8571428571428572</v>
      </c>
      <c r="F32" s="49">
        <f>AVERAGE('29.07 Pakwach-Karuma'!F32,'30.07.19 pakwach-karuma'!F32,'31.07 pakwach-karuma'!F32,'01.08 pakwach-karuma'!F32,'2.08 Pakwach-Karuma-24h'!F32,'3.08 Pakwach-Karuma-24h'!F32,'4.08 Pakwach-Karuma '!F32)</f>
        <v>0.8571428571428571</v>
      </c>
      <c r="G32" s="49">
        <f>AVERAGE('29.07 Pakwach-Karuma'!G32,'30.07.19 pakwach-karuma'!G32,'31.07 pakwach-karuma'!G32,'01.08 pakwach-karuma'!G32,'2.08 Pakwach-Karuma-24h'!G32,'3.08 Pakwach-Karuma-24h'!G32,'4.08 Pakwach-Karuma '!G32)</f>
        <v>0.14285714285714285</v>
      </c>
      <c r="H32" s="49">
        <f>AVERAGE('29.07 Pakwach-Karuma'!H32,'30.07.19 pakwach-karuma'!H32,'31.07 pakwach-karuma'!H32,'01.08 pakwach-karuma'!H32,'2.08 Pakwach-Karuma-24h'!H32,'3.08 Pakwach-Karuma-24h'!H32,'4.08 Pakwach-Karuma '!H32)</f>
        <v>0.14285714285714285</v>
      </c>
      <c r="I32" s="49">
        <f>AVERAGE('29.07 Pakwach-Karuma'!I32,'30.07.19 pakwach-karuma'!I32,'31.07 pakwach-karuma'!I32,'01.08 pakwach-karuma'!I32,'2.08 Pakwach-Karuma-24h'!I32,'3.08 Pakwach-Karuma-24h'!I32,'4.08 Pakwach-Karuma '!I32)</f>
        <v>0</v>
      </c>
      <c r="J32" s="49">
        <f>AVERAGE('29.07 Pakwach-Karuma'!J32,'30.07.19 pakwach-karuma'!J32,'31.07 pakwach-karuma'!J32,'01.08 pakwach-karuma'!J32,'2.08 Pakwach-Karuma-24h'!J32,'3.08 Pakwach-Karuma-24h'!J32,'4.08 Pakwach-Karuma '!J32)</f>
        <v>0.14285714285714285</v>
      </c>
      <c r="K32" s="49">
        <f>AVERAGE('29.07 Pakwach-Karuma'!K32,'30.07.19 pakwach-karuma'!K32,'31.07 pakwach-karuma'!K32,'01.08 pakwach-karuma'!K32,'2.08 Pakwach-Karuma-24h'!K32,'3.08 Pakwach-Karuma-24h'!K32,'4.08 Pakwach-Karuma '!K32)</f>
        <v>0.14285714285714285</v>
      </c>
      <c r="L32" s="49">
        <f>AVERAGE('29.07 Pakwach-Karuma'!L32,'30.07.19 pakwach-karuma'!L32,'31.07 pakwach-karuma'!L32,'01.08 pakwach-karuma'!L32,'2.08 Pakwach-Karuma-24h'!L32,'3.08 Pakwach-Karuma-24h'!L32,'4.08 Pakwach-Karuma '!L32)</f>
        <v>0.8571428571428571</v>
      </c>
      <c r="M32" s="49">
        <f>AVERAGE('29.07 Pakwach-Karuma'!M32,'30.07.19 pakwach-karuma'!M32,'31.07 pakwach-karuma'!M32,'01.08 pakwach-karuma'!M32,'2.08 Pakwach-Karuma-24h'!M32,'3.08 Pakwach-Karuma-24h'!M32,'4.08 Pakwach-Karuma '!M32)</f>
        <v>4.1428571428571432</v>
      </c>
      <c r="N32" s="49">
        <f>AVERAGE('29.07 Pakwach-Karuma'!N32,'30.07.19 pakwach-karuma'!N32,'31.07 pakwach-karuma'!N32,'01.08 pakwach-karuma'!N32,'2.08 Pakwach-Karuma-24h'!N32,'3.08 Pakwach-Karuma-24h'!N32,'4.08 Pakwach-Karuma '!N32)</f>
        <v>0.14285714285714285</v>
      </c>
      <c r="O32" s="15">
        <f t="shared" si="0"/>
        <v>5</v>
      </c>
      <c r="P32" s="15">
        <f t="shared" si="1"/>
        <v>9.1428571428571423</v>
      </c>
      <c r="R32" s="1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4.5</v>
      </c>
      <c r="V32" s="34">
        <f t="shared" si="24"/>
        <v>2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2.5</v>
      </c>
      <c r="AC32" s="34">
        <f t="shared" si="24"/>
        <v>1</v>
      </c>
      <c r="AD32" s="34">
        <f t="shared" si="24"/>
        <v>0</v>
      </c>
      <c r="AE32" s="31">
        <f t="shared" si="24"/>
        <v>15</v>
      </c>
      <c r="AF32" s="31">
        <f t="shared" si="24"/>
        <v>16</v>
      </c>
    </row>
    <row r="33" spans="2:32" ht="23.1" customHeight="1" x14ac:dyDescent="0.25">
      <c r="B33" s="23" t="s">
        <v>60</v>
      </c>
      <c r="C33" s="49">
        <f>AVERAGE('29.07 Pakwach-Karuma'!C33,'30.07.19 pakwach-karuma'!C33,'31.07 pakwach-karuma'!C33,'01.08 pakwach-karuma'!C33,'2.08 Pakwach-Karuma-24h'!C33,'3.08 Pakwach-Karuma-24h'!C33,'4.08 Pakwach-Karuma '!C33)</f>
        <v>0.5714285714285714</v>
      </c>
      <c r="D33" s="49">
        <f>AVERAGE('29.07 Pakwach-Karuma'!D33,'30.07.19 pakwach-karuma'!D33,'31.07 pakwach-karuma'!D33,'01.08 pakwach-karuma'!D33,'2.08 Pakwach-Karuma-24h'!D33,'3.08 Pakwach-Karuma-24h'!D33,'4.08 Pakwach-Karuma '!D33)</f>
        <v>0.42857142857142855</v>
      </c>
      <c r="E33" s="49">
        <f>AVERAGE('29.07 Pakwach-Karuma'!E33,'30.07.19 pakwach-karuma'!E33,'31.07 pakwach-karuma'!E33,'01.08 pakwach-karuma'!E33,'2.08 Pakwach-Karuma-24h'!E33,'3.08 Pakwach-Karuma-24h'!E33,'4.08 Pakwach-Karuma '!E33)</f>
        <v>1.5714285714285714</v>
      </c>
      <c r="F33" s="49">
        <f>AVERAGE('29.07 Pakwach-Karuma'!F33,'30.07.19 pakwach-karuma'!F33,'31.07 pakwach-karuma'!F33,'01.08 pakwach-karuma'!F33,'2.08 Pakwach-Karuma-24h'!F33,'3.08 Pakwach-Karuma-24h'!F33,'4.08 Pakwach-Karuma '!F33)</f>
        <v>0.5714285714285714</v>
      </c>
      <c r="G33" s="49">
        <f>AVERAGE('29.07 Pakwach-Karuma'!G33,'30.07.19 pakwach-karuma'!G33,'31.07 pakwach-karuma'!G33,'01.08 pakwach-karuma'!G33,'2.08 Pakwach-Karuma-24h'!G33,'3.08 Pakwach-Karuma-24h'!G33,'4.08 Pakwach-Karuma '!G33)</f>
        <v>0.42857142857142855</v>
      </c>
      <c r="H33" s="49">
        <f>AVERAGE('29.07 Pakwach-Karuma'!H33,'30.07.19 pakwach-karuma'!H33,'31.07 pakwach-karuma'!H33,'01.08 pakwach-karuma'!H33,'2.08 Pakwach-Karuma-24h'!H33,'3.08 Pakwach-Karuma-24h'!H33,'4.08 Pakwach-Karuma '!H33)</f>
        <v>0.42857142857142855</v>
      </c>
      <c r="I33" s="49">
        <f>AVERAGE('29.07 Pakwach-Karuma'!I33,'30.07.19 pakwach-karuma'!I33,'31.07 pakwach-karuma'!I33,'01.08 pakwach-karuma'!I33,'2.08 Pakwach-Karuma-24h'!I33,'3.08 Pakwach-Karuma-24h'!I33,'4.08 Pakwach-Karuma '!I33)</f>
        <v>0.14285714285714285</v>
      </c>
      <c r="J33" s="49">
        <f>AVERAGE('29.07 Pakwach-Karuma'!J33,'30.07.19 pakwach-karuma'!J33,'31.07 pakwach-karuma'!J33,'01.08 pakwach-karuma'!J33,'2.08 Pakwach-Karuma-24h'!J33,'3.08 Pakwach-Karuma-24h'!J33,'4.08 Pakwach-Karuma '!J33)</f>
        <v>0.14285714285714285</v>
      </c>
      <c r="K33" s="49">
        <f>AVERAGE('29.07 Pakwach-Karuma'!K33,'30.07.19 pakwach-karuma'!K33,'31.07 pakwach-karuma'!K33,'01.08 pakwach-karuma'!K33,'2.08 Pakwach-Karuma-24h'!K33,'3.08 Pakwach-Karuma-24h'!K33,'4.08 Pakwach-Karuma '!K33)</f>
        <v>0.14285714285714285</v>
      </c>
      <c r="L33" s="49">
        <f>AVERAGE('29.07 Pakwach-Karuma'!L33,'30.07.19 pakwach-karuma'!L33,'31.07 pakwach-karuma'!L33,'01.08 pakwach-karuma'!L33,'2.08 Pakwach-Karuma-24h'!L33,'3.08 Pakwach-Karuma-24h'!L33,'4.08 Pakwach-Karuma '!L33)</f>
        <v>0.42857142857142855</v>
      </c>
      <c r="M33" s="49">
        <f>AVERAGE('29.07 Pakwach-Karuma'!M33,'30.07.19 pakwach-karuma'!M33,'31.07 pakwach-karuma'!M33,'01.08 pakwach-karuma'!M33,'2.08 Pakwach-Karuma-24h'!M33,'3.08 Pakwach-Karuma-24h'!M33,'4.08 Pakwach-Karuma '!M33)</f>
        <v>3</v>
      </c>
      <c r="N33" s="49">
        <f>AVERAGE('29.07 Pakwach-Karuma'!N33,'30.07.19 pakwach-karuma'!N33,'31.07 pakwach-karuma'!N33,'01.08 pakwach-karuma'!N33,'2.08 Pakwach-Karuma-24h'!N33,'3.08 Pakwach-Karuma-24h'!N33,'4.08 Pakwach-Karuma '!N33)</f>
        <v>0.14285714285714285</v>
      </c>
      <c r="O33" s="15">
        <f t="shared" si="0"/>
        <v>5.0000000000000009</v>
      </c>
      <c r="P33" s="15">
        <f t="shared" si="1"/>
        <v>8</v>
      </c>
      <c r="R33" s="1" t="s">
        <v>157</v>
      </c>
      <c r="S33" s="34">
        <f>SUM(C102:C105)</f>
        <v>3.5</v>
      </c>
      <c r="T33" s="34">
        <f t="shared" ref="T33:AF33" si="25">SUM(D102:D105)</f>
        <v>0</v>
      </c>
      <c r="U33" s="34">
        <f t="shared" si="25"/>
        <v>5</v>
      </c>
      <c r="V33" s="34">
        <f t="shared" si="25"/>
        <v>2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3</v>
      </c>
      <c r="AC33" s="34">
        <f t="shared" si="25"/>
        <v>7</v>
      </c>
      <c r="AD33" s="34">
        <f t="shared" si="25"/>
        <v>0</v>
      </c>
      <c r="AE33" s="31">
        <f t="shared" si="25"/>
        <v>14.5</v>
      </c>
      <c r="AF33" s="31">
        <f t="shared" si="25"/>
        <v>21.5</v>
      </c>
    </row>
    <row r="34" spans="2:32" ht="23.1" customHeight="1" x14ac:dyDescent="0.25">
      <c r="B34" s="24" t="s">
        <v>61</v>
      </c>
      <c r="C34" s="49">
        <f>AVERAGE('29.07 Pakwach-Karuma'!C34,'30.07.19 pakwach-karuma'!C34,'31.07 pakwach-karuma'!C34,'01.08 pakwach-karuma'!C34,'2.08 Pakwach-Karuma-24h'!C34,'3.08 Pakwach-Karuma-24h'!C34,'4.08 Pakwach-Karuma '!C34)</f>
        <v>0.5714285714285714</v>
      </c>
      <c r="D34" s="49">
        <f>AVERAGE('29.07 Pakwach-Karuma'!D34,'30.07.19 pakwach-karuma'!D34,'31.07 pakwach-karuma'!D34,'01.08 pakwach-karuma'!D34,'2.08 Pakwach-Karuma-24h'!D34,'3.08 Pakwach-Karuma-24h'!D34,'4.08 Pakwach-Karuma '!D34)</f>
        <v>0.42857142857142855</v>
      </c>
      <c r="E34" s="49">
        <f>AVERAGE('29.07 Pakwach-Karuma'!E34,'30.07.19 pakwach-karuma'!E34,'31.07 pakwach-karuma'!E34,'01.08 pakwach-karuma'!E34,'2.08 Pakwach-Karuma-24h'!E34,'3.08 Pakwach-Karuma-24h'!E34,'4.08 Pakwach-Karuma '!E34)</f>
        <v>1.8571428571428572</v>
      </c>
      <c r="F34" s="49">
        <f>AVERAGE('29.07 Pakwach-Karuma'!F34,'30.07.19 pakwach-karuma'!F34,'31.07 pakwach-karuma'!F34,'01.08 pakwach-karuma'!F34,'2.08 Pakwach-Karuma-24h'!F34,'3.08 Pakwach-Karuma-24h'!F34,'4.08 Pakwach-Karuma '!F34)</f>
        <v>0.5714285714285714</v>
      </c>
      <c r="G34" s="49">
        <f>AVERAGE('29.07 Pakwach-Karuma'!G34,'30.07.19 pakwach-karuma'!G34,'31.07 pakwach-karuma'!G34,'01.08 pakwach-karuma'!G34,'2.08 Pakwach-Karuma-24h'!G34,'3.08 Pakwach-Karuma-24h'!G34,'4.08 Pakwach-Karuma '!G34)</f>
        <v>0.2857142857142857</v>
      </c>
      <c r="H34" s="49">
        <f>AVERAGE('29.07 Pakwach-Karuma'!H34,'30.07.19 pakwach-karuma'!H34,'31.07 pakwach-karuma'!H34,'01.08 pakwach-karuma'!H34,'2.08 Pakwach-Karuma-24h'!H34,'3.08 Pakwach-Karuma-24h'!H34,'4.08 Pakwach-Karuma '!H34)</f>
        <v>0.14285714285714285</v>
      </c>
      <c r="I34" s="49">
        <f>AVERAGE('29.07 Pakwach-Karuma'!I34,'30.07.19 pakwach-karuma'!I34,'31.07 pakwach-karuma'!I34,'01.08 pakwach-karuma'!I34,'2.08 Pakwach-Karuma-24h'!I34,'3.08 Pakwach-Karuma-24h'!I34,'4.08 Pakwach-Karuma '!I34)</f>
        <v>0.42857142857142855</v>
      </c>
      <c r="J34" s="49">
        <f>AVERAGE('29.07 Pakwach-Karuma'!J34,'30.07.19 pakwach-karuma'!J34,'31.07 pakwach-karuma'!J34,'01.08 pakwach-karuma'!J34,'2.08 Pakwach-Karuma-24h'!J34,'3.08 Pakwach-Karuma-24h'!J34,'4.08 Pakwach-Karuma '!J34)</f>
        <v>0</v>
      </c>
      <c r="K34" s="49">
        <f>AVERAGE('29.07 Pakwach-Karuma'!K34,'30.07.19 pakwach-karuma'!K34,'31.07 pakwach-karuma'!K34,'01.08 pakwach-karuma'!K34,'2.08 Pakwach-Karuma-24h'!K34,'3.08 Pakwach-Karuma-24h'!K34,'4.08 Pakwach-Karuma '!K34)</f>
        <v>0</v>
      </c>
      <c r="L34" s="49">
        <f>AVERAGE('29.07 Pakwach-Karuma'!L34,'30.07.19 pakwach-karuma'!L34,'31.07 pakwach-karuma'!L34,'01.08 pakwach-karuma'!L34,'2.08 Pakwach-Karuma-24h'!L34,'3.08 Pakwach-Karuma-24h'!L34,'4.08 Pakwach-Karuma '!L34)</f>
        <v>1.1428571428571428</v>
      </c>
      <c r="M34" s="49">
        <f>AVERAGE('29.07 Pakwach-Karuma'!M34,'30.07.19 pakwach-karuma'!M34,'31.07 pakwach-karuma'!M34,'01.08 pakwach-karuma'!M34,'2.08 Pakwach-Karuma-24h'!M34,'3.08 Pakwach-Karuma-24h'!M34,'4.08 Pakwach-Karuma '!M34)</f>
        <v>5.5714285714285712</v>
      </c>
      <c r="N34" s="49">
        <f>AVERAGE('29.07 Pakwach-Karuma'!N34,'30.07.19 pakwach-karuma'!N34,'31.07 pakwach-karuma'!N34,'01.08 pakwach-karuma'!N34,'2.08 Pakwach-Karuma-24h'!N34,'3.08 Pakwach-Karuma-24h'!N34,'4.08 Pakwach-Karuma '!N34)</f>
        <v>0.14285714285714285</v>
      </c>
      <c r="O34" s="15">
        <f t="shared" si="0"/>
        <v>5.5714285714285721</v>
      </c>
      <c r="P34" s="15">
        <f t="shared" si="1"/>
        <v>11.142857142857142</v>
      </c>
      <c r="R34" s="51" t="s">
        <v>90</v>
      </c>
      <c r="S34" s="52">
        <f t="shared" ref="S34:AF34" si="26">MAX(S10:S12)</f>
        <v>3</v>
      </c>
      <c r="T34" s="52">
        <f t="shared" si="26"/>
        <v>1</v>
      </c>
      <c r="U34" s="52">
        <f t="shared" si="26"/>
        <v>5.5714285714285712</v>
      </c>
      <c r="V34" s="52">
        <f t="shared" si="26"/>
        <v>2.8571428571428572</v>
      </c>
      <c r="W34" s="52">
        <f t="shared" si="26"/>
        <v>0.8571428571428571</v>
      </c>
      <c r="X34" s="52">
        <f t="shared" si="26"/>
        <v>0.2857142857142857</v>
      </c>
      <c r="Y34" s="52">
        <f t="shared" si="26"/>
        <v>2.1428571428571428</v>
      </c>
      <c r="Z34" s="52">
        <f t="shared" si="26"/>
        <v>3.285714285714286</v>
      </c>
      <c r="AA34" s="52">
        <f t="shared" si="26"/>
        <v>1.5714285714285714</v>
      </c>
      <c r="AB34" s="52">
        <f t="shared" si="26"/>
        <v>6.2857142857142856</v>
      </c>
      <c r="AC34" s="52">
        <f t="shared" si="26"/>
        <v>19.571428571428569</v>
      </c>
      <c r="AD34" s="52">
        <f t="shared" si="26"/>
        <v>1.2857142857142856</v>
      </c>
      <c r="AE34" s="40">
        <f t="shared" si="26"/>
        <v>22.285714285714285</v>
      </c>
      <c r="AF34" s="40">
        <f t="shared" si="26"/>
        <v>40</v>
      </c>
    </row>
    <row r="35" spans="2:32" ht="23.1" customHeight="1" x14ac:dyDescent="0.25">
      <c r="B35" s="24" t="s">
        <v>62</v>
      </c>
      <c r="C35" s="49">
        <f>AVERAGE('29.07 Pakwach-Karuma'!C35,'30.07.19 pakwach-karuma'!C35,'31.07 pakwach-karuma'!C35,'01.08 pakwach-karuma'!C35,'2.08 Pakwach-Karuma-24h'!C35,'3.08 Pakwach-Karuma-24h'!C35,'4.08 Pakwach-Karuma '!C35)</f>
        <v>0.8571428571428571</v>
      </c>
      <c r="D35" s="49">
        <f>AVERAGE('29.07 Pakwach-Karuma'!D35,'30.07.19 pakwach-karuma'!D35,'31.07 pakwach-karuma'!D35,'01.08 pakwach-karuma'!D35,'2.08 Pakwach-Karuma-24h'!D35,'3.08 Pakwach-Karuma-24h'!D35,'4.08 Pakwach-Karuma '!D35)</f>
        <v>0</v>
      </c>
      <c r="E35" s="49">
        <f>AVERAGE('29.07 Pakwach-Karuma'!E35,'30.07.19 pakwach-karuma'!E35,'31.07 pakwach-karuma'!E35,'01.08 pakwach-karuma'!E35,'2.08 Pakwach-Karuma-24h'!E35,'3.08 Pakwach-Karuma-24h'!E35,'4.08 Pakwach-Karuma '!E35)</f>
        <v>0.8571428571428571</v>
      </c>
      <c r="F35" s="49">
        <f>AVERAGE('29.07 Pakwach-Karuma'!F35,'30.07.19 pakwach-karuma'!F35,'31.07 pakwach-karuma'!F35,'01.08 pakwach-karuma'!F35,'2.08 Pakwach-Karuma-24h'!F35,'3.08 Pakwach-Karuma-24h'!F35,'4.08 Pakwach-Karuma '!F35)</f>
        <v>0.8571428571428571</v>
      </c>
      <c r="G35" s="49">
        <f>AVERAGE('29.07 Pakwach-Karuma'!G35,'30.07.19 pakwach-karuma'!G35,'31.07 pakwach-karuma'!G35,'01.08 pakwach-karuma'!G35,'2.08 Pakwach-Karuma-24h'!G35,'3.08 Pakwach-Karuma-24h'!G35,'4.08 Pakwach-Karuma '!G35)</f>
        <v>0</v>
      </c>
      <c r="H35" s="49">
        <f>AVERAGE('29.07 Pakwach-Karuma'!H35,'30.07.19 pakwach-karuma'!H35,'31.07 pakwach-karuma'!H35,'01.08 pakwach-karuma'!H35,'2.08 Pakwach-Karuma-24h'!H35,'3.08 Pakwach-Karuma-24h'!H35,'4.08 Pakwach-Karuma '!H35)</f>
        <v>0.14285714285714285</v>
      </c>
      <c r="I35" s="49">
        <f>AVERAGE('29.07 Pakwach-Karuma'!I35,'30.07.19 pakwach-karuma'!I35,'31.07 pakwach-karuma'!I35,'01.08 pakwach-karuma'!I35,'2.08 Pakwach-Karuma-24h'!I35,'3.08 Pakwach-Karuma-24h'!I35,'4.08 Pakwach-Karuma '!I35)</f>
        <v>0.2857142857142857</v>
      </c>
      <c r="J35" s="49">
        <f>AVERAGE('29.07 Pakwach-Karuma'!J35,'30.07.19 pakwach-karuma'!J35,'31.07 pakwach-karuma'!J35,'01.08 pakwach-karuma'!J35,'2.08 Pakwach-Karuma-24h'!J35,'3.08 Pakwach-Karuma-24h'!J35,'4.08 Pakwach-Karuma '!J35)</f>
        <v>0.5714285714285714</v>
      </c>
      <c r="K35" s="49">
        <f>AVERAGE('29.07 Pakwach-Karuma'!K35,'30.07.19 pakwach-karuma'!K35,'31.07 pakwach-karuma'!K35,'01.08 pakwach-karuma'!K35,'2.08 Pakwach-Karuma-24h'!K35,'3.08 Pakwach-Karuma-24h'!K35,'4.08 Pakwach-Karuma '!K35)</f>
        <v>0</v>
      </c>
      <c r="L35" s="49">
        <f>AVERAGE('29.07 Pakwach-Karuma'!L35,'30.07.19 pakwach-karuma'!L35,'31.07 pakwach-karuma'!L35,'01.08 pakwach-karuma'!L35,'2.08 Pakwach-Karuma-24h'!L35,'3.08 Pakwach-Karuma-24h'!L35,'4.08 Pakwach-Karuma '!L35)</f>
        <v>1.7142857142857142</v>
      </c>
      <c r="M35" s="49">
        <f>AVERAGE('29.07 Pakwach-Karuma'!M35,'30.07.19 pakwach-karuma'!M35,'31.07 pakwach-karuma'!M35,'01.08 pakwach-karuma'!M35,'2.08 Pakwach-Karuma-24h'!M35,'3.08 Pakwach-Karuma-24h'!M35,'4.08 Pakwach-Karuma '!M35)</f>
        <v>3</v>
      </c>
      <c r="N35" s="49">
        <f>AVERAGE('29.07 Pakwach-Karuma'!N35,'30.07.19 pakwach-karuma'!N35,'31.07 pakwach-karuma'!N35,'01.08 pakwach-karuma'!N35,'2.08 Pakwach-Karuma-24h'!N35,'3.08 Pakwach-Karuma-24h'!N35,'4.08 Pakwach-Karuma '!N35)</f>
        <v>0.2857142857142857</v>
      </c>
      <c r="O35" s="15">
        <f t="shared" si="0"/>
        <v>5.5714285714285712</v>
      </c>
      <c r="P35" s="15">
        <f t="shared" si="1"/>
        <v>8.5714285714285712</v>
      </c>
      <c r="R35" s="51" t="s">
        <v>91</v>
      </c>
      <c r="S35" s="52">
        <f t="shared" ref="S35:AF35" si="27">MAX(S13:S18)</f>
        <v>3.2857142857142856</v>
      </c>
      <c r="T35" s="52">
        <f t="shared" si="27"/>
        <v>2.1428571428571428</v>
      </c>
      <c r="U35" s="52">
        <f t="shared" si="27"/>
        <v>7.7142857142857144</v>
      </c>
      <c r="V35" s="52">
        <f t="shared" si="27"/>
        <v>4.1428571428571432</v>
      </c>
      <c r="W35" s="52">
        <f t="shared" si="27"/>
        <v>2</v>
      </c>
      <c r="X35" s="52">
        <f t="shared" si="27"/>
        <v>3</v>
      </c>
      <c r="Y35" s="52">
        <f t="shared" si="27"/>
        <v>2.4285714285714284</v>
      </c>
      <c r="Z35" s="52">
        <f t="shared" si="27"/>
        <v>2.2857142857142856</v>
      </c>
      <c r="AA35" s="52">
        <f t="shared" si="27"/>
        <v>1.8571428571428572</v>
      </c>
      <c r="AB35" s="52">
        <f t="shared" si="27"/>
        <v>5.1428571428571432</v>
      </c>
      <c r="AC35" s="52">
        <f t="shared" si="27"/>
        <v>18</v>
      </c>
      <c r="AD35" s="52">
        <f t="shared" si="27"/>
        <v>0.85714285714285698</v>
      </c>
      <c r="AE35" s="40">
        <f t="shared" si="27"/>
        <v>27.571428571428569</v>
      </c>
      <c r="AF35" s="40">
        <f t="shared" si="27"/>
        <v>44</v>
      </c>
    </row>
    <row r="36" spans="2:32" ht="23.1" customHeight="1" x14ac:dyDescent="0.25">
      <c r="B36" s="24" t="s">
        <v>63</v>
      </c>
      <c r="C36" s="49">
        <f>AVERAGE('29.07 Pakwach-Karuma'!C36,'30.07.19 pakwach-karuma'!C36,'31.07 pakwach-karuma'!C36,'01.08 pakwach-karuma'!C36,'2.08 Pakwach-Karuma-24h'!C36,'3.08 Pakwach-Karuma-24h'!C36,'4.08 Pakwach-Karuma '!C36)</f>
        <v>0.2857142857142857</v>
      </c>
      <c r="D36" s="49">
        <f>AVERAGE('29.07 Pakwach-Karuma'!D36,'30.07.19 pakwach-karuma'!D36,'31.07 pakwach-karuma'!D36,'01.08 pakwach-karuma'!D36,'2.08 Pakwach-Karuma-24h'!D36,'3.08 Pakwach-Karuma-24h'!D36,'4.08 Pakwach-Karuma '!D36)</f>
        <v>0.42857142857142855</v>
      </c>
      <c r="E36" s="49">
        <f>AVERAGE('29.07 Pakwach-Karuma'!E36,'30.07.19 pakwach-karuma'!E36,'31.07 pakwach-karuma'!E36,'01.08 pakwach-karuma'!E36,'2.08 Pakwach-Karuma-24h'!E36,'3.08 Pakwach-Karuma-24h'!E36,'4.08 Pakwach-Karuma '!E36)</f>
        <v>1.7142857142857142</v>
      </c>
      <c r="F36" s="49">
        <f>AVERAGE('29.07 Pakwach-Karuma'!F36,'30.07.19 pakwach-karuma'!F36,'31.07 pakwach-karuma'!F36,'01.08 pakwach-karuma'!F36,'2.08 Pakwach-Karuma-24h'!F36,'3.08 Pakwach-Karuma-24h'!F36,'4.08 Pakwach-Karuma '!F36)</f>
        <v>0.42857142857142855</v>
      </c>
      <c r="G36" s="49">
        <f>AVERAGE('29.07 Pakwach-Karuma'!G36,'30.07.19 pakwach-karuma'!G36,'31.07 pakwach-karuma'!G36,'01.08 pakwach-karuma'!G36,'2.08 Pakwach-Karuma-24h'!G36,'3.08 Pakwach-Karuma-24h'!G36,'4.08 Pakwach-Karuma '!G36)</f>
        <v>0.42857142857142855</v>
      </c>
      <c r="H36" s="49">
        <f>AVERAGE('29.07 Pakwach-Karuma'!H36,'30.07.19 pakwach-karuma'!H36,'31.07 pakwach-karuma'!H36,'01.08 pakwach-karuma'!H36,'2.08 Pakwach-Karuma-24h'!H36,'3.08 Pakwach-Karuma-24h'!H36,'4.08 Pakwach-Karuma '!H36)</f>
        <v>0</v>
      </c>
      <c r="I36" s="49">
        <f>AVERAGE('29.07 Pakwach-Karuma'!I36,'30.07.19 pakwach-karuma'!I36,'31.07 pakwach-karuma'!I36,'01.08 pakwach-karuma'!I36,'2.08 Pakwach-Karuma-24h'!I36,'3.08 Pakwach-Karuma-24h'!I36,'4.08 Pakwach-Karuma '!I36)</f>
        <v>0.2857142857142857</v>
      </c>
      <c r="J36" s="49">
        <f>AVERAGE('29.07 Pakwach-Karuma'!J36,'30.07.19 pakwach-karuma'!J36,'31.07 pakwach-karuma'!J36,'01.08 pakwach-karuma'!J36,'2.08 Pakwach-Karuma-24h'!J36,'3.08 Pakwach-Karuma-24h'!J36,'4.08 Pakwach-Karuma '!J36)</f>
        <v>0</v>
      </c>
      <c r="K36" s="49">
        <f>AVERAGE('29.07 Pakwach-Karuma'!K36,'30.07.19 pakwach-karuma'!K36,'31.07 pakwach-karuma'!K36,'01.08 pakwach-karuma'!K36,'2.08 Pakwach-Karuma-24h'!K36,'3.08 Pakwach-Karuma-24h'!K36,'4.08 Pakwach-Karuma '!K36)</f>
        <v>0</v>
      </c>
      <c r="L36" s="49">
        <f>AVERAGE('29.07 Pakwach-Karuma'!L36,'30.07.19 pakwach-karuma'!L36,'31.07 pakwach-karuma'!L36,'01.08 pakwach-karuma'!L36,'2.08 Pakwach-Karuma-24h'!L36,'3.08 Pakwach-Karuma-24h'!L36,'4.08 Pakwach-Karuma '!L36)</f>
        <v>0.2857142857142857</v>
      </c>
      <c r="M36" s="49">
        <f>AVERAGE('29.07 Pakwach-Karuma'!M36,'30.07.19 pakwach-karuma'!M36,'31.07 pakwach-karuma'!M36,'01.08 pakwach-karuma'!M36,'2.08 Pakwach-Karuma-24h'!M36,'3.08 Pakwach-Karuma-24h'!M36,'4.08 Pakwach-Karuma '!M36)</f>
        <v>2.4285714285714284</v>
      </c>
      <c r="N36" s="49">
        <f>AVERAGE('29.07 Pakwach-Karuma'!N36,'30.07.19 pakwach-karuma'!N36,'31.07 pakwach-karuma'!N36,'01.08 pakwach-karuma'!N36,'2.08 Pakwach-Karuma-24h'!N36,'3.08 Pakwach-Karuma-24h'!N36,'4.08 Pakwach-Karuma '!N36)</f>
        <v>0</v>
      </c>
      <c r="O36" s="15">
        <f t="shared" si="0"/>
        <v>3.8571428571428563</v>
      </c>
      <c r="P36" s="15">
        <f t="shared" si="1"/>
        <v>6.2857142857142847</v>
      </c>
      <c r="R36" s="51" t="s">
        <v>92</v>
      </c>
      <c r="S36" s="52">
        <f t="shared" ref="S36:AF36" si="28">MAX(S19:S21)</f>
        <v>4.8571428571428568</v>
      </c>
      <c r="T36" s="52">
        <f t="shared" si="28"/>
        <v>3</v>
      </c>
      <c r="U36" s="52">
        <f t="shared" si="28"/>
        <v>9.7142857142857153</v>
      </c>
      <c r="V36" s="52">
        <f t="shared" si="28"/>
        <v>3.8571428571428568</v>
      </c>
      <c r="W36" s="52">
        <f t="shared" si="28"/>
        <v>1.7142857142857142</v>
      </c>
      <c r="X36" s="52">
        <f t="shared" si="28"/>
        <v>2.5714285714285712</v>
      </c>
      <c r="Y36" s="52">
        <f t="shared" si="28"/>
        <v>1.2857142857142856</v>
      </c>
      <c r="Z36" s="52">
        <f t="shared" si="28"/>
        <v>2.7142857142857144</v>
      </c>
      <c r="AA36" s="52">
        <f t="shared" si="28"/>
        <v>2.4285714285714284</v>
      </c>
      <c r="AB36" s="52">
        <f t="shared" si="28"/>
        <v>5.5714285714285712</v>
      </c>
      <c r="AC36" s="52">
        <f t="shared" si="28"/>
        <v>19.285714285714285</v>
      </c>
      <c r="AD36" s="52">
        <f t="shared" si="28"/>
        <v>1.1428571428571428</v>
      </c>
      <c r="AE36" s="40">
        <f t="shared" si="28"/>
        <v>33.714285714285715</v>
      </c>
      <c r="AF36" s="40">
        <f t="shared" si="28"/>
        <v>53</v>
      </c>
    </row>
    <row r="37" spans="2:32" ht="23.1" customHeight="1" x14ac:dyDescent="0.25">
      <c r="B37" s="23" t="s">
        <v>64</v>
      </c>
      <c r="C37" s="49">
        <f>AVERAGE('29.07 Pakwach-Karuma'!C37,'30.07.19 pakwach-karuma'!C37,'31.07 pakwach-karuma'!C37,'01.08 pakwach-karuma'!C37,'2.08 Pakwach-Karuma-24h'!C37,'3.08 Pakwach-Karuma-24h'!C37,'4.08 Pakwach-Karuma '!C37)</f>
        <v>0</v>
      </c>
      <c r="D37" s="49">
        <f>AVERAGE('29.07 Pakwach-Karuma'!D37,'30.07.19 pakwach-karuma'!D37,'31.07 pakwach-karuma'!D37,'01.08 pakwach-karuma'!D37,'2.08 Pakwach-Karuma-24h'!D37,'3.08 Pakwach-Karuma-24h'!D37,'4.08 Pakwach-Karuma '!D37)</f>
        <v>0.14285714285714285</v>
      </c>
      <c r="E37" s="49">
        <f>AVERAGE('29.07 Pakwach-Karuma'!E37,'30.07.19 pakwach-karuma'!E37,'31.07 pakwach-karuma'!E37,'01.08 pakwach-karuma'!E37,'2.08 Pakwach-Karuma-24h'!E37,'3.08 Pakwach-Karuma-24h'!E37,'4.08 Pakwach-Karuma '!E37)</f>
        <v>1.2857142857142858</v>
      </c>
      <c r="F37" s="49">
        <f>AVERAGE('29.07 Pakwach-Karuma'!F37,'30.07.19 pakwach-karuma'!F37,'31.07 pakwach-karuma'!F37,'01.08 pakwach-karuma'!F37,'2.08 Pakwach-Karuma-24h'!F37,'3.08 Pakwach-Karuma-24h'!F37,'4.08 Pakwach-Karuma '!F37)</f>
        <v>0.2857142857142857</v>
      </c>
      <c r="G37" s="49">
        <f>AVERAGE('29.07 Pakwach-Karuma'!G37,'30.07.19 pakwach-karuma'!G37,'31.07 pakwach-karuma'!G37,'01.08 pakwach-karuma'!G37,'2.08 Pakwach-Karuma-24h'!G37,'3.08 Pakwach-Karuma-24h'!G37,'4.08 Pakwach-Karuma '!G37)</f>
        <v>0.14285714285714285</v>
      </c>
      <c r="H37" s="49">
        <f>AVERAGE('29.07 Pakwach-Karuma'!H37,'30.07.19 pakwach-karuma'!H37,'31.07 pakwach-karuma'!H37,'01.08 pakwach-karuma'!H37,'2.08 Pakwach-Karuma-24h'!H37,'3.08 Pakwach-Karuma-24h'!H37,'4.08 Pakwach-Karuma '!H37)</f>
        <v>0.2857142857142857</v>
      </c>
      <c r="I37" s="49">
        <f>AVERAGE('29.07 Pakwach-Karuma'!I37,'30.07.19 pakwach-karuma'!I37,'31.07 pakwach-karuma'!I37,'01.08 pakwach-karuma'!I37,'2.08 Pakwach-Karuma-24h'!I37,'3.08 Pakwach-Karuma-24h'!I37,'4.08 Pakwach-Karuma '!I37)</f>
        <v>0.14285714285714285</v>
      </c>
      <c r="J37" s="49">
        <f>AVERAGE('29.07 Pakwach-Karuma'!J37,'30.07.19 pakwach-karuma'!J37,'31.07 pakwach-karuma'!J37,'01.08 pakwach-karuma'!J37,'2.08 Pakwach-Karuma-24h'!J37,'3.08 Pakwach-Karuma-24h'!J37,'4.08 Pakwach-Karuma '!J37)</f>
        <v>0</v>
      </c>
      <c r="K37" s="49">
        <f>AVERAGE('29.07 Pakwach-Karuma'!K37,'30.07.19 pakwach-karuma'!K37,'31.07 pakwach-karuma'!K37,'01.08 pakwach-karuma'!K37,'2.08 Pakwach-Karuma-24h'!K37,'3.08 Pakwach-Karuma-24h'!K37,'4.08 Pakwach-Karuma '!K37)</f>
        <v>0.2857142857142857</v>
      </c>
      <c r="L37" s="49">
        <f>AVERAGE('29.07 Pakwach-Karuma'!L37,'30.07.19 pakwach-karuma'!L37,'31.07 pakwach-karuma'!L37,'01.08 pakwach-karuma'!L37,'2.08 Pakwach-Karuma-24h'!L37,'3.08 Pakwach-Karuma-24h'!L37,'4.08 Pakwach-Karuma '!L37)</f>
        <v>0.2857142857142857</v>
      </c>
      <c r="M37" s="49">
        <f>AVERAGE('29.07 Pakwach-Karuma'!M37,'30.07.19 pakwach-karuma'!M37,'31.07 pakwach-karuma'!M37,'01.08 pakwach-karuma'!M37,'2.08 Pakwach-Karuma-24h'!M37,'3.08 Pakwach-Karuma-24h'!M37,'4.08 Pakwach-Karuma '!M37)</f>
        <v>3.8571428571428572</v>
      </c>
      <c r="N37" s="49">
        <f>AVERAGE('29.07 Pakwach-Karuma'!N37,'30.07.19 pakwach-karuma'!N37,'31.07 pakwach-karuma'!N37,'01.08 pakwach-karuma'!N37,'2.08 Pakwach-Karuma-24h'!N37,'3.08 Pakwach-Karuma-24h'!N37,'4.08 Pakwach-Karuma '!N37)</f>
        <v>0</v>
      </c>
      <c r="O37" s="15">
        <f t="shared" si="0"/>
        <v>2.8571428571428568</v>
      </c>
      <c r="P37" s="15">
        <f t="shared" si="1"/>
        <v>6.7142857142857135</v>
      </c>
      <c r="R37" s="37" t="s">
        <v>85</v>
      </c>
      <c r="S37" s="53">
        <f t="shared" ref="S37:AF37" si="29">SUM(S10:S12)</f>
        <v>7.7142857142857135</v>
      </c>
      <c r="T37" s="54">
        <f t="shared" si="29"/>
        <v>2.1428571428571428</v>
      </c>
      <c r="U37" s="54">
        <f t="shared" si="29"/>
        <v>14.571428571428569</v>
      </c>
      <c r="V37" s="54">
        <f t="shared" si="29"/>
        <v>5</v>
      </c>
      <c r="W37" s="54">
        <f t="shared" si="29"/>
        <v>1.4285714285714284</v>
      </c>
      <c r="X37" s="54">
        <f t="shared" si="29"/>
        <v>0.2857142857142857</v>
      </c>
      <c r="Y37" s="54">
        <f t="shared" si="29"/>
        <v>3.5714285714285712</v>
      </c>
      <c r="Z37" s="54">
        <f t="shared" si="29"/>
        <v>8.1428571428571423</v>
      </c>
      <c r="AA37" s="54">
        <f t="shared" si="29"/>
        <v>3.2857142857142856</v>
      </c>
      <c r="AB37" s="54">
        <f t="shared" si="29"/>
        <v>14.857142857142858</v>
      </c>
      <c r="AC37" s="54">
        <f t="shared" si="29"/>
        <v>45.428571428571431</v>
      </c>
      <c r="AD37" s="54">
        <f t="shared" si="29"/>
        <v>2.8571428571428568</v>
      </c>
      <c r="AE37" s="55">
        <f t="shared" si="29"/>
        <v>63.857142857142861</v>
      </c>
      <c r="AF37" s="55">
        <f t="shared" si="29"/>
        <v>109.28571428571428</v>
      </c>
    </row>
    <row r="38" spans="2:32" ht="23.1" customHeight="1" x14ac:dyDescent="0.25">
      <c r="B38" s="24" t="s">
        <v>65</v>
      </c>
      <c r="C38" s="49">
        <f>AVERAGE('29.07 Pakwach-Karuma'!C38,'30.07.19 pakwach-karuma'!C38,'31.07 pakwach-karuma'!C38,'01.08 pakwach-karuma'!C38,'2.08 Pakwach-Karuma-24h'!C38,'3.08 Pakwach-Karuma-24h'!C38,'4.08 Pakwach-Karuma '!C38)</f>
        <v>1</v>
      </c>
      <c r="D38" s="49">
        <f>AVERAGE('29.07 Pakwach-Karuma'!D38,'30.07.19 pakwach-karuma'!D38,'31.07 pakwach-karuma'!D38,'01.08 pakwach-karuma'!D38,'2.08 Pakwach-Karuma-24h'!D38,'3.08 Pakwach-Karuma-24h'!D38,'4.08 Pakwach-Karuma '!D38)</f>
        <v>0.8571428571428571</v>
      </c>
      <c r="E38" s="49">
        <f>AVERAGE('29.07 Pakwach-Karuma'!E38,'30.07.19 pakwach-karuma'!E38,'31.07 pakwach-karuma'!E38,'01.08 pakwach-karuma'!E38,'2.08 Pakwach-Karuma-24h'!E38,'3.08 Pakwach-Karuma-24h'!E38,'4.08 Pakwach-Karuma '!E38)</f>
        <v>2.1428571428571428</v>
      </c>
      <c r="F38" s="49">
        <f>AVERAGE('29.07 Pakwach-Karuma'!F38,'30.07.19 pakwach-karuma'!F38,'31.07 pakwach-karuma'!F38,'01.08 pakwach-karuma'!F38,'2.08 Pakwach-Karuma-24h'!F38,'3.08 Pakwach-Karuma-24h'!F38,'4.08 Pakwach-Karuma '!F38)</f>
        <v>1.4285714285714286</v>
      </c>
      <c r="G38" s="49">
        <f>AVERAGE('29.07 Pakwach-Karuma'!G38,'30.07.19 pakwach-karuma'!G38,'31.07 pakwach-karuma'!G38,'01.08 pakwach-karuma'!G38,'2.08 Pakwach-Karuma-24h'!G38,'3.08 Pakwach-Karuma-24h'!G38,'4.08 Pakwach-Karuma '!G38)</f>
        <v>0.14285714285714285</v>
      </c>
      <c r="H38" s="49">
        <f>AVERAGE('29.07 Pakwach-Karuma'!H38,'30.07.19 pakwach-karuma'!H38,'31.07 pakwach-karuma'!H38,'01.08 pakwach-karuma'!H38,'2.08 Pakwach-Karuma-24h'!H38,'3.08 Pakwach-Karuma-24h'!H38,'4.08 Pakwach-Karuma '!H38)</f>
        <v>0.2857142857142857</v>
      </c>
      <c r="I38" s="49">
        <f>AVERAGE('29.07 Pakwach-Karuma'!I38,'30.07.19 pakwach-karuma'!I38,'31.07 pakwach-karuma'!I38,'01.08 pakwach-karuma'!I38,'2.08 Pakwach-Karuma-24h'!I38,'3.08 Pakwach-Karuma-24h'!I38,'4.08 Pakwach-Karuma '!I38)</f>
        <v>0.14285714285714285</v>
      </c>
      <c r="J38" s="49">
        <f>AVERAGE('29.07 Pakwach-Karuma'!J38,'30.07.19 pakwach-karuma'!J38,'31.07 pakwach-karuma'!J38,'01.08 pakwach-karuma'!J38,'2.08 Pakwach-Karuma-24h'!J38,'3.08 Pakwach-Karuma-24h'!J38,'4.08 Pakwach-Karuma '!J38)</f>
        <v>0.14285714285714285</v>
      </c>
      <c r="K38" s="49">
        <f>AVERAGE('29.07 Pakwach-Karuma'!K38,'30.07.19 pakwach-karuma'!K38,'31.07 pakwach-karuma'!K38,'01.08 pakwach-karuma'!K38,'2.08 Pakwach-Karuma-24h'!K38,'3.08 Pakwach-Karuma-24h'!K38,'4.08 Pakwach-Karuma '!K38)</f>
        <v>0.42857142857142855</v>
      </c>
      <c r="L38" s="49">
        <f>AVERAGE('29.07 Pakwach-Karuma'!L38,'30.07.19 pakwach-karuma'!L38,'31.07 pakwach-karuma'!L38,'01.08 pakwach-karuma'!L38,'2.08 Pakwach-Karuma-24h'!L38,'3.08 Pakwach-Karuma-24h'!L38,'4.08 Pakwach-Karuma '!L38)</f>
        <v>1.2857142857142858</v>
      </c>
      <c r="M38" s="49">
        <f>AVERAGE('29.07 Pakwach-Karuma'!M38,'30.07.19 pakwach-karuma'!M38,'31.07 pakwach-karuma'!M38,'01.08 pakwach-karuma'!M38,'2.08 Pakwach-Karuma-24h'!M38,'3.08 Pakwach-Karuma-24h'!M38,'4.08 Pakwach-Karuma '!M38)</f>
        <v>4.2857142857142856</v>
      </c>
      <c r="N38" s="49">
        <f>AVERAGE('29.07 Pakwach-Karuma'!N38,'30.07.19 pakwach-karuma'!N38,'31.07 pakwach-karuma'!N38,'01.08 pakwach-karuma'!N38,'2.08 Pakwach-Karuma-24h'!N38,'3.08 Pakwach-Karuma-24h'!N38,'4.08 Pakwach-Karuma '!N38)</f>
        <v>0.14285714285714285</v>
      </c>
      <c r="O38" s="15">
        <f t="shared" si="0"/>
        <v>8.0000000000000018</v>
      </c>
      <c r="P38" s="15">
        <f t="shared" si="1"/>
        <v>12.285714285714286</v>
      </c>
      <c r="R38" s="28" t="s">
        <v>86</v>
      </c>
      <c r="S38" s="54">
        <f t="shared" ref="S38:AF38" si="30">SUM(S13:S18)</f>
        <v>14.571428571428569</v>
      </c>
      <c r="T38" s="54">
        <f t="shared" si="30"/>
        <v>8.1428571428571423</v>
      </c>
      <c r="U38" s="54">
        <f t="shared" si="30"/>
        <v>40.142857142857139</v>
      </c>
      <c r="V38" s="54">
        <f t="shared" si="30"/>
        <v>18</v>
      </c>
      <c r="W38" s="54">
        <f t="shared" si="30"/>
        <v>8</v>
      </c>
      <c r="X38" s="54">
        <f t="shared" si="30"/>
        <v>5.5714285714285712</v>
      </c>
      <c r="Y38" s="54">
        <f t="shared" si="30"/>
        <v>7.7142857142857135</v>
      </c>
      <c r="Z38" s="54">
        <f t="shared" si="30"/>
        <v>5.8571428571428568</v>
      </c>
      <c r="AA38" s="54">
        <f t="shared" si="30"/>
        <v>5.7142857142857135</v>
      </c>
      <c r="AB38" s="54">
        <f t="shared" si="30"/>
        <v>20.285714285714285</v>
      </c>
      <c r="AC38" s="54">
        <f t="shared" si="30"/>
        <v>92.571428571428569</v>
      </c>
      <c r="AD38" s="54">
        <f t="shared" si="30"/>
        <v>3.2857142857142851</v>
      </c>
      <c r="AE38" s="55">
        <f t="shared" si="30"/>
        <v>137.28571428571428</v>
      </c>
      <c r="AF38" s="55">
        <f t="shared" si="30"/>
        <v>229.85714285714283</v>
      </c>
    </row>
    <row r="39" spans="2:32" ht="23.1" customHeight="1" x14ac:dyDescent="0.25">
      <c r="B39" s="24" t="s">
        <v>66</v>
      </c>
      <c r="C39" s="49">
        <f>AVERAGE('29.07 Pakwach-Karuma'!C39,'30.07.19 pakwach-karuma'!C39,'31.07 pakwach-karuma'!C39,'01.08 pakwach-karuma'!C39,'2.08 Pakwach-Karuma-24h'!C39,'3.08 Pakwach-Karuma-24h'!C39,'4.08 Pakwach-Karuma '!C39)</f>
        <v>0.14285714285714285</v>
      </c>
      <c r="D39" s="49">
        <f>AVERAGE('29.07 Pakwach-Karuma'!D39,'30.07.19 pakwach-karuma'!D39,'31.07 pakwach-karuma'!D39,'01.08 pakwach-karuma'!D39,'2.08 Pakwach-Karuma-24h'!D39,'3.08 Pakwach-Karuma-24h'!D39,'4.08 Pakwach-Karuma '!D39)</f>
        <v>0.2857142857142857</v>
      </c>
      <c r="E39" s="49">
        <f>AVERAGE('29.07 Pakwach-Karuma'!E39,'30.07.19 pakwach-karuma'!E39,'31.07 pakwach-karuma'!E39,'01.08 pakwach-karuma'!E39,'2.08 Pakwach-Karuma-24h'!E39,'3.08 Pakwach-Karuma-24h'!E39,'4.08 Pakwach-Karuma '!E39)</f>
        <v>1.5714285714285714</v>
      </c>
      <c r="F39" s="49">
        <f>AVERAGE('29.07 Pakwach-Karuma'!F39,'30.07.19 pakwach-karuma'!F39,'31.07 pakwach-karuma'!F39,'01.08 pakwach-karuma'!F39,'2.08 Pakwach-Karuma-24h'!F39,'3.08 Pakwach-Karuma-24h'!F39,'4.08 Pakwach-Karuma '!F39)</f>
        <v>1</v>
      </c>
      <c r="G39" s="49">
        <f>AVERAGE('29.07 Pakwach-Karuma'!G39,'30.07.19 pakwach-karuma'!G39,'31.07 pakwach-karuma'!G39,'01.08 pakwach-karuma'!G39,'2.08 Pakwach-Karuma-24h'!G39,'3.08 Pakwach-Karuma-24h'!G39,'4.08 Pakwach-Karuma '!G39)</f>
        <v>0.14285714285714285</v>
      </c>
      <c r="H39" s="49">
        <f>AVERAGE('29.07 Pakwach-Karuma'!H39,'30.07.19 pakwach-karuma'!H39,'31.07 pakwach-karuma'!H39,'01.08 pakwach-karuma'!H39,'2.08 Pakwach-Karuma-24h'!H39,'3.08 Pakwach-Karuma-24h'!H39,'4.08 Pakwach-Karuma '!H39)</f>
        <v>0.2857142857142857</v>
      </c>
      <c r="I39" s="49">
        <f>AVERAGE('29.07 Pakwach-Karuma'!I39,'30.07.19 pakwach-karuma'!I39,'31.07 pakwach-karuma'!I39,'01.08 pakwach-karuma'!I39,'2.08 Pakwach-Karuma-24h'!I39,'3.08 Pakwach-Karuma-24h'!I39,'4.08 Pakwach-Karuma '!I39)</f>
        <v>0.14285714285714285</v>
      </c>
      <c r="J39" s="49">
        <f>AVERAGE('29.07 Pakwach-Karuma'!J39,'30.07.19 pakwach-karuma'!J39,'31.07 pakwach-karuma'!J39,'01.08 pakwach-karuma'!J39,'2.08 Pakwach-Karuma-24h'!J39,'3.08 Pakwach-Karuma-24h'!J39,'4.08 Pakwach-Karuma '!J39)</f>
        <v>0</v>
      </c>
      <c r="K39" s="49">
        <f>AVERAGE('29.07 Pakwach-Karuma'!K39,'30.07.19 pakwach-karuma'!K39,'31.07 pakwach-karuma'!K39,'01.08 pakwach-karuma'!K39,'2.08 Pakwach-Karuma-24h'!K39,'3.08 Pakwach-Karuma-24h'!K39,'4.08 Pakwach-Karuma '!K39)</f>
        <v>0.14285714285714285</v>
      </c>
      <c r="L39" s="49">
        <f>AVERAGE('29.07 Pakwach-Karuma'!L39,'30.07.19 pakwach-karuma'!L39,'31.07 pakwach-karuma'!L39,'01.08 pakwach-karuma'!L39,'2.08 Pakwach-Karuma-24h'!L39,'3.08 Pakwach-Karuma-24h'!L39,'4.08 Pakwach-Karuma '!L39)</f>
        <v>0.14285714285714285</v>
      </c>
      <c r="M39" s="49">
        <f>AVERAGE('29.07 Pakwach-Karuma'!M39,'30.07.19 pakwach-karuma'!M39,'31.07 pakwach-karuma'!M39,'01.08 pakwach-karuma'!M39,'2.08 Pakwach-Karuma-24h'!M39,'3.08 Pakwach-Karuma-24h'!M39,'4.08 Pakwach-Karuma '!M39)</f>
        <v>2.7142857142857144</v>
      </c>
      <c r="N39" s="49">
        <f>AVERAGE('29.07 Pakwach-Karuma'!N39,'30.07.19 pakwach-karuma'!N39,'31.07 pakwach-karuma'!N39,'01.08 pakwach-karuma'!N39,'2.08 Pakwach-Karuma-24h'!N39,'3.08 Pakwach-Karuma-24h'!N39,'4.08 Pakwach-Karuma '!N39)</f>
        <v>0</v>
      </c>
      <c r="O39" s="15">
        <f t="shared" si="0"/>
        <v>3.8571428571428568</v>
      </c>
      <c r="P39" s="15">
        <f t="shared" si="1"/>
        <v>6.5714285714285712</v>
      </c>
      <c r="R39" s="29" t="s">
        <v>87</v>
      </c>
      <c r="S39" s="54">
        <f t="shared" ref="S39:AF39" si="31">SUM(S19:S21)</f>
        <v>10.428571428571427</v>
      </c>
      <c r="T39" s="54">
        <f t="shared" si="31"/>
        <v>6.7142857142857144</v>
      </c>
      <c r="U39" s="54">
        <f t="shared" si="31"/>
        <v>23.857142857142861</v>
      </c>
      <c r="V39" s="54">
        <f t="shared" si="31"/>
        <v>9.8571428571428559</v>
      </c>
      <c r="W39" s="54">
        <f t="shared" si="31"/>
        <v>3.5714285714285712</v>
      </c>
      <c r="X39" s="54">
        <f t="shared" si="31"/>
        <v>7.2857142857142856</v>
      </c>
      <c r="Y39" s="54">
        <f t="shared" si="31"/>
        <v>3.1428571428571423</v>
      </c>
      <c r="Z39" s="54">
        <f t="shared" si="31"/>
        <v>4.5714285714285712</v>
      </c>
      <c r="AA39" s="54">
        <f t="shared" si="31"/>
        <v>3.7142857142857135</v>
      </c>
      <c r="AB39" s="54">
        <f t="shared" si="31"/>
        <v>12.857142857142856</v>
      </c>
      <c r="AC39" s="54">
        <f t="shared" si="31"/>
        <v>52.428571428571423</v>
      </c>
      <c r="AD39" s="54">
        <f t="shared" si="31"/>
        <v>2.1428571428571423</v>
      </c>
      <c r="AE39" s="55">
        <f t="shared" si="31"/>
        <v>88.142857142857139</v>
      </c>
      <c r="AF39" s="55">
        <f t="shared" si="31"/>
        <v>140.57142857142856</v>
      </c>
    </row>
    <row r="40" spans="2:32" ht="23.1" customHeight="1" x14ac:dyDescent="0.25">
      <c r="B40" s="24" t="s">
        <v>67</v>
      </c>
      <c r="C40" s="49">
        <f>AVERAGE('29.07 Pakwach-Karuma'!C40,'30.07.19 pakwach-karuma'!C40,'31.07 pakwach-karuma'!C40,'01.08 pakwach-karuma'!C40,'2.08 Pakwach-Karuma-24h'!C40,'3.08 Pakwach-Karuma-24h'!C40,'4.08 Pakwach-Karuma '!C40)</f>
        <v>0.5714285714285714</v>
      </c>
      <c r="D40" s="49">
        <f>AVERAGE('29.07 Pakwach-Karuma'!D40,'30.07.19 pakwach-karuma'!D40,'31.07 pakwach-karuma'!D40,'01.08 pakwach-karuma'!D40,'2.08 Pakwach-Karuma-24h'!D40,'3.08 Pakwach-Karuma-24h'!D40,'4.08 Pakwach-Karuma '!D40)</f>
        <v>0.14285714285714285</v>
      </c>
      <c r="E40" s="49">
        <f>AVERAGE('29.07 Pakwach-Karuma'!E40,'30.07.19 pakwach-karuma'!E40,'31.07 pakwach-karuma'!E40,'01.08 pakwach-karuma'!E40,'2.08 Pakwach-Karuma-24h'!E40,'3.08 Pakwach-Karuma-24h'!E40,'4.08 Pakwach-Karuma '!E40)</f>
        <v>1.7142857142857142</v>
      </c>
      <c r="F40" s="49">
        <f>AVERAGE('29.07 Pakwach-Karuma'!F40,'30.07.19 pakwach-karuma'!F40,'31.07 pakwach-karuma'!F40,'01.08 pakwach-karuma'!F40,'2.08 Pakwach-Karuma-24h'!F40,'3.08 Pakwach-Karuma-24h'!F40,'4.08 Pakwach-Karuma '!F40)</f>
        <v>0.42857142857142855</v>
      </c>
      <c r="G40" s="49">
        <f>AVERAGE('29.07 Pakwach-Karuma'!G40,'30.07.19 pakwach-karuma'!G40,'31.07 pakwach-karuma'!G40,'01.08 pakwach-karuma'!G40,'2.08 Pakwach-Karuma-24h'!G40,'3.08 Pakwach-Karuma-24h'!G40,'4.08 Pakwach-Karuma '!G40)</f>
        <v>0.5714285714285714</v>
      </c>
      <c r="H40" s="49">
        <f>AVERAGE('29.07 Pakwach-Karuma'!H40,'30.07.19 pakwach-karuma'!H40,'31.07 pakwach-karuma'!H40,'01.08 pakwach-karuma'!H40,'2.08 Pakwach-Karuma-24h'!H40,'3.08 Pakwach-Karuma-24h'!H40,'4.08 Pakwach-Karuma '!H40)</f>
        <v>1.5714285714285714</v>
      </c>
      <c r="I40" s="49">
        <f>AVERAGE('29.07 Pakwach-Karuma'!I40,'30.07.19 pakwach-karuma'!I40,'31.07 pakwach-karuma'!I40,'01.08 pakwach-karuma'!I40,'2.08 Pakwach-Karuma-24h'!I40,'3.08 Pakwach-Karuma-24h'!I40,'4.08 Pakwach-Karuma '!I40)</f>
        <v>0.14285714285714285</v>
      </c>
      <c r="J40" s="49">
        <f>AVERAGE('29.07 Pakwach-Karuma'!J40,'30.07.19 pakwach-karuma'!J40,'31.07 pakwach-karuma'!J40,'01.08 pakwach-karuma'!J40,'2.08 Pakwach-Karuma-24h'!J40,'3.08 Pakwach-Karuma-24h'!J40,'4.08 Pakwach-Karuma '!J40)</f>
        <v>0.14285714285714285</v>
      </c>
      <c r="K40" s="49">
        <f>AVERAGE('29.07 Pakwach-Karuma'!K40,'30.07.19 pakwach-karuma'!K40,'31.07 pakwach-karuma'!K40,'01.08 pakwach-karuma'!K40,'2.08 Pakwach-Karuma-24h'!K40,'3.08 Pakwach-Karuma-24h'!K40,'4.08 Pakwach-Karuma '!K40)</f>
        <v>0</v>
      </c>
      <c r="L40" s="49">
        <f>AVERAGE('29.07 Pakwach-Karuma'!L40,'30.07.19 pakwach-karuma'!L40,'31.07 pakwach-karuma'!L40,'01.08 pakwach-karuma'!L40,'2.08 Pakwach-Karuma-24h'!L40,'3.08 Pakwach-Karuma-24h'!L40,'4.08 Pakwach-Karuma '!L40)</f>
        <v>0.5714285714285714</v>
      </c>
      <c r="M40" s="49">
        <f>AVERAGE('29.07 Pakwach-Karuma'!M40,'30.07.19 pakwach-karuma'!M40,'31.07 pakwach-karuma'!M40,'01.08 pakwach-karuma'!M40,'2.08 Pakwach-Karuma-24h'!M40,'3.08 Pakwach-Karuma-24h'!M40,'4.08 Pakwach-Karuma '!M40)</f>
        <v>3.8571428571428572</v>
      </c>
      <c r="N40" s="49">
        <f>AVERAGE('29.07 Pakwach-Karuma'!N40,'30.07.19 pakwach-karuma'!N40,'31.07 pakwach-karuma'!N40,'01.08 pakwach-karuma'!N40,'2.08 Pakwach-Karuma-24h'!N40,'3.08 Pakwach-Karuma-24h'!N40,'4.08 Pakwach-Karuma '!N40)</f>
        <v>0.2857142857142857</v>
      </c>
      <c r="O40" s="15">
        <f t="shared" si="0"/>
        <v>6.1428571428571423</v>
      </c>
      <c r="P40" s="15">
        <f t="shared" si="1"/>
        <v>10</v>
      </c>
      <c r="R40" s="5" t="s">
        <v>17</v>
      </c>
      <c r="S40" s="54">
        <f t="shared" ref="S40:AF40" si="32">SUM(S10:S21)</f>
        <v>32.714285714285715</v>
      </c>
      <c r="T40" s="54">
        <f t="shared" si="32"/>
        <v>17</v>
      </c>
      <c r="U40" s="54">
        <f t="shared" si="32"/>
        <v>78.571428571428569</v>
      </c>
      <c r="V40" s="54">
        <f t="shared" si="32"/>
        <v>32.857142857142854</v>
      </c>
      <c r="W40" s="54">
        <f t="shared" si="32"/>
        <v>12.999999999999998</v>
      </c>
      <c r="X40" s="54">
        <f t="shared" si="32"/>
        <v>13.142857142857142</v>
      </c>
      <c r="Y40" s="54">
        <f t="shared" si="32"/>
        <v>14.428571428571427</v>
      </c>
      <c r="Z40" s="54">
        <f t="shared" si="32"/>
        <v>18.571428571428569</v>
      </c>
      <c r="AA40" s="54">
        <f t="shared" si="32"/>
        <v>12.714285714285714</v>
      </c>
      <c r="AB40" s="54">
        <f t="shared" si="32"/>
        <v>48</v>
      </c>
      <c r="AC40" s="54">
        <f t="shared" si="32"/>
        <v>190.42857142857142</v>
      </c>
      <c r="AD40" s="54">
        <f t="shared" si="32"/>
        <v>8.2857142857142847</v>
      </c>
      <c r="AE40" s="55">
        <f t="shared" si="32"/>
        <v>289.28571428571433</v>
      </c>
      <c r="AF40" s="55">
        <f t="shared" si="32"/>
        <v>479.71428571428578</v>
      </c>
    </row>
    <row r="41" spans="2:32" ht="23.1" customHeight="1" x14ac:dyDescent="0.25">
      <c r="B41" s="23" t="s">
        <v>68</v>
      </c>
      <c r="C41" s="49">
        <f>AVERAGE('29.07 Pakwach-Karuma'!C41,'30.07.19 pakwach-karuma'!C41,'31.07 pakwach-karuma'!C41,'01.08 pakwach-karuma'!C41,'2.08 Pakwach-Karuma-24h'!C41,'3.08 Pakwach-Karuma-24h'!C41,'4.08 Pakwach-Karuma '!C41)</f>
        <v>1.4285714285714286</v>
      </c>
      <c r="D41" s="49">
        <f>AVERAGE('29.07 Pakwach-Karuma'!D41,'30.07.19 pakwach-karuma'!D41,'31.07 pakwach-karuma'!D41,'01.08 pakwach-karuma'!D41,'2.08 Pakwach-Karuma-24h'!D41,'3.08 Pakwach-Karuma-24h'!D41,'4.08 Pakwach-Karuma '!D41)</f>
        <v>0.8571428571428571</v>
      </c>
      <c r="E41" s="49">
        <f>AVERAGE('29.07 Pakwach-Karuma'!E41,'30.07.19 pakwach-karuma'!E41,'31.07 pakwach-karuma'!E41,'01.08 pakwach-karuma'!E41,'2.08 Pakwach-Karuma-24h'!E41,'3.08 Pakwach-Karuma-24h'!E41,'4.08 Pakwach-Karuma '!E41)</f>
        <v>2.2857142857142856</v>
      </c>
      <c r="F41" s="49">
        <f>AVERAGE('29.07 Pakwach-Karuma'!F41,'30.07.19 pakwach-karuma'!F41,'31.07 pakwach-karuma'!F41,'01.08 pakwach-karuma'!F41,'2.08 Pakwach-Karuma-24h'!F41,'3.08 Pakwach-Karuma-24h'!F41,'4.08 Pakwach-Karuma '!F41)</f>
        <v>0.8571428571428571</v>
      </c>
      <c r="G41" s="49">
        <f>AVERAGE('29.07 Pakwach-Karuma'!G41,'30.07.19 pakwach-karuma'!G41,'31.07 pakwach-karuma'!G41,'01.08 pakwach-karuma'!G41,'2.08 Pakwach-Karuma-24h'!G41,'3.08 Pakwach-Karuma-24h'!G41,'4.08 Pakwach-Karuma '!G41)</f>
        <v>1</v>
      </c>
      <c r="H41" s="49">
        <f>AVERAGE('29.07 Pakwach-Karuma'!H41,'30.07.19 pakwach-karuma'!H41,'31.07 pakwach-karuma'!H41,'01.08 pakwach-karuma'!H41,'2.08 Pakwach-Karuma-24h'!H41,'3.08 Pakwach-Karuma-24h'!H41,'4.08 Pakwach-Karuma '!H41)</f>
        <v>0.8571428571428571</v>
      </c>
      <c r="I41" s="49">
        <f>AVERAGE('29.07 Pakwach-Karuma'!I41,'30.07.19 pakwach-karuma'!I41,'31.07 pakwach-karuma'!I41,'01.08 pakwach-karuma'!I41,'2.08 Pakwach-Karuma-24h'!I41,'3.08 Pakwach-Karuma-24h'!I41,'4.08 Pakwach-Karuma '!I41)</f>
        <v>0.42857142857142855</v>
      </c>
      <c r="J41" s="49">
        <f>AVERAGE('29.07 Pakwach-Karuma'!J41,'30.07.19 pakwach-karuma'!J41,'31.07 pakwach-karuma'!J41,'01.08 pakwach-karuma'!J41,'2.08 Pakwach-Karuma-24h'!J41,'3.08 Pakwach-Karuma-24h'!J41,'4.08 Pakwach-Karuma '!J41)</f>
        <v>0.2857142857142857</v>
      </c>
      <c r="K41" s="49">
        <f>AVERAGE('29.07 Pakwach-Karuma'!K41,'30.07.19 pakwach-karuma'!K41,'31.07 pakwach-karuma'!K41,'01.08 pakwach-karuma'!K41,'2.08 Pakwach-Karuma-24h'!K41,'3.08 Pakwach-Karuma-24h'!K41,'4.08 Pakwach-Karuma '!K41)</f>
        <v>0.42857142857142855</v>
      </c>
      <c r="L41" s="49">
        <f>AVERAGE('29.07 Pakwach-Karuma'!L41,'30.07.19 pakwach-karuma'!L41,'31.07 pakwach-karuma'!L41,'01.08 pakwach-karuma'!L41,'2.08 Pakwach-Karuma-24h'!L41,'3.08 Pakwach-Karuma-24h'!L41,'4.08 Pakwach-Karuma '!L41)</f>
        <v>1.1428571428571428</v>
      </c>
      <c r="M41" s="49">
        <f>AVERAGE('29.07 Pakwach-Karuma'!M41,'30.07.19 pakwach-karuma'!M41,'31.07 pakwach-karuma'!M41,'01.08 pakwach-karuma'!M41,'2.08 Pakwach-Karuma-24h'!M41,'3.08 Pakwach-Karuma-24h'!M41,'4.08 Pakwach-Karuma '!M41)</f>
        <v>4</v>
      </c>
      <c r="N41" s="49">
        <f>AVERAGE('29.07 Pakwach-Karuma'!N41,'30.07.19 pakwach-karuma'!N41,'31.07 pakwach-karuma'!N41,'01.08 pakwach-karuma'!N41,'2.08 Pakwach-Karuma-24h'!N41,'3.08 Pakwach-Karuma-24h'!N41,'4.08 Pakwach-Karuma '!N41)</f>
        <v>0</v>
      </c>
      <c r="O41" s="15">
        <f t="shared" si="0"/>
        <v>9.5714285714285694</v>
      </c>
      <c r="P41" s="15">
        <f t="shared" si="1"/>
        <v>13.571428571428569</v>
      </c>
      <c r="R41" s="5" t="s">
        <v>175</v>
      </c>
      <c r="S41" s="54">
        <f>SUM(S10:S33)</f>
        <v>50.714285714285715</v>
      </c>
      <c r="T41" s="54">
        <f t="shared" ref="T41:AD41" si="33">SUM(T10:T33)</f>
        <v>23</v>
      </c>
      <c r="U41" s="54">
        <f t="shared" si="33"/>
        <v>118.57142857142857</v>
      </c>
      <c r="V41" s="54">
        <f t="shared" si="33"/>
        <v>51.857142857142854</v>
      </c>
      <c r="W41" s="54">
        <f t="shared" si="33"/>
        <v>14.999999999999998</v>
      </c>
      <c r="X41" s="54">
        <f t="shared" si="33"/>
        <v>19.142857142857142</v>
      </c>
      <c r="Y41" s="54">
        <f t="shared" si="33"/>
        <v>18.428571428571427</v>
      </c>
      <c r="Z41" s="54">
        <f t="shared" si="33"/>
        <v>26.571428571428569</v>
      </c>
      <c r="AA41" s="54">
        <f t="shared" si="33"/>
        <v>14.714285714285714</v>
      </c>
      <c r="AB41" s="54">
        <f t="shared" si="33"/>
        <v>75.5</v>
      </c>
      <c r="AC41" s="54">
        <f t="shared" si="33"/>
        <v>249.42857142857142</v>
      </c>
      <c r="AD41" s="54">
        <f t="shared" si="33"/>
        <v>8.2857142857142847</v>
      </c>
      <c r="AE41" s="55">
        <f>SUM(AE10:AE33)</f>
        <v>421.78571428571433</v>
      </c>
      <c r="AF41" s="55">
        <f>SUM(AF10:AF33)</f>
        <v>671.21428571428578</v>
      </c>
    </row>
    <row r="42" spans="2:32" ht="23.1" customHeight="1" x14ac:dyDescent="0.25">
      <c r="B42" s="24" t="s">
        <v>69</v>
      </c>
      <c r="C42" s="49">
        <f>AVERAGE('29.07 Pakwach-Karuma'!C42,'30.07.19 pakwach-karuma'!C42,'31.07 pakwach-karuma'!C42,'01.08 pakwach-karuma'!C42,'2.08 Pakwach-Karuma-24h'!C42,'3.08 Pakwach-Karuma-24h'!C42,'4.08 Pakwach-Karuma '!C42)</f>
        <v>1</v>
      </c>
      <c r="D42" s="49">
        <f>AVERAGE('29.07 Pakwach-Karuma'!D42,'30.07.19 pakwach-karuma'!D42,'31.07 pakwach-karuma'!D42,'01.08 pakwach-karuma'!D42,'2.08 Pakwach-Karuma-24h'!D42,'3.08 Pakwach-Karuma-24h'!D42,'4.08 Pakwach-Karuma '!D42)</f>
        <v>0.42857142857142855</v>
      </c>
      <c r="E42" s="49">
        <f>AVERAGE('29.07 Pakwach-Karuma'!E42,'30.07.19 pakwach-karuma'!E42,'31.07 pakwach-karuma'!E42,'01.08 pakwach-karuma'!E42,'2.08 Pakwach-Karuma-24h'!E42,'3.08 Pakwach-Karuma-24h'!E42,'4.08 Pakwach-Karuma '!E42)</f>
        <v>1.7142857142857142</v>
      </c>
      <c r="F42" s="49">
        <f>AVERAGE('29.07 Pakwach-Karuma'!F42,'30.07.19 pakwach-karuma'!F42,'31.07 pakwach-karuma'!F42,'01.08 pakwach-karuma'!F42,'2.08 Pakwach-Karuma-24h'!F42,'3.08 Pakwach-Karuma-24h'!F42,'4.08 Pakwach-Karuma '!F42)</f>
        <v>0.42857142857142855</v>
      </c>
      <c r="G42" s="49">
        <f>AVERAGE('29.07 Pakwach-Karuma'!G42,'30.07.19 pakwach-karuma'!G42,'31.07 pakwach-karuma'!G42,'01.08 pakwach-karuma'!G42,'2.08 Pakwach-Karuma-24h'!G42,'3.08 Pakwach-Karuma-24h'!G42,'4.08 Pakwach-Karuma '!G42)</f>
        <v>0.42857142857142855</v>
      </c>
      <c r="H42" s="49">
        <f>AVERAGE('29.07 Pakwach-Karuma'!H42,'30.07.19 pakwach-karuma'!H42,'31.07 pakwach-karuma'!H42,'01.08 pakwach-karuma'!H42,'2.08 Pakwach-Karuma-24h'!H42,'3.08 Pakwach-Karuma-24h'!H42,'4.08 Pakwach-Karuma '!H42)</f>
        <v>0.42857142857142855</v>
      </c>
      <c r="I42" s="49">
        <f>AVERAGE('29.07 Pakwach-Karuma'!I42,'30.07.19 pakwach-karuma'!I42,'31.07 pakwach-karuma'!I42,'01.08 pakwach-karuma'!I42,'2.08 Pakwach-Karuma-24h'!I42,'3.08 Pakwach-Karuma-24h'!I42,'4.08 Pakwach-Karuma '!I42)</f>
        <v>0.2857142857142857</v>
      </c>
      <c r="J42" s="49">
        <f>AVERAGE('29.07 Pakwach-Karuma'!J42,'30.07.19 pakwach-karuma'!J42,'31.07 pakwach-karuma'!J42,'01.08 pakwach-karuma'!J42,'2.08 Pakwach-Karuma-24h'!J42,'3.08 Pakwach-Karuma-24h'!J42,'4.08 Pakwach-Karuma '!J42)</f>
        <v>0.42857142857142855</v>
      </c>
      <c r="K42" s="49">
        <f>AVERAGE('29.07 Pakwach-Karuma'!K42,'30.07.19 pakwach-karuma'!K42,'31.07 pakwach-karuma'!K42,'01.08 pakwach-karuma'!K42,'2.08 Pakwach-Karuma-24h'!K42,'3.08 Pakwach-Karuma-24h'!K42,'4.08 Pakwach-Karuma '!K42)</f>
        <v>0.42857142857142855</v>
      </c>
      <c r="L42" s="49">
        <f>AVERAGE('29.07 Pakwach-Karuma'!L42,'30.07.19 pakwach-karuma'!L42,'31.07 pakwach-karuma'!L42,'01.08 pakwach-karuma'!L42,'2.08 Pakwach-Karuma-24h'!L42,'3.08 Pakwach-Karuma-24h'!L42,'4.08 Pakwach-Karuma '!L42)</f>
        <v>1.2857142857142858</v>
      </c>
      <c r="M42" s="49">
        <f>AVERAGE('29.07 Pakwach-Karuma'!M42,'30.07.19 pakwach-karuma'!M42,'31.07 pakwach-karuma'!M42,'01.08 pakwach-karuma'!M42,'2.08 Pakwach-Karuma-24h'!M42,'3.08 Pakwach-Karuma-24h'!M42,'4.08 Pakwach-Karuma '!M42)</f>
        <v>4.5714285714285712</v>
      </c>
      <c r="N42" s="49">
        <f>AVERAGE('29.07 Pakwach-Karuma'!N42,'30.07.19 pakwach-karuma'!N42,'31.07 pakwach-karuma'!N42,'01.08 pakwach-karuma'!N42,'2.08 Pakwach-Karuma-24h'!N42,'3.08 Pakwach-Karuma-24h'!N42,'4.08 Pakwach-Karuma '!N42)</f>
        <v>0.14285714285714285</v>
      </c>
      <c r="O42" s="15">
        <f t="shared" si="0"/>
        <v>7</v>
      </c>
      <c r="P42" s="15">
        <f t="shared" si="1"/>
        <v>11.571428571428569</v>
      </c>
      <c r="R42" s="5" t="s">
        <v>160</v>
      </c>
      <c r="S42" s="48">
        <f>S41/S40</f>
        <v>1.5502183406113537</v>
      </c>
      <c r="T42" s="48">
        <f t="shared" ref="T42:AF42" si="34">T41/T40</f>
        <v>1.3529411764705883</v>
      </c>
      <c r="U42" s="48">
        <f t="shared" si="34"/>
        <v>1.509090909090909</v>
      </c>
      <c r="V42" s="48">
        <f t="shared" si="34"/>
        <v>1.5782608695652174</v>
      </c>
      <c r="W42" s="48">
        <f t="shared" si="34"/>
        <v>1.153846153846154</v>
      </c>
      <c r="X42" s="48">
        <f t="shared" si="34"/>
        <v>1.4565217391304348</v>
      </c>
      <c r="Y42" s="48">
        <f t="shared" si="34"/>
        <v>1.2772277227722773</v>
      </c>
      <c r="Z42" s="48">
        <f t="shared" si="34"/>
        <v>1.4307692307692308</v>
      </c>
      <c r="AA42" s="48">
        <f t="shared" si="34"/>
        <v>1.1573033707865168</v>
      </c>
      <c r="AB42" s="48">
        <f t="shared" si="34"/>
        <v>1.5729166666666667</v>
      </c>
      <c r="AC42" s="48">
        <f t="shared" si="34"/>
        <v>1.3098274568642161</v>
      </c>
      <c r="AD42" s="48">
        <f t="shared" si="34"/>
        <v>1</v>
      </c>
      <c r="AE42" s="56">
        <f t="shared" si="34"/>
        <v>1.4580246913580246</v>
      </c>
      <c r="AF42" s="56">
        <f t="shared" si="34"/>
        <v>1.3991959499702202</v>
      </c>
    </row>
    <row r="43" spans="2:32" ht="23.1" customHeight="1" x14ac:dyDescent="0.25">
      <c r="B43" s="23" t="s">
        <v>70</v>
      </c>
      <c r="C43" s="49">
        <f>AVERAGE('29.07 Pakwach-Karuma'!C43,'30.07.19 pakwach-karuma'!C43,'31.07 pakwach-karuma'!C43,'01.08 pakwach-karuma'!C43,'2.08 Pakwach-Karuma-24h'!C43,'3.08 Pakwach-Karuma-24h'!C43,'4.08 Pakwach-Karuma '!C43)</f>
        <v>1</v>
      </c>
      <c r="D43" s="49">
        <f>AVERAGE('29.07 Pakwach-Karuma'!D43,'30.07.19 pakwach-karuma'!D43,'31.07 pakwach-karuma'!D43,'01.08 pakwach-karuma'!D43,'2.08 Pakwach-Karuma-24h'!D43,'3.08 Pakwach-Karuma-24h'!D43,'4.08 Pakwach-Karuma '!D43)</f>
        <v>0.2857142857142857</v>
      </c>
      <c r="E43" s="49">
        <f>AVERAGE('29.07 Pakwach-Karuma'!E43,'30.07.19 pakwach-karuma'!E43,'31.07 pakwach-karuma'!E43,'01.08 pakwach-karuma'!E43,'2.08 Pakwach-Karuma-24h'!E43,'3.08 Pakwach-Karuma-24h'!E43,'4.08 Pakwach-Karuma '!E43)</f>
        <v>1.7142857142857142</v>
      </c>
      <c r="F43" s="49">
        <f>AVERAGE('29.07 Pakwach-Karuma'!F43,'30.07.19 pakwach-karuma'!F43,'31.07 pakwach-karuma'!F43,'01.08 pakwach-karuma'!F43,'2.08 Pakwach-Karuma-24h'!F43,'3.08 Pakwach-Karuma-24h'!F43,'4.08 Pakwach-Karuma '!F43)</f>
        <v>0.42857142857142855</v>
      </c>
      <c r="G43" s="49">
        <f>AVERAGE('29.07 Pakwach-Karuma'!G43,'30.07.19 pakwach-karuma'!G43,'31.07 pakwach-karuma'!G43,'01.08 pakwach-karuma'!G43,'2.08 Pakwach-Karuma-24h'!G43,'3.08 Pakwach-Karuma-24h'!G43,'4.08 Pakwach-Karuma '!G43)</f>
        <v>0.2857142857142857</v>
      </c>
      <c r="H43" s="49">
        <f>AVERAGE('29.07 Pakwach-Karuma'!H43,'30.07.19 pakwach-karuma'!H43,'31.07 pakwach-karuma'!H43,'01.08 pakwach-karuma'!H43,'2.08 Pakwach-Karuma-24h'!H43,'3.08 Pakwach-Karuma-24h'!H43,'4.08 Pakwach-Karuma '!H43)</f>
        <v>0.2857142857142857</v>
      </c>
      <c r="I43" s="49">
        <f>AVERAGE('29.07 Pakwach-Karuma'!I43,'30.07.19 pakwach-karuma'!I43,'31.07 pakwach-karuma'!I43,'01.08 pakwach-karuma'!I43,'2.08 Pakwach-Karuma-24h'!I43,'3.08 Pakwach-Karuma-24h'!I43,'4.08 Pakwach-Karuma '!I43)</f>
        <v>0.5714285714285714</v>
      </c>
      <c r="J43" s="49">
        <f>AVERAGE('29.07 Pakwach-Karuma'!J43,'30.07.19 pakwach-karuma'!J43,'31.07 pakwach-karuma'!J43,'01.08 pakwach-karuma'!J43,'2.08 Pakwach-Karuma-24h'!J43,'3.08 Pakwach-Karuma-24h'!J43,'4.08 Pakwach-Karuma '!J43)</f>
        <v>0.14285714285714285</v>
      </c>
      <c r="K43" s="49">
        <f>AVERAGE('29.07 Pakwach-Karuma'!K43,'30.07.19 pakwach-karuma'!K43,'31.07 pakwach-karuma'!K43,'01.08 pakwach-karuma'!K43,'2.08 Pakwach-Karuma-24h'!K43,'3.08 Pakwach-Karuma-24h'!K43,'4.08 Pakwach-Karuma '!K43)</f>
        <v>0.5714285714285714</v>
      </c>
      <c r="L43" s="49">
        <f>AVERAGE('29.07 Pakwach-Karuma'!L43,'30.07.19 pakwach-karuma'!L43,'31.07 pakwach-karuma'!L43,'01.08 pakwach-karuma'!L43,'2.08 Pakwach-Karuma-24h'!L43,'3.08 Pakwach-Karuma-24h'!L43,'4.08 Pakwach-Karuma '!L43)</f>
        <v>1.5714285714285714</v>
      </c>
      <c r="M43" s="49">
        <f>AVERAGE('29.07 Pakwach-Karuma'!M43,'30.07.19 pakwach-karuma'!M43,'31.07 pakwach-karuma'!M43,'01.08 pakwach-karuma'!M43,'2.08 Pakwach-Karuma-24h'!M43,'3.08 Pakwach-Karuma-24h'!M43,'4.08 Pakwach-Karuma '!M43)</f>
        <v>4</v>
      </c>
      <c r="N43" s="49">
        <f>AVERAGE('29.07 Pakwach-Karuma'!N43,'30.07.19 pakwach-karuma'!N43,'31.07 pakwach-karuma'!N43,'01.08 pakwach-karuma'!N43,'2.08 Pakwach-Karuma-24h'!N43,'3.08 Pakwach-Karuma-24h'!N43,'4.08 Pakwach-Karuma '!N43)</f>
        <v>0.2857142857142857</v>
      </c>
      <c r="O43" s="15">
        <f t="shared" si="0"/>
        <v>7.1428571428571423</v>
      </c>
      <c r="P43" s="15">
        <f t="shared" si="1"/>
        <v>11.142857142857144</v>
      </c>
    </row>
    <row r="44" spans="2:32" ht="23.1" customHeight="1" x14ac:dyDescent="0.25">
      <c r="B44" s="25" t="s">
        <v>71</v>
      </c>
      <c r="C44" s="49">
        <f>AVERAGE('29.07 Pakwach-Karuma'!C44,'30.07.19 pakwach-karuma'!C44,'31.07 pakwach-karuma'!C44,'01.08 pakwach-karuma'!C44,'2.08 Pakwach-Karuma-24h'!C44,'3.08 Pakwach-Karuma-24h'!C44,'4.08 Pakwach-Karuma '!C44)</f>
        <v>1</v>
      </c>
      <c r="D44" s="49">
        <f>AVERAGE('29.07 Pakwach-Karuma'!D44,'30.07.19 pakwach-karuma'!D44,'31.07 pakwach-karuma'!D44,'01.08 pakwach-karuma'!D44,'2.08 Pakwach-Karuma-24h'!D44,'3.08 Pakwach-Karuma-24h'!D44,'4.08 Pakwach-Karuma '!D44)</f>
        <v>0.42857142857142855</v>
      </c>
      <c r="E44" s="49">
        <f>AVERAGE('29.07 Pakwach-Karuma'!E44,'30.07.19 pakwach-karuma'!E44,'31.07 pakwach-karuma'!E44,'01.08 pakwach-karuma'!E44,'2.08 Pakwach-Karuma-24h'!E44,'3.08 Pakwach-Karuma-24h'!E44,'4.08 Pakwach-Karuma '!E44)</f>
        <v>1.5714285714285714</v>
      </c>
      <c r="F44" s="49">
        <f>AVERAGE('29.07 Pakwach-Karuma'!F44,'30.07.19 pakwach-karuma'!F44,'31.07 pakwach-karuma'!F44,'01.08 pakwach-karuma'!F44,'2.08 Pakwach-Karuma-24h'!F44,'3.08 Pakwach-Karuma-24h'!F44,'4.08 Pakwach-Karuma '!F44)</f>
        <v>0.42857142857142855</v>
      </c>
      <c r="G44" s="49">
        <f>AVERAGE('29.07 Pakwach-Karuma'!G44,'30.07.19 pakwach-karuma'!G44,'31.07 pakwach-karuma'!G44,'01.08 pakwach-karuma'!G44,'2.08 Pakwach-Karuma-24h'!G44,'3.08 Pakwach-Karuma-24h'!G44,'4.08 Pakwach-Karuma '!G44)</f>
        <v>0.5714285714285714</v>
      </c>
      <c r="H44" s="49">
        <f>AVERAGE('29.07 Pakwach-Karuma'!H44,'30.07.19 pakwach-karuma'!H44,'31.07 pakwach-karuma'!H44,'01.08 pakwach-karuma'!H44,'2.08 Pakwach-Karuma-24h'!H44,'3.08 Pakwach-Karuma-24h'!H44,'4.08 Pakwach-Karuma '!H44)</f>
        <v>0.2857142857142857</v>
      </c>
      <c r="I44" s="49">
        <f>AVERAGE('29.07 Pakwach-Karuma'!I44,'30.07.19 pakwach-karuma'!I44,'31.07 pakwach-karuma'!I44,'01.08 pakwach-karuma'!I44,'2.08 Pakwach-Karuma-24h'!I44,'3.08 Pakwach-Karuma-24h'!I44,'4.08 Pakwach-Karuma '!I44)</f>
        <v>0.14285714285714285</v>
      </c>
      <c r="J44" s="49">
        <f>AVERAGE('29.07 Pakwach-Karuma'!J44,'30.07.19 pakwach-karuma'!J44,'31.07 pakwach-karuma'!J44,'01.08 pakwach-karuma'!J44,'2.08 Pakwach-Karuma-24h'!J44,'3.08 Pakwach-Karuma-24h'!J44,'4.08 Pakwach-Karuma '!J44)</f>
        <v>0.2857142857142857</v>
      </c>
      <c r="K44" s="49">
        <f>AVERAGE('29.07 Pakwach-Karuma'!K44,'30.07.19 pakwach-karuma'!K44,'31.07 pakwach-karuma'!K44,'01.08 pakwach-karuma'!K44,'2.08 Pakwach-Karuma-24h'!K44,'3.08 Pakwach-Karuma-24h'!K44,'4.08 Pakwach-Karuma '!K44)</f>
        <v>0.42857142857142855</v>
      </c>
      <c r="L44" s="49">
        <f>AVERAGE('29.07 Pakwach-Karuma'!L44,'30.07.19 pakwach-karuma'!L44,'31.07 pakwach-karuma'!L44,'01.08 pakwach-karuma'!L44,'2.08 Pakwach-Karuma-24h'!L44,'3.08 Pakwach-Karuma-24h'!L44,'4.08 Pakwach-Karuma '!L44)</f>
        <v>0.8571428571428571</v>
      </c>
      <c r="M44" s="49">
        <f>AVERAGE('29.07 Pakwach-Karuma'!M44,'30.07.19 pakwach-karuma'!M44,'31.07 pakwach-karuma'!M44,'01.08 pakwach-karuma'!M44,'2.08 Pakwach-Karuma-24h'!M44,'3.08 Pakwach-Karuma-24h'!M44,'4.08 Pakwach-Karuma '!M44)</f>
        <v>3.1428571428571428</v>
      </c>
      <c r="N44" s="49">
        <f>AVERAGE('29.07 Pakwach-Karuma'!N44,'30.07.19 pakwach-karuma'!N44,'31.07 pakwach-karuma'!N44,'01.08 pakwach-karuma'!N44,'2.08 Pakwach-Karuma-24h'!N44,'3.08 Pakwach-Karuma-24h'!N44,'4.08 Pakwach-Karuma '!N44)</f>
        <v>0</v>
      </c>
      <c r="O44" s="15">
        <f t="shared" si="0"/>
        <v>6</v>
      </c>
      <c r="P44" s="15">
        <f t="shared" si="1"/>
        <v>9.1428571428571423</v>
      </c>
    </row>
    <row r="45" spans="2:32" ht="23.1" customHeight="1" x14ac:dyDescent="0.25">
      <c r="B45" s="23" t="s">
        <v>72</v>
      </c>
      <c r="C45" s="49">
        <f>AVERAGE('29.07 Pakwach-Karuma'!C45,'30.07.19 pakwach-karuma'!C45,'31.07 pakwach-karuma'!C45,'01.08 pakwach-karuma'!C45,'2.08 Pakwach-Karuma-24h'!C45,'3.08 Pakwach-Karuma-24h'!C45,'4.08 Pakwach-Karuma '!C45)</f>
        <v>0.2857142857142857</v>
      </c>
      <c r="D45" s="49">
        <f>AVERAGE('29.07 Pakwach-Karuma'!D45,'30.07.19 pakwach-karuma'!D45,'31.07 pakwach-karuma'!D45,'01.08 pakwach-karuma'!D45,'2.08 Pakwach-Karuma-24h'!D45,'3.08 Pakwach-Karuma-24h'!D45,'4.08 Pakwach-Karuma '!D45)</f>
        <v>0.14285714285714285</v>
      </c>
      <c r="E45" s="49">
        <f>AVERAGE('29.07 Pakwach-Karuma'!E45,'30.07.19 pakwach-karuma'!E45,'31.07 pakwach-karuma'!E45,'01.08 pakwach-karuma'!E45,'2.08 Pakwach-Karuma-24h'!E45,'3.08 Pakwach-Karuma-24h'!E45,'4.08 Pakwach-Karuma '!E45)</f>
        <v>1.1428571428571428</v>
      </c>
      <c r="F45" s="49">
        <f>AVERAGE('29.07 Pakwach-Karuma'!F45,'30.07.19 pakwach-karuma'!F45,'31.07 pakwach-karuma'!F45,'01.08 pakwach-karuma'!F45,'2.08 Pakwach-Karuma-24h'!F45,'3.08 Pakwach-Karuma-24h'!F45,'4.08 Pakwach-Karuma '!F45)</f>
        <v>0.8571428571428571</v>
      </c>
      <c r="G45" s="49">
        <f>AVERAGE('29.07 Pakwach-Karuma'!G45,'30.07.19 pakwach-karuma'!G45,'31.07 pakwach-karuma'!G45,'01.08 pakwach-karuma'!G45,'2.08 Pakwach-Karuma-24h'!G45,'3.08 Pakwach-Karuma-24h'!G45,'4.08 Pakwach-Karuma '!G45)</f>
        <v>0.14285714285714285</v>
      </c>
      <c r="H45" s="49">
        <f>AVERAGE('29.07 Pakwach-Karuma'!H45,'30.07.19 pakwach-karuma'!H45,'31.07 pakwach-karuma'!H45,'01.08 pakwach-karuma'!H45,'2.08 Pakwach-Karuma-24h'!H45,'3.08 Pakwach-Karuma-24h'!H45,'4.08 Pakwach-Karuma '!H45)</f>
        <v>0</v>
      </c>
      <c r="I45" s="49">
        <f>AVERAGE('29.07 Pakwach-Karuma'!I45,'30.07.19 pakwach-karuma'!I45,'31.07 pakwach-karuma'!I45,'01.08 pakwach-karuma'!I45,'2.08 Pakwach-Karuma-24h'!I45,'3.08 Pakwach-Karuma-24h'!I45,'4.08 Pakwach-Karuma '!I45)</f>
        <v>0.2857142857142857</v>
      </c>
      <c r="J45" s="49">
        <f>AVERAGE('29.07 Pakwach-Karuma'!J45,'30.07.19 pakwach-karuma'!J45,'31.07 pakwach-karuma'!J45,'01.08 pakwach-karuma'!J45,'2.08 Pakwach-Karuma-24h'!J45,'3.08 Pakwach-Karuma-24h'!J45,'4.08 Pakwach-Karuma '!J45)</f>
        <v>0.14285714285714285</v>
      </c>
      <c r="K45" s="49">
        <f>AVERAGE('29.07 Pakwach-Karuma'!K45,'30.07.19 pakwach-karuma'!K45,'31.07 pakwach-karuma'!K45,'01.08 pakwach-karuma'!K45,'2.08 Pakwach-Karuma-24h'!K45,'3.08 Pakwach-Karuma-24h'!K45,'4.08 Pakwach-Karuma '!K45)</f>
        <v>0.42857142857142855</v>
      </c>
      <c r="L45" s="49">
        <f>AVERAGE('29.07 Pakwach-Karuma'!L45,'30.07.19 pakwach-karuma'!L45,'31.07 pakwach-karuma'!L45,'01.08 pakwach-karuma'!L45,'2.08 Pakwach-Karuma-24h'!L45,'3.08 Pakwach-Karuma-24h'!L45,'4.08 Pakwach-Karuma '!L45)</f>
        <v>1.4285714285714286</v>
      </c>
      <c r="M45" s="49">
        <f>AVERAGE('29.07 Pakwach-Karuma'!M45,'30.07.19 pakwach-karuma'!M45,'31.07 pakwach-karuma'!M45,'01.08 pakwach-karuma'!M45,'2.08 Pakwach-Karuma-24h'!M45,'3.08 Pakwach-Karuma-24h'!M45,'4.08 Pakwach-Karuma '!M45)</f>
        <v>3.2857142857142856</v>
      </c>
      <c r="N45" s="49">
        <f>AVERAGE('29.07 Pakwach-Karuma'!N45,'30.07.19 pakwach-karuma'!N45,'31.07 pakwach-karuma'!N45,'01.08 pakwach-karuma'!N45,'2.08 Pakwach-Karuma-24h'!N45,'3.08 Pakwach-Karuma-24h'!N45,'4.08 Pakwach-Karuma '!N45)</f>
        <v>0</v>
      </c>
      <c r="O45" s="15">
        <f t="shared" si="0"/>
        <v>4.8571428571428568</v>
      </c>
      <c r="P45" s="15">
        <f t="shared" si="1"/>
        <v>8.1428571428571423</v>
      </c>
    </row>
    <row r="46" spans="2:32" ht="23.1" customHeight="1" x14ac:dyDescent="0.25">
      <c r="B46" s="24" t="s">
        <v>73</v>
      </c>
      <c r="C46" s="49">
        <f>AVERAGE('29.07 Pakwach-Karuma'!C46,'30.07.19 pakwach-karuma'!C46,'31.07 pakwach-karuma'!C46,'01.08 pakwach-karuma'!C46,'2.08 Pakwach-Karuma-24h'!C46,'3.08 Pakwach-Karuma-24h'!C46,'4.08 Pakwach-Karuma '!C46)</f>
        <v>0.8571428571428571</v>
      </c>
      <c r="D46" s="49">
        <f>AVERAGE('29.07 Pakwach-Karuma'!D46,'30.07.19 pakwach-karuma'!D46,'31.07 pakwach-karuma'!D46,'01.08 pakwach-karuma'!D46,'2.08 Pakwach-Karuma-24h'!D46,'3.08 Pakwach-Karuma-24h'!D46,'4.08 Pakwach-Karuma '!D46)</f>
        <v>0.5714285714285714</v>
      </c>
      <c r="E46" s="49">
        <f>AVERAGE('29.07 Pakwach-Karuma'!E46,'30.07.19 pakwach-karuma'!E46,'31.07 pakwach-karuma'!E46,'01.08 pakwach-karuma'!E46,'2.08 Pakwach-Karuma-24h'!E46,'3.08 Pakwach-Karuma-24h'!E46,'4.08 Pakwach-Karuma '!E46)</f>
        <v>1.8571428571428572</v>
      </c>
      <c r="F46" s="49">
        <f>AVERAGE('29.07 Pakwach-Karuma'!F46,'30.07.19 pakwach-karuma'!F46,'31.07 pakwach-karuma'!F46,'01.08 pakwach-karuma'!F46,'2.08 Pakwach-Karuma-24h'!F46,'3.08 Pakwach-Karuma-24h'!F46,'4.08 Pakwach-Karuma '!F46)</f>
        <v>0.5714285714285714</v>
      </c>
      <c r="G46" s="49">
        <f>AVERAGE('29.07 Pakwach-Karuma'!G46,'30.07.19 pakwach-karuma'!G46,'31.07 pakwach-karuma'!G46,'01.08 pakwach-karuma'!G46,'2.08 Pakwach-Karuma-24h'!G46,'3.08 Pakwach-Karuma-24h'!G46,'4.08 Pakwach-Karuma '!G46)</f>
        <v>0.5714285714285714</v>
      </c>
      <c r="H46" s="49">
        <f>AVERAGE('29.07 Pakwach-Karuma'!H46,'30.07.19 pakwach-karuma'!H46,'31.07 pakwach-karuma'!H46,'01.08 pakwach-karuma'!H46,'2.08 Pakwach-Karuma-24h'!H46,'3.08 Pakwach-Karuma-24h'!H46,'4.08 Pakwach-Karuma '!H46)</f>
        <v>0</v>
      </c>
      <c r="I46" s="49">
        <f>AVERAGE('29.07 Pakwach-Karuma'!I46,'30.07.19 pakwach-karuma'!I46,'31.07 pakwach-karuma'!I46,'01.08 pakwach-karuma'!I46,'2.08 Pakwach-Karuma-24h'!I46,'3.08 Pakwach-Karuma-24h'!I46,'4.08 Pakwach-Karuma '!I46)</f>
        <v>0.14285714285714285</v>
      </c>
      <c r="J46" s="49">
        <f>AVERAGE('29.07 Pakwach-Karuma'!J46,'30.07.19 pakwach-karuma'!J46,'31.07 pakwach-karuma'!J46,'01.08 pakwach-karuma'!J46,'2.08 Pakwach-Karuma-24h'!J46,'3.08 Pakwach-Karuma-24h'!J46,'4.08 Pakwach-Karuma '!J46)</f>
        <v>0.2857142857142857</v>
      </c>
      <c r="K46" s="49">
        <f>AVERAGE('29.07 Pakwach-Karuma'!K46,'30.07.19 pakwach-karuma'!K46,'31.07 pakwach-karuma'!K46,'01.08 pakwach-karuma'!K46,'2.08 Pakwach-Karuma-24h'!K46,'3.08 Pakwach-Karuma-24h'!K46,'4.08 Pakwach-Karuma '!K46)</f>
        <v>0.2857142857142857</v>
      </c>
      <c r="L46" s="49">
        <f>AVERAGE('29.07 Pakwach-Karuma'!L46,'30.07.19 pakwach-karuma'!L46,'31.07 pakwach-karuma'!L46,'01.08 pakwach-karuma'!L46,'2.08 Pakwach-Karuma-24h'!L46,'3.08 Pakwach-Karuma-24h'!L46,'4.08 Pakwach-Karuma '!L46)</f>
        <v>1.1428571428571428</v>
      </c>
      <c r="M46" s="49">
        <f>AVERAGE('29.07 Pakwach-Karuma'!M46,'30.07.19 pakwach-karuma'!M46,'31.07 pakwach-karuma'!M46,'01.08 pakwach-karuma'!M46,'2.08 Pakwach-Karuma-24h'!M46,'3.08 Pakwach-Karuma-24h'!M46,'4.08 Pakwach-Karuma '!M46)</f>
        <v>3.8571428571428572</v>
      </c>
      <c r="N46" s="49">
        <f>AVERAGE('29.07 Pakwach-Karuma'!N46,'30.07.19 pakwach-karuma'!N46,'31.07 pakwach-karuma'!N46,'01.08 pakwach-karuma'!N46,'2.08 Pakwach-Karuma-24h'!N46,'3.08 Pakwach-Karuma-24h'!N46,'4.08 Pakwach-Karuma '!N46)</f>
        <v>0.14285714285714285</v>
      </c>
      <c r="O46" s="15">
        <f t="shared" si="0"/>
        <v>6.4285714285714279</v>
      </c>
      <c r="P46" s="15">
        <f t="shared" si="1"/>
        <v>10.285714285714285</v>
      </c>
      <c r="R46" s="8"/>
      <c r="T46"/>
    </row>
    <row r="47" spans="2:32" ht="23.1" customHeight="1" x14ac:dyDescent="0.25">
      <c r="B47" s="24" t="s">
        <v>74</v>
      </c>
      <c r="C47" s="49">
        <f>AVERAGE('29.07 Pakwach-Karuma'!C47,'30.07.19 pakwach-karuma'!C47,'31.07 pakwach-karuma'!C47,'01.08 pakwach-karuma'!C47,'2.08 Pakwach-Karuma-24h'!C47,'3.08 Pakwach-Karuma-24h'!C47,'4.08 Pakwach-Karuma '!C47)</f>
        <v>0.2857142857142857</v>
      </c>
      <c r="D47" s="49">
        <f>AVERAGE('29.07 Pakwach-Karuma'!D47,'30.07.19 pakwach-karuma'!D47,'31.07 pakwach-karuma'!D47,'01.08 pakwach-karuma'!D47,'2.08 Pakwach-Karuma-24h'!D47,'3.08 Pakwach-Karuma-24h'!D47,'4.08 Pakwach-Karuma '!D47)</f>
        <v>0.8571428571428571</v>
      </c>
      <c r="E47" s="49">
        <f>AVERAGE('29.07 Pakwach-Karuma'!E47,'30.07.19 pakwach-karuma'!E47,'31.07 pakwach-karuma'!E47,'01.08 pakwach-karuma'!E47,'2.08 Pakwach-Karuma-24h'!E47,'3.08 Pakwach-Karuma-24h'!E47,'4.08 Pakwach-Karuma '!E47)</f>
        <v>1.8571428571428572</v>
      </c>
      <c r="F47" s="49">
        <f>AVERAGE('29.07 Pakwach-Karuma'!F47,'30.07.19 pakwach-karuma'!F47,'31.07 pakwach-karuma'!F47,'01.08 pakwach-karuma'!F47,'2.08 Pakwach-Karuma-24h'!F47,'3.08 Pakwach-Karuma-24h'!F47,'4.08 Pakwach-Karuma '!F47)</f>
        <v>0.42857142857142855</v>
      </c>
      <c r="G47" s="49">
        <f>AVERAGE('29.07 Pakwach-Karuma'!G47,'30.07.19 pakwach-karuma'!G47,'31.07 pakwach-karuma'!G47,'01.08 pakwach-karuma'!G47,'2.08 Pakwach-Karuma-24h'!G47,'3.08 Pakwach-Karuma-24h'!G47,'4.08 Pakwach-Karuma '!G47)</f>
        <v>0</v>
      </c>
      <c r="H47" s="49">
        <f>AVERAGE('29.07 Pakwach-Karuma'!H47,'30.07.19 pakwach-karuma'!H47,'31.07 pakwach-karuma'!H47,'01.08 pakwach-karuma'!H47,'2.08 Pakwach-Karuma-24h'!H47,'3.08 Pakwach-Karuma-24h'!H47,'4.08 Pakwach-Karuma '!H47)</f>
        <v>0.8571428571428571</v>
      </c>
      <c r="I47" s="49">
        <f>AVERAGE('29.07 Pakwach-Karuma'!I47,'30.07.19 pakwach-karuma'!I47,'31.07 pakwach-karuma'!I47,'01.08 pakwach-karuma'!I47,'2.08 Pakwach-Karuma-24h'!I47,'3.08 Pakwach-Karuma-24h'!I47,'4.08 Pakwach-Karuma '!I47)</f>
        <v>0.2857142857142857</v>
      </c>
      <c r="J47" s="49">
        <f>AVERAGE('29.07 Pakwach-Karuma'!J47,'30.07.19 pakwach-karuma'!J47,'31.07 pakwach-karuma'!J47,'01.08 pakwach-karuma'!J47,'2.08 Pakwach-Karuma-24h'!J47,'3.08 Pakwach-Karuma-24h'!J47,'4.08 Pakwach-Karuma '!J47)</f>
        <v>0.2857142857142857</v>
      </c>
      <c r="K47" s="49">
        <f>AVERAGE('29.07 Pakwach-Karuma'!K47,'30.07.19 pakwach-karuma'!K47,'31.07 pakwach-karuma'!K47,'01.08 pakwach-karuma'!K47,'2.08 Pakwach-Karuma-24h'!K47,'3.08 Pakwach-Karuma-24h'!K47,'4.08 Pakwach-Karuma '!K47)</f>
        <v>0.8571428571428571</v>
      </c>
      <c r="L47" s="49">
        <f>AVERAGE('29.07 Pakwach-Karuma'!L47,'30.07.19 pakwach-karuma'!L47,'31.07 pakwach-karuma'!L47,'01.08 pakwach-karuma'!L47,'2.08 Pakwach-Karuma-24h'!L47,'3.08 Pakwach-Karuma-24h'!L47,'4.08 Pakwach-Karuma '!L47)</f>
        <v>1.4285714285714286</v>
      </c>
      <c r="M47" s="49">
        <f>AVERAGE('29.07 Pakwach-Karuma'!M47,'30.07.19 pakwach-karuma'!M47,'31.07 pakwach-karuma'!M47,'01.08 pakwach-karuma'!M47,'2.08 Pakwach-Karuma-24h'!M47,'3.08 Pakwach-Karuma-24h'!M47,'4.08 Pakwach-Karuma '!M47)</f>
        <v>3.7142857142857144</v>
      </c>
      <c r="N47" s="49">
        <f>AVERAGE('29.07 Pakwach-Karuma'!N47,'30.07.19 pakwach-karuma'!N47,'31.07 pakwach-karuma'!N47,'01.08 pakwach-karuma'!N47,'2.08 Pakwach-Karuma-24h'!N47,'3.08 Pakwach-Karuma-24h'!N47,'4.08 Pakwach-Karuma '!N47)</f>
        <v>0</v>
      </c>
      <c r="O47" s="15">
        <f t="shared" si="0"/>
        <v>7.1428571428571423</v>
      </c>
      <c r="P47" s="15">
        <f t="shared" si="1"/>
        <v>10.857142857142858</v>
      </c>
      <c r="R47" s="8"/>
      <c r="T47"/>
    </row>
    <row r="48" spans="2:32" ht="23.1" customHeight="1" x14ac:dyDescent="0.25">
      <c r="B48" s="24" t="s">
        <v>75</v>
      </c>
      <c r="C48" s="49">
        <f>AVERAGE('29.07 Pakwach-Karuma'!C48,'30.07.19 pakwach-karuma'!C48,'31.07 pakwach-karuma'!C48,'01.08 pakwach-karuma'!C48,'2.08 Pakwach-Karuma-24h'!C48,'3.08 Pakwach-Karuma-24h'!C48,'4.08 Pakwach-Karuma '!C48)</f>
        <v>1.5714285714285714</v>
      </c>
      <c r="D48" s="49">
        <f>AVERAGE('29.07 Pakwach-Karuma'!D48,'30.07.19 pakwach-karuma'!D48,'31.07 pakwach-karuma'!D48,'01.08 pakwach-karuma'!D48,'2.08 Pakwach-Karuma-24h'!D48,'3.08 Pakwach-Karuma-24h'!D48,'4.08 Pakwach-Karuma '!D48)</f>
        <v>0.5714285714285714</v>
      </c>
      <c r="E48" s="49">
        <f>AVERAGE('29.07 Pakwach-Karuma'!E48,'30.07.19 pakwach-karuma'!E48,'31.07 pakwach-karuma'!E48,'01.08 pakwach-karuma'!E48,'2.08 Pakwach-Karuma-24h'!E48,'3.08 Pakwach-Karuma-24h'!E48,'4.08 Pakwach-Karuma '!E48)</f>
        <v>1.7142857142857142</v>
      </c>
      <c r="F48" s="49">
        <f>AVERAGE('29.07 Pakwach-Karuma'!F48,'30.07.19 pakwach-karuma'!F48,'31.07 pakwach-karuma'!F48,'01.08 pakwach-karuma'!F48,'2.08 Pakwach-Karuma-24h'!F48,'3.08 Pakwach-Karuma-24h'!F48,'4.08 Pakwach-Karuma '!F48)</f>
        <v>1.1428571428571428</v>
      </c>
      <c r="G48" s="49">
        <f>AVERAGE('29.07 Pakwach-Karuma'!G48,'30.07.19 pakwach-karuma'!G48,'31.07 pakwach-karuma'!G48,'01.08 pakwach-karuma'!G48,'2.08 Pakwach-Karuma-24h'!G48,'3.08 Pakwach-Karuma-24h'!G48,'4.08 Pakwach-Karuma '!G48)</f>
        <v>0.42857142857142855</v>
      </c>
      <c r="H48" s="49">
        <f>AVERAGE('29.07 Pakwach-Karuma'!H48,'30.07.19 pakwach-karuma'!H48,'31.07 pakwach-karuma'!H48,'01.08 pakwach-karuma'!H48,'2.08 Pakwach-Karuma-24h'!H48,'3.08 Pakwach-Karuma-24h'!H48,'4.08 Pakwach-Karuma '!H48)</f>
        <v>1</v>
      </c>
      <c r="I48" s="49">
        <f>AVERAGE('29.07 Pakwach-Karuma'!I48,'30.07.19 pakwach-karuma'!I48,'31.07 pakwach-karuma'!I48,'01.08 pakwach-karuma'!I48,'2.08 Pakwach-Karuma-24h'!I48,'3.08 Pakwach-Karuma-24h'!I48,'4.08 Pakwach-Karuma '!I48)</f>
        <v>0</v>
      </c>
      <c r="J48" s="49">
        <f>AVERAGE('29.07 Pakwach-Karuma'!J48,'30.07.19 pakwach-karuma'!J48,'31.07 pakwach-karuma'!J48,'01.08 pakwach-karuma'!J48,'2.08 Pakwach-Karuma-24h'!J48,'3.08 Pakwach-Karuma-24h'!J48,'4.08 Pakwach-Karuma '!J48)</f>
        <v>0.14285714285714285</v>
      </c>
      <c r="K48" s="49">
        <f>AVERAGE('29.07 Pakwach-Karuma'!K48,'30.07.19 pakwach-karuma'!K48,'31.07 pakwach-karuma'!K48,'01.08 pakwach-karuma'!K48,'2.08 Pakwach-Karuma-24h'!K48,'3.08 Pakwach-Karuma-24h'!K48,'4.08 Pakwach-Karuma '!K48)</f>
        <v>0.8571428571428571</v>
      </c>
      <c r="L48" s="49">
        <f>AVERAGE('29.07 Pakwach-Karuma'!L48,'30.07.19 pakwach-karuma'!L48,'31.07 pakwach-karuma'!L48,'01.08 pakwach-karuma'!L48,'2.08 Pakwach-Karuma-24h'!L48,'3.08 Pakwach-Karuma-24h'!L48,'4.08 Pakwach-Karuma '!L48)</f>
        <v>1.4285714285714286</v>
      </c>
      <c r="M48" s="49">
        <f>AVERAGE('29.07 Pakwach-Karuma'!M48,'30.07.19 pakwach-karuma'!M48,'31.07 pakwach-karuma'!M48,'01.08 pakwach-karuma'!M48,'2.08 Pakwach-Karuma-24h'!M48,'3.08 Pakwach-Karuma-24h'!M48,'4.08 Pakwach-Karuma '!M48)</f>
        <v>4.8571428571428568</v>
      </c>
      <c r="N48" s="49">
        <f>AVERAGE('29.07 Pakwach-Karuma'!N48,'30.07.19 pakwach-karuma'!N48,'31.07 pakwach-karuma'!N48,'01.08 pakwach-karuma'!N48,'2.08 Pakwach-Karuma-24h'!N48,'3.08 Pakwach-Karuma-24h'!N48,'4.08 Pakwach-Karuma '!N48)</f>
        <v>0.14285714285714285</v>
      </c>
      <c r="O48" s="15">
        <f t="shared" si="0"/>
        <v>9</v>
      </c>
      <c r="P48" s="15">
        <f t="shared" si="1"/>
        <v>13.857142857142858</v>
      </c>
      <c r="R48" s="8"/>
      <c r="T48"/>
    </row>
    <row r="49" spans="2:20" ht="23.1" customHeight="1" x14ac:dyDescent="0.25">
      <c r="B49" s="23" t="s">
        <v>76</v>
      </c>
      <c r="C49" s="49">
        <f>AVERAGE('29.07 Pakwach-Karuma'!C49,'30.07.19 pakwach-karuma'!C49,'31.07 pakwach-karuma'!C49,'01.08 pakwach-karuma'!C49,'2.08 Pakwach-Karuma-24h'!C49,'3.08 Pakwach-Karuma-24h'!C49,'4.08 Pakwach-Karuma '!C49)</f>
        <v>1.1428571428571428</v>
      </c>
      <c r="D49" s="49">
        <f>AVERAGE('29.07 Pakwach-Karuma'!D49,'30.07.19 pakwach-karuma'!D49,'31.07 pakwach-karuma'!D49,'01.08 pakwach-karuma'!D49,'2.08 Pakwach-Karuma-24h'!D49,'3.08 Pakwach-Karuma-24h'!D49,'4.08 Pakwach-Karuma '!D49)</f>
        <v>0.42857142857142855</v>
      </c>
      <c r="E49" s="49">
        <f>AVERAGE('29.07 Pakwach-Karuma'!E49,'30.07.19 pakwach-karuma'!E49,'31.07 pakwach-karuma'!E49,'01.08 pakwach-karuma'!E49,'2.08 Pakwach-Karuma-24h'!E49,'3.08 Pakwach-Karuma-24h'!E49,'4.08 Pakwach-Karuma '!E49)</f>
        <v>1.4285714285714286</v>
      </c>
      <c r="F49" s="49">
        <f>AVERAGE('29.07 Pakwach-Karuma'!F49,'30.07.19 pakwach-karuma'!F49,'31.07 pakwach-karuma'!F49,'01.08 pakwach-karuma'!F49,'2.08 Pakwach-Karuma-24h'!F49,'3.08 Pakwach-Karuma-24h'!F49,'4.08 Pakwach-Karuma '!F49)</f>
        <v>1.7142857142857142</v>
      </c>
      <c r="G49" s="49">
        <f>AVERAGE('29.07 Pakwach-Karuma'!G49,'30.07.19 pakwach-karuma'!G49,'31.07 pakwach-karuma'!G49,'01.08 pakwach-karuma'!G49,'2.08 Pakwach-Karuma-24h'!G49,'3.08 Pakwach-Karuma-24h'!G49,'4.08 Pakwach-Karuma '!G49)</f>
        <v>0</v>
      </c>
      <c r="H49" s="49">
        <f>AVERAGE('29.07 Pakwach-Karuma'!H49,'30.07.19 pakwach-karuma'!H49,'31.07 pakwach-karuma'!H49,'01.08 pakwach-karuma'!H49,'2.08 Pakwach-Karuma-24h'!H49,'3.08 Pakwach-Karuma-24h'!H49,'4.08 Pakwach-Karuma '!H49)</f>
        <v>0.5714285714285714</v>
      </c>
      <c r="I49" s="49">
        <f>AVERAGE('29.07 Pakwach-Karuma'!I49,'30.07.19 pakwach-karuma'!I49,'31.07 pakwach-karuma'!I49,'01.08 pakwach-karuma'!I49,'2.08 Pakwach-Karuma-24h'!I49,'3.08 Pakwach-Karuma-24h'!I49,'4.08 Pakwach-Karuma '!I49)</f>
        <v>0.2857142857142857</v>
      </c>
      <c r="J49" s="49">
        <f>AVERAGE('29.07 Pakwach-Karuma'!J49,'30.07.19 pakwach-karuma'!J49,'31.07 pakwach-karuma'!J49,'01.08 pakwach-karuma'!J49,'2.08 Pakwach-Karuma-24h'!J49,'3.08 Pakwach-Karuma-24h'!J49,'4.08 Pakwach-Karuma '!J49)</f>
        <v>0.14285714285714285</v>
      </c>
      <c r="K49" s="49">
        <f>AVERAGE('29.07 Pakwach-Karuma'!K49,'30.07.19 pakwach-karuma'!K49,'31.07 pakwach-karuma'!K49,'01.08 pakwach-karuma'!K49,'2.08 Pakwach-Karuma-24h'!K49,'3.08 Pakwach-Karuma-24h'!K49,'4.08 Pakwach-Karuma '!K49)</f>
        <v>0.42857142857142855</v>
      </c>
      <c r="L49" s="49">
        <f>AVERAGE('29.07 Pakwach-Karuma'!L49,'30.07.19 pakwach-karuma'!L49,'31.07 pakwach-karuma'!L49,'01.08 pakwach-karuma'!L49,'2.08 Pakwach-Karuma-24h'!L49,'3.08 Pakwach-Karuma-24h'!L49,'4.08 Pakwach-Karuma '!L49)</f>
        <v>1.5714285714285714</v>
      </c>
      <c r="M49" s="49">
        <f>AVERAGE('29.07 Pakwach-Karuma'!M49,'30.07.19 pakwach-karuma'!M49,'31.07 pakwach-karuma'!M49,'01.08 pakwach-karuma'!M49,'2.08 Pakwach-Karuma-24h'!M49,'3.08 Pakwach-Karuma-24h'!M49,'4.08 Pakwach-Karuma '!M49)</f>
        <v>4.4285714285714288</v>
      </c>
      <c r="N49" s="49">
        <f>AVERAGE('29.07 Pakwach-Karuma'!N49,'30.07.19 pakwach-karuma'!N49,'31.07 pakwach-karuma'!N49,'01.08 pakwach-karuma'!N49,'2.08 Pakwach-Karuma-24h'!N49,'3.08 Pakwach-Karuma-24h'!N49,'4.08 Pakwach-Karuma '!N49)</f>
        <v>0</v>
      </c>
      <c r="O49" s="15">
        <f t="shared" si="0"/>
        <v>7.7142857142857144</v>
      </c>
      <c r="P49" s="15">
        <f t="shared" si="1"/>
        <v>12.142857142857142</v>
      </c>
      <c r="R49" s="8"/>
      <c r="T49"/>
    </row>
    <row r="50" spans="2:20" ht="23.1" customHeight="1" x14ac:dyDescent="0.25">
      <c r="B50" s="24" t="s">
        <v>77</v>
      </c>
      <c r="C50" s="49">
        <f>AVERAGE('29.07 Pakwach-Karuma'!C50,'30.07.19 pakwach-karuma'!C50,'31.07 pakwach-karuma'!C50,'01.08 pakwach-karuma'!C50,'2.08 Pakwach-Karuma-24h'!C50,'3.08 Pakwach-Karuma-24h'!C50,'4.08 Pakwach-Karuma '!C50)</f>
        <v>0.8571428571428571</v>
      </c>
      <c r="D50" s="49">
        <f>AVERAGE('29.07 Pakwach-Karuma'!D50,'30.07.19 pakwach-karuma'!D50,'31.07 pakwach-karuma'!D50,'01.08 pakwach-karuma'!D50,'2.08 Pakwach-Karuma-24h'!D50,'3.08 Pakwach-Karuma-24h'!D50,'4.08 Pakwach-Karuma '!D50)</f>
        <v>0.8571428571428571</v>
      </c>
      <c r="E50" s="49">
        <f>AVERAGE('29.07 Pakwach-Karuma'!E50,'30.07.19 pakwach-karuma'!E50,'31.07 pakwach-karuma'!E50,'01.08 pakwach-karuma'!E50,'2.08 Pakwach-Karuma-24h'!E50,'3.08 Pakwach-Karuma-24h'!E50,'4.08 Pakwach-Karuma '!E50)</f>
        <v>2.2857142857142856</v>
      </c>
      <c r="F50" s="49">
        <f>AVERAGE('29.07 Pakwach-Karuma'!F50,'30.07.19 pakwach-karuma'!F50,'31.07 pakwach-karuma'!F50,'01.08 pakwach-karuma'!F50,'2.08 Pakwach-Karuma-24h'!F50,'3.08 Pakwach-Karuma-24h'!F50,'4.08 Pakwach-Karuma '!F50)</f>
        <v>1.1428571428571428</v>
      </c>
      <c r="G50" s="49">
        <f>AVERAGE('29.07 Pakwach-Karuma'!G50,'30.07.19 pakwach-karuma'!G50,'31.07 pakwach-karuma'!G50,'01.08 pakwach-karuma'!G50,'2.08 Pakwach-Karuma-24h'!G50,'3.08 Pakwach-Karuma-24h'!G50,'4.08 Pakwach-Karuma '!G50)</f>
        <v>0.14285714285714285</v>
      </c>
      <c r="H50" s="49">
        <f>AVERAGE('29.07 Pakwach-Karuma'!H50,'30.07.19 pakwach-karuma'!H50,'31.07 pakwach-karuma'!H50,'01.08 pakwach-karuma'!H50,'2.08 Pakwach-Karuma-24h'!H50,'3.08 Pakwach-Karuma-24h'!H50,'4.08 Pakwach-Karuma '!H50)</f>
        <v>0.42857142857142855</v>
      </c>
      <c r="I50" s="49">
        <f>AVERAGE('29.07 Pakwach-Karuma'!I50,'30.07.19 pakwach-karuma'!I50,'31.07 pakwach-karuma'!I50,'01.08 pakwach-karuma'!I50,'2.08 Pakwach-Karuma-24h'!I50,'3.08 Pakwach-Karuma-24h'!I50,'4.08 Pakwach-Karuma '!I50)</f>
        <v>0.5714285714285714</v>
      </c>
      <c r="J50" s="49">
        <f>AVERAGE('29.07 Pakwach-Karuma'!J50,'30.07.19 pakwach-karuma'!J50,'31.07 pakwach-karuma'!J50,'01.08 pakwach-karuma'!J50,'2.08 Pakwach-Karuma-24h'!J50,'3.08 Pakwach-Karuma-24h'!J50,'4.08 Pakwach-Karuma '!J50)</f>
        <v>0.2857142857142857</v>
      </c>
      <c r="K50" s="49">
        <f>AVERAGE('29.07 Pakwach-Karuma'!K50,'30.07.19 pakwach-karuma'!K50,'31.07 pakwach-karuma'!K50,'01.08 pakwach-karuma'!K50,'2.08 Pakwach-Karuma-24h'!K50,'3.08 Pakwach-Karuma-24h'!K50,'4.08 Pakwach-Karuma '!K50)</f>
        <v>0.2857142857142857</v>
      </c>
      <c r="L50" s="49">
        <f>AVERAGE('29.07 Pakwach-Karuma'!L50,'30.07.19 pakwach-karuma'!L50,'31.07 pakwach-karuma'!L50,'01.08 pakwach-karuma'!L50,'2.08 Pakwach-Karuma-24h'!L50,'3.08 Pakwach-Karuma-24h'!L50,'4.08 Pakwach-Karuma '!L50)</f>
        <v>0.5714285714285714</v>
      </c>
      <c r="M50" s="49">
        <f>AVERAGE('29.07 Pakwach-Karuma'!M50,'30.07.19 pakwach-karuma'!M50,'31.07 pakwach-karuma'!M50,'01.08 pakwach-karuma'!M50,'2.08 Pakwach-Karuma-24h'!M50,'3.08 Pakwach-Karuma-24h'!M50,'4.08 Pakwach-Karuma '!M50)</f>
        <v>5.5714285714285712</v>
      </c>
      <c r="N50" s="49">
        <f>AVERAGE('29.07 Pakwach-Karuma'!N50,'30.07.19 pakwach-karuma'!N50,'31.07 pakwach-karuma'!N50,'01.08 pakwach-karuma'!N50,'2.08 Pakwach-Karuma-24h'!N50,'3.08 Pakwach-Karuma-24h'!N50,'4.08 Pakwach-Karuma '!N50)</f>
        <v>0.5714285714285714</v>
      </c>
      <c r="O50" s="15">
        <f t="shared" si="0"/>
        <v>7.9999999999999991</v>
      </c>
      <c r="P50" s="15">
        <f t="shared" si="1"/>
        <v>13.571428571428571</v>
      </c>
      <c r="R50" s="8"/>
      <c r="T50"/>
    </row>
    <row r="51" spans="2:20" ht="23.1" customHeight="1" x14ac:dyDescent="0.25">
      <c r="B51" s="24" t="s">
        <v>78</v>
      </c>
      <c r="C51" s="49">
        <f>AVERAGE('29.07 Pakwach-Karuma'!C51,'30.07.19 pakwach-karuma'!C51,'31.07 pakwach-karuma'!C51,'01.08 pakwach-karuma'!C51,'2.08 Pakwach-Karuma-24h'!C51,'3.08 Pakwach-Karuma-24h'!C51,'4.08 Pakwach-Karuma '!C51)</f>
        <v>1.2857142857142858</v>
      </c>
      <c r="D51" s="49">
        <f>AVERAGE('29.07 Pakwach-Karuma'!D51,'30.07.19 pakwach-karuma'!D51,'31.07 pakwach-karuma'!D51,'01.08 pakwach-karuma'!D51,'2.08 Pakwach-Karuma-24h'!D51,'3.08 Pakwach-Karuma-24h'!D51,'4.08 Pakwach-Karuma '!D51)</f>
        <v>0.42857142857142855</v>
      </c>
      <c r="E51" s="49">
        <f>AVERAGE('29.07 Pakwach-Karuma'!E51,'30.07.19 pakwach-karuma'!E51,'31.07 pakwach-karuma'!E51,'01.08 pakwach-karuma'!E51,'2.08 Pakwach-Karuma-24h'!E51,'3.08 Pakwach-Karuma-24h'!E51,'4.08 Pakwach-Karuma '!E51)</f>
        <v>2.1428571428571428</v>
      </c>
      <c r="F51" s="49">
        <f>AVERAGE('29.07 Pakwach-Karuma'!F51,'30.07.19 pakwach-karuma'!F51,'31.07 pakwach-karuma'!F51,'01.08 pakwach-karuma'!F51,'2.08 Pakwach-Karuma-24h'!F51,'3.08 Pakwach-Karuma-24h'!F51,'4.08 Pakwach-Karuma '!F51)</f>
        <v>1</v>
      </c>
      <c r="G51" s="49">
        <f>AVERAGE('29.07 Pakwach-Karuma'!G51,'30.07.19 pakwach-karuma'!G51,'31.07 pakwach-karuma'!G51,'01.08 pakwach-karuma'!G51,'2.08 Pakwach-Karuma-24h'!G51,'3.08 Pakwach-Karuma-24h'!G51,'4.08 Pakwach-Karuma '!G51)</f>
        <v>0.42857142857142855</v>
      </c>
      <c r="H51" s="49">
        <f>AVERAGE('29.07 Pakwach-Karuma'!H51,'30.07.19 pakwach-karuma'!H51,'31.07 pakwach-karuma'!H51,'01.08 pakwach-karuma'!H51,'2.08 Pakwach-Karuma-24h'!H51,'3.08 Pakwach-Karuma-24h'!H51,'4.08 Pakwach-Karuma '!H51)</f>
        <v>0.8571428571428571</v>
      </c>
      <c r="I51" s="49">
        <f>AVERAGE('29.07 Pakwach-Karuma'!I51,'30.07.19 pakwach-karuma'!I51,'31.07 pakwach-karuma'!I51,'01.08 pakwach-karuma'!I51,'2.08 Pakwach-Karuma-24h'!I51,'3.08 Pakwach-Karuma-24h'!I51,'4.08 Pakwach-Karuma '!I51)</f>
        <v>0.2857142857142857</v>
      </c>
      <c r="J51" s="49">
        <f>AVERAGE('29.07 Pakwach-Karuma'!J51,'30.07.19 pakwach-karuma'!J51,'31.07 pakwach-karuma'!J51,'01.08 pakwach-karuma'!J51,'2.08 Pakwach-Karuma-24h'!J51,'3.08 Pakwach-Karuma-24h'!J51,'4.08 Pakwach-Karuma '!J51)</f>
        <v>1.2857142857142858</v>
      </c>
      <c r="K51" s="49">
        <f>AVERAGE('29.07 Pakwach-Karuma'!K51,'30.07.19 pakwach-karuma'!K51,'31.07 pakwach-karuma'!K51,'01.08 pakwach-karuma'!K51,'2.08 Pakwach-Karuma-24h'!K51,'3.08 Pakwach-Karuma-24h'!K51,'4.08 Pakwach-Karuma '!K51)</f>
        <v>0</v>
      </c>
      <c r="L51" s="49">
        <f>AVERAGE('29.07 Pakwach-Karuma'!L51,'30.07.19 pakwach-karuma'!L51,'31.07 pakwach-karuma'!L51,'01.08 pakwach-karuma'!L51,'2.08 Pakwach-Karuma-24h'!L51,'3.08 Pakwach-Karuma-24h'!L51,'4.08 Pakwach-Karuma '!L51)</f>
        <v>1.2857142857142858</v>
      </c>
      <c r="M51" s="49">
        <f>AVERAGE('29.07 Pakwach-Karuma'!M51,'30.07.19 pakwach-karuma'!M51,'31.07 pakwach-karuma'!M51,'01.08 pakwach-karuma'!M51,'2.08 Pakwach-Karuma-24h'!M51,'3.08 Pakwach-Karuma-24h'!M51,'4.08 Pakwach-Karuma '!M51)</f>
        <v>4.2857142857142856</v>
      </c>
      <c r="N51" s="49">
        <f>AVERAGE('29.07 Pakwach-Karuma'!N51,'30.07.19 pakwach-karuma'!N51,'31.07 pakwach-karuma'!N51,'01.08 pakwach-karuma'!N51,'2.08 Pakwach-Karuma-24h'!N51,'3.08 Pakwach-Karuma-24h'!N51,'4.08 Pakwach-Karuma '!N51)</f>
        <v>0.2857142857142857</v>
      </c>
      <c r="O51" s="15">
        <f t="shared" si="0"/>
        <v>9.2857142857142865</v>
      </c>
      <c r="P51" s="15">
        <f t="shared" si="1"/>
        <v>13.571428571428571</v>
      </c>
      <c r="R51" s="8"/>
      <c r="T51"/>
    </row>
    <row r="52" spans="2:20" ht="23.1" customHeight="1" x14ac:dyDescent="0.25">
      <c r="B52" s="24" t="s">
        <v>79</v>
      </c>
      <c r="C52" s="49">
        <f>AVERAGE('29.07 Pakwach-Karuma'!C52,'30.07.19 pakwach-karuma'!C52,'31.07 pakwach-karuma'!C52,'01.08 pakwach-karuma'!C52,'2.08 Pakwach-Karuma-24h'!C52,'3.08 Pakwach-Karuma-24h'!C52,'4.08 Pakwach-Karuma '!C52)</f>
        <v>1.1428571428571428</v>
      </c>
      <c r="D52" s="49">
        <f>AVERAGE('29.07 Pakwach-Karuma'!D52,'30.07.19 pakwach-karuma'!D52,'31.07 pakwach-karuma'!D52,'01.08 pakwach-karuma'!D52,'2.08 Pakwach-Karuma-24h'!D52,'3.08 Pakwach-Karuma-24h'!D52,'4.08 Pakwach-Karuma '!D52)</f>
        <v>0.8571428571428571</v>
      </c>
      <c r="E52" s="49">
        <f>AVERAGE('29.07 Pakwach-Karuma'!E52,'30.07.19 pakwach-karuma'!E52,'31.07 pakwach-karuma'!E52,'01.08 pakwach-karuma'!E52,'2.08 Pakwach-Karuma-24h'!E52,'3.08 Pakwach-Karuma-24h'!E52,'4.08 Pakwach-Karuma '!E52)</f>
        <v>2.5714285714285716</v>
      </c>
      <c r="F52" s="49">
        <f>AVERAGE('29.07 Pakwach-Karuma'!F52,'30.07.19 pakwach-karuma'!F52,'31.07 pakwach-karuma'!F52,'01.08 pakwach-karuma'!F52,'2.08 Pakwach-Karuma-24h'!F52,'3.08 Pakwach-Karuma-24h'!F52,'4.08 Pakwach-Karuma '!F52)</f>
        <v>0.8571428571428571</v>
      </c>
      <c r="G52" s="49">
        <f>AVERAGE('29.07 Pakwach-Karuma'!G52,'30.07.19 pakwach-karuma'!G52,'31.07 pakwach-karuma'!G52,'01.08 pakwach-karuma'!G52,'2.08 Pakwach-Karuma-24h'!G52,'3.08 Pakwach-Karuma-24h'!G52,'4.08 Pakwach-Karuma '!G52)</f>
        <v>0.2857142857142857</v>
      </c>
      <c r="H52" s="49">
        <f>AVERAGE('29.07 Pakwach-Karuma'!H52,'30.07.19 pakwach-karuma'!H52,'31.07 pakwach-karuma'!H52,'01.08 pakwach-karuma'!H52,'2.08 Pakwach-Karuma-24h'!H52,'3.08 Pakwach-Karuma-24h'!H52,'4.08 Pakwach-Karuma '!H52)</f>
        <v>0.8571428571428571</v>
      </c>
      <c r="I52" s="49">
        <f>AVERAGE('29.07 Pakwach-Karuma'!I52,'30.07.19 pakwach-karuma'!I52,'31.07 pakwach-karuma'!I52,'01.08 pakwach-karuma'!I52,'2.08 Pakwach-Karuma-24h'!I52,'3.08 Pakwach-Karuma-24h'!I52,'4.08 Pakwach-Karuma '!I52)</f>
        <v>0.14285714285714285</v>
      </c>
      <c r="J52" s="49">
        <f>AVERAGE('29.07 Pakwach-Karuma'!J52,'30.07.19 pakwach-karuma'!J52,'31.07 pakwach-karuma'!J52,'01.08 pakwach-karuma'!J52,'2.08 Pakwach-Karuma-24h'!J52,'3.08 Pakwach-Karuma-24h'!J52,'4.08 Pakwach-Karuma '!J52)</f>
        <v>0.5714285714285714</v>
      </c>
      <c r="K52" s="49">
        <f>AVERAGE('29.07 Pakwach-Karuma'!K52,'30.07.19 pakwach-karuma'!K52,'31.07 pakwach-karuma'!K52,'01.08 pakwach-karuma'!K52,'2.08 Pakwach-Karuma-24h'!K52,'3.08 Pakwach-Karuma-24h'!K52,'4.08 Pakwach-Karuma '!K52)</f>
        <v>0</v>
      </c>
      <c r="L52" s="49">
        <f>AVERAGE('29.07 Pakwach-Karuma'!L52,'30.07.19 pakwach-karuma'!L52,'31.07 pakwach-karuma'!L52,'01.08 pakwach-karuma'!L52,'2.08 Pakwach-Karuma-24h'!L52,'3.08 Pakwach-Karuma-24h'!L52,'4.08 Pakwach-Karuma '!L52)</f>
        <v>0.5714285714285714</v>
      </c>
      <c r="M52" s="49">
        <f>AVERAGE('29.07 Pakwach-Karuma'!M52,'30.07.19 pakwach-karuma'!M52,'31.07 pakwach-karuma'!M52,'01.08 pakwach-karuma'!M52,'2.08 Pakwach-Karuma-24h'!M52,'3.08 Pakwach-Karuma-24h'!M52,'4.08 Pakwach-Karuma '!M52)</f>
        <v>4.1428571428571432</v>
      </c>
      <c r="N52" s="49">
        <f>AVERAGE('29.07 Pakwach-Karuma'!N52,'30.07.19 pakwach-karuma'!N52,'31.07 pakwach-karuma'!N52,'01.08 pakwach-karuma'!N52,'2.08 Pakwach-Karuma-24h'!N52,'3.08 Pakwach-Karuma-24h'!N52,'4.08 Pakwach-Karuma '!N52)</f>
        <v>0.14285714285714285</v>
      </c>
      <c r="O52" s="15">
        <f t="shared" si="0"/>
        <v>7.9999999999999991</v>
      </c>
      <c r="P52" s="15">
        <f t="shared" si="1"/>
        <v>12.142857142857142</v>
      </c>
      <c r="R52" s="8"/>
      <c r="T52"/>
    </row>
    <row r="53" spans="2:20" ht="23.1" customHeight="1" x14ac:dyDescent="0.25">
      <c r="B53" s="23" t="s">
        <v>80</v>
      </c>
      <c r="C53" s="49">
        <f>AVERAGE('29.07 Pakwach-Karuma'!C53,'30.07.19 pakwach-karuma'!C53,'31.07 pakwach-karuma'!C53,'01.08 pakwach-karuma'!C53,'2.08 Pakwach-Karuma-24h'!C53,'3.08 Pakwach-Karuma-24h'!C53,'4.08 Pakwach-Karuma '!C53)</f>
        <v>1.5714285714285714</v>
      </c>
      <c r="D53" s="49">
        <f>AVERAGE('29.07 Pakwach-Karuma'!D53,'30.07.19 pakwach-karuma'!D53,'31.07 pakwach-karuma'!D53,'01.08 pakwach-karuma'!D53,'2.08 Pakwach-Karuma-24h'!D53,'3.08 Pakwach-Karuma-24h'!D53,'4.08 Pakwach-Karuma '!D53)</f>
        <v>0.8571428571428571</v>
      </c>
      <c r="E53" s="49">
        <f>AVERAGE('29.07 Pakwach-Karuma'!E53,'30.07.19 pakwach-karuma'!E53,'31.07 pakwach-karuma'!E53,'01.08 pakwach-karuma'!E53,'2.08 Pakwach-Karuma-24h'!E53,'3.08 Pakwach-Karuma-24h'!E53,'4.08 Pakwach-Karuma '!E53)</f>
        <v>2.7142857142857144</v>
      </c>
      <c r="F53" s="49">
        <f>AVERAGE('29.07 Pakwach-Karuma'!F53,'30.07.19 pakwach-karuma'!F53,'31.07 pakwach-karuma'!F53,'01.08 pakwach-karuma'!F53,'2.08 Pakwach-Karuma-24h'!F53,'3.08 Pakwach-Karuma-24h'!F53,'4.08 Pakwach-Karuma '!F53)</f>
        <v>0.42857142857142855</v>
      </c>
      <c r="G53" s="49">
        <f>AVERAGE('29.07 Pakwach-Karuma'!G53,'30.07.19 pakwach-karuma'!G53,'31.07 pakwach-karuma'!G53,'01.08 pakwach-karuma'!G53,'2.08 Pakwach-Karuma-24h'!G53,'3.08 Pakwach-Karuma-24h'!G53,'4.08 Pakwach-Karuma '!G53)</f>
        <v>0</v>
      </c>
      <c r="H53" s="49">
        <f>AVERAGE('29.07 Pakwach-Karuma'!H53,'30.07.19 pakwach-karuma'!H53,'31.07 pakwach-karuma'!H53,'01.08 pakwach-karuma'!H53,'2.08 Pakwach-Karuma-24h'!H53,'3.08 Pakwach-Karuma-24h'!H53,'4.08 Pakwach-Karuma '!H53)</f>
        <v>0.42857142857142855</v>
      </c>
      <c r="I53" s="49">
        <f>AVERAGE('29.07 Pakwach-Karuma'!I53,'30.07.19 pakwach-karuma'!I53,'31.07 pakwach-karuma'!I53,'01.08 pakwach-karuma'!I53,'2.08 Pakwach-Karuma-24h'!I53,'3.08 Pakwach-Karuma-24h'!I53,'4.08 Pakwach-Karuma '!I53)</f>
        <v>0.2857142857142857</v>
      </c>
      <c r="J53" s="49">
        <f>AVERAGE('29.07 Pakwach-Karuma'!J53,'30.07.19 pakwach-karuma'!J53,'31.07 pakwach-karuma'!J53,'01.08 pakwach-karuma'!J53,'2.08 Pakwach-Karuma-24h'!J53,'3.08 Pakwach-Karuma-24h'!J53,'4.08 Pakwach-Karuma '!J53)</f>
        <v>0.5714285714285714</v>
      </c>
      <c r="K53" s="49">
        <f>AVERAGE('29.07 Pakwach-Karuma'!K53,'30.07.19 pakwach-karuma'!K53,'31.07 pakwach-karuma'!K53,'01.08 pakwach-karuma'!K53,'2.08 Pakwach-Karuma-24h'!K53,'3.08 Pakwach-Karuma-24h'!K53,'4.08 Pakwach-Karuma '!K53)</f>
        <v>0.14285714285714285</v>
      </c>
      <c r="L53" s="49">
        <f>AVERAGE('29.07 Pakwach-Karuma'!L53,'30.07.19 pakwach-karuma'!L53,'31.07 pakwach-karuma'!L53,'01.08 pakwach-karuma'!L53,'2.08 Pakwach-Karuma-24h'!L53,'3.08 Pakwach-Karuma-24h'!L53,'4.08 Pakwach-Karuma '!L53)</f>
        <v>1.2857142857142858</v>
      </c>
      <c r="M53" s="49">
        <f>AVERAGE('29.07 Pakwach-Karuma'!M53,'30.07.19 pakwach-karuma'!M53,'31.07 pakwach-karuma'!M53,'01.08 pakwach-karuma'!M53,'2.08 Pakwach-Karuma-24h'!M53,'3.08 Pakwach-Karuma-24h'!M53,'4.08 Pakwach-Karuma '!M53)</f>
        <v>5.2857142857142856</v>
      </c>
      <c r="N53" s="49">
        <f>AVERAGE('29.07 Pakwach-Karuma'!N53,'30.07.19 pakwach-karuma'!N53,'31.07 pakwach-karuma'!N53,'01.08 pakwach-karuma'!N53,'2.08 Pakwach-Karuma-24h'!N53,'3.08 Pakwach-Karuma-24h'!N53,'4.08 Pakwach-Karuma '!N53)</f>
        <v>0.14285714285714285</v>
      </c>
      <c r="O53" s="15">
        <f t="shared" si="0"/>
        <v>8.4285714285714288</v>
      </c>
      <c r="P53" s="15">
        <f t="shared" si="1"/>
        <v>13.714285714285715</v>
      </c>
      <c r="R53" s="8"/>
      <c r="T53"/>
    </row>
    <row r="54" spans="2:20" ht="23.1" customHeight="1" x14ac:dyDescent="0.25">
      <c r="B54" s="23" t="s">
        <v>81</v>
      </c>
      <c r="C54" s="49">
        <f>AVERAGE('29.07 Pakwach-Karuma'!C54,'30.07.19 pakwach-karuma'!C54,'31.07 pakwach-karuma'!C54,'01.08 pakwach-karuma'!C54,'2.08 Pakwach-Karuma-24h'!C54,'3.08 Pakwach-Karuma-24h'!C54,'4.08 Pakwach-Karuma '!C54)</f>
        <v>0.5714285714285714</v>
      </c>
      <c r="D54" s="49">
        <f>AVERAGE('29.07 Pakwach-Karuma'!D54,'30.07.19 pakwach-karuma'!D54,'31.07 pakwach-karuma'!D54,'01.08 pakwach-karuma'!D54,'2.08 Pakwach-Karuma-24h'!D54,'3.08 Pakwach-Karuma-24h'!D54,'4.08 Pakwach-Karuma '!D54)</f>
        <v>0.42857142857142855</v>
      </c>
      <c r="E54" s="49">
        <f>AVERAGE('29.07 Pakwach-Karuma'!E54,'30.07.19 pakwach-karuma'!E54,'31.07 pakwach-karuma'!E54,'01.08 pakwach-karuma'!E54,'2.08 Pakwach-Karuma-24h'!E54,'3.08 Pakwach-Karuma-24h'!E54,'4.08 Pakwach-Karuma '!E54)</f>
        <v>2.1428571428571428</v>
      </c>
      <c r="F54" s="49">
        <f>AVERAGE('29.07 Pakwach-Karuma'!F54,'30.07.19 pakwach-karuma'!F54,'31.07 pakwach-karuma'!F54,'01.08 pakwach-karuma'!F54,'2.08 Pakwach-Karuma-24h'!F54,'3.08 Pakwach-Karuma-24h'!F54,'4.08 Pakwach-Karuma '!F54)</f>
        <v>0.5714285714285714</v>
      </c>
      <c r="G54" s="49">
        <f>AVERAGE('29.07 Pakwach-Karuma'!G54,'30.07.19 pakwach-karuma'!G54,'31.07 pakwach-karuma'!G54,'01.08 pakwach-karuma'!G54,'2.08 Pakwach-Karuma-24h'!G54,'3.08 Pakwach-Karuma-24h'!G54,'4.08 Pakwach-Karuma '!G54)</f>
        <v>0.42857142857142855</v>
      </c>
      <c r="H54" s="49">
        <f>AVERAGE('29.07 Pakwach-Karuma'!H54,'30.07.19 pakwach-karuma'!H54,'31.07 pakwach-karuma'!H54,'01.08 pakwach-karuma'!H54,'2.08 Pakwach-Karuma-24h'!H54,'3.08 Pakwach-Karuma-24h'!H54,'4.08 Pakwach-Karuma '!H54)</f>
        <v>1.2857142857142858</v>
      </c>
      <c r="I54" s="49">
        <f>AVERAGE('29.07 Pakwach-Karuma'!I54,'30.07.19 pakwach-karuma'!I54,'31.07 pakwach-karuma'!I54,'01.08 pakwach-karuma'!I54,'2.08 Pakwach-Karuma-24h'!I54,'3.08 Pakwach-Karuma-24h'!I54,'4.08 Pakwach-Karuma '!I54)</f>
        <v>0.42857142857142855</v>
      </c>
      <c r="J54" s="49">
        <f>AVERAGE('29.07 Pakwach-Karuma'!J54,'30.07.19 pakwach-karuma'!J54,'31.07 pakwach-karuma'!J54,'01.08 pakwach-karuma'!J54,'2.08 Pakwach-Karuma-24h'!J54,'3.08 Pakwach-Karuma-24h'!J54,'4.08 Pakwach-Karuma '!J54)</f>
        <v>0.42857142857142855</v>
      </c>
      <c r="K54" s="49">
        <f>AVERAGE('29.07 Pakwach-Karuma'!K54,'30.07.19 pakwach-karuma'!K54,'31.07 pakwach-karuma'!K54,'01.08 pakwach-karuma'!K54,'2.08 Pakwach-Karuma-24h'!K54,'3.08 Pakwach-Karuma-24h'!K54,'4.08 Pakwach-Karuma '!K54)</f>
        <v>0.14285714285714285</v>
      </c>
      <c r="L54" s="49">
        <f>AVERAGE('29.07 Pakwach-Karuma'!L54,'30.07.19 pakwach-karuma'!L54,'31.07 pakwach-karuma'!L54,'01.08 pakwach-karuma'!L54,'2.08 Pakwach-Karuma-24h'!L54,'3.08 Pakwach-Karuma-24h'!L54,'4.08 Pakwach-Karuma '!L54)</f>
        <v>1.1428571428571428</v>
      </c>
      <c r="M54" s="49">
        <f>AVERAGE('29.07 Pakwach-Karuma'!M54,'30.07.19 pakwach-karuma'!M54,'31.07 pakwach-karuma'!M54,'01.08 pakwach-karuma'!M54,'2.08 Pakwach-Karuma-24h'!M54,'3.08 Pakwach-Karuma-24h'!M54,'4.08 Pakwach-Karuma '!M54)</f>
        <v>6</v>
      </c>
      <c r="N54" s="49">
        <f>AVERAGE('29.07 Pakwach-Karuma'!N54,'30.07.19 pakwach-karuma'!N54,'31.07 pakwach-karuma'!N54,'01.08 pakwach-karuma'!N54,'2.08 Pakwach-Karuma-24h'!N54,'3.08 Pakwach-Karuma-24h'!N54,'4.08 Pakwach-Karuma '!N54)</f>
        <v>0.2857142857142857</v>
      </c>
      <c r="O54" s="15">
        <f t="shared" si="0"/>
        <v>7.8571428571428585</v>
      </c>
      <c r="P54" s="15">
        <f t="shared" si="1"/>
        <v>13.857142857142859</v>
      </c>
      <c r="R54" s="8"/>
      <c r="T54"/>
    </row>
    <row r="55" spans="2:20" ht="23.1" customHeight="1" x14ac:dyDescent="0.25">
      <c r="B55" s="23" t="s">
        <v>82</v>
      </c>
      <c r="C55" s="49">
        <f>AVERAGE('29.07 Pakwach-Karuma'!C55,'30.07.19 pakwach-karuma'!C55,'31.07 pakwach-karuma'!C55,'01.08 pakwach-karuma'!C55,'2.08 Pakwach-Karuma-24h'!C55,'3.08 Pakwach-Karuma-24h'!C55,'4.08 Pakwach-Karuma '!C55)</f>
        <v>0.8571428571428571</v>
      </c>
      <c r="D55" s="49">
        <f>AVERAGE('29.07 Pakwach-Karuma'!D55,'30.07.19 pakwach-karuma'!D55,'31.07 pakwach-karuma'!D55,'01.08 pakwach-karuma'!D55,'2.08 Pakwach-Karuma-24h'!D55,'3.08 Pakwach-Karuma-24h'!D55,'4.08 Pakwach-Karuma '!D55)</f>
        <v>0.14285714285714285</v>
      </c>
      <c r="E55" s="49">
        <f>AVERAGE('29.07 Pakwach-Karuma'!E55,'30.07.19 pakwach-karuma'!E55,'31.07 pakwach-karuma'!E55,'01.08 pakwach-karuma'!E55,'2.08 Pakwach-Karuma-24h'!E55,'3.08 Pakwach-Karuma-24h'!E55,'4.08 Pakwach-Karuma '!E55)</f>
        <v>1.4285714285714286</v>
      </c>
      <c r="F55" s="49">
        <f>AVERAGE('29.07 Pakwach-Karuma'!F55,'30.07.19 pakwach-karuma'!F55,'31.07 pakwach-karuma'!F55,'01.08 pakwach-karuma'!F55,'2.08 Pakwach-Karuma-24h'!F55,'3.08 Pakwach-Karuma-24h'!F55,'4.08 Pakwach-Karuma '!F55)</f>
        <v>1.2857142857142858</v>
      </c>
      <c r="G55" s="49">
        <f>AVERAGE('29.07 Pakwach-Karuma'!G55,'30.07.19 pakwach-karuma'!G55,'31.07 pakwach-karuma'!G55,'01.08 pakwach-karuma'!G55,'2.08 Pakwach-Karuma-24h'!G55,'3.08 Pakwach-Karuma-24h'!G55,'4.08 Pakwach-Karuma '!G55)</f>
        <v>0.42857142857142855</v>
      </c>
      <c r="H55" s="49">
        <f>AVERAGE('29.07 Pakwach-Karuma'!H55,'30.07.19 pakwach-karuma'!H55,'31.07 pakwach-karuma'!H55,'01.08 pakwach-karuma'!H55,'2.08 Pakwach-Karuma-24h'!H55,'3.08 Pakwach-Karuma-24h'!H55,'4.08 Pakwach-Karuma '!H55)</f>
        <v>0.42857142857142855</v>
      </c>
      <c r="I55" s="49">
        <f>AVERAGE('29.07 Pakwach-Karuma'!I55,'30.07.19 pakwach-karuma'!I55,'31.07 pakwach-karuma'!I55,'01.08 pakwach-karuma'!I55,'2.08 Pakwach-Karuma-24h'!I55,'3.08 Pakwach-Karuma-24h'!I55,'4.08 Pakwach-Karuma '!I55)</f>
        <v>0</v>
      </c>
      <c r="J55" s="49">
        <f>AVERAGE('29.07 Pakwach-Karuma'!J55,'30.07.19 pakwach-karuma'!J55,'31.07 pakwach-karuma'!J55,'01.08 pakwach-karuma'!J55,'2.08 Pakwach-Karuma-24h'!J55,'3.08 Pakwach-Karuma-24h'!J55,'4.08 Pakwach-Karuma '!J55)</f>
        <v>0</v>
      </c>
      <c r="K55" s="49">
        <f>AVERAGE('29.07 Pakwach-Karuma'!K55,'30.07.19 pakwach-karuma'!K55,'31.07 pakwach-karuma'!K55,'01.08 pakwach-karuma'!K55,'2.08 Pakwach-Karuma-24h'!K55,'3.08 Pakwach-Karuma-24h'!K55,'4.08 Pakwach-Karuma '!K55)</f>
        <v>0.2857142857142857</v>
      </c>
      <c r="L55" s="49">
        <f>AVERAGE('29.07 Pakwach-Karuma'!L55,'30.07.19 pakwach-karuma'!L55,'31.07 pakwach-karuma'!L55,'01.08 pakwach-karuma'!L55,'2.08 Pakwach-Karuma-24h'!L55,'3.08 Pakwach-Karuma-24h'!L55,'4.08 Pakwach-Karuma '!L55)</f>
        <v>0.42857142857142855</v>
      </c>
      <c r="M55" s="49">
        <f>AVERAGE('29.07 Pakwach-Karuma'!M55,'30.07.19 pakwach-karuma'!M55,'31.07 pakwach-karuma'!M55,'01.08 pakwach-karuma'!M55,'2.08 Pakwach-Karuma-24h'!M55,'3.08 Pakwach-Karuma-24h'!M55,'4.08 Pakwach-Karuma '!M55)</f>
        <v>4.5714285714285712</v>
      </c>
      <c r="N55" s="49">
        <f>AVERAGE('29.07 Pakwach-Karuma'!N55,'30.07.19 pakwach-karuma'!N55,'31.07 pakwach-karuma'!N55,'01.08 pakwach-karuma'!N55,'2.08 Pakwach-Karuma-24h'!N55,'3.08 Pakwach-Karuma-24h'!N55,'4.08 Pakwach-Karuma '!N55)</f>
        <v>0.42857142857142855</v>
      </c>
      <c r="O55" s="15">
        <f t="shared" si="0"/>
        <v>5.7142857142857153</v>
      </c>
      <c r="P55" s="15">
        <f t="shared" si="1"/>
        <v>10.285714285714286</v>
      </c>
      <c r="R55" s="8"/>
      <c r="T55"/>
    </row>
    <row r="56" spans="2:20" ht="23.1" customHeight="1" x14ac:dyDescent="0.25">
      <c r="B56" s="23" t="s">
        <v>83</v>
      </c>
      <c r="C56" s="49">
        <f>AVERAGE('29.07 Pakwach-Karuma'!C56,'30.07.19 pakwach-karuma'!C56,'31.07 pakwach-karuma'!C56,'01.08 pakwach-karuma'!C56,'2.08 Pakwach-Karuma-24h'!C56,'3.08 Pakwach-Karuma-24h'!C56,'4.08 Pakwach-Karuma '!C56)</f>
        <v>0.2857142857142857</v>
      </c>
      <c r="D56" s="49">
        <f>AVERAGE('29.07 Pakwach-Karuma'!D56,'30.07.19 pakwach-karuma'!D56,'31.07 pakwach-karuma'!D56,'01.08 pakwach-karuma'!D56,'2.08 Pakwach-Karuma-24h'!D56,'3.08 Pakwach-Karuma-24h'!D56,'4.08 Pakwach-Karuma '!D56)</f>
        <v>0.2857142857142857</v>
      </c>
      <c r="E56" s="49">
        <f>AVERAGE('29.07 Pakwach-Karuma'!E56,'30.07.19 pakwach-karuma'!E56,'31.07 pakwach-karuma'!E56,'01.08 pakwach-karuma'!E56,'2.08 Pakwach-Karuma-24h'!E56,'3.08 Pakwach-Karuma-24h'!E56,'4.08 Pakwach-Karuma '!E56)</f>
        <v>1.8571428571428572</v>
      </c>
      <c r="F56" s="49">
        <f>AVERAGE('29.07 Pakwach-Karuma'!F56,'30.07.19 pakwach-karuma'!F56,'31.07 pakwach-karuma'!F56,'01.08 pakwach-karuma'!F56,'2.08 Pakwach-Karuma-24h'!F56,'3.08 Pakwach-Karuma-24h'!F56,'4.08 Pakwach-Karuma '!F56)</f>
        <v>0.42857142857142855</v>
      </c>
      <c r="G56" s="49">
        <f>AVERAGE('29.07 Pakwach-Karuma'!G56,'30.07.19 pakwach-karuma'!G56,'31.07 pakwach-karuma'!G56,'01.08 pakwach-karuma'!G56,'2.08 Pakwach-Karuma-24h'!G56,'3.08 Pakwach-Karuma-24h'!G56,'4.08 Pakwach-Karuma '!G56)</f>
        <v>0.42857142857142855</v>
      </c>
      <c r="H56" s="49">
        <f>AVERAGE('29.07 Pakwach-Karuma'!H56,'30.07.19 pakwach-karuma'!H56,'31.07 pakwach-karuma'!H56,'01.08 pakwach-karuma'!H56,'2.08 Pakwach-Karuma-24h'!H56,'3.08 Pakwach-Karuma-24h'!H56,'4.08 Pakwach-Karuma '!H56)</f>
        <v>0.2857142857142857</v>
      </c>
      <c r="I56" s="49">
        <f>AVERAGE('29.07 Pakwach-Karuma'!I56,'30.07.19 pakwach-karuma'!I56,'31.07 pakwach-karuma'!I56,'01.08 pakwach-karuma'!I56,'2.08 Pakwach-Karuma-24h'!I56,'3.08 Pakwach-Karuma-24h'!I56,'4.08 Pakwach-Karuma '!I56)</f>
        <v>0.5714285714285714</v>
      </c>
      <c r="J56" s="49">
        <f>AVERAGE('29.07 Pakwach-Karuma'!J56,'30.07.19 pakwach-karuma'!J56,'31.07 pakwach-karuma'!J56,'01.08 pakwach-karuma'!J56,'2.08 Pakwach-Karuma-24h'!J56,'3.08 Pakwach-Karuma-24h'!J56,'4.08 Pakwach-Karuma '!J56)</f>
        <v>0.5714285714285714</v>
      </c>
      <c r="K56" s="49">
        <f>AVERAGE('29.07 Pakwach-Karuma'!K56,'30.07.19 pakwach-karuma'!K56,'31.07 pakwach-karuma'!K56,'01.08 pakwach-karuma'!K56,'2.08 Pakwach-Karuma-24h'!K56,'3.08 Pakwach-Karuma-24h'!K56,'4.08 Pakwach-Karuma '!K56)</f>
        <v>0.2857142857142857</v>
      </c>
      <c r="L56" s="49">
        <f>AVERAGE('29.07 Pakwach-Karuma'!L56,'30.07.19 pakwach-karuma'!L56,'31.07 pakwach-karuma'!L56,'01.08 pakwach-karuma'!L56,'2.08 Pakwach-Karuma-24h'!L56,'3.08 Pakwach-Karuma-24h'!L56,'4.08 Pakwach-Karuma '!L56)</f>
        <v>1</v>
      </c>
      <c r="M56" s="49">
        <f>AVERAGE('29.07 Pakwach-Karuma'!M56,'30.07.19 pakwach-karuma'!M56,'31.07 pakwach-karuma'!M56,'01.08 pakwach-karuma'!M56,'2.08 Pakwach-Karuma-24h'!M56,'3.08 Pakwach-Karuma-24h'!M56,'4.08 Pakwach-Karuma '!M56)</f>
        <v>3.2857142857142856</v>
      </c>
      <c r="N56" s="49">
        <f>AVERAGE('29.07 Pakwach-Karuma'!N56,'30.07.19 pakwach-karuma'!N56,'31.07 pakwach-karuma'!N56,'01.08 pakwach-karuma'!N56,'2.08 Pakwach-Karuma-24h'!N56,'3.08 Pakwach-Karuma-24h'!N56,'4.08 Pakwach-Karuma '!N56)</f>
        <v>0</v>
      </c>
      <c r="O56" s="15">
        <f t="shared" si="0"/>
        <v>5.9999999999999991</v>
      </c>
      <c r="P56" s="15">
        <f t="shared" si="1"/>
        <v>9.2857142857142847</v>
      </c>
      <c r="R56" s="8"/>
      <c r="T56"/>
    </row>
    <row r="57" spans="2:20" ht="23.1" customHeight="1" x14ac:dyDescent="0.25">
      <c r="B57" s="23" t="s">
        <v>84</v>
      </c>
      <c r="C57" s="49">
        <f>AVERAGE('29.07 Pakwach-Karuma'!C57,'30.07.19 pakwach-karuma'!C57,'31.07 pakwach-karuma'!C57,'01.08 pakwach-karuma'!C57,'2.08 Pakwach-Karuma-24h'!C57,'3.08 Pakwach-Karuma-24h'!C57,'4.08 Pakwach-Karuma '!C57)</f>
        <v>0</v>
      </c>
      <c r="D57" s="49">
        <f>AVERAGE('29.07 Pakwach-Karuma'!D57,'30.07.19 pakwach-karuma'!D57,'31.07 pakwach-karuma'!D57,'01.08 pakwach-karuma'!D57,'2.08 Pakwach-Karuma-24h'!D57,'3.08 Pakwach-Karuma-24h'!D57,'4.08 Pakwach-Karuma '!D57)</f>
        <v>0.42857142857142855</v>
      </c>
      <c r="E57" s="49">
        <f>AVERAGE('29.07 Pakwach-Karuma'!E57,'30.07.19 pakwach-karuma'!E57,'31.07 pakwach-karuma'!E57,'01.08 pakwach-karuma'!E57,'2.08 Pakwach-Karuma-24h'!E57,'3.08 Pakwach-Karuma-24h'!E57,'4.08 Pakwach-Karuma '!E57)</f>
        <v>1.8571428571428572</v>
      </c>
      <c r="F57" s="49">
        <f>AVERAGE('29.07 Pakwach-Karuma'!F57,'30.07.19 pakwach-karuma'!F57,'31.07 pakwach-karuma'!F57,'01.08 pakwach-karuma'!F57,'2.08 Pakwach-Karuma-24h'!F57,'3.08 Pakwach-Karuma-24h'!F57,'4.08 Pakwach-Karuma '!F57)</f>
        <v>0.2857142857142857</v>
      </c>
      <c r="G57" s="49">
        <f>AVERAGE('29.07 Pakwach-Karuma'!G57,'30.07.19 pakwach-karuma'!G57,'31.07 pakwach-karuma'!G57,'01.08 pakwach-karuma'!G57,'2.08 Pakwach-Karuma-24h'!G57,'3.08 Pakwach-Karuma-24h'!G57,'4.08 Pakwach-Karuma '!G57)</f>
        <v>0.42857142857142855</v>
      </c>
      <c r="H57" s="49">
        <f>AVERAGE('29.07 Pakwach-Karuma'!H57,'30.07.19 pakwach-karuma'!H57,'31.07 pakwach-karuma'!H57,'01.08 pakwach-karuma'!H57,'2.08 Pakwach-Karuma-24h'!H57,'3.08 Pakwach-Karuma-24h'!H57,'4.08 Pakwach-Karuma '!H57)</f>
        <v>0.2857142857142857</v>
      </c>
      <c r="I57" s="49">
        <f>AVERAGE('29.07 Pakwach-Karuma'!I57,'30.07.19 pakwach-karuma'!I57,'31.07 pakwach-karuma'!I57,'01.08 pakwach-karuma'!I57,'2.08 Pakwach-Karuma-24h'!I57,'3.08 Pakwach-Karuma-24h'!I57,'4.08 Pakwach-Karuma '!I57)</f>
        <v>0.14285714285714285</v>
      </c>
      <c r="J57" s="49">
        <f>AVERAGE('29.07 Pakwach-Karuma'!J57,'30.07.19 pakwach-karuma'!J57,'31.07 pakwach-karuma'!J57,'01.08 pakwach-karuma'!J57,'2.08 Pakwach-Karuma-24h'!J57,'3.08 Pakwach-Karuma-24h'!J57,'4.08 Pakwach-Karuma '!J57)</f>
        <v>0</v>
      </c>
      <c r="K57" s="49">
        <f>AVERAGE('29.07 Pakwach-Karuma'!K57,'30.07.19 pakwach-karuma'!K57,'31.07 pakwach-karuma'!K57,'01.08 pakwach-karuma'!K57,'2.08 Pakwach-Karuma-24h'!K57,'3.08 Pakwach-Karuma-24h'!K57,'4.08 Pakwach-Karuma '!K57)</f>
        <v>0.14285714285714285</v>
      </c>
      <c r="L57" s="49">
        <f>AVERAGE('29.07 Pakwach-Karuma'!L57,'30.07.19 pakwach-karuma'!L57,'31.07 pakwach-karuma'!L57,'01.08 pakwach-karuma'!L57,'2.08 Pakwach-Karuma-24h'!L57,'3.08 Pakwach-Karuma-24h'!L57,'4.08 Pakwach-Karuma '!L57)</f>
        <v>1</v>
      </c>
      <c r="M57" s="49">
        <f>AVERAGE('29.07 Pakwach-Karuma'!M57,'30.07.19 pakwach-karuma'!M57,'31.07 pakwach-karuma'!M57,'01.08 pakwach-karuma'!M57,'2.08 Pakwach-Karuma-24h'!M57,'3.08 Pakwach-Karuma-24h'!M57,'4.08 Pakwach-Karuma '!M57)</f>
        <v>2.4285714285714284</v>
      </c>
      <c r="N57" s="49">
        <f>AVERAGE('29.07 Pakwach-Karuma'!N57,'30.07.19 pakwach-karuma'!N57,'31.07 pakwach-karuma'!N57,'01.08 pakwach-karuma'!N57,'2.08 Pakwach-Karuma-24h'!N57,'3.08 Pakwach-Karuma-24h'!N57,'4.08 Pakwach-Karuma '!N57)</f>
        <v>0</v>
      </c>
      <c r="O57" s="15">
        <f t="shared" si="0"/>
        <v>4.5714285714285712</v>
      </c>
      <c r="P57" s="15">
        <f t="shared" si="1"/>
        <v>7</v>
      </c>
      <c r="R57" s="8"/>
      <c r="T57"/>
    </row>
    <row r="58" spans="2:20" ht="23.1" customHeight="1" x14ac:dyDescent="0.25">
      <c r="B58" s="23" t="s">
        <v>99</v>
      </c>
      <c r="C58" s="49">
        <f>AVERAGE('2.08 Pakwach-Karuma-24h'!C58,'3.08 Pakwach-Karuma-24h'!C58)</f>
        <v>1</v>
      </c>
      <c r="D58" s="49">
        <f>AVERAGE('2.08 Pakwach-Karuma-24h'!D58,'3.08 Pakwach-Karuma-24h'!D58)</f>
        <v>0</v>
      </c>
      <c r="E58" s="49">
        <f>AVERAGE('2.08 Pakwach-Karuma-24h'!E58,'3.08 Pakwach-Karuma-24h'!E58)</f>
        <v>1</v>
      </c>
      <c r="F58" s="49">
        <f>AVERAGE('2.08 Pakwach-Karuma-24h'!F58,'3.08 Pakwach-Karuma-24h'!F58)</f>
        <v>0</v>
      </c>
      <c r="G58" s="49">
        <f>AVERAGE('2.08 Pakwach-Karuma-24h'!G58,'3.08 Pakwach-Karuma-24h'!G58)</f>
        <v>0</v>
      </c>
      <c r="H58" s="49">
        <f>AVERAGE('2.08 Pakwach-Karuma-24h'!H58,'3.08 Pakwach-Karuma-24h'!H58)</f>
        <v>0</v>
      </c>
      <c r="I58" s="49">
        <f>AVERAGE('2.08 Pakwach-Karuma-24h'!I58,'3.08 Pakwach-Karuma-24h'!I58)</f>
        <v>0</v>
      </c>
      <c r="J58" s="49">
        <f>AVERAGE('2.08 Pakwach-Karuma-24h'!J58,'3.08 Pakwach-Karuma-24h'!J58)</f>
        <v>0</v>
      </c>
      <c r="K58" s="49">
        <f>AVERAGE('2.08 Pakwach-Karuma-24h'!K58,'3.08 Pakwach-Karuma-24h'!K58)</f>
        <v>0</v>
      </c>
      <c r="L58" s="49">
        <f>AVERAGE('2.08 Pakwach-Karuma-24h'!L58,'3.08 Pakwach-Karuma-24h'!L58)</f>
        <v>1</v>
      </c>
      <c r="M58" s="49">
        <f>AVERAGE('2.08 Pakwach-Karuma-24h'!M58,'3.08 Pakwach-Karuma-24h'!M58)</f>
        <v>2</v>
      </c>
      <c r="N58" s="49">
        <f>AVERAGE('2.08 Pakwach-Karuma-24h'!N58,'3.08 Pakwach-Karuma-24h'!N58)</f>
        <v>0</v>
      </c>
      <c r="O58" s="15">
        <f t="shared" si="0"/>
        <v>3</v>
      </c>
      <c r="P58" s="15">
        <f t="shared" si="1"/>
        <v>5</v>
      </c>
      <c r="R58" s="8"/>
      <c r="T58"/>
    </row>
    <row r="59" spans="2:20" ht="23.1" customHeight="1" x14ac:dyDescent="0.25">
      <c r="B59" s="23" t="s">
        <v>100</v>
      </c>
      <c r="C59" s="49">
        <f>AVERAGE('2.08 Pakwach-Karuma-24h'!C59,'3.08 Pakwach-Karuma-24h'!C59)</f>
        <v>0</v>
      </c>
      <c r="D59" s="49">
        <f>AVERAGE('2.08 Pakwach-Karuma-24h'!D59,'3.08 Pakwach-Karuma-24h'!D59)</f>
        <v>0</v>
      </c>
      <c r="E59" s="49">
        <f>AVERAGE('2.08 Pakwach-Karuma-24h'!E59,'3.08 Pakwach-Karuma-24h'!E59)</f>
        <v>1</v>
      </c>
      <c r="F59" s="49">
        <f>AVERAGE('2.08 Pakwach-Karuma-24h'!F59,'3.08 Pakwach-Karuma-24h'!F59)</f>
        <v>0</v>
      </c>
      <c r="G59" s="49">
        <f>AVERAGE('2.08 Pakwach-Karuma-24h'!G59,'3.08 Pakwach-Karuma-24h'!G59)</f>
        <v>0</v>
      </c>
      <c r="H59" s="49">
        <f>AVERAGE('2.08 Pakwach-Karuma-24h'!H59,'3.08 Pakwach-Karuma-24h'!H59)</f>
        <v>0</v>
      </c>
      <c r="I59" s="49">
        <f>AVERAGE('2.08 Pakwach-Karuma-24h'!I59,'3.08 Pakwach-Karuma-24h'!I59)</f>
        <v>0</v>
      </c>
      <c r="J59" s="49">
        <f>AVERAGE('2.08 Pakwach-Karuma-24h'!J59,'3.08 Pakwach-Karuma-24h'!J59)</f>
        <v>0</v>
      </c>
      <c r="K59" s="49">
        <f>AVERAGE('2.08 Pakwach-Karuma-24h'!K59,'3.08 Pakwach-Karuma-24h'!K59)</f>
        <v>0</v>
      </c>
      <c r="L59" s="49">
        <f>AVERAGE('2.08 Pakwach-Karuma-24h'!L59,'3.08 Pakwach-Karuma-24h'!L59)</f>
        <v>1</v>
      </c>
      <c r="M59" s="49">
        <f>AVERAGE('2.08 Pakwach-Karuma-24h'!M59,'3.08 Pakwach-Karuma-24h'!M59)</f>
        <v>2</v>
      </c>
      <c r="N59" s="49">
        <f>AVERAGE('2.08 Pakwach-Karuma-24h'!N59,'3.08 Pakwach-Karuma-24h'!N59)</f>
        <v>0</v>
      </c>
      <c r="O59" s="15">
        <f t="shared" si="0"/>
        <v>2</v>
      </c>
      <c r="P59" s="15">
        <f t="shared" si="1"/>
        <v>4</v>
      </c>
      <c r="R59" s="8"/>
      <c r="T59"/>
    </row>
    <row r="60" spans="2:20" ht="23.1" customHeight="1" x14ac:dyDescent="0.25">
      <c r="B60" s="23" t="s">
        <v>101</v>
      </c>
      <c r="C60" s="49">
        <f>AVERAGE('2.08 Pakwach-Karuma-24h'!C60,'3.08 Pakwach-Karuma-24h'!C60)</f>
        <v>0</v>
      </c>
      <c r="D60" s="49">
        <f>AVERAGE('2.08 Pakwach-Karuma-24h'!D60,'3.08 Pakwach-Karuma-24h'!D60)</f>
        <v>0</v>
      </c>
      <c r="E60" s="49">
        <f>AVERAGE('2.08 Pakwach-Karuma-24h'!E60,'3.08 Pakwach-Karuma-24h'!E60)</f>
        <v>1</v>
      </c>
      <c r="F60" s="49">
        <f>AVERAGE('2.08 Pakwach-Karuma-24h'!F60,'3.08 Pakwach-Karuma-24h'!F60)</f>
        <v>1</v>
      </c>
      <c r="G60" s="49">
        <f>AVERAGE('2.08 Pakwach-Karuma-24h'!G60,'3.08 Pakwach-Karuma-24h'!G60)</f>
        <v>0</v>
      </c>
      <c r="H60" s="49">
        <f>AVERAGE('2.08 Pakwach-Karuma-24h'!H60,'3.08 Pakwach-Karuma-24h'!H60)</f>
        <v>0</v>
      </c>
      <c r="I60" s="49">
        <f>AVERAGE('2.08 Pakwach-Karuma-24h'!I60,'3.08 Pakwach-Karuma-24h'!I60)</f>
        <v>0</v>
      </c>
      <c r="J60" s="49">
        <f>AVERAGE('2.08 Pakwach-Karuma-24h'!J60,'3.08 Pakwach-Karuma-24h'!J60)</f>
        <v>1</v>
      </c>
      <c r="K60" s="49">
        <f>AVERAGE('2.08 Pakwach-Karuma-24h'!K60,'3.08 Pakwach-Karuma-24h'!K60)</f>
        <v>0</v>
      </c>
      <c r="L60" s="49">
        <f>AVERAGE('2.08 Pakwach-Karuma-24h'!L60,'3.08 Pakwach-Karuma-24h'!L60)</f>
        <v>1</v>
      </c>
      <c r="M60" s="49">
        <f>AVERAGE('2.08 Pakwach-Karuma-24h'!M60,'3.08 Pakwach-Karuma-24h'!M60)</f>
        <v>2</v>
      </c>
      <c r="N60" s="49">
        <f>AVERAGE('2.08 Pakwach-Karuma-24h'!N60,'3.08 Pakwach-Karuma-24h'!N60)</f>
        <v>0</v>
      </c>
      <c r="O60" s="15">
        <f t="shared" si="0"/>
        <v>4</v>
      </c>
      <c r="P60" s="15">
        <f t="shared" si="1"/>
        <v>6</v>
      </c>
      <c r="R60" s="8"/>
      <c r="T60"/>
    </row>
    <row r="61" spans="2:20" ht="23.1" customHeight="1" x14ac:dyDescent="0.25">
      <c r="B61" s="23" t="s">
        <v>102</v>
      </c>
      <c r="C61" s="49">
        <f>AVERAGE('2.08 Pakwach-Karuma-24h'!C61,'3.08 Pakwach-Karuma-24h'!C61)</f>
        <v>0</v>
      </c>
      <c r="D61" s="49">
        <f>AVERAGE('2.08 Pakwach-Karuma-24h'!D61,'3.08 Pakwach-Karuma-24h'!D61)</f>
        <v>0</v>
      </c>
      <c r="E61" s="49">
        <f>AVERAGE('2.08 Pakwach-Karuma-24h'!E61,'3.08 Pakwach-Karuma-24h'!E61)</f>
        <v>1</v>
      </c>
      <c r="F61" s="49">
        <f>AVERAGE('2.08 Pakwach-Karuma-24h'!F61,'3.08 Pakwach-Karuma-24h'!F61)</f>
        <v>0</v>
      </c>
      <c r="G61" s="49">
        <f>AVERAGE('2.08 Pakwach-Karuma-24h'!G61,'3.08 Pakwach-Karuma-24h'!G61)</f>
        <v>0</v>
      </c>
      <c r="H61" s="49">
        <f>AVERAGE('2.08 Pakwach-Karuma-24h'!H61,'3.08 Pakwach-Karuma-24h'!H61)</f>
        <v>0</v>
      </c>
      <c r="I61" s="49">
        <f>AVERAGE('2.08 Pakwach-Karuma-24h'!I61,'3.08 Pakwach-Karuma-24h'!I61)</f>
        <v>0</v>
      </c>
      <c r="J61" s="49">
        <f>AVERAGE('2.08 Pakwach-Karuma-24h'!J61,'3.08 Pakwach-Karuma-24h'!J61)</f>
        <v>1</v>
      </c>
      <c r="K61" s="49">
        <f>AVERAGE('2.08 Pakwach-Karuma-24h'!K61,'3.08 Pakwach-Karuma-24h'!K61)</f>
        <v>0</v>
      </c>
      <c r="L61" s="49">
        <f>AVERAGE('2.08 Pakwach-Karuma-24h'!L61,'3.08 Pakwach-Karuma-24h'!L61)</f>
        <v>1</v>
      </c>
      <c r="M61" s="49">
        <f>AVERAGE('2.08 Pakwach-Karuma-24h'!M61,'3.08 Pakwach-Karuma-24h'!M61)</f>
        <v>2</v>
      </c>
      <c r="N61" s="49">
        <f>AVERAGE('2.08 Pakwach-Karuma-24h'!N61,'3.08 Pakwach-Karuma-24h'!N61)</f>
        <v>0</v>
      </c>
      <c r="O61" s="15">
        <f t="shared" si="0"/>
        <v>3</v>
      </c>
      <c r="P61" s="15">
        <f t="shared" si="1"/>
        <v>5</v>
      </c>
      <c r="R61" s="8"/>
      <c r="T61"/>
    </row>
    <row r="62" spans="2:20" ht="23.1" customHeight="1" x14ac:dyDescent="0.25">
      <c r="B62" s="23" t="s">
        <v>107</v>
      </c>
      <c r="C62" s="49">
        <f>AVERAGE('2.08 Pakwach-Karuma-24h'!C62,'3.08 Pakwach-Karuma-24h'!C62)</f>
        <v>0</v>
      </c>
      <c r="D62" s="49">
        <f>AVERAGE('2.08 Pakwach-Karuma-24h'!D62,'3.08 Pakwach-Karuma-24h'!D62)</f>
        <v>0</v>
      </c>
      <c r="E62" s="49">
        <f>AVERAGE('2.08 Pakwach-Karuma-24h'!E62,'3.08 Pakwach-Karuma-24h'!E62)</f>
        <v>0</v>
      </c>
      <c r="F62" s="49">
        <f>AVERAGE('2.08 Pakwach-Karuma-24h'!F62,'3.08 Pakwach-Karuma-24h'!F62)</f>
        <v>0</v>
      </c>
      <c r="G62" s="49">
        <f>AVERAGE('2.08 Pakwach-Karuma-24h'!G62,'3.08 Pakwach-Karuma-24h'!G62)</f>
        <v>0</v>
      </c>
      <c r="H62" s="49">
        <f>AVERAGE('2.08 Pakwach-Karuma-24h'!H62,'3.08 Pakwach-Karuma-24h'!H62)</f>
        <v>0</v>
      </c>
      <c r="I62" s="49">
        <f>AVERAGE('2.08 Pakwach-Karuma-24h'!I62,'3.08 Pakwach-Karuma-24h'!I62)</f>
        <v>0</v>
      </c>
      <c r="J62" s="49">
        <f>AVERAGE('2.08 Pakwach-Karuma-24h'!J62,'3.08 Pakwach-Karuma-24h'!J62)</f>
        <v>1</v>
      </c>
      <c r="K62" s="49">
        <f>AVERAGE('2.08 Pakwach-Karuma-24h'!K62,'3.08 Pakwach-Karuma-24h'!K62)</f>
        <v>0</v>
      </c>
      <c r="L62" s="49">
        <f>AVERAGE('2.08 Pakwach-Karuma-24h'!L62,'3.08 Pakwach-Karuma-24h'!L62)</f>
        <v>1</v>
      </c>
      <c r="M62" s="49">
        <f>AVERAGE('2.08 Pakwach-Karuma-24h'!M62,'3.08 Pakwach-Karuma-24h'!M62)</f>
        <v>2</v>
      </c>
      <c r="N62" s="49">
        <f>AVERAGE('2.08 Pakwach-Karuma-24h'!N62,'3.08 Pakwach-Karuma-24h'!N62)</f>
        <v>0</v>
      </c>
      <c r="O62" s="15">
        <f t="shared" si="0"/>
        <v>2</v>
      </c>
      <c r="P62" s="15">
        <f t="shared" si="1"/>
        <v>4</v>
      </c>
      <c r="R62" s="8"/>
      <c r="T62"/>
    </row>
    <row r="63" spans="2:20" ht="23.1" customHeight="1" x14ac:dyDescent="0.25">
      <c r="B63" s="23" t="s">
        <v>108</v>
      </c>
      <c r="C63" s="49">
        <f>AVERAGE('2.08 Pakwach-Karuma-24h'!C63,'3.08 Pakwach-Karuma-24h'!C63)</f>
        <v>0</v>
      </c>
      <c r="D63" s="49">
        <f>AVERAGE('2.08 Pakwach-Karuma-24h'!D63,'3.08 Pakwach-Karuma-24h'!D63)</f>
        <v>0</v>
      </c>
      <c r="E63" s="49">
        <f>AVERAGE('2.08 Pakwach-Karuma-24h'!E63,'3.08 Pakwach-Karuma-24h'!E63)</f>
        <v>1</v>
      </c>
      <c r="F63" s="49">
        <f>AVERAGE('2.08 Pakwach-Karuma-24h'!F63,'3.08 Pakwach-Karuma-24h'!F63)</f>
        <v>0</v>
      </c>
      <c r="G63" s="49">
        <f>AVERAGE('2.08 Pakwach-Karuma-24h'!G63,'3.08 Pakwach-Karuma-24h'!G63)</f>
        <v>0</v>
      </c>
      <c r="H63" s="49">
        <f>AVERAGE('2.08 Pakwach-Karuma-24h'!H63,'3.08 Pakwach-Karuma-24h'!H63)</f>
        <v>0</v>
      </c>
      <c r="I63" s="49">
        <f>AVERAGE('2.08 Pakwach-Karuma-24h'!I63,'3.08 Pakwach-Karuma-24h'!I63)</f>
        <v>1</v>
      </c>
      <c r="J63" s="49">
        <f>AVERAGE('2.08 Pakwach-Karuma-24h'!J63,'3.08 Pakwach-Karuma-24h'!J63)</f>
        <v>1</v>
      </c>
      <c r="K63" s="49">
        <f>AVERAGE('2.08 Pakwach-Karuma-24h'!K63,'3.08 Pakwach-Karuma-24h'!K63)</f>
        <v>0</v>
      </c>
      <c r="L63" s="49">
        <f>AVERAGE('2.08 Pakwach-Karuma-24h'!L63,'3.08 Pakwach-Karuma-24h'!L63)</f>
        <v>1</v>
      </c>
      <c r="M63" s="49">
        <f>AVERAGE('2.08 Pakwach-Karuma-24h'!M63,'3.08 Pakwach-Karuma-24h'!M63)</f>
        <v>1.5</v>
      </c>
      <c r="N63" s="49">
        <f>AVERAGE('2.08 Pakwach-Karuma-24h'!N63,'3.08 Pakwach-Karuma-24h'!N63)</f>
        <v>0</v>
      </c>
      <c r="O63" s="15">
        <f t="shared" si="0"/>
        <v>4</v>
      </c>
      <c r="P63" s="15">
        <f t="shared" si="1"/>
        <v>5.5</v>
      </c>
      <c r="R63" s="8"/>
      <c r="T63"/>
    </row>
    <row r="64" spans="2:20" ht="23.1" customHeight="1" x14ac:dyDescent="0.25">
      <c r="B64" s="23" t="s">
        <v>109</v>
      </c>
      <c r="C64" s="49">
        <f>AVERAGE('2.08 Pakwach-Karuma-24h'!C64,'3.08 Pakwach-Karuma-24h'!C64)</f>
        <v>1</v>
      </c>
      <c r="D64" s="49">
        <f>AVERAGE('2.08 Pakwach-Karuma-24h'!D64,'3.08 Pakwach-Karuma-24h'!D64)</f>
        <v>0</v>
      </c>
      <c r="E64" s="49">
        <f>AVERAGE('2.08 Pakwach-Karuma-24h'!E64,'3.08 Pakwach-Karuma-24h'!E64)</f>
        <v>1</v>
      </c>
      <c r="F64" s="49">
        <f>AVERAGE('2.08 Pakwach-Karuma-24h'!F64,'3.08 Pakwach-Karuma-24h'!F64)</f>
        <v>0</v>
      </c>
      <c r="G64" s="49">
        <f>AVERAGE('2.08 Pakwach-Karuma-24h'!G64,'3.08 Pakwach-Karuma-24h'!G64)</f>
        <v>0</v>
      </c>
      <c r="H64" s="49">
        <f>AVERAGE('2.08 Pakwach-Karuma-24h'!H64,'3.08 Pakwach-Karuma-24h'!H64)</f>
        <v>0</v>
      </c>
      <c r="I64" s="49">
        <f>AVERAGE('2.08 Pakwach-Karuma-24h'!I64,'3.08 Pakwach-Karuma-24h'!I64)</f>
        <v>0</v>
      </c>
      <c r="J64" s="49">
        <f>AVERAGE('2.08 Pakwach-Karuma-24h'!J64,'3.08 Pakwach-Karuma-24h'!J64)</f>
        <v>0</v>
      </c>
      <c r="K64" s="49">
        <f>AVERAGE('2.08 Pakwach-Karuma-24h'!K64,'3.08 Pakwach-Karuma-24h'!K64)</f>
        <v>0</v>
      </c>
      <c r="L64" s="49">
        <f>AVERAGE('2.08 Pakwach-Karuma-24h'!L64,'3.08 Pakwach-Karuma-24h'!L64)</f>
        <v>1</v>
      </c>
      <c r="M64" s="49">
        <f>AVERAGE('2.08 Pakwach-Karuma-24h'!M64,'3.08 Pakwach-Karuma-24h'!M64)</f>
        <v>2</v>
      </c>
      <c r="N64" s="49">
        <f>AVERAGE('2.08 Pakwach-Karuma-24h'!N64,'3.08 Pakwach-Karuma-24h'!N64)</f>
        <v>0</v>
      </c>
      <c r="O64" s="15">
        <f t="shared" si="0"/>
        <v>3</v>
      </c>
      <c r="P64" s="15">
        <f t="shared" si="1"/>
        <v>5</v>
      </c>
      <c r="R64" s="8"/>
      <c r="T64"/>
    </row>
    <row r="65" spans="2:20" ht="23.1" customHeight="1" x14ac:dyDescent="0.25">
      <c r="B65" s="23" t="s">
        <v>158</v>
      </c>
      <c r="C65" s="49">
        <f>AVERAGE('2.08 Pakwach-Karuma-24h'!C65,'3.08 Pakwach-Karuma-24h'!C65)</f>
        <v>0</v>
      </c>
      <c r="D65" s="49">
        <f>AVERAGE('2.08 Pakwach-Karuma-24h'!D65,'3.08 Pakwach-Karuma-24h'!D65)</f>
        <v>0</v>
      </c>
      <c r="E65" s="49">
        <f>AVERAGE('2.08 Pakwach-Karuma-24h'!E65,'3.08 Pakwach-Karuma-24h'!E65)</f>
        <v>1</v>
      </c>
      <c r="F65" s="49">
        <f>AVERAGE('2.08 Pakwach-Karuma-24h'!F65,'3.08 Pakwach-Karuma-24h'!F65)</f>
        <v>0</v>
      </c>
      <c r="G65" s="49">
        <f>AVERAGE('2.08 Pakwach-Karuma-24h'!G65,'3.08 Pakwach-Karuma-24h'!G65)</f>
        <v>0</v>
      </c>
      <c r="H65" s="49">
        <f>AVERAGE('2.08 Pakwach-Karuma-24h'!H65,'3.08 Pakwach-Karuma-24h'!H65)</f>
        <v>0</v>
      </c>
      <c r="I65" s="49">
        <f>AVERAGE('2.08 Pakwach-Karuma-24h'!I65,'3.08 Pakwach-Karuma-24h'!I65)</f>
        <v>0</v>
      </c>
      <c r="J65" s="49">
        <f>AVERAGE('2.08 Pakwach-Karuma-24h'!J65,'3.08 Pakwach-Karuma-24h'!J65)</f>
        <v>1</v>
      </c>
      <c r="K65" s="49">
        <f>AVERAGE('2.08 Pakwach-Karuma-24h'!K65,'3.08 Pakwach-Karuma-24h'!K65)</f>
        <v>0</v>
      </c>
      <c r="L65" s="49">
        <f>AVERAGE('2.08 Pakwach-Karuma-24h'!L65,'3.08 Pakwach-Karuma-24h'!L65)</f>
        <v>1</v>
      </c>
      <c r="M65" s="49">
        <f>AVERAGE('2.08 Pakwach-Karuma-24h'!M65,'3.08 Pakwach-Karuma-24h'!M65)</f>
        <v>3</v>
      </c>
      <c r="N65" s="49">
        <f>AVERAGE('2.08 Pakwach-Karuma-24h'!N65,'3.08 Pakwach-Karuma-24h'!N65)</f>
        <v>0</v>
      </c>
      <c r="O65" s="15">
        <f t="shared" si="0"/>
        <v>3</v>
      </c>
      <c r="P65" s="15">
        <f t="shared" si="1"/>
        <v>6</v>
      </c>
      <c r="R65" s="8"/>
      <c r="T65"/>
    </row>
    <row r="66" spans="2:20" ht="23.1" customHeight="1" x14ac:dyDescent="0.25">
      <c r="B66" s="23" t="s">
        <v>103</v>
      </c>
      <c r="C66" s="49">
        <f>AVERAGE('2.08 Pakwach-Karuma-24h'!C66,'3.08 Pakwach-Karuma-24h'!C66)</f>
        <v>0</v>
      </c>
      <c r="D66" s="49">
        <f>AVERAGE('2.08 Pakwach-Karuma-24h'!D66,'3.08 Pakwach-Karuma-24h'!D66)</f>
        <v>0</v>
      </c>
      <c r="E66" s="49">
        <f>AVERAGE('2.08 Pakwach-Karuma-24h'!E66,'3.08 Pakwach-Karuma-24h'!E66)</f>
        <v>0</v>
      </c>
      <c r="F66" s="49">
        <f>AVERAGE('2.08 Pakwach-Karuma-24h'!F66,'3.08 Pakwach-Karuma-24h'!F66)</f>
        <v>0</v>
      </c>
      <c r="G66" s="49">
        <f>AVERAGE('2.08 Pakwach-Karuma-24h'!G66,'3.08 Pakwach-Karuma-24h'!G66)</f>
        <v>0</v>
      </c>
      <c r="H66" s="49">
        <f>AVERAGE('2.08 Pakwach-Karuma-24h'!H66,'3.08 Pakwach-Karuma-24h'!H66)</f>
        <v>0</v>
      </c>
      <c r="I66" s="49">
        <f>AVERAGE('2.08 Pakwach-Karuma-24h'!I66,'3.08 Pakwach-Karuma-24h'!I66)</f>
        <v>0</v>
      </c>
      <c r="J66" s="49">
        <f>AVERAGE('2.08 Pakwach-Karuma-24h'!J66,'3.08 Pakwach-Karuma-24h'!J66)</f>
        <v>0</v>
      </c>
      <c r="K66" s="49">
        <f>AVERAGE('2.08 Pakwach-Karuma-24h'!K66,'3.08 Pakwach-Karuma-24h'!K66)</f>
        <v>0</v>
      </c>
      <c r="L66" s="49">
        <f>AVERAGE('2.08 Pakwach-Karuma-24h'!L66,'3.08 Pakwach-Karuma-24h'!L66)</f>
        <v>1</v>
      </c>
      <c r="M66" s="49">
        <f>AVERAGE('2.08 Pakwach-Karuma-24h'!M66,'3.08 Pakwach-Karuma-24h'!M66)</f>
        <v>3</v>
      </c>
      <c r="N66" s="49">
        <f>AVERAGE('2.08 Pakwach-Karuma-24h'!N66,'3.08 Pakwach-Karuma-24h'!N66)</f>
        <v>0</v>
      </c>
      <c r="O66" s="15">
        <f t="shared" si="0"/>
        <v>1</v>
      </c>
      <c r="P66" s="15">
        <f t="shared" si="1"/>
        <v>4</v>
      </c>
      <c r="R66" s="8"/>
      <c r="T66"/>
    </row>
    <row r="67" spans="2:20" ht="23.1" customHeight="1" x14ac:dyDescent="0.25">
      <c r="B67" s="23" t="s">
        <v>104</v>
      </c>
      <c r="C67" s="49">
        <f>AVERAGE('2.08 Pakwach-Karuma-24h'!C67,'3.08 Pakwach-Karuma-24h'!C67)</f>
        <v>0</v>
      </c>
      <c r="D67" s="49">
        <f>AVERAGE('2.08 Pakwach-Karuma-24h'!D67,'3.08 Pakwach-Karuma-24h'!D67)</f>
        <v>0</v>
      </c>
      <c r="E67" s="49">
        <f>AVERAGE('2.08 Pakwach-Karuma-24h'!E67,'3.08 Pakwach-Karuma-24h'!E67)</f>
        <v>1</v>
      </c>
      <c r="F67" s="49">
        <f>AVERAGE('2.08 Pakwach-Karuma-24h'!F67,'3.08 Pakwach-Karuma-24h'!F67)</f>
        <v>0</v>
      </c>
      <c r="G67" s="49">
        <f>AVERAGE('2.08 Pakwach-Karuma-24h'!G67,'3.08 Pakwach-Karuma-24h'!G67)</f>
        <v>0</v>
      </c>
      <c r="H67" s="49">
        <f>AVERAGE('2.08 Pakwach-Karuma-24h'!H67,'3.08 Pakwach-Karuma-24h'!H67)</f>
        <v>0</v>
      </c>
      <c r="I67" s="49">
        <f>AVERAGE('2.08 Pakwach-Karuma-24h'!I67,'3.08 Pakwach-Karuma-24h'!I67)</f>
        <v>0</v>
      </c>
      <c r="J67" s="49">
        <f>AVERAGE('2.08 Pakwach-Karuma-24h'!J67,'3.08 Pakwach-Karuma-24h'!J67)</f>
        <v>0</v>
      </c>
      <c r="K67" s="49">
        <f>AVERAGE('2.08 Pakwach-Karuma-24h'!K67,'3.08 Pakwach-Karuma-24h'!K67)</f>
        <v>0</v>
      </c>
      <c r="L67" s="49">
        <f>AVERAGE('2.08 Pakwach-Karuma-24h'!L67,'3.08 Pakwach-Karuma-24h'!L67)</f>
        <v>0</v>
      </c>
      <c r="M67" s="49">
        <f>AVERAGE('2.08 Pakwach-Karuma-24h'!M67,'3.08 Pakwach-Karuma-24h'!M67)</f>
        <v>3.5</v>
      </c>
      <c r="N67" s="49">
        <f>AVERAGE('2.08 Pakwach-Karuma-24h'!N67,'3.08 Pakwach-Karuma-24h'!N67)</f>
        <v>0</v>
      </c>
      <c r="O67" s="15">
        <f t="shared" si="0"/>
        <v>1</v>
      </c>
      <c r="P67" s="15">
        <f t="shared" si="1"/>
        <v>4.5</v>
      </c>
      <c r="R67" s="8"/>
      <c r="T67"/>
    </row>
    <row r="68" spans="2:20" ht="23.1" customHeight="1" x14ac:dyDescent="0.25">
      <c r="B68" s="23" t="s">
        <v>105</v>
      </c>
      <c r="C68" s="49">
        <f>AVERAGE('2.08 Pakwach-Karuma-24h'!C68,'3.08 Pakwach-Karuma-24h'!C68)</f>
        <v>1</v>
      </c>
      <c r="D68" s="49">
        <f>AVERAGE('2.08 Pakwach-Karuma-24h'!D68,'3.08 Pakwach-Karuma-24h'!D68)</f>
        <v>0</v>
      </c>
      <c r="E68" s="49">
        <f>AVERAGE('2.08 Pakwach-Karuma-24h'!E68,'3.08 Pakwach-Karuma-24h'!E68)</f>
        <v>1</v>
      </c>
      <c r="F68" s="49">
        <f>AVERAGE('2.08 Pakwach-Karuma-24h'!F68,'3.08 Pakwach-Karuma-24h'!F68)</f>
        <v>1</v>
      </c>
      <c r="G68" s="49">
        <f>AVERAGE('2.08 Pakwach-Karuma-24h'!G68,'3.08 Pakwach-Karuma-24h'!G68)</f>
        <v>0</v>
      </c>
      <c r="H68" s="49">
        <f>AVERAGE('2.08 Pakwach-Karuma-24h'!H68,'3.08 Pakwach-Karuma-24h'!H68)</f>
        <v>0</v>
      </c>
      <c r="I68" s="49">
        <f>AVERAGE('2.08 Pakwach-Karuma-24h'!I68,'3.08 Pakwach-Karuma-24h'!I68)</f>
        <v>0</v>
      </c>
      <c r="J68" s="49">
        <f>AVERAGE('2.08 Pakwach-Karuma-24h'!J68,'3.08 Pakwach-Karuma-24h'!J68)</f>
        <v>1</v>
      </c>
      <c r="K68" s="49">
        <f>AVERAGE('2.08 Pakwach-Karuma-24h'!K68,'3.08 Pakwach-Karuma-24h'!K68)</f>
        <v>0</v>
      </c>
      <c r="L68" s="49">
        <f>AVERAGE('2.08 Pakwach-Karuma-24h'!L68,'3.08 Pakwach-Karuma-24h'!L68)</f>
        <v>1</v>
      </c>
      <c r="M68" s="49">
        <f>AVERAGE('2.08 Pakwach-Karuma-24h'!M68,'3.08 Pakwach-Karuma-24h'!M68)</f>
        <v>4</v>
      </c>
      <c r="N68" s="49">
        <f>AVERAGE('2.08 Pakwach-Karuma-24h'!N68,'3.08 Pakwach-Karuma-24h'!N68)</f>
        <v>0</v>
      </c>
      <c r="O68" s="15">
        <f t="shared" si="0"/>
        <v>5</v>
      </c>
      <c r="P68" s="15">
        <f t="shared" si="1"/>
        <v>9</v>
      </c>
      <c r="R68" s="8"/>
      <c r="T68"/>
    </row>
    <row r="69" spans="2:20" ht="23.1" customHeight="1" x14ac:dyDescent="0.25">
      <c r="B69" s="23" t="s">
        <v>106</v>
      </c>
      <c r="C69" s="49">
        <f>AVERAGE('2.08 Pakwach-Karuma-24h'!C69,'3.08 Pakwach-Karuma-24h'!C69)</f>
        <v>1</v>
      </c>
      <c r="D69" s="49">
        <f>AVERAGE('2.08 Pakwach-Karuma-24h'!D69,'3.08 Pakwach-Karuma-24h'!D69)</f>
        <v>0</v>
      </c>
      <c r="E69" s="49">
        <f>AVERAGE('2.08 Pakwach-Karuma-24h'!E69,'3.08 Pakwach-Karuma-24h'!E69)</f>
        <v>1</v>
      </c>
      <c r="F69" s="49">
        <f>AVERAGE('2.08 Pakwach-Karuma-24h'!F69,'3.08 Pakwach-Karuma-24h'!F69)</f>
        <v>1</v>
      </c>
      <c r="G69" s="49">
        <f>AVERAGE('2.08 Pakwach-Karuma-24h'!G69,'3.08 Pakwach-Karuma-24h'!G69)</f>
        <v>0</v>
      </c>
      <c r="H69" s="49">
        <f>AVERAGE('2.08 Pakwach-Karuma-24h'!H69,'3.08 Pakwach-Karuma-24h'!H69)</f>
        <v>0</v>
      </c>
      <c r="I69" s="49">
        <f>AVERAGE('2.08 Pakwach-Karuma-24h'!I69,'3.08 Pakwach-Karuma-24h'!I69)</f>
        <v>0</v>
      </c>
      <c r="J69" s="49">
        <f>AVERAGE('2.08 Pakwach-Karuma-24h'!J69,'3.08 Pakwach-Karuma-24h'!J69)</f>
        <v>0</v>
      </c>
      <c r="K69" s="49">
        <f>AVERAGE('2.08 Pakwach-Karuma-24h'!K69,'3.08 Pakwach-Karuma-24h'!K69)</f>
        <v>0</v>
      </c>
      <c r="L69" s="49">
        <f>AVERAGE('2.08 Pakwach-Karuma-24h'!L69,'3.08 Pakwach-Karuma-24h'!L69)</f>
        <v>0</v>
      </c>
      <c r="M69" s="49">
        <f>AVERAGE('2.08 Pakwach-Karuma-24h'!M69,'3.08 Pakwach-Karuma-24h'!M69)</f>
        <v>3</v>
      </c>
      <c r="N69" s="49">
        <f>AVERAGE('2.08 Pakwach-Karuma-24h'!N69,'3.08 Pakwach-Karuma-24h'!N69)</f>
        <v>0</v>
      </c>
      <c r="O69" s="15">
        <f t="shared" si="0"/>
        <v>3</v>
      </c>
      <c r="P69" s="15">
        <f t="shared" si="1"/>
        <v>6</v>
      </c>
      <c r="R69" s="8"/>
      <c r="T69"/>
    </row>
    <row r="70" spans="2:20" ht="23.1" customHeight="1" x14ac:dyDescent="0.25">
      <c r="B70" s="23" t="s">
        <v>110</v>
      </c>
      <c r="C70" s="49">
        <f>AVERAGE('2.08 Pakwach-Karuma-24h'!C70,'3.08 Pakwach-Karuma-24h'!C70)</f>
        <v>0</v>
      </c>
      <c r="D70" s="49">
        <f>AVERAGE('2.08 Pakwach-Karuma-24h'!D70,'3.08 Pakwach-Karuma-24h'!D70)</f>
        <v>0</v>
      </c>
      <c r="E70" s="49">
        <f>AVERAGE('2.08 Pakwach-Karuma-24h'!E70,'3.08 Pakwach-Karuma-24h'!E70)</f>
        <v>1</v>
      </c>
      <c r="F70" s="49">
        <f>AVERAGE('2.08 Pakwach-Karuma-24h'!F70,'3.08 Pakwach-Karuma-24h'!F70)</f>
        <v>0</v>
      </c>
      <c r="G70" s="49">
        <f>AVERAGE('2.08 Pakwach-Karuma-24h'!G70,'3.08 Pakwach-Karuma-24h'!G70)</f>
        <v>0</v>
      </c>
      <c r="H70" s="49">
        <f>AVERAGE('2.08 Pakwach-Karuma-24h'!H70,'3.08 Pakwach-Karuma-24h'!H70)</f>
        <v>0</v>
      </c>
      <c r="I70" s="49">
        <f>AVERAGE('2.08 Pakwach-Karuma-24h'!I70,'3.08 Pakwach-Karuma-24h'!I70)</f>
        <v>1</v>
      </c>
      <c r="J70" s="49">
        <f>AVERAGE('2.08 Pakwach-Karuma-24h'!J70,'3.08 Pakwach-Karuma-24h'!J70)</f>
        <v>0</v>
      </c>
      <c r="K70" s="49">
        <f>AVERAGE('2.08 Pakwach-Karuma-24h'!K70,'3.08 Pakwach-Karuma-24h'!K70)</f>
        <v>0</v>
      </c>
      <c r="L70" s="49">
        <f>AVERAGE('2.08 Pakwach-Karuma-24h'!L70,'3.08 Pakwach-Karuma-24h'!L70)</f>
        <v>1</v>
      </c>
      <c r="M70" s="49">
        <f>AVERAGE('2.08 Pakwach-Karuma-24h'!M70,'3.08 Pakwach-Karuma-24h'!M70)</f>
        <v>3</v>
      </c>
      <c r="N70" s="49">
        <f>AVERAGE('2.08 Pakwach-Karuma-24h'!N70,'3.08 Pakwach-Karuma-24h'!N70)</f>
        <v>0</v>
      </c>
      <c r="O70" s="15">
        <f t="shared" si="0"/>
        <v>3</v>
      </c>
      <c r="P70" s="15">
        <f t="shared" si="1"/>
        <v>6</v>
      </c>
      <c r="R70" s="8"/>
      <c r="T70"/>
    </row>
    <row r="71" spans="2:20" ht="23.1" customHeight="1" x14ac:dyDescent="0.25">
      <c r="B71" s="23" t="s">
        <v>111</v>
      </c>
      <c r="C71" s="49">
        <f>AVERAGE('2.08 Pakwach-Karuma-24h'!C71,'3.08 Pakwach-Karuma-24h'!C71)</f>
        <v>0</v>
      </c>
      <c r="D71" s="49">
        <f>AVERAGE('2.08 Pakwach-Karuma-24h'!D71,'3.08 Pakwach-Karuma-24h'!D71)</f>
        <v>0</v>
      </c>
      <c r="E71" s="49">
        <f>AVERAGE('2.08 Pakwach-Karuma-24h'!E71,'3.08 Pakwach-Karuma-24h'!E71)</f>
        <v>1</v>
      </c>
      <c r="F71" s="49">
        <f>AVERAGE('2.08 Pakwach-Karuma-24h'!F71,'3.08 Pakwach-Karuma-24h'!F71)</f>
        <v>0</v>
      </c>
      <c r="G71" s="49">
        <f>AVERAGE('2.08 Pakwach-Karuma-24h'!G71,'3.08 Pakwach-Karuma-24h'!G71)</f>
        <v>0</v>
      </c>
      <c r="H71" s="49">
        <f>AVERAGE('2.08 Pakwach-Karuma-24h'!H71,'3.08 Pakwach-Karuma-24h'!H71)</f>
        <v>0</v>
      </c>
      <c r="I71" s="49">
        <f>AVERAGE('2.08 Pakwach-Karuma-24h'!I71,'3.08 Pakwach-Karuma-24h'!I71)</f>
        <v>0</v>
      </c>
      <c r="J71" s="49">
        <f>AVERAGE('2.08 Pakwach-Karuma-24h'!J71,'3.08 Pakwach-Karuma-24h'!J71)</f>
        <v>0</v>
      </c>
      <c r="K71" s="49">
        <f>AVERAGE('2.08 Pakwach-Karuma-24h'!K71,'3.08 Pakwach-Karuma-24h'!K71)</f>
        <v>0</v>
      </c>
      <c r="L71" s="49">
        <f>AVERAGE('2.08 Pakwach-Karuma-24h'!L71,'3.08 Pakwach-Karuma-24h'!L71)</f>
        <v>1</v>
      </c>
      <c r="M71" s="49">
        <f>AVERAGE('2.08 Pakwach-Karuma-24h'!M71,'3.08 Pakwach-Karuma-24h'!M71)</f>
        <v>2.5</v>
      </c>
      <c r="N71" s="49">
        <f>AVERAGE('2.08 Pakwach-Karuma-24h'!N71,'3.08 Pakwach-Karuma-24h'!N71)</f>
        <v>0</v>
      </c>
      <c r="O71" s="15">
        <f t="shared" si="0"/>
        <v>2</v>
      </c>
      <c r="P71" s="15">
        <f t="shared" si="1"/>
        <v>4.5</v>
      </c>
      <c r="R71" s="8"/>
      <c r="T71"/>
    </row>
    <row r="72" spans="2:20" ht="23.1" customHeight="1" x14ac:dyDescent="0.25">
      <c r="B72" s="23" t="s">
        <v>112</v>
      </c>
      <c r="C72" s="49">
        <f>AVERAGE('2.08 Pakwach-Karuma-24h'!C72,'3.08 Pakwach-Karuma-24h'!C72)</f>
        <v>0</v>
      </c>
      <c r="D72" s="49">
        <f>AVERAGE('2.08 Pakwach-Karuma-24h'!D72,'3.08 Pakwach-Karuma-24h'!D72)</f>
        <v>0</v>
      </c>
      <c r="E72" s="49">
        <f>AVERAGE('2.08 Pakwach-Karuma-24h'!E72,'3.08 Pakwach-Karuma-24h'!E72)</f>
        <v>1</v>
      </c>
      <c r="F72" s="49">
        <f>AVERAGE('2.08 Pakwach-Karuma-24h'!F72,'3.08 Pakwach-Karuma-24h'!F72)</f>
        <v>0</v>
      </c>
      <c r="G72" s="49">
        <f>AVERAGE('2.08 Pakwach-Karuma-24h'!G72,'3.08 Pakwach-Karuma-24h'!G72)</f>
        <v>0</v>
      </c>
      <c r="H72" s="49">
        <f>AVERAGE('2.08 Pakwach-Karuma-24h'!H72,'3.08 Pakwach-Karuma-24h'!H72)</f>
        <v>0</v>
      </c>
      <c r="I72" s="49">
        <f>AVERAGE('2.08 Pakwach-Karuma-24h'!I72,'3.08 Pakwach-Karuma-24h'!I72)</f>
        <v>0</v>
      </c>
      <c r="J72" s="49">
        <f>AVERAGE('2.08 Pakwach-Karuma-24h'!J72,'3.08 Pakwach-Karuma-24h'!J72)</f>
        <v>1</v>
      </c>
      <c r="K72" s="49">
        <f>AVERAGE('2.08 Pakwach-Karuma-24h'!K72,'3.08 Pakwach-Karuma-24h'!K72)</f>
        <v>0</v>
      </c>
      <c r="L72" s="49">
        <f>AVERAGE('2.08 Pakwach-Karuma-24h'!L72,'3.08 Pakwach-Karuma-24h'!L72)</f>
        <v>1</v>
      </c>
      <c r="M72" s="49">
        <f>AVERAGE('2.08 Pakwach-Karuma-24h'!M72,'3.08 Pakwach-Karuma-24h'!M72)</f>
        <v>1.5</v>
      </c>
      <c r="N72" s="49">
        <f>AVERAGE('2.08 Pakwach-Karuma-24h'!N72,'3.08 Pakwach-Karuma-24h'!N72)</f>
        <v>0</v>
      </c>
      <c r="O72" s="15">
        <f t="shared" si="0"/>
        <v>3</v>
      </c>
      <c r="P72" s="15">
        <f t="shared" si="1"/>
        <v>4.5</v>
      </c>
      <c r="R72" s="8"/>
      <c r="T72"/>
    </row>
    <row r="73" spans="2:20" ht="23.1" customHeight="1" x14ac:dyDescent="0.25">
      <c r="B73" s="23" t="s">
        <v>113</v>
      </c>
      <c r="C73" s="49">
        <f>AVERAGE('2.08 Pakwach-Karuma-24h'!C73,'3.08 Pakwach-Karuma-24h'!C73)</f>
        <v>0</v>
      </c>
      <c r="D73" s="49">
        <f>AVERAGE('2.08 Pakwach-Karuma-24h'!D73,'3.08 Pakwach-Karuma-24h'!D73)</f>
        <v>0</v>
      </c>
      <c r="E73" s="49">
        <f>AVERAGE('2.08 Pakwach-Karuma-24h'!E73,'3.08 Pakwach-Karuma-24h'!E73)</f>
        <v>1</v>
      </c>
      <c r="F73" s="49">
        <f>AVERAGE('2.08 Pakwach-Karuma-24h'!F73,'3.08 Pakwach-Karuma-24h'!F73)</f>
        <v>1</v>
      </c>
      <c r="G73" s="49">
        <f>AVERAGE('2.08 Pakwach-Karuma-24h'!G73,'3.08 Pakwach-Karuma-24h'!G73)</f>
        <v>0</v>
      </c>
      <c r="H73" s="49">
        <f>AVERAGE('2.08 Pakwach-Karuma-24h'!H73,'3.08 Pakwach-Karuma-24h'!H73)</f>
        <v>0</v>
      </c>
      <c r="I73" s="49">
        <f>AVERAGE('2.08 Pakwach-Karuma-24h'!I73,'3.08 Pakwach-Karuma-24h'!I73)</f>
        <v>0</v>
      </c>
      <c r="J73" s="49">
        <f>AVERAGE('2.08 Pakwach-Karuma-24h'!J73,'3.08 Pakwach-Karuma-24h'!J73)</f>
        <v>0</v>
      </c>
      <c r="K73" s="49">
        <f>AVERAGE('2.08 Pakwach-Karuma-24h'!K73,'3.08 Pakwach-Karuma-24h'!K73)</f>
        <v>0</v>
      </c>
      <c r="L73" s="49">
        <f>AVERAGE('2.08 Pakwach-Karuma-24h'!L73,'3.08 Pakwach-Karuma-24h'!L73)</f>
        <v>0</v>
      </c>
      <c r="M73" s="49">
        <f>AVERAGE('2.08 Pakwach-Karuma-24h'!M73,'3.08 Pakwach-Karuma-24h'!M73)</f>
        <v>0</v>
      </c>
      <c r="N73" s="49">
        <f>AVERAGE('2.08 Pakwach-Karuma-24h'!N73,'3.08 Pakwach-Karuma-24h'!N73)</f>
        <v>0</v>
      </c>
      <c r="O73" s="15">
        <f t="shared" si="0"/>
        <v>2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AVERAGE('2.08 Pakwach-Karuma-24h'!C74,'3.08 Pakwach-Karuma-24h'!C74)</f>
        <v>1</v>
      </c>
      <c r="D74" s="49">
        <f>AVERAGE('2.08 Pakwach-Karuma-24h'!D74,'3.08 Pakwach-Karuma-24h'!D74)</f>
        <v>0</v>
      </c>
      <c r="E74" s="49">
        <f>AVERAGE('2.08 Pakwach-Karuma-24h'!E74,'3.08 Pakwach-Karuma-24h'!E74)</f>
        <v>1</v>
      </c>
      <c r="F74" s="49">
        <f>AVERAGE('2.08 Pakwach-Karuma-24h'!F74,'3.08 Pakwach-Karuma-24h'!F74)</f>
        <v>1</v>
      </c>
      <c r="G74" s="49">
        <f>AVERAGE('2.08 Pakwach-Karuma-24h'!G74,'3.08 Pakwach-Karuma-24h'!G74)</f>
        <v>0</v>
      </c>
      <c r="H74" s="49">
        <f>AVERAGE('2.08 Pakwach-Karuma-24h'!H74,'3.08 Pakwach-Karuma-24h'!H74)</f>
        <v>0</v>
      </c>
      <c r="I74" s="49">
        <f>AVERAGE('2.08 Pakwach-Karuma-24h'!I74,'3.08 Pakwach-Karuma-24h'!I74)</f>
        <v>0</v>
      </c>
      <c r="J74" s="49">
        <f>AVERAGE('2.08 Pakwach-Karuma-24h'!J74,'3.08 Pakwach-Karuma-24h'!J74)</f>
        <v>0</v>
      </c>
      <c r="K74" s="49">
        <f>AVERAGE('2.08 Pakwach-Karuma-24h'!K74,'3.08 Pakwach-Karuma-24h'!K74)</f>
        <v>0</v>
      </c>
      <c r="L74" s="49">
        <f>AVERAGE('2.08 Pakwach-Karuma-24h'!L74,'3.08 Pakwach-Karuma-24h'!L74)</f>
        <v>0</v>
      </c>
      <c r="M74" s="49">
        <f>AVERAGE('2.08 Pakwach-Karuma-24h'!M74,'3.08 Pakwach-Karuma-24h'!M74)</f>
        <v>1</v>
      </c>
      <c r="N74" s="49">
        <f>AVERAGE('2.08 Pakwach-Karuma-24h'!N74,'3.08 Pakwach-Karuma-24h'!N74)</f>
        <v>0</v>
      </c>
      <c r="O74" s="15">
        <f t="shared" ref="O74:O105" si="35">SUM(C74:L74,N74)</f>
        <v>3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23" t="s">
        <v>115</v>
      </c>
      <c r="C75" s="49">
        <f>AVERAGE('2.08 Pakwach-Karuma-24h'!C75,'3.08 Pakwach-Karuma-24h'!C75)</f>
        <v>0</v>
      </c>
      <c r="D75" s="49">
        <f>AVERAGE('2.08 Pakwach-Karuma-24h'!D75,'3.08 Pakwach-Karuma-24h'!D75)</f>
        <v>0</v>
      </c>
      <c r="E75" s="49">
        <f>AVERAGE('2.08 Pakwach-Karuma-24h'!E75,'3.08 Pakwach-Karuma-24h'!E75)</f>
        <v>1</v>
      </c>
      <c r="F75" s="49">
        <f>AVERAGE('2.08 Pakwach-Karuma-24h'!F75,'3.08 Pakwach-Karuma-24h'!F75)</f>
        <v>1</v>
      </c>
      <c r="G75" s="49">
        <f>AVERAGE('2.08 Pakwach-Karuma-24h'!G75,'3.08 Pakwach-Karuma-24h'!G75)</f>
        <v>0</v>
      </c>
      <c r="H75" s="49">
        <f>AVERAGE('2.08 Pakwach-Karuma-24h'!H75,'3.08 Pakwach-Karuma-24h'!H75)</f>
        <v>0</v>
      </c>
      <c r="I75" s="49">
        <f>AVERAGE('2.08 Pakwach-Karuma-24h'!I75,'3.08 Pakwach-Karuma-24h'!I75)</f>
        <v>1</v>
      </c>
      <c r="J75" s="49">
        <f>AVERAGE('2.08 Pakwach-Karuma-24h'!J75,'3.08 Pakwach-Karuma-24h'!J75)</f>
        <v>0</v>
      </c>
      <c r="K75" s="49">
        <f>AVERAGE('2.08 Pakwach-Karuma-24h'!K75,'3.08 Pakwach-Karuma-24h'!K75)</f>
        <v>0</v>
      </c>
      <c r="L75" s="49">
        <f>AVERAGE('2.08 Pakwach-Karuma-24h'!L75,'3.08 Pakwach-Karuma-24h'!L75)</f>
        <v>1</v>
      </c>
      <c r="M75" s="49">
        <f>AVERAGE('2.08 Pakwach-Karuma-24h'!M75,'3.08 Pakwach-Karuma-24h'!M75)</f>
        <v>2</v>
      </c>
      <c r="N75" s="49">
        <f>AVERAGE('2.08 Pakwach-Karuma-24h'!N75,'3.08 Pakwach-Karuma-24h'!N75)</f>
        <v>0</v>
      </c>
      <c r="O75" s="15">
        <f t="shared" si="35"/>
        <v>4</v>
      </c>
      <c r="P75" s="15">
        <f t="shared" si="36"/>
        <v>6</v>
      </c>
      <c r="R75" s="8"/>
      <c r="T75"/>
    </row>
    <row r="76" spans="2:20" ht="23.1" customHeight="1" x14ac:dyDescent="0.25">
      <c r="B76" s="23" t="s">
        <v>116</v>
      </c>
      <c r="C76" s="49">
        <f>AVERAGE('2.08 Pakwach-Karuma-24h'!C76,'3.08 Pakwach-Karuma-24h'!C76)</f>
        <v>1</v>
      </c>
      <c r="D76" s="49">
        <f>AVERAGE('2.08 Pakwach-Karuma-24h'!D76,'3.08 Pakwach-Karuma-24h'!D76)</f>
        <v>0</v>
      </c>
      <c r="E76" s="49">
        <f>AVERAGE('2.08 Pakwach-Karuma-24h'!E76,'3.08 Pakwach-Karuma-24h'!E76)</f>
        <v>1</v>
      </c>
      <c r="F76" s="49">
        <f>AVERAGE('2.08 Pakwach-Karuma-24h'!F76,'3.08 Pakwach-Karuma-24h'!F76)</f>
        <v>0</v>
      </c>
      <c r="G76" s="49">
        <f>AVERAGE('2.08 Pakwach-Karuma-24h'!G76,'3.08 Pakwach-Karuma-24h'!G76)</f>
        <v>0</v>
      </c>
      <c r="H76" s="49">
        <f>AVERAGE('2.08 Pakwach-Karuma-24h'!H76,'3.08 Pakwach-Karuma-24h'!H76)</f>
        <v>0</v>
      </c>
      <c r="I76" s="49">
        <f>AVERAGE('2.08 Pakwach-Karuma-24h'!I76,'3.08 Pakwach-Karuma-24h'!I76)</f>
        <v>0</v>
      </c>
      <c r="J76" s="49">
        <f>AVERAGE('2.08 Pakwach-Karuma-24h'!J76,'3.08 Pakwach-Karuma-24h'!J76)</f>
        <v>0</v>
      </c>
      <c r="K76" s="49">
        <f>AVERAGE('2.08 Pakwach-Karuma-24h'!K76,'3.08 Pakwach-Karuma-24h'!K76)</f>
        <v>0</v>
      </c>
      <c r="L76" s="49">
        <f>AVERAGE('2.08 Pakwach-Karuma-24h'!L76,'3.08 Pakwach-Karuma-24h'!L76)</f>
        <v>1</v>
      </c>
      <c r="M76" s="49">
        <f>AVERAGE('2.08 Pakwach-Karuma-24h'!M76,'3.08 Pakwach-Karuma-24h'!M76)</f>
        <v>1.5</v>
      </c>
      <c r="N76" s="49">
        <f>AVERAGE('2.08 Pakwach-Karuma-24h'!N76,'3.08 Pakwach-Karuma-24h'!N76)</f>
        <v>0</v>
      </c>
      <c r="O76" s="15">
        <f t="shared" si="35"/>
        <v>3</v>
      </c>
      <c r="P76" s="15">
        <f t="shared" si="36"/>
        <v>4.5</v>
      </c>
      <c r="R76" s="8"/>
      <c r="T76"/>
    </row>
    <row r="77" spans="2:20" ht="23.1" customHeight="1" x14ac:dyDescent="0.25">
      <c r="B77" s="23" t="s">
        <v>117</v>
      </c>
      <c r="C77" s="49">
        <f>AVERAGE('2.08 Pakwach-Karuma-24h'!C77,'3.08 Pakwach-Karuma-24h'!C77)</f>
        <v>0</v>
      </c>
      <c r="D77" s="49">
        <f>AVERAGE('2.08 Pakwach-Karuma-24h'!D77,'3.08 Pakwach-Karuma-24h'!D77)</f>
        <v>1</v>
      </c>
      <c r="E77" s="49">
        <f>AVERAGE('2.08 Pakwach-Karuma-24h'!E77,'3.08 Pakwach-Karuma-24h'!E77)</f>
        <v>2</v>
      </c>
      <c r="F77" s="49">
        <f>AVERAGE('2.08 Pakwach-Karuma-24h'!F77,'3.08 Pakwach-Karuma-24h'!F77)</f>
        <v>1</v>
      </c>
      <c r="G77" s="49">
        <f>AVERAGE('2.08 Pakwach-Karuma-24h'!G77,'3.08 Pakwach-Karuma-24h'!G77)</f>
        <v>1</v>
      </c>
      <c r="H77" s="49">
        <f>AVERAGE('2.08 Pakwach-Karuma-24h'!H77,'3.08 Pakwach-Karuma-24h'!H77)</f>
        <v>0</v>
      </c>
      <c r="I77" s="49">
        <f>AVERAGE('2.08 Pakwach-Karuma-24h'!I77,'3.08 Pakwach-Karuma-24h'!I77)</f>
        <v>1</v>
      </c>
      <c r="J77" s="49">
        <f>AVERAGE('2.08 Pakwach-Karuma-24h'!J77,'3.08 Pakwach-Karuma-24h'!J77)</f>
        <v>0</v>
      </c>
      <c r="K77" s="49">
        <f>AVERAGE('2.08 Pakwach-Karuma-24h'!K77,'3.08 Pakwach-Karuma-24h'!K77)</f>
        <v>0</v>
      </c>
      <c r="L77" s="49">
        <f>AVERAGE('2.08 Pakwach-Karuma-24h'!L77,'3.08 Pakwach-Karuma-24h'!L77)</f>
        <v>0</v>
      </c>
      <c r="M77" s="49">
        <f>AVERAGE('2.08 Pakwach-Karuma-24h'!M77,'3.08 Pakwach-Karuma-24h'!M77)</f>
        <v>0.5</v>
      </c>
      <c r="N77" s="49">
        <f>AVERAGE('2.08 Pakwach-Karuma-24h'!N77,'3.08 Pakwach-Karuma-24h'!N77)</f>
        <v>0</v>
      </c>
      <c r="O77" s="15">
        <f t="shared" si="35"/>
        <v>6</v>
      </c>
      <c r="P77" s="15">
        <f t="shared" si="36"/>
        <v>6.5</v>
      </c>
      <c r="R77" s="8"/>
      <c r="T77"/>
    </row>
    <row r="78" spans="2:20" ht="23.1" customHeight="1" x14ac:dyDescent="0.25">
      <c r="B78" s="24" t="s">
        <v>118</v>
      </c>
      <c r="C78" s="49">
        <f>AVERAGE('2.08 Pakwach-Karuma-24h'!C78,'3.08 Pakwach-Karuma-24h'!C78)</f>
        <v>0</v>
      </c>
      <c r="D78" s="49">
        <f>AVERAGE('2.08 Pakwach-Karuma-24h'!D78,'3.08 Pakwach-Karuma-24h'!D78)</f>
        <v>0</v>
      </c>
      <c r="E78" s="49">
        <f>AVERAGE('2.08 Pakwach-Karuma-24h'!E78,'3.08 Pakwach-Karuma-24h'!E78)</f>
        <v>1</v>
      </c>
      <c r="F78" s="49">
        <f>AVERAGE('2.08 Pakwach-Karuma-24h'!F78,'3.08 Pakwach-Karuma-24h'!F78)</f>
        <v>1</v>
      </c>
      <c r="G78" s="49">
        <f>AVERAGE('2.08 Pakwach-Karuma-24h'!G78,'3.08 Pakwach-Karuma-24h'!G78)</f>
        <v>0</v>
      </c>
      <c r="H78" s="49">
        <f>AVERAGE('2.08 Pakwach-Karuma-24h'!H78,'3.08 Pakwach-Karuma-24h'!H78)</f>
        <v>0</v>
      </c>
      <c r="I78" s="49">
        <f>AVERAGE('2.08 Pakwach-Karuma-24h'!I78,'3.08 Pakwach-Karuma-24h'!I78)</f>
        <v>0</v>
      </c>
      <c r="J78" s="49">
        <f>AVERAGE('2.08 Pakwach-Karuma-24h'!J78,'3.08 Pakwach-Karuma-24h'!J78)</f>
        <v>0</v>
      </c>
      <c r="K78" s="49">
        <f>AVERAGE('2.08 Pakwach-Karuma-24h'!K78,'3.08 Pakwach-Karuma-24h'!K78)</f>
        <v>0</v>
      </c>
      <c r="L78" s="49">
        <f>AVERAGE('2.08 Pakwach-Karuma-24h'!L78,'3.08 Pakwach-Karuma-24h'!L78)</f>
        <v>0</v>
      </c>
      <c r="M78" s="49">
        <f>AVERAGE('2.08 Pakwach-Karuma-24h'!M78,'3.08 Pakwach-Karuma-24h'!M78)</f>
        <v>1</v>
      </c>
      <c r="N78" s="49">
        <f>AVERAGE('2.08 Pakwach-Karuma-24h'!N78,'3.08 Pakwach-Karuma-24h'!N78)</f>
        <v>0</v>
      </c>
      <c r="O78" s="15">
        <f t="shared" si="35"/>
        <v>2</v>
      </c>
      <c r="P78" s="15">
        <f t="shared" si="36"/>
        <v>3</v>
      </c>
      <c r="R78" s="8"/>
      <c r="T78"/>
    </row>
    <row r="79" spans="2:20" ht="23.1" customHeight="1" x14ac:dyDescent="0.25">
      <c r="B79" s="23" t="s">
        <v>119</v>
      </c>
      <c r="C79" s="49">
        <f>AVERAGE('2.08 Pakwach-Karuma-24h'!C79,'3.08 Pakwach-Karuma-24h'!C79)</f>
        <v>1</v>
      </c>
      <c r="D79" s="49">
        <f>AVERAGE('2.08 Pakwach-Karuma-24h'!D79,'3.08 Pakwach-Karuma-24h'!D79)</f>
        <v>0</v>
      </c>
      <c r="E79" s="49">
        <f>AVERAGE('2.08 Pakwach-Karuma-24h'!E79,'3.08 Pakwach-Karuma-24h'!E79)</f>
        <v>0</v>
      </c>
      <c r="F79" s="49">
        <f>AVERAGE('2.08 Pakwach-Karuma-24h'!F79,'3.08 Pakwach-Karuma-24h'!F79)</f>
        <v>0</v>
      </c>
      <c r="G79" s="49">
        <f>AVERAGE('2.08 Pakwach-Karuma-24h'!G79,'3.08 Pakwach-Karuma-24h'!G79)</f>
        <v>0</v>
      </c>
      <c r="H79" s="49">
        <f>AVERAGE('2.08 Pakwach-Karuma-24h'!H79,'3.08 Pakwach-Karuma-24h'!H79)</f>
        <v>0</v>
      </c>
      <c r="I79" s="49">
        <f>AVERAGE('2.08 Pakwach-Karuma-24h'!I79,'3.08 Pakwach-Karuma-24h'!I79)</f>
        <v>0</v>
      </c>
      <c r="J79" s="49">
        <f>AVERAGE('2.08 Pakwach-Karuma-24h'!J79,'3.08 Pakwach-Karuma-24h'!J79)</f>
        <v>0</v>
      </c>
      <c r="K79" s="49">
        <f>AVERAGE('2.08 Pakwach-Karuma-24h'!K79,'3.08 Pakwach-Karuma-24h'!K79)</f>
        <v>0</v>
      </c>
      <c r="L79" s="49">
        <f>AVERAGE('2.08 Pakwach-Karuma-24h'!L79,'3.08 Pakwach-Karuma-24h'!L79)</f>
        <v>0</v>
      </c>
      <c r="M79" s="49">
        <f>AVERAGE('2.08 Pakwach-Karuma-24h'!M79,'3.08 Pakwach-Karuma-24h'!M79)</f>
        <v>2</v>
      </c>
      <c r="N79" s="49">
        <f>AVERAGE('2.08 Pakwach-Karuma-24h'!N79,'3.08 Pakwach-Karuma-24h'!N79)</f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25" t="s">
        <v>120</v>
      </c>
      <c r="C80" s="49">
        <f>AVERAGE('2.08 Pakwach-Karuma-24h'!C80,'3.08 Pakwach-Karuma-24h'!C80)</f>
        <v>0</v>
      </c>
      <c r="D80" s="49">
        <f>AVERAGE('2.08 Pakwach-Karuma-24h'!D80,'3.08 Pakwach-Karuma-24h'!D80)</f>
        <v>0</v>
      </c>
      <c r="E80" s="49">
        <f>AVERAGE('2.08 Pakwach-Karuma-24h'!E80,'3.08 Pakwach-Karuma-24h'!E80)</f>
        <v>0</v>
      </c>
      <c r="F80" s="49">
        <f>AVERAGE('2.08 Pakwach-Karuma-24h'!F80,'3.08 Pakwach-Karuma-24h'!F80)</f>
        <v>1</v>
      </c>
      <c r="G80" s="49">
        <f>AVERAGE('2.08 Pakwach-Karuma-24h'!G80,'3.08 Pakwach-Karuma-24h'!G80)</f>
        <v>0</v>
      </c>
      <c r="H80" s="49">
        <f>AVERAGE('2.08 Pakwach-Karuma-24h'!H80,'3.08 Pakwach-Karuma-24h'!H80)</f>
        <v>0</v>
      </c>
      <c r="I80" s="49">
        <f>AVERAGE('2.08 Pakwach-Karuma-24h'!I80,'3.08 Pakwach-Karuma-24h'!I80)</f>
        <v>0</v>
      </c>
      <c r="J80" s="49">
        <f>AVERAGE('2.08 Pakwach-Karuma-24h'!J80,'3.08 Pakwach-Karuma-24h'!J80)</f>
        <v>0</v>
      </c>
      <c r="K80" s="49">
        <f>AVERAGE('2.08 Pakwach-Karuma-24h'!K80,'3.08 Pakwach-Karuma-24h'!K80)</f>
        <v>0</v>
      </c>
      <c r="L80" s="49">
        <f>AVERAGE('2.08 Pakwach-Karuma-24h'!L80,'3.08 Pakwach-Karuma-24h'!L80)</f>
        <v>1</v>
      </c>
      <c r="M80" s="49">
        <f>AVERAGE('2.08 Pakwach-Karuma-24h'!M80,'3.08 Pakwach-Karuma-24h'!M80)</f>
        <v>0</v>
      </c>
      <c r="N80" s="49">
        <f>AVERAGE('2.08 Pakwach-Karuma-24h'!N80,'3.08 Pakwach-Karuma-24h'!N80)</f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23" t="s">
        <v>121</v>
      </c>
      <c r="C81" s="49">
        <f>AVERAGE('2.08 Pakwach-Karuma-24h'!C81,'3.08 Pakwach-Karuma-24h'!C81)</f>
        <v>0</v>
      </c>
      <c r="D81" s="49">
        <f>AVERAGE('2.08 Pakwach-Karuma-24h'!D81,'3.08 Pakwach-Karuma-24h'!D81)</f>
        <v>0</v>
      </c>
      <c r="E81" s="49">
        <f>AVERAGE('2.08 Pakwach-Karuma-24h'!E81,'3.08 Pakwach-Karuma-24h'!E81)</f>
        <v>0</v>
      </c>
      <c r="F81" s="49">
        <f>AVERAGE('2.08 Pakwach-Karuma-24h'!F81,'3.08 Pakwach-Karuma-24h'!F81)</f>
        <v>0</v>
      </c>
      <c r="G81" s="49">
        <f>AVERAGE('2.08 Pakwach-Karuma-24h'!G81,'3.08 Pakwach-Karuma-24h'!G81)</f>
        <v>0</v>
      </c>
      <c r="H81" s="49">
        <f>AVERAGE('2.08 Pakwach-Karuma-24h'!H81,'3.08 Pakwach-Karuma-24h'!H81)</f>
        <v>0</v>
      </c>
      <c r="I81" s="49">
        <f>AVERAGE('2.08 Pakwach-Karuma-24h'!I81,'3.08 Pakwach-Karuma-24h'!I81)</f>
        <v>0</v>
      </c>
      <c r="J81" s="49">
        <f>AVERAGE('2.08 Pakwach-Karuma-24h'!J81,'3.08 Pakwach-Karuma-24h'!J81)</f>
        <v>0</v>
      </c>
      <c r="K81" s="49">
        <f>AVERAGE('2.08 Pakwach-Karuma-24h'!K81,'3.08 Pakwach-Karuma-24h'!K81)</f>
        <v>0</v>
      </c>
      <c r="L81" s="49">
        <f>AVERAGE('2.08 Pakwach-Karuma-24h'!L81,'3.08 Pakwach-Karuma-24h'!L81)</f>
        <v>0</v>
      </c>
      <c r="M81" s="49">
        <f>AVERAGE('2.08 Pakwach-Karuma-24h'!M81,'3.08 Pakwach-Karuma-24h'!M81)</f>
        <v>2</v>
      </c>
      <c r="N81" s="49">
        <f>AVERAGE('2.08 Pakwach-Karuma-24h'!N81,'3.08 Pakwach-Karuma-24h'!N81)</f>
        <v>0</v>
      </c>
      <c r="O81" s="15">
        <f t="shared" si="35"/>
        <v>0</v>
      </c>
      <c r="P81" s="15">
        <f t="shared" si="36"/>
        <v>2</v>
      </c>
      <c r="R81" s="8"/>
      <c r="T81"/>
    </row>
    <row r="82" spans="2:20" ht="23.1" customHeight="1" x14ac:dyDescent="0.25">
      <c r="B82" s="24" t="s">
        <v>122</v>
      </c>
      <c r="C82" s="49">
        <f>AVERAGE('2.08 Pakwach-Karuma-24h'!C82,'3.08 Pakwach-Karuma-24h'!C82)</f>
        <v>0</v>
      </c>
      <c r="D82" s="49">
        <f>AVERAGE('2.08 Pakwach-Karuma-24h'!D82,'3.08 Pakwach-Karuma-24h'!D82)</f>
        <v>0</v>
      </c>
      <c r="E82" s="49">
        <f>AVERAGE('2.08 Pakwach-Karuma-24h'!E82,'3.08 Pakwach-Karuma-24h'!E82)</f>
        <v>1</v>
      </c>
      <c r="F82" s="49">
        <f>AVERAGE('2.08 Pakwach-Karuma-24h'!F82,'3.08 Pakwach-Karuma-24h'!F82)</f>
        <v>0</v>
      </c>
      <c r="G82" s="49">
        <f>AVERAGE('2.08 Pakwach-Karuma-24h'!G82,'3.08 Pakwach-Karuma-24h'!G82)</f>
        <v>0</v>
      </c>
      <c r="H82" s="49">
        <f>AVERAGE('2.08 Pakwach-Karuma-24h'!H82,'3.08 Pakwach-Karuma-24h'!H82)</f>
        <v>0</v>
      </c>
      <c r="I82" s="49">
        <f>AVERAGE('2.08 Pakwach-Karuma-24h'!I82,'3.08 Pakwach-Karuma-24h'!I82)</f>
        <v>0</v>
      </c>
      <c r="J82" s="49">
        <f>AVERAGE('2.08 Pakwach-Karuma-24h'!J82,'3.08 Pakwach-Karuma-24h'!J82)</f>
        <v>0</v>
      </c>
      <c r="K82" s="49">
        <f>AVERAGE('2.08 Pakwach-Karuma-24h'!K82,'3.08 Pakwach-Karuma-24h'!K82)</f>
        <v>0</v>
      </c>
      <c r="L82" s="49">
        <f>AVERAGE('2.08 Pakwach-Karuma-24h'!L82,'3.08 Pakwach-Karuma-24h'!L82)</f>
        <v>1</v>
      </c>
      <c r="M82" s="49">
        <f>AVERAGE('2.08 Pakwach-Karuma-24h'!M82,'3.08 Pakwach-Karuma-24h'!M82)</f>
        <v>1</v>
      </c>
      <c r="N82" s="49">
        <f>AVERAGE('2.08 Pakwach-Karuma-24h'!N82,'3.08 Pakwach-Karuma-24h'!N82)</f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AVERAGE('2.08 Pakwach-Karuma-24h'!C83,'3.08 Pakwach-Karuma-24h'!C83)</f>
        <v>1</v>
      </c>
      <c r="D83" s="49">
        <f>AVERAGE('2.08 Pakwach-Karuma-24h'!D83,'3.08 Pakwach-Karuma-24h'!D83)</f>
        <v>0</v>
      </c>
      <c r="E83" s="49">
        <f>AVERAGE('2.08 Pakwach-Karuma-24h'!E83,'3.08 Pakwach-Karuma-24h'!E83)</f>
        <v>1</v>
      </c>
      <c r="F83" s="49">
        <f>AVERAGE('2.08 Pakwach-Karuma-24h'!F83,'3.08 Pakwach-Karuma-24h'!F83)</f>
        <v>1</v>
      </c>
      <c r="G83" s="49">
        <f>AVERAGE('2.08 Pakwach-Karuma-24h'!G83,'3.08 Pakwach-Karuma-24h'!G83)</f>
        <v>0</v>
      </c>
      <c r="H83" s="49">
        <f>AVERAGE('2.08 Pakwach-Karuma-24h'!H83,'3.08 Pakwach-Karuma-24h'!H83)</f>
        <v>0</v>
      </c>
      <c r="I83" s="49">
        <f>AVERAGE('2.08 Pakwach-Karuma-24h'!I83,'3.08 Pakwach-Karuma-24h'!I83)</f>
        <v>0</v>
      </c>
      <c r="J83" s="49">
        <f>AVERAGE('2.08 Pakwach-Karuma-24h'!J83,'3.08 Pakwach-Karuma-24h'!J83)</f>
        <v>0</v>
      </c>
      <c r="K83" s="49">
        <f>AVERAGE('2.08 Pakwach-Karuma-24h'!K83,'3.08 Pakwach-Karuma-24h'!K83)</f>
        <v>0</v>
      </c>
      <c r="L83" s="49">
        <f>AVERAGE('2.08 Pakwach-Karuma-24h'!L83,'3.08 Pakwach-Karuma-24h'!L83)</f>
        <v>1</v>
      </c>
      <c r="M83" s="49">
        <f>AVERAGE('2.08 Pakwach-Karuma-24h'!M83,'3.08 Pakwach-Karuma-24h'!M83)</f>
        <v>2</v>
      </c>
      <c r="N83" s="49">
        <f>AVERAGE('2.08 Pakwach-Karuma-24h'!N83,'3.08 Pakwach-Karuma-24h'!N83)</f>
        <v>0</v>
      </c>
      <c r="O83" s="15">
        <f t="shared" si="35"/>
        <v>4</v>
      </c>
      <c r="P83" s="15">
        <f t="shared" si="36"/>
        <v>6</v>
      </c>
      <c r="R83" s="8"/>
      <c r="T83"/>
    </row>
    <row r="84" spans="2:20" ht="23.1" customHeight="1" x14ac:dyDescent="0.25">
      <c r="B84" s="25" t="s">
        <v>124</v>
      </c>
      <c r="C84" s="49">
        <f>AVERAGE('2.08 Pakwach-Karuma-24h'!C84,'3.08 Pakwach-Karuma-24h'!C84)</f>
        <v>0</v>
      </c>
      <c r="D84" s="49">
        <f>AVERAGE('2.08 Pakwach-Karuma-24h'!D84,'3.08 Pakwach-Karuma-24h'!D84)</f>
        <v>0</v>
      </c>
      <c r="E84" s="49">
        <f>AVERAGE('2.08 Pakwach-Karuma-24h'!E84,'3.08 Pakwach-Karuma-24h'!E84)</f>
        <v>0</v>
      </c>
      <c r="F84" s="49">
        <f>AVERAGE('2.08 Pakwach-Karuma-24h'!F84,'3.08 Pakwach-Karuma-24h'!F84)</f>
        <v>0</v>
      </c>
      <c r="G84" s="49">
        <f>AVERAGE('2.08 Pakwach-Karuma-24h'!G84,'3.08 Pakwach-Karuma-24h'!G84)</f>
        <v>0</v>
      </c>
      <c r="H84" s="49">
        <f>AVERAGE('2.08 Pakwach-Karuma-24h'!H84,'3.08 Pakwach-Karuma-24h'!H84)</f>
        <v>0</v>
      </c>
      <c r="I84" s="49">
        <f>AVERAGE('2.08 Pakwach-Karuma-24h'!I84,'3.08 Pakwach-Karuma-24h'!I84)</f>
        <v>0</v>
      </c>
      <c r="J84" s="49">
        <f>AVERAGE('2.08 Pakwach-Karuma-24h'!J84,'3.08 Pakwach-Karuma-24h'!J84)</f>
        <v>0</v>
      </c>
      <c r="K84" s="49">
        <f>AVERAGE('2.08 Pakwach-Karuma-24h'!K84,'3.08 Pakwach-Karuma-24h'!K84)</f>
        <v>0</v>
      </c>
      <c r="L84" s="49">
        <f>AVERAGE('2.08 Pakwach-Karuma-24h'!L84,'3.08 Pakwach-Karuma-24h'!L84)</f>
        <v>0</v>
      </c>
      <c r="M84" s="49">
        <f>AVERAGE('2.08 Pakwach-Karuma-24h'!M84,'3.08 Pakwach-Karuma-24h'!M84)</f>
        <v>0</v>
      </c>
      <c r="N84" s="49">
        <f>AVERAGE('2.08 Pakwach-Karuma-24h'!N84,'3.08 Pakwach-Karuma-24h'!N84)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AVERAGE('2.08 Pakwach-Karuma-24h'!C85,'3.08 Pakwach-Karuma-24h'!C85)</f>
        <v>0</v>
      </c>
      <c r="D85" s="49">
        <f>AVERAGE('2.08 Pakwach-Karuma-24h'!D85,'3.08 Pakwach-Karuma-24h'!D85)</f>
        <v>0</v>
      </c>
      <c r="E85" s="49">
        <f>AVERAGE('2.08 Pakwach-Karuma-24h'!E85,'3.08 Pakwach-Karuma-24h'!E85)</f>
        <v>1</v>
      </c>
      <c r="F85" s="49">
        <f>AVERAGE('2.08 Pakwach-Karuma-24h'!F85,'3.08 Pakwach-Karuma-24h'!F85)</f>
        <v>0</v>
      </c>
      <c r="G85" s="49">
        <f>AVERAGE('2.08 Pakwach-Karuma-24h'!G85,'3.08 Pakwach-Karuma-24h'!G85)</f>
        <v>0</v>
      </c>
      <c r="H85" s="49">
        <f>AVERAGE('2.08 Pakwach-Karuma-24h'!H85,'3.08 Pakwach-Karuma-24h'!H85)</f>
        <v>0</v>
      </c>
      <c r="I85" s="49">
        <f>AVERAGE('2.08 Pakwach-Karuma-24h'!I85,'3.08 Pakwach-Karuma-24h'!I85)</f>
        <v>0</v>
      </c>
      <c r="J85" s="49">
        <f>AVERAGE('2.08 Pakwach-Karuma-24h'!J85,'3.08 Pakwach-Karuma-24h'!J85)</f>
        <v>0</v>
      </c>
      <c r="K85" s="49">
        <f>AVERAGE('2.08 Pakwach-Karuma-24h'!K85,'3.08 Pakwach-Karuma-24h'!K85)</f>
        <v>0</v>
      </c>
      <c r="L85" s="49">
        <f>AVERAGE('2.08 Pakwach-Karuma-24h'!L85,'3.08 Pakwach-Karuma-24h'!L85)</f>
        <v>0</v>
      </c>
      <c r="M85" s="49">
        <f>AVERAGE('2.08 Pakwach-Karuma-24h'!M85,'3.08 Pakwach-Karuma-24h'!M85)</f>
        <v>1</v>
      </c>
      <c r="N85" s="49">
        <f>AVERAGE('2.08 Pakwach-Karuma-24h'!N85,'3.08 Pakwach-Karuma-24h'!N85)</f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AVERAGE('2.08 Pakwach-Karuma-24h'!C86,'3.08 Pakwach-Karuma-24h'!C86)</f>
        <v>1</v>
      </c>
      <c r="D86" s="49">
        <f>AVERAGE('2.08 Pakwach-Karuma-24h'!D86,'3.08 Pakwach-Karuma-24h'!D86)</f>
        <v>1</v>
      </c>
      <c r="E86" s="49">
        <f>AVERAGE('2.08 Pakwach-Karuma-24h'!E86,'3.08 Pakwach-Karuma-24h'!E86)</f>
        <v>2</v>
      </c>
      <c r="F86" s="49">
        <f>AVERAGE('2.08 Pakwach-Karuma-24h'!F86,'3.08 Pakwach-Karuma-24h'!F86)</f>
        <v>1</v>
      </c>
      <c r="G86" s="49">
        <f>AVERAGE('2.08 Pakwach-Karuma-24h'!G86,'3.08 Pakwach-Karuma-24h'!G86)</f>
        <v>0</v>
      </c>
      <c r="H86" s="49">
        <f>AVERAGE('2.08 Pakwach-Karuma-24h'!H86,'3.08 Pakwach-Karuma-24h'!H86)</f>
        <v>0</v>
      </c>
      <c r="I86" s="49">
        <f>AVERAGE('2.08 Pakwach-Karuma-24h'!I86,'3.08 Pakwach-Karuma-24h'!I86)</f>
        <v>0</v>
      </c>
      <c r="J86" s="49">
        <f>AVERAGE('2.08 Pakwach-Karuma-24h'!J86,'3.08 Pakwach-Karuma-24h'!J86)</f>
        <v>0</v>
      </c>
      <c r="K86" s="49">
        <f>AVERAGE('2.08 Pakwach-Karuma-24h'!K86,'3.08 Pakwach-Karuma-24h'!K86)</f>
        <v>0</v>
      </c>
      <c r="L86" s="49">
        <f>AVERAGE('2.08 Pakwach-Karuma-24h'!L86,'3.08 Pakwach-Karuma-24h'!L86)</f>
        <v>1</v>
      </c>
      <c r="M86" s="49">
        <f>AVERAGE('2.08 Pakwach-Karuma-24h'!M86,'3.08 Pakwach-Karuma-24h'!M86)</f>
        <v>0</v>
      </c>
      <c r="N86" s="49">
        <f>AVERAGE('2.08 Pakwach-Karuma-24h'!N86,'3.08 Pakwach-Karuma-24h'!N86)</f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23" t="s">
        <v>127</v>
      </c>
      <c r="C87" s="49">
        <f>AVERAGE('2.08 Pakwach-Karuma-24h'!C87,'3.08 Pakwach-Karuma-24h'!C87)</f>
        <v>0</v>
      </c>
      <c r="D87" s="49">
        <f>AVERAGE('2.08 Pakwach-Karuma-24h'!D87,'3.08 Pakwach-Karuma-24h'!D87)</f>
        <v>0</v>
      </c>
      <c r="E87" s="49">
        <f>AVERAGE('2.08 Pakwach-Karuma-24h'!E87,'3.08 Pakwach-Karuma-24h'!E87)</f>
        <v>0</v>
      </c>
      <c r="F87" s="49">
        <f>AVERAGE('2.08 Pakwach-Karuma-24h'!F87,'3.08 Pakwach-Karuma-24h'!F87)</f>
        <v>1</v>
      </c>
      <c r="G87" s="49">
        <f>AVERAGE('2.08 Pakwach-Karuma-24h'!G87,'3.08 Pakwach-Karuma-24h'!G87)</f>
        <v>0</v>
      </c>
      <c r="H87" s="49">
        <f>AVERAGE('2.08 Pakwach-Karuma-24h'!H87,'3.08 Pakwach-Karuma-24h'!H87)</f>
        <v>0</v>
      </c>
      <c r="I87" s="49">
        <f>AVERAGE('2.08 Pakwach-Karuma-24h'!I87,'3.08 Pakwach-Karuma-24h'!I87)</f>
        <v>0</v>
      </c>
      <c r="J87" s="49">
        <f>AVERAGE('2.08 Pakwach-Karuma-24h'!J87,'3.08 Pakwach-Karuma-24h'!J87)</f>
        <v>0</v>
      </c>
      <c r="K87" s="49">
        <f>AVERAGE('2.08 Pakwach-Karuma-24h'!K87,'3.08 Pakwach-Karuma-24h'!K87)</f>
        <v>0</v>
      </c>
      <c r="L87" s="49">
        <f>AVERAGE('2.08 Pakwach-Karuma-24h'!L87,'3.08 Pakwach-Karuma-24h'!L87)</f>
        <v>0</v>
      </c>
      <c r="M87" s="49">
        <f>AVERAGE('2.08 Pakwach-Karuma-24h'!M87,'3.08 Pakwach-Karuma-24h'!M87)</f>
        <v>0</v>
      </c>
      <c r="N87" s="49">
        <f>AVERAGE('2.08 Pakwach-Karuma-24h'!N87,'3.08 Pakwach-Karuma-24h'!N87)</f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AVERAGE('2.08 Pakwach-Karuma-24h'!C88,'3.08 Pakwach-Karuma-24h'!C88)</f>
        <v>0</v>
      </c>
      <c r="D88" s="49">
        <f>AVERAGE('2.08 Pakwach-Karuma-24h'!D88,'3.08 Pakwach-Karuma-24h'!D88)</f>
        <v>0</v>
      </c>
      <c r="E88" s="49">
        <f>AVERAGE('2.08 Pakwach-Karuma-24h'!E88,'3.08 Pakwach-Karuma-24h'!E88)</f>
        <v>1</v>
      </c>
      <c r="F88" s="49">
        <f>AVERAGE('2.08 Pakwach-Karuma-24h'!F88,'3.08 Pakwach-Karuma-24h'!F88)</f>
        <v>0</v>
      </c>
      <c r="G88" s="49">
        <f>AVERAGE('2.08 Pakwach-Karuma-24h'!G88,'3.08 Pakwach-Karuma-24h'!G88)</f>
        <v>0</v>
      </c>
      <c r="H88" s="49">
        <f>AVERAGE('2.08 Pakwach-Karuma-24h'!H88,'3.08 Pakwach-Karuma-24h'!H88)</f>
        <v>1</v>
      </c>
      <c r="I88" s="49">
        <f>AVERAGE('2.08 Pakwach-Karuma-24h'!I88,'3.08 Pakwach-Karuma-24h'!I88)</f>
        <v>0</v>
      </c>
      <c r="J88" s="49">
        <f>AVERAGE('2.08 Pakwach-Karuma-24h'!J88,'3.08 Pakwach-Karuma-24h'!J88)</f>
        <v>0</v>
      </c>
      <c r="K88" s="49">
        <f>AVERAGE('2.08 Pakwach-Karuma-24h'!K88,'3.08 Pakwach-Karuma-24h'!K88)</f>
        <v>0</v>
      </c>
      <c r="L88" s="49">
        <f>AVERAGE('2.08 Pakwach-Karuma-24h'!L88,'3.08 Pakwach-Karuma-24h'!L88)</f>
        <v>0</v>
      </c>
      <c r="M88" s="49">
        <f>AVERAGE('2.08 Pakwach-Karuma-24h'!M88,'3.08 Pakwach-Karuma-24h'!M88)</f>
        <v>0</v>
      </c>
      <c r="N88" s="49">
        <f>AVERAGE('2.08 Pakwach-Karuma-24h'!N88,'3.08 Pakwach-Karuma-24h'!N88)</f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AVERAGE('2.08 Pakwach-Karuma-24h'!C89,'3.08 Pakwach-Karuma-24h'!C89)</f>
        <v>0</v>
      </c>
      <c r="D89" s="49">
        <f>AVERAGE('2.08 Pakwach-Karuma-24h'!D89,'3.08 Pakwach-Karuma-24h'!D89)</f>
        <v>1</v>
      </c>
      <c r="E89" s="49">
        <f>AVERAGE('2.08 Pakwach-Karuma-24h'!E89,'3.08 Pakwach-Karuma-24h'!E89)</f>
        <v>2</v>
      </c>
      <c r="F89" s="49">
        <f>AVERAGE('2.08 Pakwach-Karuma-24h'!F89,'3.08 Pakwach-Karuma-24h'!F89)</f>
        <v>1</v>
      </c>
      <c r="G89" s="49">
        <f>AVERAGE('2.08 Pakwach-Karuma-24h'!G89,'3.08 Pakwach-Karuma-24h'!G89)</f>
        <v>1</v>
      </c>
      <c r="H89" s="49">
        <f>AVERAGE('2.08 Pakwach-Karuma-24h'!H89,'3.08 Pakwach-Karuma-24h'!H89)</f>
        <v>1</v>
      </c>
      <c r="I89" s="49">
        <f>AVERAGE('2.08 Pakwach-Karuma-24h'!I89,'3.08 Pakwach-Karuma-24h'!I89)</f>
        <v>0</v>
      </c>
      <c r="J89" s="49">
        <f>AVERAGE('2.08 Pakwach-Karuma-24h'!J89,'3.08 Pakwach-Karuma-24h'!J89)</f>
        <v>0</v>
      </c>
      <c r="K89" s="49">
        <f>AVERAGE('2.08 Pakwach-Karuma-24h'!K89,'3.08 Pakwach-Karuma-24h'!K89)</f>
        <v>0</v>
      </c>
      <c r="L89" s="49">
        <f>AVERAGE('2.08 Pakwach-Karuma-24h'!L89,'3.08 Pakwach-Karuma-24h'!L89)</f>
        <v>1</v>
      </c>
      <c r="M89" s="49">
        <f>AVERAGE('2.08 Pakwach-Karuma-24h'!M89,'3.08 Pakwach-Karuma-24h'!M89)</f>
        <v>0</v>
      </c>
      <c r="N89" s="49">
        <f>AVERAGE('2.08 Pakwach-Karuma-24h'!N89,'3.08 Pakwach-Karuma-24h'!N89)</f>
        <v>0</v>
      </c>
      <c r="O89" s="15">
        <f t="shared" si="35"/>
        <v>7</v>
      </c>
      <c r="P89" s="15">
        <f t="shared" si="36"/>
        <v>7</v>
      </c>
      <c r="R89" s="8"/>
      <c r="T89"/>
    </row>
    <row r="90" spans="2:20" ht="23.1" customHeight="1" x14ac:dyDescent="0.25">
      <c r="B90" s="24" t="s">
        <v>130</v>
      </c>
      <c r="C90" s="49">
        <f>AVERAGE('2.08 Pakwach-Karuma-24h'!C90,'3.08 Pakwach-Karuma-24h'!C90)</f>
        <v>0</v>
      </c>
      <c r="D90" s="49">
        <f>AVERAGE('2.08 Pakwach-Karuma-24h'!D90,'3.08 Pakwach-Karuma-24h'!D90)</f>
        <v>0</v>
      </c>
      <c r="E90" s="49">
        <f>AVERAGE('2.08 Pakwach-Karuma-24h'!E90,'3.08 Pakwach-Karuma-24h'!E90)</f>
        <v>1</v>
      </c>
      <c r="F90" s="49">
        <f>AVERAGE('2.08 Pakwach-Karuma-24h'!F90,'3.08 Pakwach-Karuma-24h'!F90)</f>
        <v>0</v>
      </c>
      <c r="G90" s="49">
        <f>AVERAGE('2.08 Pakwach-Karuma-24h'!G90,'3.08 Pakwach-Karuma-24h'!G90)</f>
        <v>0</v>
      </c>
      <c r="H90" s="49">
        <f>AVERAGE('2.08 Pakwach-Karuma-24h'!H90,'3.08 Pakwach-Karuma-24h'!H90)</f>
        <v>0</v>
      </c>
      <c r="I90" s="49">
        <f>AVERAGE('2.08 Pakwach-Karuma-24h'!I90,'3.08 Pakwach-Karuma-24h'!I90)</f>
        <v>0</v>
      </c>
      <c r="J90" s="49">
        <f>AVERAGE('2.08 Pakwach-Karuma-24h'!J90,'3.08 Pakwach-Karuma-24h'!J90)</f>
        <v>0</v>
      </c>
      <c r="K90" s="49">
        <f>AVERAGE('2.08 Pakwach-Karuma-24h'!K90,'3.08 Pakwach-Karuma-24h'!K90)</f>
        <v>0</v>
      </c>
      <c r="L90" s="49">
        <f>AVERAGE('2.08 Pakwach-Karuma-24h'!L90,'3.08 Pakwach-Karuma-24h'!L90)</f>
        <v>0</v>
      </c>
      <c r="M90" s="49">
        <f>AVERAGE('2.08 Pakwach-Karuma-24h'!M90,'3.08 Pakwach-Karuma-24h'!M90)</f>
        <v>0</v>
      </c>
      <c r="N90" s="49">
        <f>AVERAGE('2.08 Pakwach-Karuma-24h'!N90,'3.08 Pakwach-Karuma-24h'!N90)</f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23" t="s">
        <v>131</v>
      </c>
      <c r="C91" s="49">
        <f>AVERAGE('2.08 Pakwach-Karuma-24h'!C91,'3.08 Pakwach-Karuma-24h'!C91)</f>
        <v>1</v>
      </c>
      <c r="D91" s="49">
        <f>AVERAGE('2.08 Pakwach-Karuma-24h'!D91,'3.08 Pakwach-Karuma-24h'!D91)</f>
        <v>0</v>
      </c>
      <c r="E91" s="49">
        <f>AVERAGE('2.08 Pakwach-Karuma-24h'!E91,'3.08 Pakwach-Karuma-24h'!E91)</f>
        <v>0</v>
      </c>
      <c r="F91" s="49">
        <f>AVERAGE('2.08 Pakwach-Karuma-24h'!F91,'3.08 Pakwach-Karuma-24h'!F91)</f>
        <v>0</v>
      </c>
      <c r="G91" s="49">
        <f>AVERAGE('2.08 Pakwach-Karuma-24h'!G91,'3.08 Pakwach-Karuma-24h'!G91)</f>
        <v>0</v>
      </c>
      <c r="H91" s="49">
        <f>AVERAGE('2.08 Pakwach-Karuma-24h'!H91,'3.08 Pakwach-Karuma-24h'!H91)</f>
        <v>0</v>
      </c>
      <c r="I91" s="49">
        <f>AVERAGE('2.08 Pakwach-Karuma-24h'!I91,'3.08 Pakwach-Karuma-24h'!I91)</f>
        <v>0</v>
      </c>
      <c r="J91" s="49">
        <f>AVERAGE('2.08 Pakwach-Karuma-24h'!J91,'3.08 Pakwach-Karuma-24h'!J91)</f>
        <v>0</v>
      </c>
      <c r="K91" s="49">
        <f>AVERAGE('2.08 Pakwach-Karuma-24h'!K91,'3.08 Pakwach-Karuma-24h'!K91)</f>
        <v>0</v>
      </c>
      <c r="L91" s="49">
        <f>AVERAGE('2.08 Pakwach-Karuma-24h'!L91,'3.08 Pakwach-Karuma-24h'!L91)</f>
        <v>0</v>
      </c>
      <c r="M91" s="49">
        <f>AVERAGE('2.08 Pakwach-Karuma-24h'!M91,'3.08 Pakwach-Karuma-24h'!M91)</f>
        <v>0</v>
      </c>
      <c r="N91" s="49">
        <f>AVERAGE('2.08 Pakwach-Karuma-24h'!N91,'3.08 Pakwach-Karuma-24h'!N91)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AVERAGE('2.08 Pakwach-Karuma-24h'!C92,'3.08 Pakwach-Karuma-24h'!C92)</f>
        <v>0</v>
      </c>
      <c r="D92" s="49">
        <f>AVERAGE('2.08 Pakwach-Karuma-24h'!D92,'3.08 Pakwach-Karuma-24h'!D92)</f>
        <v>0</v>
      </c>
      <c r="E92" s="49">
        <f>AVERAGE('2.08 Pakwach-Karuma-24h'!E92,'3.08 Pakwach-Karuma-24h'!E92)</f>
        <v>0</v>
      </c>
      <c r="F92" s="49">
        <f>AVERAGE('2.08 Pakwach-Karuma-24h'!F92,'3.08 Pakwach-Karuma-24h'!F92)</f>
        <v>0</v>
      </c>
      <c r="G92" s="49">
        <f>AVERAGE('2.08 Pakwach-Karuma-24h'!G92,'3.08 Pakwach-Karuma-24h'!G92)</f>
        <v>0</v>
      </c>
      <c r="H92" s="49">
        <f>AVERAGE('2.08 Pakwach-Karuma-24h'!H92,'3.08 Pakwach-Karuma-24h'!H92)</f>
        <v>0</v>
      </c>
      <c r="I92" s="49">
        <f>AVERAGE('2.08 Pakwach-Karuma-24h'!I92,'3.08 Pakwach-Karuma-24h'!I92)</f>
        <v>0</v>
      </c>
      <c r="J92" s="49">
        <f>AVERAGE('2.08 Pakwach-Karuma-24h'!J92,'3.08 Pakwach-Karuma-24h'!J92)</f>
        <v>0</v>
      </c>
      <c r="K92" s="49">
        <f>AVERAGE('2.08 Pakwach-Karuma-24h'!K92,'3.08 Pakwach-Karuma-24h'!K92)</f>
        <v>0</v>
      </c>
      <c r="L92" s="49">
        <f>AVERAGE('2.08 Pakwach-Karuma-24h'!L92,'3.08 Pakwach-Karuma-24h'!L92)</f>
        <v>0</v>
      </c>
      <c r="M92" s="49">
        <f>AVERAGE('2.08 Pakwach-Karuma-24h'!M92,'3.08 Pakwach-Karuma-24h'!M92)</f>
        <v>0</v>
      </c>
      <c r="N92" s="49">
        <f>AVERAGE('2.08 Pakwach-Karuma-24h'!N92,'3.08 Pakwach-Karuma-24h'!N92)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AVERAGE('2.08 Pakwach-Karuma-24h'!C93,'3.08 Pakwach-Karuma-24h'!C93)</f>
        <v>0.5</v>
      </c>
      <c r="D93" s="49">
        <f>AVERAGE('2.08 Pakwach-Karuma-24h'!D93,'3.08 Pakwach-Karuma-24h'!D93)</f>
        <v>0</v>
      </c>
      <c r="E93" s="49">
        <f>AVERAGE('2.08 Pakwach-Karuma-24h'!E93,'3.08 Pakwach-Karuma-24h'!E93)</f>
        <v>0</v>
      </c>
      <c r="F93" s="49">
        <f>AVERAGE('2.08 Pakwach-Karuma-24h'!F93,'3.08 Pakwach-Karuma-24h'!F93)</f>
        <v>1</v>
      </c>
      <c r="G93" s="49">
        <f>AVERAGE('2.08 Pakwach-Karuma-24h'!G93,'3.08 Pakwach-Karuma-24h'!G93)</f>
        <v>0</v>
      </c>
      <c r="H93" s="49">
        <f>AVERAGE('2.08 Pakwach-Karuma-24h'!H93,'3.08 Pakwach-Karuma-24h'!H93)</f>
        <v>0</v>
      </c>
      <c r="I93" s="49">
        <f>AVERAGE('2.08 Pakwach-Karuma-24h'!I93,'3.08 Pakwach-Karuma-24h'!I93)</f>
        <v>0</v>
      </c>
      <c r="J93" s="49">
        <f>AVERAGE('2.08 Pakwach-Karuma-24h'!J93,'3.08 Pakwach-Karuma-24h'!J93)</f>
        <v>0</v>
      </c>
      <c r="K93" s="49">
        <f>AVERAGE('2.08 Pakwach-Karuma-24h'!K93,'3.08 Pakwach-Karuma-24h'!K93)</f>
        <v>0</v>
      </c>
      <c r="L93" s="49">
        <f>AVERAGE('2.08 Pakwach-Karuma-24h'!L93,'3.08 Pakwach-Karuma-24h'!L93)</f>
        <v>0</v>
      </c>
      <c r="M93" s="49">
        <f>AVERAGE('2.08 Pakwach-Karuma-24h'!M93,'3.08 Pakwach-Karuma-24h'!M93)</f>
        <v>0</v>
      </c>
      <c r="N93" s="49">
        <f>AVERAGE('2.08 Pakwach-Karuma-24h'!N93,'3.08 Pakwach-Karuma-24h'!N93)</f>
        <v>0</v>
      </c>
      <c r="O93" s="15">
        <f t="shared" si="35"/>
        <v>1.5</v>
      </c>
      <c r="P93" s="15">
        <f t="shared" si="36"/>
        <v>1.5</v>
      </c>
      <c r="R93" s="8"/>
      <c r="T93"/>
    </row>
    <row r="94" spans="2:20" ht="23.1" customHeight="1" x14ac:dyDescent="0.25">
      <c r="B94" s="24" t="s">
        <v>134</v>
      </c>
      <c r="C94" s="49">
        <f>AVERAGE('2.08 Pakwach-Karuma-24h'!C94,'3.08 Pakwach-Karuma-24h'!C94)</f>
        <v>1</v>
      </c>
      <c r="D94" s="49">
        <f>AVERAGE('2.08 Pakwach-Karuma-24h'!D94,'3.08 Pakwach-Karuma-24h'!D94)</f>
        <v>0</v>
      </c>
      <c r="E94" s="49">
        <f>AVERAGE('2.08 Pakwach-Karuma-24h'!E94,'3.08 Pakwach-Karuma-24h'!E94)</f>
        <v>0</v>
      </c>
      <c r="F94" s="49">
        <f>AVERAGE('2.08 Pakwach-Karuma-24h'!F94,'3.08 Pakwach-Karuma-24h'!F94)</f>
        <v>0</v>
      </c>
      <c r="G94" s="49">
        <f>AVERAGE('2.08 Pakwach-Karuma-24h'!G94,'3.08 Pakwach-Karuma-24h'!G94)</f>
        <v>0</v>
      </c>
      <c r="H94" s="49">
        <f>AVERAGE('2.08 Pakwach-Karuma-24h'!H94,'3.08 Pakwach-Karuma-24h'!H94)</f>
        <v>0</v>
      </c>
      <c r="I94" s="49">
        <f>AVERAGE('2.08 Pakwach-Karuma-24h'!I94,'3.08 Pakwach-Karuma-24h'!I94)</f>
        <v>0</v>
      </c>
      <c r="J94" s="49">
        <f>AVERAGE('2.08 Pakwach-Karuma-24h'!J94,'3.08 Pakwach-Karuma-24h'!J94)</f>
        <v>0</v>
      </c>
      <c r="K94" s="49">
        <f>AVERAGE('2.08 Pakwach-Karuma-24h'!K94,'3.08 Pakwach-Karuma-24h'!K94)</f>
        <v>0</v>
      </c>
      <c r="L94" s="49">
        <f>AVERAGE('2.08 Pakwach-Karuma-24h'!L94,'3.08 Pakwach-Karuma-24h'!L94)</f>
        <v>0</v>
      </c>
      <c r="M94" s="49">
        <f>AVERAGE('2.08 Pakwach-Karuma-24h'!M94,'3.08 Pakwach-Karuma-24h'!M94)</f>
        <v>0</v>
      </c>
      <c r="N94" s="49">
        <f>AVERAGE('2.08 Pakwach-Karuma-24h'!N94,'3.08 Pakwach-Karuma-24h'!N94)</f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23" t="s">
        <v>135</v>
      </c>
      <c r="C95" s="49">
        <f>AVERAGE('2.08 Pakwach-Karuma-24h'!C95,'3.08 Pakwach-Karuma-24h'!C95)</f>
        <v>0</v>
      </c>
      <c r="D95" s="49">
        <f>AVERAGE('2.08 Pakwach-Karuma-24h'!D95,'3.08 Pakwach-Karuma-24h'!D95)</f>
        <v>1</v>
      </c>
      <c r="E95" s="49">
        <f>AVERAGE('2.08 Pakwach-Karuma-24h'!E95,'3.08 Pakwach-Karuma-24h'!E95)</f>
        <v>1</v>
      </c>
      <c r="F95" s="49">
        <f>AVERAGE('2.08 Pakwach-Karuma-24h'!F95,'3.08 Pakwach-Karuma-24h'!F95)</f>
        <v>0</v>
      </c>
      <c r="G95" s="49">
        <f>AVERAGE('2.08 Pakwach-Karuma-24h'!G95,'3.08 Pakwach-Karuma-24h'!G95)</f>
        <v>0</v>
      </c>
      <c r="H95" s="49">
        <f>AVERAGE('2.08 Pakwach-Karuma-24h'!H95,'3.08 Pakwach-Karuma-24h'!H95)</f>
        <v>1</v>
      </c>
      <c r="I95" s="49">
        <f>AVERAGE('2.08 Pakwach-Karuma-24h'!I95,'3.08 Pakwach-Karuma-24h'!I95)</f>
        <v>0</v>
      </c>
      <c r="J95" s="49">
        <f>AVERAGE('2.08 Pakwach-Karuma-24h'!J95,'3.08 Pakwach-Karuma-24h'!J95)</f>
        <v>0</v>
      </c>
      <c r="K95" s="49">
        <f>AVERAGE('2.08 Pakwach-Karuma-24h'!K95,'3.08 Pakwach-Karuma-24h'!K95)</f>
        <v>1</v>
      </c>
      <c r="L95" s="49">
        <f>AVERAGE('2.08 Pakwach-Karuma-24h'!L95,'3.08 Pakwach-Karuma-24h'!L95)</f>
        <v>1</v>
      </c>
      <c r="M95" s="49">
        <f>AVERAGE('2.08 Pakwach-Karuma-24h'!M95,'3.08 Pakwach-Karuma-24h'!M95)</f>
        <v>0</v>
      </c>
      <c r="N95" s="49">
        <f>AVERAGE('2.08 Pakwach-Karuma-24h'!N95,'3.08 Pakwach-Karuma-24h'!N95)</f>
        <v>0</v>
      </c>
      <c r="O95" s="15">
        <f t="shared" si="35"/>
        <v>5</v>
      </c>
      <c r="P95" s="15">
        <f t="shared" si="36"/>
        <v>5</v>
      </c>
      <c r="R95" s="8"/>
      <c r="T95"/>
    </row>
    <row r="96" spans="2:20" ht="23.1" customHeight="1" x14ac:dyDescent="0.25">
      <c r="B96" s="25" t="s">
        <v>136</v>
      </c>
      <c r="C96" s="49">
        <f>AVERAGE('2.08 Pakwach-Karuma-24h'!C96,'3.08 Pakwach-Karuma-24h'!C96)</f>
        <v>1</v>
      </c>
      <c r="D96" s="49">
        <f>AVERAGE('2.08 Pakwach-Karuma-24h'!D96,'3.08 Pakwach-Karuma-24h'!D96)</f>
        <v>0</v>
      </c>
      <c r="E96" s="49">
        <f>AVERAGE('2.08 Pakwach-Karuma-24h'!E96,'3.08 Pakwach-Karuma-24h'!E96)</f>
        <v>0</v>
      </c>
      <c r="F96" s="49">
        <f>AVERAGE('2.08 Pakwach-Karuma-24h'!F96,'3.08 Pakwach-Karuma-24h'!F96)</f>
        <v>1</v>
      </c>
      <c r="G96" s="49">
        <f>AVERAGE('2.08 Pakwach-Karuma-24h'!G96,'3.08 Pakwach-Karuma-24h'!G96)</f>
        <v>0</v>
      </c>
      <c r="H96" s="49">
        <f>AVERAGE('2.08 Pakwach-Karuma-24h'!H96,'3.08 Pakwach-Karuma-24h'!H96)</f>
        <v>1</v>
      </c>
      <c r="I96" s="49">
        <f>AVERAGE('2.08 Pakwach-Karuma-24h'!I96,'3.08 Pakwach-Karuma-24h'!I96)</f>
        <v>0</v>
      </c>
      <c r="J96" s="49">
        <f>AVERAGE('2.08 Pakwach-Karuma-24h'!J96,'3.08 Pakwach-Karuma-24h'!J96)</f>
        <v>0</v>
      </c>
      <c r="K96" s="49">
        <f>AVERAGE('2.08 Pakwach-Karuma-24h'!K96,'3.08 Pakwach-Karuma-24h'!K96)</f>
        <v>1</v>
      </c>
      <c r="L96" s="49">
        <f>AVERAGE('2.08 Pakwach-Karuma-24h'!L96,'3.08 Pakwach-Karuma-24h'!L96)</f>
        <v>0</v>
      </c>
      <c r="M96" s="49">
        <f>AVERAGE('2.08 Pakwach-Karuma-24h'!M96,'3.08 Pakwach-Karuma-24h'!M96)</f>
        <v>0</v>
      </c>
      <c r="N96" s="49">
        <f>AVERAGE('2.08 Pakwach-Karuma-24h'!N96,'3.08 Pakwach-Karuma-24h'!N96)</f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23" t="s">
        <v>137</v>
      </c>
      <c r="C97" s="49">
        <f>AVERAGE('2.08 Pakwach-Karuma-24h'!C97,'3.08 Pakwach-Karuma-24h'!C97)</f>
        <v>0</v>
      </c>
      <c r="D97" s="49">
        <f>AVERAGE('2.08 Pakwach-Karuma-24h'!D97,'3.08 Pakwach-Karuma-24h'!D97)</f>
        <v>0</v>
      </c>
      <c r="E97" s="49">
        <f>AVERAGE('2.08 Pakwach-Karuma-24h'!E97,'3.08 Pakwach-Karuma-24h'!E97)</f>
        <v>0.5</v>
      </c>
      <c r="F97" s="49">
        <f>AVERAGE('2.08 Pakwach-Karuma-24h'!F97,'3.08 Pakwach-Karuma-24h'!F97)</f>
        <v>0</v>
      </c>
      <c r="G97" s="49">
        <f>AVERAGE('2.08 Pakwach-Karuma-24h'!G97,'3.08 Pakwach-Karuma-24h'!G97)</f>
        <v>0</v>
      </c>
      <c r="H97" s="49">
        <f>AVERAGE('2.08 Pakwach-Karuma-24h'!H97,'3.08 Pakwach-Karuma-24h'!H97)</f>
        <v>0</v>
      </c>
      <c r="I97" s="49">
        <f>AVERAGE('2.08 Pakwach-Karuma-24h'!I97,'3.08 Pakwach-Karuma-24h'!I97)</f>
        <v>0</v>
      </c>
      <c r="J97" s="49">
        <f>AVERAGE('2.08 Pakwach-Karuma-24h'!J97,'3.08 Pakwach-Karuma-24h'!J97)</f>
        <v>0</v>
      </c>
      <c r="K97" s="49">
        <f>AVERAGE('2.08 Pakwach-Karuma-24h'!K97,'3.08 Pakwach-Karuma-24h'!K97)</f>
        <v>0</v>
      </c>
      <c r="L97" s="49">
        <f>AVERAGE('2.08 Pakwach-Karuma-24h'!L97,'3.08 Pakwach-Karuma-24h'!L97)</f>
        <v>1</v>
      </c>
      <c r="M97" s="49">
        <f>AVERAGE('2.08 Pakwach-Karuma-24h'!M97,'3.08 Pakwach-Karuma-24h'!M97)</f>
        <v>0</v>
      </c>
      <c r="N97" s="49">
        <f>AVERAGE('2.08 Pakwach-Karuma-24h'!N97,'3.08 Pakwach-Karuma-24h'!N97)</f>
        <v>0</v>
      </c>
      <c r="O97" s="15">
        <f t="shared" si="35"/>
        <v>1.5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49">
        <f>AVERAGE('2.08 Pakwach-Karuma-24h'!C98,'3.08 Pakwach-Karuma-24h'!C98)</f>
        <v>0</v>
      </c>
      <c r="D98" s="49">
        <f>AVERAGE('2.08 Pakwach-Karuma-24h'!D98,'3.08 Pakwach-Karuma-24h'!D98)</f>
        <v>1</v>
      </c>
      <c r="E98" s="49">
        <f>AVERAGE('2.08 Pakwach-Karuma-24h'!E98,'3.08 Pakwach-Karuma-24h'!E98)</f>
        <v>0.5</v>
      </c>
      <c r="F98" s="49">
        <f>AVERAGE('2.08 Pakwach-Karuma-24h'!F98,'3.08 Pakwach-Karuma-24h'!F98)</f>
        <v>1</v>
      </c>
      <c r="G98" s="49">
        <f>AVERAGE('2.08 Pakwach-Karuma-24h'!G98,'3.08 Pakwach-Karuma-24h'!G98)</f>
        <v>0</v>
      </c>
      <c r="H98" s="49">
        <f>AVERAGE('2.08 Pakwach-Karuma-24h'!H98,'3.08 Pakwach-Karuma-24h'!H98)</f>
        <v>0</v>
      </c>
      <c r="I98" s="49">
        <f>AVERAGE('2.08 Pakwach-Karuma-24h'!I98,'3.08 Pakwach-Karuma-24h'!I98)</f>
        <v>0</v>
      </c>
      <c r="J98" s="49">
        <f>AVERAGE('2.08 Pakwach-Karuma-24h'!J98,'3.08 Pakwach-Karuma-24h'!J98)</f>
        <v>0</v>
      </c>
      <c r="K98" s="49">
        <f>AVERAGE('2.08 Pakwach-Karuma-24h'!K98,'3.08 Pakwach-Karuma-24h'!K98)</f>
        <v>0</v>
      </c>
      <c r="L98" s="49">
        <f>AVERAGE('2.08 Pakwach-Karuma-24h'!L98,'3.08 Pakwach-Karuma-24h'!L98)</f>
        <v>0</v>
      </c>
      <c r="M98" s="49">
        <f>AVERAGE('2.08 Pakwach-Karuma-24h'!M98,'3.08 Pakwach-Karuma-24h'!M98)</f>
        <v>0</v>
      </c>
      <c r="N98" s="49">
        <f>AVERAGE('2.08 Pakwach-Karuma-24h'!N98,'3.08 Pakwach-Karuma-24h'!N98)</f>
        <v>0</v>
      </c>
      <c r="O98" s="15">
        <f t="shared" si="35"/>
        <v>2.5</v>
      </c>
      <c r="P98" s="15">
        <f t="shared" si="36"/>
        <v>2.5</v>
      </c>
      <c r="R98" s="8"/>
      <c r="T98"/>
    </row>
    <row r="99" spans="2:20" ht="23.1" customHeight="1" x14ac:dyDescent="0.25">
      <c r="B99" s="23" t="s">
        <v>139</v>
      </c>
      <c r="C99" s="49">
        <f>AVERAGE('2.08 Pakwach-Karuma-24h'!C99,'3.08 Pakwach-Karuma-24h'!C99)</f>
        <v>1</v>
      </c>
      <c r="D99" s="49">
        <f>AVERAGE('2.08 Pakwach-Karuma-24h'!D99,'3.08 Pakwach-Karuma-24h'!D99)</f>
        <v>0</v>
      </c>
      <c r="E99" s="49">
        <f>AVERAGE('2.08 Pakwach-Karuma-24h'!E99,'3.08 Pakwach-Karuma-24h'!E99)</f>
        <v>1</v>
      </c>
      <c r="F99" s="49">
        <f>AVERAGE('2.08 Pakwach-Karuma-24h'!F99,'3.08 Pakwach-Karuma-24h'!F99)</f>
        <v>0</v>
      </c>
      <c r="G99" s="49">
        <f>AVERAGE('2.08 Pakwach-Karuma-24h'!G99,'3.08 Pakwach-Karuma-24h'!G99)</f>
        <v>0</v>
      </c>
      <c r="H99" s="49">
        <f>AVERAGE('2.08 Pakwach-Karuma-24h'!H99,'3.08 Pakwach-Karuma-24h'!H99)</f>
        <v>0</v>
      </c>
      <c r="I99" s="49">
        <f>AVERAGE('2.08 Pakwach-Karuma-24h'!I99,'3.08 Pakwach-Karuma-24h'!I99)</f>
        <v>0</v>
      </c>
      <c r="J99" s="49">
        <f>AVERAGE('2.08 Pakwach-Karuma-24h'!J99,'3.08 Pakwach-Karuma-24h'!J99)</f>
        <v>0</v>
      </c>
      <c r="K99" s="49">
        <f>AVERAGE('2.08 Pakwach-Karuma-24h'!K99,'3.08 Pakwach-Karuma-24h'!K99)</f>
        <v>0</v>
      </c>
      <c r="L99" s="49">
        <f>AVERAGE('2.08 Pakwach-Karuma-24h'!L99,'3.08 Pakwach-Karuma-24h'!L99)</f>
        <v>0.5</v>
      </c>
      <c r="M99" s="49">
        <f>AVERAGE('2.08 Pakwach-Karuma-24h'!M99,'3.08 Pakwach-Karuma-24h'!M99)</f>
        <v>0</v>
      </c>
      <c r="N99" s="49">
        <f>AVERAGE('2.08 Pakwach-Karuma-24h'!N99,'3.08 Pakwach-Karuma-24h'!N99)</f>
        <v>0</v>
      </c>
      <c r="O99" s="15">
        <f t="shared" si="35"/>
        <v>2.5</v>
      </c>
      <c r="P99" s="15">
        <f t="shared" si="36"/>
        <v>2.5</v>
      </c>
      <c r="R99" s="8"/>
      <c r="T99"/>
    </row>
    <row r="100" spans="2:20" ht="23.1" customHeight="1" x14ac:dyDescent="0.25">
      <c r="B100" s="25" t="s">
        <v>140</v>
      </c>
      <c r="C100" s="49">
        <f>AVERAGE('2.08 Pakwach-Karuma-24h'!C100,'3.08 Pakwach-Karuma-24h'!C100)</f>
        <v>1</v>
      </c>
      <c r="D100" s="49">
        <f>AVERAGE('2.08 Pakwach-Karuma-24h'!D100,'3.08 Pakwach-Karuma-24h'!D100)</f>
        <v>1</v>
      </c>
      <c r="E100" s="49">
        <f>AVERAGE('2.08 Pakwach-Karuma-24h'!E100,'3.08 Pakwach-Karuma-24h'!E100)</f>
        <v>2</v>
      </c>
      <c r="F100" s="49">
        <f>AVERAGE('2.08 Pakwach-Karuma-24h'!F100,'3.08 Pakwach-Karuma-24h'!F100)</f>
        <v>1</v>
      </c>
      <c r="G100" s="49">
        <f>AVERAGE('2.08 Pakwach-Karuma-24h'!G100,'3.08 Pakwach-Karuma-24h'!G100)</f>
        <v>0</v>
      </c>
      <c r="H100" s="49">
        <f>AVERAGE('2.08 Pakwach-Karuma-24h'!H100,'3.08 Pakwach-Karuma-24h'!H100)</f>
        <v>1</v>
      </c>
      <c r="I100" s="49">
        <f>AVERAGE('2.08 Pakwach-Karuma-24h'!I100,'3.08 Pakwach-Karuma-24h'!I100)</f>
        <v>0</v>
      </c>
      <c r="J100" s="49">
        <f>AVERAGE('2.08 Pakwach-Karuma-24h'!J100,'3.08 Pakwach-Karuma-24h'!J100)</f>
        <v>1</v>
      </c>
      <c r="K100" s="49">
        <f>AVERAGE('2.08 Pakwach-Karuma-24h'!K100,'3.08 Pakwach-Karuma-24h'!K100)</f>
        <v>0</v>
      </c>
      <c r="L100" s="49">
        <f>AVERAGE('2.08 Pakwach-Karuma-24h'!L100,'3.08 Pakwach-Karuma-24h'!L100)</f>
        <v>1</v>
      </c>
      <c r="M100" s="49">
        <f>AVERAGE('2.08 Pakwach-Karuma-24h'!M100,'3.08 Pakwach-Karuma-24h'!M100)</f>
        <v>1</v>
      </c>
      <c r="N100" s="49">
        <f>AVERAGE('2.08 Pakwach-Karuma-24h'!N100,'3.08 Pakwach-Karuma-24h'!N100)</f>
        <v>0</v>
      </c>
      <c r="O100" s="15">
        <f t="shared" si="35"/>
        <v>8</v>
      </c>
      <c r="P100" s="15">
        <f t="shared" si="36"/>
        <v>9</v>
      </c>
      <c r="R100" s="8"/>
      <c r="T100"/>
    </row>
    <row r="101" spans="2:20" ht="23.1" customHeight="1" x14ac:dyDescent="0.25">
      <c r="B101" s="23" t="s">
        <v>141</v>
      </c>
      <c r="C101" s="49">
        <f>AVERAGE('2.08 Pakwach-Karuma-24h'!C101,'3.08 Pakwach-Karuma-24h'!C101)</f>
        <v>0</v>
      </c>
      <c r="D101" s="49">
        <f>AVERAGE('2.08 Pakwach-Karuma-24h'!D101,'3.08 Pakwach-Karuma-24h'!D101)</f>
        <v>0</v>
      </c>
      <c r="E101" s="49">
        <f>AVERAGE('2.08 Pakwach-Karuma-24h'!E101,'3.08 Pakwach-Karuma-24h'!E101)</f>
        <v>1</v>
      </c>
      <c r="F101" s="49">
        <f>AVERAGE('2.08 Pakwach-Karuma-24h'!F101,'3.08 Pakwach-Karuma-24h'!F101)</f>
        <v>0</v>
      </c>
      <c r="G101" s="49">
        <f>AVERAGE('2.08 Pakwach-Karuma-24h'!G101,'3.08 Pakwach-Karuma-24h'!G101)</f>
        <v>0</v>
      </c>
      <c r="H101" s="49">
        <f>AVERAGE('2.08 Pakwach-Karuma-24h'!H101,'3.08 Pakwach-Karuma-24h'!H101)</f>
        <v>0</v>
      </c>
      <c r="I101" s="49">
        <f>AVERAGE('2.08 Pakwach-Karuma-24h'!I101,'3.08 Pakwach-Karuma-24h'!I101)</f>
        <v>0</v>
      </c>
      <c r="J101" s="49">
        <f>AVERAGE('2.08 Pakwach-Karuma-24h'!J101,'3.08 Pakwach-Karuma-24h'!J101)</f>
        <v>0</v>
      </c>
      <c r="K101" s="49">
        <f>AVERAGE('2.08 Pakwach-Karuma-24h'!K101,'3.08 Pakwach-Karuma-24h'!K101)</f>
        <v>0</v>
      </c>
      <c r="L101" s="49">
        <f>AVERAGE('2.08 Pakwach-Karuma-24h'!L101,'3.08 Pakwach-Karuma-24h'!L101)</f>
        <v>1</v>
      </c>
      <c r="M101" s="49">
        <f>AVERAGE('2.08 Pakwach-Karuma-24h'!M101,'3.08 Pakwach-Karuma-24h'!M101)</f>
        <v>0</v>
      </c>
      <c r="N101" s="49">
        <f>AVERAGE('2.08 Pakwach-Karuma-24h'!N101,'3.08 Pakwach-Karuma-24h'!N101)</f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24" t="s">
        <v>142</v>
      </c>
      <c r="C102" s="49">
        <f>AVERAGE('2.08 Pakwach-Karuma-24h'!C102,'3.08 Pakwach-Karuma-24h'!C102)</f>
        <v>0.5</v>
      </c>
      <c r="D102" s="49">
        <f>AVERAGE('2.08 Pakwach-Karuma-24h'!D102,'3.08 Pakwach-Karuma-24h'!D102)</f>
        <v>0</v>
      </c>
      <c r="E102" s="49">
        <f>AVERAGE('2.08 Pakwach-Karuma-24h'!E102,'3.08 Pakwach-Karuma-24h'!E102)</f>
        <v>1</v>
      </c>
      <c r="F102" s="49">
        <f>AVERAGE('2.08 Pakwach-Karuma-24h'!F102,'3.08 Pakwach-Karuma-24h'!F102)</f>
        <v>1</v>
      </c>
      <c r="G102" s="49">
        <f>AVERAGE('2.08 Pakwach-Karuma-24h'!G102,'3.08 Pakwach-Karuma-24h'!G102)</f>
        <v>0</v>
      </c>
      <c r="H102" s="49">
        <f>AVERAGE('2.08 Pakwach-Karuma-24h'!H102,'3.08 Pakwach-Karuma-24h'!H102)</f>
        <v>1</v>
      </c>
      <c r="I102" s="49">
        <f>AVERAGE('2.08 Pakwach-Karuma-24h'!I102,'3.08 Pakwach-Karuma-24h'!I102)</f>
        <v>0</v>
      </c>
      <c r="J102" s="49">
        <f>AVERAGE('2.08 Pakwach-Karuma-24h'!J102,'3.08 Pakwach-Karuma-24h'!J102)</f>
        <v>0</v>
      </c>
      <c r="K102" s="49">
        <f>AVERAGE('2.08 Pakwach-Karuma-24h'!K102,'3.08 Pakwach-Karuma-24h'!K102)</f>
        <v>0</v>
      </c>
      <c r="L102" s="49">
        <f>AVERAGE('2.08 Pakwach-Karuma-24h'!L102,'3.08 Pakwach-Karuma-24h'!L102)</f>
        <v>1</v>
      </c>
      <c r="M102" s="49">
        <f>AVERAGE('2.08 Pakwach-Karuma-24h'!M102,'3.08 Pakwach-Karuma-24h'!M102)</f>
        <v>1</v>
      </c>
      <c r="N102" s="49">
        <f>AVERAGE('2.08 Pakwach-Karuma-24h'!N102,'3.08 Pakwach-Karuma-24h'!N102)</f>
        <v>0</v>
      </c>
      <c r="O102" s="15">
        <f t="shared" si="35"/>
        <v>4.5</v>
      </c>
      <c r="P102" s="15">
        <f t="shared" si="36"/>
        <v>5.5</v>
      </c>
      <c r="R102" s="8"/>
      <c r="T102"/>
    </row>
    <row r="103" spans="2:20" ht="23.1" customHeight="1" x14ac:dyDescent="0.25">
      <c r="B103" s="23" t="s">
        <v>143</v>
      </c>
      <c r="C103" s="49">
        <f>AVERAGE('2.08 Pakwach-Karuma-24h'!C103,'3.08 Pakwach-Karuma-24h'!C103)</f>
        <v>1</v>
      </c>
      <c r="D103" s="49">
        <f>AVERAGE('2.08 Pakwach-Karuma-24h'!D103,'3.08 Pakwach-Karuma-24h'!D103)</f>
        <v>0</v>
      </c>
      <c r="E103" s="49">
        <f>AVERAGE('2.08 Pakwach-Karuma-24h'!E103,'3.08 Pakwach-Karuma-24h'!E103)</f>
        <v>2</v>
      </c>
      <c r="F103" s="49">
        <f>AVERAGE('2.08 Pakwach-Karuma-24h'!F103,'3.08 Pakwach-Karuma-24h'!F103)</f>
        <v>1</v>
      </c>
      <c r="G103" s="49">
        <f>AVERAGE('2.08 Pakwach-Karuma-24h'!G103,'3.08 Pakwach-Karuma-24h'!G103)</f>
        <v>0</v>
      </c>
      <c r="H103" s="49">
        <f>AVERAGE('2.08 Pakwach-Karuma-24h'!H103,'3.08 Pakwach-Karuma-24h'!H103)</f>
        <v>0</v>
      </c>
      <c r="I103" s="49">
        <f>AVERAGE('2.08 Pakwach-Karuma-24h'!I103,'3.08 Pakwach-Karuma-24h'!I103)</f>
        <v>0</v>
      </c>
      <c r="J103" s="49">
        <f>AVERAGE('2.08 Pakwach-Karuma-24h'!J103,'3.08 Pakwach-Karuma-24h'!J103)</f>
        <v>0</v>
      </c>
      <c r="K103" s="49">
        <f>AVERAGE('2.08 Pakwach-Karuma-24h'!K103,'3.08 Pakwach-Karuma-24h'!K103)</f>
        <v>0</v>
      </c>
      <c r="L103" s="49">
        <f>AVERAGE('2.08 Pakwach-Karuma-24h'!L103,'3.08 Pakwach-Karuma-24h'!L103)</f>
        <v>0</v>
      </c>
      <c r="M103" s="49">
        <f>AVERAGE('2.08 Pakwach-Karuma-24h'!M103,'3.08 Pakwach-Karuma-24h'!M103)</f>
        <v>1</v>
      </c>
      <c r="N103" s="49">
        <f>AVERAGE('2.08 Pakwach-Karuma-24h'!N103,'3.08 Pakwach-Karuma-24h'!N103)</f>
        <v>0</v>
      </c>
      <c r="O103" s="15">
        <f t="shared" si="35"/>
        <v>4</v>
      </c>
      <c r="P103" s="15">
        <f t="shared" si="36"/>
        <v>5</v>
      </c>
      <c r="R103" s="8"/>
      <c r="T103"/>
    </row>
    <row r="104" spans="2:20" ht="23.1" customHeight="1" x14ac:dyDescent="0.25">
      <c r="B104" s="25" t="s">
        <v>144</v>
      </c>
      <c r="C104" s="49">
        <f>AVERAGE('2.08 Pakwach-Karuma-24h'!C104,'3.08 Pakwach-Karuma-24h'!C104)</f>
        <v>1</v>
      </c>
      <c r="D104" s="49">
        <f>AVERAGE('2.08 Pakwach-Karuma-24h'!D104,'3.08 Pakwach-Karuma-24h'!D104)</f>
        <v>0</v>
      </c>
      <c r="E104" s="49">
        <f>AVERAGE('2.08 Pakwach-Karuma-24h'!E104,'3.08 Pakwach-Karuma-24h'!E104)</f>
        <v>1</v>
      </c>
      <c r="F104" s="49">
        <f>AVERAGE('2.08 Pakwach-Karuma-24h'!F104,'3.08 Pakwach-Karuma-24h'!F104)</f>
        <v>0</v>
      </c>
      <c r="G104" s="49">
        <f>AVERAGE('2.08 Pakwach-Karuma-24h'!G104,'3.08 Pakwach-Karuma-24h'!G104)</f>
        <v>0</v>
      </c>
      <c r="H104" s="49">
        <f>AVERAGE('2.08 Pakwach-Karuma-24h'!H104,'3.08 Pakwach-Karuma-24h'!H104)</f>
        <v>0</v>
      </c>
      <c r="I104" s="49">
        <f>AVERAGE('2.08 Pakwach-Karuma-24h'!I104,'3.08 Pakwach-Karuma-24h'!I104)</f>
        <v>0</v>
      </c>
      <c r="J104" s="49">
        <f>AVERAGE('2.08 Pakwach-Karuma-24h'!J104,'3.08 Pakwach-Karuma-24h'!J104)</f>
        <v>0</v>
      </c>
      <c r="K104" s="49">
        <f>AVERAGE('2.08 Pakwach-Karuma-24h'!K104,'3.08 Pakwach-Karuma-24h'!K104)</f>
        <v>0</v>
      </c>
      <c r="L104" s="49">
        <f>AVERAGE('2.08 Pakwach-Karuma-24h'!L104,'3.08 Pakwach-Karuma-24h'!L104)</f>
        <v>1</v>
      </c>
      <c r="M104" s="49">
        <f>AVERAGE('2.08 Pakwach-Karuma-24h'!M104,'3.08 Pakwach-Karuma-24h'!M104)</f>
        <v>2.5</v>
      </c>
      <c r="N104" s="49">
        <f>AVERAGE('2.08 Pakwach-Karuma-24h'!N104,'3.08 Pakwach-Karuma-24h'!N104)</f>
        <v>0</v>
      </c>
      <c r="O104" s="15">
        <f t="shared" si="35"/>
        <v>3</v>
      </c>
      <c r="P104" s="15">
        <f t="shared" si="36"/>
        <v>5.5</v>
      </c>
      <c r="R104" s="8"/>
      <c r="T104"/>
    </row>
    <row r="105" spans="2:20" ht="23.1" customHeight="1" x14ac:dyDescent="0.25">
      <c r="B105" s="23" t="s">
        <v>145</v>
      </c>
      <c r="C105" s="49">
        <f>AVERAGE('2.08 Pakwach-Karuma-24h'!C105,'3.08 Pakwach-Karuma-24h'!C105)</f>
        <v>1</v>
      </c>
      <c r="D105" s="49">
        <f>AVERAGE('2.08 Pakwach-Karuma-24h'!D105,'3.08 Pakwach-Karuma-24h'!D105)</f>
        <v>0</v>
      </c>
      <c r="E105" s="49">
        <f>AVERAGE('2.08 Pakwach-Karuma-24h'!E105,'3.08 Pakwach-Karuma-24h'!E105)</f>
        <v>1</v>
      </c>
      <c r="F105" s="49">
        <f>AVERAGE('2.08 Pakwach-Karuma-24h'!F105,'3.08 Pakwach-Karuma-24h'!F105)</f>
        <v>0</v>
      </c>
      <c r="G105" s="49">
        <f>AVERAGE('2.08 Pakwach-Karuma-24h'!G105,'3.08 Pakwach-Karuma-24h'!G105)</f>
        <v>0</v>
      </c>
      <c r="H105" s="49">
        <f>AVERAGE('2.08 Pakwach-Karuma-24h'!H105,'3.08 Pakwach-Karuma-24h'!H105)</f>
        <v>0</v>
      </c>
      <c r="I105" s="49">
        <f>AVERAGE('2.08 Pakwach-Karuma-24h'!I105,'3.08 Pakwach-Karuma-24h'!I105)</f>
        <v>0</v>
      </c>
      <c r="J105" s="49">
        <f>AVERAGE('2.08 Pakwach-Karuma-24h'!J105,'3.08 Pakwach-Karuma-24h'!J105)</f>
        <v>0</v>
      </c>
      <c r="K105" s="49">
        <f>AVERAGE('2.08 Pakwach-Karuma-24h'!K105,'3.08 Pakwach-Karuma-24h'!K105)</f>
        <v>0</v>
      </c>
      <c r="L105" s="49">
        <f>AVERAGE('2.08 Pakwach-Karuma-24h'!L105,'3.08 Pakwach-Karuma-24h'!L105)</f>
        <v>1</v>
      </c>
      <c r="M105" s="49">
        <f>AVERAGE('2.08 Pakwach-Karuma-24h'!M105,'3.08 Pakwach-Karuma-24h'!M105)</f>
        <v>2.5</v>
      </c>
      <c r="N105" s="49">
        <f>AVERAGE('2.08 Pakwach-Karuma-24h'!N105,'3.08 Pakwach-Karuma-24h'!N105)</f>
        <v>0</v>
      </c>
      <c r="O105" s="15">
        <f t="shared" si="35"/>
        <v>3</v>
      </c>
      <c r="P105" s="15">
        <f t="shared" si="36"/>
        <v>5.5</v>
      </c>
      <c r="R105" s="8"/>
      <c r="T105"/>
    </row>
    <row r="106" spans="2:20" ht="23.1" customHeight="1" x14ac:dyDescent="0.25">
      <c r="B106" s="26" t="s">
        <v>18</v>
      </c>
      <c r="C106" s="16" t="s">
        <v>176</v>
      </c>
      <c r="D106" s="16">
        <f t="shared" ref="D106:O106" si="37">SUM(D10:D105)</f>
        <v>23</v>
      </c>
      <c r="E106" s="16">
        <f t="shared" si="37"/>
        <v>118.57142857142856</v>
      </c>
      <c r="F106" s="16">
        <f t="shared" si="37"/>
        <v>51.857142857142847</v>
      </c>
      <c r="G106" s="16">
        <f t="shared" si="37"/>
        <v>15.000000000000002</v>
      </c>
      <c r="H106" s="16">
        <f t="shared" si="37"/>
        <v>19.142857142857146</v>
      </c>
      <c r="I106" s="16">
        <f t="shared" si="37"/>
        <v>18.428571428571431</v>
      </c>
      <c r="J106" s="16">
        <f t="shared" si="37"/>
        <v>26.571428571428573</v>
      </c>
      <c r="K106" s="16">
        <f t="shared" si="37"/>
        <v>14.714285714285719</v>
      </c>
      <c r="L106" s="16">
        <f t="shared" si="37"/>
        <v>75.5</v>
      </c>
      <c r="M106" s="16">
        <f t="shared" si="37"/>
        <v>249.42857142857139</v>
      </c>
      <c r="N106" s="16">
        <f t="shared" si="37"/>
        <v>8.2857142857142883</v>
      </c>
      <c r="O106" s="16">
        <f t="shared" si="37"/>
        <v>421.78571428571428</v>
      </c>
      <c r="P106" s="16">
        <f>SUM(P10:P105)</f>
        <v>671.21428571428555</v>
      </c>
      <c r="R106" s="8"/>
      <c r="T106"/>
    </row>
    <row r="107" spans="2:20" ht="23.1" customHeight="1" x14ac:dyDescent="0.25">
      <c r="B107" s="26" t="s">
        <v>93</v>
      </c>
      <c r="C107" s="43" t="e">
        <f t="shared" ref="C107:N107" si="38">C106/$P$106</f>
        <v>#VALUE!</v>
      </c>
      <c r="D107" s="43">
        <f t="shared" si="38"/>
        <v>3.426625518782591E-2</v>
      </c>
      <c r="E107" s="43">
        <f t="shared" si="38"/>
        <v>0.17665212301798447</v>
      </c>
      <c r="F107" s="43">
        <f t="shared" si="38"/>
        <v>7.7258699584973931E-2</v>
      </c>
      <c r="G107" s="43">
        <f t="shared" si="38"/>
        <v>2.2347557731190813E-2</v>
      </c>
      <c r="H107" s="43">
        <f t="shared" si="38"/>
        <v>2.8519740342662563E-2</v>
      </c>
      <c r="I107" s="43">
        <f t="shared" si="38"/>
        <v>2.7455570926891572E-2</v>
      </c>
      <c r="J107" s="43">
        <f t="shared" si="38"/>
        <v>3.9587102266680871E-2</v>
      </c>
      <c r="K107" s="43">
        <f t="shared" si="38"/>
        <v>2.192188996488242E-2</v>
      </c>
      <c r="L107" s="43">
        <f t="shared" si="38"/>
        <v>0.11248270724699375</v>
      </c>
      <c r="M107" s="43">
        <f t="shared" si="38"/>
        <v>0.37160795998723001</v>
      </c>
      <c r="N107" s="43">
        <f t="shared" si="38"/>
        <v>1.23443652229435E-2</v>
      </c>
      <c r="R107" s="8"/>
      <c r="T107"/>
    </row>
    <row r="108" spans="2:20" ht="23.1" customHeight="1" x14ac:dyDescent="0.25">
      <c r="B108" s="42" t="s">
        <v>94</v>
      </c>
      <c r="C108" s="44" t="e">
        <f>C106/$O$106</f>
        <v>#VALUE!</v>
      </c>
      <c r="D108" s="44">
        <f t="shared" ref="D108:N108" si="39">D106/$O$106</f>
        <v>5.4530059271803558E-2</v>
      </c>
      <c r="E108" s="44">
        <f t="shared" si="39"/>
        <v>0.28111769686706178</v>
      </c>
      <c r="F108" s="44">
        <f t="shared" si="39"/>
        <v>0.1229466553767993</v>
      </c>
      <c r="G108" s="44">
        <f t="shared" si="39"/>
        <v>3.556308213378493E-2</v>
      </c>
      <c r="H108" s="44">
        <f t="shared" si="39"/>
        <v>4.5385266723116012E-2</v>
      </c>
      <c r="I108" s="44">
        <f t="shared" si="39"/>
        <v>4.3691786621507203E-2</v>
      </c>
      <c r="J108" s="44">
        <f t="shared" si="39"/>
        <v>6.2997459779847595E-2</v>
      </c>
      <c r="K108" s="44">
        <f t="shared" si="39"/>
        <v>3.4885690093141415E-2</v>
      </c>
      <c r="L108" s="44">
        <f t="shared" si="39"/>
        <v>0.17900084674005082</v>
      </c>
      <c r="M108" s="44"/>
      <c r="N108" s="44">
        <f t="shared" si="39"/>
        <v>1.9644369178662156E-2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A76" zoomScale="60" workbookViewId="0">
      <selection activeCell="AE46" sqref="AE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172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165</v>
      </c>
      <c r="E5" s="69"/>
      <c r="F5" s="41" t="s">
        <v>1</v>
      </c>
      <c r="G5" s="66" t="e">
        <f>#REF!</f>
        <v>#REF!</v>
      </c>
      <c r="H5" s="67"/>
      <c r="I5" s="14"/>
      <c r="J5" s="2" t="s">
        <v>5</v>
      </c>
      <c r="K5" s="66" t="e">
        <f>#REF!</f>
        <v>#REF!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173</v>
      </c>
      <c r="E6" s="67"/>
      <c r="F6" s="2" t="s">
        <v>2</v>
      </c>
      <c r="G6" s="66" t="s">
        <v>174</v>
      </c>
      <c r="H6" s="67"/>
      <c r="J6" s="2" t="s">
        <v>21</v>
      </c>
      <c r="K6" s="66" t="e">
        <f>#REF!</f>
        <v>#REF!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karuma-pakwach'!C10,'30.07 karuma-pakwach'!C10,'31.07 karuma-pakwach'!C10,'01.08 karuma-pakwach'!C10,'2.08 Karuma-Pakwach-24h'!C10,'04.08 Karuma-Pakwach'!C10)</f>
        <v>0.5</v>
      </c>
      <c r="D10" s="49">
        <f>AVERAGE('29.07 karuma-pakwach'!D10,'30.07 karuma-pakwach'!D10,'31.07 karuma-pakwach'!D10,'01.08 karuma-pakwach'!D10,'2.08 Karuma-Pakwach-24h'!D10,'04.08 Karuma-Pakwach'!D10)</f>
        <v>0</v>
      </c>
      <c r="E10" s="49">
        <f>AVERAGE('29.07 karuma-pakwach'!E10,'30.07 karuma-pakwach'!E10,'31.07 karuma-pakwach'!E10,'01.08 karuma-pakwach'!E10,'2.08 Karuma-Pakwach-24h'!E10,'04.08 Karuma-Pakwach'!E10)</f>
        <v>0.83333333333333337</v>
      </c>
      <c r="F10" s="49">
        <f>AVERAGE('29.07 karuma-pakwach'!F10,'30.07 karuma-pakwach'!F10,'31.07 karuma-pakwach'!F10,'01.08 karuma-pakwach'!F10,'2.08 Karuma-Pakwach-24h'!F10,'04.08 Karuma-Pakwach'!F10)</f>
        <v>0.33333333333333331</v>
      </c>
      <c r="G10" s="49">
        <f>AVERAGE('29.07 karuma-pakwach'!G10,'30.07 karuma-pakwach'!G10,'31.07 karuma-pakwach'!G10,'01.08 karuma-pakwach'!G10,'2.08 Karuma-Pakwach-24h'!G10,'04.08 Karuma-Pakwach'!G10)</f>
        <v>0</v>
      </c>
      <c r="H10" s="49">
        <f>AVERAGE('29.07 karuma-pakwach'!H10,'30.07 karuma-pakwach'!H10,'31.07 karuma-pakwach'!H10,'01.08 karuma-pakwach'!H10,'2.08 Karuma-Pakwach-24h'!H10,'04.08 Karuma-Pakwach'!H10)</f>
        <v>0</v>
      </c>
      <c r="I10" s="49">
        <f>AVERAGE('29.07 karuma-pakwach'!I10,'30.07 karuma-pakwach'!I10,'31.07 karuma-pakwach'!I10,'01.08 karuma-pakwach'!I10,'2.08 Karuma-Pakwach-24h'!I10,'04.08 Karuma-Pakwach'!I10)</f>
        <v>0</v>
      </c>
      <c r="J10" s="49">
        <f>AVERAGE('29.07 karuma-pakwach'!J10,'30.07 karuma-pakwach'!J10,'31.07 karuma-pakwach'!J10,'01.08 karuma-pakwach'!J10,'2.08 Karuma-Pakwach-24h'!J10,'04.08 Karuma-Pakwach'!J10)</f>
        <v>0</v>
      </c>
      <c r="K10" s="49">
        <f>AVERAGE('29.07 karuma-pakwach'!K10,'30.07 karuma-pakwach'!K10,'31.07 karuma-pakwach'!K10,'01.08 karuma-pakwach'!K10,'2.08 Karuma-Pakwach-24h'!K10,'04.08 Karuma-Pakwach'!K10)</f>
        <v>0</v>
      </c>
      <c r="L10" s="49">
        <f>AVERAGE('29.07 karuma-pakwach'!L10,'30.07 karuma-pakwach'!L10,'31.07 karuma-pakwach'!L10,'01.08 karuma-pakwach'!L10,'2.08 Karuma-Pakwach-24h'!L10,'04.08 Karuma-Pakwach'!L10)</f>
        <v>1</v>
      </c>
      <c r="M10" s="49">
        <f>AVERAGE('29.07 karuma-pakwach'!M10,'30.07 karuma-pakwach'!M10,'31.07 karuma-pakwach'!M10,'01.08 karuma-pakwach'!M10,'2.08 Karuma-Pakwach-24h'!M10,'04.08 Karuma-Pakwach'!M10)</f>
        <v>1.8333333333333333</v>
      </c>
      <c r="N10" s="49">
        <f>AVERAGE('29.07 karuma-pakwach'!N10,'30.07 karuma-pakwach'!N10,'31.07 karuma-pakwach'!N10,'01.08 karuma-pakwach'!N10,'2.08 Karuma-Pakwach-24h'!N10,'04.08 Karuma-Pakwach'!N10)</f>
        <v>0</v>
      </c>
      <c r="O10" s="15">
        <f t="shared" ref="O10:O73" si="0">SUM(C10:L10,N10)</f>
        <v>2.666666666666667</v>
      </c>
      <c r="P10" s="15">
        <f t="shared" ref="P10:P73" si="1">SUM(C10:N10)</f>
        <v>4.5</v>
      </c>
      <c r="R10" s="1" t="s">
        <v>6</v>
      </c>
      <c r="S10" s="17">
        <f t="shared" ref="S10:AF10" si="2">SUM(C10:C13)</f>
        <v>1.5</v>
      </c>
      <c r="T10" s="17">
        <f t="shared" si="2"/>
        <v>0.33333333333333331</v>
      </c>
      <c r="U10" s="17">
        <f t="shared" si="2"/>
        <v>2.1666666666666665</v>
      </c>
      <c r="V10" s="17">
        <f t="shared" si="2"/>
        <v>1</v>
      </c>
      <c r="W10" s="17">
        <f t="shared" si="2"/>
        <v>0.16666666666666666</v>
      </c>
      <c r="X10" s="17">
        <f t="shared" si="2"/>
        <v>0.16666666666666666</v>
      </c>
      <c r="Y10" s="17">
        <f t="shared" si="2"/>
        <v>0.5</v>
      </c>
      <c r="Z10" s="17">
        <f t="shared" si="2"/>
        <v>0.33333333333333331</v>
      </c>
      <c r="AA10" s="17">
        <f t="shared" si="2"/>
        <v>0</v>
      </c>
      <c r="AB10" s="17">
        <f t="shared" si="2"/>
        <v>2.1666666666666665</v>
      </c>
      <c r="AC10" s="17">
        <f t="shared" si="2"/>
        <v>6.833333333333333</v>
      </c>
      <c r="AD10" s="17">
        <f t="shared" si="2"/>
        <v>0.16666666666666666</v>
      </c>
      <c r="AE10" s="31">
        <f t="shared" si="2"/>
        <v>8.5</v>
      </c>
      <c r="AF10" s="31">
        <f t="shared" si="2"/>
        <v>15.333333333333336</v>
      </c>
    </row>
    <row r="11" spans="2:32" s="6" customFormat="1" ht="23.1" customHeight="1" x14ac:dyDescent="0.25">
      <c r="B11" s="23" t="s">
        <v>38</v>
      </c>
      <c r="C11" s="49">
        <f>AVERAGE('29.07 karuma-pakwach'!C11,'30.07 karuma-pakwach'!C11,'31.07 karuma-pakwach'!C11,'01.08 karuma-pakwach'!C11,'2.08 Karuma-Pakwach-24h'!C11,'04.08 Karuma-Pakwach'!C11)</f>
        <v>0.5</v>
      </c>
      <c r="D11" s="49">
        <f>AVERAGE('29.07 karuma-pakwach'!D11,'30.07 karuma-pakwach'!D11,'31.07 karuma-pakwach'!D11,'01.08 karuma-pakwach'!D11,'2.08 Karuma-Pakwach-24h'!D11,'04.08 Karuma-Pakwach'!D11)</f>
        <v>0.16666666666666666</v>
      </c>
      <c r="E11" s="49">
        <f>AVERAGE('29.07 karuma-pakwach'!E11,'30.07 karuma-pakwach'!E11,'31.07 karuma-pakwach'!E11,'01.08 karuma-pakwach'!E11,'2.08 Karuma-Pakwach-24h'!E11,'04.08 Karuma-Pakwach'!E11)</f>
        <v>0.33333333333333331</v>
      </c>
      <c r="F11" s="49">
        <f>AVERAGE('29.07 karuma-pakwach'!F11,'30.07 karuma-pakwach'!F11,'31.07 karuma-pakwach'!F11,'01.08 karuma-pakwach'!F11,'2.08 Karuma-Pakwach-24h'!F11,'04.08 Karuma-Pakwach'!F11)</f>
        <v>0.16666666666666666</v>
      </c>
      <c r="G11" s="49">
        <f>AVERAGE('29.07 karuma-pakwach'!G11,'30.07 karuma-pakwach'!G11,'31.07 karuma-pakwach'!G11,'01.08 karuma-pakwach'!G11,'2.08 Karuma-Pakwach-24h'!G11,'04.08 Karuma-Pakwach'!G11)</f>
        <v>0</v>
      </c>
      <c r="H11" s="49">
        <f>AVERAGE('29.07 karuma-pakwach'!H11,'30.07 karuma-pakwach'!H11,'31.07 karuma-pakwach'!H11,'01.08 karuma-pakwach'!H11,'2.08 Karuma-Pakwach-24h'!H11,'04.08 Karuma-Pakwach'!H11)</f>
        <v>0.16666666666666666</v>
      </c>
      <c r="I11" s="49">
        <f>AVERAGE('29.07 karuma-pakwach'!I11,'30.07 karuma-pakwach'!I11,'31.07 karuma-pakwach'!I11,'01.08 karuma-pakwach'!I11,'2.08 Karuma-Pakwach-24h'!I11,'04.08 Karuma-Pakwach'!I11)</f>
        <v>0.33333333333333331</v>
      </c>
      <c r="J11" s="49">
        <f>AVERAGE('29.07 karuma-pakwach'!J11,'30.07 karuma-pakwach'!J11,'31.07 karuma-pakwach'!J11,'01.08 karuma-pakwach'!J11,'2.08 Karuma-Pakwach-24h'!J11,'04.08 Karuma-Pakwach'!J11)</f>
        <v>0</v>
      </c>
      <c r="K11" s="49">
        <f>AVERAGE('29.07 karuma-pakwach'!K11,'30.07 karuma-pakwach'!K11,'31.07 karuma-pakwach'!K11,'01.08 karuma-pakwach'!K11,'2.08 Karuma-Pakwach-24h'!K11,'04.08 Karuma-Pakwach'!K11)</f>
        <v>0</v>
      </c>
      <c r="L11" s="49">
        <f>AVERAGE('29.07 karuma-pakwach'!L11,'30.07 karuma-pakwach'!L11,'31.07 karuma-pakwach'!L11,'01.08 karuma-pakwach'!L11,'2.08 Karuma-Pakwach-24h'!L11,'04.08 Karuma-Pakwach'!L11)</f>
        <v>0.66666666666666663</v>
      </c>
      <c r="M11" s="49">
        <f>AVERAGE('29.07 karuma-pakwach'!M11,'30.07 karuma-pakwach'!M11,'31.07 karuma-pakwach'!M11,'01.08 karuma-pakwach'!M11,'2.08 Karuma-Pakwach-24h'!M11,'04.08 Karuma-Pakwach'!M11)</f>
        <v>1.5</v>
      </c>
      <c r="N11" s="49">
        <f>AVERAGE('29.07 karuma-pakwach'!N11,'30.07 karuma-pakwach'!N11,'31.07 karuma-pakwach'!N11,'01.08 karuma-pakwach'!N11,'2.08 Karuma-Pakwach-24h'!N11,'04.08 Karuma-Pakwach'!N11)</f>
        <v>0</v>
      </c>
      <c r="O11" s="15">
        <f t="shared" si="0"/>
        <v>2.3333333333333335</v>
      </c>
      <c r="P11" s="15">
        <f t="shared" si="1"/>
        <v>3.8333333333333335</v>
      </c>
      <c r="R11" s="1" t="s">
        <v>7</v>
      </c>
      <c r="S11" s="17">
        <f t="shared" ref="S11:AF11" si="3">SUM(C14:C17)</f>
        <v>0.83333333333333326</v>
      </c>
      <c r="T11" s="17">
        <f t="shared" si="3"/>
        <v>0.33333333333333331</v>
      </c>
      <c r="U11" s="17">
        <f t="shared" si="3"/>
        <v>3.333333333333333</v>
      </c>
      <c r="V11" s="17">
        <f t="shared" si="3"/>
        <v>2.1666666666666665</v>
      </c>
      <c r="W11" s="17">
        <f t="shared" si="3"/>
        <v>1</v>
      </c>
      <c r="X11" s="17">
        <f t="shared" si="3"/>
        <v>0.16666666666666666</v>
      </c>
      <c r="Y11" s="17">
        <f t="shared" si="3"/>
        <v>0.83333333333333326</v>
      </c>
      <c r="Z11" s="17">
        <f t="shared" si="3"/>
        <v>0.5</v>
      </c>
      <c r="AA11" s="17">
        <f t="shared" si="3"/>
        <v>0</v>
      </c>
      <c r="AB11" s="17">
        <f t="shared" si="3"/>
        <v>2.3333333333333335</v>
      </c>
      <c r="AC11" s="17">
        <f t="shared" si="3"/>
        <v>10.833333333333334</v>
      </c>
      <c r="AD11" s="17">
        <f t="shared" si="3"/>
        <v>1.1666666666666665</v>
      </c>
      <c r="AE11" s="31">
        <f t="shared" si="3"/>
        <v>12.666666666666666</v>
      </c>
      <c r="AF11" s="31">
        <f t="shared" si="3"/>
        <v>23.5</v>
      </c>
    </row>
    <row r="12" spans="2:32" ht="23.1" customHeight="1" x14ac:dyDescent="0.25">
      <c r="B12" s="23" t="s">
        <v>39</v>
      </c>
      <c r="C12" s="49">
        <f>AVERAGE('29.07 karuma-pakwach'!C12,'30.07 karuma-pakwach'!C12,'31.07 karuma-pakwach'!C12,'01.08 karuma-pakwach'!C12,'2.08 Karuma-Pakwach-24h'!C12,'04.08 Karuma-Pakwach'!C12)</f>
        <v>0.33333333333333331</v>
      </c>
      <c r="D12" s="49">
        <f>AVERAGE('29.07 karuma-pakwach'!D12,'30.07 karuma-pakwach'!D12,'31.07 karuma-pakwach'!D12,'01.08 karuma-pakwach'!D12,'2.08 Karuma-Pakwach-24h'!D12,'04.08 Karuma-Pakwach'!D12)</f>
        <v>0</v>
      </c>
      <c r="E12" s="49">
        <f>AVERAGE('29.07 karuma-pakwach'!E12,'30.07 karuma-pakwach'!E12,'31.07 karuma-pakwach'!E12,'01.08 karuma-pakwach'!E12,'2.08 Karuma-Pakwach-24h'!E12,'04.08 Karuma-Pakwach'!E12)</f>
        <v>0.33333333333333331</v>
      </c>
      <c r="F12" s="49">
        <f>AVERAGE('29.07 karuma-pakwach'!F12,'30.07 karuma-pakwach'!F12,'31.07 karuma-pakwach'!F12,'01.08 karuma-pakwach'!F12,'2.08 Karuma-Pakwach-24h'!F12,'04.08 Karuma-Pakwach'!F12)</f>
        <v>0</v>
      </c>
      <c r="G12" s="49">
        <f>AVERAGE('29.07 karuma-pakwach'!G12,'30.07 karuma-pakwach'!G12,'31.07 karuma-pakwach'!G12,'01.08 karuma-pakwach'!G12,'2.08 Karuma-Pakwach-24h'!G12,'04.08 Karuma-Pakwach'!G12)</f>
        <v>0</v>
      </c>
      <c r="H12" s="49">
        <f>AVERAGE('29.07 karuma-pakwach'!H12,'30.07 karuma-pakwach'!H12,'31.07 karuma-pakwach'!H12,'01.08 karuma-pakwach'!H12,'2.08 Karuma-Pakwach-24h'!H12,'04.08 Karuma-Pakwach'!H12)</f>
        <v>0</v>
      </c>
      <c r="I12" s="49">
        <f>AVERAGE('29.07 karuma-pakwach'!I12,'30.07 karuma-pakwach'!I12,'31.07 karuma-pakwach'!I12,'01.08 karuma-pakwach'!I12,'2.08 Karuma-Pakwach-24h'!I12,'04.08 Karuma-Pakwach'!I12)</f>
        <v>0</v>
      </c>
      <c r="J12" s="49">
        <f>AVERAGE('29.07 karuma-pakwach'!J12,'30.07 karuma-pakwach'!J12,'31.07 karuma-pakwach'!J12,'01.08 karuma-pakwach'!J12,'2.08 Karuma-Pakwach-24h'!J12,'04.08 Karuma-Pakwach'!J12)</f>
        <v>0</v>
      </c>
      <c r="K12" s="49">
        <f>AVERAGE('29.07 karuma-pakwach'!K12,'30.07 karuma-pakwach'!K12,'31.07 karuma-pakwach'!K12,'01.08 karuma-pakwach'!K12,'2.08 Karuma-Pakwach-24h'!K12,'04.08 Karuma-Pakwach'!K12)</f>
        <v>0</v>
      </c>
      <c r="L12" s="49">
        <f>AVERAGE('29.07 karuma-pakwach'!L12,'30.07 karuma-pakwach'!L12,'31.07 karuma-pakwach'!L12,'01.08 karuma-pakwach'!L12,'2.08 Karuma-Pakwach-24h'!L12,'04.08 Karuma-Pakwach'!L12)</f>
        <v>0.5</v>
      </c>
      <c r="M12" s="49">
        <f>AVERAGE('29.07 karuma-pakwach'!M12,'30.07 karuma-pakwach'!M12,'31.07 karuma-pakwach'!M12,'01.08 karuma-pakwach'!M12,'2.08 Karuma-Pakwach-24h'!M12,'04.08 Karuma-Pakwach'!M12)</f>
        <v>1.5</v>
      </c>
      <c r="N12" s="49">
        <f>AVERAGE('29.07 karuma-pakwach'!N12,'30.07 karuma-pakwach'!N12,'31.07 karuma-pakwach'!N12,'01.08 karuma-pakwach'!N12,'2.08 Karuma-Pakwach-24h'!N12,'04.08 Karuma-Pakwach'!N12)</f>
        <v>0.16666666666666666</v>
      </c>
      <c r="O12" s="15">
        <f t="shared" si="0"/>
        <v>1.3333333333333333</v>
      </c>
      <c r="P12" s="15">
        <f t="shared" si="1"/>
        <v>2.833333333333333</v>
      </c>
      <c r="R12" s="1" t="s">
        <v>8</v>
      </c>
      <c r="S12" s="17">
        <f t="shared" ref="S12:AF12" si="4">SUM(C18:C21)</f>
        <v>0.83333333333333326</v>
      </c>
      <c r="T12" s="17">
        <f t="shared" si="4"/>
        <v>0.83333333333333326</v>
      </c>
      <c r="U12" s="17">
        <f t="shared" si="4"/>
        <v>3.666666666666667</v>
      </c>
      <c r="V12" s="17">
        <f t="shared" si="4"/>
        <v>2.333333333333333</v>
      </c>
      <c r="W12" s="17">
        <f t="shared" si="4"/>
        <v>0.83333333333333337</v>
      </c>
      <c r="X12" s="17">
        <f t="shared" si="4"/>
        <v>0.83333333333333326</v>
      </c>
      <c r="Y12" s="17">
        <f t="shared" si="4"/>
        <v>1.1666666666666665</v>
      </c>
      <c r="Z12" s="17">
        <f t="shared" si="4"/>
        <v>0.5</v>
      </c>
      <c r="AA12" s="17">
        <f t="shared" si="4"/>
        <v>0.16666666666666666</v>
      </c>
      <c r="AB12" s="17">
        <f t="shared" si="4"/>
        <v>2.166666666666667</v>
      </c>
      <c r="AC12" s="17">
        <f t="shared" si="4"/>
        <v>15.833333333333332</v>
      </c>
      <c r="AD12" s="17">
        <f t="shared" si="4"/>
        <v>0.16666666666666666</v>
      </c>
      <c r="AE12" s="31">
        <f t="shared" si="4"/>
        <v>13.499999999999998</v>
      </c>
      <c r="AF12" s="31">
        <f t="shared" si="4"/>
        <v>29.333333333333332</v>
      </c>
    </row>
    <row r="13" spans="2:32" ht="23.1" customHeight="1" x14ac:dyDescent="0.25">
      <c r="B13" s="23" t="s">
        <v>40</v>
      </c>
      <c r="C13" s="49">
        <f>AVERAGE('29.07 karuma-pakwach'!C13,'30.07 karuma-pakwach'!C13,'31.07 karuma-pakwach'!C13,'01.08 karuma-pakwach'!C13,'2.08 Karuma-Pakwach-24h'!C13,'04.08 Karuma-Pakwach'!C13)</f>
        <v>0.16666666666666666</v>
      </c>
      <c r="D13" s="49">
        <f>AVERAGE('29.07 karuma-pakwach'!D13,'30.07 karuma-pakwach'!D13,'31.07 karuma-pakwach'!D13,'01.08 karuma-pakwach'!D13,'2.08 Karuma-Pakwach-24h'!D13,'04.08 Karuma-Pakwach'!D13)</f>
        <v>0.16666666666666666</v>
      </c>
      <c r="E13" s="49">
        <f>AVERAGE('29.07 karuma-pakwach'!E13,'30.07 karuma-pakwach'!E13,'31.07 karuma-pakwach'!E13,'01.08 karuma-pakwach'!E13,'2.08 Karuma-Pakwach-24h'!E13,'04.08 Karuma-Pakwach'!E13)</f>
        <v>0.66666666666666663</v>
      </c>
      <c r="F13" s="49">
        <f>AVERAGE('29.07 karuma-pakwach'!F13,'30.07 karuma-pakwach'!F13,'31.07 karuma-pakwach'!F13,'01.08 karuma-pakwach'!F13,'2.08 Karuma-Pakwach-24h'!F13,'04.08 Karuma-Pakwach'!F13)</f>
        <v>0.5</v>
      </c>
      <c r="G13" s="49">
        <f>AVERAGE('29.07 karuma-pakwach'!G13,'30.07 karuma-pakwach'!G13,'31.07 karuma-pakwach'!G13,'01.08 karuma-pakwach'!G13,'2.08 Karuma-Pakwach-24h'!G13,'04.08 Karuma-Pakwach'!G13)</f>
        <v>0.16666666666666666</v>
      </c>
      <c r="H13" s="49">
        <f>AVERAGE('29.07 karuma-pakwach'!H13,'30.07 karuma-pakwach'!H13,'31.07 karuma-pakwach'!H13,'01.08 karuma-pakwach'!H13,'2.08 Karuma-Pakwach-24h'!H13,'04.08 Karuma-Pakwach'!H13)</f>
        <v>0</v>
      </c>
      <c r="I13" s="49">
        <f>AVERAGE('29.07 karuma-pakwach'!I13,'30.07 karuma-pakwach'!I13,'31.07 karuma-pakwach'!I13,'01.08 karuma-pakwach'!I13,'2.08 Karuma-Pakwach-24h'!I13,'04.08 Karuma-Pakwach'!I13)</f>
        <v>0.16666666666666666</v>
      </c>
      <c r="J13" s="49">
        <f>AVERAGE('29.07 karuma-pakwach'!J13,'30.07 karuma-pakwach'!J13,'31.07 karuma-pakwach'!J13,'01.08 karuma-pakwach'!J13,'2.08 Karuma-Pakwach-24h'!J13,'04.08 Karuma-Pakwach'!J13)</f>
        <v>0.33333333333333331</v>
      </c>
      <c r="K13" s="49">
        <f>AVERAGE('29.07 karuma-pakwach'!K13,'30.07 karuma-pakwach'!K13,'31.07 karuma-pakwach'!K13,'01.08 karuma-pakwach'!K13,'2.08 Karuma-Pakwach-24h'!K13,'04.08 Karuma-Pakwach'!K13)</f>
        <v>0</v>
      </c>
      <c r="L13" s="49">
        <f>AVERAGE('29.07 karuma-pakwach'!L13,'30.07 karuma-pakwach'!L13,'31.07 karuma-pakwach'!L13,'01.08 karuma-pakwach'!L13,'2.08 Karuma-Pakwach-24h'!L13,'04.08 Karuma-Pakwach'!L13)</f>
        <v>0</v>
      </c>
      <c r="M13" s="49">
        <f>AVERAGE('29.07 karuma-pakwach'!M13,'30.07 karuma-pakwach'!M13,'31.07 karuma-pakwach'!M13,'01.08 karuma-pakwach'!M13,'2.08 Karuma-Pakwach-24h'!M13,'04.08 Karuma-Pakwach'!M13)</f>
        <v>2</v>
      </c>
      <c r="N13" s="49">
        <f>AVERAGE('29.07 karuma-pakwach'!N13,'30.07 karuma-pakwach'!N13,'31.07 karuma-pakwach'!N13,'01.08 karuma-pakwach'!N13,'2.08 Karuma-Pakwach-24h'!N13,'04.08 Karuma-Pakwach'!N13)</f>
        <v>0</v>
      </c>
      <c r="O13" s="15">
        <f t="shared" si="0"/>
        <v>2.166666666666667</v>
      </c>
      <c r="P13" s="15">
        <f t="shared" si="1"/>
        <v>4.166666666666667</v>
      </c>
      <c r="R13" s="1" t="s">
        <v>9</v>
      </c>
      <c r="S13" s="17">
        <f t="shared" ref="S13:AF13" si="5">SUM(C22:C25)</f>
        <v>1.5</v>
      </c>
      <c r="T13" s="17">
        <f t="shared" si="5"/>
        <v>1</v>
      </c>
      <c r="U13" s="17">
        <f t="shared" si="5"/>
        <v>5.666666666666667</v>
      </c>
      <c r="V13" s="17">
        <f t="shared" si="5"/>
        <v>2.5</v>
      </c>
      <c r="W13" s="17">
        <f t="shared" si="5"/>
        <v>2.1666666666666665</v>
      </c>
      <c r="X13" s="17">
        <f t="shared" si="5"/>
        <v>3.3333333333333335</v>
      </c>
      <c r="Y13" s="17">
        <f t="shared" si="5"/>
        <v>2</v>
      </c>
      <c r="Z13" s="17">
        <f t="shared" si="5"/>
        <v>0.33333333333333331</v>
      </c>
      <c r="AA13" s="17">
        <f t="shared" si="5"/>
        <v>0.66666666666666663</v>
      </c>
      <c r="AB13" s="17">
        <f t="shared" si="5"/>
        <v>2</v>
      </c>
      <c r="AC13" s="17">
        <f t="shared" si="5"/>
        <v>9.1666666666666661</v>
      </c>
      <c r="AD13" s="17">
        <f t="shared" si="5"/>
        <v>0</v>
      </c>
      <c r="AE13" s="31">
        <f t="shared" si="5"/>
        <v>21.166666666666668</v>
      </c>
      <c r="AF13" s="31">
        <f t="shared" si="5"/>
        <v>30.333333333333332</v>
      </c>
    </row>
    <row r="14" spans="2:32" ht="23.1" customHeight="1" x14ac:dyDescent="0.25">
      <c r="B14" s="23" t="s">
        <v>41</v>
      </c>
      <c r="C14" s="49">
        <f>AVERAGE('29.07 karuma-pakwach'!C14,'30.07 karuma-pakwach'!C14,'31.07 karuma-pakwach'!C14,'01.08 karuma-pakwach'!C14,'2.08 Karuma-Pakwach-24h'!C14,'04.08 Karuma-Pakwach'!C14)</f>
        <v>0</v>
      </c>
      <c r="D14" s="49">
        <f>AVERAGE('29.07 karuma-pakwach'!D14,'30.07 karuma-pakwach'!D14,'31.07 karuma-pakwach'!D14,'01.08 karuma-pakwach'!D14,'2.08 Karuma-Pakwach-24h'!D14,'04.08 Karuma-Pakwach'!D14)</f>
        <v>0</v>
      </c>
      <c r="E14" s="49">
        <f>AVERAGE('29.07 karuma-pakwach'!E14,'30.07 karuma-pakwach'!E14,'31.07 karuma-pakwach'!E14,'01.08 karuma-pakwach'!E14,'2.08 Karuma-Pakwach-24h'!E14,'04.08 Karuma-Pakwach'!E14)</f>
        <v>0.5</v>
      </c>
      <c r="F14" s="49">
        <f>AVERAGE('29.07 karuma-pakwach'!F14,'30.07 karuma-pakwach'!F14,'31.07 karuma-pakwach'!F14,'01.08 karuma-pakwach'!F14,'2.08 Karuma-Pakwach-24h'!F14,'04.08 Karuma-Pakwach'!F14)</f>
        <v>0.16666666666666666</v>
      </c>
      <c r="G14" s="49">
        <f>AVERAGE('29.07 karuma-pakwach'!G14,'30.07 karuma-pakwach'!G14,'31.07 karuma-pakwach'!G14,'01.08 karuma-pakwach'!G14,'2.08 Karuma-Pakwach-24h'!G14,'04.08 Karuma-Pakwach'!G14)</f>
        <v>0</v>
      </c>
      <c r="H14" s="49">
        <f>AVERAGE('29.07 karuma-pakwach'!H14,'30.07 karuma-pakwach'!H14,'31.07 karuma-pakwach'!H14,'01.08 karuma-pakwach'!H14,'2.08 Karuma-Pakwach-24h'!H14,'04.08 Karuma-Pakwach'!H14)</f>
        <v>0</v>
      </c>
      <c r="I14" s="49">
        <f>AVERAGE('29.07 karuma-pakwach'!I14,'30.07 karuma-pakwach'!I14,'31.07 karuma-pakwach'!I14,'01.08 karuma-pakwach'!I14,'2.08 Karuma-Pakwach-24h'!I14,'04.08 Karuma-Pakwach'!I14)</f>
        <v>0.16666666666666666</v>
      </c>
      <c r="J14" s="49">
        <f>AVERAGE('29.07 karuma-pakwach'!J14,'30.07 karuma-pakwach'!J14,'31.07 karuma-pakwach'!J14,'01.08 karuma-pakwach'!J14,'2.08 Karuma-Pakwach-24h'!J14,'04.08 Karuma-Pakwach'!J14)</f>
        <v>0.16666666666666666</v>
      </c>
      <c r="K14" s="49">
        <f>AVERAGE('29.07 karuma-pakwach'!K14,'30.07 karuma-pakwach'!K14,'31.07 karuma-pakwach'!K14,'01.08 karuma-pakwach'!K14,'2.08 Karuma-Pakwach-24h'!K14,'04.08 Karuma-Pakwach'!K14)</f>
        <v>0</v>
      </c>
      <c r="L14" s="49">
        <f>AVERAGE('29.07 karuma-pakwach'!L14,'30.07 karuma-pakwach'!L14,'31.07 karuma-pakwach'!L14,'01.08 karuma-pakwach'!L14,'2.08 Karuma-Pakwach-24h'!L14,'04.08 Karuma-Pakwach'!L14)</f>
        <v>0.66666666666666663</v>
      </c>
      <c r="M14" s="49">
        <f>AVERAGE('29.07 karuma-pakwach'!M14,'30.07 karuma-pakwach'!M14,'31.07 karuma-pakwach'!M14,'01.08 karuma-pakwach'!M14,'2.08 Karuma-Pakwach-24h'!M14,'04.08 Karuma-Pakwach'!M14)</f>
        <v>2</v>
      </c>
      <c r="N14" s="49">
        <f>AVERAGE('29.07 karuma-pakwach'!N14,'30.07 karuma-pakwach'!N14,'31.07 karuma-pakwach'!N14,'01.08 karuma-pakwach'!N14,'2.08 Karuma-Pakwach-24h'!N14,'04.08 Karuma-Pakwach'!N14)</f>
        <v>0</v>
      </c>
      <c r="O14" s="15">
        <f t="shared" si="0"/>
        <v>1.6666666666666665</v>
      </c>
      <c r="P14" s="15">
        <f t="shared" si="1"/>
        <v>3.6666666666666665</v>
      </c>
      <c r="R14" s="1" t="s">
        <v>10</v>
      </c>
      <c r="S14" s="17">
        <f t="shared" ref="S14:AF14" si="6">SUM(C26:C29)</f>
        <v>1.8333333333333333</v>
      </c>
      <c r="T14" s="17">
        <f t="shared" si="6"/>
        <v>0.66666666666666663</v>
      </c>
      <c r="U14" s="17">
        <f t="shared" si="6"/>
        <v>4.666666666666667</v>
      </c>
      <c r="V14" s="17">
        <f t="shared" si="6"/>
        <v>2.6666666666666665</v>
      </c>
      <c r="W14" s="17">
        <f t="shared" si="6"/>
        <v>2.3333333333333335</v>
      </c>
      <c r="X14" s="17">
        <f t="shared" si="6"/>
        <v>3.5</v>
      </c>
      <c r="Y14" s="17">
        <f t="shared" si="6"/>
        <v>1.8333333333333335</v>
      </c>
      <c r="Z14" s="17">
        <f t="shared" si="6"/>
        <v>1.3333333333333333</v>
      </c>
      <c r="AA14" s="17">
        <f t="shared" si="6"/>
        <v>0.5</v>
      </c>
      <c r="AB14" s="17">
        <f t="shared" si="6"/>
        <v>1.8333333333333333</v>
      </c>
      <c r="AC14" s="17">
        <f t="shared" si="6"/>
        <v>10</v>
      </c>
      <c r="AD14" s="17">
        <f t="shared" si="6"/>
        <v>0.16666666666666666</v>
      </c>
      <c r="AE14" s="31">
        <f t="shared" si="6"/>
        <v>21.333333333333332</v>
      </c>
      <c r="AF14" s="31">
        <f t="shared" si="6"/>
        <v>31.333333333333336</v>
      </c>
    </row>
    <row r="15" spans="2:32" ht="23.1" customHeight="1" x14ac:dyDescent="0.25">
      <c r="B15" s="23" t="s">
        <v>42</v>
      </c>
      <c r="C15" s="49">
        <f>AVERAGE('29.07 karuma-pakwach'!C15,'30.07 karuma-pakwach'!C15,'31.07 karuma-pakwach'!C15,'01.08 karuma-pakwach'!C15,'2.08 Karuma-Pakwach-24h'!C15,'04.08 Karuma-Pakwach'!C15)</f>
        <v>0.33333333333333331</v>
      </c>
      <c r="D15" s="49">
        <f>AVERAGE('29.07 karuma-pakwach'!D15,'30.07 karuma-pakwach'!D15,'31.07 karuma-pakwach'!D15,'01.08 karuma-pakwach'!D15,'2.08 Karuma-Pakwach-24h'!D15,'04.08 Karuma-Pakwach'!D15)</f>
        <v>0.16666666666666666</v>
      </c>
      <c r="E15" s="49">
        <f>AVERAGE('29.07 karuma-pakwach'!E15,'30.07 karuma-pakwach'!E15,'31.07 karuma-pakwach'!E15,'01.08 karuma-pakwach'!E15,'2.08 Karuma-Pakwach-24h'!E15,'04.08 Karuma-Pakwach'!E15)</f>
        <v>1</v>
      </c>
      <c r="F15" s="49">
        <f>AVERAGE('29.07 karuma-pakwach'!F15,'30.07 karuma-pakwach'!F15,'31.07 karuma-pakwach'!F15,'01.08 karuma-pakwach'!F15,'2.08 Karuma-Pakwach-24h'!F15,'04.08 Karuma-Pakwach'!F15)</f>
        <v>0.33333333333333331</v>
      </c>
      <c r="G15" s="49">
        <f>AVERAGE('29.07 karuma-pakwach'!G15,'30.07 karuma-pakwach'!G15,'31.07 karuma-pakwach'!G15,'01.08 karuma-pakwach'!G15,'2.08 Karuma-Pakwach-24h'!G15,'04.08 Karuma-Pakwach'!G15)</f>
        <v>0.16666666666666666</v>
      </c>
      <c r="H15" s="49">
        <f>AVERAGE('29.07 karuma-pakwach'!H15,'30.07 karuma-pakwach'!H15,'31.07 karuma-pakwach'!H15,'01.08 karuma-pakwach'!H15,'2.08 Karuma-Pakwach-24h'!H15,'04.08 Karuma-Pakwach'!H15)</f>
        <v>0</v>
      </c>
      <c r="I15" s="49">
        <f>AVERAGE('29.07 karuma-pakwach'!I15,'30.07 karuma-pakwach'!I15,'31.07 karuma-pakwach'!I15,'01.08 karuma-pakwach'!I15,'2.08 Karuma-Pakwach-24h'!I15,'04.08 Karuma-Pakwach'!I15)</f>
        <v>0.16666666666666666</v>
      </c>
      <c r="J15" s="49">
        <f>AVERAGE('29.07 karuma-pakwach'!J15,'30.07 karuma-pakwach'!J15,'31.07 karuma-pakwach'!J15,'01.08 karuma-pakwach'!J15,'2.08 Karuma-Pakwach-24h'!J15,'04.08 Karuma-Pakwach'!J15)</f>
        <v>0</v>
      </c>
      <c r="K15" s="49">
        <f>AVERAGE('29.07 karuma-pakwach'!K15,'30.07 karuma-pakwach'!K15,'31.07 karuma-pakwach'!K15,'01.08 karuma-pakwach'!K15,'2.08 Karuma-Pakwach-24h'!K15,'04.08 Karuma-Pakwach'!K15)</f>
        <v>0</v>
      </c>
      <c r="L15" s="49">
        <f>AVERAGE('29.07 karuma-pakwach'!L15,'30.07 karuma-pakwach'!L15,'31.07 karuma-pakwach'!L15,'01.08 karuma-pakwach'!L15,'2.08 Karuma-Pakwach-24h'!L15,'04.08 Karuma-Pakwach'!L15)</f>
        <v>0.83333333333333337</v>
      </c>
      <c r="M15" s="49">
        <f>AVERAGE('29.07 karuma-pakwach'!M15,'30.07 karuma-pakwach'!M15,'31.07 karuma-pakwach'!M15,'01.08 karuma-pakwach'!M15,'2.08 Karuma-Pakwach-24h'!M15,'04.08 Karuma-Pakwach'!M15)</f>
        <v>2.3333333333333335</v>
      </c>
      <c r="N15" s="49">
        <f>AVERAGE('29.07 karuma-pakwach'!N15,'30.07 karuma-pakwach'!N15,'31.07 karuma-pakwach'!N15,'01.08 karuma-pakwach'!N15,'2.08 Karuma-Pakwach-24h'!N15,'04.08 Karuma-Pakwach'!N15)</f>
        <v>0.33333333333333331</v>
      </c>
      <c r="O15" s="15">
        <f t="shared" si="0"/>
        <v>3.3333333333333335</v>
      </c>
      <c r="P15" s="15">
        <f t="shared" si="1"/>
        <v>5.666666666666667</v>
      </c>
      <c r="R15" s="1" t="s">
        <v>11</v>
      </c>
      <c r="S15" s="17">
        <f t="shared" ref="S15:AF15" si="7">SUM(C30:C33)</f>
        <v>2.1666666666666665</v>
      </c>
      <c r="T15" s="17">
        <f t="shared" si="7"/>
        <v>0.33333333333333331</v>
      </c>
      <c r="U15" s="17">
        <f t="shared" si="7"/>
        <v>4.1666666666666661</v>
      </c>
      <c r="V15" s="17">
        <f t="shared" si="7"/>
        <v>2.1666666666666665</v>
      </c>
      <c r="W15" s="17">
        <f t="shared" si="7"/>
        <v>0.83333333333333326</v>
      </c>
      <c r="X15" s="17">
        <f t="shared" si="7"/>
        <v>1.3333333333333333</v>
      </c>
      <c r="Y15" s="17">
        <f t="shared" si="7"/>
        <v>0.83333333333333326</v>
      </c>
      <c r="Z15" s="17">
        <f t="shared" si="7"/>
        <v>0.99999999999999989</v>
      </c>
      <c r="AA15" s="17">
        <f t="shared" si="7"/>
        <v>0.5</v>
      </c>
      <c r="AB15" s="17">
        <f t="shared" si="7"/>
        <v>1.1666666666666665</v>
      </c>
      <c r="AC15" s="17">
        <f t="shared" si="7"/>
        <v>9.8333333333333339</v>
      </c>
      <c r="AD15" s="17">
        <f t="shared" si="7"/>
        <v>0.66666666666666663</v>
      </c>
      <c r="AE15" s="31">
        <f t="shared" si="7"/>
        <v>15.166666666666666</v>
      </c>
      <c r="AF15" s="31">
        <f t="shared" si="7"/>
        <v>25</v>
      </c>
    </row>
    <row r="16" spans="2:32" ht="23.1" customHeight="1" x14ac:dyDescent="0.25">
      <c r="B16" s="23" t="s">
        <v>43</v>
      </c>
      <c r="C16" s="49">
        <f>AVERAGE('29.07 karuma-pakwach'!C16,'30.07 karuma-pakwach'!C16,'31.07 karuma-pakwach'!C16,'01.08 karuma-pakwach'!C16,'2.08 Karuma-Pakwach-24h'!C16,'04.08 Karuma-Pakwach'!C16)</f>
        <v>0.16666666666666666</v>
      </c>
      <c r="D16" s="49">
        <f>AVERAGE('29.07 karuma-pakwach'!D16,'30.07 karuma-pakwach'!D16,'31.07 karuma-pakwach'!D16,'01.08 karuma-pakwach'!D16,'2.08 Karuma-Pakwach-24h'!D16,'04.08 Karuma-Pakwach'!D16)</f>
        <v>0.16666666666666666</v>
      </c>
      <c r="E16" s="49">
        <f>AVERAGE('29.07 karuma-pakwach'!E16,'30.07 karuma-pakwach'!E16,'31.07 karuma-pakwach'!E16,'01.08 karuma-pakwach'!E16,'2.08 Karuma-Pakwach-24h'!E16,'04.08 Karuma-Pakwach'!E16)</f>
        <v>0.66666666666666663</v>
      </c>
      <c r="F16" s="49">
        <f>AVERAGE('29.07 karuma-pakwach'!F16,'30.07 karuma-pakwach'!F16,'31.07 karuma-pakwach'!F16,'01.08 karuma-pakwach'!F16,'2.08 Karuma-Pakwach-24h'!F16,'04.08 Karuma-Pakwach'!F16)</f>
        <v>1.3333333333333333</v>
      </c>
      <c r="G16" s="49">
        <f>AVERAGE('29.07 karuma-pakwach'!G16,'30.07 karuma-pakwach'!G16,'31.07 karuma-pakwach'!G16,'01.08 karuma-pakwach'!G16,'2.08 Karuma-Pakwach-24h'!G16,'04.08 Karuma-Pakwach'!G16)</f>
        <v>0</v>
      </c>
      <c r="H16" s="49">
        <f>AVERAGE('29.07 karuma-pakwach'!H16,'30.07 karuma-pakwach'!H16,'31.07 karuma-pakwach'!H16,'01.08 karuma-pakwach'!H16,'2.08 Karuma-Pakwach-24h'!H16,'04.08 Karuma-Pakwach'!H16)</f>
        <v>0</v>
      </c>
      <c r="I16" s="49">
        <f>AVERAGE('29.07 karuma-pakwach'!I16,'30.07 karuma-pakwach'!I16,'31.07 karuma-pakwach'!I16,'01.08 karuma-pakwach'!I16,'2.08 Karuma-Pakwach-24h'!I16,'04.08 Karuma-Pakwach'!I16)</f>
        <v>0.33333333333333331</v>
      </c>
      <c r="J16" s="49">
        <f>AVERAGE('29.07 karuma-pakwach'!J16,'30.07 karuma-pakwach'!J16,'31.07 karuma-pakwach'!J16,'01.08 karuma-pakwach'!J16,'2.08 Karuma-Pakwach-24h'!J16,'04.08 Karuma-Pakwach'!J16)</f>
        <v>0</v>
      </c>
      <c r="K16" s="49">
        <f>AVERAGE('29.07 karuma-pakwach'!K16,'30.07 karuma-pakwach'!K16,'31.07 karuma-pakwach'!K16,'01.08 karuma-pakwach'!K16,'2.08 Karuma-Pakwach-24h'!K16,'04.08 Karuma-Pakwach'!K16)</f>
        <v>0</v>
      </c>
      <c r="L16" s="49">
        <f>AVERAGE('29.07 karuma-pakwach'!L16,'30.07 karuma-pakwach'!L16,'31.07 karuma-pakwach'!L16,'01.08 karuma-pakwach'!L16,'2.08 Karuma-Pakwach-24h'!L16,'04.08 Karuma-Pakwach'!L16)</f>
        <v>0.16666666666666666</v>
      </c>
      <c r="M16" s="49">
        <f>AVERAGE('29.07 karuma-pakwach'!M16,'30.07 karuma-pakwach'!M16,'31.07 karuma-pakwach'!M16,'01.08 karuma-pakwach'!M16,'2.08 Karuma-Pakwach-24h'!M16,'04.08 Karuma-Pakwach'!M16)</f>
        <v>3.6666666666666665</v>
      </c>
      <c r="N16" s="49">
        <f>AVERAGE('29.07 karuma-pakwach'!N16,'30.07 karuma-pakwach'!N16,'31.07 karuma-pakwach'!N16,'01.08 karuma-pakwach'!N16,'2.08 Karuma-Pakwach-24h'!N16,'04.08 Karuma-Pakwach'!N16)</f>
        <v>0.16666666666666666</v>
      </c>
      <c r="O16" s="15">
        <f t="shared" si="0"/>
        <v>2.9999999999999996</v>
      </c>
      <c r="P16" s="15">
        <f t="shared" si="1"/>
        <v>6.666666666666667</v>
      </c>
      <c r="R16" s="1" t="s">
        <v>12</v>
      </c>
      <c r="S16" s="17">
        <f t="shared" ref="S16:AF16" si="8">SUM(C34:C37)</f>
        <v>4.3333333333333339</v>
      </c>
      <c r="T16" s="17">
        <f t="shared" si="8"/>
        <v>0.66666666666666663</v>
      </c>
      <c r="U16" s="17">
        <f t="shared" si="8"/>
        <v>3.6666666666666665</v>
      </c>
      <c r="V16" s="17">
        <f t="shared" si="8"/>
        <v>2.8333333333333335</v>
      </c>
      <c r="W16" s="17">
        <f t="shared" si="8"/>
        <v>0.66666666666666663</v>
      </c>
      <c r="X16" s="17">
        <f t="shared" si="8"/>
        <v>1.1666666666666665</v>
      </c>
      <c r="Y16" s="17">
        <f t="shared" si="8"/>
        <v>2.5</v>
      </c>
      <c r="Z16" s="17">
        <f t="shared" si="8"/>
        <v>0.83333333333333326</v>
      </c>
      <c r="AA16" s="17">
        <f t="shared" si="8"/>
        <v>0.5</v>
      </c>
      <c r="AB16" s="17">
        <f t="shared" si="8"/>
        <v>2.833333333333333</v>
      </c>
      <c r="AC16" s="17">
        <f t="shared" si="8"/>
        <v>10.333333333333334</v>
      </c>
      <c r="AD16" s="17">
        <f t="shared" si="8"/>
        <v>0.66666666666666663</v>
      </c>
      <c r="AE16" s="31">
        <f t="shared" si="8"/>
        <v>20.666666666666671</v>
      </c>
      <c r="AF16" s="31">
        <f t="shared" si="8"/>
        <v>31</v>
      </c>
    </row>
    <row r="17" spans="2:32" ht="23.1" customHeight="1" x14ac:dyDescent="0.25">
      <c r="B17" s="23" t="s">
        <v>44</v>
      </c>
      <c r="C17" s="49">
        <f>AVERAGE('29.07 karuma-pakwach'!C17,'30.07 karuma-pakwach'!C17,'31.07 karuma-pakwach'!C17,'01.08 karuma-pakwach'!C17,'2.08 Karuma-Pakwach-24h'!C17,'04.08 Karuma-Pakwach'!C17)</f>
        <v>0.33333333333333331</v>
      </c>
      <c r="D17" s="49">
        <f>AVERAGE('29.07 karuma-pakwach'!D17,'30.07 karuma-pakwach'!D17,'31.07 karuma-pakwach'!D17,'01.08 karuma-pakwach'!D17,'2.08 Karuma-Pakwach-24h'!D17,'04.08 Karuma-Pakwach'!D17)</f>
        <v>0</v>
      </c>
      <c r="E17" s="49">
        <f>AVERAGE('29.07 karuma-pakwach'!E17,'30.07 karuma-pakwach'!E17,'31.07 karuma-pakwach'!E17,'01.08 karuma-pakwach'!E17,'2.08 Karuma-Pakwach-24h'!E17,'04.08 Karuma-Pakwach'!E17)</f>
        <v>1.1666666666666667</v>
      </c>
      <c r="F17" s="49">
        <f>AVERAGE('29.07 karuma-pakwach'!F17,'30.07 karuma-pakwach'!F17,'31.07 karuma-pakwach'!F17,'01.08 karuma-pakwach'!F17,'2.08 Karuma-Pakwach-24h'!F17,'04.08 Karuma-Pakwach'!F17)</f>
        <v>0.33333333333333331</v>
      </c>
      <c r="G17" s="49">
        <f>AVERAGE('29.07 karuma-pakwach'!G17,'30.07 karuma-pakwach'!G17,'31.07 karuma-pakwach'!G17,'01.08 karuma-pakwach'!G17,'2.08 Karuma-Pakwach-24h'!G17,'04.08 Karuma-Pakwach'!G17)</f>
        <v>0.83333333333333337</v>
      </c>
      <c r="H17" s="49">
        <f>AVERAGE('29.07 karuma-pakwach'!H17,'30.07 karuma-pakwach'!H17,'31.07 karuma-pakwach'!H17,'01.08 karuma-pakwach'!H17,'2.08 Karuma-Pakwach-24h'!H17,'04.08 Karuma-Pakwach'!H17)</f>
        <v>0.16666666666666666</v>
      </c>
      <c r="I17" s="49">
        <f>AVERAGE('29.07 karuma-pakwach'!I17,'30.07 karuma-pakwach'!I17,'31.07 karuma-pakwach'!I17,'01.08 karuma-pakwach'!I17,'2.08 Karuma-Pakwach-24h'!I17,'04.08 Karuma-Pakwach'!I17)</f>
        <v>0.16666666666666666</v>
      </c>
      <c r="J17" s="49">
        <f>AVERAGE('29.07 karuma-pakwach'!J17,'30.07 karuma-pakwach'!J17,'31.07 karuma-pakwach'!J17,'01.08 karuma-pakwach'!J17,'2.08 Karuma-Pakwach-24h'!J17,'04.08 Karuma-Pakwach'!J17)</f>
        <v>0.33333333333333331</v>
      </c>
      <c r="K17" s="49">
        <f>AVERAGE('29.07 karuma-pakwach'!K17,'30.07 karuma-pakwach'!K17,'31.07 karuma-pakwach'!K17,'01.08 karuma-pakwach'!K17,'2.08 Karuma-Pakwach-24h'!K17,'04.08 Karuma-Pakwach'!K17)</f>
        <v>0</v>
      </c>
      <c r="L17" s="49">
        <f>AVERAGE('29.07 karuma-pakwach'!L17,'30.07 karuma-pakwach'!L17,'31.07 karuma-pakwach'!L17,'01.08 karuma-pakwach'!L17,'2.08 Karuma-Pakwach-24h'!L17,'04.08 Karuma-Pakwach'!L17)</f>
        <v>0.66666666666666663</v>
      </c>
      <c r="M17" s="49">
        <f>AVERAGE('29.07 karuma-pakwach'!M17,'30.07 karuma-pakwach'!M17,'31.07 karuma-pakwach'!M17,'01.08 karuma-pakwach'!M17,'2.08 Karuma-Pakwach-24h'!M17,'04.08 Karuma-Pakwach'!M17)</f>
        <v>2.8333333333333335</v>
      </c>
      <c r="N17" s="49">
        <f>AVERAGE('29.07 karuma-pakwach'!N17,'30.07 karuma-pakwach'!N17,'31.07 karuma-pakwach'!N17,'01.08 karuma-pakwach'!N17,'2.08 Karuma-Pakwach-24h'!N17,'04.08 Karuma-Pakwach'!N17)</f>
        <v>0.66666666666666663</v>
      </c>
      <c r="O17" s="15">
        <f t="shared" si="0"/>
        <v>4.6666666666666661</v>
      </c>
      <c r="P17" s="15">
        <f t="shared" si="1"/>
        <v>7.5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6.1666666666666661</v>
      </c>
      <c r="V17" s="17">
        <f t="shared" si="9"/>
        <v>1.1666666666666665</v>
      </c>
      <c r="W17" s="17">
        <f t="shared" si="9"/>
        <v>0.33333333333333331</v>
      </c>
      <c r="X17" s="17">
        <f t="shared" si="9"/>
        <v>1.8333333333333335</v>
      </c>
      <c r="Y17" s="17">
        <f t="shared" si="9"/>
        <v>2.5</v>
      </c>
      <c r="Z17" s="17">
        <f t="shared" si="9"/>
        <v>1.6666666666666665</v>
      </c>
      <c r="AA17" s="17">
        <f t="shared" si="9"/>
        <v>1.1666666666666665</v>
      </c>
      <c r="AB17" s="17">
        <f t="shared" si="9"/>
        <v>4.666666666666667</v>
      </c>
      <c r="AC17" s="17">
        <f t="shared" si="9"/>
        <v>12.5</v>
      </c>
      <c r="AD17" s="17">
        <f t="shared" si="9"/>
        <v>0.5</v>
      </c>
      <c r="AE17" s="31">
        <f t="shared" si="9"/>
        <v>24</v>
      </c>
      <c r="AF17" s="31">
        <f t="shared" si="9"/>
        <v>36.5</v>
      </c>
    </row>
    <row r="18" spans="2:32" ht="23.1" customHeight="1" x14ac:dyDescent="0.25">
      <c r="B18" s="23" t="s">
        <v>45</v>
      </c>
      <c r="C18" s="49">
        <f>AVERAGE('29.07 karuma-pakwach'!C18,'30.07 karuma-pakwach'!C18,'31.07 karuma-pakwach'!C18,'01.08 karuma-pakwach'!C18,'2.08 Karuma-Pakwach-24h'!C18,'04.08 Karuma-Pakwach'!C18)</f>
        <v>0</v>
      </c>
      <c r="D18" s="49">
        <f>AVERAGE('29.07 karuma-pakwach'!D18,'30.07 karuma-pakwach'!D18,'31.07 karuma-pakwach'!D18,'01.08 karuma-pakwach'!D18,'2.08 Karuma-Pakwach-24h'!D18,'04.08 Karuma-Pakwach'!D18)</f>
        <v>0</v>
      </c>
      <c r="E18" s="49">
        <f>AVERAGE('29.07 karuma-pakwach'!E18,'30.07 karuma-pakwach'!E18,'31.07 karuma-pakwach'!E18,'01.08 karuma-pakwach'!E18,'2.08 Karuma-Pakwach-24h'!E18,'04.08 Karuma-Pakwach'!E18)</f>
        <v>0.5</v>
      </c>
      <c r="F18" s="49">
        <f>AVERAGE('29.07 karuma-pakwach'!F18,'30.07 karuma-pakwach'!F18,'31.07 karuma-pakwach'!F18,'01.08 karuma-pakwach'!F18,'2.08 Karuma-Pakwach-24h'!F18,'04.08 Karuma-Pakwach'!F18)</f>
        <v>0.33333333333333331</v>
      </c>
      <c r="G18" s="49">
        <f>AVERAGE('29.07 karuma-pakwach'!G18,'30.07 karuma-pakwach'!G18,'31.07 karuma-pakwach'!G18,'01.08 karuma-pakwach'!G18,'2.08 Karuma-Pakwach-24h'!G18,'04.08 Karuma-Pakwach'!G18)</f>
        <v>0</v>
      </c>
      <c r="H18" s="49">
        <f>AVERAGE('29.07 karuma-pakwach'!H18,'30.07 karuma-pakwach'!H18,'31.07 karuma-pakwach'!H18,'01.08 karuma-pakwach'!H18,'2.08 Karuma-Pakwach-24h'!H18,'04.08 Karuma-Pakwach'!H18)</f>
        <v>0</v>
      </c>
      <c r="I18" s="49">
        <f>AVERAGE('29.07 karuma-pakwach'!I18,'30.07 karuma-pakwach'!I18,'31.07 karuma-pakwach'!I18,'01.08 karuma-pakwach'!I18,'2.08 Karuma-Pakwach-24h'!I18,'04.08 Karuma-Pakwach'!I18)</f>
        <v>0.16666666666666666</v>
      </c>
      <c r="J18" s="49">
        <f>AVERAGE('29.07 karuma-pakwach'!J18,'30.07 karuma-pakwach'!J18,'31.07 karuma-pakwach'!J18,'01.08 karuma-pakwach'!J18,'2.08 Karuma-Pakwach-24h'!J18,'04.08 Karuma-Pakwach'!J18)</f>
        <v>0</v>
      </c>
      <c r="K18" s="49">
        <f>AVERAGE('29.07 karuma-pakwach'!K18,'30.07 karuma-pakwach'!K18,'31.07 karuma-pakwach'!K18,'01.08 karuma-pakwach'!K18,'2.08 Karuma-Pakwach-24h'!K18,'04.08 Karuma-Pakwach'!K18)</f>
        <v>0</v>
      </c>
      <c r="L18" s="49">
        <f>AVERAGE('29.07 karuma-pakwach'!L18,'30.07 karuma-pakwach'!L18,'31.07 karuma-pakwach'!L18,'01.08 karuma-pakwach'!L18,'2.08 Karuma-Pakwach-24h'!L18,'04.08 Karuma-Pakwach'!L18)</f>
        <v>0.16666666666666666</v>
      </c>
      <c r="M18" s="49">
        <f>AVERAGE('29.07 karuma-pakwach'!M18,'30.07 karuma-pakwach'!M18,'31.07 karuma-pakwach'!M18,'01.08 karuma-pakwach'!M18,'2.08 Karuma-Pakwach-24h'!M18,'04.08 Karuma-Pakwach'!M18)</f>
        <v>3.6666666666666665</v>
      </c>
      <c r="N18" s="49">
        <f>AVERAGE('29.07 karuma-pakwach'!N18,'30.07 karuma-pakwach'!N18,'31.07 karuma-pakwach'!N18,'01.08 karuma-pakwach'!N18,'2.08 Karuma-Pakwach-24h'!N18,'04.08 Karuma-Pakwach'!N18)</f>
        <v>0</v>
      </c>
      <c r="O18" s="15">
        <f t="shared" si="0"/>
        <v>1.1666666666666665</v>
      </c>
      <c r="P18" s="15">
        <f t="shared" si="1"/>
        <v>4.833333333333333</v>
      </c>
      <c r="R18" s="1" t="s">
        <v>14</v>
      </c>
      <c r="S18" s="17">
        <f t="shared" ref="S18:AF18" si="10">SUM(C42:C45)</f>
        <v>2.6666666666666665</v>
      </c>
      <c r="T18" s="17">
        <f t="shared" si="10"/>
        <v>0.99999999999999989</v>
      </c>
      <c r="U18" s="17">
        <f t="shared" si="10"/>
        <v>4.5</v>
      </c>
      <c r="V18" s="17">
        <f t="shared" si="10"/>
        <v>3.166666666666667</v>
      </c>
      <c r="W18" s="17">
        <f t="shared" si="10"/>
        <v>0.5</v>
      </c>
      <c r="X18" s="17">
        <f t="shared" si="10"/>
        <v>2</v>
      </c>
      <c r="Y18" s="17">
        <f t="shared" si="10"/>
        <v>2.8333333333333335</v>
      </c>
      <c r="Z18" s="17">
        <f t="shared" si="10"/>
        <v>1.5</v>
      </c>
      <c r="AA18" s="17">
        <f t="shared" si="10"/>
        <v>2.5</v>
      </c>
      <c r="AB18" s="17">
        <f t="shared" si="10"/>
        <v>5</v>
      </c>
      <c r="AC18" s="17">
        <f t="shared" si="10"/>
        <v>15.5</v>
      </c>
      <c r="AD18" s="17">
        <f t="shared" si="10"/>
        <v>0.99999999999999989</v>
      </c>
      <c r="AE18" s="31">
        <f t="shared" si="10"/>
        <v>26.666666666666668</v>
      </c>
      <c r="AF18" s="31">
        <f t="shared" si="10"/>
        <v>42.166666666666664</v>
      </c>
    </row>
    <row r="19" spans="2:32" ht="23.1" customHeight="1" x14ac:dyDescent="0.25">
      <c r="B19" s="23" t="s">
        <v>46</v>
      </c>
      <c r="C19" s="49">
        <f>AVERAGE('29.07 karuma-pakwach'!C19,'30.07 karuma-pakwach'!C19,'31.07 karuma-pakwach'!C19,'01.08 karuma-pakwach'!C19,'2.08 Karuma-Pakwach-24h'!C19,'04.08 Karuma-Pakwach'!C19)</f>
        <v>0.33333333333333331</v>
      </c>
      <c r="D19" s="49">
        <f>AVERAGE('29.07 karuma-pakwach'!D19,'30.07 karuma-pakwach'!D19,'31.07 karuma-pakwach'!D19,'01.08 karuma-pakwach'!D19,'2.08 Karuma-Pakwach-24h'!D19,'04.08 Karuma-Pakwach'!D19)</f>
        <v>0.16666666666666666</v>
      </c>
      <c r="E19" s="49">
        <f>AVERAGE('29.07 karuma-pakwach'!E19,'30.07 karuma-pakwach'!E19,'31.07 karuma-pakwach'!E19,'01.08 karuma-pakwach'!E19,'2.08 Karuma-Pakwach-24h'!E19,'04.08 Karuma-Pakwach'!E19)</f>
        <v>0.66666666666666663</v>
      </c>
      <c r="F19" s="49">
        <f>AVERAGE('29.07 karuma-pakwach'!F19,'30.07 karuma-pakwach'!F19,'31.07 karuma-pakwach'!F19,'01.08 karuma-pakwach'!F19,'2.08 Karuma-Pakwach-24h'!F19,'04.08 Karuma-Pakwach'!F19)</f>
        <v>0.66666666666666663</v>
      </c>
      <c r="G19" s="49">
        <f>AVERAGE('29.07 karuma-pakwach'!G19,'30.07 karuma-pakwach'!G19,'31.07 karuma-pakwach'!G19,'01.08 karuma-pakwach'!G19,'2.08 Karuma-Pakwach-24h'!G19,'04.08 Karuma-Pakwach'!G19)</f>
        <v>0</v>
      </c>
      <c r="H19" s="49">
        <f>AVERAGE('29.07 karuma-pakwach'!H19,'30.07 karuma-pakwach'!H19,'31.07 karuma-pakwach'!H19,'01.08 karuma-pakwach'!H19,'2.08 Karuma-Pakwach-24h'!H19,'04.08 Karuma-Pakwach'!H19)</f>
        <v>0.16666666666666666</v>
      </c>
      <c r="I19" s="49">
        <f>AVERAGE('29.07 karuma-pakwach'!I19,'30.07 karuma-pakwach'!I19,'31.07 karuma-pakwach'!I19,'01.08 karuma-pakwach'!I19,'2.08 Karuma-Pakwach-24h'!I19,'04.08 Karuma-Pakwach'!I19)</f>
        <v>0.33333333333333331</v>
      </c>
      <c r="J19" s="49">
        <f>AVERAGE('29.07 karuma-pakwach'!J19,'30.07 karuma-pakwach'!J19,'31.07 karuma-pakwach'!J19,'01.08 karuma-pakwach'!J19,'2.08 Karuma-Pakwach-24h'!J19,'04.08 Karuma-Pakwach'!J19)</f>
        <v>0.16666666666666666</v>
      </c>
      <c r="K19" s="49">
        <f>AVERAGE('29.07 karuma-pakwach'!K19,'30.07 karuma-pakwach'!K19,'31.07 karuma-pakwach'!K19,'01.08 karuma-pakwach'!K19,'2.08 Karuma-Pakwach-24h'!K19,'04.08 Karuma-Pakwach'!K19)</f>
        <v>0</v>
      </c>
      <c r="L19" s="49">
        <f>AVERAGE('29.07 karuma-pakwach'!L19,'30.07 karuma-pakwach'!L19,'31.07 karuma-pakwach'!L19,'01.08 karuma-pakwach'!L19,'2.08 Karuma-Pakwach-24h'!L19,'04.08 Karuma-Pakwach'!L19)</f>
        <v>1.1666666666666667</v>
      </c>
      <c r="M19" s="49">
        <f>AVERAGE('29.07 karuma-pakwach'!M19,'30.07 karuma-pakwach'!M19,'31.07 karuma-pakwach'!M19,'01.08 karuma-pakwach'!M19,'2.08 Karuma-Pakwach-24h'!M19,'04.08 Karuma-Pakwach'!M19)</f>
        <v>1.5</v>
      </c>
      <c r="N19" s="49">
        <f>AVERAGE('29.07 karuma-pakwach'!N19,'30.07 karuma-pakwach'!N19,'31.07 karuma-pakwach'!N19,'01.08 karuma-pakwach'!N19,'2.08 Karuma-Pakwach-24h'!N19,'04.08 Karuma-Pakwach'!N19)</f>
        <v>0</v>
      </c>
      <c r="O19" s="15">
        <f t="shared" si="0"/>
        <v>3.6666666666666661</v>
      </c>
      <c r="P19" s="15">
        <f t="shared" si="1"/>
        <v>5.1666666666666661</v>
      </c>
      <c r="R19" s="1" t="s">
        <v>15</v>
      </c>
      <c r="S19" s="17">
        <f t="shared" ref="S19:AF19" si="11">SUM(C46:C49)</f>
        <v>2.3333333333333335</v>
      </c>
      <c r="T19" s="17">
        <f t="shared" si="11"/>
        <v>0.33333333333333331</v>
      </c>
      <c r="U19" s="17">
        <f t="shared" si="11"/>
        <v>3.5000000000000004</v>
      </c>
      <c r="V19" s="17">
        <f t="shared" si="11"/>
        <v>2.6666666666666665</v>
      </c>
      <c r="W19" s="17">
        <f t="shared" si="11"/>
        <v>1.1666666666666665</v>
      </c>
      <c r="X19" s="17">
        <f t="shared" si="11"/>
        <v>0.5</v>
      </c>
      <c r="Y19" s="17">
        <f t="shared" si="11"/>
        <v>4</v>
      </c>
      <c r="Z19" s="17">
        <f t="shared" si="11"/>
        <v>1</v>
      </c>
      <c r="AA19" s="17">
        <f t="shared" si="11"/>
        <v>1.1666666666666667</v>
      </c>
      <c r="AB19" s="17">
        <f t="shared" si="11"/>
        <v>3.8333333333333335</v>
      </c>
      <c r="AC19" s="17">
        <f t="shared" si="11"/>
        <v>12.333333333333334</v>
      </c>
      <c r="AD19" s="17">
        <f t="shared" si="11"/>
        <v>1.6666666666666667</v>
      </c>
      <c r="AE19" s="31">
        <f t="shared" si="11"/>
        <v>22.166666666666668</v>
      </c>
      <c r="AF19" s="31">
        <f t="shared" si="11"/>
        <v>34.5</v>
      </c>
    </row>
    <row r="20" spans="2:32" ht="23.1" customHeight="1" x14ac:dyDescent="0.25">
      <c r="B20" s="23" t="s">
        <v>47</v>
      </c>
      <c r="C20" s="49">
        <f>AVERAGE('29.07 karuma-pakwach'!C20,'30.07 karuma-pakwach'!C20,'31.07 karuma-pakwach'!C20,'01.08 karuma-pakwach'!C20,'2.08 Karuma-Pakwach-24h'!C20,'04.08 Karuma-Pakwach'!C20)</f>
        <v>0.16666666666666666</v>
      </c>
      <c r="D20" s="49">
        <f>AVERAGE('29.07 karuma-pakwach'!D20,'30.07 karuma-pakwach'!D20,'31.07 karuma-pakwach'!D20,'01.08 karuma-pakwach'!D20,'2.08 Karuma-Pakwach-24h'!D20,'04.08 Karuma-Pakwach'!D20)</f>
        <v>0.33333333333333331</v>
      </c>
      <c r="E20" s="49">
        <f>AVERAGE('29.07 karuma-pakwach'!E20,'30.07 karuma-pakwach'!E20,'31.07 karuma-pakwach'!E20,'01.08 karuma-pakwach'!E20,'2.08 Karuma-Pakwach-24h'!E20,'04.08 Karuma-Pakwach'!E20)</f>
        <v>0.83333333333333337</v>
      </c>
      <c r="F20" s="49">
        <f>AVERAGE('29.07 karuma-pakwach'!F20,'30.07 karuma-pakwach'!F20,'31.07 karuma-pakwach'!F20,'01.08 karuma-pakwach'!F20,'2.08 Karuma-Pakwach-24h'!F20,'04.08 Karuma-Pakwach'!F20)</f>
        <v>0.66666666666666663</v>
      </c>
      <c r="G20" s="49">
        <f>AVERAGE('29.07 karuma-pakwach'!G20,'30.07 karuma-pakwach'!G20,'31.07 karuma-pakwach'!G20,'01.08 karuma-pakwach'!G20,'2.08 Karuma-Pakwach-24h'!G20,'04.08 Karuma-Pakwach'!G20)</f>
        <v>0</v>
      </c>
      <c r="H20" s="49">
        <f>AVERAGE('29.07 karuma-pakwach'!H20,'30.07 karuma-pakwach'!H20,'31.07 karuma-pakwach'!H20,'01.08 karuma-pakwach'!H20,'2.08 Karuma-Pakwach-24h'!H20,'04.08 Karuma-Pakwach'!H20)</f>
        <v>0.33333333333333331</v>
      </c>
      <c r="I20" s="49">
        <f>AVERAGE('29.07 karuma-pakwach'!I20,'30.07 karuma-pakwach'!I20,'31.07 karuma-pakwach'!I20,'01.08 karuma-pakwach'!I20,'2.08 Karuma-Pakwach-24h'!I20,'04.08 Karuma-Pakwach'!I20)</f>
        <v>0.33333333333333331</v>
      </c>
      <c r="J20" s="49">
        <f>AVERAGE('29.07 karuma-pakwach'!J20,'30.07 karuma-pakwach'!J20,'31.07 karuma-pakwach'!J20,'01.08 karuma-pakwach'!J20,'2.08 Karuma-Pakwach-24h'!J20,'04.08 Karuma-Pakwach'!J20)</f>
        <v>0.16666666666666666</v>
      </c>
      <c r="K20" s="49">
        <f>AVERAGE('29.07 karuma-pakwach'!K20,'30.07 karuma-pakwach'!K20,'31.07 karuma-pakwach'!K20,'01.08 karuma-pakwach'!K20,'2.08 Karuma-Pakwach-24h'!K20,'04.08 Karuma-Pakwach'!K20)</f>
        <v>0.16666666666666666</v>
      </c>
      <c r="L20" s="49">
        <f>AVERAGE('29.07 karuma-pakwach'!L20,'30.07 karuma-pakwach'!L20,'31.07 karuma-pakwach'!L20,'01.08 karuma-pakwach'!L20,'2.08 Karuma-Pakwach-24h'!L20,'04.08 Karuma-Pakwach'!L20)</f>
        <v>0</v>
      </c>
      <c r="M20" s="49">
        <f>AVERAGE('29.07 karuma-pakwach'!M20,'30.07 karuma-pakwach'!M20,'31.07 karuma-pakwach'!M20,'01.08 karuma-pakwach'!M20,'2.08 Karuma-Pakwach-24h'!M20,'04.08 Karuma-Pakwach'!M20)</f>
        <v>6.333333333333333</v>
      </c>
      <c r="N20" s="49">
        <f>AVERAGE('29.07 karuma-pakwach'!N20,'30.07 karuma-pakwach'!N20,'31.07 karuma-pakwach'!N20,'01.08 karuma-pakwach'!N20,'2.08 Karuma-Pakwach-24h'!N20,'04.08 Karuma-Pakwach'!N20)</f>
        <v>0.16666666666666666</v>
      </c>
      <c r="O20" s="15">
        <f t="shared" si="0"/>
        <v>3.1666666666666665</v>
      </c>
      <c r="P20" s="15">
        <f t="shared" si="1"/>
        <v>9.4999999999999982</v>
      </c>
      <c r="R20" s="1" t="s">
        <v>16</v>
      </c>
      <c r="S20" s="17">
        <f t="shared" ref="S20:AF20" si="12">SUM(C50:C53)</f>
        <v>4</v>
      </c>
      <c r="T20" s="17">
        <f t="shared" si="12"/>
        <v>0.66666666666666663</v>
      </c>
      <c r="U20" s="17">
        <f t="shared" si="12"/>
        <v>4</v>
      </c>
      <c r="V20" s="17">
        <f t="shared" si="12"/>
        <v>2.5</v>
      </c>
      <c r="W20" s="17">
        <f t="shared" si="12"/>
        <v>0.99999999999999989</v>
      </c>
      <c r="X20" s="17">
        <f t="shared" si="12"/>
        <v>0</v>
      </c>
      <c r="Y20" s="17">
        <f t="shared" si="12"/>
        <v>2</v>
      </c>
      <c r="Z20" s="17">
        <f t="shared" si="12"/>
        <v>1.3333333333333333</v>
      </c>
      <c r="AA20" s="17">
        <f t="shared" si="12"/>
        <v>0.33333333333333331</v>
      </c>
      <c r="AB20" s="17">
        <f t="shared" si="12"/>
        <v>4</v>
      </c>
      <c r="AC20" s="17">
        <f t="shared" si="12"/>
        <v>12.333333333333332</v>
      </c>
      <c r="AD20" s="17">
        <f t="shared" si="12"/>
        <v>0.16666666666666666</v>
      </c>
      <c r="AE20" s="31">
        <f t="shared" si="12"/>
        <v>20</v>
      </c>
      <c r="AF20" s="31">
        <f t="shared" si="12"/>
        <v>32.333333333333329</v>
      </c>
    </row>
    <row r="21" spans="2:32" ht="23.1" customHeight="1" x14ac:dyDescent="0.25">
      <c r="B21" s="23" t="s">
        <v>48</v>
      </c>
      <c r="C21" s="49">
        <f>AVERAGE('29.07 karuma-pakwach'!C21,'30.07 karuma-pakwach'!C21,'31.07 karuma-pakwach'!C21,'01.08 karuma-pakwach'!C21,'2.08 Karuma-Pakwach-24h'!C21,'04.08 Karuma-Pakwach'!C21)</f>
        <v>0.33333333333333331</v>
      </c>
      <c r="D21" s="49">
        <f>AVERAGE('29.07 karuma-pakwach'!D21,'30.07 karuma-pakwach'!D21,'31.07 karuma-pakwach'!D21,'01.08 karuma-pakwach'!D21,'2.08 Karuma-Pakwach-24h'!D21,'04.08 Karuma-Pakwach'!D21)</f>
        <v>0.33333333333333331</v>
      </c>
      <c r="E21" s="49">
        <f>AVERAGE('29.07 karuma-pakwach'!E21,'30.07 karuma-pakwach'!E21,'31.07 karuma-pakwach'!E21,'01.08 karuma-pakwach'!E21,'2.08 Karuma-Pakwach-24h'!E21,'04.08 Karuma-Pakwach'!E21)</f>
        <v>1.6666666666666667</v>
      </c>
      <c r="F21" s="49">
        <f>AVERAGE('29.07 karuma-pakwach'!F21,'30.07 karuma-pakwach'!F21,'31.07 karuma-pakwach'!F21,'01.08 karuma-pakwach'!F21,'2.08 Karuma-Pakwach-24h'!F21,'04.08 Karuma-Pakwach'!F21)</f>
        <v>0.66666666666666663</v>
      </c>
      <c r="G21" s="49">
        <f>AVERAGE('29.07 karuma-pakwach'!G21,'30.07 karuma-pakwach'!G21,'31.07 karuma-pakwach'!G21,'01.08 karuma-pakwach'!G21,'2.08 Karuma-Pakwach-24h'!G21,'04.08 Karuma-Pakwach'!G21)</f>
        <v>0.83333333333333337</v>
      </c>
      <c r="H21" s="49">
        <f>AVERAGE('29.07 karuma-pakwach'!H21,'30.07 karuma-pakwach'!H21,'31.07 karuma-pakwach'!H21,'01.08 karuma-pakwach'!H21,'2.08 Karuma-Pakwach-24h'!H21,'04.08 Karuma-Pakwach'!H21)</f>
        <v>0.33333333333333331</v>
      </c>
      <c r="I21" s="49">
        <f>AVERAGE('29.07 karuma-pakwach'!I21,'30.07 karuma-pakwach'!I21,'31.07 karuma-pakwach'!I21,'01.08 karuma-pakwach'!I21,'2.08 Karuma-Pakwach-24h'!I21,'04.08 Karuma-Pakwach'!I21)</f>
        <v>0.33333333333333331</v>
      </c>
      <c r="J21" s="49">
        <f>AVERAGE('29.07 karuma-pakwach'!J21,'30.07 karuma-pakwach'!J21,'31.07 karuma-pakwach'!J21,'01.08 karuma-pakwach'!J21,'2.08 Karuma-Pakwach-24h'!J21,'04.08 Karuma-Pakwach'!J21)</f>
        <v>0.16666666666666666</v>
      </c>
      <c r="K21" s="49">
        <f>AVERAGE('29.07 karuma-pakwach'!K21,'30.07 karuma-pakwach'!K21,'31.07 karuma-pakwach'!K21,'01.08 karuma-pakwach'!K21,'2.08 Karuma-Pakwach-24h'!K21,'04.08 Karuma-Pakwach'!K21)</f>
        <v>0</v>
      </c>
      <c r="L21" s="49">
        <f>AVERAGE('29.07 karuma-pakwach'!L21,'30.07 karuma-pakwach'!L21,'31.07 karuma-pakwach'!L21,'01.08 karuma-pakwach'!L21,'2.08 Karuma-Pakwach-24h'!L21,'04.08 Karuma-Pakwach'!L21)</f>
        <v>0.83333333333333337</v>
      </c>
      <c r="M21" s="49">
        <f>AVERAGE('29.07 karuma-pakwach'!M21,'30.07 karuma-pakwach'!M21,'31.07 karuma-pakwach'!M21,'01.08 karuma-pakwach'!M21,'2.08 Karuma-Pakwach-24h'!M21,'04.08 Karuma-Pakwach'!M21)</f>
        <v>4.333333333333333</v>
      </c>
      <c r="N21" s="49">
        <f>AVERAGE('29.07 karuma-pakwach'!N21,'30.07 karuma-pakwach'!N21,'31.07 karuma-pakwach'!N21,'01.08 karuma-pakwach'!N21,'2.08 Karuma-Pakwach-24h'!N21,'04.08 Karuma-Pakwach'!N21)</f>
        <v>0</v>
      </c>
      <c r="O21" s="15">
        <f t="shared" si="0"/>
        <v>5.5</v>
      </c>
      <c r="P21" s="15">
        <f t="shared" si="1"/>
        <v>9.8333333333333321</v>
      </c>
      <c r="R21" s="36" t="s">
        <v>20</v>
      </c>
      <c r="S21" s="34">
        <f t="shared" ref="S21:AF21" si="13">SUM(C54:C57)</f>
        <v>1.8333333333333333</v>
      </c>
      <c r="T21" s="17">
        <f t="shared" si="13"/>
        <v>0.16666666666666666</v>
      </c>
      <c r="U21" s="17">
        <f t="shared" si="13"/>
        <v>3</v>
      </c>
      <c r="V21" s="17">
        <f t="shared" si="13"/>
        <v>1.3333333333333333</v>
      </c>
      <c r="W21" s="17">
        <f t="shared" si="13"/>
        <v>0.33333333333333331</v>
      </c>
      <c r="X21" s="17">
        <f t="shared" si="13"/>
        <v>1.1666666666666665</v>
      </c>
      <c r="Y21" s="17">
        <f t="shared" si="13"/>
        <v>1.3333333333333333</v>
      </c>
      <c r="Z21" s="17">
        <f t="shared" si="13"/>
        <v>0.5</v>
      </c>
      <c r="AA21" s="17">
        <f t="shared" si="13"/>
        <v>1.5</v>
      </c>
      <c r="AB21" s="17">
        <f t="shared" si="13"/>
        <v>2</v>
      </c>
      <c r="AC21" s="17">
        <f t="shared" si="13"/>
        <v>9.3333333333333339</v>
      </c>
      <c r="AD21" s="17">
        <f t="shared" si="13"/>
        <v>0.66666666666666663</v>
      </c>
      <c r="AE21" s="31">
        <f t="shared" si="13"/>
        <v>13.833333333333334</v>
      </c>
      <c r="AF21" s="31">
        <f t="shared" si="13"/>
        <v>23.166666666666668</v>
      </c>
    </row>
    <row r="22" spans="2:32" ht="23.1" customHeight="1" x14ac:dyDescent="0.25">
      <c r="B22" s="23" t="s">
        <v>49</v>
      </c>
      <c r="C22" s="49">
        <f>AVERAGE('29.07 karuma-pakwach'!C22,'30.07 karuma-pakwach'!C22,'31.07 karuma-pakwach'!C22,'01.08 karuma-pakwach'!C22,'2.08 Karuma-Pakwach-24h'!C22,'04.08 Karuma-Pakwach'!C22)</f>
        <v>0.83333333333333337</v>
      </c>
      <c r="D22" s="49">
        <f>AVERAGE('29.07 karuma-pakwach'!D22,'30.07 karuma-pakwach'!D22,'31.07 karuma-pakwach'!D22,'01.08 karuma-pakwach'!D22,'2.08 Karuma-Pakwach-24h'!D22,'04.08 Karuma-Pakwach'!D22)</f>
        <v>0.16666666666666666</v>
      </c>
      <c r="E22" s="49">
        <f>AVERAGE('29.07 karuma-pakwach'!E22,'30.07 karuma-pakwach'!E22,'31.07 karuma-pakwach'!E22,'01.08 karuma-pakwach'!E22,'2.08 Karuma-Pakwach-24h'!E22,'04.08 Karuma-Pakwach'!E22)</f>
        <v>0.83333333333333337</v>
      </c>
      <c r="F22" s="49">
        <f>AVERAGE('29.07 karuma-pakwach'!F22,'30.07 karuma-pakwach'!F22,'31.07 karuma-pakwach'!F22,'01.08 karuma-pakwach'!F22,'2.08 Karuma-Pakwach-24h'!F22,'04.08 Karuma-Pakwach'!F22)</f>
        <v>0.83333333333333337</v>
      </c>
      <c r="G22" s="49">
        <f>AVERAGE('29.07 karuma-pakwach'!G22,'30.07 karuma-pakwach'!G22,'31.07 karuma-pakwach'!G22,'01.08 karuma-pakwach'!G22,'2.08 Karuma-Pakwach-24h'!G22,'04.08 Karuma-Pakwach'!G22)</f>
        <v>0.5</v>
      </c>
      <c r="H22" s="49">
        <f>AVERAGE('29.07 karuma-pakwach'!H22,'30.07 karuma-pakwach'!H22,'31.07 karuma-pakwach'!H22,'01.08 karuma-pakwach'!H22,'2.08 Karuma-Pakwach-24h'!H22,'04.08 Karuma-Pakwach'!H22)</f>
        <v>0.5</v>
      </c>
      <c r="I22" s="49">
        <f>AVERAGE('29.07 karuma-pakwach'!I22,'30.07 karuma-pakwach'!I22,'31.07 karuma-pakwach'!I22,'01.08 karuma-pakwach'!I22,'2.08 Karuma-Pakwach-24h'!I22,'04.08 Karuma-Pakwach'!I22)</f>
        <v>0.33333333333333331</v>
      </c>
      <c r="J22" s="49">
        <f>AVERAGE('29.07 karuma-pakwach'!J22,'30.07 karuma-pakwach'!J22,'31.07 karuma-pakwach'!J22,'01.08 karuma-pakwach'!J22,'2.08 Karuma-Pakwach-24h'!J22,'04.08 Karuma-Pakwach'!J22)</f>
        <v>0</v>
      </c>
      <c r="K22" s="49">
        <f>AVERAGE('29.07 karuma-pakwach'!K22,'30.07 karuma-pakwach'!K22,'31.07 karuma-pakwach'!K22,'01.08 karuma-pakwach'!K22,'2.08 Karuma-Pakwach-24h'!K22,'04.08 Karuma-Pakwach'!K22)</f>
        <v>0.16666666666666666</v>
      </c>
      <c r="L22" s="49">
        <f>AVERAGE('29.07 karuma-pakwach'!L22,'30.07 karuma-pakwach'!L22,'31.07 karuma-pakwach'!L22,'01.08 karuma-pakwach'!L22,'2.08 Karuma-Pakwach-24h'!L22,'04.08 Karuma-Pakwach'!L22)</f>
        <v>0.33333333333333331</v>
      </c>
      <c r="M22" s="49">
        <f>AVERAGE('29.07 karuma-pakwach'!M22,'30.07 karuma-pakwach'!M22,'31.07 karuma-pakwach'!M22,'01.08 karuma-pakwach'!M22,'2.08 Karuma-Pakwach-24h'!M22,'04.08 Karuma-Pakwach'!M22)</f>
        <v>2.1666666666666665</v>
      </c>
      <c r="N22" s="49">
        <f>AVERAGE('29.07 karuma-pakwach'!N22,'30.07 karuma-pakwach'!N22,'31.07 karuma-pakwach'!N22,'01.08 karuma-pakwach'!N22,'2.08 Karuma-Pakwach-24h'!N22,'04.08 Karuma-Pakwach'!N22)</f>
        <v>0</v>
      </c>
      <c r="O22" s="15">
        <f t="shared" si="0"/>
        <v>4.5</v>
      </c>
      <c r="P22" s="15">
        <f t="shared" si="1"/>
        <v>6.6666666666666661</v>
      </c>
      <c r="R22" s="1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4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2</v>
      </c>
      <c r="AA22" s="34">
        <f t="shared" si="14"/>
        <v>0</v>
      </c>
      <c r="AB22" s="34">
        <f t="shared" si="14"/>
        <v>4</v>
      </c>
      <c r="AC22" s="34">
        <f t="shared" si="14"/>
        <v>7</v>
      </c>
      <c r="AD22" s="34">
        <f t="shared" si="14"/>
        <v>0</v>
      </c>
      <c r="AE22" s="31">
        <f t="shared" si="14"/>
        <v>12</v>
      </c>
      <c r="AF22" s="31">
        <f t="shared" si="14"/>
        <v>19</v>
      </c>
    </row>
    <row r="23" spans="2:32" ht="23.1" customHeight="1" x14ac:dyDescent="0.25">
      <c r="B23" s="23" t="s">
        <v>50</v>
      </c>
      <c r="C23" s="49">
        <f>AVERAGE('29.07 karuma-pakwach'!C23,'30.07 karuma-pakwach'!C23,'31.07 karuma-pakwach'!C23,'01.08 karuma-pakwach'!C23,'2.08 Karuma-Pakwach-24h'!C23,'04.08 Karuma-Pakwach'!C23)</f>
        <v>0.66666666666666663</v>
      </c>
      <c r="D23" s="49">
        <f>AVERAGE('29.07 karuma-pakwach'!D23,'30.07 karuma-pakwach'!D23,'31.07 karuma-pakwach'!D23,'01.08 karuma-pakwach'!D23,'2.08 Karuma-Pakwach-24h'!D23,'04.08 Karuma-Pakwach'!D23)</f>
        <v>0.33333333333333331</v>
      </c>
      <c r="E23" s="49">
        <f>AVERAGE('29.07 karuma-pakwach'!E23,'30.07 karuma-pakwach'!E23,'31.07 karuma-pakwach'!E23,'01.08 karuma-pakwach'!E23,'2.08 Karuma-Pakwach-24h'!E23,'04.08 Karuma-Pakwach'!E23)</f>
        <v>2</v>
      </c>
      <c r="F23" s="49">
        <f>AVERAGE('29.07 karuma-pakwach'!F23,'30.07 karuma-pakwach'!F23,'31.07 karuma-pakwach'!F23,'01.08 karuma-pakwach'!F23,'2.08 Karuma-Pakwach-24h'!F23,'04.08 Karuma-Pakwach'!F23)</f>
        <v>1.1666666666666667</v>
      </c>
      <c r="G23" s="49">
        <f>AVERAGE('29.07 karuma-pakwach'!G23,'30.07 karuma-pakwach'!G23,'31.07 karuma-pakwach'!G23,'01.08 karuma-pakwach'!G23,'2.08 Karuma-Pakwach-24h'!G23,'04.08 Karuma-Pakwach'!G23)</f>
        <v>0.66666666666666663</v>
      </c>
      <c r="H23" s="49">
        <f>AVERAGE('29.07 karuma-pakwach'!H23,'30.07 karuma-pakwach'!H23,'31.07 karuma-pakwach'!H23,'01.08 karuma-pakwach'!H23,'2.08 Karuma-Pakwach-24h'!H23,'04.08 Karuma-Pakwach'!H23)</f>
        <v>0.83333333333333337</v>
      </c>
      <c r="I23" s="49">
        <f>AVERAGE('29.07 karuma-pakwach'!I23,'30.07 karuma-pakwach'!I23,'31.07 karuma-pakwach'!I23,'01.08 karuma-pakwach'!I23,'2.08 Karuma-Pakwach-24h'!I23,'04.08 Karuma-Pakwach'!I23)</f>
        <v>0.5</v>
      </c>
      <c r="J23" s="49">
        <f>AVERAGE('29.07 karuma-pakwach'!J23,'30.07 karuma-pakwach'!J23,'31.07 karuma-pakwach'!J23,'01.08 karuma-pakwach'!J23,'2.08 Karuma-Pakwach-24h'!J23,'04.08 Karuma-Pakwach'!J23)</f>
        <v>0</v>
      </c>
      <c r="K23" s="49">
        <f>AVERAGE('29.07 karuma-pakwach'!K23,'30.07 karuma-pakwach'!K23,'31.07 karuma-pakwach'!K23,'01.08 karuma-pakwach'!K23,'2.08 Karuma-Pakwach-24h'!K23,'04.08 Karuma-Pakwach'!K23)</f>
        <v>0.16666666666666666</v>
      </c>
      <c r="L23" s="49">
        <f>AVERAGE('29.07 karuma-pakwach'!L23,'30.07 karuma-pakwach'!L23,'31.07 karuma-pakwach'!L23,'01.08 karuma-pakwach'!L23,'2.08 Karuma-Pakwach-24h'!L23,'04.08 Karuma-Pakwach'!L23)</f>
        <v>0.5</v>
      </c>
      <c r="M23" s="49">
        <f>AVERAGE('29.07 karuma-pakwach'!M23,'30.07 karuma-pakwach'!M23,'31.07 karuma-pakwach'!M23,'01.08 karuma-pakwach'!M23,'2.08 Karuma-Pakwach-24h'!M23,'04.08 Karuma-Pakwach'!M23)</f>
        <v>3.6666666666666665</v>
      </c>
      <c r="N23" s="49">
        <f>AVERAGE('29.07 karuma-pakwach'!N23,'30.07 karuma-pakwach'!N23,'31.07 karuma-pakwach'!N23,'01.08 karuma-pakwach'!N23,'2.08 Karuma-Pakwach-24h'!N23,'04.08 Karuma-Pakwach'!N23)</f>
        <v>0</v>
      </c>
      <c r="O23" s="15">
        <f t="shared" si="0"/>
        <v>6.8333333333333339</v>
      </c>
      <c r="P23" s="15">
        <f t="shared" si="1"/>
        <v>10.5</v>
      </c>
      <c r="R23" s="1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3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3</v>
      </c>
      <c r="AA23" s="34">
        <f t="shared" si="15"/>
        <v>0</v>
      </c>
      <c r="AB23" s="34">
        <f t="shared" si="15"/>
        <v>4</v>
      </c>
      <c r="AC23" s="34">
        <f t="shared" si="15"/>
        <v>8</v>
      </c>
      <c r="AD23" s="34">
        <f t="shared" si="15"/>
        <v>0</v>
      </c>
      <c r="AE23" s="31">
        <f t="shared" si="15"/>
        <v>12</v>
      </c>
      <c r="AF23" s="31">
        <f t="shared" si="15"/>
        <v>20</v>
      </c>
    </row>
    <row r="24" spans="2:32" ht="23.1" customHeight="1" x14ac:dyDescent="0.25">
      <c r="B24" s="23" t="s">
        <v>51</v>
      </c>
      <c r="C24" s="49">
        <f>AVERAGE('29.07 karuma-pakwach'!C24,'30.07 karuma-pakwach'!C24,'31.07 karuma-pakwach'!C24,'01.08 karuma-pakwach'!C24,'2.08 Karuma-Pakwach-24h'!C24,'04.08 Karuma-Pakwach'!C24)</f>
        <v>0</v>
      </c>
      <c r="D24" s="49">
        <f>AVERAGE('29.07 karuma-pakwach'!D24,'30.07 karuma-pakwach'!D24,'31.07 karuma-pakwach'!D24,'01.08 karuma-pakwach'!D24,'2.08 Karuma-Pakwach-24h'!D24,'04.08 Karuma-Pakwach'!D24)</f>
        <v>0.16666666666666666</v>
      </c>
      <c r="E24" s="49">
        <f>AVERAGE('29.07 karuma-pakwach'!E24,'30.07 karuma-pakwach'!E24,'31.07 karuma-pakwach'!E24,'01.08 karuma-pakwach'!E24,'2.08 Karuma-Pakwach-24h'!E24,'04.08 Karuma-Pakwach'!E24)</f>
        <v>1</v>
      </c>
      <c r="F24" s="49">
        <f>AVERAGE('29.07 karuma-pakwach'!F24,'30.07 karuma-pakwach'!F24,'31.07 karuma-pakwach'!F24,'01.08 karuma-pakwach'!F24,'2.08 Karuma-Pakwach-24h'!F24,'04.08 Karuma-Pakwach'!F24)</f>
        <v>0</v>
      </c>
      <c r="G24" s="49">
        <f>AVERAGE('29.07 karuma-pakwach'!G24,'30.07 karuma-pakwach'!G24,'31.07 karuma-pakwach'!G24,'01.08 karuma-pakwach'!G24,'2.08 Karuma-Pakwach-24h'!G24,'04.08 Karuma-Pakwach'!G24)</f>
        <v>0.83333333333333337</v>
      </c>
      <c r="H24" s="49">
        <f>AVERAGE('29.07 karuma-pakwach'!H24,'30.07 karuma-pakwach'!H24,'31.07 karuma-pakwach'!H24,'01.08 karuma-pakwach'!H24,'2.08 Karuma-Pakwach-24h'!H24,'04.08 Karuma-Pakwach'!H24)</f>
        <v>0.5</v>
      </c>
      <c r="I24" s="49">
        <f>AVERAGE('29.07 karuma-pakwach'!I24,'30.07 karuma-pakwach'!I24,'31.07 karuma-pakwach'!I24,'01.08 karuma-pakwach'!I24,'2.08 Karuma-Pakwach-24h'!I24,'04.08 Karuma-Pakwach'!I24)</f>
        <v>0.33333333333333331</v>
      </c>
      <c r="J24" s="49">
        <f>AVERAGE('29.07 karuma-pakwach'!J24,'30.07 karuma-pakwach'!J24,'31.07 karuma-pakwach'!J24,'01.08 karuma-pakwach'!J24,'2.08 Karuma-Pakwach-24h'!J24,'04.08 Karuma-Pakwach'!J24)</f>
        <v>0.33333333333333331</v>
      </c>
      <c r="K24" s="49">
        <f>AVERAGE('29.07 karuma-pakwach'!K24,'30.07 karuma-pakwach'!K24,'31.07 karuma-pakwach'!K24,'01.08 karuma-pakwach'!K24,'2.08 Karuma-Pakwach-24h'!K24,'04.08 Karuma-Pakwach'!K24)</f>
        <v>0.33333333333333331</v>
      </c>
      <c r="L24" s="49">
        <f>AVERAGE('29.07 karuma-pakwach'!L24,'30.07 karuma-pakwach'!L24,'31.07 karuma-pakwach'!L24,'01.08 karuma-pakwach'!L24,'2.08 Karuma-Pakwach-24h'!L24,'04.08 Karuma-Pakwach'!L24)</f>
        <v>0.33333333333333331</v>
      </c>
      <c r="M24" s="49">
        <f>AVERAGE('29.07 karuma-pakwach'!M24,'30.07 karuma-pakwach'!M24,'31.07 karuma-pakwach'!M24,'01.08 karuma-pakwach'!M24,'2.08 Karuma-Pakwach-24h'!M24,'04.08 Karuma-Pakwach'!M24)</f>
        <v>1.5</v>
      </c>
      <c r="N24" s="49">
        <f>AVERAGE('29.07 karuma-pakwach'!N24,'30.07 karuma-pakwach'!N24,'31.07 karuma-pakwach'!N24,'01.08 karuma-pakwach'!N24,'2.08 Karuma-Pakwach-24h'!N24,'04.08 Karuma-Pakwach'!N24)</f>
        <v>0</v>
      </c>
      <c r="O24" s="15">
        <f t="shared" si="0"/>
        <v>3.8333333333333339</v>
      </c>
      <c r="P24" s="15">
        <f t="shared" si="1"/>
        <v>5.3333333333333339</v>
      </c>
      <c r="R24" s="1" t="s">
        <v>148</v>
      </c>
      <c r="S24" s="34">
        <f>SUM(C66:C69)</f>
        <v>2</v>
      </c>
      <c r="T24" s="34">
        <f t="shared" ref="T24:AF24" si="16">SUM(D66:D69)</f>
        <v>0</v>
      </c>
      <c r="U24" s="34">
        <f t="shared" si="16"/>
        <v>3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2</v>
      </c>
      <c r="AC24" s="34">
        <f t="shared" si="16"/>
        <v>12</v>
      </c>
      <c r="AD24" s="34">
        <f t="shared" si="16"/>
        <v>0</v>
      </c>
      <c r="AE24" s="31">
        <f t="shared" si="16"/>
        <v>10</v>
      </c>
      <c r="AF24" s="31">
        <f t="shared" si="16"/>
        <v>22</v>
      </c>
    </row>
    <row r="25" spans="2:32" ht="23.1" customHeight="1" x14ac:dyDescent="0.25">
      <c r="B25" s="23" t="s">
        <v>52</v>
      </c>
      <c r="C25" s="49">
        <f>AVERAGE('29.07 karuma-pakwach'!C25,'30.07 karuma-pakwach'!C25,'31.07 karuma-pakwach'!C25,'01.08 karuma-pakwach'!C25,'2.08 Karuma-Pakwach-24h'!C25,'04.08 Karuma-Pakwach'!C25)</f>
        <v>0</v>
      </c>
      <c r="D25" s="49">
        <f>AVERAGE('29.07 karuma-pakwach'!D25,'30.07 karuma-pakwach'!D25,'31.07 karuma-pakwach'!D25,'01.08 karuma-pakwach'!D25,'2.08 Karuma-Pakwach-24h'!D25,'04.08 Karuma-Pakwach'!D25)</f>
        <v>0.33333333333333331</v>
      </c>
      <c r="E25" s="49">
        <f>AVERAGE('29.07 karuma-pakwach'!E25,'30.07 karuma-pakwach'!E25,'31.07 karuma-pakwach'!E25,'01.08 karuma-pakwach'!E25,'2.08 Karuma-Pakwach-24h'!E25,'04.08 Karuma-Pakwach'!E25)</f>
        <v>1.8333333333333333</v>
      </c>
      <c r="F25" s="49">
        <f>AVERAGE('29.07 karuma-pakwach'!F25,'30.07 karuma-pakwach'!F25,'31.07 karuma-pakwach'!F25,'01.08 karuma-pakwach'!F25,'2.08 Karuma-Pakwach-24h'!F25,'04.08 Karuma-Pakwach'!F25)</f>
        <v>0.5</v>
      </c>
      <c r="G25" s="49">
        <f>AVERAGE('29.07 karuma-pakwach'!G25,'30.07 karuma-pakwach'!G25,'31.07 karuma-pakwach'!G25,'01.08 karuma-pakwach'!G25,'2.08 Karuma-Pakwach-24h'!G25,'04.08 Karuma-Pakwach'!G25)</f>
        <v>0.16666666666666666</v>
      </c>
      <c r="H25" s="49">
        <f>AVERAGE('29.07 karuma-pakwach'!H25,'30.07 karuma-pakwach'!H25,'31.07 karuma-pakwach'!H25,'01.08 karuma-pakwach'!H25,'2.08 Karuma-Pakwach-24h'!H25,'04.08 Karuma-Pakwach'!H25)</f>
        <v>1.5</v>
      </c>
      <c r="I25" s="49">
        <f>AVERAGE('29.07 karuma-pakwach'!I25,'30.07 karuma-pakwach'!I25,'31.07 karuma-pakwach'!I25,'01.08 karuma-pakwach'!I25,'2.08 Karuma-Pakwach-24h'!I25,'04.08 Karuma-Pakwach'!I25)</f>
        <v>0.83333333333333337</v>
      </c>
      <c r="J25" s="49">
        <f>AVERAGE('29.07 karuma-pakwach'!J25,'30.07 karuma-pakwach'!J25,'31.07 karuma-pakwach'!J25,'01.08 karuma-pakwach'!J25,'2.08 Karuma-Pakwach-24h'!J25,'04.08 Karuma-Pakwach'!J25)</f>
        <v>0</v>
      </c>
      <c r="K25" s="49">
        <f>AVERAGE('29.07 karuma-pakwach'!K25,'30.07 karuma-pakwach'!K25,'31.07 karuma-pakwach'!K25,'01.08 karuma-pakwach'!K25,'2.08 Karuma-Pakwach-24h'!K25,'04.08 Karuma-Pakwach'!K25)</f>
        <v>0</v>
      </c>
      <c r="L25" s="49">
        <f>AVERAGE('29.07 karuma-pakwach'!L25,'30.07 karuma-pakwach'!L25,'31.07 karuma-pakwach'!L25,'01.08 karuma-pakwach'!L25,'2.08 Karuma-Pakwach-24h'!L25,'04.08 Karuma-Pakwach'!L25)</f>
        <v>0.83333333333333337</v>
      </c>
      <c r="M25" s="49">
        <f>AVERAGE('29.07 karuma-pakwach'!M25,'30.07 karuma-pakwach'!M25,'31.07 karuma-pakwach'!M25,'01.08 karuma-pakwach'!M25,'2.08 Karuma-Pakwach-24h'!M25,'04.08 Karuma-Pakwach'!M25)</f>
        <v>1.8333333333333333</v>
      </c>
      <c r="N25" s="49">
        <f>AVERAGE('29.07 karuma-pakwach'!N25,'30.07 karuma-pakwach'!N25,'31.07 karuma-pakwach'!N25,'01.08 karuma-pakwach'!N25,'2.08 Karuma-Pakwach-24h'!N25,'04.08 Karuma-Pakwach'!N25)</f>
        <v>0</v>
      </c>
      <c r="O25" s="15">
        <f t="shared" si="0"/>
        <v>5.9999999999999991</v>
      </c>
      <c r="P25" s="15">
        <f t="shared" si="1"/>
        <v>7.8333333333333321</v>
      </c>
      <c r="R25" s="1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3</v>
      </c>
      <c r="AC25" s="34">
        <f t="shared" si="17"/>
        <v>6</v>
      </c>
      <c r="AD25" s="34">
        <f t="shared" si="17"/>
        <v>0</v>
      </c>
      <c r="AE25" s="31">
        <f t="shared" si="17"/>
        <v>10</v>
      </c>
      <c r="AF25" s="31">
        <f t="shared" si="17"/>
        <v>16</v>
      </c>
    </row>
    <row r="26" spans="2:32" ht="23.1" customHeight="1" x14ac:dyDescent="0.25">
      <c r="B26" s="23" t="s">
        <v>53</v>
      </c>
      <c r="C26" s="49">
        <f>AVERAGE('29.07 karuma-pakwach'!C26,'30.07 karuma-pakwach'!C26,'31.07 karuma-pakwach'!C26,'01.08 karuma-pakwach'!C26,'2.08 Karuma-Pakwach-24h'!C26,'04.08 Karuma-Pakwach'!C26)</f>
        <v>0.33333333333333331</v>
      </c>
      <c r="D26" s="49">
        <f>AVERAGE('29.07 karuma-pakwach'!D26,'30.07 karuma-pakwach'!D26,'31.07 karuma-pakwach'!D26,'01.08 karuma-pakwach'!D26,'2.08 Karuma-Pakwach-24h'!D26,'04.08 Karuma-Pakwach'!D26)</f>
        <v>0</v>
      </c>
      <c r="E26" s="49">
        <f>AVERAGE('29.07 karuma-pakwach'!E26,'30.07 karuma-pakwach'!E26,'31.07 karuma-pakwach'!E26,'01.08 karuma-pakwach'!E26,'2.08 Karuma-Pakwach-24h'!E26,'04.08 Karuma-Pakwach'!E26)</f>
        <v>0.83333333333333337</v>
      </c>
      <c r="F26" s="49">
        <f>AVERAGE('29.07 karuma-pakwach'!F26,'30.07 karuma-pakwach'!F26,'31.07 karuma-pakwach'!F26,'01.08 karuma-pakwach'!F26,'2.08 Karuma-Pakwach-24h'!F26,'04.08 Karuma-Pakwach'!F26)</f>
        <v>1.3333333333333333</v>
      </c>
      <c r="G26" s="49">
        <f>AVERAGE('29.07 karuma-pakwach'!G26,'30.07 karuma-pakwach'!G26,'31.07 karuma-pakwach'!G26,'01.08 karuma-pakwach'!G26,'2.08 Karuma-Pakwach-24h'!G26,'04.08 Karuma-Pakwach'!G26)</f>
        <v>0.66666666666666663</v>
      </c>
      <c r="H26" s="49">
        <f>AVERAGE('29.07 karuma-pakwach'!H26,'30.07 karuma-pakwach'!H26,'31.07 karuma-pakwach'!H26,'01.08 karuma-pakwach'!H26,'2.08 Karuma-Pakwach-24h'!H26,'04.08 Karuma-Pakwach'!H26)</f>
        <v>0.5</v>
      </c>
      <c r="I26" s="49">
        <f>AVERAGE('29.07 karuma-pakwach'!I26,'30.07 karuma-pakwach'!I26,'31.07 karuma-pakwach'!I26,'01.08 karuma-pakwach'!I26,'2.08 Karuma-Pakwach-24h'!I26,'04.08 Karuma-Pakwach'!I26)</f>
        <v>0.16666666666666666</v>
      </c>
      <c r="J26" s="49">
        <f>AVERAGE('29.07 karuma-pakwach'!J26,'30.07 karuma-pakwach'!J26,'31.07 karuma-pakwach'!J26,'01.08 karuma-pakwach'!J26,'2.08 Karuma-Pakwach-24h'!J26,'04.08 Karuma-Pakwach'!J26)</f>
        <v>0.5</v>
      </c>
      <c r="K26" s="49">
        <f>AVERAGE('29.07 karuma-pakwach'!K26,'30.07 karuma-pakwach'!K26,'31.07 karuma-pakwach'!K26,'01.08 karuma-pakwach'!K26,'2.08 Karuma-Pakwach-24h'!K26,'04.08 Karuma-Pakwach'!K26)</f>
        <v>0</v>
      </c>
      <c r="L26" s="49">
        <f>AVERAGE('29.07 karuma-pakwach'!L26,'30.07 karuma-pakwach'!L26,'31.07 karuma-pakwach'!L26,'01.08 karuma-pakwach'!L26,'2.08 Karuma-Pakwach-24h'!L26,'04.08 Karuma-Pakwach'!L26)</f>
        <v>1</v>
      </c>
      <c r="M26" s="49">
        <f>AVERAGE('29.07 karuma-pakwach'!M26,'30.07 karuma-pakwach'!M26,'31.07 karuma-pakwach'!M26,'01.08 karuma-pakwach'!M26,'2.08 Karuma-Pakwach-24h'!M26,'04.08 Karuma-Pakwach'!M26)</f>
        <v>2.1666666666666665</v>
      </c>
      <c r="N26" s="49">
        <f>AVERAGE('29.07 karuma-pakwach'!N26,'30.07 karuma-pakwach'!N26,'31.07 karuma-pakwach'!N26,'01.08 karuma-pakwach'!N26,'2.08 Karuma-Pakwach-24h'!N26,'04.08 Karuma-Pakwach'!N26)</f>
        <v>0</v>
      </c>
      <c r="O26" s="15">
        <f t="shared" si="0"/>
        <v>5.333333333333333</v>
      </c>
      <c r="P26" s="15">
        <f t="shared" si="1"/>
        <v>7.5</v>
      </c>
      <c r="R26" s="1" t="s">
        <v>150</v>
      </c>
      <c r="S26" s="34">
        <f>SUM(C74:C77)</f>
        <v>2</v>
      </c>
      <c r="T26" s="34">
        <f t="shared" ref="T26:AF26" si="18">SUM(D74:D77)</f>
        <v>1</v>
      </c>
      <c r="U26" s="34">
        <f t="shared" si="18"/>
        <v>5</v>
      </c>
      <c r="V26" s="34">
        <f t="shared" si="18"/>
        <v>3</v>
      </c>
      <c r="W26" s="34">
        <f t="shared" si="18"/>
        <v>1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3</v>
      </c>
      <c r="AD26" s="34">
        <f t="shared" si="18"/>
        <v>0</v>
      </c>
      <c r="AE26" s="31">
        <f t="shared" si="18"/>
        <v>16</v>
      </c>
      <c r="AF26" s="31">
        <f t="shared" si="18"/>
        <v>19</v>
      </c>
    </row>
    <row r="27" spans="2:32" ht="23.1" customHeight="1" x14ac:dyDescent="0.25">
      <c r="B27" s="23" t="s">
        <v>54</v>
      </c>
      <c r="C27" s="49">
        <f>AVERAGE('29.07 karuma-pakwach'!C27,'30.07 karuma-pakwach'!C27,'31.07 karuma-pakwach'!C27,'01.08 karuma-pakwach'!C27,'2.08 Karuma-Pakwach-24h'!C27,'04.08 Karuma-Pakwach'!C27)</f>
        <v>0.33333333333333331</v>
      </c>
      <c r="D27" s="49">
        <f>AVERAGE('29.07 karuma-pakwach'!D27,'30.07 karuma-pakwach'!D27,'31.07 karuma-pakwach'!D27,'01.08 karuma-pakwach'!D27,'2.08 Karuma-Pakwach-24h'!D27,'04.08 Karuma-Pakwach'!D27)</f>
        <v>0</v>
      </c>
      <c r="E27" s="49">
        <f>AVERAGE('29.07 karuma-pakwach'!E27,'30.07 karuma-pakwach'!E27,'31.07 karuma-pakwach'!E27,'01.08 karuma-pakwach'!E27,'2.08 Karuma-Pakwach-24h'!E27,'04.08 Karuma-Pakwach'!E27)</f>
        <v>0.5</v>
      </c>
      <c r="F27" s="49">
        <f>AVERAGE('29.07 karuma-pakwach'!F27,'30.07 karuma-pakwach'!F27,'31.07 karuma-pakwach'!F27,'01.08 karuma-pakwach'!F27,'2.08 Karuma-Pakwach-24h'!F27,'04.08 Karuma-Pakwach'!F27)</f>
        <v>0</v>
      </c>
      <c r="G27" s="49">
        <f>AVERAGE('29.07 karuma-pakwach'!G27,'30.07 karuma-pakwach'!G27,'31.07 karuma-pakwach'!G27,'01.08 karuma-pakwach'!G27,'2.08 Karuma-Pakwach-24h'!G27,'04.08 Karuma-Pakwach'!G27)</f>
        <v>0.83333333333333337</v>
      </c>
      <c r="H27" s="49">
        <f>AVERAGE('29.07 karuma-pakwach'!H27,'30.07 karuma-pakwach'!H27,'31.07 karuma-pakwach'!H27,'01.08 karuma-pakwach'!H27,'2.08 Karuma-Pakwach-24h'!H27,'04.08 Karuma-Pakwach'!H27)</f>
        <v>0.83333333333333337</v>
      </c>
      <c r="I27" s="49">
        <f>AVERAGE('29.07 karuma-pakwach'!I27,'30.07 karuma-pakwach'!I27,'31.07 karuma-pakwach'!I27,'01.08 karuma-pakwach'!I27,'2.08 Karuma-Pakwach-24h'!I27,'04.08 Karuma-Pakwach'!I27)</f>
        <v>0.5</v>
      </c>
      <c r="J27" s="49">
        <f>AVERAGE('29.07 karuma-pakwach'!J27,'30.07 karuma-pakwach'!J27,'31.07 karuma-pakwach'!J27,'01.08 karuma-pakwach'!J27,'2.08 Karuma-Pakwach-24h'!J27,'04.08 Karuma-Pakwach'!J27)</f>
        <v>0.33333333333333331</v>
      </c>
      <c r="K27" s="49">
        <f>AVERAGE('29.07 karuma-pakwach'!K27,'30.07 karuma-pakwach'!K27,'31.07 karuma-pakwach'!K27,'01.08 karuma-pakwach'!K27,'2.08 Karuma-Pakwach-24h'!K27,'04.08 Karuma-Pakwach'!K27)</f>
        <v>0</v>
      </c>
      <c r="L27" s="49">
        <f>AVERAGE('29.07 karuma-pakwach'!L27,'30.07 karuma-pakwach'!L27,'31.07 karuma-pakwach'!L27,'01.08 karuma-pakwach'!L27,'2.08 Karuma-Pakwach-24h'!L27,'04.08 Karuma-Pakwach'!L27)</f>
        <v>0.33333333333333331</v>
      </c>
      <c r="M27" s="49">
        <f>AVERAGE('29.07 karuma-pakwach'!M27,'30.07 karuma-pakwach'!M27,'31.07 karuma-pakwach'!M27,'01.08 karuma-pakwach'!M27,'2.08 Karuma-Pakwach-24h'!M27,'04.08 Karuma-Pakwach'!M27)</f>
        <v>2.1666666666666665</v>
      </c>
      <c r="N27" s="49">
        <f>AVERAGE('29.07 karuma-pakwach'!N27,'30.07 karuma-pakwach'!N27,'31.07 karuma-pakwach'!N27,'01.08 karuma-pakwach'!N27,'2.08 Karuma-Pakwach-24h'!N27,'04.08 Karuma-Pakwach'!N27)</f>
        <v>0.16666666666666666</v>
      </c>
      <c r="O27" s="15">
        <f t="shared" si="0"/>
        <v>3.8333333333333335</v>
      </c>
      <c r="P27" s="15">
        <f t="shared" si="1"/>
        <v>6.0000000000000009</v>
      </c>
      <c r="R27" s="1" t="s">
        <v>151</v>
      </c>
      <c r="S27" s="34">
        <f>SUM(C78:C81)</f>
        <v>1.5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5</v>
      </c>
      <c r="AD27" s="34">
        <f t="shared" si="19"/>
        <v>0</v>
      </c>
      <c r="AE27" s="31">
        <f t="shared" si="19"/>
        <v>5.5</v>
      </c>
      <c r="AF27" s="31">
        <f t="shared" si="19"/>
        <v>10.5</v>
      </c>
    </row>
    <row r="28" spans="2:32" ht="23.1" customHeight="1" x14ac:dyDescent="0.25">
      <c r="B28" s="23" t="s">
        <v>55</v>
      </c>
      <c r="C28" s="49">
        <f>AVERAGE('29.07 karuma-pakwach'!C28,'30.07 karuma-pakwach'!C28,'31.07 karuma-pakwach'!C28,'01.08 karuma-pakwach'!C28,'2.08 Karuma-Pakwach-24h'!C28,'04.08 Karuma-Pakwach'!C28)</f>
        <v>0.66666666666666663</v>
      </c>
      <c r="D28" s="49">
        <f>AVERAGE('29.07 karuma-pakwach'!D28,'30.07 karuma-pakwach'!D28,'31.07 karuma-pakwach'!D28,'01.08 karuma-pakwach'!D28,'2.08 Karuma-Pakwach-24h'!D28,'04.08 Karuma-Pakwach'!D28)</f>
        <v>0.66666666666666663</v>
      </c>
      <c r="E28" s="49">
        <f>AVERAGE('29.07 karuma-pakwach'!E28,'30.07 karuma-pakwach'!E28,'31.07 karuma-pakwach'!E28,'01.08 karuma-pakwach'!E28,'2.08 Karuma-Pakwach-24h'!E28,'04.08 Karuma-Pakwach'!E28)</f>
        <v>2.1666666666666665</v>
      </c>
      <c r="F28" s="49">
        <f>AVERAGE('29.07 karuma-pakwach'!F28,'30.07 karuma-pakwach'!F28,'31.07 karuma-pakwach'!F28,'01.08 karuma-pakwach'!F28,'2.08 Karuma-Pakwach-24h'!F28,'04.08 Karuma-Pakwach'!F28)</f>
        <v>0.33333333333333331</v>
      </c>
      <c r="G28" s="49">
        <f>AVERAGE('29.07 karuma-pakwach'!G28,'30.07 karuma-pakwach'!G28,'31.07 karuma-pakwach'!G28,'01.08 karuma-pakwach'!G28,'2.08 Karuma-Pakwach-24h'!G28,'04.08 Karuma-Pakwach'!G28)</f>
        <v>0.16666666666666666</v>
      </c>
      <c r="H28" s="49">
        <f>AVERAGE('29.07 karuma-pakwach'!H28,'30.07 karuma-pakwach'!H28,'31.07 karuma-pakwach'!H28,'01.08 karuma-pakwach'!H28,'2.08 Karuma-Pakwach-24h'!H28,'04.08 Karuma-Pakwach'!H28)</f>
        <v>0.16666666666666666</v>
      </c>
      <c r="I28" s="49">
        <f>AVERAGE('29.07 karuma-pakwach'!I28,'30.07 karuma-pakwach'!I28,'31.07 karuma-pakwach'!I28,'01.08 karuma-pakwach'!I28,'2.08 Karuma-Pakwach-24h'!I28,'04.08 Karuma-Pakwach'!I28)</f>
        <v>0.33333333333333331</v>
      </c>
      <c r="J28" s="49">
        <f>AVERAGE('29.07 karuma-pakwach'!J28,'30.07 karuma-pakwach'!J28,'31.07 karuma-pakwach'!J28,'01.08 karuma-pakwach'!J28,'2.08 Karuma-Pakwach-24h'!J28,'04.08 Karuma-Pakwach'!J28)</f>
        <v>0.16666666666666666</v>
      </c>
      <c r="K28" s="49">
        <f>AVERAGE('29.07 karuma-pakwach'!K28,'30.07 karuma-pakwach'!K28,'31.07 karuma-pakwach'!K28,'01.08 karuma-pakwach'!K28,'2.08 Karuma-Pakwach-24h'!K28,'04.08 Karuma-Pakwach'!K28)</f>
        <v>0.5</v>
      </c>
      <c r="L28" s="49">
        <f>AVERAGE('29.07 karuma-pakwach'!L28,'30.07 karuma-pakwach'!L28,'31.07 karuma-pakwach'!L28,'01.08 karuma-pakwach'!L28,'2.08 Karuma-Pakwach-24h'!L28,'04.08 Karuma-Pakwach'!L28)</f>
        <v>0.16666666666666666</v>
      </c>
      <c r="M28" s="49">
        <f>AVERAGE('29.07 karuma-pakwach'!M28,'30.07 karuma-pakwach'!M28,'31.07 karuma-pakwach'!M28,'01.08 karuma-pakwach'!M28,'2.08 Karuma-Pakwach-24h'!M28,'04.08 Karuma-Pakwach'!M28)</f>
        <v>2.8333333333333335</v>
      </c>
      <c r="N28" s="49">
        <f>AVERAGE('29.07 karuma-pakwach'!N28,'30.07 karuma-pakwach'!N28,'31.07 karuma-pakwach'!N28,'01.08 karuma-pakwach'!N28,'2.08 Karuma-Pakwach-24h'!N28,'04.08 Karuma-Pakwach'!N28)</f>
        <v>0</v>
      </c>
      <c r="O28" s="15">
        <f t="shared" si="0"/>
        <v>5.3333333333333339</v>
      </c>
      <c r="P28" s="15">
        <f t="shared" si="1"/>
        <v>8.1666666666666679</v>
      </c>
      <c r="R28" s="1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4</v>
      </c>
      <c r="AD28" s="34">
        <f t="shared" si="20"/>
        <v>0</v>
      </c>
      <c r="AE28" s="31">
        <f t="shared" si="20"/>
        <v>7</v>
      </c>
      <c r="AF28" s="31">
        <f t="shared" si="20"/>
        <v>11</v>
      </c>
    </row>
    <row r="29" spans="2:32" ht="23.1" customHeight="1" x14ac:dyDescent="0.25">
      <c r="B29" s="23" t="s">
        <v>56</v>
      </c>
      <c r="C29" s="49">
        <f>AVERAGE('29.07 karuma-pakwach'!C29,'30.07 karuma-pakwach'!C29,'31.07 karuma-pakwach'!C29,'01.08 karuma-pakwach'!C29,'2.08 Karuma-Pakwach-24h'!C29,'04.08 Karuma-Pakwach'!C29)</f>
        <v>0.5</v>
      </c>
      <c r="D29" s="49">
        <f>AVERAGE('29.07 karuma-pakwach'!D29,'30.07 karuma-pakwach'!D29,'31.07 karuma-pakwach'!D29,'01.08 karuma-pakwach'!D29,'2.08 Karuma-Pakwach-24h'!D29,'04.08 Karuma-Pakwach'!D29)</f>
        <v>0</v>
      </c>
      <c r="E29" s="49">
        <f>AVERAGE('29.07 karuma-pakwach'!E29,'30.07 karuma-pakwach'!E29,'31.07 karuma-pakwach'!E29,'01.08 karuma-pakwach'!E29,'2.08 Karuma-Pakwach-24h'!E29,'04.08 Karuma-Pakwach'!E29)</f>
        <v>1.1666666666666667</v>
      </c>
      <c r="F29" s="49">
        <f>AVERAGE('29.07 karuma-pakwach'!F29,'30.07 karuma-pakwach'!F29,'31.07 karuma-pakwach'!F29,'01.08 karuma-pakwach'!F29,'2.08 Karuma-Pakwach-24h'!F29,'04.08 Karuma-Pakwach'!F29)</f>
        <v>1</v>
      </c>
      <c r="G29" s="49">
        <f>AVERAGE('29.07 karuma-pakwach'!G29,'30.07 karuma-pakwach'!G29,'31.07 karuma-pakwach'!G29,'01.08 karuma-pakwach'!G29,'2.08 Karuma-Pakwach-24h'!G29,'04.08 Karuma-Pakwach'!G29)</f>
        <v>0.66666666666666663</v>
      </c>
      <c r="H29" s="49">
        <f>AVERAGE('29.07 karuma-pakwach'!H29,'30.07 karuma-pakwach'!H29,'31.07 karuma-pakwach'!H29,'01.08 karuma-pakwach'!H29,'2.08 Karuma-Pakwach-24h'!H29,'04.08 Karuma-Pakwach'!H29)</f>
        <v>2</v>
      </c>
      <c r="I29" s="49">
        <f>AVERAGE('29.07 karuma-pakwach'!I29,'30.07 karuma-pakwach'!I29,'31.07 karuma-pakwach'!I29,'01.08 karuma-pakwach'!I29,'2.08 Karuma-Pakwach-24h'!I29,'04.08 Karuma-Pakwach'!I29)</f>
        <v>0.83333333333333337</v>
      </c>
      <c r="J29" s="49">
        <f>AVERAGE('29.07 karuma-pakwach'!J29,'30.07 karuma-pakwach'!J29,'31.07 karuma-pakwach'!J29,'01.08 karuma-pakwach'!J29,'2.08 Karuma-Pakwach-24h'!J29,'04.08 Karuma-Pakwach'!J29)</f>
        <v>0.33333333333333331</v>
      </c>
      <c r="K29" s="49">
        <f>AVERAGE('29.07 karuma-pakwach'!K29,'30.07 karuma-pakwach'!K29,'31.07 karuma-pakwach'!K29,'01.08 karuma-pakwach'!K29,'2.08 Karuma-Pakwach-24h'!K29,'04.08 Karuma-Pakwach'!K29)</f>
        <v>0</v>
      </c>
      <c r="L29" s="49">
        <f>AVERAGE('29.07 karuma-pakwach'!L29,'30.07 karuma-pakwach'!L29,'31.07 karuma-pakwach'!L29,'01.08 karuma-pakwach'!L29,'2.08 Karuma-Pakwach-24h'!L29,'04.08 Karuma-Pakwach'!L29)</f>
        <v>0.33333333333333331</v>
      </c>
      <c r="M29" s="49">
        <f>AVERAGE('29.07 karuma-pakwach'!M29,'30.07 karuma-pakwach'!M29,'31.07 karuma-pakwach'!M29,'01.08 karuma-pakwach'!M29,'2.08 Karuma-Pakwach-24h'!M29,'04.08 Karuma-Pakwach'!M29)</f>
        <v>2.8333333333333335</v>
      </c>
      <c r="N29" s="49">
        <f>AVERAGE('29.07 karuma-pakwach'!N29,'30.07 karuma-pakwach'!N29,'31.07 karuma-pakwach'!N29,'01.08 karuma-pakwach'!N29,'2.08 Karuma-Pakwach-24h'!N29,'04.08 Karuma-Pakwach'!N29)</f>
        <v>0</v>
      </c>
      <c r="O29" s="15">
        <f t="shared" si="0"/>
        <v>6.833333333333333</v>
      </c>
      <c r="P29" s="15">
        <f t="shared" si="1"/>
        <v>9.6666666666666661</v>
      </c>
      <c r="R29" s="1" t="s">
        <v>153</v>
      </c>
      <c r="S29" s="34">
        <f>SUM(C86:C89)</f>
        <v>1</v>
      </c>
      <c r="T29" s="34">
        <f t="shared" ref="T29:AF29" si="21">SUM(D86:D89)</f>
        <v>2</v>
      </c>
      <c r="U29" s="34">
        <f t="shared" si="21"/>
        <v>5</v>
      </c>
      <c r="V29" s="34">
        <f t="shared" si="21"/>
        <v>3</v>
      </c>
      <c r="W29" s="34">
        <f t="shared" si="21"/>
        <v>1</v>
      </c>
      <c r="X29" s="34">
        <f t="shared" si="21"/>
        <v>2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</v>
      </c>
      <c r="AC29" s="34">
        <f t="shared" si="21"/>
        <v>0</v>
      </c>
      <c r="AD29" s="34">
        <f t="shared" si="21"/>
        <v>0</v>
      </c>
      <c r="AE29" s="31">
        <f t="shared" si="21"/>
        <v>16</v>
      </c>
      <c r="AF29" s="31">
        <f t="shared" si="21"/>
        <v>16</v>
      </c>
    </row>
    <row r="30" spans="2:32" ht="23.1" customHeight="1" x14ac:dyDescent="0.25">
      <c r="B30" s="23" t="s">
        <v>57</v>
      </c>
      <c r="C30" s="49">
        <f>AVERAGE('29.07 karuma-pakwach'!C30,'30.07 karuma-pakwach'!C30,'31.07 karuma-pakwach'!C30,'01.08 karuma-pakwach'!C30,'2.08 Karuma-Pakwach-24h'!C30,'04.08 Karuma-Pakwach'!C30)</f>
        <v>0.66666666666666663</v>
      </c>
      <c r="D30" s="49">
        <f>AVERAGE('29.07 karuma-pakwach'!D30,'30.07 karuma-pakwach'!D30,'31.07 karuma-pakwach'!D30,'01.08 karuma-pakwach'!D30,'2.08 Karuma-Pakwach-24h'!D30,'04.08 Karuma-Pakwach'!D30)</f>
        <v>0</v>
      </c>
      <c r="E30" s="49">
        <f>AVERAGE('29.07 karuma-pakwach'!E30,'30.07 karuma-pakwach'!E30,'31.07 karuma-pakwach'!E30,'01.08 karuma-pakwach'!E30,'2.08 Karuma-Pakwach-24h'!E30,'04.08 Karuma-Pakwach'!E30)</f>
        <v>0.5</v>
      </c>
      <c r="F30" s="49">
        <f>AVERAGE('29.07 karuma-pakwach'!F30,'30.07 karuma-pakwach'!F30,'31.07 karuma-pakwach'!F30,'01.08 karuma-pakwach'!F30,'2.08 Karuma-Pakwach-24h'!F30,'04.08 Karuma-Pakwach'!F30)</f>
        <v>0.5</v>
      </c>
      <c r="G30" s="49">
        <f>AVERAGE('29.07 karuma-pakwach'!G30,'30.07 karuma-pakwach'!G30,'31.07 karuma-pakwach'!G30,'01.08 karuma-pakwach'!G30,'2.08 Karuma-Pakwach-24h'!G30,'04.08 Karuma-Pakwach'!G30)</f>
        <v>0</v>
      </c>
      <c r="H30" s="49">
        <f>AVERAGE('29.07 karuma-pakwach'!H30,'30.07 karuma-pakwach'!H30,'31.07 karuma-pakwach'!H30,'01.08 karuma-pakwach'!H30,'2.08 Karuma-Pakwach-24h'!H30,'04.08 Karuma-Pakwach'!H30)</f>
        <v>0.33333333333333331</v>
      </c>
      <c r="I30" s="49">
        <f>AVERAGE('29.07 karuma-pakwach'!I30,'30.07 karuma-pakwach'!I30,'31.07 karuma-pakwach'!I30,'01.08 karuma-pakwach'!I30,'2.08 Karuma-Pakwach-24h'!I30,'04.08 Karuma-Pakwach'!I30)</f>
        <v>0</v>
      </c>
      <c r="J30" s="49">
        <f>AVERAGE('29.07 karuma-pakwach'!J30,'30.07 karuma-pakwach'!J30,'31.07 karuma-pakwach'!J30,'01.08 karuma-pakwach'!J30,'2.08 Karuma-Pakwach-24h'!J30,'04.08 Karuma-Pakwach'!J30)</f>
        <v>0.16666666666666666</v>
      </c>
      <c r="K30" s="49">
        <f>AVERAGE('29.07 karuma-pakwach'!K30,'30.07 karuma-pakwach'!K30,'31.07 karuma-pakwach'!K30,'01.08 karuma-pakwach'!K30,'2.08 Karuma-Pakwach-24h'!K30,'04.08 Karuma-Pakwach'!K30)</f>
        <v>0</v>
      </c>
      <c r="L30" s="49">
        <f>AVERAGE('29.07 karuma-pakwach'!L30,'30.07 karuma-pakwach'!L30,'31.07 karuma-pakwach'!L30,'01.08 karuma-pakwach'!L30,'2.08 Karuma-Pakwach-24h'!L30,'04.08 Karuma-Pakwach'!L30)</f>
        <v>0.5</v>
      </c>
      <c r="M30" s="49">
        <f>AVERAGE('29.07 karuma-pakwach'!M30,'30.07 karuma-pakwach'!M30,'31.07 karuma-pakwach'!M30,'01.08 karuma-pakwach'!M30,'2.08 Karuma-Pakwach-24h'!M30,'04.08 Karuma-Pakwach'!M30)</f>
        <v>1</v>
      </c>
      <c r="N30" s="49">
        <f>AVERAGE('29.07 karuma-pakwach'!N30,'30.07 karuma-pakwach'!N30,'31.07 karuma-pakwach'!N30,'01.08 karuma-pakwach'!N30,'2.08 Karuma-Pakwach-24h'!N30,'04.08 Karuma-Pakwach'!N30)</f>
        <v>0</v>
      </c>
      <c r="O30" s="15">
        <f t="shared" si="0"/>
        <v>2.6666666666666665</v>
      </c>
      <c r="P30" s="15">
        <f t="shared" si="1"/>
        <v>3.6666666666666665</v>
      </c>
      <c r="R30" s="1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3</v>
      </c>
      <c r="AF30" s="31">
        <f t="shared" si="22"/>
        <v>3</v>
      </c>
    </row>
    <row r="31" spans="2:32" ht="23.1" customHeight="1" x14ac:dyDescent="0.25">
      <c r="B31" s="24" t="s">
        <v>58</v>
      </c>
      <c r="C31" s="49">
        <f>AVERAGE('29.07 karuma-pakwach'!C31,'30.07 karuma-pakwach'!C31,'31.07 karuma-pakwach'!C31,'01.08 karuma-pakwach'!C31,'2.08 Karuma-Pakwach-24h'!C31,'04.08 Karuma-Pakwach'!C31)</f>
        <v>0.33333333333333331</v>
      </c>
      <c r="D31" s="49">
        <f>AVERAGE('29.07 karuma-pakwach'!D31,'30.07 karuma-pakwach'!D31,'31.07 karuma-pakwach'!D31,'01.08 karuma-pakwach'!D31,'2.08 Karuma-Pakwach-24h'!D31,'04.08 Karuma-Pakwach'!D31)</f>
        <v>0.33333333333333331</v>
      </c>
      <c r="E31" s="49">
        <f>AVERAGE('29.07 karuma-pakwach'!E31,'30.07 karuma-pakwach'!E31,'31.07 karuma-pakwach'!E31,'01.08 karuma-pakwach'!E31,'2.08 Karuma-Pakwach-24h'!E31,'04.08 Karuma-Pakwach'!E31)</f>
        <v>1.8333333333333333</v>
      </c>
      <c r="F31" s="49">
        <f>AVERAGE('29.07 karuma-pakwach'!F31,'30.07 karuma-pakwach'!F31,'31.07 karuma-pakwach'!F31,'01.08 karuma-pakwach'!F31,'2.08 Karuma-Pakwach-24h'!F31,'04.08 Karuma-Pakwach'!F31)</f>
        <v>0.16666666666666666</v>
      </c>
      <c r="G31" s="49">
        <f>AVERAGE('29.07 karuma-pakwach'!G31,'30.07 karuma-pakwach'!G31,'31.07 karuma-pakwach'!G31,'01.08 karuma-pakwach'!G31,'2.08 Karuma-Pakwach-24h'!G31,'04.08 Karuma-Pakwach'!G31)</f>
        <v>0</v>
      </c>
      <c r="H31" s="49">
        <f>AVERAGE('29.07 karuma-pakwach'!H31,'30.07 karuma-pakwach'!H31,'31.07 karuma-pakwach'!H31,'01.08 karuma-pakwach'!H31,'2.08 Karuma-Pakwach-24h'!H31,'04.08 Karuma-Pakwach'!H31)</f>
        <v>0.5</v>
      </c>
      <c r="I31" s="49">
        <f>AVERAGE('29.07 karuma-pakwach'!I31,'30.07 karuma-pakwach'!I31,'31.07 karuma-pakwach'!I31,'01.08 karuma-pakwach'!I31,'2.08 Karuma-Pakwach-24h'!I31,'04.08 Karuma-Pakwach'!I31)</f>
        <v>0.16666666666666666</v>
      </c>
      <c r="J31" s="49">
        <f>AVERAGE('29.07 karuma-pakwach'!J31,'30.07 karuma-pakwach'!J31,'31.07 karuma-pakwach'!J31,'01.08 karuma-pakwach'!J31,'2.08 Karuma-Pakwach-24h'!J31,'04.08 Karuma-Pakwach'!J31)</f>
        <v>0.5</v>
      </c>
      <c r="K31" s="49">
        <f>AVERAGE('29.07 karuma-pakwach'!K31,'30.07 karuma-pakwach'!K31,'31.07 karuma-pakwach'!K31,'01.08 karuma-pakwach'!K31,'2.08 Karuma-Pakwach-24h'!K31,'04.08 Karuma-Pakwach'!K31)</f>
        <v>0</v>
      </c>
      <c r="L31" s="49">
        <f>AVERAGE('29.07 karuma-pakwach'!L31,'30.07 karuma-pakwach'!L31,'31.07 karuma-pakwach'!L31,'01.08 karuma-pakwach'!L31,'2.08 Karuma-Pakwach-24h'!L31,'04.08 Karuma-Pakwach'!L31)</f>
        <v>0</v>
      </c>
      <c r="M31" s="49">
        <f>AVERAGE('29.07 karuma-pakwach'!M31,'30.07 karuma-pakwach'!M31,'31.07 karuma-pakwach'!M31,'01.08 karuma-pakwach'!M31,'2.08 Karuma-Pakwach-24h'!M31,'04.08 Karuma-Pakwach'!M31)</f>
        <v>1.6666666666666667</v>
      </c>
      <c r="N31" s="49">
        <f>AVERAGE('29.07 karuma-pakwach'!N31,'30.07 karuma-pakwach'!N31,'31.07 karuma-pakwach'!N31,'01.08 karuma-pakwach'!N31,'2.08 Karuma-Pakwach-24h'!N31,'04.08 Karuma-Pakwach'!N31)</f>
        <v>0</v>
      </c>
      <c r="O31" s="15">
        <f t="shared" si="0"/>
        <v>3.833333333333333</v>
      </c>
      <c r="P31" s="15">
        <f t="shared" si="1"/>
        <v>5.5</v>
      </c>
      <c r="R31" s="1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1.5</v>
      </c>
      <c r="Y31" s="34">
        <f t="shared" si="23"/>
        <v>0</v>
      </c>
      <c r="Z31" s="34">
        <f t="shared" si="23"/>
        <v>0</v>
      </c>
      <c r="AA31" s="34">
        <f t="shared" si="23"/>
        <v>2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11.5</v>
      </c>
      <c r="AF31" s="31">
        <f t="shared" si="23"/>
        <v>11.5</v>
      </c>
    </row>
    <row r="32" spans="2:32" ht="23.1" customHeight="1" x14ac:dyDescent="0.25">
      <c r="B32" s="24" t="s">
        <v>59</v>
      </c>
      <c r="C32" s="49">
        <f>AVERAGE('29.07 karuma-pakwach'!C32,'30.07 karuma-pakwach'!C32,'31.07 karuma-pakwach'!C32,'01.08 karuma-pakwach'!C32,'2.08 Karuma-Pakwach-24h'!C32,'04.08 Karuma-Pakwach'!C32)</f>
        <v>0.5</v>
      </c>
      <c r="D32" s="49">
        <f>AVERAGE('29.07 karuma-pakwach'!D32,'30.07 karuma-pakwach'!D32,'31.07 karuma-pakwach'!D32,'01.08 karuma-pakwach'!D32,'2.08 Karuma-Pakwach-24h'!D32,'04.08 Karuma-Pakwach'!D32)</f>
        <v>0</v>
      </c>
      <c r="E32" s="49">
        <f>AVERAGE('29.07 karuma-pakwach'!E32,'30.07 karuma-pakwach'!E32,'31.07 karuma-pakwach'!E32,'01.08 karuma-pakwach'!E32,'2.08 Karuma-Pakwach-24h'!E32,'04.08 Karuma-Pakwach'!E32)</f>
        <v>0.66666666666666663</v>
      </c>
      <c r="F32" s="49">
        <f>AVERAGE('29.07 karuma-pakwach'!F32,'30.07 karuma-pakwach'!F32,'31.07 karuma-pakwach'!F32,'01.08 karuma-pakwach'!F32,'2.08 Karuma-Pakwach-24h'!F32,'04.08 Karuma-Pakwach'!F32)</f>
        <v>0.83333333333333337</v>
      </c>
      <c r="G32" s="49">
        <f>AVERAGE('29.07 karuma-pakwach'!G32,'30.07 karuma-pakwach'!G32,'31.07 karuma-pakwach'!G32,'01.08 karuma-pakwach'!G32,'2.08 Karuma-Pakwach-24h'!G32,'04.08 Karuma-Pakwach'!G32)</f>
        <v>0.5</v>
      </c>
      <c r="H32" s="49">
        <f>AVERAGE('29.07 karuma-pakwach'!H32,'30.07 karuma-pakwach'!H32,'31.07 karuma-pakwach'!H32,'01.08 karuma-pakwach'!H32,'2.08 Karuma-Pakwach-24h'!H32,'04.08 Karuma-Pakwach'!H32)</f>
        <v>0.16666666666666666</v>
      </c>
      <c r="I32" s="49">
        <f>AVERAGE('29.07 karuma-pakwach'!I32,'30.07 karuma-pakwach'!I32,'31.07 karuma-pakwach'!I32,'01.08 karuma-pakwach'!I32,'2.08 Karuma-Pakwach-24h'!I32,'04.08 Karuma-Pakwach'!I32)</f>
        <v>0.33333333333333331</v>
      </c>
      <c r="J32" s="49">
        <f>AVERAGE('29.07 karuma-pakwach'!J32,'30.07 karuma-pakwach'!J32,'31.07 karuma-pakwach'!J32,'01.08 karuma-pakwach'!J32,'2.08 Karuma-Pakwach-24h'!J32,'04.08 Karuma-Pakwach'!J32)</f>
        <v>0.16666666666666666</v>
      </c>
      <c r="K32" s="49">
        <f>AVERAGE('29.07 karuma-pakwach'!K32,'30.07 karuma-pakwach'!K32,'31.07 karuma-pakwach'!K32,'01.08 karuma-pakwach'!K32,'2.08 Karuma-Pakwach-24h'!K32,'04.08 Karuma-Pakwach'!K32)</f>
        <v>0</v>
      </c>
      <c r="L32" s="49">
        <f>AVERAGE('29.07 karuma-pakwach'!L32,'30.07 karuma-pakwach'!L32,'31.07 karuma-pakwach'!L32,'01.08 karuma-pakwach'!L32,'2.08 Karuma-Pakwach-24h'!L32,'04.08 Karuma-Pakwach'!L32)</f>
        <v>0.16666666666666666</v>
      </c>
      <c r="M32" s="49">
        <f>AVERAGE('29.07 karuma-pakwach'!M32,'30.07 karuma-pakwach'!M32,'31.07 karuma-pakwach'!M32,'01.08 karuma-pakwach'!M32,'2.08 Karuma-Pakwach-24h'!M32,'04.08 Karuma-Pakwach'!M32)</f>
        <v>2.6666666666666665</v>
      </c>
      <c r="N32" s="49">
        <f>AVERAGE('29.07 karuma-pakwach'!N32,'30.07 karuma-pakwach'!N32,'31.07 karuma-pakwach'!N32,'01.08 karuma-pakwach'!N32,'2.08 Karuma-Pakwach-24h'!N32,'04.08 Karuma-Pakwach'!N32)</f>
        <v>0.5</v>
      </c>
      <c r="O32" s="15">
        <f t="shared" si="0"/>
        <v>3.833333333333333</v>
      </c>
      <c r="P32" s="15">
        <f t="shared" si="1"/>
        <v>6.5</v>
      </c>
      <c r="R32" s="1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4.5</v>
      </c>
      <c r="V32" s="34">
        <f t="shared" si="24"/>
        <v>2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3</v>
      </c>
      <c r="AC32" s="34">
        <f t="shared" si="24"/>
        <v>1</v>
      </c>
      <c r="AD32" s="34">
        <f t="shared" si="24"/>
        <v>0</v>
      </c>
      <c r="AE32" s="31">
        <f t="shared" si="24"/>
        <v>15.5</v>
      </c>
      <c r="AF32" s="31">
        <f t="shared" si="24"/>
        <v>16.5</v>
      </c>
    </row>
    <row r="33" spans="2:32" ht="23.1" customHeight="1" x14ac:dyDescent="0.25">
      <c r="B33" s="23" t="s">
        <v>60</v>
      </c>
      <c r="C33" s="49">
        <f>AVERAGE('29.07 karuma-pakwach'!C33,'30.07 karuma-pakwach'!C33,'31.07 karuma-pakwach'!C33,'01.08 karuma-pakwach'!C33,'2.08 Karuma-Pakwach-24h'!C33,'04.08 Karuma-Pakwach'!C33)</f>
        <v>0.66666666666666663</v>
      </c>
      <c r="D33" s="49">
        <f>AVERAGE('29.07 karuma-pakwach'!D33,'30.07 karuma-pakwach'!D33,'31.07 karuma-pakwach'!D33,'01.08 karuma-pakwach'!D33,'2.08 Karuma-Pakwach-24h'!D33,'04.08 Karuma-Pakwach'!D33)</f>
        <v>0</v>
      </c>
      <c r="E33" s="49">
        <f>AVERAGE('29.07 karuma-pakwach'!E33,'30.07 karuma-pakwach'!E33,'31.07 karuma-pakwach'!E33,'01.08 karuma-pakwach'!E33,'2.08 Karuma-Pakwach-24h'!E33,'04.08 Karuma-Pakwach'!E33)</f>
        <v>1.1666666666666667</v>
      </c>
      <c r="F33" s="49">
        <f>AVERAGE('29.07 karuma-pakwach'!F33,'30.07 karuma-pakwach'!F33,'31.07 karuma-pakwach'!F33,'01.08 karuma-pakwach'!F33,'2.08 Karuma-Pakwach-24h'!F33,'04.08 Karuma-Pakwach'!F33)</f>
        <v>0.66666666666666663</v>
      </c>
      <c r="G33" s="49">
        <f>AVERAGE('29.07 karuma-pakwach'!G33,'30.07 karuma-pakwach'!G33,'31.07 karuma-pakwach'!G33,'01.08 karuma-pakwach'!G33,'2.08 Karuma-Pakwach-24h'!G33,'04.08 Karuma-Pakwach'!G33)</f>
        <v>0.33333333333333331</v>
      </c>
      <c r="H33" s="49">
        <f>AVERAGE('29.07 karuma-pakwach'!H33,'30.07 karuma-pakwach'!H33,'31.07 karuma-pakwach'!H33,'01.08 karuma-pakwach'!H33,'2.08 Karuma-Pakwach-24h'!H33,'04.08 Karuma-Pakwach'!H33)</f>
        <v>0.33333333333333331</v>
      </c>
      <c r="I33" s="49">
        <f>AVERAGE('29.07 karuma-pakwach'!I33,'30.07 karuma-pakwach'!I33,'31.07 karuma-pakwach'!I33,'01.08 karuma-pakwach'!I33,'2.08 Karuma-Pakwach-24h'!I33,'04.08 Karuma-Pakwach'!I33)</f>
        <v>0.33333333333333331</v>
      </c>
      <c r="J33" s="49">
        <f>AVERAGE('29.07 karuma-pakwach'!J33,'30.07 karuma-pakwach'!J33,'31.07 karuma-pakwach'!J33,'01.08 karuma-pakwach'!J33,'2.08 Karuma-Pakwach-24h'!J33,'04.08 Karuma-Pakwach'!J33)</f>
        <v>0.16666666666666666</v>
      </c>
      <c r="K33" s="49">
        <f>AVERAGE('29.07 karuma-pakwach'!K33,'30.07 karuma-pakwach'!K33,'31.07 karuma-pakwach'!K33,'01.08 karuma-pakwach'!K33,'2.08 Karuma-Pakwach-24h'!K33,'04.08 Karuma-Pakwach'!K33)</f>
        <v>0.5</v>
      </c>
      <c r="L33" s="49">
        <f>AVERAGE('29.07 karuma-pakwach'!L33,'30.07 karuma-pakwach'!L33,'31.07 karuma-pakwach'!L33,'01.08 karuma-pakwach'!L33,'2.08 Karuma-Pakwach-24h'!L33,'04.08 Karuma-Pakwach'!L33)</f>
        <v>0.5</v>
      </c>
      <c r="M33" s="49">
        <f>AVERAGE('29.07 karuma-pakwach'!M33,'30.07 karuma-pakwach'!M33,'31.07 karuma-pakwach'!M33,'01.08 karuma-pakwach'!M33,'2.08 Karuma-Pakwach-24h'!M33,'04.08 Karuma-Pakwach'!M33)</f>
        <v>4.5</v>
      </c>
      <c r="N33" s="49">
        <f>AVERAGE('29.07 karuma-pakwach'!N33,'30.07 karuma-pakwach'!N33,'31.07 karuma-pakwach'!N33,'01.08 karuma-pakwach'!N33,'2.08 Karuma-Pakwach-24h'!N33,'04.08 Karuma-Pakwach'!N33)</f>
        <v>0.16666666666666666</v>
      </c>
      <c r="O33" s="15">
        <f t="shared" si="0"/>
        <v>4.8333333333333339</v>
      </c>
      <c r="P33" s="15">
        <f t="shared" si="1"/>
        <v>9.3333333333333339</v>
      </c>
      <c r="R33" s="1" t="s">
        <v>157</v>
      </c>
      <c r="S33" s="34">
        <f>SUM(C102:C105)</f>
        <v>3.5</v>
      </c>
      <c r="T33" s="34">
        <f t="shared" ref="T33:AF33" si="25">SUM(D102:D105)</f>
        <v>0</v>
      </c>
      <c r="U33" s="34">
        <f t="shared" si="25"/>
        <v>4</v>
      </c>
      <c r="V33" s="34">
        <f t="shared" si="25"/>
        <v>2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2.5</v>
      </c>
      <c r="AC33" s="34">
        <f t="shared" si="25"/>
        <v>7.5</v>
      </c>
      <c r="AD33" s="34">
        <f t="shared" si="25"/>
        <v>0</v>
      </c>
      <c r="AE33" s="31">
        <f t="shared" si="25"/>
        <v>13</v>
      </c>
      <c r="AF33" s="31">
        <f t="shared" si="25"/>
        <v>20.5</v>
      </c>
    </row>
    <row r="34" spans="2:32" ht="23.1" customHeight="1" x14ac:dyDescent="0.25">
      <c r="B34" s="24" t="s">
        <v>61</v>
      </c>
      <c r="C34" s="49">
        <f>AVERAGE('29.07 karuma-pakwach'!C34,'30.07 karuma-pakwach'!C34,'31.07 karuma-pakwach'!C34,'01.08 karuma-pakwach'!C34,'2.08 Karuma-Pakwach-24h'!C34,'04.08 Karuma-Pakwach'!C34)</f>
        <v>0.83333333333333337</v>
      </c>
      <c r="D34" s="49">
        <f>AVERAGE('29.07 karuma-pakwach'!D34,'30.07 karuma-pakwach'!D34,'31.07 karuma-pakwach'!D34,'01.08 karuma-pakwach'!D34,'2.08 Karuma-Pakwach-24h'!D34,'04.08 Karuma-Pakwach'!D34)</f>
        <v>0.33333333333333331</v>
      </c>
      <c r="E34" s="49">
        <f>AVERAGE('29.07 karuma-pakwach'!E34,'30.07 karuma-pakwach'!E34,'31.07 karuma-pakwach'!E34,'01.08 karuma-pakwach'!E34,'2.08 Karuma-Pakwach-24h'!E34,'04.08 Karuma-Pakwach'!E34)</f>
        <v>1</v>
      </c>
      <c r="F34" s="49">
        <f>AVERAGE('29.07 karuma-pakwach'!F34,'30.07 karuma-pakwach'!F34,'31.07 karuma-pakwach'!F34,'01.08 karuma-pakwach'!F34,'2.08 Karuma-Pakwach-24h'!F34,'04.08 Karuma-Pakwach'!F34)</f>
        <v>0.66666666666666663</v>
      </c>
      <c r="G34" s="49">
        <f>AVERAGE('29.07 karuma-pakwach'!G34,'30.07 karuma-pakwach'!G34,'31.07 karuma-pakwach'!G34,'01.08 karuma-pakwach'!G34,'2.08 Karuma-Pakwach-24h'!G34,'04.08 Karuma-Pakwach'!G34)</f>
        <v>0</v>
      </c>
      <c r="H34" s="49">
        <f>AVERAGE('29.07 karuma-pakwach'!H34,'30.07 karuma-pakwach'!H34,'31.07 karuma-pakwach'!H34,'01.08 karuma-pakwach'!H34,'2.08 Karuma-Pakwach-24h'!H34,'04.08 Karuma-Pakwach'!H34)</f>
        <v>0</v>
      </c>
      <c r="I34" s="49">
        <f>AVERAGE('29.07 karuma-pakwach'!I34,'30.07 karuma-pakwach'!I34,'31.07 karuma-pakwach'!I34,'01.08 karuma-pakwach'!I34,'2.08 Karuma-Pakwach-24h'!I34,'04.08 Karuma-Pakwach'!I34)</f>
        <v>0.16666666666666666</v>
      </c>
      <c r="J34" s="49">
        <f>AVERAGE('29.07 karuma-pakwach'!J34,'30.07 karuma-pakwach'!J34,'31.07 karuma-pakwach'!J34,'01.08 karuma-pakwach'!J34,'2.08 Karuma-Pakwach-24h'!J34,'04.08 Karuma-Pakwach'!J34)</f>
        <v>0</v>
      </c>
      <c r="K34" s="49">
        <f>AVERAGE('29.07 karuma-pakwach'!K34,'30.07 karuma-pakwach'!K34,'31.07 karuma-pakwach'!K34,'01.08 karuma-pakwach'!K34,'2.08 Karuma-Pakwach-24h'!K34,'04.08 Karuma-Pakwach'!K34)</f>
        <v>0</v>
      </c>
      <c r="L34" s="49">
        <f>AVERAGE('29.07 karuma-pakwach'!L34,'30.07 karuma-pakwach'!L34,'31.07 karuma-pakwach'!L34,'01.08 karuma-pakwach'!L34,'2.08 Karuma-Pakwach-24h'!L34,'04.08 Karuma-Pakwach'!L34)</f>
        <v>0.33333333333333331</v>
      </c>
      <c r="M34" s="49">
        <f>AVERAGE('29.07 karuma-pakwach'!M34,'30.07 karuma-pakwach'!M34,'31.07 karuma-pakwach'!M34,'01.08 karuma-pakwach'!M34,'2.08 Karuma-Pakwach-24h'!M34,'04.08 Karuma-Pakwach'!M34)</f>
        <v>3.8333333333333335</v>
      </c>
      <c r="N34" s="49">
        <f>AVERAGE('29.07 karuma-pakwach'!N34,'30.07 karuma-pakwach'!N34,'31.07 karuma-pakwach'!N34,'01.08 karuma-pakwach'!N34,'2.08 Karuma-Pakwach-24h'!N34,'04.08 Karuma-Pakwach'!N34)</f>
        <v>0.33333333333333331</v>
      </c>
      <c r="O34" s="15">
        <f t="shared" si="0"/>
        <v>3.666666666666667</v>
      </c>
      <c r="P34" s="15">
        <f t="shared" si="1"/>
        <v>7.5</v>
      </c>
      <c r="R34" s="51" t="s">
        <v>90</v>
      </c>
      <c r="S34" s="52">
        <f t="shared" ref="S34:AF34" si="26">MAX(S10:S12)</f>
        <v>1.5</v>
      </c>
      <c r="T34" s="52">
        <f t="shared" si="26"/>
        <v>0.83333333333333326</v>
      </c>
      <c r="U34" s="52">
        <f t="shared" si="26"/>
        <v>3.666666666666667</v>
      </c>
      <c r="V34" s="52">
        <f t="shared" si="26"/>
        <v>2.333333333333333</v>
      </c>
      <c r="W34" s="52">
        <f t="shared" si="26"/>
        <v>1</v>
      </c>
      <c r="X34" s="52">
        <f t="shared" si="26"/>
        <v>0.83333333333333326</v>
      </c>
      <c r="Y34" s="52">
        <f t="shared" si="26"/>
        <v>1.1666666666666665</v>
      </c>
      <c r="Z34" s="52">
        <f t="shared" si="26"/>
        <v>0.5</v>
      </c>
      <c r="AA34" s="52">
        <f t="shared" si="26"/>
        <v>0.16666666666666666</v>
      </c>
      <c r="AB34" s="52">
        <f t="shared" si="26"/>
        <v>2.3333333333333335</v>
      </c>
      <c r="AC34" s="52">
        <f t="shared" si="26"/>
        <v>15.833333333333332</v>
      </c>
      <c r="AD34" s="52">
        <f t="shared" si="26"/>
        <v>1.1666666666666665</v>
      </c>
      <c r="AE34" s="40">
        <f t="shared" si="26"/>
        <v>13.499999999999998</v>
      </c>
      <c r="AF34" s="40">
        <f t="shared" si="26"/>
        <v>29.333333333333332</v>
      </c>
    </row>
    <row r="35" spans="2:32" ht="23.1" customHeight="1" x14ac:dyDescent="0.25">
      <c r="B35" s="24" t="s">
        <v>62</v>
      </c>
      <c r="C35" s="49">
        <f>AVERAGE('29.07 karuma-pakwach'!C35,'30.07 karuma-pakwach'!C35,'31.07 karuma-pakwach'!C35,'01.08 karuma-pakwach'!C35,'2.08 Karuma-Pakwach-24h'!C35,'04.08 Karuma-Pakwach'!C35)</f>
        <v>1.5</v>
      </c>
      <c r="D35" s="49">
        <f>AVERAGE('29.07 karuma-pakwach'!D35,'30.07 karuma-pakwach'!D35,'31.07 karuma-pakwach'!D35,'01.08 karuma-pakwach'!D35,'2.08 Karuma-Pakwach-24h'!D35,'04.08 Karuma-Pakwach'!D35)</f>
        <v>0</v>
      </c>
      <c r="E35" s="49">
        <f>AVERAGE('29.07 karuma-pakwach'!E35,'30.07 karuma-pakwach'!E35,'31.07 karuma-pakwach'!E35,'01.08 karuma-pakwach'!E35,'2.08 Karuma-Pakwach-24h'!E35,'04.08 Karuma-Pakwach'!E35)</f>
        <v>0.66666666666666663</v>
      </c>
      <c r="F35" s="49">
        <f>AVERAGE('29.07 karuma-pakwach'!F35,'30.07 karuma-pakwach'!F35,'31.07 karuma-pakwach'!F35,'01.08 karuma-pakwach'!F35,'2.08 Karuma-Pakwach-24h'!F35,'04.08 Karuma-Pakwach'!F35)</f>
        <v>1.1666666666666667</v>
      </c>
      <c r="G35" s="49">
        <f>AVERAGE('29.07 karuma-pakwach'!G35,'30.07 karuma-pakwach'!G35,'31.07 karuma-pakwach'!G35,'01.08 karuma-pakwach'!G35,'2.08 Karuma-Pakwach-24h'!G35,'04.08 Karuma-Pakwach'!G35)</f>
        <v>0.16666666666666666</v>
      </c>
      <c r="H35" s="49">
        <f>AVERAGE('29.07 karuma-pakwach'!H35,'30.07 karuma-pakwach'!H35,'31.07 karuma-pakwach'!H35,'01.08 karuma-pakwach'!H35,'2.08 Karuma-Pakwach-24h'!H35,'04.08 Karuma-Pakwach'!H35)</f>
        <v>0.33333333333333331</v>
      </c>
      <c r="I35" s="49">
        <f>AVERAGE('29.07 karuma-pakwach'!I35,'30.07 karuma-pakwach'!I35,'31.07 karuma-pakwach'!I35,'01.08 karuma-pakwach'!I35,'2.08 Karuma-Pakwach-24h'!I35,'04.08 Karuma-Pakwach'!I35)</f>
        <v>0.5</v>
      </c>
      <c r="J35" s="49">
        <f>AVERAGE('29.07 karuma-pakwach'!J35,'30.07 karuma-pakwach'!J35,'31.07 karuma-pakwach'!J35,'01.08 karuma-pakwach'!J35,'2.08 Karuma-Pakwach-24h'!J35,'04.08 Karuma-Pakwach'!J35)</f>
        <v>0</v>
      </c>
      <c r="K35" s="49">
        <f>AVERAGE('29.07 karuma-pakwach'!K35,'30.07 karuma-pakwach'!K35,'31.07 karuma-pakwach'!K35,'01.08 karuma-pakwach'!K35,'2.08 Karuma-Pakwach-24h'!K35,'04.08 Karuma-Pakwach'!K35)</f>
        <v>0.16666666666666666</v>
      </c>
      <c r="L35" s="49">
        <f>AVERAGE('29.07 karuma-pakwach'!L35,'30.07 karuma-pakwach'!L35,'31.07 karuma-pakwach'!L35,'01.08 karuma-pakwach'!L35,'2.08 Karuma-Pakwach-24h'!L35,'04.08 Karuma-Pakwach'!L35)</f>
        <v>1</v>
      </c>
      <c r="M35" s="49">
        <f>AVERAGE('29.07 karuma-pakwach'!M35,'30.07 karuma-pakwach'!M35,'31.07 karuma-pakwach'!M35,'01.08 karuma-pakwach'!M35,'2.08 Karuma-Pakwach-24h'!M35,'04.08 Karuma-Pakwach'!M35)</f>
        <v>1.3333333333333333</v>
      </c>
      <c r="N35" s="49">
        <f>AVERAGE('29.07 karuma-pakwach'!N35,'30.07 karuma-pakwach'!N35,'31.07 karuma-pakwach'!N35,'01.08 karuma-pakwach'!N35,'2.08 Karuma-Pakwach-24h'!N35,'04.08 Karuma-Pakwach'!N35)</f>
        <v>0</v>
      </c>
      <c r="O35" s="15">
        <f t="shared" si="0"/>
        <v>5.5</v>
      </c>
      <c r="P35" s="15">
        <f t="shared" si="1"/>
        <v>6.833333333333333</v>
      </c>
      <c r="R35" s="51" t="s">
        <v>91</v>
      </c>
      <c r="S35" s="52">
        <f t="shared" ref="S35:AF35" si="27">MAX(S13:S18)</f>
        <v>4.3333333333333339</v>
      </c>
      <c r="T35" s="52">
        <f t="shared" si="27"/>
        <v>1</v>
      </c>
      <c r="U35" s="52">
        <f t="shared" si="27"/>
        <v>6.1666666666666661</v>
      </c>
      <c r="V35" s="52">
        <f t="shared" si="27"/>
        <v>3.166666666666667</v>
      </c>
      <c r="W35" s="52">
        <f t="shared" si="27"/>
        <v>2.3333333333333335</v>
      </c>
      <c r="X35" s="52">
        <f t="shared" si="27"/>
        <v>3.5</v>
      </c>
      <c r="Y35" s="52">
        <f t="shared" si="27"/>
        <v>2.8333333333333335</v>
      </c>
      <c r="Z35" s="52">
        <f t="shared" si="27"/>
        <v>1.6666666666666665</v>
      </c>
      <c r="AA35" s="52">
        <f t="shared" si="27"/>
        <v>2.5</v>
      </c>
      <c r="AB35" s="52">
        <f t="shared" si="27"/>
        <v>5</v>
      </c>
      <c r="AC35" s="52">
        <f t="shared" si="27"/>
        <v>15.5</v>
      </c>
      <c r="AD35" s="52">
        <f t="shared" si="27"/>
        <v>0.99999999999999989</v>
      </c>
      <c r="AE35" s="40">
        <f t="shared" si="27"/>
        <v>26.666666666666668</v>
      </c>
      <c r="AF35" s="40">
        <f t="shared" si="27"/>
        <v>42.166666666666664</v>
      </c>
    </row>
    <row r="36" spans="2:32" ht="23.1" customHeight="1" x14ac:dyDescent="0.25">
      <c r="B36" s="24" t="s">
        <v>63</v>
      </c>
      <c r="C36" s="49">
        <f>AVERAGE('29.07 karuma-pakwach'!C36,'30.07 karuma-pakwach'!C36,'31.07 karuma-pakwach'!C36,'01.08 karuma-pakwach'!C36,'2.08 Karuma-Pakwach-24h'!C36,'04.08 Karuma-Pakwach'!C36)</f>
        <v>1.3333333333333333</v>
      </c>
      <c r="D36" s="49">
        <f>AVERAGE('29.07 karuma-pakwach'!D36,'30.07 karuma-pakwach'!D36,'31.07 karuma-pakwach'!D36,'01.08 karuma-pakwach'!D36,'2.08 Karuma-Pakwach-24h'!D36,'04.08 Karuma-Pakwach'!D36)</f>
        <v>0</v>
      </c>
      <c r="E36" s="49">
        <f>AVERAGE('29.07 karuma-pakwach'!E36,'30.07 karuma-pakwach'!E36,'31.07 karuma-pakwach'!E36,'01.08 karuma-pakwach'!E36,'2.08 Karuma-Pakwach-24h'!E36,'04.08 Karuma-Pakwach'!E36)</f>
        <v>0.5</v>
      </c>
      <c r="F36" s="49">
        <f>AVERAGE('29.07 karuma-pakwach'!F36,'30.07 karuma-pakwach'!F36,'31.07 karuma-pakwach'!F36,'01.08 karuma-pakwach'!F36,'2.08 Karuma-Pakwach-24h'!F36,'04.08 Karuma-Pakwach'!F36)</f>
        <v>0.66666666666666663</v>
      </c>
      <c r="G36" s="49">
        <f>AVERAGE('29.07 karuma-pakwach'!G36,'30.07 karuma-pakwach'!G36,'31.07 karuma-pakwach'!G36,'01.08 karuma-pakwach'!G36,'2.08 Karuma-Pakwach-24h'!G36,'04.08 Karuma-Pakwach'!G36)</f>
        <v>0.33333333333333331</v>
      </c>
      <c r="H36" s="49">
        <f>AVERAGE('29.07 karuma-pakwach'!H36,'30.07 karuma-pakwach'!H36,'31.07 karuma-pakwach'!H36,'01.08 karuma-pakwach'!H36,'2.08 Karuma-Pakwach-24h'!H36,'04.08 Karuma-Pakwach'!H36)</f>
        <v>0.5</v>
      </c>
      <c r="I36" s="49">
        <f>AVERAGE('29.07 karuma-pakwach'!I36,'30.07 karuma-pakwach'!I36,'31.07 karuma-pakwach'!I36,'01.08 karuma-pakwach'!I36,'2.08 Karuma-Pakwach-24h'!I36,'04.08 Karuma-Pakwach'!I36)</f>
        <v>1</v>
      </c>
      <c r="J36" s="49">
        <f>AVERAGE('29.07 karuma-pakwach'!J36,'30.07 karuma-pakwach'!J36,'31.07 karuma-pakwach'!J36,'01.08 karuma-pakwach'!J36,'2.08 Karuma-Pakwach-24h'!J36,'04.08 Karuma-Pakwach'!J36)</f>
        <v>0.66666666666666663</v>
      </c>
      <c r="K36" s="49">
        <f>AVERAGE('29.07 karuma-pakwach'!K36,'30.07 karuma-pakwach'!K36,'31.07 karuma-pakwach'!K36,'01.08 karuma-pakwach'!K36,'2.08 Karuma-Pakwach-24h'!K36,'04.08 Karuma-Pakwach'!K36)</f>
        <v>0.16666666666666666</v>
      </c>
      <c r="L36" s="49">
        <f>AVERAGE('29.07 karuma-pakwach'!L36,'30.07 karuma-pakwach'!L36,'31.07 karuma-pakwach'!L36,'01.08 karuma-pakwach'!L36,'2.08 Karuma-Pakwach-24h'!L36,'04.08 Karuma-Pakwach'!L36)</f>
        <v>1</v>
      </c>
      <c r="M36" s="49">
        <f>AVERAGE('29.07 karuma-pakwach'!M36,'30.07 karuma-pakwach'!M36,'31.07 karuma-pakwach'!M36,'01.08 karuma-pakwach'!M36,'2.08 Karuma-Pakwach-24h'!M36,'04.08 Karuma-Pakwach'!M36)</f>
        <v>2.6666666666666665</v>
      </c>
      <c r="N36" s="49">
        <f>AVERAGE('29.07 karuma-pakwach'!N36,'30.07 karuma-pakwach'!N36,'31.07 karuma-pakwach'!N36,'01.08 karuma-pakwach'!N36,'2.08 Karuma-Pakwach-24h'!N36,'04.08 Karuma-Pakwach'!N36)</f>
        <v>0.16666666666666666</v>
      </c>
      <c r="O36" s="15">
        <f t="shared" si="0"/>
        <v>6.3333333333333348</v>
      </c>
      <c r="P36" s="15">
        <f t="shared" si="1"/>
        <v>9</v>
      </c>
      <c r="R36" s="51" t="s">
        <v>92</v>
      </c>
      <c r="S36" s="52">
        <f t="shared" ref="S36:AF36" si="28">MAX(S19:S21)</f>
        <v>4</v>
      </c>
      <c r="T36" s="52">
        <f t="shared" si="28"/>
        <v>0.66666666666666663</v>
      </c>
      <c r="U36" s="52">
        <f t="shared" si="28"/>
        <v>4</v>
      </c>
      <c r="V36" s="52">
        <f t="shared" si="28"/>
        <v>2.6666666666666665</v>
      </c>
      <c r="W36" s="52">
        <f t="shared" si="28"/>
        <v>1.1666666666666665</v>
      </c>
      <c r="X36" s="52">
        <f t="shared" si="28"/>
        <v>1.1666666666666665</v>
      </c>
      <c r="Y36" s="52">
        <f t="shared" si="28"/>
        <v>4</v>
      </c>
      <c r="Z36" s="52">
        <f t="shared" si="28"/>
        <v>1.3333333333333333</v>
      </c>
      <c r="AA36" s="52">
        <f t="shared" si="28"/>
        <v>1.5</v>
      </c>
      <c r="AB36" s="52">
        <f t="shared" si="28"/>
        <v>4</v>
      </c>
      <c r="AC36" s="52">
        <f t="shared" si="28"/>
        <v>12.333333333333334</v>
      </c>
      <c r="AD36" s="52">
        <f t="shared" si="28"/>
        <v>1.6666666666666667</v>
      </c>
      <c r="AE36" s="40">
        <f t="shared" si="28"/>
        <v>22.166666666666668</v>
      </c>
      <c r="AF36" s="40">
        <f t="shared" si="28"/>
        <v>34.5</v>
      </c>
    </row>
    <row r="37" spans="2:32" ht="23.1" customHeight="1" x14ac:dyDescent="0.25">
      <c r="B37" s="23" t="s">
        <v>64</v>
      </c>
      <c r="C37" s="49">
        <f>AVERAGE('29.07 karuma-pakwach'!C37,'30.07 karuma-pakwach'!C37,'31.07 karuma-pakwach'!C37,'01.08 karuma-pakwach'!C37,'2.08 Karuma-Pakwach-24h'!C37,'04.08 Karuma-Pakwach'!C37)</f>
        <v>0.66666666666666663</v>
      </c>
      <c r="D37" s="49">
        <f>AVERAGE('29.07 karuma-pakwach'!D37,'30.07 karuma-pakwach'!D37,'31.07 karuma-pakwach'!D37,'01.08 karuma-pakwach'!D37,'2.08 Karuma-Pakwach-24h'!D37,'04.08 Karuma-Pakwach'!D37)</f>
        <v>0.33333333333333331</v>
      </c>
      <c r="E37" s="49">
        <f>AVERAGE('29.07 karuma-pakwach'!E37,'30.07 karuma-pakwach'!E37,'31.07 karuma-pakwach'!E37,'01.08 karuma-pakwach'!E37,'2.08 Karuma-Pakwach-24h'!E37,'04.08 Karuma-Pakwach'!E37)</f>
        <v>1.5</v>
      </c>
      <c r="F37" s="49">
        <f>AVERAGE('29.07 karuma-pakwach'!F37,'30.07 karuma-pakwach'!F37,'31.07 karuma-pakwach'!F37,'01.08 karuma-pakwach'!F37,'2.08 Karuma-Pakwach-24h'!F37,'04.08 Karuma-Pakwach'!F37)</f>
        <v>0.33333333333333331</v>
      </c>
      <c r="G37" s="49">
        <f>AVERAGE('29.07 karuma-pakwach'!G37,'30.07 karuma-pakwach'!G37,'31.07 karuma-pakwach'!G37,'01.08 karuma-pakwach'!G37,'2.08 Karuma-Pakwach-24h'!G37,'04.08 Karuma-Pakwach'!G37)</f>
        <v>0.16666666666666666</v>
      </c>
      <c r="H37" s="49">
        <f>AVERAGE('29.07 karuma-pakwach'!H37,'30.07 karuma-pakwach'!H37,'31.07 karuma-pakwach'!H37,'01.08 karuma-pakwach'!H37,'2.08 Karuma-Pakwach-24h'!H37,'04.08 Karuma-Pakwach'!H37)</f>
        <v>0.33333333333333331</v>
      </c>
      <c r="I37" s="49">
        <f>AVERAGE('29.07 karuma-pakwach'!I37,'30.07 karuma-pakwach'!I37,'31.07 karuma-pakwach'!I37,'01.08 karuma-pakwach'!I37,'2.08 Karuma-Pakwach-24h'!I37,'04.08 Karuma-Pakwach'!I37)</f>
        <v>0.83333333333333337</v>
      </c>
      <c r="J37" s="49">
        <f>AVERAGE('29.07 karuma-pakwach'!J37,'30.07 karuma-pakwach'!J37,'31.07 karuma-pakwach'!J37,'01.08 karuma-pakwach'!J37,'2.08 Karuma-Pakwach-24h'!J37,'04.08 Karuma-Pakwach'!J37)</f>
        <v>0.16666666666666666</v>
      </c>
      <c r="K37" s="49">
        <f>AVERAGE('29.07 karuma-pakwach'!K37,'30.07 karuma-pakwach'!K37,'31.07 karuma-pakwach'!K37,'01.08 karuma-pakwach'!K37,'2.08 Karuma-Pakwach-24h'!K37,'04.08 Karuma-Pakwach'!K37)</f>
        <v>0.16666666666666666</v>
      </c>
      <c r="L37" s="49">
        <f>AVERAGE('29.07 karuma-pakwach'!L37,'30.07 karuma-pakwach'!L37,'31.07 karuma-pakwach'!L37,'01.08 karuma-pakwach'!L37,'2.08 Karuma-Pakwach-24h'!L37,'04.08 Karuma-Pakwach'!L37)</f>
        <v>0.5</v>
      </c>
      <c r="M37" s="49">
        <f>AVERAGE('29.07 karuma-pakwach'!M37,'30.07 karuma-pakwach'!M37,'31.07 karuma-pakwach'!M37,'01.08 karuma-pakwach'!M37,'2.08 Karuma-Pakwach-24h'!M37,'04.08 Karuma-Pakwach'!M37)</f>
        <v>2.5</v>
      </c>
      <c r="N37" s="49">
        <f>AVERAGE('29.07 karuma-pakwach'!N37,'30.07 karuma-pakwach'!N37,'31.07 karuma-pakwach'!N37,'01.08 karuma-pakwach'!N37,'2.08 Karuma-Pakwach-24h'!N37,'04.08 Karuma-Pakwach'!N37)</f>
        <v>0.16666666666666666</v>
      </c>
      <c r="O37" s="15">
        <f t="shared" si="0"/>
        <v>5.1666666666666679</v>
      </c>
      <c r="P37" s="15">
        <f t="shared" si="1"/>
        <v>7.6666666666666679</v>
      </c>
      <c r="R37" s="37" t="s">
        <v>85</v>
      </c>
      <c r="S37" s="53">
        <f t="shared" ref="S37:AF37" si="29">SUM(S10:S12)</f>
        <v>3.1666666666666661</v>
      </c>
      <c r="T37" s="54">
        <f t="shared" si="29"/>
        <v>1.5</v>
      </c>
      <c r="U37" s="54">
        <f t="shared" si="29"/>
        <v>9.1666666666666679</v>
      </c>
      <c r="V37" s="54">
        <f t="shared" si="29"/>
        <v>5.5</v>
      </c>
      <c r="W37" s="54">
        <f t="shared" si="29"/>
        <v>2</v>
      </c>
      <c r="X37" s="54">
        <f t="shared" si="29"/>
        <v>1.1666666666666665</v>
      </c>
      <c r="Y37" s="54">
        <f t="shared" si="29"/>
        <v>2.5</v>
      </c>
      <c r="Z37" s="54">
        <f t="shared" si="29"/>
        <v>1.3333333333333333</v>
      </c>
      <c r="AA37" s="54">
        <f t="shared" si="29"/>
        <v>0.16666666666666666</v>
      </c>
      <c r="AB37" s="54">
        <f t="shared" si="29"/>
        <v>6.666666666666667</v>
      </c>
      <c r="AC37" s="54">
        <f t="shared" si="29"/>
        <v>33.5</v>
      </c>
      <c r="AD37" s="54">
        <f t="shared" si="29"/>
        <v>1.5</v>
      </c>
      <c r="AE37" s="55">
        <f t="shared" si="29"/>
        <v>34.666666666666664</v>
      </c>
      <c r="AF37" s="55">
        <f t="shared" si="29"/>
        <v>68.166666666666671</v>
      </c>
    </row>
    <row r="38" spans="2:32" ht="23.1" customHeight="1" x14ac:dyDescent="0.25">
      <c r="B38" s="24" t="s">
        <v>65</v>
      </c>
      <c r="C38" s="49">
        <f>AVERAGE('29.07 karuma-pakwach'!C38,'30.07 karuma-pakwach'!C38,'31.07 karuma-pakwach'!C38,'01.08 karuma-pakwach'!C38,'2.08 Karuma-Pakwach-24h'!C38,'04.08 Karuma-Pakwach'!C38)</f>
        <v>0.66666666666666663</v>
      </c>
      <c r="D38" s="49">
        <f>AVERAGE('29.07 karuma-pakwach'!D38,'30.07 karuma-pakwach'!D38,'31.07 karuma-pakwach'!D38,'01.08 karuma-pakwach'!D38,'2.08 Karuma-Pakwach-24h'!D38,'04.08 Karuma-Pakwach'!D38)</f>
        <v>0.5</v>
      </c>
      <c r="E38" s="49">
        <f>AVERAGE('29.07 karuma-pakwach'!E38,'30.07 karuma-pakwach'!E38,'31.07 karuma-pakwach'!E38,'01.08 karuma-pakwach'!E38,'2.08 Karuma-Pakwach-24h'!E38,'04.08 Karuma-Pakwach'!E38)</f>
        <v>2.5</v>
      </c>
      <c r="F38" s="49">
        <f>AVERAGE('29.07 karuma-pakwach'!F38,'30.07 karuma-pakwach'!F38,'31.07 karuma-pakwach'!F38,'01.08 karuma-pakwach'!F38,'2.08 Karuma-Pakwach-24h'!F38,'04.08 Karuma-Pakwach'!F38)</f>
        <v>0.16666666666666666</v>
      </c>
      <c r="G38" s="49">
        <f>AVERAGE('29.07 karuma-pakwach'!G38,'30.07 karuma-pakwach'!G38,'31.07 karuma-pakwach'!G38,'01.08 karuma-pakwach'!G38,'2.08 Karuma-Pakwach-24h'!G38,'04.08 Karuma-Pakwach'!G38)</f>
        <v>0</v>
      </c>
      <c r="H38" s="49">
        <f>AVERAGE('29.07 karuma-pakwach'!H38,'30.07 karuma-pakwach'!H38,'31.07 karuma-pakwach'!H38,'01.08 karuma-pakwach'!H38,'2.08 Karuma-Pakwach-24h'!H38,'04.08 Karuma-Pakwach'!H38)</f>
        <v>0.83333333333333337</v>
      </c>
      <c r="I38" s="49">
        <f>AVERAGE('29.07 karuma-pakwach'!I38,'30.07 karuma-pakwach'!I38,'31.07 karuma-pakwach'!I38,'01.08 karuma-pakwach'!I38,'2.08 Karuma-Pakwach-24h'!I38,'04.08 Karuma-Pakwach'!I38)</f>
        <v>0.5</v>
      </c>
      <c r="J38" s="49">
        <f>AVERAGE('29.07 karuma-pakwach'!J38,'30.07 karuma-pakwach'!J38,'31.07 karuma-pakwach'!J38,'01.08 karuma-pakwach'!J38,'2.08 Karuma-Pakwach-24h'!J38,'04.08 Karuma-Pakwach'!J38)</f>
        <v>0.5</v>
      </c>
      <c r="K38" s="49">
        <f>AVERAGE('29.07 karuma-pakwach'!K38,'30.07 karuma-pakwach'!K38,'31.07 karuma-pakwach'!K38,'01.08 karuma-pakwach'!K38,'2.08 Karuma-Pakwach-24h'!K38,'04.08 Karuma-Pakwach'!K38)</f>
        <v>0.5</v>
      </c>
      <c r="L38" s="49">
        <f>AVERAGE('29.07 karuma-pakwach'!L38,'30.07 karuma-pakwach'!L38,'31.07 karuma-pakwach'!L38,'01.08 karuma-pakwach'!L38,'2.08 Karuma-Pakwach-24h'!L38,'04.08 Karuma-Pakwach'!L38)</f>
        <v>1.8333333333333333</v>
      </c>
      <c r="M38" s="49">
        <f>AVERAGE('29.07 karuma-pakwach'!M38,'30.07 karuma-pakwach'!M38,'31.07 karuma-pakwach'!M38,'01.08 karuma-pakwach'!M38,'2.08 Karuma-Pakwach-24h'!M38,'04.08 Karuma-Pakwach'!M38)</f>
        <v>3.6666666666666665</v>
      </c>
      <c r="N38" s="49">
        <f>AVERAGE('29.07 karuma-pakwach'!N38,'30.07 karuma-pakwach'!N38,'31.07 karuma-pakwach'!N38,'01.08 karuma-pakwach'!N38,'2.08 Karuma-Pakwach-24h'!N38,'04.08 Karuma-Pakwach'!N38)</f>
        <v>0.5</v>
      </c>
      <c r="O38" s="15">
        <f t="shared" si="0"/>
        <v>8.5</v>
      </c>
      <c r="P38" s="15">
        <f t="shared" si="1"/>
        <v>12.166666666666666</v>
      </c>
      <c r="R38" s="28" t="s">
        <v>86</v>
      </c>
      <c r="S38" s="54">
        <f t="shared" ref="S38:AF38" si="30">SUM(S13:S18)</f>
        <v>15.5</v>
      </c>
      <c r="T38" s="54">
        <f t="shared" si="30"/>
        <v>4.6666666666666661</v>
      </c>
      <c r="U38" s="54">
        <f t="shared" si="30"/>
        <v>28.833333333333336</v>
      </c>
      <c r="V38" s="54">
        <f t="shared" si="30"/>
        <v>14.5</v>
      </c>
      <c r="W38" s="54">
        <f t="shared" si="30"/>
        <v>6.833333333333333</v>
      </c>
      <c r="X38" s="54">
        <f t="shared" si="30"/>
        <v>13.166666666666668</v>
      </c>
      <c r="Y38" s="54">
        <f t="shared" si="30"/>
        <v>12.500000000000002</v>
      </c>
      <c r="Z38" s="54">
        <f t="shared" si="30"/>
        <v>6.6666666666666661</v>
      </c>
      <c r="AA38" s="54">
        <f t="shared" si="30"/>
        <v>5.833333333333333</v>
      </c>
      <c r="AB38" s="54">
        <f t="shared" si="30"/>
        <v>17.5</v>
      </c>
      <c r="AC38" s="54">
        <f t="shared" si="30"/>
        <v>67.333333333333343</v>
      </c>
      <c r="AD38" s="54">
        <f t="shared" si="30"/>
        <v>3</v>
      </c>
      <c r="AE38" s="55">
        <f t="shared" si="30"/>
        <v>129</v>
      </c>
      <c r="AF38" s="55">
        <f t="shared" si="30"/>
        <v>196.33333333333334</v>
      </c>
    </row>
    <row r="39" spans="2:32" ht="23.1" customHeight="1" x14ac:dyDescent="0.25">
      <c r="B39" s="24" t="s">
        <v>66</v>
      </c>
      <c r="C39" s="49">
        <f>AVERAGE('29.07 karuma-pakwach'!C39,'30.07 karuma-pakwach'!C39,'31.07 karuma-pakwach'!C39,'01.08 karuma-pakwach'!C39,'2.08 Karuma-Pakwach-24h'!C39,'04.08 Karuma-Pakwach'!C39)</f>
        <v>0.66666666666666663</v>
      </c>
      <c r="D39" s="49">
        <f>AVERAGE('29.07 karuma-pakwach'!D39,'30.07 karuma-pakwach'!D39,'31.07 karuma-pakwach'!D39,'01.08 karuma-pakwach'!D39,'2.08 Karuma-Pakwach-24h'!D39,'04.08 Karuma-Pakwach'!D39)</f>
        <v>0</v>
      </c>
      <c r="E39" s="49">
        <f>AVERAGE('29.07 karuma-pakwach'!E39,'30.07 karuma-pakwach'!E39,'31.07 karuma-pakwach'!E39,'01.08 karuma-pakwach'!E39,'2.08 Karuma-Pakwach-24h'!E39,'04.08 Karuma-Pakwach'!E39)</f>
        <v>1</v>
      </c>
      <c r="F39" s="49">
        <f>AVERAGE('29.07 karuma-pakwach'!F39,'30.07 karuma-pakwach'!F39,'31.07 karuma-pakwach'!F39,'01.08 karuma-pakwach'!F39,'2.08 Karuma-Pakwach-24h'!F39,'04.08 Karuma-Pakwach'!F39)</f>
        <v>0.33333333333333331</v>
      </c>
      <c r="G39" s="49">
        <f>AVERAGE('29.07 karuma-pakwach'!G39,'30.07 karuma-pakwach'!G39,'31.07 karuma-pakwach'!G39,'01.08 karuma-pakwach'!G39,'2.08 Karuma-Pakwach-24h'!G39,'04.08 Karuma-Pakwach'!G39)</f>
        <v>0</v>
      </c>
      <c r="H39" s="49">
        <f>AVERAGE('29.07 karuma-pakwach'!H39,'30.07 karuma-pakwach'!H39,'31.07 karuma-pakwach'!H39,'01.08 karuma-pakwach'!H39,'2.08 Karuma-Pakwach-24h'!H39,'04.08 Karuma-Pakwach'!H39)</f>
        <v>0.16666666666666666</v>
      </c>
      <c r="I39" s="49">
        <f>AVERAGE('29.07 karuma-pakwach'!I39,'30.07 karuma-pakwach'!I39,'31.07 karuma-pakwach'!I39,'01.08 karuma-pakwach'!I39,'2.08 Karuma-Pakwach-24h'!I39,'04.08 Karuma-Pakwach'!I39)</f>
        <v>0.66666666666666663</v>
      </c>
      <c r="J39" s="49">
        <f>AVERAGE('29.07 karuma-pakwach'!J39,'30.07 karuma-pakwach'!J39,'31.07 karuma-pakwach'!J39,'01.08 karuma-pakwach'!J39,'2.08 Karuma-Pakwach-24h'!J39,'04.08 Karuma-Pakwach'!J39)</f>
        <v>0.33333333333333331</v>
      </c>
      <c r="K39" s="49">
        <f>AVERAGE('29.07 karuma-pakwach'!K39,'30.07 karuma-pakwach'!K39,'31.07 karuma-pakwach'!K39,'01.08 karuma-pakwach'!K39,'2.08 Karuma-Pakwach-24h'!K39,'04.08 Karuma-Pakwach'!K39)</f>
        <v>0.33333333333333331</v>
      </c>
      <c r="L39" s="49">
        <f>AVERAGE('29.07 karuma-pakwach'!L39,'30.07 karuma-pakwach'!L39,'31.07 karuma-pakwach'!L39,'01.08 karuma-pakwach'!L39,'2.08 Karuma-Pakwach-24h'!L39,'04.08 Karuma-Pakwach'!L39)</f>
        <v>1.3333333333333333</v>
      </c>
      <c r="M39" s="49">
        <f>AVERAGE('29.07 karuma-pakwach'!M39,'30.07 karuma-pakwach'!M39,'31.07 karuma-pakwach'!M39,'01.08 karuma-pakwach'!M39,'2.08 Karuma-Pakwach-24h'!M39,'04.08 Karuma-Pakwach'!M39)</f>
        <v>3.6666666666666665</v>
      </c>
      <c r="N39" s="49">
        <f>AVERAGE('29.07 karuma-pakwach'!N39,'30.07 karuma-pakwach'!N39,'31.07 karuma-pakwach'!N39,'01.08 karuma-pakwach'!N39,'2.08 Karuma-Pakwach-24h'!N39,'04.08 Karuma-Pakwach'!N39)</f>
        <v>0</v>
      </c>
      <c r="O39" s="15">
        <f t="shared" si="0"/>
        <v>4.833333333333333</v>
      </c>
      <c r="P39" s="15">
        <f t="shared" si="1"/>
        <v>8.5</v>
      </c>
      <c r="R39" s="29" t="s">
        <v>87</v>
      </c>
      <c r="S39" s="54">
        <f t="shared" ref="S39:AF39" si="31">SUM(S19:S21)</f>
        <v>8.1666666666666679</v>
      </c>
      <c r="T39" s="54">
        <f t="shared" si="31"/>
        <v>1.1666666666666667</v>
      </c>
      <c r="U39" s="54">
        <f t="shared" si="31"/>
        <v>10.5</v>
      </c>
      <c r="V39" s="54">
        <f t="shared" si="31"/>
        <v>6.4999999999999991</v>
      </c>
      <c r="W39" s="54">
        <f t="shared" si="31"/>
        <v>2.5</v>
      </c>
      <c r="X39" s="54">
        <f t="shared" si="31"/>
        <v>1.6666666666666665</v>
      </c>
      <c r="Y39" s="54">
        <f t="shared" si="31"/>
        <v>7.333333333333333</v>
      </c>
      <c r="Z39" s="54">
        <f t="shared" si="31"/>
        <v>2.833333333333333</v>
      </c>
      <c r="AA39" s="54">
        <f t="shared" si="31"/>
        <v>3</v>
      </c>
      <c r="AB39" s="54">
        <f t="shared" si="31"/>
        <v>9.8333333333333339</v>
      </c>
      <c r="AC39" s="54">
        <f t="shared" si="31"/>
        <v>34</v>
      </c>
      <c r="AD39" s="54">
        <f t="shared" si="31"/>
        <v>2.5</v>
      </c>
      <c r="AE39" s="55">
        <f t="shared" si="31"/>
        <v>56.000000000000007</v>
      </c>
      <c r="AF39" s="55">
        <f t="shared" si="31"/>
        <v>90</v>
      </c>
    </row>
    <row r="40" spans="2:32" ht="23.1" customHeight="1" x14ac:dyDescent="0.25">
      <c r="B40" s="24" t="s">
        <v>67</v>
      </c>
      <c r="C40" s="49">
        <f>AVERAGE('29.07 karuma-pakwach'!C40,'30.07 karuma-pakwach'!C40,'31.07 karuma-pakwach'!C40,'01.08 karuma-pakwach'!C40,'2.08 Karuma-Pakwach-24h'!C40,'04.08 Karuma-Pakwach'!C40)</f>
        <v>0.5</v>
      </c>
      <c r="D40" s="49">
        <f>AVERAGE('29.07 karuma-pakwach'!D40,'30.07 karuma-pakwach'!D40,'31.07 karuma-pakwach'!D40,'01.08 karuma-pakwach'!D40,'2.08 Karuma-Pakwach-24h'!D40,'04.08 Karuma-Pakwach'!D40)</f>
        <v>0.16666666666666666</v>
      </c>
      <c r="E40" s="49">
        <f>AVERAGE('29.07 karuma-pakwach'!E40,'30.07 karuma-pakwach'!E40,'31.07 karuma-pakwach'!E40,'01.08 karuma-pakwach'!E40,'2.08 Karuma-Pakwach-24h'!E40,'04.08 Karuma-Pakwach'!E40)</f>
        <v>1.3333333333333333</v>
      </c>
      <c r="F40" s="49">
        <f>AVERAGE('29.07 karuma-pakwach'!F40,'30.07 karuma-pakwach'!F40,'31.07 karuma-pakwach'!F40,'01.08 karuma-pakwach'!F40,'2.08 Karuma-Pakwach-24h'!F40,'04.08 Karuma-Pakwach'!F40)</f>
        <v>0.33333333333333331</v>
      </c>
      <c r="G40" s="49">
        <f>AVERAGE('29.07 karuma-pakwach'!G40,'30.07 karuma-pakwach'!G40,'31.07 karuma-pakwach'!G40,'01.08 karuma-pakwach'!G40,'2.08 Karuma-Pakwach-24h'!G40,'04.08 Karuma-Pakwach'!G40)</f>
        <v>0.16666666666666666</v>
      </c>
      <c r="H40" s="49">
        <f>AVERAGE('29.07 karuma-pakwach'!H40,'30.07 karuma-pakwach'!H40,'31.07 karuma-pakwach'!H40,'01.08 karuma-pakwach'!H40,'2.08 Karuma-Pakwach-24h'!H40,'04.08 Karuma-Pakwach'!H40)</f>
        <v>0.16666666666666666</v>
      </c>
      <c r="I40" s="49">
        <f>AVERAGE('29.07 karuma-pakwach'!I40,'30.07 karuma-pakwach'!I40,'31.07 karuma-pakwach'!I40,'01.08 karuma-pakwach'!I40,'2.08 Karuma-Pakwach-24h'!I40,'04.08 Karuma-Pakwach'!I40)</f>
        <v>0.16666666666666666</v>
      </c>
      <c r="J40" s="49">
        <f>AVERAGE('29.07 karuma-pakwach'!J40,'30.07 karuma-pakwach'!J40,'31.07 karuma-pakwach'!J40,'01.08 karuma-pakwach'!J40,'2.08 Karuma-Pakwach-24h'!J40,'04.08 Karuma-Pakwach'!J40)</f>
        <v>0.83333333333333337</v>
      </c>
      <c r="K40" s="49">
        <f>AVERAGE('29.07 karuma-pakwach'!K40,'30.07 karuma-pakwach'!K40,'31.07 karuma-pakwach'!K40,'01.08 karuma-pakwach'!K40,'2.08 Karuma-Pakwach-24h'!K40,'04.08 Karuma-Pakwach'!K40)</f>
        <v>0.16666666666666666</v>
      </c>
      <c r="L40" s="49">
        <f>AVERAGE('29.07 karuma-pakwach'!L40,'30.07 karuma-pakwach'!L40,'31.07 karuma-pakwach'!L40,'01.08 karuma-pakwach'!L40,'2.08 Karuma-Pakwach-24h'!L40,'04.08 Karuma-Pakwach'!L40)</f>
        <v>0.33333333333333331</v>
      </c>
      <c r="M40" s="49">
        <f>AVERAGE('29.07 karuma-pakwach'!M40,'30.07 karuma-pakwach'!M40,'31.07 karuma-pakwach'!M40,'01.08 karuma-pakwach'!M40,'2.08 Karuma-Pakwach-24h'!M40,'04.08 Karuma-Pakwach'!M40)</f>
        <v>2.8333333333333335</v>
      </c>
      <c r="N40" s="49">
        <f>AVERAGE('29.07 karuma-pakwach'!N40,'30.07 karuma-pakwach'!N40,'31.07 karuma-pakwach'!N40,'01.08 karuma-pakwach'!N40,'2.08 Karuma-Pakwach-24h'!N40,'04.08 Karuma-Pakwach'!N40)</f>
        <v>0</v>
      </c>
      <c r="O40" s="15">
        <f t="shared" si="0"/>
        <v>4.1666666666666661</v>
      </c>
      <c r="P40" s="15">
        <f t="shared" si="1"/>
        <v>7</v>
      </c>
      <c r="R40" s="5" t="s">
        <v>17</v>
      </c>
      <c r="S40" s="54">
        <f t="shared" ref="S40:AF40" si="32">SUM(S10:S21)</f>
        <v>26.833333333333332</v>
      </c>
      <c r="T40" s="54">
        <f t="shared" si="32"/>
        <v>7.3333333333333339</v>
      </c>
      <c r="U40" s="54">
        <f t="shared" si="32"/>
        <v>48.500000000000007</v>
      </c>
      <c r="V40" s="54">
        <f t="shared" si="32"/>
        <v>26.5</v>
      </c>
      <c r="W40" s="54">
        <f t="shared" si="32"/>
        <v>11.333333333333334</v>
      </c>
      <c r="X40" s="54">
        <f t="shared" si="32"/>
        <v>16</v>
      </c>
      <c r="Y40" s="54">
        <f t="shared" si="32"/>
        <v>22.333333333333332</v>
      </c>
      <c r="Z40" s="54">
        <f t="shared" si="32"/>
        <v>10.833333333333334</v>
      </c>
      <c r="AA40" s="54">
        <f t="shared" si="32"/>
        <v>9</v>
      </c>
      <c r="AB40" s="54">
        <f t="shared" si="32"/>
        <v>34</v>
      </c>
      <c r="AC40" s="54">
        <f t="shared" si="32"/>
        <v>134.83333333333331</v>
      </c>
      <c r="AD40" s="54">
        <f t="shared" si="32"/>
        <v>7.0000000000000009</v>
      </c>
      <c r="AE40" s="55">
        <f t="shared" si="32"/>
        <v>219.66666666666666</v>
      </c>
      <c r="AF40" s="55">
        <f t="shared" si="32"/>
        <v>354.5</v>
      </c>
    </row>
    <row r="41" spans="2:32" ht="23.1" customHeight="1" x14ac:dyDescent="0.25">
      <c r="B41" s="23" t="s">
        <v>68</v>
      </c>
      <c r="C41" s="49">
        <f>AVERAGE('29.07 karuma-pakwach'!C41,'30.07 karuma-pakwach'!C41,'31.07 karuma-pakwach'!C41,'01.08 karuma-pakwach'!C41,'2.08 Karuma-Pakwach-24h'!C41,'04.08 Karuma-Pakwach'!C41)</f>
        <v>1.1666666666666667</v>
      </c>
      <c r="D41" s="49">
        <f>AVERAGE('29.07 karuma-pakwach'!D41,'30.07 karuma-pakwach'!D41,'31.07 karuma-pakwach'!D41,'01.08 karuma-pakwach'!D41,'2.08 Karuma-Pakwach-24h'!D41,'04.08 Karuma-Pakwach'!D41)</f>
        <v>0.33333333333333331</v>
      </c>
      <c r="E41" s="49">
        <f>AVERAGE('29.07 karuma-pakwach'!E41,'30.07 karuma-pakwach'!E41,'31.07 karuma-pakwach'!E41,'01.08 karuma-pakwach'!E41,'2.08 Karuma-Pakwach-24h'!E41,'04.08 Karuma-Pakwach'!E41)</f>
        <v>1.3333333333333333</v>
      </c>
      <c r="F41" s="49">
        <f>AVERAGE('29.07 karuma-pakwach'!F41,'30.07 karuma-pakwach'!F41,'31.07 karuma-pakwach'!F41,'01.08 karuma-pakwach'!F41,'2.08 Karuma-Pakwach-24h'!F41,'04.08 Karuma-Pakwach'!F41)</f>
        <v>0.33333333333333331</v>
      </c>
      <c r="G41" s="49">
        <f>AVERAGE('29.07 karuma-pakwach'!G41,'30.07 karuma-pakwach'!G41,'31.07 karuma-pakwach'!G41,'01.08 karuma-pakwach'!G41,'2.08 Karuma-Pakwach-24h'!G41,'04.08 Karuma-Pakwach'!G41)</f>
        <v>0.16666666666666666</v>
      </c>
      <c r="H41" s="49">
        <f>AVERAGE('29.07 karuma-pakwach'!H41,'30.07 karuma-pakwach'!H41,'31.07 karuma-pakwach'!H41,'01.08 karuma-pakwach'!H41,'2.08 Karuma-Pakwach-24h'!H41,'04.08 Karuma-Pakwach'!H41)</f>
        <v>0.66666666666666663</v>
      </c>
      <c r="I41" s="49">
        <f>AVERAGE('29.07 karuma-pakwach'!I41,'30.07 karuma-pakwach'!I41,'31.07 karuma-pakwach'!I41,'01.08 karuma-pakwach'!I41,'2.08 Karuma-Pakwach-24h'!I41,'04.08 Karuma-Pakwach'!I41)</f>
        <v>1.1666666666666667</v>
      </c>
      <c r="J41" s="49">
        <f>AVERAGE('29.07 karuma-pakwach'!J41,'30.07 karuma-pakwach'!J41,'31.07 karuma-pakwach'!J41,'01.08 karuma-pakwach'!J41,'2.08 Karuma-Pakwach-24h'!J41,'04.08 Karuma-Pakwach'!J41)</f>
        <v>0</v>
      </c>
      <c r="K41" s="49">
        <f>AVERAGE('29.07 karuma-pakwach'!K41,'30.07 karuma-pakwach'!K41,'31.07 karuma-pakwach'!K41,'01.08 karuma-pakwach'!K41,'2.08 Karuma-Pakwach-24h'!K41,'04.08 Karuma-Pakwach'!K41)</f>
        <v>0.16666666666666666</v>
      </c>
      <c r="L41" s="49">
        <f>AVERAGE('29.07 karuma-pakwach'!L41,'30.07 karuma-pakwach'!L41,'31.07 karuma-pakwach'!L41,'01.08 karuma-pakwach'!L41,'2.08 Karuma-Pakwach-24h'!L41,'04.08 Karuma-Pakwach'!L41)</f>
        <v>1.1666666666666667</v>
      </c>
      <c r="M41" s="49">
        <f>AVERAGE('29.07 karuma-pakwach'!M41,'30.07 karuma-pakwach'!M41,'31.07 karuma-pakwach'!M41,'01.08 karuma-pakwach'!M41,'2.08 Karuma-Pakwach-24h'!M41,'04.08 Karuma-Pakwach'!M41)</f>
        <v>2.3333333333333335</v>
      </c>
      <c r="N41" s="49">
        <f>AVERAGE('29.07 karuma-pakwach'!N41,'30.07 karuma-pakwach'!N41,'31.07 karuma-pakwach'!N41,'01.08 karuma-pakwach'!N41,'2.08 Karuma-Pakwach-24h'!N41,'04.08 Karuma-Pakwach'!N41)</f>
        <v>0</v>
      </c>
      <c r="O41" s="15">
        <f t="shared" si="0"/>
        <v>6.5</v>
      </c>
      <c r="P41" s="15">
        <f t="shared" si="1"/>
        <v>8.8333333333333339</v>
      </c>
      <c r="R41" s="5" t="s">
        <v>175</v>
      </c>
      <c r="S41" s="54">
        <f>SUM(S10:S33)</f>
        <v>44.833333333333329</v>
      </c>
      <c r="T41" s="54">
        <f t="shared" ref="T41:AD41" si="33">SUM(T10:T33)</f>
        <v>13.333333333333334</v>
      </c>
      <c r="U41" s="54">
        <f t="shared" si="33"/>
        <v>88</v>
      </c>
      <c r="V41" s="54">
        <f t="shared" si="33"/>
        <v>45.5</v>
      </c>
      <c r="W41" s="54">
        <f t="shared" si="33"/>
        <v>13.333333333333334</v>
      </c>
      <c r="X41" s="54">
        <f t="shared" si="33"/>
        <v>21.5</v>
      </c>
      <c r="Y41" s="54">
        <f t="shared" si="33"/>
        <v>26.333333333333332</v>
      </c>
      <c r="Z41" s="54">
        <f t="shared" si="33"/>
        <v>18.833333333333336</v>
      </c>
      <c r="AA41" s="54">
        <f t="shared" si="33"/>
        <v>11</v>
      </c>
      <c r="AB41" s="54">
        <f t="shared" si="33"/>
        <v>61.5</v>
      </c>
      <c r="AC41" s="54">
        <f t="shared" si="33"/>
        <v>188.33333333333331</v>
      </c>
      <c r="AD41" s="54">
        <f t="shared" si="33"/>
        <v>7.0000000000000009</v>
      </c>
      <c r="AE41" s="55">
        <f>SUM(AE10:AE33)</f>
        <v>351.16666666666663</v>
      </c>
      <c r="AF41" s="55">
        <f>SUM(AF10:AF33)</f>
        <v>539.5</v>
      </c>
    </row>
    <row r="42" spans="2:32" ht="23.1" customHeight="1" x14ac:dyDescent="0.25">
      <c r="B42" s="24" t="s">
        <v>69</v>
      </c>
      <c r="C42" s="49">
        <f>AVERAGE('29.07 karuma-pakwach'!C42,'30.07 karuma-pakwach'!C42,'31.07 karuma-pakwach'!C42,'01.08 karuma-pakwach'!C42,'2.08 Karuma-Pakwach-24h'!C42,'04.08 Karuma-Pakwach'!C42)</f>
        <v>0</v>
      </c>
      <c r="D42" s="49">
        <f>AVERAGE('29.07 karuma-pakwach'!D42,'30.07 karuma-pakwach'!D42,'31.07 karuma-pakwach'!D42,'01.08 karuma-pakwach'!D42,'2.08 Karuma-Pakwach-24h'!D42,'04.08 Karuma-Pakwach'!D42)</f>
        <v>0.33333333333333331</v>
      </c>
      <c r="E42" s="49">
        <f>AVERAGE('29.07 karuma-pakwach'!E42,'30.07 karuma-pakwach'!E42,'31.07 karuma-pakwach'!E42,'01.08 karuma-pakwach'!E42,'2.08 Karuma-Pakwach-24h'!E42,'04.08 Karuma-Pakwach'!E42)</f>
        <v>1</v>
      </c>
      <c r="F42" s="49">
        <f>AVERAGE('29.07 karuma-pakwach'!F42,'30.07 karuma-pakwach'!F42,'31.07 karuma-pakwach'!F42,'01.08 karuma-pakwach'!F42,'2.08 Karuma-Pakwach-24h'!F42,'04.08 Karuma-Pakwach'!F42)</f>
        <v>0.83333333333333337</v>
      </c>
      <c r="G42" s="49">
        <f>AVERAGE('29.07 karuma-pakwach'!G42,'30.07 karuma-pakwach'!G42,'31.07 karuma-pakwach'!G42,'01.08 karuma-pakwach'!G42,'2.08 Karuma-Pakwach-24h'!G42,'04.08 Karuma-Pakwach'!G42)</f>
        <v>0</v>
      </c>
      <c r="H42" s="49">
        <f>AVERAGE('29.07 karuma-pakwach'!H42,'30.07 karuma-pakwach'!H42,'31.07 karuma-pakwach'!H42,'01.08 karuma-pakwach'!H42,'2.08 Karuma-Pakwach-24h'!H42,'04.08 Karuma-Pakwach'!H42)</f>
        <v>0.5</v>
      </c>
      <c r="I42" s="49">
        <f>AVERAGE('29.07 karuma-pakwach'!I42,'30.07 karuma-pakwach'!I42,'31.07 karuma-pakwach'!I42,'01.08 karuma-pakwach'!I42,'2.08 Karuma-Pakwach-24h'!I42,'04.08 Karuma-Pakwach'!I42)</f>
        <v>0.83333333333333337</v>
      </c>
      <c r="J42" s="49">
        <f>AVERAGE('29.07 karuma-pakwach'!J42,'30.07 karuma-pakwach'!J42,'31.07 karuma-pakwach'!J42,'01.08 karuma-pakwach'!J42,'2.08 Karuma-Pakwach-24h'!J42,'04.08 Karuma-Pakwach'!J42)</f>
        <v>0.5</v>
      </c>
      <c r="K42" s="49">
        <f>AVERAGE('29.07 karuma-pakwach'!K42,'30.07 karuma-pakwach'!K42,'31.07 karuma-pakwach'!K42,'01.08 karuma-pakwach'!K42,'2.08 Karuma-Pakwach-24h'!K42,'04.08 Karuma-Pakwach'!K42)</f>
        <v>0.5</v>
      </c>
      <c r="L42" s="49">
        <f>AVERAGE('29.07 karuma-pakwach'!L42,'30.07 karuma-pakwach'!L42,'31.07 karuma-pakwach'!L42,'01.08 karuma-pakwach'!L42,'2.08 Karuma-Pakwach-24h'!L42,'04.08 Karuma-Pakwach'!L42)</f>
        <v>2</v>
      </c>
      <c r="M42" s="49">
        <f>AVERAGE('29.07 karuma-pakwach'!M42,'30.07 karuma-pakwach'!M42,'31.07 karuma-pakwach'!M42,'01.08 karuma-pakwach'!M42,'2.08 Karuma-Pakwach-24h'!M42,'04.08 Karuma-Pakwach'!M42)</f>
        <v>4.5</v>
      </c>
      <c r="N42" s="49">
        <f>AVERAGE('29.07 karuma-pakwach'!N42,'30.07 karuma-pakwach'!N42,'31.07 karuma-pakwach'!N42,'01.08 karuma-pakwach'!N42,'2.08 Karuma-Pakwach-24h'!N42,'04.08 Karuma-Pakwach'!N42)</f>
        <v>0.16666666666666666</v>
      </c>
      <c r="O42" s="15">
        <f t="shared" si="0"/>
        <v>6.666666666666667</v>
      </c>
      <c r="P42" s="15">
        <f t="shared" si="1"/>
        <v>11.166666666666666</v>
      </c>
      <c r="R42" s="5" t="s">
        <v>160</v>
      </c>
      <c r="S42" s="48">
        <f>S41/S40</f>
        <v>1.670807453416149</v>
      </c>
      <c r="T42" s="48">
        <f t="shared" ref="T42:AF42" si="34">T41/T40</f>
        <v>1.8181818181818181</v>
      </c>
      <c r="U42" s="48">
        <f t="shared" si="34"/>
        <v>1.8144329896907214</v>
      </c>
      <c r="V42" s="48">
        <f t="shared" si="34"/>
        <v>1.7169811320754718</v>
      </c>
      <c r="W42" s="48">
        <f t="shared" si="34"/>
        <v>1.1764705882352942</v>
      </c>
      <c r="X42" s="48">
        <f t="shared" si="34"/>
        <v>1.34375</v>
      </c>
      <c r="Y42" s="48">
        <f t="shared" si="34"/>
        <v>1.1791044776119404</v>
      </c>
      <c r="Z42" s="48">
        <f t="shared" si="34"/>
        <v>1.7384615384615385</v>
      </c>
      <c r="AA42" s="48">
        <f t="shared" si="34"/>
        <v>1.2222222222222223</v>
      </c>
      <c r="AB42" s="48">
        <f t="shared" si="34"/>
        <v>1.8088235294117647</v>
      </c>
      <c r="AC42" s="48">
        <f t="shared" si="34"/>
        <v>1.3967861557478369</v>
      </c>
      <c r="AD42" s="48">
        <f t="shared" si="34"/>
        <v>1</v>
      </c>
      <c r="AE42" s="56">
        <f t="shared" si="34"/>
        <v>1.5986342943854324</v>
      </c>
      <c r="AF42" s="56">
        <f t="shared" si="34"/>
        <v>1.5218617771509169</v>
      </c>
    </row>
    <row r="43" spans="2:32" ht="23.1" customHeight="1" x14ac:dyDescent="0.25">
      <c r="B43" s="23" t="s">
        <v>70</v>
      </c>
      <c r="C43" s="49">
        <f>AVERAGE('29.07 karuma-pakwach'!C43,'30.07 karuma-pakwach'!C43,'31.07 karuma-pakwach'!C43,'01.08 karuma-pakwach'!C43,'2.08 Karuma-Pakwach-24h'!C43,'04.08 Karuma-Pakwach'!C43)</f>
        <v>1.5</v>
      </c>
      <c r="D43" s="49">
        <f>AVERAGE('29.07 karuma-pakwach'!D43,'30.07 karuma-pakwach'!D43,'31.07 karuma-pakwach'!D43,'01.08 karuma-pakwach'!D43,'2.08 Karuma-Pakwach-24h'!D43,'04.08 Karuma-Pakwach'!D43)</f>
        <v>0.33333333333333331</v>
      </c>
      <c r="E43" s="49">
        <f>AVERAGE('29.07 karuma-pakwach'!E43,'30.07 karuma-pakwach'!E43,'31.07 karuma-pakwach'!E43,'01.08 karuma-pakwach'!E43,'2.08 Karuma-Pakwach-24h'!E43,'04.08 Karuma-Pakwach'!E43)</f>
        <v>1.5</v>
      </c>
      <c r="F43" s="49">
        <f>AVERAGE('29.07 karuma-pakwach'!F43,'30.07 karuma-pakwach'!F43,'31.07 karuma-pakwach'!F43,'01.08 karuma-pakwach'!F43,'2.08 Karuma-Pakwach-24h'!F43,'04.08 Karuma-Pakwach'!F43)</f>
        <v>0.5</v>
      </c>
      <c r="G43" s="49">
        <f>AVERAGE('29.07 karuma-pakwach'!G43,'30.07 karuma-pakwach'!G43,'31.07 karuma-pakwach'!G43,'01.08 karuma-pakwach'!G43,'2.08 Karuma-Pakwach-24h'!G43,'04.08 Karuma-Pakwach'!G43)</f>
        <v>0.16666666666666666</v>
      </c>
      <c r="H43" s="49">
        <f>AVERAGE('29.07 karuma-pakwach'!H43,'30.07 karuma-pakwach'!H43,'31.07 karuma-pakwach'!H43,'01.08 karuma-pakwach'!H43,'2.08 Karuma-Pakwach-24h'!H43,'04.08 Karuma-Pakwach'!H43)</f>
        <v>0.16666666666666666</v>
      </c>
      <c r="I43" s="49">
        <f>AVERAGE('29.07 karuma-pakwach'!I43,'30.07 karuma-pakwach'!I43,'31.07 karuma-pakwach'!I43,'01.08 karuma-pakwach'!I43,'2.08 Karuma-Pakwach-24h'!I43,'04.08 Karuma-Pakwach'!I43)</f>
        <v>1</v>
      </c>
      <c r="J43" s="49">
        <f>AVERAGE('29.07 karuma-pakwach'!J43,'30.07 karuma-pakwach'!J43,'31.07 karuma-pakwach'!J43,'01.08 karuma-pakwach'!J43,'2.08 Karuma-Pakwach-24h'!J43,'04.08 Karuma-Pakwach'!J43)</f>
        <v>0</v>
      </c>
      <c r="K43" s="49">
        <f>AVERAGE('29.07 karuma-pakwach'!K43,'30.07 karuma-pakwach'!K43,'31.07 karuma-pakwach'!K43,'01.08 karuma-pakwach'!K43,'2.08 Karuma-Pakwach-24h'!K43,'04.08 Karuma-Pakwach'!K43)</f>
        <v>0.5</v>
      </c>
      <c r="L43" s="49">
        <f>AVERAGE('29.07 karuma-pakwach'!L43,'30.07 karuma-pakwach'!L43,'31.07 karuma-pakwach'!L43,'01.08 karuma-pakwach'!L43,'2.08 Karuma-Pakwach-24h'!L43,'04.08 Karuma-Pakwach'!L43)</f>
        <v>0.5</v>
      </c>
      <c r="M43" s="49">
        <f>AVERAGE('29.07 karuma-pakwach'!M43,'30.07 karuma-pakwach'!M43,'31.07 karuma-pakwach'!M43,'01.08 karuma-pakwach'!M43,'2.08 Karuma-Pakwach-24h'!M43,'04.08 Karuma-Pakwach'!M43)</f>
        <v>4.833333333333333</v>
      </c>
      <c r="N43" s="49">
        <f>AVERAGE('29.07 karuma-pakwach'!N43,'30.07 karuma-pakwach'!N43,'31.07 karuma-pakwach'!N43,'01.08 karuma-pakwach'!N43,'2.08 Karuma-Pakwach-24h'!N43,'04.08 Karuma-Pakwach'!N43)</f>
        <v>0.66666666666666663</v>
      </c>
      <c r="O43" s="15">
        <f t="shared" si="0"/>
        <v>6.833333333333333</v>
      </c>
      <c r="P43" s="15">
        <f t="shared" si="1"/>
        <v>11.666666666666666</v>
      </c>
    </row>
    <row r="44" spans="2:32" ht="23.1" customHeight="1" x14ac:dyDescent="0.25">
      <c r="B44" s="25" t="s">
        <v>71</v>
      </c>
      <c r="C44" s="49">
        <f>AVERAGE('29.07 karuma-pakwach'!C44,'30.07 karuma-pakwach'!C44,'31.07 karuma-pakwach'!C44,'01.08 karuma-pakwach'!C44,'2.08 Karuma-Pakwach-24h'!C44,'04.08 Karuma-Pakwach'!C44)</f>
        <v>0.5</v>
      </c>
      <c r="D44" s="49">
        <f>AVERAGE('29.07 karuma-pakwach'!D44,'30.07 karuma-pakwach'!D44,'31.07 karuma-pakwach'!D44,'01.08 karuma-pakwach'!D44,'2.08 Karuma-Pakwach-24h'!D44,'04.08 Karuma-Pakwach'!D44)</f>
        <v>0.16666666666666666</v>
      </c>
      <c r="E44" s="49">
        <f>AVERAGE('29.07 karuma-pakwach'!E44,'30.07 karuma-pakwach'!E44,'31.07 karuma-pakwach'!E44,'01.08 karuma-pakwach'!E44,'2.08 Karuma-Pakwach-24h'!E44,'04.08 Karuma-Pakwach'!E44)</f>
        <v>1.1666666666666667</v>
      </c>
      <c r="F44" s="49">
        <f>AVERAGE('29.07 karuma-pakwach'!F44,'30.07 karuma-pakwach'!F44,'31.07 karuma-pakwach'!F44,'01.08 karuma-pakwach'!F44,'2.08 Karuma-Pakwach-24h'!F44,'04.08 Karuma-Pakwach'!F44)</f>
        <v>0.66666666666666663</v>
      </c>
      <c r="G44" s="49">
        <f>AVERAGE('29.07 karuma-pakwach'!G44,'30.07 karuma-pakwach'!G44,'31.07 karuma-pakwach'!G44,'01.08 karuma-pakwach'!G44,'2.08 Karuma-Pakwach-24h'!G44,'04.08 Karuma-Pakwach'!G44)</f>
        <v>0</v>
      </c>
      <c r="H44" s="49">
        <f>AVERAGE('29.07 karuma-pakwach'!H44,'30.07 karuma-pakwach'!H44,'31.07 karuma-pakwach'!H44,'01.08 karuma-pakwach'!H44,'2.08 Karuma-Pakwach-24h'!H44,'04.08 Karuma-Pakwach'!H44)</f>
        <v>0.66666666666666663</v>
      </c>
      <c r="I44" s="49">
        <f>AVERAGE('29.07 karuma-pakwach'!I44,'30.07 karuma-pakwach'!I44,'31.07 karuma-pakwach'!I44,'01.08 karuma-pakwach'!I44,'2.08 Karuma-Pakwach-24h'!I44,'04.08 Karuma-Pakwach'!I44)</f>
        <v>0.5</v>
      </c>
      <c r="J44" s="49">
        <f>AVERAGE('29.07 karuma-pakwach'!J44,'30.07 karuma-pakwach'!J44,'31.07 karuma-pakwach'!J44,'01.08 karuma-pakwach'!J44,'2.08 Karuma-Pakwach-24h'!J44,'04.08 Karuma-Pakwach'!J44)</f>
        <v>0.16666666666666666</v>
      </c>
      <c r="K44" s="49">
        <f>AVERAGE('29.07 karuma-pakwach'!K44,'30.07 karuma-pakwach'!K44,'31.07 karuma-pakwach'!K44,'01.08 karuma-pakwach'!K44,'2.08 Karuma-Pakwach-24h'!K44,'04.08 Karuma-Pakwach'!K44)</f>
        <v>0.33333333333333331</v>
      </c>
      <c r="L44" s="49">
        <f>AVERAGE('29.07 karuma-pakwach'!L44,'30.07 karuma-pakwach'!L44,'31.07 karuma-pakwach'!L44,'01.08 karuma-pakwach'!L44,'2.08 Karuma-Pakwach-24h'!L44,'04.08 Karuma-Pakwach'!L44)</f>
        <v>1.8333333333333333</v>
      </c>
      <c r="M44" s="49">
        <f>AVERAGE('29.07 karuma-pakwach'!M44,'30.07 karuma-pakwach'!M44,'31.07 karuma-pakwach'!M44,'01.08 karuma-pakwach'!M44,'2.08 Karuma-Pakwach-24h'!M44,'04.08 Karuma-Pakwach'!M44)</f>
        <v>2.8333333333333335</v>
      </c>
      <c r="N44" s="49">
        <f>AVERAGE('29.07 karuma-pakwach'!N44,'30.07 karuma-pakwach'!N44,'31.07 karuma-pakwach'!N44,'01.08 karuma-pakwach'!N44,'2.08 Karuma-Pakwach-24h'!N44,'04.08 Karuma-Pakwach'!N44)</f>
        <v>0</v>
      </c>
      <c r="O44" s="15">
        <f t="shared" si="0"/>
        <v>5.9999999999999991</v>
      </c>
      <c r="P44" s="15">
        <f t="shared" si="1"/>
        <v>8.8333333333333321</v>
      </c>
    </row>
    <row r="45" spans="2:32" ht="23.1" customHeight="1" x14ac:dyDescent="0.25">
      <c r="B45" s="23" t="s">
        <v>72</v>
      </c>
      <c r="C45" s="49">
        <f>AVERAGE('29.07 karuma-pakwach'!C45,'30.07 karuma-pakwach'!C45,'31.07 karuma-pakwach'!C45,'01.08 karuma-pakwach'!C45,'2.08 Karuma-Pakwach-24h'!C45,'04.08 Karuma-Pakwach'!C45)</f>
        <v>0.66666666666666663</v>
      </c>
      <c r="D45" s="49">
        <f>AVERAGE('29.07 karuma-pakwach'!D45,'30.07 karuma-pakwach'!D45,'31.07 karuma-pakwach'!D45,'01.08 karuma-pakwach'!D45,'2.08 Karuma-Pakwach-24h'!D45,'04.08 Karuma-Pakwach'!D45)</f>
        <v>0.16666666666666666</v>
      </c>
      <c r="E45" s="49">
        <f>AVERAGE('29.07 karuma-pakwach'!E45,'30.07 karuma-pakwach'!E45,'31.07 karuma-pakwach'!E45,'01.08 karuma-pakwach'!E45,'2.08 Karuma-Pakwach-24h'!E45,'04.08 Karuma-Pakwach'!E45)</f>
        <v>0.83333333333333337</v>
      </c>
      <c r="F45" s="49">
        <f>AVERAGE('29.07 karuma-pakwach'!F45,'30.07 karuma-pakwach'!F45,'31.07 karuma-pakwach'!F45,'01.08 karuma-pakwach'!F45,'2.08 Karuma-Pakwach-24h'!F45,'04.08 Karuma-Pakwach'!F45)</f>
        <v>1.1666666666666667</v>
      </c>
      <c r="G45" s="49">
        <f>AVERAGE('29.07 karuma-pakwach'!G45,'30.07 karuma-pakwach'!G45,'31.07 karuma-pakwach'!G45,'01.08 karuma-pakwach'!G45,'2.08 Karuma-Pakwach-24h'!G45,'04.08 Karuma-Pakwach'!G45)</f>
        <v>0.33333333333333331</v>
      </c>
      <c r="H45" s="49">
        <f>AVERAGE('29.07 karuma-pakwach'!H45,'30.07 karuma-pakwach'!H45,'31.07 karuma-pakwach'!H45,'01.08 karuma-pakwach'!H45,'2.08 Karuma-Pakwach-24h'!H45,'04.08 Karuma-Pakwach'!H45)</f>
        <v>0.66666666666666663</v>
      </c>
      <c r="I45" s="49">
        <f>AVERAGE('29.07 karuma-pakwach'!I45,'30.07 karuma-pakwach'!I45,'31.07 karuma-pakwach'!I45,'01.08 karuma-pakwach'!I45,'2.08 Karuma-Pakwach-24h'!I45,'04.08 Karuma-Pakwach'!I45)</f>
        <v>0.5</v>
      </c>
      <c r="J45" s="49">
        <f>AVERAGE('29.07 karuma-pakwach'!J45,'30.07 karuma-pakwach'!J45,'31.07 karuma-pakwach'!J45,'01.08 karuma-pakwach'!J45,'2.08 Karuma-Pakwach-24h'!J45,'04.08 Karuma-Pakwach'!J45)</f>
        <v>0.83333333333333337</v>
      </c>
      <c r="K45" s="49">
        <f>AVERAGE('29.07 karuma-pakwach'!K45,'30.07 karuma-pakwach'!K45,'31.07 karuma-pakwach'!K45,'01.08 karuma-pakwach'!K45,'2.08 Karuma-Pakwach-24h'!K45,'04.08 Karuma-Pakwach'!K45)</f>
        <v>1.1666666666666667</v>
      </c>
      <c r="L45" s="49">
        <f>AVERAGE('29.07 karuma-pakwach'!L45,'30.07 karuma-pakwach'!L45,'31.07 karuma-pakwach'!L45,'01.08 karuma-pakwach'!L45,'2.08 Karuma-Pakwach-24h'!L45,'04.08 Karuma-Pakwach'!L45)</f>
        <v>0.66666666666666663</v>
      </c>
      <c r="M45" s="49">
        <f>AVERAGE('29.07 karuma-pakwach'!M45,'30.07 karuma-pakwach'!M45,'31.07 karuma-pakwach'!M45,'01.08 karuma-pakwach'!M45,'2.08 Karuma-Pakwach-24h'!M45,'04.08 Karuma-Pakwach'!M45)</f>
        <v>3.3333333333333335</v>
      </c>
      <c r="N45" s="49">
        <f>AVERAGE('29.07 karuma-pakwach'!N45,'30.07 karuma-pakwach'!N45,'31.07 karuma-pakwach'!N45,'01.08 karuma-pakwach'!N45,'2.08 Karuma-Pakwach-24h'!N45,'04.08 Karuma-Pakwach'!N45)</f>
        <v>0.16666666666666666</v>
      </c>
      <c r="O45" s="15">
        <f t="shared" si="0"/>
        <v>7.166666666666667</v>
      </c>
      <c r="P45" s="15">
        <f t="shared" si="1"/>
        <v>10.5</v>
      </c>
    </row>
    <row r="46" spans="2:32" ht="23.1" customHeight="1" x14ac:dyDescent="0.25">
      <c r="B46" s="24" t="s">
        <v>73</v>
      </c>
      <c r="C46" s="49">
        <f>AVERAGE('29.07 karuma-pakwach'!C46,'30.07 karuma-pakwach'!C46,'31.07 karuma-pakwach'!C46,'01.08 karuma-pakwach'!C46,'2.08 Karuma-Pakwach-24h'!C46,'04.08 Karuma-Pakwach'!C46)</f>
        <v>0.5</v>
      </c>
      <c r="D46" s="49">
        <f>AVERAGE('29.07 karuma-pakwach'!D46,'30.07 karuma-pakwach'!D46,'31.07 karuma-pakwach'!D46,'01.08 karuma-pakwach'!D46,'2.08 Karuma-Pakwach-24h'!D46,'04.08 Karuma-Pakwach'!D46)</f>
        <v>0</v>
      </c>
      <c r="E46" s="49">
        <f>AVERAGE('29.07 karuma-pakwach'!E46,'30.07 karuma-pakwach'!E46,'31.07 karuma-pakwach'!E46,'01.08 karuma-pakwach'!E46,'2.08 Karuma-Pakwach-24h'!E46,'04.08 Karuma-Pakwach'!E46)</f>
        <v>0.66666666666666663</v>
      </c>
      <c r="F46" s="49">
        <f>AVERAGE('29.07 karuma-pakwach'!F46,'30.07 karuma-pakwach'!F46,'31.07 karuma-pakwach'!F46,'01.08 karuma-pakwach'!F46,'2.08 Karuma-Pakwach-24h'!F46,'04.08 Karuma-Pakwach'!F46)</f>
        <v>0.5</v>
      </c>
      <c r="G46" s="49">
        <f>AVERAGE('29.07 karuma-pakwach'!G46,'30.07 karuma-pakwach'!G46,'31.07 karuma-pakwach'!G46,'01.08 karuma-pakwach'!G46,'2.08 Karuma-Pakwach-24h'!G46,'04.08 Karuma-Pakwach'!G46)</f>
        <v>0.16666666666666666</v>
      </c>
      <c r="H46" s="49">
        <f>AVERAGE('29.07 karuma-pakwach'!H46,'30.07 karuma-pakwach'!H46,'31.07 karuma-pakwach'!H46,'01.08 karuma-pakwach'!H46,'2.08 Karuma-Pakwach-24h'!H46,'04.08 Karuma-Pakwach'!H46)</f>
        <v>0.16666666666666666</v>
      </c>
      <c r="I46" s="49">
        <f>AVERAGE('29.07 karuma-pakwach'!I46,'30.07 karuma-pakwach'!I46,'31.07 karuma-pakwach'!I46,'01.08 karuma-pakwach'!I46,'2.08 Karuma-Pakwach-24h'!I46,'04.08 Karuma-Pakwach'!I46)</f>
        <v>0.66666666666666663</v>
      </c>
      <c r="J46" s="49">
        <f>AVERAGE('29.07 karuma-pakwach'!J46,'30.07 karuma-pakwach'!J46,'31.07 karuma-pakwach'!J46,'01.08 karuma-pakwach'!J46,'2.08 Karuma-Pakwach-24h'!J46,'04.08 Karuma-Pakwach'!J46)</f>
        <v>0.33333333333333331</v>
      </c>
      <c r="K46" s="49">
        <f>AVERAGE('29.07 karuma-pakwach'!K46,'30.07 karuma-pakwach'!K46,'31.07 karuma-pakwach'!K46,'01.08 karuma-pakwach'!K46,'2.08 Karuma-Pakwach-24h'!K46,'04.08 Karuma-Pakwach'!K46)</f>
        <v>0.33333333333333331</v>
      </c>
      <c r="L46" s="49">
        <f>AVERAGE('29.07 karuma-pakwach'!L46,'30.07 karuma-pakwach'!L46,'31.07 karuma-pakwach'!L46,'01.08 karuma-pakwach'!L46,'2.08 Karuma-Pakwach-24h'!L46,'04.08 Karuma-Pakwach'!L46)</f>
        <v>1.1666666666666667</v>
      </c>
      <c r="M46" s="49">
        <f>AVERAGE('29.07 karuma-pakwach'!M46,'30.07 karuma-pakwach'!M46,'31.07 karuma-pakwach'!M46,'01.08 karuma-pakwach'!M46,'2.08 Karuma-Pakwach-24h'!M46,'04.08 Karuma-Pakwach'!M46)</f>
        <v>2</v>
      </c>
      <c r="N46" s="49">
        <f>AVERAGE('29.07 karuma-pakwach'!N46,'30.07 karuma-pakwach'!N46,'31.07 karuma-pakwach'!N46,'01.08 karuma-pakwach'!N46,'2.08 Karuma-Pakwach-24h'!N46,'04.08 Karuma-Pakwach'!N46)</f>
        <v>0.33333333333333331</v>
      </c>
      <c r="O46" s="15">
        <f t="shared" si="0"/>
        <v>4.833333333333333</v>
      </c>
      <c r="P46" s="15">
        <f t="shared" si="1"/>
        <v>6.833333333333333</v>
      </c>
      <c r="R46" s="8"/>
      <c r="T46"/>
    </row>
    <row r="47" spans="2:32" ht="23.1" customHeight="1" x14ac:dyDescent="0.25">
      <c r="B47" s="24" t="s">
        <v>74</v>
      </c>
      <c r="C47" s="49">
        <f>AVERAGE('29.07 karuma-pakwach'!C47,'30.07 karuma-pakwach'!C47,'31.07 karuma-pakwach'!C47,'01.08 karuma-pakwach'!C47,'2.08 Karuma-Pakwach-24h'!C47,'04.08 Karuma-Pakwach'!C47)</f>
        <v>1</v>
      </c>
      <c r="D47" s="49">
        <f>AVERAGE('29.07 karuma-pakwach'!D47,'30.07 karuma-pakwach'!D47,'31.07 karuma-pakwach'!D47,'01.08 karuma-pakwach'!D47,'2.08 Karuma-Pakwach-24h'!D47,'04.08 Karuma-Pakwach'!D47)</f>
        <v>0.16666666666666666</v>
      </c>
      <c r="E47" s="49">
        <f>AVERAGE('29.07 karuma-pakwach'!E47,'30.07 karuma-pakwach'!E47,'31.07 karuma-pakwach'!E47,'01.08 karuma-pakwach'!E47,'2.08 Karuma-Pakwach-24h'!E47,'04.08 Karuma-Pakwach'!E47)</f>
        <v>0.83333333333333337</v>
      </c>
      <c r="F47" s="49">
        <f>AVERAGE('29.07 karuma-pakwach'!F47,'30.07 karuma-pakwach'!F47,'31.07 karuma-pakwach'!F47,'01.08 karuma-pakwach'!F47,'2.08 Karuma-Pakwach-24h'!F47,'04.08 Karuma-Pakwach'!F47)</f>
        <v>0.83333333333333337</v>
      </c>
      <c r="G47" s="49">
        <f>AVERAGE('29.07 karuma-pakwach'!G47,'30.07 karuma-pakwach'!G47,'31.07 karuma-pakwach'!G47,'01.08 karuma-pakwach'!G47,'2.08 Karuma-Pakwach-24h'!G47,'04.08 Karuma-Pakwach'!G47)</f>
        <v>0.16666666666666666</v>
      </c>
      <c r="H47" s="49">
        <f>AVERAGE('29.07 karuma-pakwach'!H47,'30.07 karuma-pakwach'!H47,'31.07 karuma-pakwach'!H47,'01.08 karuma-pakwach'!H47,'2.08 Karuma-Pakwach-24h'!H47,'04.08 Karuma-Pakwach'!H47)</f>
        <v>0</v>
      </c>
      <c r="I47" s="49">
        <f>AVERAGE('29.07 karuma-pakwach'!I47,'30.07 karuma-pakwach'!I47,'31.07 karuma-pakwach'!I47,'01.08 karuma-pakwach'!I47,'2.08 Karuma-Pakwach-24h'!I47,'04.08 Karuma-Pakwach'!I47)</f>
        <v>1</v>
      </c>
      <c r="J47" s="49">
        <f>AVERAGE('29.07 karuma-pakwach'!J47,'30.07 karuma-pakwach'!J47,'31.07 karuma-pakwach'!J47,'01.08 karuma-pakwach'!J47,'2.08 Karuma-Pakwach-24h'!J47,'04.08 Karuma-Pakwach'!J47)</f>
        <v>0</v>
      </c>
      <c r="K47" s="49">
        <f>AVERAGE('29.07 karuma-pakwach'!K47,'30.07 karuma-pakwach'!K47,'31.07 karuma-pakwach'!K47,'01.08 karuma-pakwach'!K47,'2.08 Karuma-Pakwach-24h'!K47,'04.08 Karuma-Pakwach'!K47)</f>
        <v>0.16666666666666666</v>
      </c>
      <c r="L47" s="49">
        <f>AVERAGE('29.07 karuma-pakwach'!L47,'30.07 karuma-pakwach'!L47,'31.07 karuma-pakwach'!L47,'01.08 karuma-pakwach'!L47,'2.08 Karuma-Pakwach-24h'!L47,'04.08 Karuma-Pakwach'!L47)</f>
        <v>0.66666666666666663</v>
      </c>
      <c r="M47" s="49">
        <f>AVERAGE('29.07 karuma-pakwach'!M47,'30.07 karuma-pakwach'!M47,'31.07 karuma-pakwach'!M47,'01.08 karuma-pakwach'!M47,'2.08 Karuma-Pakwach-24h'!M47,'04.08 Karuma-Pakwach'!M47)</f>
        <v>3.8333333333333335</v>
      </c>
      <c r="N47" s="49">
        <f>AVERAGE('29.07 karuma-pakwach'!N47,'30.07 karuma-pakwach'!N47,'31.07 karuma-pakwach'!N47,'01.08 karuma-pakwach'!N47,'2.08 Karuma-Pakwach-24h'!N47,'04.08 Karuma-Pakwach'!N47)</f>
        <v>0</v>
      </c>
      <c r="O47" s="15">
        <f t="shared" si="0"/>
        <v>4.8333333333333339</v>
      </c>
      <c r="P47" s="15">
        <f t="shared" si="1"/>
        <v>8.6666666666666679</v>
      </c>
      <c r="R47" s="8"/>
      <c r="T47"/>
    </row>
    <row r="48" spans="2:32" ht="23.1" customHeight="1" x14ac:dyDescent="0.25">
      <c r="B48" s="24" t="s">
        <v>75</v>
      </c>
      <c r="C48" s="49">
        <f>AVERAGE('29.07 karuma-pakwach'!C48,'30.07 karuma-pakwach'!C48,'31.07 karuma-pakwach'!C48,'01.08 karuma-pakwach'!C48,'2.08 Karuma-Pakwach-24h'!C48,'04.08 Karuma-Pakwach'!C48)</f>
        <v>0.5</v>
      </c>
      <c r="D48" s="49">
        <f>AVERAGE('29.07 karuma-pakwach'!D48,'30.07 karuma-pakwach'!D48,'31.07 karuma-pakwach'!D48,'01.08 karuma-pakwach'!D48,'2.08 Karuma-Pakwach-24h'!D48,'04.08 Karuma-Pakwach'!D48)</f>
        <v>0.16666666666666666</v>
      </c>
      <c r="E48" s="49">
        <f>AVERAGE('29.07 karuma-pakwach'!E48,'30.07 karuma-pakwach'!E48,'31.07 karuma-pakwach'!E48,'01.08 karuma-pakwach'!E48,'2.08 Karuma-Pakwach-24h'!E48,'04.08 Karuma-Pakwach'!E48)</f>
        <v>1.1666666666666667</v>
      </c>
      <c r="F48" s="49">
        <f>AVERAGE('29.07 karuma-pakwach'!F48,'30.07 karuma-pakwach'!F48,'31.07 karuma-pakwach'!F48,'01.08 karuma-pakwach'!F48,'2.08 Karuma-Pakwach-24h'!F48,'04.08 Karuma-Pakwach'!F48)</f>
        <v>0.66666666666666663</v>
      </c>
      <c r="G48" s="49">
        <f>AVERAGE('29.07 karuma-pakwach'!G48,'30.07 karuma-pakwach'!G48,'31.07 karuma-pakwach'!G48,'01.08 karuma-pakwach'!G48,'2.08 Karuma-Pakwach-24h'!G48,'04.08 Karuma-Pakwach'!G48)</f>
        <v>0.33333333333333331</v>
      </c>
      <c r="H48" s="49">
        <f>AVERAGE('29.07 karuma-pakwach'!H48,'30.07 karuma-pakwach'!H48,'31.07 karuma-pakwach'!H48,'01.08 karuma-pakwach'!H48,'2.08 Karuma-Pakwach-24h'!H48,'04.08 Karuma-Pakwach'!H48)</f>
        <v>0.33333333333333331</v>
      </c>
      <c r="I48" s="49">
        <f>AVERAGE('29.07 karuma-pakwach'!I48,'30.07 karuma-pakwach'!I48,'31.07 karuma-pakwach'!I48,'01.08 karuma-pakwach'!I48,'2.08 Karuma-Pakwach-24h'!I48,'04.08 Karuma-Pakwach'!I48)</f>
        <v>0.66666666666666663</v>
      </c>
      <c r="J48" s="49">
        <f>AVERAGE('29.07 karuma-pakwach'!J48,'30.07 karuma-pakwach'!J48,'31.07 karuma-pakwach'!J48,'01.08 karuma-pakwach'!J48,'2.08 Karuma-Pakwach-24h'!J48,'04.08 Karuma-Pakwach'!J48)</f>
        <v>0.16666666666666666</v>
      </c>
      <c r="K48" s="49">
        <f>AVERAGE('29.07 karuma-pakwach'!K48,'30.07 karuma-pakwach'!K48,'31.07 karuma-pakwach'!K48,'01.08 karuma-pakwach'!K48,'2.08 Karuma-Pakwach-24h'!K48,'04.08 Karuma-Pakwach'!K48)</f>
        <v>0.5</v>
      </c>
      <c r="L48" s="49">
        <f>AVERAGE('29.07 karuma-pakwach'!L48,'30.07 karuma-pakwach'!L48,'31.07 karuma-pakwach'!L48,'01.08 karuma-pakwach'!L48,'2.08 Karuma-Pakwach-24h'!L48,'04.08 Karuma-Pakwach'!L48)</f>
        <v>0.5</v>
      </c>
      <c r="M48" s="49">
        <f>AVERAGE('29.07 karuma-pakwach'!M48,'30.07 karuma-pakwach'!M48,'31.07 karuma-pakwach'!M48,'01.08 karuma-pakwach'!M48,'2.08 Karuma-Pakwach-24h'!M48,'04.08 Karuma-Pakwach'!M48)</f>
        <v>3</v>
      </c>
      <c r="N48" s="49">
        <f>AVERAGE('29.07 karuma-pakwach'!N48,'30.07 karuma-pakwach'!N48,'31.07 karuma-pakwach'!N48,'01.08 karuma-pakwach'!N48,'2.08 Karuma-Pakwach-24h'!N48,'04.08 Karuma-Pakwach'!N48)</f>
        <v>0.83333333333333337</v>
      </c>
      <c r="O48" s="15">
        <f t="shared" si="0"/>
        <v>5.833333333333333</v>
      </c>
      <c r="P48" s="15">
        <f t="shared" si="1"/>
        <v>8.8333333333333339</v>
      </c>
      <c r="R48" s="8"/>
      <c r="T48"/>
    </row>
    <row r="49" spans="2:20" ht="23.1" customHeight="1" x14ac:dyDescent="0.25">
      <c r="B49" s="23" t="s">
        <v>76</v>
      </c>
      <c r="C49" s="49">
        <f>AVERAGE('29.07 karuma-pakwach'!C49,'30.07 karuma-pakwach'!C49,'31.07 karuma-pakwach'!C49,'01.08 karuma-pakwach'!C49,'2.08 Karuma-Pakwach-24h'!C49,'04.08 Karuma-Pakwach'!C49)</f>
        <v>0.33333333333333331</v>
      </c>
      <c r="D49" s="49">
        <f>AVERAGE('29.07 karuma-pakwach'!D49,'30.07 karuma-pakwach'!D49,'31.07 karuma-pakwach'!D49,'01.08 karuma-pakwach'!D49,'2.08 Karuma-Pakwach-24h'!D49,'04.08 Karuma-Pakwach'!D49)</f>
        <v>0</v>
      </c>
      <c r="E49" s="49">
        <f>AVERAGE('29.07 karuma-pakwach'!E49,'30.07 karuma-pakwach'!E49,'31.07 karuma-pakwach'!E49,'01.08 karuma-pakwach'!E49,'2.08 Karuma-Pakwach-24h'!E49,'04.08 Karuma-Pakwach'!E49)</f>
        <v>0.83333333333333337</v>
      </c>
      <c r="F49" s="49">
        <f>AVERAGE('29.07 karuma-pakwach'!F49,'30.07 karuma-pakwach'!F49,'31.07 karuma-pakwach'!F49,'01.08 karuma-pakwach'!F49,'2.08 Karuma-Pakwach-24h'!F49,'04.08 Karuma-Pakwach'!F49)</f>
        <v>0.66666666666666663</v>
      </c>
      <c r="G49" s="49">
        <f>AVERAGE('29.07 karuma-pakwach'!G49,'30.07 karuma-pakwach'!G49,'31.07 karuma-pakwach'!G49,'01.08 karuma-pakwach'!G49,'2.08 Karuma-Pakwach-24h'!G49,'04.08 Karuma-Pakwach'!G49)</f>
        <v>0.5</v>
      </c>
      <c r="H49" s="49">
        <f>AVERAGE('29.07 karuma-pakwach'!H49,'30.07 karuma-pakwach'!H49,'31.07 karuma-pakwach'!H49,'01.08 karuma-pakwach'!H49,'2.08 Karuma-Pakwach-24h'!H49,'04.08 Karuma-Pakwach'!H49)</f>
        <v>0</v>
      </c>
      <c r="I49" s="49">
        <f>AVERAGE('29.07 karuma-pakwach'!I49,'30.07 karuma-pakwach'!I49,'31.07 karuma-pakwach'!I49,'01.08 karuma-pakwach'!I49,'2.08 Karuma-Pakwach-24h'!I49,'04.08 Karuma-Pakwach'!I49)</f>
        <v>1.6666666666666667</v>
      </c>
      <c r="J49" s="49">
        <f>AVERAGE('29.07 karuma-pakwach'!J49,'30.07 karuma-pakwach'!J49,'31.07 karuma-pakwach'!J49,'01.08 karuma-pakwach'!J49,'2.08 Karuma-Pakwach-24h'!J49,'04.08 Karuma-Pakwach'!J49)</f>
        <v>0.5</v>
      </c>
      <c r="K49" s="49">
        <f>AVERAGE('29.07 karuma-pakwach'!K49,'30.07 karuma-pakwach'!K49,'31.07 karuma-pakwach'!K49,'01.08 karuma-pakwach'!K49,'2.08 Karuma-Pakwach-24h'!K49,'04.08 Karuma-Pakwach'!K49)</f>
        <v>0.16666666666666666</v>
      </c>
      <c r="L49" s="49">
        <f>AVERAGE('29.07 karuma-pakwach'!L49,'30.07 karuma-pakwach'!L49,'31.07 karuma-pakwach'!L49,'01.08 karuma-pakwach'!L49,'2.08 Karuma-Pakwach-24h'!L49,'04.08 Karuma-Pakwach'!L49)</f>
        <v>1.5</v>
      </c>
      <c r="M49" s="49">
        <f>AVERAGE('29.07 karuma-pakwach'!M49,'30.07 karuma-pakwach'!M49,'31.07 karuma-pakwach'!M49,'01.08 karuma-pakwach'!M49,'2.08 Karuma-Pakwach-24h'!M49,'04.08 Karuma-Pakwach'!M49)</f>
        <v>3.5</v>
      </c>
      <c r="N49" s="49">
        <f>AVERAGE('29.07 karuma-pakwach'!N49,'30.07 karuma-pakwach'!N49,'31.07 karuma-pakwach'!N49,'01.08 karuma-pakwach'!N49,'2.08 Karuma-Pakwach-24h'!N49,'04.08 Karuma-Pakwach'!N49)</f>
        <v>0.5</v>
      </c>
      <c r="O49" s="15">
        <f t="shared" si="0"/>
        <v>6.666666666666667</v>
      </c>
      <c r="P49" s="15">
        <f t="shared" si="1"/>
        <v>10.166666666666668</v>
      </c>
      <c r="R49" s="8"/>
      <c r="T49"/>
    </row>
    <row r="50" spans="2:20" ht="23.1" customHeight="1" x14ac:dyDescent="0.25">
      <c r="B50" s="24" t="s">
        <v>77</v>
      </c>
      <c r="C50" s="49">
        <f>AVERAGE('29.07 karuma-pakwach'!C50,'30.07 karuma-pakwach'!C50,'31.07 karuma-pakwach'!C50,'01.08 karuma-pakwach'!C50,'2.08 Karuma-Pakwach-24h'!C50,'04.08 Karuma-Pakwach'!C50)</f>
        <v>1</v>
      </c>
      <c r="D50" s="49">
        <f>AVERAGE('29.07 karuma-pakwach'!D50,'30.07 karuma-pakwach'!D50,'31.07 karuma-pakwach'!D50,'01.08 karuma-pakwach'!D50,'2.08 Karuma-Pakwach-24h'!D50,'04.08 Karuma-Pakwach'!D50)</f>
        <v>0.33333333333333331</v>
      </c>
      <c r="E50" s="49">
        <f>AVERAGE('29.07 karuma-pakwach'!E50,'30.07 karuma-pakwach'!E50,'31.07 karuma-pakwach'!E50,'01.08 karuma-pakwach'!E50,'2.08 Karuma-Pakwach-24h'!E50,'04.08 Karuma-Pakwach'!E50)</f>
        <v>1</v>
      </c>
      <c r="F50" s="49">
        <f>AVERAGE('29.07 karuma-pakwach'!F50,'30.07 karuma-pakwach'!F50,'31.07 karuma-pakwach'!F50,'01.08 karuma-pakwach'!F50,'2.08 Karuma-Pakwach-24h'!F50,'04.08 Karuma-Pakwach'!F50)</f>
        <v>1</v>
      </c>
      <c r="G50" s="49">
        <f>AVERAGE('29.07 karuma-pakwach'!G50,'30.07 karuma-pakwach'!G50,'31.07 karuma-pakwach'!G50,'01.08 karuma-pakwach'!G50,'2.08 Karuma-Pakwach-24h'!G50,'04.08 Karuma-Pakwach'!G50)</f>
        <v>0.16666666666666666</v>
      </c>
      <c r="H50" s="49">
        <f>AVERAGE('29.07 karuma-pakwach'!H50,'30.07 karuma-pakwach'!H50,'31.07 karuma-pakwach'!H50,'01.08 karuma-pakwach'!H50,'2.08 Karuma-Pakwach-24h'!H50,'04.08 Karuma-Pakwach'!H50)</f>
        <v>0</v>
      </c>
      <c r="I50" s="49">
        <f>AVERAGE('29.07 karuma-pakwach'!I50,'30.07 karuma-pakwach'!I50,'31.07 karuma-pakwach'!I50,'01.08 karuma-pakwach'!I50,'2.08 Karuma-Pakwach-24h'!I50,'04.08 Karuma-Pakwach'!I50)</f>
        <v>0.33333333333333331</v>
      </c>
      <c r="J50" s="49">
        <f>AVERAGE('29.07 karuma-pakwach'!J50,'30.07 karuma-pakwach'!J50,'31.07 karuma-pakwach'!J50,'01.08 karuma-pakwach'!J50,'2.08 Karuma-Pakwach-24h'!J50,'04.08 Karuma-Pakwach'!J50)</f>
        <v>0.33333333333333331</v>
      </c>
      <c r="K50" s="49">
        <f>AVERAGE('29.07 karuma-pakwach'!K50,'30.07 karuma-pakwach'!K50,'31.07 karuma-pakwach'!K50,'01.08 karuma-pakwach'!K50,'2.08 Karuma-Pakwach-24h'!K50,'04.08 Karuma-Pakwach'!K50)</f>
        <v>0</v>
      </c>
      <c r="L50" s="49">
        <f>AVERAGE('29.07 karuma-pakwach'!L50,'30.07 karuma-pakwach'!L50,'31.07 karuma-pakwach'!L50,'01.08 karuma-pakwach'!L50,'2.08 Karuma-Pakwach-24h'!L50,'04.08 Karuma-Pakwach'!L50)</f>
        <v>0.83333333333333337</v>
      </c>
      <c r="M50" s="49">
        <f>AVERAGE('29.07 karuma-pakwach'!M50,'30.07 karuma-pakwach'!M50,'31.07 karuma-pakwach'!M50,'01.08 karuma-pakwach'!M50,'2.08 Karuma-Pakwach-24h'!M50,'04.08 Karuma-Pakwach'!M50)</f>
        <v>3.1666666666666665</v>
      </c>
      <c r="N50" s="49">
        <f>AVERAGE('29.07 karuma-pakwach'!N50,'30.07 karuma-pakwach'!N50,'31.07 karuma-pakwach'!N50,'01.08 karuma-pakwach'!N50,'2.08 Karuma-Pakwach-24h'!N50,'04.08 Karuma-Pakwach'!N50)</f>
        <v>0.16666666666666666</v>
      </c>
      <c r="O50" s="15">
        <f t="shared" si="0"/>
        <v>5.1666666666666661</v>
      </c>
      <c r="P50" s="15">
        <f t="shared" si="1"/>
        <v>8.3333333333333321</v>
      </c>
      <c r="R50" s="8"/>
      <c r="T50"/>
    </row>
    <row r="51" spans="2:20" ht="23.1" customHeight="1" x14ac:dyDescent="0.25">
      <c r="B51" s="24" t="s">
        <v>78</v>
      </c>
      <c r="C51" s="49">
        <f>AVERAGE('29.07 karuma-pakwach'!C51,'30.07 karuma-pakwach'!C51,'31.07 karuma-pakwach'!C51,'01.08 karuma-pakwach'!C51,'2.08 Karuma-Pakwach-24h'!C51,'04.08 Karuma-Pakwach'!C51)</f>
        <v>0.33333333333333331</v>
      </c>
      <c r="D51" s="49">
        <f>AVERAGE('29.07 karuma-pakwach'!D51,'30.07 karuma-pakwach'!D51,'31.07 karuma-pakwach'!D51,'01.08 karuma-pakwach'!D51,'2.08 Karuma-Pakwach-24h'!D51,'04.08 Karuma-Pakwach'!D51)</f>
        <v>0.16666666666666666</v>
      </c>
      <c r="E51" s="49">
        <f>AVERAGE('29.07 karuma-pakwach'!E51,'30.07 karuma-pakwach'!E51,'31.07 karuma-pakwach'!E51,'01.08 karuma-pakwach'!E51,'2.08 Karuma-Pakwach-24h'!E51,'04.08 Karuma-Pakwach'!E51)</f>
        <v>0.66666666666666663</v>
      </c>
      <c r="F51" s="49">
        <f>AVERAGE('29.07 karuma-pakwach'!F51,'30.07 karuma-pakwach'!F51,'31.07 karuma-pakwach'!F51,'01.08 karuma-pakwach'!F51,'2.08 Karuma-Pakwach-24h'!F51,'04.08 Karuma-Pakwach'!F51)</f>
        <v>0.5</v>
      </c>
      <c r="G51" s="49">
        <f>AVERAGE('29.07 karuma-pakwach'!G51,'30.07 karuma-pakwach'!G51,'31.07 karuma-pakwach'!G51,'01.08 karuma-pakwach'!G51,'2.08 Karuma-Pakwach-24h'!G51,'04.08 Karuma-Pakwach'!G51)</f>
        <v>0.16666666666666666</v>
      </c>
      <c r="H51" s="49">
        <f>AVERAGE('29.07 karuma-pakwach'!H51,'30.07 karuma-pakwach'!H51,'31.07 karuma-pakwach'!H51,'01.08 karuma-pakwach'!H51,'2.08 Karuma-Pakwach-24h'!H51,'04.08 Karuma-Pakwach'!H51)</f>
        <v>0</v>
      </c>
      <c r="I51" s="49">
        <f>AVERAGE('29.07 karuma-pakwach'!I51,'30.07 karuma-pakwach'!I51,'31.07 karuma-pakwach'!I51,'01.08 karuma-pakwach'!I51,'2.08 Karuma-Pakwach-24h'!I51,'04.08 Karuma-Pakwach'!I51)</f>
        <v>0.33333333333333331</v>
      </c>
      <c r="J51" s="49">
        <f>AVERAGE('29.07 karuma-pakwach'!J51,'30.07 karuma-pakwach'!J51,'31.07 karuma-pakwach'!J51,'01.08 karuma-pakwach'!J51,'2.08 Karuma-Pakwach-24h'!J51,'04.08 Karuma-Pakwach'!J51)</f>
        <v>0.5</v>
      </c>
      <c r="K51" s="49">
        <f>AVERAGE('29.07 karuma-pakwach'!K51,'30.07 karuma-pakwach'!K51,'31.07 karuma-pakwach'!K51,'01.08 karuma-pakwach'!K51,'2.08 Karuma-Pakwach-24h'!K51,'04.08 Karuma-Pakwach'!K51)</f>
        <v>0</v>
      </c>
      <c r="L51" s="49">
        <f>AVERAGE('29.07 karuma-pakwach'!L51,'30.07 karuma-pakwach'!L51,'31.07 karuma-pakwach'!L51,'01.08 karuma-pakwach'!L51,'2.08 Karuma-Pakwach-24h'!L51,'04.08 Karuma-Pakwach'!L51)</f>
        <v>1.5</v>
      </c>
      <c r="M51" s="49">
        <f>AVERAGE('29.07 karuma-pakwach'!M51,'30.07 karuma-pakwach'!M51,'31.07 karuma-pakwach'!M51,'01.08 karuma-pakwach'!M51,'2.08 Karuma-Pakwach-24h'!M51,'04.08 Karuma-Pakwach'!M51)</f>
        <v>1.8333333333333333</v>
      </c>
      <c r="N51" s="49">
        <f>AVERAGE('29.07 karuma-pakwach'!N51,'30.07 karuma-pakwach'!N51,'31.07 karuma-pakwach'!N51,'01.08 karuma-pakwach'!N51,'2.08 Karuma-Pakwach-24h'!N51,'04.08 Karuma-Pakwach'!N51)</f>
        <v>0</v>
      </c>
      <c r="O51" s="15">
        <f t="shared" si="0"/>
        <v>4.1666666666666661</v>
      </c>
      <c r="P51" s="15">
        <f t="shared" si="1"/>
        <v>5.9999999999999991</v>
      </c>
      <c r="R51" s="8"/>
      <c r="T51"/>
    </row>
    <row r="52" spans="2:20" ht="23.1" customHeight="1" x14ac:dyDescent="0.25">
      <c r="B52" s="24" t="s">
        <v>79</v>
      </c>
      <c r="C52" s="49">
        <f>AVERAGE('29.07 karuma-pakwach'!C52,'30.07 karuma-pakwach'!C52,'31.07 karuma-pakwach'!C52,'01.08 karuma-pakwach'!C52,'2.08 Karuma-Pakwach-24h'!C52,'04.08 Karuma-Pakwach'!C52)</f>
        <v>0.16666666666666666</v>
      </c>
      <c r="D52" s="49">
        <f>AVERAGE('29.07 karuma-pakwach'!D52,'30.07 karuma-pakwach'!D52,'31.07 karuma-pakwach'!D52,'01.08 karuma-pakwach'!D52,'2.08 Karuma-Pakwach-24h'!D52,'04.08 Karuma-Pakwach'!D52)</f>
        <v>0</v>
      </c>
      <c r="E52" s="49">
        <f>AVERAGE('29.07 karuma-pakwach'!E52,'30.07 karuma-pakwach'!E52,'31.07 karuma-pakwach'!E52,'01.08 karuma-pakwach'!E52,'2.08 Karuma-Pakwach-24h'!E52,'04.08 Karuma-Pakwach'!E52)</f>
        <v>0.66666666666666663</v>
      </c>
      <c r="F52" s="49">
        <f>AVERAGE('29.07 karuma-pakwach'!F52,'30.07 karuma-pakwach'!F52,'31.07 karuma-pakwach'!F52,'01.08 karuma-pakwach'!F52,'2.08 Karuma-Pakwach-24h'!F52,'04.08 Karuma-Pakwach'!F52)</f>
        <v>0.33333333333333331</v>
      </c>
      <c r="G52" s="49">
        <f>AVERAGE('29.07 karuma-pakwach'!G52,'30.07 karuma-pakwach'!G52,'31.07 karuma-pakwach'!G52,'01.08 karuma-pakwach'!G52,'2.08 Karuma-Pakwach-24h'!G52,'04.08 Karuma-Pakwach'!G52)</f>
        <v>0.5</v>
      </c>
      <c r="H52" s="49">
        <f>AVERAGE('29.07 karuma-pakwach'!H52,'30.07 karuma-pakwach'!H52,'31.07 karuma-pakwach'!H52,'01.08 karuma-pakwach'!H52,'2.08 Karuma-Pakwach-24h'!H52,'04.08 Karuma-Pakwach'!H52)</f>
        <v>0</v>
      </c>
      <c r="I52" s="49">
        <f>AVERAGE('29.07 karuma-pakwach'!I52,'30.07 karuma-pakwach'!I52,'31.07 karuma-pakwach'!I52,'01.08 karuma-pakwach'!I52,'2.08 Karuma-Pakwach-24h'!I52,'04.08 Karuma-Pakwach'!I52)</f>
        <v>0.33333333333333331</v>
      </c>
      <c r="J52" s="49">
        <f>AVERAGE('29.07 karuma-pakwach'!J52,'30.07 karuma-pakwach'!J52,'31.07 karuma-pakwach'!J52,'01.08 karuma-pakwach'!J52,'2.08 Karuma-Pakwach-24h'!J52,'04.08 Karuma-Pakwach'!J52)</f>
        <v>0.16666666666666666</v>
      </c>
      <c r="K52" s="49">
        <f>AVERAGE('29.07 karuma-pakwach'!K52,'30.07 karuma-pakwach'!K52,'31.07 karuma-pakwach'!K52,'01.08 karuma-pakwach'!K52,'2.08 Karuma-Pakwach-24h'!K52,'04.08 Karuma-Pakwach'!K52)</f>
        <v>0</v>
      </c>
      <c r="L52" s="49">
        <f>AVERAGE('29.07 karuma-pakwach'!L52,'30.07 karuma-pakwach'!L52,'31.07 karuma-pakwach'!L52,'01.08 karuma-pakwach'!L52,'2.08 Karuma-Pakwach-24h'!L52,'04.08 Karuma-Pakwach'!L52)</f>
        <v>1</v>
      </c>
      <c r="M52" s="49">
        <f>AVERAGE('29.07 karuma-pakwach'!M52,'30.07 karuma-pakwach'!M52,'31.07 karuma-pakwach'!M52,'01.08 karuma-pakwach'!M52,'2.08 Karuma-Pakwach-24h'!M52,'04.08 Karuma-Pakwach'!M52)</f>
        <v>2</v>
      </c>
      <c r="N52" s="49">
        <f>AVERAGE('29.07 karuma-pakwach'!N52,'30.07 karuma-pakwach'!N52,'31.07 karuma-pakwach'!N52,'01.08 karuma-pakwach'!N52,'2.08 Karuma-Pakwach-24h'!N52,'04.08 Karuma-Pakwach'!N52)</f>
        <v>0</v>
      </c>
      <c r="O52" s="15">
        <f t="shared" si="0"/>
        <v>3.1666666666666665</v>
      </c>
      <c r="P52" s="15">
        <f t="shared" si="1"/>
        <v>5.1666666666666661</v>
      </c>
      <c r="R52" s="8"/>
      <c r="T52"/>
    </row>
    <row r="53" spans="2:20" ht="23.1" customHeight="1" x14ac:dyDescent="0.25">
      <c r="B53" s="23" t="s">
        <v>80</v>
      </c>
      <c r="C53" s="49">
        <f>AVERAGE('29.07 karuma-pakwach'!C53,'30.07 karuma-pakwach'!C53,'31.07 karuma-pakwach'!C53,'01.08 karuma-pakwach'!C53,'2.08 Karuma-Pakwach-24h'!C53,'04.08 Karuma-Pakwach'!C53)</f>
        <v>2.5</v>
      </c>
      <c r="D53" s="49">
        <f>AVERAGE('29.07 karuma-pakwach'!D53,'30.07 karuma-pakwach'!D53,'31.07 karuma-pakwach'!D53,'01.08 karuma-pakwach'!D53,'2.08 Karuma-Pakwach-24h'!D53,'04.08 Karuma-Pakwach'!D53)</f>
        <v>0.16666666666666666</v>
      </c>
      <c r="E53" s="49">
        <f>AVERAGE('29.07 karuma-pakwach'!E53,'30.07 karuma-pakwach'!E53,'31.07 karuma-pakwach'!E53,'01.08 karuma-pakwach'!E53,'2.08 Karuma-Pakwach-24h'!E53,'04.08 Karuma-Pakwach'!E53)</f>
        <v>1.6666666666666667</v>
      </c>
      <c r="F53" s="49">
        <f>AVERAGE('29.07 karuma-pakwach'!F53,'30.07 karuma-pakwach'!F53,'31.07 karuma-pakwach'!F53,'01.08 karuma-pakwach'!F53,'2.08 Karuma-Pakwach-24h'!F53,'04.08 Karuma-Pakwach'!F53)</f>
        <v>0.66666666666666663</v>
      </c>
      <c r="G53" s="49">
        <f>AVERAGE('29.07 karuma-pakwach'!G53,'30.07 karuma-pakwach'!G53,'31.07 karuma-pakwach'!G53,'01.08 karuma-pakwach'!G53,'2.08 Karuma-Pakwach-24h'!G53,'04.08 Karuma-Pakwach'!G53)</f>
        <v>0.16666666666666666</v>
      </c>
      <c r="H53" s="49">
        <f>AVERAGE('29.07 karuma-pakwach'!H53,'30.07 karuma-pakwach'!H53,'31.07 karuma-pakwach'!H53,'01.08 karuma-pakwach'!H53,'2.08 Karuma-Pakwach-24h'!H53,'04.08 Karuma-Pakwach'!H53)</f>
        <v>0</v>
      </c>
      <c r="I53" s="49">
        <f>AVERAGE('29.07 karuma-pakwach'!I53,'30.07 karuma-pakwach'!I53,'31.07 karuma-pakwach'!I53,'01.08 karuma-pakwach'!I53,'2.08 Karuma-Pakwach-24h'!I53,'04.08 Karuma-Pakwach'!I53)</f>
        <v>1</v>
      </c>
      <c r="J53" s="49">
        <f>AVERAGE('29.07 karuma-pakwach'!J53,'30.07 karuma-pakwach'!J53,'31.07 karuma-pakwach'!J53,'01.08 karuma-pakwach'!J53,'2.08 Karuma-Pakwach-24h'!J53,'04.08 Karuma-Pakwach'!J53)</f>
        <v>0.33333333333333331</v>
      </c>
      <c r="K53" s="49">
        <f>AVERAGE('29.07 karuma-pakwach'!K53,'30.07 karuma-pakwach'!K53,'31.07 karuma-pakwach'!K53,'01.08 karuma-pakwach'!K53,'2.08 Karuma-Pakwach-24h'!K53,'04.08 Karuma-Pakwach'!K53)</f>
        <v>0.33333333333333331</v>
      </c>
      <c r="L53" s="49">
        <f>AVERAGE('29.07 karuma-pakwach'!L53,'30.07 karuma-pakwach'!L53,'31.07 karuma-pakwach'!L53,'01.08 karuma-pakwach'!L53,'2.08 Karuma-Pakwach-24h'!L53,'04.08 Karuma-Pakwach'!L53)</f>
        <v>0.66666666666666663</v>
      </c>
      <c r="M53" s="49">
        <f>AVERAGE('29.07 karuma-pakwach'!M53,'30.07 karuma-pakwach'!M53,'31.07 karuma-pakwach'!M53,'01.08 karuma-pakwach'!M53,'2.08 Karuma-Pakwach-24h'!M53,'04.08 Karuma-Pakwach'!M53)</f>
        <v>5.333333333333333</v>
      </c>
      <c r="N53" s="49">
        <f>AVERAGE('29.07 karuma-pakwach'!N53,'30.07 karuma-pakwach'!N53,'31.07 karuma-pakwach'!N53,'01.08 karuma-pakwach'!N53,'2.08 Karuma-Pakwach-24h'!N53,'04.08 Karuma-Pakwach'!N53)</f>
        <v>0</v>
      </c>
      <c r="O53" s="15">
        <f t="shared" si="0"/>
        <v>7.5</v>
      </c>
      <c r="P53" s="15">
        <f t="shared" si="1"/>
        <v>12.833333333333332</v>
      </c>
      <c r="R53" s="8"/>
      <c r="T53"/>
    </row>
    <row r="54" spans="2:20" ht="23.1" customHeight="1" x14ac:dyDescent="0.25">
      <c r="B54" s="23" t="s">
        <v>81</v>
      </c>
      <c r="C54" s="49">
        <f>AVERAGE('29.07 karuma-pakwach'!C54,'30.07 karuma-pakwach'!C54,'31.07 karuma-pakwach'!C54,'01.08 karuma-pakwach'!C54,'2.08 Karuma-Pakwach-24h'!C54,'04.08 Karuma-Pakwach'!C54)</f>
        <v>0.16666666666666666</v>
      </c>
      <c r="D54" s="49">
        <f>AVERAGE('29.07 karuma-pakwach'!D54,'30.07 karuma-pakwach'!D54,'31.07 karuma-pakwach'!D54,'01.08 karuma-pakwach'!D54,'2.08 Karuma-Pakwach-24h'!D54,'04.08 Karuma-Pakwach'!D54)</f>
        <v>0.16666666666666666</v>
      </c>
      <c r="E54" s="49">
        <f>AVERAGE('29.07 karuma-pakwach'!E54,'30.07 karuma-pakwach'!E54,'31.07 karuma-pakwach'!E54,'01.08 karuma-pakwach'!E54,'2.08 Karuma-Pakwach-24h'!E54,'04.08 Karuma-Pakwach'!E54)</f>
        <v>0.83333333333333337</v>
      </c>
      <c r="F54" s="49">
        <f>AVERAGE('29.07 karuma-pakwach'!F54,'30.07 karuma-pakwach'!F54,'31.07 karuma-pakwach'!F54,'01.08 karuma-pakwach'!F54,'2.08 Karuma-Pakwach-24h'!F54,'04.08 Karuma-Pakwach'!F54)</f>
        <v>0.5</v>
      </c>
      <c r="G54" s="49">
        <f>AVERAGE('29.07 karuma-pakwach'!G54,'30.07 karuma-pakwach'!G54,'31.07 karuma-pakwach'!G54,'01.08 karuma-pakwach'!G54,'2.08 Karuma-Pakwach-24h'!G54,'04.08 Karuma-Pakwach'!G54)</f>
        <v>0</v>
      </c>
      <c r="H54" s="49">
        <f>AVERAGE('29.07 karuma-pakwach'!H54,'30.07 karuma-pakwach'!H54,'31.07 karuma-pakwach'!H54,'01.08 karuma-pakwach'!H54,'2.08 Karuma-Pakwach-24h'!H54,'04.08 Karuma-Pakwach'!H54)</f>
        <v>0.5</v>
      </c>
      <c r="I54" s="49">
        <f>AVERAGE('29.07 karuma-pakwach'!I54,'30.07 karuma-pakwach'!I54,'31.07 karuma-pakwach'!I54,'01.08 karuma-pakwach'!I54,'2.08 Karuma-Pakwach-24h'!I54,'04.08 Karuma-Pakwach'!I54)</f>
        <v>0.33333333333333331</v>
      </c>
      <c r="J54" s="49">
        <f>AVERAGE('29.07 karuma-pakwach'!J54,'30.07 karuma-pakwach'!J54,'31.07 karuma-pakwach'!J54,'01.08 karuma-pakwach'!J54,'2.08 Karuma-Pakwach-24h'!J54,'04.08 Karuma-Pakwach'!J54)</f>
        <v>0.16666666666666666</v>
      </c>
      <c r="K54" s="49">
        <f>AVERAGE('29.07 karuma-pakwach'!K54,'30.07 karuma-pakwach'!K54,'31.07 karuma-pakwach'!K54,'01.08 karuma-pakwach'!K54,'2.08 Karuma-Pakwach-24h'!K54,'04.08 Karuma-Pakwach'!K54)</f>
        <v>0.5</v>
      </c>
      <c r="L54" s="49">
        <f>AVERAGE('29.07 karuma-pakwach'!L54,'30.07 karuma-pakwach'!L54,'31.07 karuma-pakwach'!L54,'01.08 karuma-pakwach'!L54,'2.08 Karuma-Pakwach-24h'!L54,'04.08 Karuma-Pakwach'!L54)</f>
        <v>0.66666666666666663</v>
      </c>
      <c r="M54" s="49">
        <f>AVERAGE('29.07 karuma-pakwach'!M54,'30.07 karuma-pakwach'!M54,'31.07 karuma-pakwach'!M54,'01.08 karuma-pakwach'!M54,'2.08 Karuma-Pakwach-24h'!M54,'04.08 Karuma-Pakwach'!M54)</f>
        <v>2</v>
      </c>
      <c r="N54" s="49">
        <f>AVERAGE('29.07 karuma-pakwach'!N54,'30.07 karuma-pakwach'!N54,'31.07 karuma-pakwach'!N54,'01.08 karuma-pakwach'!N54,'2.08 Karuma-Pakwach-24h'!N54,'04.08 Karuma-Pakwach'!N54)</f>
        <v>0.16666666666666666</v>
      </c>
      <c r="O54" s="15">
        <f t="shared" si="0"/>
        <v>4</v>
      </c>
      <c r="P54" s="15">
        <f t="shared" si="1"/>
        <v>6.0000000000000009</v>
      </c>
      <c r="R54" s="8"/>
      <c r="T54"/>
    </row>
    <row r="55" spans="2:20" ht="23.1" customHeight="1" x14ac:dyDescent="0.25">
      <c r="B55" s="23" t="s">
        <v>82</v>
      </c>
      <c r="C55" s="49">
        <f>AVERAGE('29.07 karuma-pakwach'!C55,'30.07 karuma-pakwach'!C55,'31.07 karuma-pakwach'!C55,'01.08 karuma-pakwach'!C55,'2.08 Karuma-Pakwach-24h'!C55,'04.08 Karuma-Pakwach'!C55)</f>
        <v>0.83333333333333337</v>
      </c>
      <c r="D55" s="49">
        <f>AVERAGE('29.07 karuma-pakwach'!D55,'30.07 karuma-pakwach'!D55,'31.07 karuma-pakwach'!D55,'01.08 karuma-pakwach'!D55,'2.08 Karuma-Pakwach-24h'!D55,'04.08 Karuma-Pakwach'!D55)</f>
        <v>0</v>
      </c>
      <c r="E55" s="49">
        <f>AVERAGE('29.07 karuma-pakwach'!E55,'30.07 karuma-pakwach'!E55,'31.07 karuma-pakwach'!E55,'01.08 karuma-pakwach'!E55,'2.08 Karuma-Pakwach-24h'!E55,'04.08 Karuma-Pakwach'!E55)</f>
        <v>0.66666666666666663</v>
      </c>
      <c r="F55" s="49">
        <f>AVERAGE('29.07 karuma-pakwach'!F55,'30.07 karuma-pakwach'!F55,'31.07 karuma-pakwach'!F55,'01.08 karuma-pakwach'!F55,'2.08 Karuma-Pakwach-24h'!F55,'04.08 Karuma-Pakwach'!F55)</f>
        <v>0.33333333333333331</v>
      </c>
      <c r="G55" s="49">
        <f>AVERAGE('29.07 karuma-pakwach'!G55,'30.07 karuma-pakwach'!G55,'31.07 karuma-pakwach'!G55,'01.08 karuma-pakwach'!G55,'2.08 Karuma-Pakwach-24h'!G55,'04.08 Karuma-Pakwach'!G55)</f>
        <v>0</v>
      </c>
      <c r="H55" s="49">
        <f>AVERAGE('29.07 karuma-pakwach'!H55,'30.07 karuma-pakwach'!H55,'31.07 karuma-pakwach'!H55,'01.08 karuma-pakwach'!H55,'2.08 Karuma-Pakwach-24h'!H55,'04.08 Karuma-Pakwach'!H55)</f>
        <v>0</v>
      </c>
      <c r="I55" s="49">
        <f>AVERAGE('29.07 karuma-pakwach'!I55,'30.07 karuma-pakwach'!I55,'31.07 karuma-pakwach'!I55,'01.08 karuma-pakwach'!I55,'2.08 Karuma-Pakwach-24h'!I55,'04.08 Karuma-Pakwach'!I55)</f>
        <v>0.5</v>
      </c>
      <c r="J55" s="49">
        <f>AVERAGE('29.07 karuma-pakwach'!J55,'30.07 karuma-pakwach'!J55,'31.07 karuma-pakwach'!J55,'01.08 karuma-pakwach'!J55,'2.08 Karuma-Pakwach-24h'!J55,'04.08 Karuma-Pakwach'!J55)</f>
        <v>0</v>
      </c>
      <c r="K55" s="49">
        <f>AVERAGE('29.07 karuma-pakwach'!K55,'30.07 karuma-pakwach'!K55,'31.07 karuma-pakwach'!K55,'01.08 karuma-pakwach'!K55,'2.08 Karuma-Pakwach-24h'!K55,'04.08 Karuma-Pakwach'!K55)</f>
        <v>0.16666666666666666</v>
      </c>
      <c r="L55" s="49">
        <f>AVERAGE('29.07 karuma-pakwach'!L55,'30.07 karuma-pakwach'!L55,'31.07 karuma-pakwach'!L55,'01.08 karuma-pakwach'!L55,'2.08 Karuma-Pakwach-24h'!L55,'04.08 Karuma-Pakwach'!L55)</f>
        <v>0.33333333333333331</v>
      </c>
      <c r="M55" s="49">
        <f>AVERAGE('29.07 karuma-pakwach'!M55,'30.07 karuma-pakwach'!M55,'31.07 karuma-pakwach'!M55,'01.08 karuma-pakwach'!M55,'2.08 Karuma-Pakwach-24h'!M55,'04.08 Karuma-Pakwach'!M55)</f>
        <v>2.8333333333333335</v>
      </c>
      <c r="N55" s="49">
        <f>AVERAGE('29.07 karuma-pakwach'!N55,'30.07 karuma-pakwach'!N55,'31.07 karuma-pakwach'!N55,'01.08 karuma-pakwach'!N55,'2.08 Karuma-Pakwach-24h'!N55,'04.08 Karuma-Pakwach'!N55)</f>
        <v>0</v>
      </c>
      <c r="O55" s="15">
        <f t="shared" si="0"/>
        <v>2.833333333333333</v>
      </c>
      <c r="P55" s="15">
        <f t="shared" si="1"/>
        <v>5.6666666666666661</v>
      </c>
      <c r="R55" s="8"/>
      <c r="T55"/>
    </row>
    <row r="56" spans="2:20" ht="23.1" customHeight="1" x14ac:dyDescent="0.25">
      <c r="B56" s="23" t="s">
        <v>83</v>
      </c>
      <c r="C56" s="49">
        <f>AVERAGE('29.07 karuma-pakwach'!C56,'30.07 karuma-pakwach'!C56,'31.07 karuma-pakwach'!C56,'01.08 karuma-pakwach'!C56,'2.08 Karuma-Pakwach-24h'!C56,'04.08 Karuma-Pakwach'!C56)</f>
        <v>0.66666666666666663</v>
      </c>
      <c r="D56" s="49">
        <f>AVERAGE('29.07 karuma-pakwach'!D56,'30.07 karuma-pakwach'!D56,'31.07 karuma-pakwach'!D56,'01.08 karuma-pakwach'!D56,'2.08 Karuma-Pakwach-24h'!D56,'04.08 Karuma-Pakwach'!D56)</f>
        <v>0</v>
      </c>
      <c r="E56" s="49">
        <f>AVERAGE('29.07 karuma-pakwach'!E56,'30.07 karuma-pakwach'!E56,'31.07 karuma-pakwach'!E56,'01.08 karuma-pakwach'!E56,'2.08 Karuma-Pakwach-24h'!E56,'04.08 Karuma-Pakwach'!E56)</f>
        <v>0.33333333333333331</v>
      </c>
      <c r="F56" s="49">
        <f>AVERAGE('29.07 karuma-pakwach'!F56,'30.07 karuma-pakwach'!F56,'31.07 karuma-pakwach'!F56,'01.08 karuma-pakwach'!F56,'2.08 Karuma-Pakwach-24h'!F56,'04.08 Karuma-Pakwach'!F56)</f>
        <v>0.33333333333333331</v>
      </c>
      <c r="G56" s="49">
        <f>AVERAGE('29.07 karuma-pakwach'!G56,'30.07 karuma-pakwach'!G56,'31.07 karuma-pakwach'!G56,'01.08 karuma-pakwach'!G56,'2.08 Karuma-Pakwach-24h'!G56,'04.08 Karuma-Pakwach'!G56)</f>
        <v>0.16666666666666666</v>
      </c>
      <c r="H56" s="49">
        <f>AVERAGE('29.07 karuma-pakwach'!H56,'30.07 karuma-pakwach'!H56,'31.07 karuma-pakwach'!H56,'01.08 karuma-pakwach'!H56,'2.08 Karuma-Pakwach-24h'!H56,'04.08 Karuma-Pakwach'!H56)</f>
        <v>0.33333333333333331</v>
      </c>
      <c r="I56" s="49">
        <f>AVERAGE('29.07 karuma-pakwach'!I56,'30.07 karuma-pakwach'!I56,'31.07 karuma-pakwach'!I56,'01.08 karuma-pakwach'!I56,'2.08 Karuma-Pakwach-24h'!I56,'04.08 Karuma-Pakwach'!I56)</f>
        <v>0.33333333333333331</v>
      </c>
      <c r="J56" s="49">
        <f>AVERAGE('29.07 karuma-pakwach'!J56,'30.07 karuma-pakwach'!J56,'31.07 karuma-pakwach'!J56,'01.08 karuma-pakwach'!J56,'2.08 Karuma-Pakwach-24h'!J56,'04.08 Karuma-Pakwach'!J56)</f>
        <v>0.33333333333333331</v>
      </c>
      <c r="K56" s="49">
        <f>AVERAGE('29.07 karuma-pakwach'!K56,'30.07 karuma-pakwach'!K56,'31.07 karuma-pakwach'!K56,'01.08 karuma-pakwach'!K56,'2.08 Karuma-Pakwach-24h'!K56,'04.08 Karuma-Pakwach'!K56)</f>
        <v>0.83333333333333337</v>
      </c>
      <c r="L56" s="49">
        <f>AVERAGE('29.07 karuma-pakwach'!L56,'30.07 karuma-pakwach'!L56,'31.07 karuma-pakwach'!L56,'01.08 karuma-pakwach'!L56,'2.08 Karuma-Pakwach-24h'!L56,'04.08 Karuma-Pakwach'!L56)</f>
        <v>0.5</v>
      </c>
      <c r="M56" s="49">
        <f>AVERAGE('29.07 karuma-pakwach'!M56,'30.07 karuma-pakwach'!M56,'31.07 karuma-pakwach'!M56,'01.08 karuma-pakwach'!M56,'2.08 Karuma-Pakwach-24h'!M56,'04.08 Karuma-Pakwach'!M56)</f>
        <v>2.3333333333333335</v>
      </c>
      <c r="N56" s="49">
        <f>AVERAGE('29.07 karuma-pakwach'!N56,'30.07 karuma-pakwach'!N56,'31.07 karuma-pakwach'!N56,'01.08 karuma-pakwach'!N56,'2.08 Karuma-Pakwach-24h'!N56,'04.08 Karuma-Pakwach'!N56)</f>
        <v>0.33333333333333331</v>
      </c>
      <c r="O56" s="15">
        <f t="shared" si="0"/>
        <v>4.166666666666667</v>
      </c>
      <c r="P56" s="15">
        <f t="shared" si="1"/>
        <v>6.5</v>
      </c>
      <c r="R56" s="8"/>
      <c r="T56"/>
    </row>
    <row r="57" spans="2:20" ht="23.1" customHeight="1" x14ac:dyDescent="0.25">
      <c r="B57" s="23" t="s">
        <v>84</v>
      </c>
      <c r="C57" s="49">
        <f>AVERAGE('29.07 karuma-pakwach'!C57,'30.07 karuma-pakwach'!C57,'31.07 karuma-pakwach'!C57,'01.08 karuma-pakwach'!C57,'2.08 Karuma-Pakwach-24h'!C57,'04.08 Karuma-Pakwach'!C57)</f>
        <v>0.16666666666666666</v>
      </c>
      <c r="D57" s="49">
        <f>AVERAGE('29.07 karuma-pakwach'!D57,'30.07 karuma-pakwach'!D57,'31.07 karuma-pakwach'!D57,'01.08 karuma-pakwach'!D57,'2.08 Karuma-Pakwach-24h'!D57,'04.08 Karuma-Pakwach'!D57)</f>
        <v>0</v>
      </c>
      <c r="E57" s="49">
        <f>AVERAGE('29.07 karuma-pakwach'!E57,'30.07 karuma-pakwach'!E57,'31.07 karuma-pakwach'!E57,'01.08 karuma-pakwach'!E57,'2.08 Karuma-Pakwach-24h'!E57,'04.08 Karuma-Pakwach'!E57)</f>
        <v>1.1666666666666667</v>
      </c>
      <c r="F57" s="49">
        <f>AVERAGE('29.07 karuma-pakwach'!F57,'30.07 karuma-pakwach'!F57,'31.07 karuma-pakwach'!F57,'01.08 karuma-pakwach'!F57,'2.08 Karuma-Pakwach-24h'!F57,'04.08 Karuma-Pakwach'!F57)</f>
        <v>0.16666666666666666</v>
      </c>
      <c r="G57" s="49">
        <f>AVERAGE('29.07 karuma-pakwach'!G57,'30.07 karuma-pakwach'!G57,'31.07 karuma-pakwach'!G57,'01.08 karuma-pakwach'!G57,'2.08 Karuma-Pakwach-24h'!G57,'04.08 Karuma-Pakwach'!G57)</f>
        <v>0.16666666666666666</v>
      </c>
      <c r="H57" s="49">
        <f>AVERAGE('29.07 karuma-pakwach'!H57,'30.07 karuma-pakwach'!H57,'31.07 karuma-pakwach'!H57,'01.08 karuma-pakwach'!H57,'2.08 Karuma-Pakwach-24h'!H57,'04.08 Karuma-Pakwach'!H57)</f>
        <v>0.33333333333333331</v>
      </c>
      <c r="I57" s="49">
        <f>AVERAGE('29.07 karuma-pakwach'!I57,'30.07 karuma-pakwach'!I57,'31.07 karuma-pakwach'!I57,'01.08 karuma-pakwach'!I57,'2.08 Karuma-Pakwach-24h'!I57,'04.08 Karuma-Pakwach'!I57)</f>
        <v>0.16666666666666666</v>
      </c>
      <c r="J57" s="49">
        <f>AVERAGE('29.07 karuma-pakwach'!J57,'30.07 karuma-pakwach'!J57,'31.07 karuma-pakwach'!J57,'01.08 karuma-pakwach'!J57,'2.08 Karuma-Pakwach-24h'!J57,'04.08 Karuma-Pakwach'!J57)</f>
        <v>0</v>
      </c>
      <c r="K57" s="49">
        <f>AVERAGE('29.07 karuma-pakwach'!K57,'30.07 karuma-pakwach'!K57,'31.07 karuma-pakwach'!K57,'01.08 karuma-pakwach'!K57,'2.08 Karuma-Pakwach-24h'!K57,'04.08 Karuma-Pakwach'!K57)</f>
        <v>0</v>
      </c>
      <c r="L57" s="49">
        <f>AVERAGE('29.07 karuma-pakwach'!L57,'30.07 karuma-pakwach'!L57,'31.07 karuma-pakwach'!L57,'01.08 karuma-pakwach'!L57,'2.08 Karuma-Pakwach-24h'!L57,'04.08 Karuma-Pakwach'!L57)</f>
        <v>0.5</v>
      </c>
      <c r="M57" s="49">
        <f>AVERAGE('29.07 karuma-pakwach'!M57,'30.07 karuma-pakwach'!M57,'31.07 karuma-pakwach'!M57,'01.08 karuma-pakwach'!M57,'2.08 Karuma-Pakwach-24h'!M57,'04.08 Karuma-Pakwach'!M57)</f>
        <v>2.1666666666666665</v>
      </c>
      <c r="N57" s="49">
        <f>AVERAGE('29.07 karuma-pakwach'!N57,'30.07 karuma-pakwach'!N57,'31.07 karuma-pakwach'!N57,'01.08 karuma-pakwach'!N57,'2.08 Karuma-Pakwach-24h'!N57,'04.08 Karuma-Pakwach'!N57)</f>
        <v>0.16666666666666666</v>
      </c>
      <c r="O57" s="15">
        <f t="shared" si="0"/>
        <v>2.8333333333333335</v>
      </c>
      <c r="P57" s="15">
        <f t="shared" si="1"/>
        <v>5.0000000000000009</v>
      </c>
      <c r="R57" s="8"/>
      <c r="T57"/>
    </row>
    <row r="58" spans="2:20" ht="23.1" customHeight="1" x14ac:dyDescent="0.25">
      <c r="B58" s="23" t="s">
        <v>99</v>
      </c>
      <c r="C58" s="49">
        <f>AVERAGE('2.08 Karuma-Pakwach-24h'!C58,'3.08 Karuma-Pakwach-24h'!C58)</f>
        <v>1</v>
      </c>
      <c r="D58" s="49">
        <f>AVERAGE('2.08 Karuma-Pakwach-24h'!D58,'3.08 Karuma-Pakwach-24h'!D58)</f>
        <v>0</v>
      </c>
      <c r="E58" s="49">
        <f>AVERAGE('2.08 Karuma-Pakwach-24h'!E58,'3.08 Karuma-Pakwach-24h'!E58)</f>
        <v>1</v>
      </c>
      <c r="F58" s="49">
        <f>AVERAGE('2.08 Karuma-Pakwach-24h'!F58,'3.08 Karuma-Pakwach-24h'!F58)</f>
        <v>0</v>
      </c>
      <c r="G58" s="49">
        <f>AVERAGE('2.08 Karuma-Pakwach-24h'!G58,'3.08 Karuma-Pakwach-24h'!G58)</f>
        <v>0</v>
      </c>
      <c r="H58" s="49">
        <f>AVERAGE('2.08 Karuma-Pakwach-24h'!H58,'3.08 Karuma-Pakwach-24h'!H58)</f>
        <v>0</v>
      </c>
      <c r="I58" s="49">
        <f>AVERAGE('2.08 Karuma-Pakwach-24h'!I58,'3.08 Karuma-Pakwach-24h'!I58)</f>
        <v>0</v>
      </c>
      <c r="J58" s="49">
        <f>AVERAGE('2.08 Karuma-Pakwach-24h'!J58,'3.08 Karuma-Pakwach-24h'!J58)</f>
        <v>0</v>
      </c>
      <c r="K58" s="49">
        <f>AVERAGE('2.08 Karuma-Pakwach-24h'!K58,'3.08 Karuma-Pakwach-24h'!K58)</f>
        <v>0</v>
      </c>
      <c r="L58" s="49">
        <f>AVERAGE('2.08 Karuma-Pakwach-24h'!L58,'3.08 Karuma-Pakwach-24h'!L58)</f>
        <v>1</v>
      </c>
      <c r="M58" s="49">
        <f>AVERAGE('2.08 Karuma-Pakwach-24h'!M58,'3.08 Karuma-Pakwach-24h'!M58)</f>
        <v>2</v>
      </c>
      <c r="N58" s="49">
        <f>AVERAGE('2.08 Karuma-Pakwach-24h'!N58,'3.08 Karuma-Pakwach-24h'!N58)</f>
        <v>0</v>
      </c>
      <c r="O58" s="15">
        <f t="shared" si="0"/>
        <v>3</v>
      </c>
      <c r="P58" s="15">
        <f t="shared" si="1"/>
        <v>5</v>
      </c>
      <c r="R58" s="8"/>
      <c r="T58"/>
    </row>
    <row r="59" spans="2:20" ht="23.1" customHeight="1" x14ac:dyDescent="0.25">
      <c r="B59" s="23" t="s">
        <v>100</v>
      </c>
      <c r="C59" s="49">
        <f>AVERAGE('2.08 Karuma-Pakwach-24h'!C59,'3.08 Karuma-Pakwach-24h'!C59)</f>
        <v>0</v>
      </c>
      <c r="D59" s="49">
        <f>AVERAGE('2.08 Karuma-Pakwach-24h'!D59,'3.08 Karuma-Pakwach-24h'!D59)</f>
        <v>0</v>
      </c>
      <c r="E59" s="49">
        <f>AVERAGE('2.08 Karuma-Pakwach-24h'!E59,'3.08 Karuma-Pakwach-24h'!E59)</f>
        <v>1</v>
      </c>
      <c r="F59" s="49">
        <f>AVERAGE('2.08 Karuma-Pakwach-24h'!F59,'3.08 Karuma-Pakwach-24h'!F59)</f>
        <v>0</v>
      </c>
      <c r="G59" s="49">
        <f>AVERAGE('2.08 Karuma-Pakwach-24h'!G59,'3.08 Karuma-Pakwach-24h'!G59)</f>
        <v>0</v>
      </c>
      <c r="H59" s="49">
        <f>AVERAGE('2.08 Karuma-Pakwach-24h'!H59,'3.08 Karuma-Pakwach-24h'!H59)</f>
        <v>0</v>
      </c>
      <c r="I59" s="49">
        <f>AVERAGE('2.08 Karuma-Pakwach-24h'!I59,'3.08 Karuma-Pakwach-24h'!I59)</f>
        <v>0</v>
      </c>
      <c r="J59" s="49">
        <f>AVERAGE('2.08 Karuma-Pakwach-24h'!J59,'3.08 Karuma-Pakwach-24h'!J59)</f>
        <v>0</v>
      </c>
      <c r="K59" s="49">
        <f>AVERAGE('2.08 Karuma-Pakwach-24h'!K59,'3.08 Karuma-Pakwach-24h'!K59)</f>
        <v>0</v>
      </c>
      <c r="L59" s="49">
        <f>AVERAGE('2.08 Karuma-Pakwach-24h'!L59,'3.08 Karuma-Pakwach-24h'!L59)</f>
        <v>1</v>
      </c>
      <c r="M59" s="49">
        <f>AVERAGE('2.08 Karuma-Pakwach-24h'!M59,'3.08 Karuma-Pakwach-24h'!M59)</f>
        <v>2</v>
      </c>
      <c r="N59" s="49">
        <f>AVERAGE('2.08 Karuma-Pakwach-24h'!N59,'3.08 Karuma-Pakwach-24h'!N59)</f>
        <v>0</v>
      </c>
      <c r="O59" s="15">
        <f t="shared" si="0"/>
        <v>2</v>
      </c>
      <c r="P59" s="15">
        <f t="shared" si="1"/>
        <v>4</v>
      </c>
      <c r="R59" s="8"/>
      <c r="T59"/>
    </row>
    <row r="60" spans="2:20" ht="23.1" customHeight="1" x14ac:dyDescent="0.25">
      <c r="B60" s="23" t="s">
        <v>101</v>
      </c>
      <c r="C60" s="49">
        <f>AVERAGE('2.08 Karuma-Pakwach-24h'!C60,'3.08 Karuma-Pakwach-24h'!C60)</f>
        <v>0</v>
      </c>
      <c r="D60" s="49">
        <f>AVERAGE('2.08 Karuma-Pakwach-24h'!D60,'3.08 Karuma-Pakwach-24h'!D60)</f>
        <v>0</v>
      </c>
      <c r="E60" s="49">
        <f>AVERAGE('2.08 Karuma-Pakwach-24h'!E60,'3.08 Karuma-Pakwach-24h'!E60)</f>
        <v>1</v>
      </c>
      <c r="F60" s="49">
        <f>AVERAGE('2.08 Karuma-Pakwach-24h'!F60,'3.08 Karuma-Pakwach-24h'!F60)</f>
        <v>1</v>
      </c>
      <c r="G60" s="49">
        <f>AVERAGE('2.08 Karuma-Pakwach-24h'!G60,'3.08 Karuma-Pakwach-24h'!G60)</f>
        <v>0</v>
      </c>
      <c r="H60" s="49">
        <f>AVERAGE('2.08 Karuma-Pakwach-24h'!H60,'3.08 Karuma-Pakwach-24h'!H60)</f>
        <v>0</v>
      </c>
      <c r="I60" s="49">
        <f>AVERAGE('2.08 Karuma-Pakwach-24h'!I60,'3.08 Karuma-Pakwach-24h'!I60)</f>
        <v>0</v>
      </c>
      <c r="J60" s="49">
        <f>AVERAGE('2.08 Karuma-Pakwach-24h'!J60,'3.08 Karuma-Pakwach-24h'!J60)</f>
        <v>1</v>
      </c>
      <c r="K60" s="49">
        <f>AVERAGE('2.08 Karuma-Pakwach-24h'!K60,'3.08 Karuma-Pakwach-24h'!K60)</f>
        <v>0</v>
      </c>
      <c r="L60" s="49">
        <f>AVERAGE('2.08 Karuma-Pakwach-24h'!L60,'3.08 Karuma-Pakwach-24h'!L60)</f>
        <v>1</v>
      </c>
      <c r="M60" s="49">
        <f>AVERAGE('2.08 Karuma-Pakwach-24h'!M60,'3.08 Karuma-Pakwach-24h'!M60)</f>
        <v>1</v>
      </c>
      <c r="N60" s="49">
        <f>AVERAGE('2.08 Karuma-Pakwach-24h'!N60,'3.08 Karuma-Pakwach-24h'!N60)</f>
        <v>0</v>
      </c>
      <c r="O60" s="15">
        <f t="shared" si="0"/>
        <v>4</v>
      </c>
      <c r="P60" s="15">
        <f t="shared" si="1"/>
        <v>5</v>
      </c>
      <c r="R60" s="8"/>
      <c r="T60"/>
    </row>
    <row r="61" spans="2:20" ht="23.1" customHeight="1" x14ac:dyDescent="0.25">
      <c r="B61" s="23" t="s">
        <v>102</v>
      </c>
      <c r="C61" s="49">
        <f>AVERAGE('2.08 Karuma-Pakwach-24h'!C61,'3.08 Karuma-Pakwach-24h'!C61)</f>
        <v>0</v>
      </c>
      <c r="D61" s="49">
        <f>AVERAGE('2.08 Karuma-Pakwach-24h'!D61,'3.08 Karuma-Pakwach-24h'!D61)</f>
        <v>0</v>
      </c>
      <c r="E61" s="49">
        <f>AVERAGE('2.08 Karuma-Pakwach-24h'!E61,'3.08 Karuma-Pakwach-24h'!E61)</f>
        <v>1</v>
      </c>
      <c r="F61" s="49">
        <f>AVERAGE('2.08 Karuma-Pakwach-24h'!F61,'3.08 Karuma-Pakwach-24h'!F61)</f>
        <v>0</v>
      </c>
      <c r="G61" s="49">
        <f>AVERAGE('2.08 Karuma-Pakwach-24h'!G61,'3.08 Karuma-Pakwach-24h'!G61)</f>
        <v>0</v>
      </c>
      <c r="H61" s="49">
        <f>AVERAGE('2.08 Karuma-Pakwach-24h'!H61,'3.08 Karuma-Pakwach-24h'!H61)</f>
        <v>0</v>
      </c>
      <c r="I61" s="49">
        <f>AVERAGE('2.08 Karuma-Pakwach-24h'!I61,'3.08 Karuma-Pakwach-24h'!I61)</f>
        <v>0</v>
      </c>
      <c r="J61" s="49">
        <f>AVERAGE('2.08 Karuma-Pakwach-24h'!J61,'3.08 Karuma-Pakwach-24h'!J61)</f>
        <v>1</v>
      </c>
      <c r="K61" s="49">
        <f>AVERAGE('2.08 Karuma-Pakwach-24h'!K61,'3.08 Karuma-Pakwach-24h'!K61)</f>
        <v>0</v>
      </c>
      <c r="L61" s="49">
        <f>AVERAGE('2.08 Karuma-Pakwach-24h'!L61,'3.08 Karuma-Pakwach-24h'!L61)</f>
        <v>1</v>
      </c>
      <c r="M61" s="49">
        <f>AVERAGE('2.08 Karuma-Pakwach-24h'!M61,'3.08 Karuma-Pakwach-24h'!M61)</f>
        <v>2</v>
      </c>
      <c r="N61" s="49">
        <f>AVERAGE('2.08 Karuma-Pakwach-24h'!N61,'3.08 Karuma-Pakwach-24h'!N61)</f>
        <v>0</v>
      </c>
      <c r="O61" s="15">
        <f t="shared" si="0"/>
        <v>3</v>
      </c>
      <c r="P61" s="15">
        <f t="shared" si="1"/>
        <v>5</v>
      </c>
      <c r="R61" s="8"/>
      <c r="T61"/>
    </row>
    <row r="62" spans="2:20" ht="23.1" customHeight="1" x14ac:dyDescent="0.25">
      <c r="B62" s="23" t="s">
        <v>107</v>
      </c>
      <c r="C62" s="49">
        <f>AVERAGE('2.08 Karuma-Pakwach-24h'!C62,'3.08 Karuma-Pakwach-24h'!C62)</f>
        <v>0</v>
      </c>
      <c r="D62" s="49">
        <f>AVERAGE('2.08 Karuma-Pakwach-24h'!D62,'3.08 Karuma-Pakwach-24h'!D62)</f>
        <v>0</v>
      </c>
      <c r="E62" s="49">
        <f>AVERAGE('2.08 Karuma-Pakwach-24h'!E62,'3.08 Karuma-Pakwach-24h'!E62)</f>
        <v>0</v>
      </c>
      <c r="F62" s="49">
        <f>AVERAGE('2.08 Karuma-Pakwach-24h'!F62,'3.08 Karuma-Pakwach-24h'!F62)</f>
        <v>0</v>
      </c>
      <c r="G62" s="49">
        <f>AVERAGE('2.08 Karuma-Pakwach-24h'!G62,'3.08 Karuma-Pakwach-24h'!G62)</f>
        <v>0</v>
      </c>
      <c r="H62" s="49">
        <f>AVERAGE('2.08 Karuma-Pakwach-24h'!H62,'3.08 Karuma-Pakwach-24h'!H62)</f>
        <v>0</v>
      </c>
      <c r="I62" s="49">
        <f>AVERAGE('2.08 Karuma-Pakwach-24h'!I62,'3.08 Karuma-Pakwach-24h'!I62)</f>
        <v>0</v>
      </c>
      <c r="J62" s="49">
        <f>AVERAGE('2.08 Karuma-Pakwach-24h'!J62,'3.08 Karuma-Pakwach-24h'!J62)</f>
        <v>1</v>
      </c>
      <c r="K62" s="49">
        <f>AVERAGE('2.08 Karuma-Pakwach-24h'!K62,'3.08 Karuma-Pakwach-24h'!K62)</f>
        <v>0</v>
      </c>
      <c r="L62" s="49">
        <f>AVERAGE('2.08 Karuma-Pakwach-24h'!L62,'3.08 Karuma-Pakwach-24h'!L62)</f>
        <v>1</v>
      </c>
      <c r="M62" s="49">
        <f>AVERAGE('2.08 Karuma-Pakwach-24h'!M62,'3.08 Karuma-Pakwach-24h'!M62)</f>
        <v>2</v>
      </c>
      <c r="N62" s="49">
        <f>AVERAGE('2.08 Karuma-Pakwach-24h'!N62,'3.08 Karuma-Pakwach-24h'!N62)</f>
        <v>0</v>
      </c>
      <c r="O62" s="15">
        <f t="shared" si="0"/>
        <v>2</v>
      </c>
      <c r="P62" s="15">
        <f t="shared" si="1"/>
        <v>4</v>
      </c>
      <c r="R62" s="8"/>
      <c r="T62"/>
    </row>
    <row r="63" spans="2:20" ht="23.1" customHeight="1" x14ac:dyDescent="0.25">
      <c r="B63" s="23" t="s">
        <v>108</v>
      </c>
      <c r="C63" s="49">
        <f>AVERAGE('2.08 Karuma-Pakwach-24h'!C63,'3.08 Karuma-Pakwach-24h'!C63)</f>
        <v>0</v>
      </c>
      <c r="D63" s="49">
        <f>AVERAGE('2.08 Karuma-Pakwach-24h'!D63,'3.08 Karuma-Pakwach-24h'!D63)</f>
        <v>0</v>
      </c>
      <c r="E63" s="49">
        <f>AVERAGE('2.08 Karuma-Pakwach-24h'!E63,'3.08 Karuma-Pakwach-24h'!E63)</f>
        <v>1</v>
      </c>
      <c r="F63" s="49">
        <f>AVERAGE('2.08 Karuma-Pakwach-24h'!F63,'3.08 Karuma-Pakwach-24h'!F63)</f>
        <v>0</v>
      </c>
      <c r="G63" s="49">
        <f>AVERAGE('2.08 Karuma-Pakwach-24h'!G63,'3.08 Karuma-Pakwach-24h'!G63)</f>
        <v>0</v>
      </c>
      <c r="H63" s="49">
        <f>AVERAGE('2.08 Karuma-Pakwach-24h'!H63,'3.08 Karuma-Pakwach-24h'!H63)</f>
        <v>0</v>
      </c>
      <c r="I63" s="49">
        <f>AVERAGE('2.08 Karuma-Pakwach-24h'!I63,'3.08 Karuma-Pakwach-24h'!I63)</f>
        <v>1</v>
      </c>
      <c r="J63" s="49">
        <f>AVERAGE('2.08 Karuma-Pakwach-24h'!J63,'3.08 Karuma-Pakwach-24h'!J63)</f>
        <v>1</v>
      </c>
      <c r="K63" s="49">
        <f>AVERAGE('2.08 Karuma-Pakwach-24h'!K63,'3.08 Karuma-Pakwach-24h'!K63)</f>
        <v>0</v>
      </c>
      <c r="L63" s="49">
        <f>AVERAGE('2.08 Karuma-Pakwach-24h'!L63,'3.08 Karuma-Pakwach-24h'!L63)</f>
        <v>1</v>
      </c>
      <c r="M63" s="49">
        <f>AVERAGE('2.08 Karuma-Pakwach-24h'!M63,'3.08 Karuma-Pakwach-24h'!M63)</f>
        <v>1</v>
      </c>
      <c r="N63" s="49">
        <f>AVERAGE('2.08 Karuma-Pakwach-24h'!N63,'3.08 Karuma-Pakwach-24h'!N63)</f>
        <v>0</v>
      </c>
      <c r="O63" s="15">
        <f t="shared" si="0"/>
        <v>4</v>
      </c>
      <c r="P63" s="15">
        <f t="shared" si="1"/>
        <v>5</v>
      </c>
      <c r="R63" s="8"/>
      <c r="T63"/>
    </row>
    <row r="64" spans="2:20" ht="23.1" customHeight="1" x14ac:dyDescent="0.25">
      <c r="B64" s="23" t="s">
        <v>109</v>
      </c>
      <c r="C64" s="49">
        <f>AVERAGE('2.08 Karuma-Pakwach-24h'!C64,'3.08 Karuma-Pakwach-24h'!C64)</f>
        <v>1</v>
      </c>
      <c r="D64" s="49">
        <f>AVERAGE('2.08 Karuma-Pakwach-24h'!D64,'3.08 Karuma-Pakwach-24h'!D64)</f>
        <v>0</v>
      </c>
      <c r="E64" s="49">
        <f>AVERAGE('2.08 Karuma-Pakwach-24h'!E64,'3.08 Karuma-Pakwach-24h'!E64)</f>
        <v>1</v>
      </c>
      <c r="F64" s="49">
        <f>AVERAGE('2.08 Karuma-Pakwach-24h'!F64,'3.08 Karuma-Pakwach-24h'!F64)</f>
        <v>0</v>
      </c>
      <c r="G64" s="49">
        <f>AVERAGE('2.08 Karuma-Pakwach-24h'!G64,'3.08 Karuma-Pakwach-24h'!G64)</f>
        <v>0</v>
      </c>
      <c r="H64" s="49">
        <f>AVERAGE('2.08 Karuma-Pakwach-24h'!H64,'3.08 Karuma-Pakwach-24h'!H64)</f>
        <v>0</v>
      </c>
      <c r="I64" s="49">
        <f>AVERAGE('2.08 Karuma-Pakwach-24h'!I64,'3.08 Karuma-Pakwach-24h'!I64)</f>
        <v>0</v>
      </c>
      <c r="J64" s="49">
        <f>AVERAGE('2.08 Karuma-Pakwach-24h'!J64,'3.08 Karuma-Pakwach-24h'!J64)</f>
        <v>0</v>
      </c>
      <c r="K64" s="49">
        <f>AVERAGE('2.08 Karuma-Pakwach-24h'!K64,'3.08 Karuma-Pakwach-24h'!K64)</f>
        <v>0</v>
      </c>
      <c r="L64" s="49">
        <f>AVERAGE('2.08 Karuma-Pakwach-24h'!L64,'3.08 Karuma-Pakwach-24h'!L64)</f>
        <v>1</v>
      </c>
      <c r="M64" s="49">
        <f>AVERAGE('2.08 Karuma-Pakwach-24h'!M64,'3.08 Karuma-Pakwach-24h'!M64)</f>
        <v>2</v>
      </c>
      <c r="N64" s="49">
        <f>AVERAGE('2.08 Karuma-Pakwach-24h'!N64,'3.08 Karuma-Pakwach-24h'!N64)</f>
        <v>0</v>
      </c>
      <c r="O64" s="15">
        <f t="shared" si="0"/>
        <v>3</v>
      </c>
      <c r="P64" s="15">
        <f t="shared" si="1"/>
        <v>5</v>
      </c>
      <c r="R64" s="8"/>
      <c r="T64"/>
    </row>
    <row r="65" spans="2:20" ht="23.1" customHeight="1" x14ac:dyDescent="0.25">
      <c r="B65" s="23" t="s">
        <v>158</v>
      </c>
      <c r="C65" s="49">
        <f>AVERAGE('2.08 Karuma-Pakwach-24h'!C65,'3.08 Karuma-Pakwach-24h'!C65)</f>
        <v>0</v>
      </c>
      <c r="D65" s="49">
        <f>AVERAGE('2.08 Karuma-Pakwach-24h'!D65,'3.08 Karuma-Pakwach-24h'!D65)</f>
        <v>0</v>
      </c>
      <c r="E65" s="49">
        <f>AVERAGE('2.08 Karuma-Pakwach-24h'!E65,'3.08 Karuma-Pakwach-24h'!E65)</f>
        <v>1</v>
      </c>
      <c r="F65" s="49">
        <f>AVERAGE('2.08 Karuma-Pakwach-24h'!F65,'3.08 Karuma-Pakwach-24h'!F65)</f>
        <v>0</v>
      </c>
      <c r="G65" s="49">
        <f>AVERAGE('2.08 Karuma-Pakwach-24h'!G65,'3.08 Karuma-Pakwach-24h'!G65)</f>
        <v>0</v>
      </c>
      <c r="H65" s="49">
        <f>AVERAGE('2.08 Karuma-Pakwach-24h'!H65,'3.08 Karuma-Pakwach-24h'!H65)</f>
        <v>0</v>
      </c>
      <c r="I65" s="49">
        <f>AVERAGE('2.08 Karuma-Pakwach-24h'!I65,'3.08 Karuma-Pakwach-24h'!I65)</f>
        <v>0</v>
      </c>
      <c r="J65" s="49">
        <f>AVERAGE('2.08 Karuma-Pakwach-24h'!J65,'3.08 Karuma-Pakwach-24h'!J65)</f>
        <v>1</v>
      </c>
      <c r="K65" s="49">
        <f>AVERAGE('2.08 Karuma-Pakwach-24h'!K65,'3.08 Karuma-Pakwach-24h'!K65)</f>
        <v>0</v>
      </c>
      <c r="L65" s="49">
        <f>AVERAGE('2.08 Karuma-Pakwach-24h'!L65,'3.08 Karuma-Pakwach-24h'!L65)</f>
        <v>1</v>
      </c>
      <c r="M65" s="49">
        <f>AVERAGE('2.08 Karuma-Pakwach-24h'!M65,'3.08 Karuma-Pakwach-24h'!M65)</f>
        <v>3</v>
      </c>
      <c r="N65" s="49">
        <f>AVERAGE('2.08 Karuma-Pakwach-24h'!N65,'3.08 Karuma-Pakwach-24h'!N65)</f>
        <v>0</v>
      </c>
      <c r="O65" s="15">
        <f t="shared" si="0"/>
        <v>3</v>
      </c>
      <c r="P65" s="15">
        <f t="shared" si="1"/>
        <v>6</v>
      </c>
      <c r="R65" s="8"/>
      <c r="T65"/>
    </row>
    <row r="66" spans="2:20" ht="23.1" customHeight="1" x14ac:dyDescent="0.25">
      <c r="B66" s="23" t="s">
        <v>103</v>
      </c>
      <c r="C66" s="49">
        <f>AVERAGE('2.08 Karuma-Pakwach-24h'!C66,'3.08 Karuma-Pakwach-24h'!C66)</f>
        <v>0</v>
      </c>
      <c r="D66" s="49">
        <f>AVERAGE('2.08 Karuma-Pakwach-24h'!D66,'3.08 Karuma-Pakwach-24h'!D66)</f>
        <v>0</v>
      </c>
      <c r="E66" s="49">
        <f>AVERAGE('2.08 Karuma-Pakwach-24h'!E66,'3.08 Karuma-Pakwach-24h'!E66)</f>
        <v>0</v>
      </c>
      <c r="F66" s="49">
        <f>AVERAGE('2.08 Karuma-Pakwach-24h'!F66,'3.08 Karuma-Pakwach-24h'!F66)</f>
        <v>0</v>
      </c>
      <c r="G66" s="49">
        <f>AVERAGE('2.08 Karuma-Pakwach-24h'!G66,'3.08 Karuma-Pakwach-24h'!G66)</f>
        <v>0</v>
      </c>
      <c r="H66" s="49">
        <f>AVERAGE('2.08 Karuma-Pakwach-24h'!H66,'3.08 Karuma-Pakwach-24h'!H66)</f>
        <v>0</v>
      </c>
      <c r="I66" s="49">
        <f>AVERAGE('2.08 Karuma-Pakwach-24h'!I66,'3.08 Karuma-Pakwach-24h'!I66)</f>
        <v>0</v>
      </c>
      <c r="J66" s="49">
        <f>AVERAGE('2.08 Karuma-Pakwach-24h'!J66,'3.08 Karuma-Pakwach-24h'!J66)</f>
        <v>0</v>
      </c>
      <c r="K66" s="49">
        <f>AVERAGE('2.08 Karuma-Pakwach-24h'!K66,'3.08 Karuma-Pakwach-24h'!K66)</f>
        <v>0</v>
      </c>
      <c r="L66" s="49">
        <f>AVERAGE('2.08 Karuma-Pakwach-24h'!L66,'3.08 Karuma-Pakwach-24h'!L66)</f>
        <v>1</v>
      </c>
      <c r="M66" s="49">
        <f>AVERAGE('2.08 Karuma-Pakwach-24h'!M66,'3.08 Karuma-Pakwach-24h'!M66)</f>
        <v>3</v>
      </c>
      <c r="N66" s="49">
        <f>AVERAGE('2.08 Karuma-Pakwach-24h'!N66,'3.08 Karuma-Pakwach-24h'!N66)</f>
        <v>0</v>
      </c>
      <c r="O66" s="15">
        <f t="shared" si="0"/>
        <v>1</v>
      </c>
      <c r="P66" s="15">
        <f t="shared" si="1"/>
        <v>4</v>
      </c>
      <c r="R66" s="8"/>
      <c r="T66"/>
    </row>
    <row r="67" spans="2:20" ht="23.1" customHeight="1" x14ac:dyDescent="0.25">
      <c r="B67" s="23" t="s">
        <v>104</v>
      </c>
      <c r="C67" s="49">
        <f>AVERAGE('2.08 Karuma-Pakwach-24h'!C67,'3.08 Karuma-Pakwach-24h'!C67)</f>
        <v>0</v>
      </c>
      <c r="D67" s="49">
        <f>AVERAGE('2.08 Karuma-Pakwach-24h'!D67,'3.08 Karuma-Pakwach-24h'!D67)</f>
        <v>0</v>
      </c>
      <c r="E67" s="49">
        <f>AVERAGE('2.08 Karuma-Pakwach-24h'!E67,'3.08 Karuma-Pakwach-24h'!E67)</f>
        <v>1</v>
      </c>
      <c r="F67" s="49">
        <f>AVERAGE('2.08 Karuma-Pakwach-24h'!F67,'3.08 Karuma-Pakwach-24h'!F67)</f>
        <v>0</v>
      </c>
      <c r="G67" s="49">
        <f>AVERAGE('2.08 Karuma-Pakwach-24h'!G67,'3.08 Karuma-Pakwach-24h'!G67)</f>
        <v>0</v>
      </c>
      <c r="H67" s="49">
        <f>AVERAGE('2.08 Karuma-Pakwach-24h'!H67,'3.08 Karuma-Pakwach-24h'!H67)</f>
        <v>0</v>
      </c>
      <c r="I67" s="49">
        <f>AVERAGE('2.08 Karuma-Pakwach-24h'!I67,'3.08 Karuma-Pakwach-24h'!I67)</f>
        <v>0</v>
      </c>
      <c r="J67" s="49">
        <f>AVERAGE('2.08 Karuma-Pakwach-24h'!J67,'3.08 Karuma-Pakwach-24h'!J67)</f>
        <v>0</v>
      </c>
      <c r="K67" s="49">
        <f>AVERAGE('2.08 Karuma-Pakwach-24h'!K67,'3.08 Karuma-Pakwach-24h'!K67)</f>
        <v>0</v>
      </c>
      <c r="L67" s="49">
        <f>AVERAGE('2.08 Karuma-Pakwach-24h'!L67,'3.08 Karuma-Pakwach-24h'!L67)</f>
        <v>0</v>
      </c>
      <c r="M67" s="49">
        <f>AVERAGE('2.08 Karuma-Pakwach-24h'!M67,'3.08 Karuma-Pakwach-24h'!M67)</f>
        <v>3</v>
      </c>
      <c r="N67" s="49">
        <f>AVERAGE('2.08 Karuma-Pakwach-24h'!N67,'3.08 Karuma-Pakwach-24h'!N67)</f>
        <v>0</v>
      </c>
      <c r="O67" s="15">
        <f t="shared" si="0"/>
        <v>1</v>
      </c>
      <c r="P67" s="15">
        <f t="shared" si="1"/>
        <v>4</v>
      </c>
      <c r="R67" s="8"/>
      <c r="T67"/>
    </row>
    <row r="68" spans="2:20" ht="23.1" customHeight="1" x14ac:dyDescent="0.25">
      <c r="B68" s="23" t="s">
        <v>105</v>
      </c>
      <c r="C68" s="49">
        <f>AVERAGE('2.08 Karuma-Pakwach-24h'!C68,'3.08 Karuma-Pakwach-24h'!C68)</f>
        <v>1</v>
      </c>
      <c r="D68" s="49">
        <f>AVERAGE('2.08 Karuma-Pakwach-24h'!D68,'3.08 Karuma-Pakwach-24h'!D68)</f>
        <v>0</v>
      </c>
      <c r="E68" s="49">
        <f>AVERAGE('2.08 Karuma-Pakwach-24h'!E68,'3.08 Karuma-Pakwach-24h'!E68)</f>
        <v>1</v>
      </c>
      <c r="F68" s="49">
        <f>AVERAGE('2.08 Karuma-Pakwach-24h'!F68,'3.08 Karuma-Pakwach-24h'!F68)</f>
        <v>1</v>
      </c>
      <c r="G68" s="49">
        <f>AVERAGE('2.08 Karuma-Pakwach-24h'!G68,'3.08 Karuma-Pakwach-24h'!G68)</f>
        <v>0</v>
      </c>
      <c r="H68" s="49">
        <f>AVERAGE('2.08 Karuma-Pakwach-24h'!H68,'3.08 Karuma-Pakwach-24h'!H68)</f>
        <v>0</v>
      </c>
      <c r="I68" s="49">
        <f>AVERAGE('2.08 Karuma-Pakwach-24h'!I68,'3.08 Karuma-Pakwach-24h'!I68)</f>
        <v>0</v>
      </c>
      <c r="J68" s="49">
        <f>AVERAGE('2.08 Karuma-Pakwach-24h'!J68,'3.08 Karuma-Pakwach-24h'!J68)</f>
        <v>1</v>
      </c>
      <c r="K68" s="49">
        <f>AVERAGE('2.08 Karuma-Pakwach-24h'!K68,'3.08 Karuma-Pakwach-24h'!K68)</f>
        <v>0</v>
      </c>
      <c r="L68" s="49">
        <f>AVERAGE('2.08 Karuma-Pakwach-24h'!L68,'3.08 Karuma-Pakwach-24h'!L68)</f>
        <v>1</v>
      </c>
      <c r="M68" s="49">
        <f>AVERAGE('2.08 Karuma-Pakwach-24h'!M68,'3.08 Karuma-Pakwach-24h'!M68)</f>
        <v>4</v>
      </c>
      <c r="N68" s="49">
        <f>AVERAGE('2.08 Karuma-Pakwach-24h'!N68,'3.08 Karuma-Pakwach-24h'!N68)</f>
        <v>0</v>
      </c>
      <c r="O68" s="15">
        <f t="shared" si="0"/>
        <v>5</v>
      </c>
      <c r="P68" s="15">
        <f t="shared" si="1"/>
        <v>9</v>
      </c>
      <c r="R68" s="8"/>
      <c r="T68"/>
    </row>
    <row r="69" spans="2:20" ht="23.1" customHeight="1" x14ac:dyDescent="0.25">
      <c r="B69" s="23" t="s">
        <v>106</v>
      </c>
      <c r="C69" s="49">
        <f>AVERAGE('2.08 Karuma-Pakwach-24h'!C69,'3.08 Karuma-Pakwach-24h'!C69)</f>
        <v>1</v>
      </c>
      <c r="D69" s="49">
        <f>AVERAGE('2.08 Karuma-Pakwach-24h'!D69,'3.08 Karuma-Pakwach-24h'!D69)</f>
        <v>0</v>
      </c>
      <c r="E69" s="49">
        <f>AVERAGE('2.08 Karuma-Pakwach-24h'!E69,'3.08 Karuma-Pakwach-24h'!E69)</f>
        <v>1</v>
      </c>
      <c r="F69" s="49">
        <f>AVERAGE('2.08 Karuma-Pakwach-24h'!F69,'3.08 Karuma-Pakwach-24h'!F69)</f>
        <v>1</v>
      </c>
      <c r="G69" s="49">
        <f>AVERAGE('2.08 Karuma-Pakwach-24h'!G69,'3.08 Karuma-Pakwach-24h'!G69)</f>
        <v>0</v>
      </c>
      <c r="H69" s="49">
        <f>AVERAGE('2.08 Karuma-Pakwach-24h'!H69,'3.08 Karuma-Pakwach-24h'!H69)</f>
        <v>0</v>
      </c>
      <c r="I69" s="49">
        <f>AVERAGE('2.08 Karuma-Pakwach-24h'!I69,'3.08 Karuma-Pakwach-24h'!I69)</f>
        <v>0</v>
      </c>
      <c r="J69" s="49">
        <f>AVERAGE('2.08 Karuma-Pakwach-24h'!J69,'3.08 Karuma-Pakwach-24h'!J69)</f>
        <v>0</v>
      </c>
      <c r="K69" s="49">
        <f>AVERAGE('2.08 Karuma-Pakwach-24h'!K69,'3.08 Karuma-Pakwach-24h'!K69)</f>
        <v>0</v>
      </c>
      <c r="L69" s="49">
        <f>AVERAGE('2.08 Karuma-Pakwach-24h'!L69,'3.08 Karuma-Pakwach-24h'!L69)</f>
        <v>0</v>
      </c>
      <c r="M69" s="49">
        <f>AVERAGE('2.08 Karuma-Pakwach-24h'!M69,'3.08 Karuma-Pakwach-24h'!M69)</f>
        <v>2</v>
      </c>
      <c r="N69" s="49">
        <f>AVERAGE('2.08 Karuma-Pakwach-24h'!N69,'3.08 Karuma-Pakwach-24h'!N69)</f>
        <v>0</v>
      </c>
      <c r="O69" s="15">
        <f t="shared" si="0"/>
        <v>3</v>
      </c>
      <c r="P69" s="15">
        <f t="shared" si="1"/>
        <v>5</v>
      </c>
      <c r="R69" s="8"/>
      <c r="T69"/>
    </row>
    <row r="70" spans="2:20" ht="23.1" customHeight="1" x14ac:dyDescent="0.25">
      <c r="B70" s="23" t="s">
        <v>110</v>
      </c>
      <c r="C70" s="49">
        <f>AVERAGE('2.08 Karuma-Pakwach-24h'!C70,'3.08 Karuma-Pakwach-24h'!C70)</f>
        <v>0</v>
      </c>
      <c r="D70" s="49">
        <f>AVERAGE('2.08 Karuma-Pakwach-24h'!D70,'3.08 Karuma-Pakwach-24h'!D70)</f>
        <v>0</v>
      </c>
      <c r="E70" s="49">
        <f>AVERAGE('2.08 Karuma-Pakwach-24h'!E70,'3.08 Karuma-Pakwach-24h'!E70)</f>
        <v>1</v>
      </c>
      <c r="F70" s="49">
        <f>AVERAGE('2.08 Karuma-Pakwach-24h'!F70,'3.08 Karuma-Pakwach-24h'!F70)</f>
        <v>0</v>
      </c>
      <c r="G70" s="49">
        <f>AVERAGE('2.08 Karuma-Pakwach-24h'!G70,'3.08 Karuma-Pakwach-24h'!G70)</f>
        <v>0</v>
      </c>
      <c r="H70" s="49">
        <f>AVERAGE('2.08 Karuma-Pakwach-24h'!H70,'3.08 Karuma-Pakwach-24h'!H70)</f>
        <v>0</v>
      </c>
      <c r="I70" s="49">
        <f>AVERAGE('2.08 Karuma-Pakwach-24h'!I70,'3.08 Karuma-Pakwach-24h'!I70)</f>
        <v>1</v>
      </c>
      <c r="J70" s="49">
        <f>AVERAGE('2.08 Karuma-Pakwach-24h'!J70,'3.08 Karuma-Pakwach-24h'!J70)</f>
        <v>0</v>
      </c>
      <c r="K70" s="49">
        <f>AVERAGE('2.08 Karuma-Pakwach-24h'!K70,'3.08 Karuma-Pakwach-24h'!K70)</f>
        <v>0</v>
      </c>
      <c r="L70" s="49">
        <f>AVERAGE('2.08 Karuma-Pakwach-24h'!L70,'3.08 Karuma-Pakwach-24h'!L70)</f>
        <v>1</v>
      </c>
      <c r="M70" s="49">
        <f>AVERAGE('2.08 Karuma-Pakwach-24h'!M70,'3.08 Karuma-Pakwach-24h'!M70)</f>
        <v>3</v>
      </c>
      <c r="N70" s="49">
        <f>AVERAGE('2.08 Karuma-Pakwach-24h'!N70,'3.08 Karuma-Pakwach-24h'!N70)</f>
        <v>0</v>
      </c>
      <c r="O70" s="15">
        <f t="shared" si="0"/>
        <v>3</v>
      </c>
      <c r="P70" s="15">
        <f t="shared" si="1"/>
        <v>6</v>
      </c>
      <c r="R70" s="8"/>
      <c r="T70"/>
    </row>
    <row r="71" spans="2:20" ht="23.1" customHeight="1" x14ac:dyDescent="0.25">
      <c r="B71" s="23" t="s">
        <v>111</v>
      </c>
      <c r="C71" s="49">
        <f>AVERAGE('2.08 Karuma-Pakwach-24h'!C71,'3.08 Karuma-Pakwach-24h'!C71)</f>
        <v>0</v>
      </c>
      <c r="D71" s="49">
        <f>AVERAGE('2.08 Karuma-Pakwach-24h'!D71,'3.08 Karuma-Pakwach-24h'!D71)</f>
        <v>0</v>
      </c>
      <c r="E71" s="49">
        <f>AVERAGE('2.08 Karuma-Pakwach-24h'!E71,'3.08 Karuma-Pakwach-24h'!E71)</f>
        <v>1</v>
      </c>
      <c r="F71" s="49">
        <f>AVERAGE('2.08 Karuma-Pakwach-24h'!F71,'3.08 Karuma-Pakwach-24h'!F71)</f>
        <v>0</v>
      </c>
      <c r="G71" s="49">
        <f>AVERAGE('2.08 Karuma-Pakwach-24h'!G71,'3.08 Karuma-Pakwach-24h'!G71)</f>
        <v>0</v>
      </c>
      <c r="H71" s="49">
        <f>AVERAGE('2.08 Karuma-Pakwach-24h'!H71,'3.08 Karuma-Pakwach-24h'!H71)</f>
        <v>0</v>
      </c>
      <c r="I71" s="49">
        <f>AVERAGE('2.08 Karuma-Pakwach-24h'!I71,'3.08 Karuma-Pakwach-24h'!I71)</f>
        <v>0</v>
      </c>
      <c r="J71" s="49">
        <f>AVERAGE('2.08 Karuma-Pakwach-24h'!J71,'3.08 Karuma-Pakwach-24h'!J71)</f>
        <v>0</v>
      </c>
      <c r="K71" s="49">
        <f>AVERAGE('2.08 Karuma-Pakwach-24h'!K71,'3.08 Karuma-Pakwach-24h'!K71)</f>
        <v>0</v>
      </c>
      <c r="L71" s="49">
        <f>AVERAGE('2.08 Karuma-Pakwach-24h'!L71,'3.08 Karuma-Pakwach-24h'!L71)</f>
        <v>1</v>
      </c>
      <c r="M71" s="49">
        <f>AVERAGE('2.08 Karuma-Pakwach-24h'!M71,'3.08 Karuma-Pakwach-24h'!M71)</f>
        <v>2</v>
      </c>
      <c r="N71" s="49">
        <f>AVERAGE('2.08 Karuma-Pakwach-24h'!N71,'3.08 Karuma-Pakwach-24h'!N71)</f>
        <v>0</v>
      </c>
      <c r="O71" s="15">
        <f t="shared" si="0"/>
        <v>2</v>
      </c>
      <c r="P71" s="15">
        <f t="shared" si="1"/>
        <v>4</v>
      </c>
      <c r="R71" s="8"/>
      <c r="T71"/>
    </row>
    <row r="72" spans="2:20" ht="23.1" customHeight="1" x14ac:dyDescent="0.25">
      <c r="B72" s="23" t="s">
        <v>112</v>
      </c>
      <c r="C72" s="49">
        <f>AVERAGE('2.08 Karuma-Pakwach-24h'!C72,'3.08 Karuma-Pakwach-24h'!C72)</f>
        <v>0</v>
      </c>
      <c r="D72" s="49">
        <f>AVERAGE('2.08 Karuma-Pakwach-24h'!D72,'3.08 Karuma-Pakwach-24h'!D72)</f>
        <v>0</v>
      </c>
      <c r="E72" s="49">
        <f>AVERAGE('2.08 Karuma-Pakwach-24h'!E72,'3.08 Karuma-Pakwach-24h'!E72)</f>
        <v>1</v>
      </c>
      <c r="F72" s="49">
        <f>AVERAGE('2.08 Karuma-Pakwach-24h'!F72,'3.08 Karuma-Pakwach-24h'!F72)</f>
        <v>0</v>
      </c>
      <c r="G72" s="49">
        <f>AVERAGE('2.08 Karuma-Pakwach-24h'!G72,'3.08 Karuma-Pakwach-24h'!G72)</f>
        <v>0</v>
      </c>
      <c r="H72" s="49">
        <f>AVERAGE('2.08 Karuma-Pakwach-24h'!H72,'3.08 Karuma-Pakwach-24h'!H72)</f>
        <v>0</v>
      </c>
      <c r="I72" s="49">
        <f>AVERAGE('2.08 Karuma-Pakwach-24h'!I72,'3.08 Karuma-Pakwach-24h'!I72)</f>
        <v>0</v>
      </c>
      <c r="J72" s="49">
        <f>AVERAGE('2.08 Karuma-Pakwach-24h'!J72,'3.08 Karuma-Pakwach-24h'!J72)</f>
        <v>1</v>
      </c>
      <c r="K72" s="49">
        <f>AVERAGE('2.08 Karuma-Pakwach-24h'!K72,'3.08 Karuma-Pakwach-24h'!K72)</f>
        <v>0</v>
      </c>
      <c r="L72" s="49">
        <f>AVERAGE('2.08 Karuma-Pakwach-24h'!L72,'3.08 Karuma-Pakwach-24h'!L72)</f>
        <v>1</v>
      </c>
      <c r="M72" s="49">
        <f>AVERAGE('2.08 Karuma-Pakwach-24h'!M72,'3.08 Karuma-Pakwach-24h'!M72)</f>
        <v>1</v>
      </c>
      <c r="N72" s="49">
        <f>AVERAGE('2.08 Karuma-Pakwach-24h'!N72,'3.08 Karuma-Pakwach-24h'!N72)</f>
        <v>0</v>
      </c>
      <c r="O72" s="15">
        <f t="shared" si="0"/>
        <v>3</v>
      </c>
      <c r="P72" s="15">
        <f t="shared" si="1"/>
        <v>4</v>
      </c>
      <c r="R72" s="8"/>
      <c r="T72"/>
    </row>
    <row r="73" spans="2:20" ht="23.1" customHeight="1" x14ac:dyDescent="0.25">
      <c r="B73" s="23" t="s">
        <v>113</v>
      </c>
      <c r="C73" s="49">
        <f>AVERAGE('2.08 Karuma-Pakwach-24h'!C73,'3.08 Karuma-Pakwach-24h'!C73)</f>
        <v>0</v>
      </c>
      <c r="D73" s="49">
        <f>AVERAGE('2.08 Karuma-Pakwach-24h'!D73,'3.08 Karuma-Pakwach-24h'!D73)</f>
        <v>0</v>
      </c>
      <c r="E73" s="49">
        <f>AVERAGE('2.08 Karuma-Pakwach-24h'!E73,'3.08 Karuma-Pakwach-24h'!E73)</f>
        <v>1</v>
      </c>
      <c r="F73" s="49">
        <f>AVERAGE('2.08 Karuma-Pakwach-24h'!F73,'3.08 Karuma-Pakwach-24h'!F73)</f>
        <v>1</v>
      </c>
      <c r="G73" s="49">
        <f>AVERAGE('2.08 Karuma-Pakwach-24h'!G73,'3.08 Karuma-Pakwach-24h'!G73)</f>
        <v>0</v>
      </c>
      <c r="H73" s="49">
        <f>AVERAGE('2.08 Karuma-Pakwach-24h'!H73,'3.08 Karuma-Pakwach-24h'!H73)</f>
        <v>0</v>
      </c>
      <c r="I73" s="49">
        <f>AVERAGE('2.08 Karuma-Pakwach-24h'!I73,'3.08 Karuma-Pakwach-24h'!I73)</f>
        <v>0</v>
      </c>
      <c r="J73" s="49">
        <f>AVERAGE('2.08 Karuma-Pakwach-24h'!J73,'3.08 Karuma-Pakwach-24h'!J73)</f>
        <v>0</v>
      </c>
      <c r="K73" s="49">
        <f>AVERAGE('2.08 Karuma-Pakwach-24h'!K73,'3.08 Karuma-Pakwach-24h'!K73)</f>
        <v>0</v>
      </c>
      <c r="L73" s="49">
        <f>AVERAGE('2.08 Karuma-Pakwach-24h'!L73,'3.08 Karuma-Pakwach-24h'!L73)</f>
        <v>0</v>
      </c>
      <c r="M73" s="49">
        <f>AVERAGE('2.08 Karuma-Pakwach-24h'!M73,'3.08 Karuma-Pakwach-24h'!M73)</f>
        <v>0</v>
      </c>
      <c r="N73" s="49">
        <f>AVERAGE('2.08 Karuma-Pakwach-24h'!N73,'3.08 Karuma-Pakwach-24h'!N73)</f>
        <v>0</v>
      </c>
      <c r="O73" s="15">
        <f t="shared" si="0"/>
        <v>2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AVERAGE('2.08 Karuma-Pakwach-24h'!C74,'3.08 Karuma-Pakwach-24h'!C74)</f>
        <v>1</v>
      </c>
      <c r="D74" s="49">
        <f>AVERAGE('2.08 Karuma-Pakwach-24h'!D74,'3.08 Karuma-Pakwach-24h'!D74)</f>
        <v>0</v>
      </c>
      <c r="E74" s="49">
        <f>AVERAGE('2.08 Karuma-Pakwach-24h'!E74,'3.08 Karuma-Pakwach-24h'!E74)</f>
        <v>1</v>
      </c>
      <c r="F74" s="49">
        <f>AVERAGE('2.08 Karuma-Pakwach-24h'!F74,'3.08 Karuma-Pakwach-24h'!F74)</f>
        <v>1</v>
      </c>
      <c r="G74" s="49">
        <f>AVERAGE('2.08 Karuma-Pakwach-24h'!G74,'3.08 Karuma-Pakwach-24h'!G74)</f>
        <v>0</v>
      </c>
      <c r="H74" s="49">
        <f>AVERAGE('2.08 Karuma-Pakwach-24h'!H74,'3.08 Karuma-Pakwach-24h'!H74)</f>
        <v>0</v>
      </c>
      <c r="I74" s="49">
        <f>AVERAGE('2.08 Karuma-Pakwach-24h'!I74,'3.08 Karuma-Pakwach-24h'!I74)</f>
        <v>0</v>
      </c>
      <c r="J74" s="49">
        <f>AVERAGE('2.08 Karuma-Pakwach-24h'!J74,'3.08 Karuma-Pakwach-24h'!J74)</f>
        <v>0</v>
      </c>
      <c r="K74" s="49">
        <f>AVERAGE('2.08 Karuma-Pakwach-24h'!K74,'3.08 Karuma-Pakwach-24h'!K74)</f>
        <v>0</v>
      </c>
      <c r="L74" s="49">
        <f>AVERAGE('2.08 Karuma-Pakwach-24h'!L74,'3.08 Karuma-Pakwach-24h'!L74)</f>
        <v>0</v>
      </c>
      <c r="M74" s="49">
        <f>AVERAGE('2.08 Karuma-Pakwach-24h'!M74,'3.08 Karuma-Pakwach-24h'!M74)</f>
        <v>1</v>
      </c>
      <c r="N74" s="49">
        <f>AVERAGE('2.08 Karuma-Pakwach-24h'!N74,'3.08 Karuma-Pakwach-24h'!N74)</f>
        <v>0</v>
      </c>
      <c r="O74" s="15">
        <f t="shared" ref="O74:O105" si="35">SUM(C74:L74,N74)</f>
        <v>3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23" t="s">
        <v>115</v>
      </c>
      <c r="C75" s="49">
        <f>AVERAGE('2.08 Karuma-Pakwach-24h'!C75,'3.08 Karuma-Pakwach-24h'!C75)</f>
        <v>0</v>
      </c>
      <c r="D75" s="49">
        <f>AVERAGE('2.08 Karuma-Pakwach-24h'!D75,'3.08 Karuma-Pakwach-24h'!D75)</f>
        <v>0</v>
      </c>
      <c r="E75" s="49">
        <f>AVERAGE('2.08 Karuma-Pakwach-24h'!E75,'3.08 Karuma-Pakwach-24h'!E75)</f>
        <v>1</v>
      </c>
      <c r="F75" s="49">
        <f>AVERAGE('2.08 Karuma-Pakwach-24h'!F75,'3.08 Karuma-Pakwach-24h'!F75)</f>
        <v>1</v>
      </c>
      <c r="G75" s="49">
        <f>AVERAGE('2.08 Karuma-Pakwach-24h'!G75,'3.08 Karuma-Pakwach-24h'!G75)</f>
        <v>0</v>
      </c>
      <c r="H75" s="49">
        <f>AVERAGE('2.08 Karuma-Pakwach-24h'!H75,'3.08 Karuma-Pakwach-24h'!H75)</f>
        <v>0</v>
      </c>
      <c r="I75" s="49">
        <f>AVERAGE('2.08 Karuma-Pakwach-24h'!I75,'3.08 Karuma-Pakwach-24h'!I75)</f>
        <v>1</v>
      </c>
      <c r="J75" s="49">
        <f>AVERAGE('2.08 Karuma-Pakwach-24h'!J75,'3.08 Karuma-Pakwach-24h'!J75)</f>
        <v>0</v>
      </c>
      <c r="K75" s="49">
        <f>AVERAGE('2.08 Karuma-Pakwach-24h'!K75,'3.08 Karuma-Pakwach-24h'!K75)</f>
        <v>0</v>
      </c>
      <c r="L75" s="49">
        <f>AVERAGE('2.08 Karuma-Pakwach-24h'!L75,'3.08 Karuma-Pakwach-24h'!L75)</f>
        <v>1</v>
      </c>
      <c r="M75" s="49">
        <f>AVERAGE('2.08 Karuma-Pakwach-24h'!M75,'3.08 Karuma-Pakwach-24h'!M75)</f>
        <v>2</v>
      </c>
      <c r="N75" s="49">
        <f>AVERAGE('2.08 Karuma-Pakwach-24h'!N75,'3.08 Karuma-Pakwach-24h'!N75)</f>
        <v>0</v>
      </c>
      <c r="O75" s="15">
        <f t="shared" si="35"/>
        <v>4</v>
      </c>
      <c r="P75" s="15">
        <f t="shared" si="36"/>
        <v>6</v>
      </c>
      <c r="R75" s="8"/>
      <c r="T75"/>
    </row>
    <row r="76" spans="2:20" ht="23.1" customHeight="1" x14ac:dyDescent="0.25">
      <c r="B76" s="23" t="s">
        <v>116</v>
      </c>
      <c r="C76" s="49">
        <f>AVERAGE('2.08 Karuma-Pakwach-24h'!C76,'3.08 Karuma-Pakwach-24h'!C76)</f>
        <v>1</v>
      </c>
      <c r="D76" s="49">
        <f>AVERAGE('2.08 Karuma-Pakwach-24h'!D76,'3.08 Karuma-Pakwach-24h'!D76)</f>
        <v>0</v>
      </c>
      <c r="E76" s="49">
        <f>AVERAGE('2.08 Karuma-Pakwach-24h'!E76,'3.08 Karuma-Pakwach-24h'!E76)</f>
        <v>1</v>
      </c>
      <c r="F76" s="49">
        <f>AVERAGE('2.08 Karuma-Pakwach-24h'!F76,'3.08 Karuma-Pakwach-24h'!F76)</f>
        <v>0</v>
      </c>
      <c r="G76" s="49">
        <f>AVERAGE('2.08 Karuma-Pakwach-24h'!G76,'3.08 Karuma-Pakwach-24h'!G76)</f>
        <v>0</v>
      </c>
      <c r="H76" s="49">
        <f>AVERAGE('2.08 Karuma-Pakwach-24h'!H76,'3.08 Karuma-Pakwach-24h'!H76)</f>
        <v>0</v>
      </c>
      <c r="I76" s="49">
        <f>AVERAGE('2.08 Karuma-Pakwach-24h'!I76,'3.08 Karuma-Pakwach-24h'!I76)</f>
        <v>0</v>
      </c>
      <c r="J76" s="49">
        <f>AVERAGE('2.08 Karuma-Pakwach-24h'!J76,'3.08 Karuma-Pakwach-24h'!J76)</f>
        <v>0</v>
      </c>
      <c r="K76" s="49">
        <f>AVERAGE('2.08 Karuma-Pakwach-24h'!K76,'3.08 Karuma-Pakwach-24h'!K76)</f>
        <v>0</v>
      </c>
      <c r="L76" s="49">
        <f>AVERAGE('2.08 Karuma-Pakwach-24h'!L76,'3.08 Karuma-Pakwach-24h'!L76)</f>
        <v>1</v>
      </c>
      <c r="M76" s="49">
        <f>AVERAGE('2.08 Karuma-Pakwach-24h'!M76,'3.08 Karuma-Pakwach-24h'!M76)</f>
        <v>0</v>
      </c>
      <c r="N76" s="49">
        <f>AVERAGE('2.08 Karuma-Pakwach-24h'!N76,'3.08 Karuma-Pakwach-24h'!N76)</f>
        <v>0</v>
      </c>
      <c r="O76" s="15">
        <f t="shared" si="35"/>
        <v>3</v>
      </c>
      <c r="P76" s="15">
        <f t="shared" si="36"/>
        <v>3</v>
      </c>
      <c r="R76" s="8"/>
      <c r="T76"/>
    </row>
    <row r="77" spans="2:20" ht="23.1" customHeight="1" x14ac:dyDescent="0.25">
      <c r="B77" s="23" t="s">
        <v>117</v>
      </c>
      <c r="C77" s="49">
        <f>AVERAGE('2.08 Karuma-Pakwach-24h'!C77,'3.08 Karuma-Pakwach-24h'!C77)</f>
        <v>0</v>
      </c>
      <c r="D77" s="49">
        <f>AVERAGE('2.08 Karuma-Pakwach-24h'!D77,'3.08 Karuma-Pakwach-24h'!D77)</f>
        <v>1</v>
      </c>
      <c r="E77" s="49">
        <f>AVERAGE('2.08 Karuma-Pakwach-24h'!E77,'3.08 Karuma-Pakwach-24h'!E77)</f>
        <v>2</v>
      </c>
      <c r="F77" s="49">
        <f>AVERAGE('2.08 Karuma-Pakwach-24h'!F77,'3.08 Karuma-Pakwach-24h'!F77)</f>
        <v>1</v>
      </c>
      <c r="G77" s="49">
        <f>AVERAGE('2.08 Karuma-Pakwach-24h'!G77,'3.08 Karuma-Pakwach-24h'!G77)</f>
        <v>1</v>
      </c>
      <c r="H77" s="49">
        <f>AVERAGE('2.08 Karuma-Pakwach-24h'!H77,'3.08 Karuma-Pakwach-24h'!H77)</f>
        <v>0</v>
      </c>
      <c r="I77" s="49">
        <f>AVERAGE('2.08 Karuma-Pakwach-24h'!I77,'3.08 Karuma-Pakwach-24h'!I77)</f>
        <v>1</v>
      </c>
      <c r="J77" s="49">
        <f>AVERAGE('2.08 Karuma-Pakwach-24h'!J77,'3.08 Karuma-Pakwach-24h'!J77)</f>
        <v>0</v>
      </c>
      <c r="K77" s="49">
        <f>AVERAGE('2.08 Karuma-Pakwach-24h'!K77,'3.08 Karuma-Pakwach-24h'!K77)</f>
        <v>0</v>
      </c>
      <c r="L77" s="49">
        <f>AVERAGE('2.08 Karuma-Pakwach-24h'!L77,'3.08 Karuma-Pakwach-24h'!L77)</f>
        <v>0</v>
      </c>
      <c r="M77" s="49">
        <f>AVERAGE('2.08 Karuma-Pakwach-24h'!M77,'3.08 Karuma-Pakwach-24h'!M77)</f>
        <v>0</v>
      </c>
      <c r="N77" s="49">
        <f>AVERAGE('2.08 Karuma-Pakwach-24h'!N77,'3.08 Karuma-Pakwach-24h'!N77)</f>
        <v>0</v>
      </c>
      <c r="O77" s="15">
        <f t="shared" si="35"/>
        <v>6</v>
      </c>
      <c r="P77" s="15">
        <f t="shared" si="36"/>
        <v>6</v>
      </c>
      <c r="R77" s="8"/>
      <c r="T77"/>
    </row>
    <row r="78" spans="2:20" ht="23.1" customHeight="1" x14ac:dyDescent="0.25">
      <c r="B78" s="24" t="s">
        <v>118</v>
      </c>
      <c r="C78" s="49">
        <f>AVERAGE('2.08 Karuma-Pakwach-24h'!C78,'3.08 Karuma-Pakwach-24h'!C78)</f>
        <v>0</v>
      </c>
      <c r="D78" s="49">
        <f>AVERAGE('2.08 Karuma-Pakwach-24h'!D78,'3.08 Karuma-Pakwach-24h'!D78)</f>
        <v>0</v>
      </c>
      <c r="E78" s="49">
        <f>AVERAGE('2.08 Karuma-Pakwach-24h'!E78,'3.08 Karuma-Pakwach-24h'!E78)</f>
        <v>1</v>
      </c>
      <c r="F78" s="49">
        <f>AVERAGE('2.08 Karuma-Pakwach-24h'!F78,'3.08 Karuma-Pakwach-24h'!F78)</f>
        <v>1</v>
      </c>
      <c r="G78" s="49">
        <f>AVERAGE('2.08 Karuma-Pakwach-24h'!G78,'3.08 Karuma-Pakwach-24h'!G78)</f>
        <v>0</v>
      </c>
      <c r="H78" s="49">
        <f>AVERAGE('2.08 Karuma-Pakwach-24h'!H78,'3.08 Karuma-Pakwach-24h'!H78)</f>
        <v>0</v>
      </c>
      <c r="I78" s="49">
        <f>AVERAGE('2.08 Karuma-Pakwach-24h'!I78,'3.08 Karuma-Pakwach-24h'!I78)</f>
        <v>0</v>
      </c>
      <c r="J78" s="49">
        <f>AVERAGE('2.08 Karuma-Pakwach-24h'!J78,'3.08 Karuma-Pakwach-24h'!J78)</f>
        <v>0</v>
      </c>
      <c r="K78" s="49">
        <f>AVERAGE('2.08 Karuma-Pakwach-24h'!K78,'3.08 Karuma-Pakwach-24h'!K78)</f>
        <v>0</v>
      </c>
      <c r="L78" s="49">
        <f>AVERAGE('2.08 Karuma-Pakwach-24h'!L78,'3.08 Karuma-Pakwach-24h'!L78)</f>
        <v>0</v>
      </c>
      <c r="M78" s="49">
        <f>AVERAGE('2.08 Karuma-Pakwach-24h'!M78,'3.08 Karuma-Pakwach-24h'!M78)</f>
        <v>1</v>
      </c>
      <c r="N78" s="49">
        <f>AVERAGE('2.08 Karuma-Pakwach-24h'!N78,'3.08 Karuma-Pakwach-24h'!N78)</f>
        <v>0</v>
      </c>
      <c r="O78" s="15">
        <f t="shared" si="35"/>
        <v>2</v>
      </c>
      <c r="P78" s="15">
        <f t="shared" si="36"/>
        <v>3</v>
      </c>
      <c r="R78" s="8"/>
      <c r="T78"/>
    </row>
    <row r="79" spans="2:20" ht="23.1" customHeight="1" x14ac:dyDescent="0.25">
      <c r="B79" s="23" t="s">
        <v>119</v>
      </c>
      <c r="C79" s="49">
        <f>AVERAGE('2.08 Karuma-Pakwach-24h'!C79,'3.08 Karuma-Pakwach-24h'!C79)</f>
        <v>1</v>
      </c>
      <c r="D79" s="49">
        <f>AVERAGE('2.08 Karuma-Pakwach-24h'!D79,'3.08 Karuma-Pakwach-24h'!D79)</f>
        <v>0</v>
      </c>
      <c r="E79" s="49">
        <f>AVERAGE('2.08 Karuma-Pakwach-24h'!E79,'3.08 Karuma-Pakwach-24h'!E79)</f>
        <v>0</v>
      </c>
      <c r="F79" s="49">
        <f>AVERAGE('2.08 Karuma-Pakwach-24h'!F79,'3.08 Karuma-Pakwach-24h'!F79)</f>
        <v>0</v>
      </c>
      <c r="G79" s="49">
        <f>AVERAGE('2.08 Karuma-Pakwach-24h'!G79,'3.08 Karuma-Pakwach-24h'!G79)</f>
        <v>0</v>
      </c>
      <c r="H79" s="49">
        <f>AVERAGE('2.08 Karuma-Pakwach-24h'!H79,'3.08 Karuma-Pakwach-24h'!H79)</f>
        <v>0</v>
      </c>
      <c r="I79" s="49">
        <f>AVERAGE('2.08 Karuma-Pakwach-24h'!I79,'3.08 Karuma-Pakwach-24h'!I79)</f>
        <v>0</v>
      </c>
      <c r="J79" s="49">
        <f>AVERAGE('2.08 Karuma-Pakwach-24h'!J79,'3.08 Karuma-Pakwach-24h'!J79)</f>
        <v>0</v>
      </c>
      <c r="K79" s="49">
        <f>AVERAGE('2.08 Karuma-Pakwach-24h'!K79,'3.08 Karuma-Pakwach-24h'!K79)</f>
        <v>0</v>
      </c>
      <c r="L79" s="49">
        <f>AVERAGE('2.08 Karuma-Pakwach-24h'!L79,'3.08 Karuma-Pakwach-24h'!L79)</f>
        <v>0</v>
      </c>
      <c r="M79" s="49">
        <f>AVERAGE('2.08 Karuma-Pakwach-24h'!M79,'3.08 Karuma-Pakwach-24h'!M79)</f>
        <v>2</v>
      </c>
      <c r="N79" s="49">
        <f>AVERAGE('2.08 Karuma-Pakwach-24h'!N79,'3.08 Karuma-Pakwach-24h'!N79)</f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25" t="s">
        <v>120</v>
      </c>
      <c r="C80" s="49">
        <f>AVERAGE('2.08 Karuma-Pakwach-24h'!C80,'3.08 Karuma-Pakwach-24h'!C80)</f>
        <v>0</v>
      </c>
      <c r="D80" s="49">
        <f>AVERAGE('2.08 Karuma-Pakwach-24h'!D80,'3.08 Karuma-Pakwach-24h'!D80)</f>
        <v>0</v>
      </c>
      <c r="E80" s="49">
        <f>AVERAGE('2.08 Karuma-Pakwach-24h'!E80,'3.08 Karuma-Pakwach-24h'!E80)</f>
        <v>0</v>
      </c>
      <c r="F80" s="49">
        <f>AVERAGE('2.08 Karuma-Pakwach-24h'!F80,'3.08 Karuma-Pakwach-24h'!F80)</f>
        <v>1</v>
      </c>
      <c r="G80" s="49">
        <f>AVERAGE('2.08 Karuma-Pakwach-24h'!G80,'3.08 Karuma-Pakwach-24h'!G80)</f>
        <v>0</v>
      </c>
      <c r="H80" s="49">
        <f>AVERAGE('2.08 Karuma-Pakwach-24h'!H80,'3.08 Karuma-Pakwach-24h'!H80)</f>
        <v>0</v>
      </c>
      <c r="I80" s="49">
        <f>AVERAGE('2.08 Karuma-Pakwach-24h'!I80,'3.08 Karuma-Pakwach-24h'!I80)</f>
        <v>0</v>
      </c>
      <c r="J80" s="49">
        <f>AVERAGE('2.08 Karuma-Pakwach-24h'!J80,'3.08 Karuma-Pakwach-24h'!J80)</f>
        <v>0</v>
      </c>
      <c r="K80" s="49">
        <f>AVERAGE('2.08 Karuma-Pakwach-24h'!K80,'3.08 Karuma-Pakwach-24h'!K80)</f>
        <v>0</v>
      </c>
      <c r="L80" s="49">
        <f>AVERAGE('2.08 Karuma-Pakwach-24h'!L80,'3.08 Karuma-Pakwach-24h'!L80)</f>
        <v>1</v>
      </c>
      <c r="M80" s="49">
        <f>AVERAGE('2.08 Karuma-Pakwach-24h'!M80,'3.08 Karuma-Pakwach-24h'!M80)</f>
        <v>0</v>
      </c>
      <c r="N80" s="49">
        <f>AVERAGE('2.08 Karuma-Pakwach-24h'!N80,'3.08 Karuma-Pakwach-24h'!N80)</f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23" t="s">
        <v>121</v>
      </c>
      <c r="C81" s="49">
        <f>AVERAGE('2.08 Karuma-Pakwach-24h'!C81,'3.08 Karuma-Pakwach-24h'!C81)</f>
        <v>0.5</v>
      </c>
      <c r="D81" s="49">
        <f>AVERAGE('2.08 Karuma-Pakwach-24h'!D81,'3.08 Karuma-Pakwach-24h'!D81)</f>
        <v>0</v>
      </c>
      <c r="E81" s="49">
        <f>AVERAGE('2.08 Karuma-Pakwach-24h'!E81,'3.08 Karuma-Pakwach-24h'!E81)</f>
        <v>0</v>
      </c>
      <c r="F81" s="49">
        <f>AVERAGE('2.08 Karuma-Pakwach-24h'!F81,'3.08 Karuma-Pakwach-24h'!F81)</f>
        <v>0</v>
      </c>
      <c r="G81" s="49">
        <f>AVERAGE('2.08 Karuma-Pakwach-24h'!G81,'3.08 Karuma-Pakwach-24h'!G81)</f>
        <v>0</v>
      </c>
      <c r="H81" s="49">
        <f>AVERAGE('2.08 Karuma-Pakwach-24h'!H81,'3.08 Karuma-Pakwach-24h'!H81)</f>
        <v>0</v>
      </c>
      <c r="I81" s="49">
        <f>AVERAGE('2.08 Karuma-Pakwach-24h'!I81,'3.08 Karuma-Pakwach-24h'!I81)</f>
        <v>0</v>
      </c>
      <c r="J81" s="49">
        <f>AVERAGE('2.08 Karuma-Pakwach-24h'!J81,'3.08 Karuma-Pakwach-24h'!J81)</f>
        <v>0</v>
      </c>
      <c r="K81" s="49">
        <f>AVERAGE('2.08 Karuma-Pakwach-24h'!K81,'3.08 Karuma-Pakwach-24h'!K81)</f>
        <v>0</v>
      </c>
      <c r="L81" s="49">
        <f>AVERAGE('2.08 Karuma-Pakwach-24h'!L81,'3.08 Karuma-Pakwach-24h'!L81)</f>
        <v>0</v>
      </c>
      <c r="M81" s="49">
        <f>AVERAGE('2.08 Karuma-Pakwach-24h'!M81,'3.08 Karuma-Pakwach-24h'!M81)</f>
        <v>2</v>
      </c>
      <c r="N81" s="49">
        <f>AVERAGE('2.08 Karuma-Pakwach-24h'!N81,'3.08 Karuma-Pakwach-24h'!N81)</f>
        <v>0</v>
      </c>
      <c r="O81" s="15">
        <f t="shared" si="35"/>
        <v>0.5</v>
      </c>
      <c r="P81" s="15">
        <f t="shared" si="36"/>
        <v>2.5</v>
      </c>
      <c r="R81" s="8"/>
      <c r="T81"/>
    </row>
    <row r="82" spans="2:20" ht="23.1" customHeight="1" x14ac:dyDescent="0.25">
      <c r="B82" s="24" t="s">
        <v>122</v>
      </c>
      <c r="C82" s="49">
        <f>AVERAGE('2.08 Karuma-Pakwach-24h'!C82,'3.08 Karuma-Pakwach-24h'!C82)</f>
        <v>0</v>
      </c>
      <c r="D82" s="49">
        <f>AVERAGE('2.08 Karuma-Pakwach-24h'!D82,'3.08 Karuma-Pakwach-24h'!D82)</f>
        <v>0</v>
      </c>
      <c r="E82" s="49">
        <f>AVERAGE('2.08 Karuma-Pakwach-24h'!E82,'3.08 Karuma-Pakwach-24h'!E82)</f>
        <v>1</v>
      </c>
      <c r="F82" s="49">
        <f>AVERAGE('2.08 Karuma-Pakwach-24h'!F82,'3.08 Karuma-Pakwach-24h'!F82)</f>
        <v>0</v>
      </c>
      <c r="G82" s="49">
        <f>AVERAGE('2.08 Karuma-Pakwach-24h'!G82,'3.08 Karuma-Pakwach-24h'!G82)</f>
        <v>0</v>
      </c>
      <c r="H82" s="49">
        <f>AVERAGE('2.08 Karuma-Pakwach-24h'!H82,'3.08 Karuma-Pakwach-24h'!H82)</f>
        <v>0</v>
      </c>
      <c r="I82" s="49">
        <f>AVERAGE('2.08 Karuma-Pakwach-24h'!I82,'3.08 Karuma-Pakwach-24h'!I82)</f>
        <v>0</v>
      </c>
      <c r="J82" s="49">
        <f>AVERAGE('2.08 Karuma-Pakwach-24h'!J82,'3.08 Karuma-Pakwach-24h'!J82)</f>
        <v>0</v>
      </c>
      <c r="K82" s="49">
        <f>AVERAGE('2.08 Karuma-Pakwach-24h'!K82,'3.08 Karuma-Pakwach-24h'!K82)</f>
        <v>0</v>
      </c>
      <c r="L82" s="49">
        <f>AVERAGE('2.08 Karuma-Pakwach-24h'!L82,'3.08 Karuma-Pakwach-24h'!L82)</f>
        <v>1</v>
      </c>
      <c r="M82" s="49">
        <f>AVERAGE('2.08 Karuma-Pakwach-24h'!M82,'3.08 Karuma-Pakwach-24h'!M82)</f>
        <v>1</v>
      </c>
      <c r="N82" s="49">
        <f>AVERAGE('2.08 Karuma-Pakwach-24h'!N82,'3.08 Karuma-Pakwach-24h'!N82)</f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AVERAGE('2.08 Karuma-Pakwach-24h'!C83,'3.08 Karuma-Pakwach-24h'!C83)</f>
        <v>1</v>
      </c>
      <c r="D83" s="49">
        <f>AVERAGE('2.08 Karuma-Pakwach-24h'!D83,'3.08 Karuma-Pakwach-24h'!D83)</f>
        <v>0</v>
      </c>
      <c r="E83" s="49">
        <f>AVERAGE('2.08 Karuma-Pakwach-24h'!E83,'3.08 Karuma-Pakwach-24h'!E83)</f>
        <v>1</v>
      </c>
      <c r="F83" s="49">
        <f>AVERAGE('2.08 Karuma-Pakwach-24h'!F83,'3.08 Karuma-Pakwach-24h'!F83)</f>
        <v>1</v>
      </c>
      <c r="G83" s="49">
        <f>AVERAGE('2.08 Karuma-Pakwach-24h'!G83,'3.08 Karuma-Pakwach-24h'!G83)</f>
        <v>0</v>
      </c>
      <c r="H83" s="49">
        <f>AVERAGE('2.08 Karuma-Pakwach-24h'!H83,'3.08 Karuma-Pakwach-24h'!H83)</f>
        <v>0</v>
      </c>
      <c r="I83" s="49">
        <f>AVERAGE('2.08 Karuma-Pakwach-24h'!I83,'3.08 Karuma-Pakwach-24h'!I83)</f>
        <v>0</v>
      </c>
      <c r="J83" s="49">
        <f>AVERAGE('2.08 Karuma-Pakwach-24h'!J83,'3.08 Karuma-Pakwach-24h'!J83)</f>
        <v>0</v>
      </c>
      <c r="K83" s="49">
        <f>AVERAGE('2.08 Karuma-Pakwach-24h'!K83,'3.08 Karuma-Pakwach-24h'!K83)</f>
        <v>0</v>
      </c>
      <c r="L83" s="49">
        <f>AVERAGE('2.08 Karuma-Pakwach-24h'!L83,'3.08 Karuma-Pakwach-24h'!L83)</f>
        <v>1</v>
      </c>
      <c r="M83" s="49">
        <f>AVERAGE('2.08 Karuma-Pakwach-24h'!M83,'3.08 Karuma-Pakwach-24h'!M83)</f>
        <v>2</v>
      </c>
      <c r="N83" s="49">
        <f>AVERAGE('2.08 Karuma-Pakwach-24h'!N83,'3.08 Karuma-Pakwach-24h'!N83)</f>
        <v>0</v>
      </c>
      <c r="O83" s="15">
        <f t="shared" si="35"/>
        <v>4</v>
      </c>
      <c r="P83" s="15">
        <f t="shared" si="36"/>
        <v>6</v>
      </c>
      <c r="R83" s="8"/>
      <c r="T83"/>
    </row>
    <row r="84" spans="2:20" ht="23.1" customHeight="1" x14ac:dyDescent="0.25">
      <c r="B84" s="25" t="s">
        <v>124</v>
      </c>
      <c r="C84" s="49">
        <f>AVERAGE('2.08 Karuma-Pakwach-24h'!C84,'3.08 Karuma-Pakwach-24h'!C84)</f>
        <v>0</v>
      </c>
      <c r="D84" s="49">
        <f>AVERAGE('2.08 Karuma-Pakwach-24h'!D84,'3.08 Karuma-Pakwach-24h'!D84)</f>
        <v>0</v>
      </c>
      <c r="E84" s="49">
        <f>AVERAGE('2.08 Karuma-Pakwach-24h'!E84,'3.08 Karuma-Pakwach-24h'!E84)</f>
        <v>0</v>
      </c>
      <c r="F84" s="49">
        <f>AVERAGE('2.08 Karuma-Pakwach-24h'!F84,'3.08 Karuma-Pakwach-24h'!F84)</f>
        <v>0</v>
      </c>
      <c r="G84" s="49">
        <f>AVERAGE('2.08 Karuma-Pakwach-24h'!G84,'3.08 Karuma-Pakwach-24h'!G84)</f>
        <v>0</v>
      </c>
      <c r="H84" s="49">
        <f>AVERAGE('2.08 Karuma-Pakwach-24h'!H84,'3.08 Karuma-Pakwach-24h'!H84)</f>
        <v>0</v>
      </c>
      <c r="I84" s="49">
        <f>AVERAGE('2.08 Karuma-Pakwach-24h'!I84,'3.08 Karuma-Pakwach-24h'!I84)</f>
        <v>0</v>
      </c>
      <c r="J84" s="49">
        <f>AVERAGE('2.08 Karuma-Pakwach-24h'!J84,'3.08 Karuma-Pakwach-24h'!J84)</f>
        <v>0</v>
      </c>
      <c r="K84" s="49">
        <f>AVERAGE('2.08 Karuma-Pakwach-24h'!K84,'3.08 Karuma-Pakwach-24h'!K84)</f>
        <v>0</v>
      </c>
      <c r="L84" s="49">
        <f>AVERAGE('2.08 Karuma-Pakwach-24h'!L84,'3.08 Karuma-Pakwach-24h'!L84)</f>
        <v>0</v>
      </c>
      <c r="M84" s="49">
        <f>AVERAGE('2.08 Karuma-Pakwach-24h'!M84,'3.08 Karuma-Pakwach-24h'!M84)</f>
        <v>0</v>
      </c>
      <c r="N84" s="49">
        <f>AVERAGE('2.08 Karuma-Pakwach-24h'!N84,'3.08 Karuma-Pakwach-24h'!N84)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AVERAGE('2.08 Karuma-Pakwach-24h'!C85,'3.08 Karuma-Pakwach-24h'!C85)</f>
        <v>0</v>
      </c>
      <c r="D85" s="49">
        <f>AVERAGE('2.08 Karuma-Pakwach-24h'!D85,'3.08 Karuma-Pakwach-24h'!D85)</f>
        <v>0</v>
      </c>
      <c r="E85" s="49">
        <f>AVERAGE('2.08 Karuma-Pakwach-24h'!E85,'3.08 Karuma-Pakwach-24h'!E85)</f>
        <v>1</v>
      </c>
      <c r="F85" s="49">
        <f>AVERAGE('2.08 Karuma-Pakwach-24h'!F85,'3.08 Karuma-Pakwach-24h'!F85)</f>
        <v>0</v>
      </c>
      <c r="G85" s="49">
        <f>AVERAGE('2.08 Karuma-Pakwach-24h'!G85,'3.08 Karuma-Pakwach-24h'!G85)</f>
        <v>0</v>
      </c>
      <c r="H85" s="49">
        <f>AVERAGE('2.08 Karuma-Pakwach-24h'!H85,'3.08 Karuma-Pakwach-24h'!H85)</f>
        <v>0</v>
      </c>
      <c r="I85" s="49">
        <f>AVERAGE('2.08 Karuma-Pakwach-24h'!I85,'3.08 Karuma-Pakwach-24h'!I85)</f>
        <v>0</v>
      </c>
      <c r="J85" s="49">
        <f>AVERAGE('2.08 Karuma-Pakwach-24h'!J85,'3.08 Karuma-Pakwach-24h'!J85)</f>
        <v>0</v>
      </c>
      <c r="K85" s="49">
        <f>AVERAGE('2.08 Karuma-Pakwach-24h'!K85,'3.08 Karuma-Pakwach-24h'!K85)</f>
        <v>0</v>
      </c>
      <c r="L85" s="49">
        <f>AVERAGE('2.08 Karuma-Pakwach-24h'!L85,'3.08 Karuma-Pakwach-24h'!L85)</f>
        <v>0</v>
      </c>
      <c r="M85" s="49">
        <f>AVERAGE('2.08 Karuma-Pakwach-24h'!M85,'3.08 Karuma-Pakwach-24h'!M85)</f>
        <v>1</v>
      </c>
      <c r="N85" s="49">
        <f>AVERAGE('2.08 Karuma-Pakwach-24h'!N85,'3.08 Karuma-Pakwach-24h'!N85)</f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AVERAGE('2.08 Karuma-Pakwach-24h'!C86,'3.08 Karuma-Pakwach-24h'!C86)</f>
        <v>1</v>
      </c>
      <c r="D86" s="49">
        <f>AVERAGE('2.08 Karuma-Pakwach-24h'!D86,'3.08 Karuma-Pakwach-24h'!D86)</f>
        <v>1</v>
      </c>
      <c r="E86" s="49">
        <f>AVERAGE('2.08 Karuma-Pakwach-24h'!E86,'3.08 Karuma-Pakwach-24h'!E86)</f>
        <v>2</v>
      </c>
      <c r="F86" s="49">
        <f>AVERAGE('2.08 Karuma-Pakwach-24h'!F86,'3.08 Karuma-Pakwach-24h'!F86)</f>
        <v>1</v>
      </c>
      <c r="G86" s="49">
        <f>AVERAGE('2.08 Karuma-Pakwach-24h'!G86,'3.08 Karuma-Pakwach-24h'!G86)</f>
        <v>0</v>
      </c>
      <c r="H86" s="49">
        <f>AVERAGE('2.08 Karuma-Pakwach-24h'!H86,'3.08 Karuma-Pakwach-24h'!H86)</f>
        <v>0</v>
      </c>
      <c r="I86" s="49">
        <f>AVERAGE('2.08 Karuma-Pakwach-24h'!I86,'3.08 Karuma-Pakwach-24h'!I86)</f>
        <v>0</v>
      </c>
      <c r="J86" s="49">
        <f>AVERAGE('2.08 Karuma-Pakwach-24h'!J86,'3.08 Karuma-Pakwach-24h'!J86)</f>
        <v>0</v>
      </c>
      <c r="K86" s="49">
        <f>AVERAGE('2.08 Karuma-Pakwach-24h'!K86,'3.08 Karuma-Pakwach-24h'!K86)</f>
        <v>0</v>
      </c>
      <c r="L86" s="49">
        <f>AVERAGE('2.08 Karuma-Pakwach-24h'!L86,'3.08 Karuma-Pakwach-24h'!L86)</f>
        <v>1</v>
      </c>
      <c r="M86" s="49">
        <f>AVERAGE('2.08 Karuma-Pakwach-24h'!M86,'3.08 Karuma-Pakwach-24h'!M86)</f>
        <v>0</v>
      </c>
      <c r="N86" s="49">
        <f>AVERAGE('2.08 Karuma-Pakwach-24h'!N86,'3.08 Karuma-Pakwach-24h'!N86)</f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23" t="s">
        <v>127</v>
      </c>
      <c r="C87" s="49">
        <f>AVERAGE('2.08 Karuma-Pakwach-24h'!C87,'3.08 Karuma-Pakwach-24h'!C87)</f>
        <v>0</v>
      </c>
      <c r="D87" s="49">
        <f>AVERAGE('2.08 Karuma-Pakwach-24h'!D87,'3.08 Karuma-Pakwach-24h'!D87)</f>
        <v>0</v>
      </c>
      <c r="E87" s="49">
        <f>AVERAGE('2.08 Karuma-Pakwach-24h'!E87,'3.08 Karuma-Pakwach-24h'!E87)</f>
        <v>0</v>
      </c>
      <c r="F87" s="49">
        <f>AVERAGE('2.08 Karuma-Pakwach-24h'!F87,'3.08 Karuma-Pakwach-24h'!F87)</f>
        <v>1</v>
      </c>
      <c r="G87" s="49">
        <f>AVERAGE('2.08 Karuma-Pakwach-24h'!G87,'3.08 Karuma-Pakwach-24h'!G87)</f>
        <v>0</v>
      </c>
      <c r="H87" s="49">
        <f>AVERAGE('2.08 Karuma-Pakwach-24h'!H87,'3.08 Karuma-Pakwach-24h'!H87)</f>
        <v>0</v>
      </c>
      <c r="I87" s="49">
        <f>AVERAGE('2.08 Karuma-Pakwach-24h'!I87,'3.08 Karuma-Pakwach-24h'!I87)</f>
        <v>0</v>
      </c>
      <c r="J87" s="49">
        <f>AVERAGE('2.08 Karuma-Pakwach-24h'!J87,'3.08 Karuma-Pakwach-24h'!J87)</f>
        <v>0</v>
      </c>
      <c r="K87" s="49">
        <f>AVERAGE('2.08 Karuma-Pakwach-24h'!K87,'3.08 Karuma-Pakwach-24h'!K87)</f>
        <v>0</v>
      </c>
      <c r="L87" s="49">
        <f>AVERAGE('2.08 Karuma-Pakwach-24h'!L87,'3.08 Karuma-Pakwach-24h'!L87)</f>
        <v>0</v>
      </c>
      <c r="M87" s="49">
        <f>AVERAGE('2.08 Karuma-Pakwach-24h'!M87,'3.08 Karuma-Pakwach-24h'!M87)</f>
        <v>0</v>
      </c>
      <c r="N87" s="49">
        <f>AVERAGE('2.08 Karuma-Pakwach-24h'!N87,'3.08 Karuma-Pakwach-24h'!N87)</f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AVERAGE('2.08 Karuma-Pakwach-24h'!C88,'3.08 Karuma-Pakwach-24h'!C88)</f>
        <v>0</v>
      </c>
      <c r="D88" s="49">
        <f>AVERAGE('2.08 Karuma-Pakwach-24h'!D88,'3.08 Karuma-Pakwach-24h'!D88)</f>
        <v>0</v>
      </c>
      <c r="E88" s="49">
        <f>AVERAGE('2.08 Karuma-Pakwach-24h'!E88,'3.08 Karuma-Pakwach-24h'!E88)</f>
        <v>1</v>
      </c>
      <c r="F88" s="49">
        <f>AVERAGE('2.08 Karuma-Pakwach-24h'!F88,'3.08 Karuma-Pakwach-24h'!F88)</f>
        <v>0</v>
      </c>
      <c r="G88" s="49">
        <f>AVERAGE('2.08 Karuma-Pakwach-24h'!G88,'3.08 Karuma-Pakwach-24h'!G88)</f>
        <v>0</v>
      </c>
      <c r="H88" s="49">
        <f>AVERAGE('2.08 Karuma-Pakwach-24h'!H88,'3.08 Karuma-Pakwach-24h'!H88)</f>
        <v>1</v>
      </c>
      <c r="I88" s="49">
        <f>AVERAGE('2.08 Karuma-Pakwach-24h'!I88,'3.08 Karuma-Pakwach-24h'!I88)</f>
        <v>0</v>
      </c>
      <c r="J88" s="49">
        <f>AVERAGE('2.08 Karuma-Pakwach-24h'!J88,'3.08 Karuma-Pakwach-24h'!J88)</f>
        <v>0</v>
      </c>
      <c r="K88" s="49">
        <f>AVERAGE('2.08 Karuma-Pakwach-24h'!K88,'3.08 Karuma-Pakwach-24h'!K88)</f>
        <v>0</v>
      </c>
      <c r="L88" s="49">
        <f>AVERAGE('2.08 Karuma-Pakwach-24h'!L88,'3.08 Karuma-Pakwach-24h'!L88)</f>
        <v>0</v>
      </c>
      <c r="M88" s="49">
        <f>AVERAGE('2.08 Karuma-Pakwach-24h'!M88,'3.08 Karuma-Pakwach-24h'!M88)</f>
        <v>0</v>
      </c>
      <c r="N88" s="49">
        <f>AVERAGE('2.08 Karuma-Pakwach-24h'!N88,'3.08 Karuma-Pakwach-24h'!N88)</f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AVERAGE('2.08 Karuma-Pakwach-24h'!C89,'3.08 Karuma-Pakwach-24h'!C89)</f>
        <v>0</v>
      </c>
      <c r="D89" s="49">
        <f>AVERAGE('2.08 Karuma-Pakwach-24h'!D89,'3.08 Karuma-Pakwach-24h'!D89)</f>
        <v>1</v>
      </c>
      <c r="E89" s="49">
        <f>AVERAGE('2.08 Karuma-Pakwach-24h'!E89,'3.08 Karuma-Pakwach-24h'!E89)</f>
        <v>2</v>
      </c>
      <c r="F89" s="49">
        <f>AVERAGE('2.08 Karuma-Pakwach-24h'!F89,'3.08 Karuma-Pakwach-24h'!F89)</f>
        <v>1</v>
      </c>
      <c r="G89" s="49">
        <f>AVERAGE('2.08 Karuma-Pakwach-24h'!G89,'3.08 Karuma-Pakwach-24h'!G89)</f>
        <v>1</v>
      </c>
      <c r="H89" s="49">
        <f>AVERAGE('2.08 Karuma-Pakwach-24h'!H89,'3.08 Karuma-Pakwach-24h'!H89)</f>
        <v>1</v>
      </c>
      <c r="I89" s="49">
        <f>AVERAGE('2.08 Karuma-Pakwach-24h'!I89,'3.08 Karuma-Pakwach-24h'!I89)</f>
        <v>0</v>
      </c>
      <c r="J89" s="49">
        <f>AVERAGE('2.08 Karuma-Pakwach-24h'!J89,'3.08 Karuma-Pakwach-24h'!J89)</f>
        <v>0</v>
      </c>
      <c r="K89" s="49">
        <f>AVERAGE('2.08 Karuma-Pakwach-24h'!K89,'3.08 Karuma-Pakwach-24h'!K89)</f>
        <v>0</v>
      </c>
      <c r="L89" s="49">
        <f>AVERAGE('2.08 Karuma-Pakwach-24h'!L89,'3.08 Karuma-Pakwach-24h'!L89)</f>
        <v>1</v>
      </c>
      <c r="M89" s="49">
        <f>AVERAGE('2.08 Karuma-Pakwach-24h'!M89,'3.08 Karuma-Pakwach-24h'!M89)</f>
        <v>0</v>
      </c>
      <c r="N89" s="49">
        <f>AVERAGE('2.08 Karuma-Pakwach-24h'!N89,'3.08 Karuma-Pakwach-24h'!N89)</f>
        <v>0</v>
      </c>
      <c r="O89" s="15">
        <f t="shared" si="35"/>
        <v>7</v>
      </c>
      <c r="P89" s="15">
        <f t="shared" si="36"/>
        <v>7</v>
      </c>
      <c r="R89" s="8"/>
      <c r="T89"/>
    </row>
    <row r="90" spans="2:20" ht="23.1" customHeight="1" x14ac:dyDescent="0.25">
      <c r="B90" s="24" t="s">
        <v>130</v>
      </c>
      <c r="C90" s="49">
        <f>AVERAGE('2.08 Karuma-Pakwach-24h'!C90,'3.08 Karuma-Pakwach-24h'!C90)</f>
        <v>0</v>
      </c>
      <c r="D90" s="49">
        <f>AVERAGE('2.08 Karuma-Pakwach-24h'!D90,'3.08 Karuma-Pakwach-24h'!D90)</f>
        <v>0</v>
      </c>
      <c r="E90" s="49">
        <f>AVERAGE('2.08 Karuma-Pakwach-24h'!E90,'3.08 Karuma-Pakwach-24h'!E90)</f>
        <v>1</v>
      </c>
      <c r="F90" s="49">
        <f>AVERAGE('2.08 Karuma-Pakwach-24h'!F90,'3.08 Karuma-Pakwach-24h'!F90)</f>
        <v>0</v>
      </c>
      <c r="G90" s="49">
        <f>AVERAGE('2.08 Karuma-Pakwach-24h'!G90,'3.08 Karuma-Pakwach-24h'!G90)</f>
        <v>0</v>
      </c>
      <c r="H90" s="49">
        <f>AVERAGE('2.08 Karuma-Pakwach-24h'!H90,'3.08 Karuma-Pakwach-24h'!H90)</f>
        <v>0</v>
      </c>
      <c r="I90" s="49">
        <f>AVERAGE('2.08 Karuma-Pakwach-24h'!I90,'3.08 Karuma-Pakwach-24h'!I90)</f>
        <v>0</v>
      </c>
      <c r="J90" s="49">
        <f>AVERAGE('2.08 Karuma-Pakwach-24h'!J90,'3.08 Karuma-Pakwach-24h'!J90)</f>
        <v>0</v>
      </c>
      <c r="K90" s="49">
        <f>AVERAGE('2.08 Karuma-Pakwach-24h'!K90,'3.08 Karuma-Pakwach-24h'!K90)</f>
        <v>0</v>
      </c>
      <c r="L90" s="49">
        <f>AVERAGE('2.08 Karuma-Pakwach-24h'!L90,'3.08 Karuma-Pakwach-24h'!L90)</f>
        <v>0</v>
      </c>
      <c r="M90" s="49">
        <f>AVERAGE('2.08 Karuma-Pakwach-24h'!M90,'3.08 Karuma-Pakwach-24h'!M90)</f>
        <v>0</v>
      </c>
      <c r="N90" s="49">
        <f>AVERAGE('2.08 Karuma-Pakwach-24h'!N90,'3.08 Karuma-Pakwach-24h'!N90)</f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23" t="s">
        <v>131</v>
      </c>
      <c r="C91" s="49">
        <f>AVERAGE('2.08 Karuma-Pakwach-24h'!C91,'3.08 Karuma-Pakwach-24h'!C91)</f>
        <v>1</v>
      </c>
      <c r="D91" s="49">
        <f>AVERAGE('2.08 Karuma-Pakwach-24h'!D91,'3.08 Karuma-Pakwach-24h'!D91)</f>
        <v>0</v>
      </c>
      <c r="E91" s="49">
        <f>AVERAGE('2.08 Karuma-Pakwach-24h'!E91,'3.08 Karuma-Pakwach-24h'!E91)</f>
        <v>0</v>
      </c>
      <c r="F91" s="49">
        <f>AVERAGE('2.08 Karuma-Pakwach-24h'!F91,'3.08 Karuma-Pakwach-24h'!F91)</f>
        <v>0</v>
      </c>
      <c r="G91" s="49">
        <f>AVERAGE('2.08 Karuma-Pakwach-24h'!G91,'3.08 Karuma-Pakwach-24h'!G91)</f>
        <v>0</v>
      </c>
      <c r="H91" s="49">
        <f>AVERAGE('2.08 Karuma-Pakwach-24h'!H91,'3.08 Karuma-Pakwach-24h'!H91)</f>
        <v>0</v>
      </c>
      <c r="I91" s="49">
        <f>AVERAGE('2.08 Karuma-Pakwach-24h'!I91,'3.08 Karuma-Pakwach-24h'!I91)</f>
        <v>0</v>
      </c>
      <c r="J91" s="49">
        <f>AVERAGE('2.08 Karuma-Pakwach-24h'!J91,'3.08 Karuma-Pakwach-24h'!J91)</f>
        <v>0</v>
      </c>
      <c r="K91" s="49">
        <f>AVERAGE('2.08 Karuma-Pakwach-24h'!K91,'3.08 Karuma-Pakwach-24h'!K91)</f>
        <v>0</v>
      </c>
      <c r="L91" s="49">
        <f>AVERAGE('2.08 Karuma-Pakwach-24h'!L91,'3.08 Karuma-Pakwach-24h'!L91)</f>
        <v>0</v>
      </c>
      <c r="M91" s="49">
        <f>AVERAGE('2.08 Karuma-Pakwach-24h'!M91,'3.08 Karuma-Pakwach-24h'!M91)</f>
        <v>0</v>
      </c>
      <c r="N91" s="49">
        <f>AVERAGE('2.08 Karuma-Pakwach-24h'!N91,'3.08 Karuma-Pakwach-24h'!N91)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AVERAGE('2.08 Karuma-Pakwach-24h'!C92,'3.08 Karuma-Pakwach-24h'!C92)</f>
        <v>0</v>
      </c>
      <c r="D92" s="49">
        <f>AVERAGE('2.08 Karuma-Pakwach-24h'!D92,'3.08 Karuma-Pakwach-24h'!D92)</f>
        <v>0</v>
      </c>
      <c r="E92" s="49">
        <f>AVERAGE('2.08 Karuma-Pakwach-24h'!E92,'3.08 Karuma-Pakwach-24h'!E92)</f>
        <v>0</v>
      </c>
      <c r="F92" s="49">
        <f>AVERAGE('2.08 Karuma-Pakwach-24h'!F92,'3.08 Karuma-Pakwach-24h'!F92)</f>
        <v>0</v>
      </c>
      <c r="G92" s="49">
        <f>AVERAGE('2.08 Karuma-Pakwach-24h'!G92,'3.08 Karuma-Pakwach-24h'!G92)</f>
        <v>0</v>
      </c>
      <c r="H92" s="49">
        <f>AVERAGE('2.08 Karuma-Pakwach-24h'!H92,'3.08 Karuma-Pakwach-24h'!H92)</f>
        <v>0</v>
      </c>
      <c r="I92" s="49">
        <f>AVERAGE('2.08 Karuma-Pakwach-24h'!I92,'3.08 Karuma-Pakwach-24h'!I92)</f>
        <v>0</v>
      </c>
      <c r="J92" s="49">
        <f>AVERAGE('2.08 Karuma-Pakwach-24h'!J92,'3.08 Karuma-Pakwach-24h'!J92)</f>
        <v>0</v>
      </c>
      <c r="K92" s="49">
        <f>AVERAGE('2.08 Karuma-Pakwach-24h'!K92,'3.08 Karuma-Pakwach-24h'!K92)</f>
        <v>0</v>
      </c>
      <c r="L92" s="49">
        <f>AVERAGE('2.08 Karuma-Pakwach-24h'!L92,'3.08 Karuma-Pakwach-24h'!L92)</f>
        <v>0</v>
      </c>
      <c r="M92" s="49">
        <f>AVERAGE('2.08 Karuma-Pakwach-24h'!M92,'3.08 Karuma-Pakwach-24h'!M92)</f>
        <v>0</v>
      </c>
      <c r="N92" s="49">
        <f>AVERAGE('2.08 Karuma-Pakwach-24h'!N92,'3.08 Karuma-Pakwach-24h'!N92)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AVERAGE('2.08 Karuma-Pakwach-24h'!C93,'3.08 Karuma-Pakwach-24h'!C93)</f>
        <v>0</v>
      </c>
      <c r="D93" s="49">
        <f>AVERAGE('2.08 Karuma-Pakwach-24h'!D93,'3.08 Karuma-Pakwach-24h'!D93)</f>
        <v>0</v>
      </c>
      <c r="E93" s="49">
        <f>AVERAGE('2.08 Karuma-Pakwach-24h'!E93,'3.08 Karuma-Pakwach-24h'!E93)</f>
        <v>0</v>
      </c>
      <c r="F93" s="49">
        <f>AVERAGE('2.08 Karuma-Pakwach-24h'!F93,'3.08 Karuma-Pakwach-24h'!F93)</f>
        <v>1</v>
      </c>
      <c r="G93" s="49">
        <f>AVERAGE('2.08 Karuma-Pakwach-24h'!G93,'3.08 Karuma-Pakwach-24h'!G93)</f>
        <v>0</v>
      </c>
      <c r="H93" s="49">
        <f>AVERAGE('2.08 Karuma-Pakwach-24h'!H93,'3.08 Karuma-Pakwach-24h'!H93)</f>
        <v>0</v>
      </c>
      <c r="I93" s="49">
        <f>AVERAGE('2.08 Karuma-Pakwach-24h'!I93,'3.08 Karuma-Pakwach-24h'!I93)</f>
        <v>0</v>
      </c>
      <c r="J93" s="49">
        <f>AVERAGE('2.08 Karuma-Pakwach-24h'!J93,'3.08 Karuma-Pakwach-24h'!J93)</f>
        <v>0</v>
      </c>
      <c r="K93" s="49">
        <f>AVERAGE('2.08 Karuma-Pakwach-24h'!K93,'3.08 Karuma-Pakwach-24h'!K93)</f>
        <v>0</v>
      </c>
      <c r="L93" s="49">
        <f>AVERAGE('2.08 Karuma-Pakwach-24h'!L93,'3.08 Karuma-Pakwach-24h'!L93)</f>
        <v>0</v>
      </c>
      <c r="M93" s="49">
        <f>AVERAGE('2.08 Karuma-Pakwach-24h'!M93,'3.08 Karuma-Pakwach-24h'!M93)</f>
        <v>0</v>
      </c>
      <c r="N93" s="49">
        <f>AVERAGE('2.08 Karuma-Pakwach-24h'!N93,'3.08 Karuma-Pakwach-24h'!N93)</f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AVERAGE('2.08 Karuma-Pakwach-24h'!C94,'3.08 Karuma-Pakwach-24h'!C94)</f>
        <v>1</v>
      </c>
      <c r="D94" s="49">
        <f>AVERAGE('2.08 Karuma-Pakwach-24h'!D94,'3.08 Karuma-Pakwach-24h'!D94)</f>
        <v>0</v>
      </c>
      <c r="E94" s="49">
        <f>AVERAGE('2.08 Karuma-Pakwach-24h'!E94,'3.08 Karuma-Pakwach-24h'!E94)</f>
        <v>0</v>
      </c>
      <c r="F94" s="49">
        <f>AVERAGE('2.08 Karuma-Pakwach-24h'!F94,'3.08 Karuma-Pakwach-24h'!F94)</f>
        <v>0</v>
      </c>
      <c r="G94" s="49">
        <f>AVERAGE('2.08 Karuma-Pakwach-24h'!G94,'3.08 Karuma-Pakwach-24h'!G94)</f>
        <v>0</v>
      </c>
      <c r="H94" s="49">
        <f>AVERAGE('2.08 Karuma-Pakwach-24h'!H94,'3.08 Karuma-Pakwach-24h'!H94)</f>
        <v>0</v>
      </c>
      <c r="I94" s="49">
        <f>AVERAGE('2.08 Karuma-Pakwach-24h'!I94,'3.08 Karuma-Pakwach-24h'!I94)</f>
        <v>0</v>
      </c>
      <c r="J94" s="49">
        <f>AVERAGE('2.08 Karuma-Pakwach-24h'!J94,'3.08 Karuma-Pakwach-24h'!J94)</f>
        <v>0</v>
      </c>
      <c r="K94" s="49">
        <f>AVERAGE('2.08 Karuma-Pakwach-24h'!K94,'3.08 Karuma-Pakwach-24h'!K94)</f>
        <v>0</v>
      </c>
      <c r="L94" s="49">
        <f>AVERAGE('2.08 Karuma-Pakwach-24h'!L94,'3.08 Karuma-Pakwach-24h'!L94)</f>
        <v>0</v>
      </c>
      <c r="M94" s="49">
        <f>AVERAGE('2.08 Karuma-Pakwach-24h'!M94,'3.08 Karuma-Pakwach-24h'!M94)</f>
        <v>0</v>
      </c>
      <c r="N94" s="49">
        <f>AVERAGE('2.08 Karuma-Pakwach-24h'!N94,'3.08 Karuma-Pakwach-24h'!N94)</f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23" t="s">
        <v>135</v>
      </c>
      <c r="C95" s="49">
        <f>AVERAGE('2.08 Karuma-Pakwach-24h'!C95,'3.08 Karuma-Pakwach-24h'!C95)</f>
        <v>0</v>
      </c>
      <c r="D95" s="49">
        <f>AVERAGE('2.08 Karuma-Pakwach-24h'!D95,'3.08 Karuma-Pakwach-24h'!D95)</f>
        <v>1</v>
      </c>
      <c r="E95" s="49">
        <f>AVERAGE('2.08 Karuma-Pakwach-24h'!E95,'3.08 Karuma-Pakwach-24h'!E95)</f>
        <v>1</v>
      </c>
      <c r="F95" s="49">
        <f>AVERAGE('2.08 Karuma-Pakwach-24h'!F95,'3.08 Karuma-Pakwach-24h'!F95)</f>
        <v>0</v>
      </c>
      <c r="G95" s="49">
        <f>AVERAGE('2.08 Karuma-Pakwach-24h'!G95,'3.08 Karuma-Pakwach-24h'!G95)</f>
        <v>0</v>
      </c>
      <c r="H95" s="49">
        <f>AVERAGE('2.08 Karuma-Pakwach-24h'!H95,'3.08 Karuma-Pakwach-24h'!H95)</f>
        <v>1</v>
      </c>
      <c r="I95" s="49">
        <f>AVERAGE('2.08 Karuma-Pakwach-24h'!I95,'3.08 Karuma-Pakwach-24h'!I95)</f>
        <v>0</v>
      </c>
      <c r="J95" s="49">
        <f>AVERAGE('2.08 Karuma-Pakwach-24h'!J95,'3.08 Karuma-Pakwach-24h'!J95)</f>
        <v>0</v>
      </c>
      <c r="K95" s="49">
        <f>AVERAGE('2.08 Karuma-Pakwach-24h'!K95,'3.08 Karuma-Pakwach-24h'!K95)</f>
        <v>1</v>
      </c>
      <c r="L95" s="49">
        <f>AVERAGE('2.08 Karuma-Pakwach-24h'!L95,'3.08 Karuma-Pakwach-24h'!L95)</f>
        <v>1</v>
      </c>
      <c r="M95" s="49">
        <f>AVERAGE('2.08 Karuma-Pakwach-24h'!M95,'3.08 Karuma-Pakwach-24h'!M95)</f>
        <v>0</v>
      </c>
      <c r="N95" s="49">
        <f>AVERAGE('2.08 Karuma-Pakwach-24h'!N95,'3.08 Karuma-Pakwach-24h'!N95)</f>
        <v>0</v>
      </c>
      <c r="O95" s="15">
        <f t="shared" si="35"/>
        <v>5</v>
      </c>
      <c r="P95" s="15">
        <f t="shared" si="36"/>
        <v>5</v>
      </c>
      <c r="R95" s="8"/>
      <c r="T95"/>
    </row>
    <row r="96" spans="2:20" ht="23.1" customHeight="1" x14ac:dyDescent="0.25">
      <c r="B96" s="25" t="s">
        <v>136</v>
      </c>
      <c r="C96" s="49">
        <f>AVERAGE('2.08 Karuma-Pakwach-24h'!C96,'3.08 Karuma-Pakwach-24h'!C96)</f>
        <v>1</v>
      </c>
      <c r="D96" s="49">
        <f>AVERAGE('2.08 Karuma-Pakwach-24h'!D96,'3.08 Karuma-Pakwach-24h'!D96)</f>
        <v>0</v>
      </c>
      <c r="E96" s="49">
        <f>AVERAGE('2.08 Karuma-Pakwach-24h'!E96,'3.08 Karuma-Pakwach-24h'!E96)</f>
        <v>0</v>
      </c>
      <c r="F96" s="49">
        <f>AVERAGE('2.08 Karuma-Pakwach-24h'!F96,'3.08 Karuma-Pakwach-24h'!F96)</f>
        <v>1</v>
      </c>
      <c r="G96" s="49">
        <f>AVERAGE('2.08 Karuma-Pakwach-24h'!G96,'3.08 Karuma-Pakwach-24h'!G96)</f>
        <v>0</v>
      </c>
      <c r="H96" s="49">
        <f>AVERAGE('2.08 Karuma-Pakwach-24h'!H96,'3.08 Karuma-Pakwach-24h'!H96)</f>
        <v>0.5</v>
      </c>
      <c r="I96" s="49">
        <f>AVERAGE('2.08 Karuma-Pakwach-24h'!I96,'3.08 Karuma-Pakwach-24h'!I96)</f>
        <v>0</v>
      </c>
      <c r="J96" s="49">
        <f>AVERAGE('2.08 Karuma-Pakwach-24h'!J96,'3.08 Karuma-Pakwach-24h'!J96)</f>
        <v>0</v>
      </c>
      <c r="K96" s="49">
        <f>AVERAGE('2.08 Karuma-Pakwach-24h'!K96,'3.08 Karuma-Pakwach-24h'!K96)</f>
        <v>1</v>
      </c>
      <c r="L96" s="49">
        <f>AVERAGE('2.08 Karuma-Pakwach-24h'!L96,'3.08 Karuma-Pakwach-24h'!L96)</f>
        <v>0</v>
      </c>
      <c r="M96" s="49">
        <f>AVERAGE('2.08 Karuma-Pakwach-24h'!M96,'3.08 Karuma-Pakwach-24h'!M96)</f>
        <v>0</v>
      </c>
      <c r="N96" s="49">
        <f>AVERAGE('2.08 Karuma-Pakwach-24h'!N96,'3.08 Karuma-Pakwach-24h'!N96)</f>
        <v>0</v>
      </c>
      <c r="O96" s="15">
        <f t="shared" si="35"/>
        <v>3.5</v>
      </c>
      <c r="P96" s="15">
        <f t="shared" si="36"/>
        <v>3.5</v>
      </c>
      <c r="R96" s="8"/>
      <c r="T96"/>
    </row>
    <row r="97" spans="2:20" ht="23.1" customHeight="1" x14ac:dyDescent="0.25">
      <c r="B97" s="23" t="s">
        <v>137</v>
      </c>
      <c r="C97" s="49">
        <f>AVERAGE('2.08 Karuma-Pakwach-24h'!C97,'3.08 Karuma-Pakwach-24h'!C97)</f>
        <v>0</v>
      </c>
      <c r="D97" s="49">
        <f>AVERAGE('2.08 Karuma-Pakwach-24h'!D97,'3.08 Karuma-Pakwach-24h'!D97)</f>
        <v>0</v>
      </c>
      <c r="E97" s="49">
        <f>AVERAGE('2.08 Karuma-Pakwach-24h'!E97,'3.08 Karuma-Pakwach-24h'!E97)</f>
        <v>1</v>
      </c>
      <c r="F97" s="49">
        <f>AVERAGE('2.08 Karuma-Pakwach-24h'!F97,'3.08 Karuma-Pakwach-24h'!F97)</f>
        <v>0</v>
      </c>
      <c r="G97" s="49">
        <f>AVERAGE('2.08 Karuma-Pakwach-24h'!G97,'3.08 Karuma-Pakwach-24h'!G97)</f>
        <v>0</v>
      </c>
      <c r="H97" s="49">
        <f>AVERAGE('2.08 Karuma-Pakwach-24h'!H97,'3.08 Karuma-Pakwach-24h'!H97)</f>
        <v>0</v>
      </c>
      <c r="I97" s="49">
        <f>AVERAGE('2.08 Karuma-Pakwach-24h'!I97,'3.08 Karuma-Pakwach-24h'!I97)</f>
        <v>0</v>
      </c>
      <c r="J97" s="49">
        <f>AVERAGE('2.08 Karuma-Pakwach-24h'!J97,'3.08 Karuma-Pakwach-24h'!J97)</f>
        <v>0</v>
      </c>
      <c r="K97" s="49">
        <f>AVERAGE('2.08 Karuma-Pakwach-24h'!K97,'3.08 Karuma-Pakwach-24h'!K97)</f>
        <v>0</v>
      </c>
      <c r="L97" s="49">
        <f>AVERAGE('2.08 Karuma-Pakwach-24h'!L97,'3.08 Karuma-Pakwach-24h'!L97)</f>
        <v>1</v>
      </c>
      <c r="M97" s="49">
        <f>AVERAGE('2.08 Karuma-Pakwach-24h'!M97,'3.08 Karuma-Pakwach-24h'!M97)</f>
        <v>0</v>
      </c>
      <c r="N97" s="49">
        <f>AVERAGE('2.08 Karuma-Pakwach-24h'!N97,'3.08 Karuma-Pakwach-24h'!N97)</f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AVERAGE('2.08 Karuma-Pakwach-24h'!C98,'3.08 Karuma-Pakwach-24h'!C98)</f>
        <v>0</v>
      </c>
      <c r="D98" s="49">
        <f>AVERAGE('2.08 Karuma-Pakwach-24h'!D98,'3.08 Karuma-Pakwach-24h'!D98)</f>
        <v>1</v>
      </c>
      <c r="E98" s="49">
        <f>AVERAGE('2.08 Karuma-Pakwach-24h'!E98,'3.08 Karuma-Pakwach-24h'!E98)</f>
        <v>1</v>
      </c>
      <c r="F98" s="49">
        <f>AVERAGE('2.08 Karuma-Pakwach-24h'!F98,'3.08 Karuma-Pakwach-24h'!F98)</f>
        <v>1</v>
      </c>
      <c r="G98" s="49">
        <f>AVERAGE('2.08 Karuma-Pakwach-24h'!G98,'3.08 Karuma-Pakwach-24h'!G98)</f>
        <v>0</v>
      </c>
      <c r="H98" s="49">
        <f>AVERAGE('2.08 Karuma-Pakwach-24h'!H98,'3.08 Karuma-Pakwach-24h'!H98)</f>
        <v>0</v>
      </c>
      <c r="I98" s="49">
        <f>AVERAGE('2.08 Karuma-Pakwach-24h'!I98,'3.08 Karuma-Pakwach-24h'!I98)</f>
        <v>0</v>
      </c>
      <c r="J98" s="49">
        <f>AVERAGE('2.08 Karuma-Pakwach-24h'!J98,'3.08 Karuma-Pakwach-24h'!J98)</f>
        <v>0</v>
      </c>
      <c r="K98" s="49">
        <f>AVERAGE('2.08 Karuma-Pakwach-24h'!K98,'3.08 Karuma-Pakwach-24h'!K98)</f>
        <v>0</v>
      </c>
      <c r="L98" s="49">
        <f>AVERAGE('2.08 Karuma-Pakwach-24h'!L98,'3.08 Karuma-Pakwach-24h'!L98)</f>
        <v>0</v>
      </c>
      <c r="M98" s="49">
        <f>AVERAGE('2.08 Karuma-Pakwach-24h'!M98,'3.08 Karuma-Pakwach-24h'!M98)</f>
        <v>0</v>
      </c>
      <c r="N98" s="49">
        <f>AVERAGE('2.08 Karuma-Pakwach-24h'!N98,'3.08 Karuma-Pakwach-24h'!N98)</f>
        <v>0</v>
      </c>
      <c r="O98" s="15">
        <f t="shared" si="35"/>
        <v>3</v>
      </c>
      <c r="P98" s="15">
        <f t="shared" si="36"/>
        <v>3</v>
      </c>
      <c r="R98" s="8"/>
      <c r="T98"/>
    </row>
    <row r="99" spans="2:20" ht="23.1" customHeight="1" x14ac:dyDescent="0.25">
      <c r="B99" s="23" t="s">
        <v>139</v>
      </c>
      <c r="C99" s="49">
        <f>AVERAGE('2.08 Karuma-Pakwach-24h'!C99,'3.08 Karuma-Pakwach-24h'!C99)</f>
        <v>1</v>
      </c>
      <c r="D99" s="49">
        <f>AVERAGE('2.08 Karuma-Pakwach-24h'!D99,'3.08 Karuma-Pakwach-24h'!D99)</f>
        <v>0</v>
      </c>
      <c r="E99" s="49">
        <f>AVERAGE('2.08 Karuma-Pakwach-24h'!E99,'3.08 Karuma-Pakwach-24h'!E99)</f>
        <v>1</v>
      </c>
      <c r="F99" s="49">
        <f>AVERAGE('2.08 Karuma-Pakwach-24h'!F99,'3.08 Karuma-Pakwach-24h'!F99)</f>
        <v>0</v>
      </c>
      <c r="G99" s="49">
        <f>AVERAGE('2.08 Karuma-Pakwach-24h'!G99,'3.08 Karuma-Pakwach-24h'!G99)</f>
        <v>0</v>
      </c>
      <c r="H99" s="49">
        <f>AVERAGE('2.08 Karuma-Pakwach-24h'!H99,'3.08 Karuma-Pakwach-24h'!H99)</f>
        <v>0</v>
      </c>
      <c r="I99" s="49">
        <f>AVERAGE('2.08 Karuma-Pakwach-24h'!I99,'3.08 Karuma-Pakwach-24h'!I99)</f>
        <v>0</v>
      </c>
      <c r="J99" s="49">
        <f>AVERAGE('2.08 Karuma-Pakwach-24h'!J99,'3.08 Karuma-Pakwach-24h'!J99)</f>
        <v>0</v>
      </c>
      <c r="K99" s="49">
        <f>AVERAGE('2.08 Karuma-Pakwach-24h'!K99,'3.08 Karuma-Pakwach-24h'!K99)</f>
        <v>0</v>
      </c>
      <c r="L99" s="49">
        <f>AVERAGE('2.08 Karuma-Pakwach-24h'!L99,'3.08 Karuma-Pakwach-24h'!L99)</f>
        <v>1</v>
      </c>
      <c r="M99" s="49">
        <f>AVERAGE('2.08 Karuma-Pakwach-24h'!M99,'3.08 Karuma-Pakwach-24h'!M99)</f>
        <v>0</v>
      </c>
      <c r="N99" s="49">
        <f>AVERAGE('2.08 Karuma-Pakwach-24h'!N99,'3.08 Karuma-Pakwach-24h'!N99)</f>
        <v>0</v>
      </c>
      <c r="O99" s="15">
        <f t="shared" si="35"/>
        <v>3</v>
      </c>
      <c r="P99" s="15">
        <f t="shared" si="36"/>
        <v>3</v>
      </c>
      <c r="R99" s="8"/>
      <c r="T99"/>
    </row>
    <row r="100" spans="2:20" ht="23.1" customHeight="1" x14ac:dyDescent="0.25">
      <c r="B100" s="25" t="s">
        <v>140</v>
      </c>
      <c r="C100" s="49">
        <f>AVERAGE('2.08 Karuma-Pakwach-24h'!C100,'3.08 Karuma-Pakwach-24h'!C100)</f>
        <v>1</v>
      </c>
      <c r="D100" s="49">
        <f>AVERAGE('2.08 Karuma-Pakwach-24h'!D100,'3.08 Karuma-Pakwach-24h'!D100)</f>
        <v>1</v>
      </c>
      <c r="E100" s="49">
        <f>AVERAGE('2.08 Karuma-Pakwach-24h'!E100,'3.08 Karuma-Pakwach-24h'!E100)</f>
        <v>1.5</v>
      </c>
      <c r="F100" s="49">
        <f>AVERAGE('2.08 Karuma-Pakwach-24h'!F100,'3.08 Karuma-Pakwach-24h'!F100)</f>
        <v>1</v>
      </c>
      <c r="G100" s="49">
        <f>AVERAGE('2.08 Karuma-Pakwach-24h'!G100,'3.08 Karuma-Pakwach-24h'!G100)</f>
        <v>0</v>
      </c>
      <c r="H100" s="49">
        <f>AVERAGE('2.08 Karuma-Pakwach-24h'!H100,'3.08 Karuma-Pakwach-24h'!H100)</f>
        <v>1</v>
      </c>
      <c r="I100" s="49">
        <f>AVERAGE('2.08 Karuma-Pakwach-24h'!I100,'3.08 Karuma-Pakwach-24h'!I100)</f>
        <v>0</v>
      </c>
      <c r="J100" s="49">
        <f>AVERAGE('2.08 Karuma-Pakwach-24h'!J100,'3.08 Karuma-Pakwach-24h'!J100)</f>
        <v>1</v>
      </c>
      <c r="K100" s="49">
        <f>AVERAGE('2.08 Karuma-Pakwach-24h'!K100,'3.08 Karuma-Pakwach-24h'!K100)</f>
        <v>0</v>
      </c>
      <c r="L100" s="49">
        <f>AVERAGE('2.08 Karuma-Pakwach-24h'!L100,'3.08 Karuma-Pakwach-24h'!L100)</f>
        <v>1</v>
      </c>
      <c r="M100" s="49">
        <f>AVERAGE('2.08 Karuma-Pakwach-24h'!M100,'3.08 Karuma-Pakwach-24h'!M100)</f>
        <v>1</v>
      </c>
      <c r="N100" s="49">
        <f>AVERAGE('2.08 Karuma-Pakwach-24h'!N100,'3.08 Karuma-Pakwach-24h'!N100)</f>
        <v>0</v>
      </c>
      <c r="O100" s="15">
        <f t="shared" si="35"/>
        <v>7.5</v>
      </c>
      <c r="P100" s="15">
        <f t="shared" si="36"/>
        <v>8.5</v>
      </c>
      <c r="R100" s="8"/>
      <c r="T100"/>
    </row>
    <row r="101" spans="2:20" ht="23.1" customHeight="1" x14ac:dyDescent="0.25">
      <c r="B101" s="23" t="s">
        <v>141</v>
      </c>
      <c r="C101" s="49">
        <f>AVERAGE('2.08 Karuma-Pakwach-24h'!C101,'3.08 Karuma-Pakwach-24h'!C101)</f>
        <v>0</v>
      </c>
      <c r="D101" s="49">
        <f>AVERAGE('2.08 Karuma-Pakwach-24h'!D101,'3.08 Karuma-Pakwach-24h'!D101)</f>
        <v>0</v>
      </c>
      <c r="E101" s="49">
        <f>AVERAGE('2.08 Karuma-Pakwach-24h'!E101,'3.08 Karuma-Pakwach-24h'!E101)</f>
        <v>1</v>
      </c>
      <c r="F101" s="49">
        <f>AVERAGE('2.08 Karuma-Pakwach-24h'!F101,'3.08 Karuma-Pakwach-24h'!F101)</f>
        <v>0</v>
      </c>
      <c r="G101" s="49">
        <f>AVERAGE('2.08 Karuma-Pakwach-24h'!G101,'3.08 Karuma-Pakwach-24h'!G101)</f>
        <v>0</v>
      </c>
      <c r="H101" s="49">
        <f>AVERAGE('2.08 Karuma-Pakwach-24h'!H101,'3.08 Karuma-Pakwach-24h'!H101)</f>
        <v>0</v>
      </c>
      <c r="I101" s="49">
        <f>AVERAGE('2.08 Karuma-Pakwach-24h'!I101,'3.08 Karuma-Pakwach-24h'!I101)</f>
        <v>0</v>
      </c>
      <c r="J101" s="49">
        <f>AVERAGE('2.08 Karuma-Pakwach-24h'!J101,'3.08 Karuma-Pakwach-24h'!J101)</f>
        <v>0</v>
      </c>
      <c r="K101" s="49">
        <f>AVERAGE('2.08 Karuma-Pakwach-24h'!K101,'3.08 Karuma-Pakwach-24h'!K101)</f>
        <v>0</v>
      </c>
      <c r="L101" s="49">
        <f>AVERAGE('2.08 Karuma-Pakwach-24h'!L101,'3.08 Karuma-Pakwach-24h'!L101)</f>
        <v>1</v>
      </c>
      <c r="M101" s="49">
        <f>AVERAGE('2.08 Karuma-Pakwach-24h'!M101,'3.08 Karuma-Pakwach-24h'!M101)</f>
        <v>0</v>
      </c>
      <c r="N101" s="49">
        <f>AVERAGE('2.08 Karuma-Pakwach-24h'!N101,'3.08 Karuma-Pakwach-24h'!N101)</f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24" t="s">
        <v>142</v>
      </c>
      <c r="C102" s="49">
        <f>AVERAGE('2.08 Karuma-Pakwach-24h'!C102,'3.08 Karuma-Pakwach-24h'!C102)</f>
        <v>1</v>
      </c>
      <c r="D102" s="49">
        <f>AVERAGE('2.08 Karuma-Pakwach-24h'!D102,'3.08 Karuma-Pakwach-24h'!D102)</f>
        <v>0</v>
      </c>
      <c r="E102" s="49">
        <f>AVERAGE('2.08 Karuma-Pakwach-24h'!E102,'3.08 Karuma-Pakwach-24h'!E102)</f>
        <v>1</v>
      </c>
      <c r="F102" s="49">
        <f>AVERAGE('2.08 Karuma-Pakwach-24h'!F102,'3.08 Karuma-Pakwach-24h'!F102)</f>
        <v>1</v>
      </c>
      <c r="G102" s="49">
        <f>AVERAGE('2.08 Karuma-Pakwach-24h'!G102,'3.08 Karuma-Pakwach-24h'!G102)</f>
        <v>0</v>
      </c>
      <c r="H102" s="49">
        <f>AVERAGE('2.08 Karuma-Pakwach-24h'!H102,'3.08 Karuma-Pakwach-24h'!H102)</f>
        <v>1</v>
      </c>
      <c r="I102" s="49">
        <f>AVERAGE('2.08 Karuma-Pakwach-24h'!I102,'3.08 Karuma-Pakwach-24h'!I102)</f>
        <v>0</v>
      </c>
      <c r="J102" s="49">
        <f>AVERAGE('2.08 Karuma-Pakwach-24h'!J102,'3.08 Karuma-Pakwach-24h'!J102)</f>
        <v>0</v>
      </c>
      <c r="K102" s="49">
        <f>AVERAGE('2.08 Karuma-Pakwach-24h'!K102,'3.08 Karuma-Pakwach-24h'!K102)</f>
        <v>0</v>
      </c>
      <c r="L102" s="49">
        <f>AVERAGE('2.08 Karuma-Pakwach-24h'!L102,'3.08 Karuma-Pakwach-24h'!L102)</f>
        <v>1.5</v>
      </c>
      <c r="M102" s="49">
        <f>AVERAGE('2.08 Karuma-Pakwach-24h'!M102,'3.08 Karuma-Pakwach-24h'!M102)</f>
        <v>1</v>
      </c>
      <c r="N102" s="49">
        <f>AVERAGE('2.08 Karuma-Pakwach-24h'!N102,'3.08 Karuma-Pakwach-24h'!N102)</f>
        <v>0</v>
      </c>
      <c r="O102" s="15">
        <f t="shared" si="35"/>
        <v>5.5</v>
      </c>
      <c r="P102" s="15">
        <f t="shared" si="36"/>
        <v>6.5</v>
      </c>
      <c r="R102" s="8"/>
      <c r="T102"/>
    </row>
    <row r="103" spans="2:20" ht="23.1" customHeight="1" x14ac:dyDescent="0.25">
      <c r="B103" s="23" t="s">
        <v>143</v>
      </c>
      <c r="C103" s="49">
        <f>AVERAGE('2.08 Karuma-Pakwach-24h'!C103,'3.08 Karuma-Pakwach-24h'!C103)</f>
        <v>0.5</v>
      </c>
      <c r="D103" s="49">
        <f>AVERAGE('2.08 Karuma-Pakwach-24h'!D103,'3.08 Karuma-Pakwach-24h'!D103)</f>
        <v>0</v>
      </c>
      <c r="E103" s="49">
        <f>AVERAGE('2.08 Karuma-Pakwach-24h'!E103,'3.08 Karuma-Pakwach-24h'!E103)</f>
        <v>1</v>
      </c>
      <c r="F103" s="49">
        <f>AVERAGE('2.08 Karuma-Pakwach-24h'!F103,'3.08 Karuma-Pakwach-24h'!F103)</f>
        <v>1</v>
      </c>
      <c r="G103" s="49">
        <f>AVERAGE('2.08 Karuma-Pakwach-24h'!G103,'3.08 Karuma-Pakwach-24h'!G103)</f>
        <v>0</v>
      </c>
      <c r="H103" s="49">
        <f>AVERAGE('2.08 Karuma-Pakwach-24h'!H103,'3.08 Karuma-Pakwach-24h'!H103)</f>
        <v>0</v>
      </c>
      <c r="I103" s="49">
        <f>AVERAGE('2.08 Karuma-Pakwach-24h'!I103,'3.08 Karuma-Pakwach-24h'!I103)</f>
        <v>0</v>
      </c>
      <c r="J103" s="49">
        <f>AVERAGE('2.08 Karuma-Pakwach-24h'!J103,'3.08 Karuma-Pakwach-24h'!J103)</f>
        <v>0</v>
      </c>
      <c r="K103" s="49">
        <f>AVERAGE('2.08 Karuma-Pakwach-24h'!K103,'3.08 Karuma-Pakwach-24h'!K103)</f>
        <v>0</v>
      </c>
      <c r="L103" s="49">
        <f>AVERAGE('2.08 Karuma-Pakwach-24h'!L103,'3.08 Karuma-Pakwach-24h'!L103)</f>
        <v>0</v>
      </c>
      <c r="M103" s="49">
        <f>AVERAGE('2.08 Karuma-Pakwach-24h'!M103,'3.08 Karuma-Pakwach-24h'!M103)</f>
        <v>1</v>
      </c>
      <c r="N103" s="49">
        <f>AVERAGE('2.08 Karuma-Pakwach-24h'!N103,'3.08 Karuma-Pakwach-24h'!N103)</f>
        <v>0</v>
      </c>
      <c r="O103" s="15">
        <f t="shared" si="35"/>
        <v>2.5</v>
      </c>
      <c r="P103" s="15">
        <f t="shared" si="36"/>
        <v>3.5</v>
      </c>
      <c r="R103" s="8"/>
      <c r="T103"/>
    </row>
    <row r="104" spans="2:20" ht="23.1" customHeight="1" x14ac:dyDescent="0.25">
      <c r="B104" s="25" t="s">
        <v>144</v>
      </c>
      <c r="C104" s="49">
        <f>AVERAGE('2.08 Karuma-Pakwach-24h'!C104,'3.08 Karuma-Pakwach-24h'!C104)</f>
        <v>1</v>
      </c>
      <c r="D104" s="49">
        <f>AVERAGE('2.08 Karuma-Pakwach-24h'!D104,'3.08 Karuma-Pakwach-24h'!D104)</f>
        <v>0</v>
      </c>
      <c r="E104" s="49">
        <f>AVERAGE('2.08 Karuma-Pakwach-24h'!E104,'3.08 Karuma-Pakwach-24h'!E104)</f>
        <v>1</v>
      </c>
      <c r="F104" s="49">
        <f>AVERAGE('2.08 Karuma-Pakwach-24h'!F104,'3.08 Karuma-Pakwach-24h'!F104)</f>
        <v>0</v>
      </c>
      <c r="G104" s="49">
        <f>AVERAGE('2.08 Karuma-Pakwach-24h'!G104,'3.08 Karuma-Pakwach-24h'!G104)</f>
        <v>0</v>
      </c>
      <c r="H104" s="49">
        <f>AVERAGE('2.08 Karuma-Pakwach-24h'!H104,'3.08 Karuma-Pakwach-24h'!H104)</f>
        <v>0</v>
      </c>
      <c r="I104" s="49">
        <f>AVERAGE('2.08 Karuma-Pakwach-24h'!I104,'3.08 Karuma-Pakwach-24h'!I104)</f>
        <v>0</v>
      </c>
      <c r="J104" s="49">
        <f>AVERAGE('2.08 Karuma-Pakwach-24h'!J104,'3.08 Karuma-Pakwach-24h'!J104)</f>
        <v>0</v>
      </c>
      <c r="K104" s="49">
        <f>AVERAGE('2.08 Karuma-Pakwach-24h'!K104,'3.08 Karuma-Pakwach-24h'!K104)</f>
        <v>0</v>
      </c>
      <c r="L104" s="49">
        <f>AVERAGE('2.08 Karuma-Pakwach-24h'!L104,'3.08 Karuma-Pakwach-24h'!L104)</f>
        <v>0.5</v>
      </c>
      <c r="M104" s="49">
        <f>AVERAGE('2.08 Karuma-Pakwach-24h'!M104,'3.08 Karuma-Pakwach-24h'!M104)</f>
        <v>2.5</v>
      </c>
      <c r="N104" s="49">
        <f>AVERAGE('2.08 Karuma-Pakwach-24h'!N104,'3.08 Karuma-Pakwach-24h'!N104)</f>
        <v>0</v>
      </c>
      <c r="O104" s="15">
        <f t="shared" si="35"/>
        <v>2.5</v>
      </c>
      <c r="P104" s="15">
        <f t="shared" si="36"/>
        <v>5</v>
      </c>
      <c r="R104" s="8"/>
      <c r="T104"/>
    </row>
    <row r="105" spans="2:20" ht="23.1" customHeight="1" x14ac:dyDescent="0.25">
      <c r="B105" s="23" t="s">
        <v>145</v>
      </c>
      <c r="C105" s="49">
        <f>AVERAGE('2.08 Karuma-Pakwach-24h'!C105,'3.08 Karuma-Pakwach-24h'!C105)</f>
        <v>1</v>
      </c>
      <c r="D105" s="49">
        <f>AVERAGE('2.08 Karuma-Pakwach-24h'!D105,'3.08 Karuma-Pakwach-24h'!D105)</f>
        <v>0</v>
      </c>
      <c r="E105" s="49">
        <f>AVERAGE('2.08 Karuma-Pakwach-24h'!E105,'3.08 Karuma-Pakwach-24h'!E105)</f>
        <v>1</v>
      </c>
      <c r="F105" s="49">
        <f>AVERAGE('2.08 Karuma-Pakwach-24h'!F105,'3.08 Karuma-Pakwach-24h'!F105)</f>
        <v>0</v>
      </c>
      <c r="G105" s="49">
        <f>AVERAGE('2.08 Karuma-Pakwach-24h'!G105,'3.08 Karuma-Pakwach-24h'!G105)</f>
        <v>0</v>
      </c>
      <c r="H105" s="49">
        <f>AVERAGE('2.08 Karuma-Pakwach-24h'!H105,'3.08 Karuma-Pakwach-24h'!H105)</f>
        <v>0</v>
      </c>
      <c r="I105" s="49">
        <f>AVERAGE('2.08 Karuma-Pakwach-24h'!I105,'3.08 Karuma-Pakwach-24h'!I105)</f>
        <v>0</v>
      </c>
      <c r="J105" s="49">
        <f>AVERAGE('2.08 Karuma-Pakwach-24h'!J105,'3.08 Karuma-Pakwach-24h'!J105)</f>
        <v>0</v>
      </c>
      <c r="K105" s="49">
        <f>AVERAGE('2.08 Karuma-Pakwach-24h'!K105,'3.08 Karuma-Pakwach-24h'!K105)</f>
        <v>0</v>
      </c>
      <c r="L105" s="49">
        <f>AVERAGE('2.08 Karuma-Pakwach-24h'!L105,'3.08 Karuma-Pakwach-24h'!L105)</f>
        <v>0.5</v>
      </c>
      <c r="M105" s="49">
        <f>AVERAGE('2.08 Karuma-Pakwach-24h'!M105,'3.08 Karuma-Pakwach-24h'!M105)</f>
        <v>3</v>
      </c>
      <c r="N105" s="49">
        <f>AVERAGE('2.08 Karuma-Pakwach-24h'!N105,'3.08 Karuma-Pakwach-24h'!N105)</f>
        <v>0</v>
      </c>
      <c r="O105" s="15">
        <f t="shared" si="35"/>
        <v>2.5</v>
      </c>
      <c r="P105" s="15">
        <f t="shared" si="36"/>
        <v>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44.833333333333336</v>
      </c>
      <c r="D106" s="16">
        <f t="shared" ref="D106:P106" si="37">SUM(D10:D105)</f>
        <v>13.333333333333336</v>
      </c>
      <c r="E106" s="16">
        <f t="shared" si="37"/>
        <v>88</v>
      </c>
      <c r="F106" s="16">
        <f t="shared" si="37"/>
        <v>45.5</v>
      </c>
      <c r="G106" s="16">
        <f t="shared" si="37"/>
        <v>13.333333333333329</v>
      </c>
      <c r="H106" s="16">
        <f t="shared" si="37"/>
        <v>21.5</v>
      </c>
      <c r="I106" s="16">
        <f t="shared" si="37"/>
        <v>26.333333333333329</v>
      </c>
      <c r="J106" s="16">
        <f t="shared" si="37"/>
        <v>18.833333333333332</v>
      </c>
      <c r="K106" s="16">
        <f t="shared" si="37"/>
        <v>11</v>
      </c>
      <c r="L106" s="16">
        <f t="shared" si="37"/>
        <v>61.5</v>
      </c>
      <c r="M106" s="16">
        <f t="shared" si="37"/>
        <v>188.33333333333331</v>
      </c>
      <c r="N106" s="16">
        <f t="shared" si="37"/>
        <v>7</v>
      </c>
      <c r="O106" s="16">
        <f t="shared" si="37"/>
        <v>351.16666666666663</v>
      </c>
      <c r="P106" s="16">
        <f t="shared" si="37"/>
        <v>539.5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8.3101637318504798E-2</v>
      </c>
      <c r="D107" s="43">
        <f t="shared" si="38"/>
        <v>2.4714241581711465E-2</v>
      </c>
      <c r="E107" s="43">
        <f t="shared" si="38"/>
        <v>0.16311399443929564</v>
      </c>
      <c r="F107" s="43">
        <f t="shared" si="38"/>
        <v>8.4337349397590355E-2</v>
      </c>
      <c r="G107" s="43">
        <f t="shared" si="38"/>
        <v>2.4714241581711451E-2</v>
      </c>
      <c r="H107" s="43">
        <f t="shared" si="38"/>
        <v>3.9851714550509731E-2</v>
      </c>
      <c r="I107" s="43">
        <f t="shared" si="38"/>
        <v>4.8810627123880124E-2</v>
      </c>
      <c r="J107" s="43">
        <f t="shared" si="38"/>
        <v>3.4908866234167439E-2</v>
      </c>
      <c r="K107" s="43">
        <f t="shared" si="38"/>
        <v>2.0389249304911955E-2</v>
      </c>
      <c r="L107" s="43">
        <f t="shared" si="38"/>
        <v>0.11399443929564411</v>
      </c>
      <c r="M107" s="43">
        <f t="shared" si="38"/>
        <v>0.34908866234167435</v>
      </c>
      <c r="N107" s="43">
        <f t="shared" si="38"/>
        <v>1.2974976830398516E-2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0.12766967252017089</v>
      </c>
      <c r="D108" s="44">
        <f t="shared" ref="D108:N108" si="39">D106/$O$106</f>
        <v>3.7968675842430008E-2</v>
      </c>
      <c r="E108" s="44">
        <f t="shared" si="39"/>
        <v>0.250593260560038</v>
      </c>
      <c r="F108" s="44">
        <f t="shared" si="39"/>
        <v>0.12956810631229237</v>
      </c>
      <c r="G108" s="44">
        <f t="shared" si="39"/>
        <v>3.7968675842429987E-2</v>
      </c>
      <c r="H108" s="44">
        <f t="shared" si="39"/>
        <v>6.1224489795918373E-2</v>
      </c>
      <c r="I108" s="44">
        <f t="shared" si="39"/>
        <v>7.4988134788799232E-2</v>
      </c>
      <c r="J108" s="44">
        <f t="shared" si="39"/>
        <v>5.3630754627432373E-2</v>
      </c>
      <c r="K108" s="44">
        <f t="shared" si="39"/>
        <v>3.132415757000475E-2</v>
      </c>
      <c r="L108" s="44">
        <f t="shared" si="39"/>
        <v>0.17513051732320836</v>
      </c>
      <c r="M108" s="44"/>
      <c r="N108" s="44">
        <f t="shared" si="39"/>
        <v>1.993355481727575E-2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F34" zoomScale="60" workbookViewId="0">
      <selection activeCell="M101" sqref="M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e">
        <f>#REF!</f>
        <v>#REF!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165</v>
      </c>
      <c r="E5" s="69"/>
      <c r="F5" s="41" t="s">
        <v>1</v>
      </c>
      <c r="G5" s="66" t="e">
        <f>'Avg Week Pakwach-Karuma'!G5:H5</f>
        <v>#REF!</v>
      </c>
      <c r="H5" s="67"/>
      <c r="I5" s="14"/>
      <c r="J5" s="2" t="s">
        <v>5</v>
      </c>
      <c r="K5" s="66" t="e">
        <f>'Avg Week Pakwach-Karuma'!K5:L5</f>
        <v>#REF!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e">
        <f>'Avg Week Pakwach-Karuma'!K6:L6</f>
        <v>#REF!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Karuma-Pakwach'!C10+'Avg Week Pakwach-Karuma'!C10</f>
        <v>1.5</v>
      </c>
      <c r="D10" s="49">
        <f>'Avg Week Karuma-Pakwach'!D10+'Avg Week Pakwach-Karuma'!D10</f>
        <v>0.14285714285714285</v>
      </c>
      <c r="E10" s="49">
        <f>'Avg Week Karuma-Pakwach'!E10+'Avg Week Pakwach-Karuma'!E10</f>
        <v>2.5476190476190474</v>
      </c>
      <c r="F10" s="49">
        <f>'Avg Week Karuma-Pakwach'!F10+'Avg Week Pakwach-Karuma'!F10</f>
        <v>0.76190476190476186</v>
      </c>
      <c r="G10" s="49">
        <f>'Avg Week Karuma-Pakwach'!G10+'Avg Week Pakwach-Karuma'!G10</f>
        <v>0</v>
      </c>
      <c r="H10" s="49">
        <f>'Avg Week Karuma-Pakwach'!H10+'Avg Week Pakwach-Karuma'!H10</f>
        <v>0</v>
      </c>
      <c r="I10" s="49">
        <f>'Avg Week Karuma-Pakwach'!I10+'Avg Week Pakwach-Karuma'!I10</f>
        <v>0.42857142857142855</v>
      </c>
      <c r="J10" s="49">
        <f>'Avg Week Karuma-Pakwach'!J10+'Avg Week Pakwach-Karuma'!J10</f>
        <v>0.14285714285714285</v>
      </c>
      <c r="K10" s="49">
        <f>'Avg Week Karuma-Pakwach'!K10+'Avg Week Pakwach-Karuma'!K10</f>
        <v>0</v>
      </c>
      <c r="L10" s="49">
        <f>'Avg Week Karuma-Pakwach'!L10+'Avg Week Pakwach-Karuma'!L10</f>
        <v>2.2857142857142856</v>
      </c>
      <c r="M10" s="49">
        <f>'Avg Week Karuma-Pakwach'!M10+'Avg Week Pakwach-Karuma'!M10</f>
        <v>4.6904761904761907</v>
      </c>
      <c r="N10" s="49">
        <f>'Avg Week Karuma-Pakwach'!N10+'Avg Week Pakwach-Karuma'!N10</f>
        <v>0.42857142857142855</v>
      </c>
      <c r="O10" s="15">
        <f t="shared" ref="O10:O73" si="0">SUM(C10:L10,N10)</f>
        <v>8.2380952380952372</v>
      </c>
      <c r="P10" s="15">
        <f t="shared" ref="P10:P73" si="1">SUM(C10:N10)</f>
        <v>12.928571428571429</v>
      </c>
      <c r="R10" s="1" t="s">
        <v>6</v>
      </c>
      <c r="S10" s="17">
        <f t="shared" ref="S10:AF10" si="2">SUM(C10:C13)</f>
        <v>3.9285714285714288</v>
      </c>
      <c r="T10" s="17">
        <f t="shared" si="2"/>
        <v>0.90476190476190466</v>
      </c>
      <c r="U10" s="17">
        <f t="shared" si="2"/>
        <v>7.7380952380952372</v>
      </c>
      <c r="V10" s="17">
        <f t="shared" si="2"/>
        <v>2.5714285714285712</v>
      </c>
      <c r="W10" s="17">
        <f t="shared" si="2"/>
        <v>0.30952380952380953</v>
      </c>
      <c r="X10" s="17">
        <f t="shared" si="2"/>
        <v>0.16666666666666666</v>
      </c>
      <c r="Y10" s="17">
        <f t="shared" si="2"/>
        <v>0.92857142857142849</v>
      </c>
      <c r="Z10" s="17">
        <f t="shared" si="2"/>
        <v>3.0476190476190474</v>
      </c>
      <c r="AA10" s="17">
        <f t="shared" si="2"/>
        <v>1</v>
      </c>
      <c r="AB10" s="17">
        <f t="shared" si="2"/>
        <v>7.5952380952380949</v>
      </c>
      <c r="AC10" s="17">
        <f t="shared" si="2"/>
        <v>19.976190476190474</v>
      </c>
      <c r="AD10" s="17">
        <f t="shared" si="2"/>
        <v>1.4523809523809523</v>
      </c>
      <c r="AE10" s="31">
        <f t="shared" si="2"/>
        <v>29.642857142857146</v>
      </c>
      <c r="AF10" s="31">
        <f t="shared" si="2"/>
        <v>49.61904761904762</v>
      </c>
    </row>
    <row r="11" spans="2:32" s="6" customFormat="1" ht="23.1" customHeight="1" x14ac:dyDescent="0.25">
      <c r="B11" s="23" t="s">
        <v>38</v>
      </c>
      <c r="C11" s="49">
        <f>'Avg Week Karuma-Pakwach'!C11+'Avg Week Pakwach-Karuma'!C11</f>
        <v>0.9285714285714286</v>
      </c>
      <c r="D11" s="49">
        <f>'Avg Week Karuma-Pakwach'!D11+'Avg Week Pakwach-Karuma'!D11</f>
        <v>0.30952380952380953</v>
      </c>
      <c r="E11" s="49">
        <f>'Avg Week Karuma-Pakwach'!E11+'Avg Week Pakwach-Karuma'!E11</f>
        <v>1.3333333333333333</v>
      </c>
      <c r="F11" s="49">
        <f>'Avg Week Karuma-Pakwach'!F11+'Avg Week Pakwach-Karuma'!F11</f>
        <v>0.45238095238095233</v>
      </c>
      <c r="G11" s="49">
        <f>'Avg Week Karuma-Pakwach'!G11+'Avg Week Pakwach-Karuma'!G11</f>
        <v>0</v>
      </c>
      <c r="H11" s="49">
        <f>'Avg Week Karuma-Pakwach'!H11+'Avg Week Pakwach-Karuma'!H11</f>
        <v>0.16666666666666666</v>
      </c>
      <c r="I11" s="49">
        <f>'Avg Week Karuma-Pakwach'!I11+'Avg Week Pakwach-Karuma'!I11</f>
        <v>0.33333333333333331</v>
      </c>
      <c r="J11" s="49">
        <f>'Avg Week Karuma-Pakwach'!J11+'Avg Week Pakwach-Karuma'!J11</f>
        <v>0.42857142857142855</v>
      </c>
      <c r="K11" s="49">
        <f>'Avg Week Karuma-Pakwach'!K11+'Avg Week Pakwach-Karuma'!K11</f>
        <v>0.42857142857142855</v>
      </c>
      <c r="L11" s="49">
        <f>'Avg Week Karuma-Pakwach'!L11+'Avg Week Pakwach-Karuma'!L11</f>
        <v>1.5238095238095237</v>
      </c>
      <c r="M11" s="49">
        <f>'Avg Week Karuma-Pakwach'!M11+'Avg Week Pakwach-Karuma'!M11</f>
        <v>4.2142857142857144</v>
      </c>
      <c r="N11" s="49">
        <f>'Avg Week Karuma-Pakwach'!N11+'Avg Week Pakwach-Karuma'!N11</f>
        <v>0</v>
      </c>
      <c r="O11" s="15">
        <f t="shared" si="0"/>
        <v>5.9047619047619042</v>
      </c>
      <c r="P11" s="15">
        <f t="shared" si="1"/>
        <v>10.119047619047619</v>
      </c>
      <c r="R11" s="1" t="s">
        <v>7</v>
      </c>
      <c r="S11" s="17">
        <f t="shared" ref="S11:AF11" si="3">SUM(C14:C17)</f>
        <v>3.1190476190476191</v>
      </c>
      <c r="T11" s="17">
        <f t="shared" si="3"/>
        <v>0.90476190476190466</v>
      </c>
      <c r="U11" s="17">
        <f t="shared" si="3"/>
        <v>7.4761904761904754</v>
      </c>
      <c r="V11" s="17">
        <f t="shared" si="3"/>
        <v>2.7380952380952381</v>
      </c>
      <c r="W11" s="17">
        <f t="shared" si="3"/>
        <v>1.4285714285714286</v>
      </c>
      <c r="X11" s="17">
        <f t="shared" si="3"/>
        <v>0.16666666666666666</v>
      </c>
      <c r="Y11" s="17">
        <f t="shared" si="3"/>
        <v>2.9761904761904763</v>
      </c>
      <c r="Z11" s="17">
        <f t="shared" si="3"/>
        <v>3.7857142857142856</v>
      </c>
      <c r="AA11" s="17">
        <f t="shared" si="3"/>
        <v>1.5714285714285714</v>
      </c>
      <c r="AB11" s="17">
        <f t="shared" si="3"/>
        <v>8.6190476190476186</v>
      </c>
      <c r="AC11" s="17">
        <f t="shared" si="3"/>
        <v>23.547619047619044</v>
      </c>
      <c r="AD11" s="17">
        <f t="shared" si="3"/>
        <v>2.166666666666667</v>
      </c>
      <c r="AE11" s="31">
        <f t="shared" si="3"/>
        <v>34.952380952380949</v>
      </c>
      <c r="AF11" s="31">
        <f t="shared" si="3"/>
        <v>58.5</v>
      </c>
    </row>
    <row r="12" spans="2:32" ht="23.1" customHeight="1" x14ac:dyDescent="0.25">
      <c r="B12" s="23" t="s">
        <v>39</v>
      </c>
      <c r="C12" s="49">
        <f>'Avg Week Karuma-Pakwach'!C12+'Avg Week Pakwach-Karuma'!C12</f>
        <v>0.90476190476190466</v>
      </c>
      <c r="D12" s="49">
        <f>'Avg Week Karuma-Pakwach'!D12+'Avg Week Pakwach-Karuma'!D12</f>
        <v>0</v>
      </c>
      <c r="E12" s="49">
        <f>'Avg Week Karuma-Pakwach'!E12+'Avg Week Pakwach-Karuma'!E12</f>
        <v>1.9047619047619047</v>
      </c>
      <c r="F12" s="49">
        <f>'Avg Week Karuma-Pakwach'!F12+'Avg Week Pakwach-Karuma'!F12</f>
        <v>0.8571428571428571</v>
      </c>
      <c r="G12" s="49">
        <f>'Avg Week Karuma-Pakwach'!G12+'Avg Week Pakwach-Karuma'!G12</f>
        <v>0.14285714285714285</v>
      </c>
      <c r="H12" s="49">
        <f>'Avg Week Karuma-Pakwach'!H12+'Avg Week Pakwach-Karuma'!H12</f>
        <v>0</v>
      </c>
      <c r="I12" s="49">
        <f>'Avg Week Karuma-Pakwach'!I12+'Avg Week Pakwach-Karuma'!I12</f>
        <v>0</v>
      </c>
      <c r="J12" s="49">
        <f>'Avg Week Karuma-Pakwach'!J12+'Avg Week Pakwach-Karuma'!J12</f>
        <v>1</v>
      </c>
      <c r="K12" s="49">
        <f>'Avg Week Karuma-Pakwach'!K12+'Avg Week Pakwach-Karuma'!K12</f>
        <v>0.42857142857142855</v>
      </c>
      <c r="L12" s="49">
        <f>'Avg Week Karuma-Pakwach'!L12+'Avg Week Pakwach-Karuma'!L12</f>
        <v>1.9285714285714286</v>
      </c>
      <c r="M12" s="49">
        <f>'Avg Week Karuma-Pakwach'!M12+'Avg Week Pakwach-Karuma'!M12</f>
        <v>5.9285714285714288</v>
      </c>
      <c r="N12" s="49">
        <f>'Avg Week Karuma-Pakwach'!N12+'Avg Week Pakwach-Karuma'!N12</f>
        <v>0.59523809523809523</v>
      </c>
      <c r="O12" s="15">
        <f t="shared" si="0"/>
        <v>7.7619047619047619</v>
      </c>
      <c r="P12" s="15">
        <f t="shared" si="1"/>
        <v>13.69047619047619</v>
      </c>
      <c r="R12" s="1" t="s">
        <v>8</v>
      </c>
      <c r="S12" s="17">
        <f t="shared" ref="S12:AF12" si="4">SUM(C18:C21)</f>
        <v>3.833333333333333</v>
      </c>
      <c r="T12" s="17">
        <f t="shared" si="4"/>
        <v>1.8333333333333335</v>
      </c>
      <c r="U12" s="17">
        <f t="shared" si="4"/>
        <v>8.5238095238095255</v>
      </c>
      <c r="V12" s="17">
        <f t="shared" si="4"/>
        <v>5.1904761904761907</v>
      </c>
      <c r="W12" s="17">
        <f t="shared" si="4"/>
        <v>1.6904761904761905</v>
      </c>
      <c r="X12" s="17">
        <f t="shared" si="4"/>
        <v>1.1190476190476191</v>
      </c>
      <c r="Y12" s="17">
        <f t="shared" si="4"/>
        <v>2.1666666666666665</v>
      </c>
      <c r="Z12" s="17">
        <f t="shared" si="4"/>
        <v>2.6428571428571432</v>
      </c>
      <c r="AA12" s="17">
        <f t="shared" si="4"/>
        <v>0.88095238095238093</v>
      </c>
      <c r="AB12" s="17">
        <f t="shared" si="4"/>
        <v>5.3095238095238102</v>
      </c>
      <c r="AC12" s="17">
        <f t="shared" si="4"/>
        <v>35.404761904761905</v>
      </c>
      <c r="AD12" s="17">
        <f t="shared" si="4"/>
        <v>0.73809523809523814</v>
      </c>
      <c r="AE12" s="31">
        <f t="shared" si="4"/>
        <v>33.928571428571431</v>
      </c>
      <c r="AF12" s="31">
        <f t="shared" si="4"/>
        <v>69.333333333333343</v>
      </c>
    </row>
    <row r="13" spans="2:32" ht="23.1" customHeight="1" x14ac:dyDescent="0.25">
      <c r="B13" s="23" t="s">
        <v>40</v>
      </c>
      <c r="C13" s="49">
        <f>'Avg Week Karuma-Pakwach'!C13+'Avg Week Pakwach-Karuma'!C13</f>
        <v>0.59523809523809523</v>
      </c>
      <c r="D13" s="49">
        <f>'Avg Week Karuma-Pakwach'!D13+'Avg Week Pakwach-Karuma'!D13</f>
        <v>0.45238095238095233</v>
      </c>
      <c r="E13" s="49">
        <f>'Avg Week Karuma-Pakwach'!E13+'Avg Week Pakwach-Karuma'!E13</f>
        <v>1.9523809523809526</v>
      </c>
      <c r="F13" s="49">
        <f>'Avg Week Karuma-Pakwach'!F13+'Avg Week Pakwach-Karuma'!F13</f>
        <v>0.5</v>
      </c>
      <c r="G13" s="49">
        <f>'Avg Week Karuma-Pakwach'!G13+'Avg Week Pakwach-Karuma'!G13</f>
        <v>0.16666666666666666</v>
      </c>
      <c r="H13" s="49">
        <f>'Avg Week Karuma-Pakwach'!H13+'Avg Week Pakwach-Karuma'!H13</f>
        <v>0</v>
      </c>
      <c r="I13" s="49">
        <f>'Avg Week Karuma-Pakwach'!I13+'Avg Week Pakwach-Karuma'!I13</f>
        <v>0.16666666666666666</v>
      </c>
      <c r="J13" s="49">
        <f>'Avg Week Karuma-Pakwach'!J13+'Avg Week Pakwach-Karuma'!J13</f>
        <v>1.4761904761904761</v>
      </c>
      <c r="K13" s="49">
        <f>'Avg Week Karuma-Pakwach'!K13+'Avg Week Pakwach-Karuma'!K13</f>
        <v>0.14285714285714285</v>
      </c>
      <c r="L13" s="49">
        <f>'Avg Week Karuma-Pakwach'!L13+'Avg Week Pakwach-Karuma'!L13</f>
        <v>1.8571428571428572</v>
      </c>
      <c r="M13" s="49">
        <f>'Avg Week Karuma-Pakwach'!M13+'Avg Week Pakwach-Karuma'!M13</f>
        <v>5.1428571428571423</v>
      </c>
      <c r="N13" s="49">
        <f>'Avg Week Karuma-Pakwach'!N13+'Avg Week Pakwach-Karuma'!N13</f>
        <v>0.42857142857142855</v>
      </c>
      <c r="O13" s="15">
        <f t="shared" si="0"/>
        <v>7.738095238095239</v>
      </c>
      <c r="P13" s="15">
        <f t="shared" si="1"/>
        <v>12.880952380952381</v>
      </c>
      <c r="R13" s="1" t="s">
        <v>9</v>
      </c>
      <c r="S13" s="17">
        <f t="shared" ref="S13:AF13" si="5">SUM(C22:C25)</f>
        <v>3.0714285714285712</v>
      </c>
      <c r="T13" s="17">
        <f t="shared" si="5"/>
        <v>2</v>
      </c>
      <c r="U13" s="17">
        <f t="shared" si="5"/>
        <v>11.952380952380953</v>
      </c>
      <c r="V13" s="17">
        <f t="shared" si="5"/>
        <v>5.5</v>
      </c>
      <c r="W13" s="17">
        <f t="shared" si="5"/>
        <v>3.4523809523809521</v>
      </c>
      <c r="X13" s="17">
        <f t="shared" si="5"/>
        <v>3.4761904761904763</v>
      </c>
      <c r="Y13" s="17">
        <f t="shared" si="5"/>
        <v>3.714285714285714</v>
      </c>
      <c r="Z13" s="17">
        <f t="shared" si="5"/>
        <v>2.6190476190476186</v>
      </c>
      <c r="AA13" s="17">
        <f t="shared" si="5"/>
        <v>1.5238095238095235</v>
      </c>
      <c r="AB13" s="17">
        <f t="shared" si="5"/>
        <v>5.5714285714285712</v>
      </c>
      <c r="AC13" s="17">
        <f t="shared" si="5"/>
        <v>24.738095238095237</v>
      </c>
      <c r="AD13" s="17">
        <f t="shared" si="5"/>
        <v>0.85714285714285698</v>
      </c>
      <c r="AE13" s="31">
        <f t="shared" si="5"/>
        <v>43.738095238095241</v>
      </c>
      <c r="AF13" s="31">
        <f t="shared" si="5"/>
        <v>68.476190476190482</v>
      </c>
    </row>
    <row r="14" spans="2:32" ht="23.1" customHeight="1" x14ac:dyDescent="0.25">
      <c r="B14" s="23" t="s">
        <v>41</v>
      </c>
      <c r="C14" s="49">
        <f>'Avg Week Karuma-Pakwach'!C14+'Avg Week Pakwach-Karuma'!C14</f>
        <v>0.42857142857142855</v>
      </c>
      <c r="D14" s="49">
        <f>'Avg Week Karuma-Pakwach'!D14+'Avg Week Pakwach-Karuma'!D14</f>
        <v>0</v>
      </c>
      <c r="E14" s="49">
        <f>'Avg Week Karuma-Pakwach'!E14+'Avg Week Pakwach-Karuma'!E14</f>
        <v>0.7857142857142857</v>
      </c>
      <c r="F14" s="49">
        <f>'Avg Week Karuma-Pakwach'!F14+'Avg Week Pakwach-Karuma'!F14</f>
        <v>0.16666666666666666</v>
      </c>
      <c r="G14" s="49">
        <f>'Avg Week Karuma-Pakwach'!G14+'Avg Week Pakwach-Karuma'!G14</f>
        <v>0</v>
      </c>
      <c r="H14" s="49">
        <f>'Avg Week Karuma-Pakwach'!H14+'Avg Week Pakwach-Karuma'!H14</f>
        <v>0</v>
      </c>
      <c r="I14" s="49">
        <f>'Avg Week Karuma-Pakwach'!I14+'Avg Week Pakwach-Karuma'!I14</f>
        <v>0.73809523809523803</v>
      </c>
      <c r="J14" s="49">
        <f>'Avg Week Karuma-Pakwach'!J14+'Avg Week Pakwach-Karuma'!J14</f>
        <v>1.1666666666666667</v>
      </c>
      <c r="K14" s="49">
        <f>'Avg Week Karuma-Pakwach'!K14+'Avg Week Pakwach-Karuma'!K14</f>
        <v>0.42857142857142855</v>
      </c>
      <c r="L14" s="49">
        <f>'Avg Week Karuma-Pakwach'!L14+'Avg Week Pakwach-Karuma'!L14</f>
        <v>2.3809523809523809</v>
      </c>
      <c r="M14" s="49">
        <f>'Avg Week Karuma-Pakwach'!M14+'Avg Week Pakwach-Karuma'!M14</f>
        <v>4.7142857142857144</v>
      </c>
      <c r="N14" s="49">
        <f>'Avg Week Karuma-Pakwach'!N14+'Avg Week Pakwach-Karuma'!N14</f>
        <v>0.14285714285714285</v>
      </c>
      <c r="O14" s="15">
        <f t="shared" si="0"/>
        <v>6.2380952380952381</v>
      </c>
      <c r="P14" s="15">
        <f t="shared" si="1"/>
        <v>10.952380952380953</v>
      </c>
      <c r="R14" s="1" t="s">
        <v>10</v>
      </c>
      <c r="S14" s="17">
        <f t="shared" ref="S14:AF14" si="6">SUM(C26:C29)</f>
        <v>4.4047619047619051</v>
      </c>
      <c r="T14" s="17">
        <f t="shared" si="6"/>
        <v>2.2380952380952381</v>
      </c>
      <c r="U14" s="17">
        <f t="shared" si="6"/>
        <v>11.80952380952381</v>
      </c>
      <c r="V14" s="17">
        <f t="shared" si="6"/>
        <v>6.8095238095238093</v>
      </c>
      <c r="W14" s="17">
        <f t="shared" si="6"/>
        <v>4.333333333333333</v>
      </c>
      <c r="X14" s="17">
        <f t="shared" si="6"/>
        <v>3.7857142857142856</v>
      </c>
      <c r="Y14" s="17">
        <f t="shared" si="6"/>
        <v>4.2619047619047619</v>
      </c>
      <c r="Z14" s="17">
        <f t="shared" si="6"/>
        <v>2.333333333333333</v>
      </c>
      <c r="AA14" s="17">
        <f t="shared" si="6"/>
        <v>1.6428571428571428</v>
      </c>
      <c r="AB14" s="17">
        <f t="shared" si="6"/>
        <v>4.9761904761904763</v>
      </c>
      <c r="AC14" s="17">
        <f t="shared" si="6"/>
        <v>28</v>
      </c>
      <c r="AD14" s="17">
        <f t="shared" si="6"/>
        <v>0.73809523809523814</v>
      </c>
      <c r="AE14" s="31">
        <f t="shared" si="6"/>
        <v>47.333333333333336</v>
      </c>
      <c r="AF14" s="31">
        <f t="shared" si="6"/>
        <v>75.333333333333329</v>
      </c>
    </row>
    <row r="15" spans="2:32" ht="23.1" customHeight="1" x14ac:dyDescent="0.25">
      <c r="B15" s="23" t="s">
        <v>42</v>
      </c>
      <c r="C15" s="49">
        <f>'Avg Week Karuma-Pakwach'!C15+'Avg Week Pakwach-Karuma'!C15</f>
        <v>0.76190476190476186</v>
      </c>
      <c r="D15" s="49">
        <f>'Avg Week Karuma-Pakwach'!D15+'Avg Week Pakwach-Karuma'!D15</f>
        <v>0.30952380952380953</v>
      </c>
      <c r="E15" s="49">
        <f>'Avg Week Karuma-Pakwach'!E15+'Avg Week Pakwach-Karuma'!E15</f>
        <v>2.1428571428571428</v>
      </c>
      <c r="F15" s="49">
        <f>'Avg Week Karuma-Pakwach'!F15+'Avg Week Pakwach-Karuma'!F15</f>
        <v>0.61904761904761907</v>
      </c>
      <c r="G15" s="49">
        <f>'Avg Week Karuma-Pakwach'!G15+'Avg Week Pakwach-Karuma'!G15</f>
        <v>0.30952380952380953</v>
      </c>
      <c r="H15" s="49">
        <f>'Avg Week Karuma-Pakwach'!H15+'Avg Week Pakwach-Karuma'!H15</f>
        <v>0</v>
      </c>
      <c r="I15" s="49">
        <f>'Avg Week Karuma-Pakwach'!I15+'Avg Week Pakwach-Karuma'!I15</f>
        <v>1.4523809523809526</v>
      </c>
      <c r="J15" s="49">
        <f>'Avg Week Karuma-Pakwach'!J15+'Avg Week Pakwach-Karuma'!J15</f>
        <v>0.8571428571428571</v>
      </c>
      <c r="K15" s="49">
        <f>'Avg Week Karuma-Pakwach'!K15+'Avg Week Pakwach-Karuma'!K15</f>
        <v>0.5714285714285714</v>
      </c>
      <c r="L15" s="49">
        <f>'Avg Week Karuma-Pakwach'!L15+'Avg Week Pakwach-Karuma'!L15</f>
        <v>2.2619047619047619</v>
      </c>
      <c r="M15" s="49">
        <f>'Avg Week Karuma-Pakwach'!M15+'Avg Week Pakwach-Karuma'!M15</f>
        <v>5.3333333333333339</v>
      </c>
      <c r="N15" s="49">
        <f>'Avg Week Karuma-Pakwach'!N15+'Avg Week Pakwach-Karuma'!N15</f>
        <v>0.47619047619047616</v>
      </c>
      <c r="O15" s="15">
        <f t="shared" si="0"/>
        <v>9.761904761904761</v>
      </c>
      <c r="P15" s="15">
        <f t="shared" si="1"/>
        <v>15.095238095238095</v>
      </c>
      <c r="R15" s="1" t="s">
        <v>11</v>
      </c>
      <c r="S15" s="17">
        <f t="shared" ref="S15:AF15" si="7">SUM(C30:C33)</f>
        <v>4.4523809523809526</v>
      </c>
      <c r="T15" s="17">
        <f t="shared" si="7"/>
        <v>1.4761904761904761</v>
      </c>
      <c r="U15" s="17">
        <f t="shared" si="7"/>
        <v>11.30952380952381</v>
      </c>
      <c r="V15" s="17">
        <f t="shared" si="7"/>
        <v>5.0238095238095237</v>
      </c>
      <c r="W15" s="17">
        <f t="shared" si="7"/>
        <v>1.4047619047619047</v>
      </c>
      <c r="X15" s="17">
        <f t="shared" si="7"/>
        <v>1.9047619047619047</v>
      </c>
      <c r="Y15" s="17">
        <f t="shared" si="7"/>
        <v>1.1190476190476191</v>
      </c>
      <c r="Z15" s="17">
        <f t="shared" si="7"/>
        <v>1.4285714285714286</v>
      </c>
      <c r="AA15" s="17">
        <f t="shared" si="7"/>
        <v>1.0714285714285714</v>
      </c>
      <c r="AB15" s="17">
        <f t="shared" si="7"/>
        <v>3.0238095238095237</v>
      </c>
      <c r="AC15" s="17">
        <f t="shared" si="7"/>
        <v>24.11904761904762</v>
      </c>
      <c r="AD15" s="17">
        <f t="shared" si="7"/>
        <v>1.2380952380952381</v>
      </c>
      <c r="AE15" s="31">
        <f t="shared" si="7"/>
        <v>33.452380952380956</v>
      </c>
      <c r="AF15" s="31">
        <f t="shared" si="7"/>
        <v>57.571428571428577</v>
      </c>
    </row>
    <row r="16" spans="2:32" ht="23.1" customHeight="1" x14ac:dyDescent="0.25">
      <c r="B16" s="23" t="s">
        <v>43</v>
      </c>
      <c r="C16" s="49">
        <f>'Avg Week Karuma-Pakwach'!C16+'Avg Week Pakwach-Karuma'!C16</f>
        <v>1.0238095238095237</v>
      </c>
      <c r="D16" s="49">
        <f>'Avg Week Karuma-Pakwach'!D16+'Avg Week Pakwach-Karuma'!D16</f>
        <v>0.45238095238095233</v>
      </c>
      <c r="E16" s="49">
        <f>'Avg Week Karuma-Pakwach'!E16+'Avg Week Pakwach-Karuma'!E16</f>
        <v>2.2380952380952381</v>
      </c>
      <c r="F16" s="49">
        <f>'Avg Week Karuma-Pakwach'!F16+'Avg Week Pakwach-Karuma'!F16</f>
        <v>1.6190476190476191</v>
      </c>
      <c r="G16" s="49">
        <f>'Avg Week Karuma-Pakwach'!G16+'Avg Week Pakwach-Karuma'!G16</f>
        <v>0</v>
      </c>
      <c r="H16" s="49">
        <f>'Avg Week Karuma-Pakwach'!H16+'Avg Week Pakwach-Karuma'!H16</f>
        <v>0</v>
      </c>
      <c r="I16" s="49">
        <f>'Avg Week Karuma-Pakwach'!I16+'Avg Week Pakwach-Karuma'!I16</f>
        <v>0.33333333333333331</v>
      </c>
      <c r="J16" s="49">
        <f>'Avg Week Karuma-Pakwach'!J16+'Avg Week Pakwach-Karuma'!J16</f>
        <v>0.5714285714285714</v>
      </c>
      <c r="K16" s="49">
        <f>'Avg Week Karuma-Pakwach'!K16+'Avg Week Pakwach-Karuma'!K16</f>
        <v>0.5714285714285714</v>
      </c>
      <c r="L16" s="49">
        <f>'Avg Week Karuma-Pakwach'!L16+'Avg Week Pakwach-Karuma'!L16</f>
        <v>2.0238095238095237</v>
      </c>
      <c r="M16" s="49">
        <f>'Avg Week Karuma-Pakwach'!M16+'Avg Week Pakwach-Karuma'!M16</f>
        <v>6.5238095238095237</v>
      </c>
      <c r="N16" s="49">
        <f>'Avg Week Karuma-Pakwach'!N16+'Avg Week Pakwach-Karuma'!N16</f>
        <v>0.73809523809523803</v>
      </c>
      <c r="O16" s="15">
        <f t="shared" si="0"/>
        <v>9.5714285714285694</v>
      </c>
      <c r="P16" s="15">
        <f t="shared" si="1"/>
        <v>16.095238095238095</v>
      </c>
      <c r="R16" s="1" t="s">
        <v>12</v>
      </c>
      <c r="S16" s="17">
        <f t="shared" ref="S16:AF16" si="8">SUM(C34:C37)</f>
        <v>6.0476190476190483</v>
      </c>
      <c r="T16" s="17">
        <f t="shared" si="8"/>
        <v>1.6666666666666665</v>
      </c>
      <c r="U16" s="17">
        <f t="shared" si="8"/>
        <v>9.3809523809523814</v>
      </c>
      <c r="V16" s="17">
        <f t="shared" si="8"/>
        <v>4.9761904761904763</v>
      </c>
      <c r="W16" s="17">
        <f t="shared" si="8"/>
        <v>1.5238095238095237</v>
      </c>
      <c r="X16" s="17">
        <f t="shared" si="8"/>
        <v>1.7380952380952381</v>
      </c>
      <c r="Y16" s="17">
        <f t="shared" si="8"/>
        <v>3.6428571428571428</v>
      </c>
      <c r="Z16" s="17">
        <f t="shared" si="8"/>
        <v>1.4047619047619049</v>
      </c>
      <c r="AA16" s="17">
        <f t="shared" si="8"/>
        <v>0.78571428571428559</v>
      </c>
      <c r="AB16" s="17">
        <f t="shared" si="8"/>
        <v>6.2619047619047619</v>
      </c>
      <c r="AC16" s="17">
        <f t="shared" si="8"/>
        <v>25.19047619047619</v>
      </c>
      <c r="AD16" s="17">
        <f t="shared" si="8"/>
        <v>1.0952380952380951</v>
      </c>
      <c r="AE16" s="31">
        <f t="shared" si="8"/>
        <v>38.523809523809526</v>
      </c>
      <c r="AF16" s="31">
        <f t="shared" si="8"/>
        <v>63.714285714285708</v>
      </c>
    </row>
    <row r="17" spans="2:32" ht="23.1" customHeight="1" x14ac:dyDescent="0.25">
      <c r="B17" s="23" t="s">
        <v>44</v>
      </c>
      <c r="C17" s="49">
        <f>'Avg Week Karuma-Pakwach'!C17+'Avg Week Pakwach-Karuma'!C17</f>
        <v>0.90476190476190466</v>
      </c>
      <c r="D17" s="49">
        <f>'Avg Week Karuma-Pakwach'!D17+'Avg Week Pakwach-Karuma'!D17</f>
        <v>0.14285714285714285</v>
      </c>
      <c r="E17" s="49">
        <f>'Avg Week Karuma-Pakwach'!E17+'Avg Week Pakwach-Karuma'!E17</f>
        <v>2.3095238095238093</v>
      </c>
      <c r="F17" s="49">
        <f>'Avg Week Karuma-Pakwach'!F17+'Avg Week Pakwach-Karuma'!F17</f>
        <v>0.33333333333333331</v>
      </c>
      <c r="G17" s="49">
        <f>'Avg Week Karuma-Pakwach'!G17+'Avg Week Pakwach-Karuma'!G17</f>
        <v>1.1190476190476191</v>
      </c>
      <c r="H17" s="49">
        <f>'Avg Week Karuma-Pakwach'!H17+'Avg Week Pakwach-Karuma'!H17</f>
        <v>0.16666666666666666</v>
      </c>
      <c r="I17" s="49">
        <f>'Avg Week Karuma-Pakwach'!I17+'Avg Week Pakwach-Karuma'!I17</f>
        <v>0.45238095238095233</v>
      </c>
      <c r="J17" s="49">
        <f>'Avg Week Karuma-Pakwach'!J17+'Avg Week Pakwach-Karuma'!J17</f>
        <v>1.1904761904761905</v>
      </c>
      <c r="K17" s="49">
        <f>'Avg Week Karuma-Pakwach'!K17+'Avg Week Pakwach-Karuma'!K17</f>
        <v>0</v>
      </c>
      <c r="L17" s="49">
        <f>'Avg Week Karuma-Pakwach'!L17+'Avg Week Pakwach-Karuma'!L17</f>
        <v>1.9523809523809526</v>
      </c>
      <c r="M17" s="49">
        <f>'Avg Week Karuma-Pakwach'!M17+'Avg Week Pakwach-Karuma'!M17</f>
        <v>6.9761904761904763</v>
      </c>
      <c r="N17" s="49">
        <f>'Avg Week Karuma-Pakwach'!N17+'Avg Week Pakwach-Karuma'!N17</f>
        <v>0.80952380952380953</v>
      </c>
      <c r="O17" s="15">
        <f t="shared" si="0"/>
        <v>9.3809523809523832</v>
      </c>
      <c r="P17" s="15">
        <f t="shared" si="1"/>
        <v>16.357142857142858</v>
      </c>
      <c r="R17" s="1" t="s">
        <v>13</v>
      </c>
      <c r="S17" s="17">
        <f t="shared" ref="S17:AF17" si="9">SUM(C38:C41)</f>
        <v>6.1428571428571423</v>
      </c>
      <c r="T17" s="17">
        <f t="shared" si="9"/>
        <v>3.1428571428571428</v>
      </c>
      <c r="U17" s="17">
        <f t="shared" si="9"/>
        <v>13.88095238095238</v>
      </c>
      <c r="V17" s="17">
        <f t="shared" si="9"/>
        <v>4.8809523809523814</v>
      </c>
      <c r="W17" s="17">
        <f t="shared" si="9"/>
        <v>2.1904761904761907</v>
      </c>
      <c r="X17" s="17">
        <f t="shared" si="9"/>
        <v>4.833333333333333</v>
      </c>
      <c r="Y17" s="17">
        <f t="shared" si="9"/>
        <v>3.3571428571428572</v>
      </c>
      <c r="Z17" s="17">
        <f t="shared" si="9"/>
        <v>2.2380952380952381</v>
      </c>
      <c r="AA17" s="17">
        <f t="shared" si="9"/>
        <v>2.1666666666666665</v>
      </c>
      <c r="AB17" s="17">
        <f t="shared" si="9"/>
        <v>7.8095238095238093</v>
      </c>
      <c r="AC17" s="17">
        <f t="shared" si="9"/>
        <v>27.357142857142861</v>
      </c>
      <c r="AD17" s="17">
        <f t="shared" si="9"/>
        <v>0.92857142857142849</v>
      </c>
      <c r="AE17" s="31">
        <f t="shared" si="9"/>
        <v>51.571428571428569</v>
      </c>
      <c r="AF17" s="31">
        <f t="shared" si="9"/>
        <v>78.928571428571416</v>
      </c>
    </row>
    <row r="18" spans="2:32" ht="23.1" customHeight="1" x14ac:dyDescent="0.25">
      <c r="B18" s="23" t="s">
        <v>45</v>
      </c>
      <c r="C18" s="49">
        <f>'Avg Week Karuma-Pakwach'!C18+'Avg Week Pakwach-Karuma'!C18</f>
        <v>0.42857142857142855</v>
      </c>
      <c r="D18" s="49">
        <f>'Avg Week Karuma-Pakwach'!D18+'Avg Week Pakwach-Karuma'!D18</f>
        <v>0</v>
      </c>
      <c r="E18" s="49">
        <f>'Avg Week Karuma-Pakwach'!E18+'Avg Week Pakwach-Karuma'!E18</f>
        <v>1.0714285714285714</v>
      </c>
      <c r="F18" s="49">
        <f>'Avg Week Karuma-Pakwach'!F18+'Avg Week Pakwach-Karuma'!F18</f>
        <v>0.61904761904761907</v>
      </c>
      <c r="G18" s="49">
        <f>'Avg Week Karuma-Pakwach'!G18+'Avg Week Pakwach-Karuma'!G18</f>
        <v>0.14285714285714285</v>
      </c>
      <c r="H18" s="49">
        <f>'Avg Week Karuma-Pakwach'!H18+'Avg Week Pakwach-Karuma'!H18</f>
        <v>0</v>
      </c>
      <c r="I18" s="49">
        <f>'Avg Week Karuma-Pakwach'!I18+'Avg Week Pakwach-Karuma'!I18</f>
        <v>0.30952380952380953</v>
      </c>
      <c r="J18" s="49">
        <f>'Avg Week Karuma-Pakwach'!J18+'Avg Week Pakwach-Karuma'!J18</f>
        <v>0.2857142857142857</v>
      </c>
      <c r="K18" s="49">
        <f>'Avg Week Karuma-Pakwach'!K18+'Avg Week Pakwach-Karuma'!K18</f>
        <v>0.14285714285714285</v>
      </c>
      <c r="L18" s="49">
        <f>'Avg Week Karuma-Pakwach'!L18+'Avg Week Pakwach-Karuma'!L18</f>
        <v>1.4523809523809526</v>
      </c>
      <c r="M18" s="49">
        <f>'Avg Week Karuma-Pakwach'!M18+'Avg Week Pakwach-Karuma'!M18</f>
        <v>7.5238095238095237</v>
      </c>
      <c r="N18" s="49">
        <f>'Avg Week Karuma-Pakwach'!N18+'Avg Week Pakwach-Karuma'!N18</f>
        <v>0.42857142857142855</v>
      </c>
      <c r="O18" s="15">
        <f t="shared" si="0"/>
        <v>4.8809523809523814</v>
      </c>
      <c r="P18" s="15">
        <f t="shared" si="1"/>
        <v>12.404761904761905</v>
      </c>
      <c r="R18" s="1" t="s">
        <v>14</v>
      </c>
      <c r="S18" s="17">
        <f t="shared" ref="S18:AF18" si="10">SUM(C42:C45)</f>
        <v>5.9523809523809526</v>
      </c>
      <c r="T18" s="17">
        <f t="shared" si="10"/>
        <v>2.2857142857142856</v>
      </c>
      <c r="U18" s="17">
        <f t="shared" si="10"/>
        <v>10.642857142857144</v>
      </c>
      <c r="V18" s="17">
        <f t="shared" si="10"/>
        <v>5.3095238095238093</v>
      </c>
      <c r="W18" s="17">
        <f t="shared" si="10"/>
        <v>1.9285714285714284</v>
      </c>
      <c r="X18" s="17">
        <f t="shared" si="10"/>
        <v>2.9999999999999996</v>
      </c>
      <c r="Y18" s="17">
        <f t="shared" si="10"/>
        <v>4.1190476190476195</v>
      </c>
      <c r="Z18" s="17">
        <f t="shared" si="10"/>
        <v>2.5</v>
      </c>
      <c r="AA18" s="17">
        <f t="shared" si="10"/>
        <v>4.3571428571428577</v>
      </c>
      <c r="AB18" s="17">
        <f t="shared" si="10"/>
        <v>10.142857142857142</v>
      </c>
      <c r="AC18" s="17">
        <f t="shared" si="10"/>
        <v>30.5</v>
      </c>
      <c r="AD18" s="17">
        <f t="shared" si="10"/>
        <v>1.4285714285714286</v>
      </c>
      <c r="AE18" s="31">
        <f t="shared" si="10"/>
        <v>51.666666666666671</v>
      </c>
      <c r="AF18" s="31">
        <f t="shared" si="10"/>
        <v>82.166666666666671</v>
      </c>
    </row>
    <row r="19" spans="2:32" ht="23.1" customHeight="1" x14ac:dyDescent="0.25">
      <c r="B19" s="23" t="s">
        <v>46</v>
      </c>
      <c r="C19" s="49">
        <f>'Avg Week Karuma-Pakwach'!C19+'Avg Week Pakwach-Karuma'!C19</f>
        <v>0.47619047619047616</v>
      </c>
      <c r="D19" s="49">
        <f>'Avg Week Karuma-Pakwach'!D19+'Avg Week Pakwach-Karuma'!D19</f>
        <v>0.59523809523809523</v>
      </c>
      <c r="E19" s="49">
        <f>'Avg Week Karuma-Pakwach'!E19+'Avg Week Pakwach-Karuma'!E19</f>
        <v>2.3809523809523809</v>
      </c>
      <c r="F19" s="49">
        <f>'Avg Week Karuma-Pakwach'!F19+'Avg Week Pakwach-Karuma'!F19</f>
        <v>0.80952380952380953</v>
      </c>
      <c r="G19" s="49">
        <f>'Avg Week Karuma-Pakwach'!G19+'Avg Week Pakwach-Karuma'!G19</f>
        <v>0.2857142857142857</v>
      </c>
      <c r="H19" s="49">
        <f>'Avg Week Karuma-Pakwach'!H19+'Avg Week Pakwach-Karuma'!H19</f>
        <v>0.30952380952380953</v>
      </c>
      <c r="I19" s="49">
        <f>'Avg Week Karuma-Pakwach'!I19+'Avg Week Pakwach-Karuma'!I19</f>
        <v>0.47619047619047616</v>
      </c>
      <c r="J19" s="49">
        <f>'Avg Week Karuma-Pakwach'!J19+'Avg Week Pakwach-Karuma'!J19</f>
        <v>0.30952380952380953</v>
      </c>
      <c r="K19" s="49">
        <f>'Avg Week Karuma-Pakwach'!K19+'Avg Week Pakwach-Karuma'!K19</f>
        <v>0.14285714285714285</v>
      </c>
      <c r="L19" s="49">
        <f>'Avg Week Karuma-Pakwach'!L19+'Avg Week Pakwach-Karuma'!L19</f>
        <v>1.5952380952380953</v>
      </c>
      <c r="M19" s="49">
        <f>'Avg Week Karuma-Pakwach'!M19+'Avg Week Pakwach-Karuma'!M19</f>
        <v>6.7857142857142856</v>
      </c>
      <c r="N19" s="49">
        <f>'Avg Week Karuma-Pakwach'!N19+'Avg Week Pakwach-Karuma'!N19</f>
        <v>0</v>
      </c>
      <c r="O19" s="15">
        <f t="shared" si="0"/>
        <v>7.3809523809523814</v>
      </c>
      <c r="P19" s="15">
        <f t="shared" si="1"/>
        <v>14.166666666666668</v>
      </c>
      <c r="R19" s="1" t="s">
        <v>15</v>
      </c>
      <c r="S19" s="17">
        <f t="shared" ref="S19:AF19" si="11">SUM(C46:C49)</f>
        <v>6.1904761904761898</v>
      </c>
      <c r="T19" s="17">
        <f t="shared" si="11"/>
        <v>2.7619047619047614</v>
      </c>
      <c r="U19" s="17">
        <f t="shared" si="11"/>
        <v>10.357142857142858</v>
      </c>
      <c r="V19" s="17">
        <f t="shared" si="11"/>
        <v>6.5238095238095237</v>
      </c>
      <c r="W19" s="17">
        <f t="shared" si="11"/>
        <v>2.1666666666666665</v>
      </c>
      <c r="X19" s="17">
        <f t="shared" si="11"/>
        <v>2.9285714285714279</v>
      </c>
      <c r="Y19" s="17">
        <f t="shared" si="11"/>
        <v>4.7142857142857135</v>
      </c>
      <c r="Z19" s="17">
        <f t="shared" si="11"/>
        <v>1.8571428571428572</v>
      </c>
      <c r="AA19" s="17">
        <f t="shared" si="11"/>
        <v>3.5952380952380953</v>
      </c>
      <c r="AB19" s="17">
        <f t="shared" si="11"/>
        <v>9.4047619047619051</v>
      </c>
      <c r="AC19" s="17">
        <f t="shared" si="11"/>
        <v>29.19047619047619</v>
      </c>
      <c r="AD19" s="17">
        <f t="shared" si="11"/>
        <v>1.9523809523809526</v>
      </c>
      <c r="AE19" s="31">
        <f t="shared" si="11"/>
        <v>52.452380952380949</v>
      </c>
      <c r="AF19" s="31">
        <f t="shared" si="11"/>
        <v>81.642857142857139</v>
      </c>
    </row>
    <row r="20" spans="2:32" ht="23.1" customHeight="1" x14ac:dyDescent="0.25">
      <c r="B20" s="23" t="s">
        <v>47</v>
      </c>
      <c r="C20" s="49">
        <f>'Avg Week Karuma-Pakwach'!C20+'Avg Week Pakwach-Karuma'!C20</f>
        <v>1.5952380952380953</v>
      </c>
      <c r="D20" s="49">
        <f>'Avg Week Karuma-Pakwach'!D20+'Avg Week Pakwach-Karuma'!D20</f>
        <v>0.76190476190476186</v>
      </c>
      <c r="E20" s="49">
        <f>'Avg Week Karuma-Pakwach'!E20+'Avg Week Pakwach-Karuma'!E20</f>
        <v>2.4047619047619047</v>
      </c>
      <c r="F20" s="49">
        <f>'Avg Week Karuma-Pakwach'!F20+'Avg Week Pakwach-Karuma'!F20</f>
        <v>2.2380952380952381</v>
      </c>
      <c r="G20" s="49">
        <f>'Avg Week Karuma-Pakwach'!G20+'Avg Week Pakwach-Karuma'!G20</f>
        <v>0</v>
      </c>
      <c r="H20" s="49">
        <f>'Avg Week Karuma-Pakwach'!H20+'Avg Week Pakwach-Karuma'!H20</f>
        <v>0.47619047619047616</v>
      </c>
      <c r="I20" s="49">
        <f>'Avg Week Karuma-Pakwach'!I20+'Avg Week Pakwach-Karuma'!I20</f>
        <v>0.61904761904761907</v>
      </c>
      <c r="J20" s="49">
        <f>'Avg Week Karuma-Pakwach'!J20+'Avg Week Pakwach-Karuma'!J20</f>
        <v>1.5952380952380953</v>
      </c>
      <c r="K20" s="49">
        <f>'Avg Week Karuma-Pakwach'!K20+'Avg Week Pakwach-Karuma'!K20</f>
        <v>0.30952380952380953</v>
      </c>
      <c r="L20" s="49">
        <f>'Avg Week Karuma-Pakwach'!L20+'Avg Week Pakwach-Karuma'!L20</f>
        <v>1.1428571428571428</v>
      </c>
      <c r="M20" s="49">
        <f>'Avg Week Karuma-Pakwach'!M20+'Avg Week Pakwach-Karuma'!M20</f>
        <v>11.333333333333332</v>
      </c>
      <c r="N20" s="49">
        <f>'Avg Week Karuma-Pakwach'!N20+'Avg Week Pakwach-Karuma'!N20</f>
        <v>0.30952380952380953</v>
      </c>
      <c r="O20" s="15">
        <f t="shared" si="0"/>
        <v>11.452380952380953</v>
      </c>
      <c r="P20" s="15">
        <f t="shared" si="1"/>
        <v>22.785714285714285</v>
      </c>
      <c r="R20" s="1" t="s">
        <v>16</v>
      </c>
      <c r="S20" s="17">
        <f t="shared" ref="S20:AF20" si="12">SUM(C50:C53)</f>
        <v>8.8571428571428577</v>
      </c>
      <c r="T20" s="17">
        <f t="shared" si="12"/>
        <v>3.6666666666666665</v>
      </c>
      <c r="U20" s="17">
        <f t="shared" si="12"/>
        <v>13.714285714285714</v>
      </c>
      <c r="V20" s="17">
        <f t="shared" si="12"/>
        <v>5.9285714285714279</v>
      </c>
      <c r="W20" s="17">
        <f t="shared" si="12"/>
        <v>1.8571428571428572</v>
      </c>
      <c r="X20" s="17">
        <f t="shared" si="12"/>
        <v>2.5714285714285712</v>
      </c>
      <c r="Y20" s="17">
        <f t="shared" si="12"/>
        <v>3.2857142857142856</v>
      </c>
      <c r="Z20" s="17">
        <f t="shared" si="12"/>
        <v>4.0476190476190474</v>
      </c>
      <c r="AA20" s="17">
        <f t="shared" si="12"/>
        <v>0.76190476190476186</v>
      </c>
      <c r="AB20" s="17">
        <f t="shared" si="12"/>
        <v>7.7142857142857135</v>
      </c>
      <c r="AC20" s="17">
        <f t="shared" si="12"/>
        <v>31.61904761904762</v>
      </c>
      <c r="AD20" s="17">
        <f t="shared" si="12"/>
        <v>1.3095238095238093</v>
      </c>
      <c r="AE20" s="31">
        <f t="shared" si="12"/>
        <v>53.714285714285715</v>
      </c>
      <c r="AF20" s="31">
        <f t="shared" si="12"/>
        <v>85.333333333333329</v>
      </c>
    </row>
    <row r="21" spans="2:32" ht="23.1" customHeight="1" x14ac:dyDescent="0.25">
      <c r="B21" s="23" t="s">
        <v>48</v>
      </c>
      <c r="C21" s="49">
        <f>'Avg Week Karuma-Pakwach'!C21+'Avg Week Pakwach-Karuma'!C21</f>
        <v>1.3333333333333333</v>
      </c>
      <c r="D21" s="49">
        <f>'Avg Week Karuma-Pakwach'!D21+'Avg Week Pakwach-Karuma'!D21</f>
        <v>0.47619047619047616</v>
      </c>
      <c r="E21" s="49">
        <f>'Avg Week Karuma-Pakwach'!E21+'Avg Week Pakwach-Karuma'!E21</f>
        <v>2.666666666666667</v>
      </c>
      <c r="F21" s="49">
        <f>'Avg Week Karuma-Pakwach'!F21+'Avg Week Pakwach-Karuma'!F21</f>
        <v>1.5238095238095237</v>
      </c>
      <c r="G21" s="49">
        <f>'Avg Week Karuma-Pakwach'!G21+'Avg Week Pakwach-Karuma'!G21</f>
        <v>1.2619047619047619</v>
      </c>
      <c r="H21" s="49">
        <f>'Avg Week Karuma-Pakwach'!H21+'Avg Week Pakwach-Karuma'!H21</f>
        <v>0.33333333333333331</v>
      </c>
      <c r="I21" s="49">
        <f>'Avg Week Karuma-Pakwach'!I21+'Avg Week Pakwach-Karuma'!I21</f>
        <v>0.76190476190476186</v>
      </c>
      <c r="J21" s="49">
        <f>'Avg Week Karuma-Pakwach'!J21+'Avg Week Pakwach-Karuma'!J21</f>
        <v>0.45238095238095233</v>
      </c>
      <c r="K21" s="49">
        <f>'Avg Week Karuma-Pakwach'!K21+'Avg Week Pakwach-Karuma'!K21</f>
        <v>0.2857142857142857</v>
      </c>
      <c r="L21" s="49">
        <f>'Avg Week Karuma-Pakwach'!L21+'Avg Week Pakwach-Karuma'!L21</f>
        <v>1.1190476190476191</v>
      </c>
      <c r="M21" s="49">
        <f>'Avg Week Karuma-Pakwach'!M21+'Avg Week Pakwach-Karuma'!M21</f>
        <v>9.7619047619047628</v>
      </c>
      <c r="N21" s="49">
        <f>'Avg Week Karuma-Pakwach'!N21+'Avg Week Pakwach-Karuma'!N21</f>
        <v>0</v>
      </c>
      <c r="O21" s="15">
        <f t="shared" si="0"/>
        <v>10.214285714285715</v>
      </c>
      <c r="P21" s="15">
        <f t="shared" si="1"/>
        <v>19.976190476190478</v>
      </c>
      <c r="R21" s="36" t="s">
        <v>20</v>
      </c>
      <c r="S21" s="34">
        <f t="shared" ref="S21:AF21" si="13">SUM(C54:C57)</f>
        <v>3.547619047619047</v>
      </c>
      <c r="T21" s="17">
        <f t="shared" si="13"/>
        <v>1.4523809523809523</v>
      </c>
      <c r="U21" s="17">
        <f t="shared" si="13"/>
        <v>10.285714285714285</v>
      </c>
      <c r="V21" s="17">
        <f t="shared" si="13"/>
        <v>3.9047619047619051</v>
      </c>
      <c r="W21" s="17">
        <f t="shared" si="13"/>
        <v>2.0476190476190474</v>
      </c>
      <c r="X21" s="17">
        <f t="shared" si="13"/>
        <v>3.4523809523809526</v>
      </c>
      <c r="Y21" s="17">
        <f t="shared" si="13"/>
        <v>2.4761904761904763</v>
      </c>
      <c r="Z21" s="17">
        <f t="shared" si="13"/>
        <v>1.5</v>
      </c>
      <c r="AA21" s="17">
        <f t="shared" si="13"/>
        <v>2.3571428571428572</v>
      </c>
      <c r="AB21" s="17">
        <f t="shared" si="13"/>
        <v>5.5714285714285712</v>
      </c>
      <c r="AC21" s="17">
        <f t="shared" si="13"/>
        <v>25.61904761904762</v>
      </c>
      <c r="AD21" s="17">
        <f t="shared" si="13"/>
        <v>1.3809523809523809</v>
      </c>
      <c r="AE21" s="31">
        <f t="shared" si="13"/>
        <v>37.976190476190474</v>
      </c>
      <c r="AF21" s="31">
        <f t="shared" si="13"/>
        <v>63.595238095238095</v>
      </c>
    </row>
    <row r="22" spans="2:32" ht="23.1" customHeight="1" x14ac:dyDescent="0.25">
      <c r="B22" s="23" t="s">
        <v>49</v>
      </c>
      <c r="C22" s="49">
        <f>'Avg Week Karuma-Pakwach'!C22+'Avg Week Pakwach-Karuma'!C22</f>
        <v>1.2619047619047619</v>
      </c>
      <c r="D22" s="49">
        <f>'Avg Week Karuma-Pakwach'!D22+'Avg Week Pakwach-Karuma'!D22</f>
        <v>0.30952380952380953</v>
      </c>
      <c r="E22" s="49">
        <f>'Avg Week Karuma-Pakwach'!E22+'Avg Week Pakwach-Karuma'!E22</f>
        <v>2.2619047619047619</v>
      </c>
      <c r="F22" s="49">
        <f>'Avg Week Karuma-Pakwach'!F22+'Avg Week Pakwach-Karuma'!F22</f>
        <v>1.4047619047619047</v>
      </c>
      <c r="G22" s="49">
        <f>'Avg Week Karuma-Pakwach'!G22+'Avg Week Pakwach-Karuma'!G22</f>
        <v>0.64285714285714279</v>
      </c>
      <c r="H22" s="49">
        <f>'Avg Week Karuma-Pakwach'!H22+'Avg Week Pakwach-Karuma'!H22</f>
        <v>0.5</v>
      </c>
      <c r="I22" s="49">
        <f>'Avg Week Karuma-Pakwach'!I22+'Avg Week Pakwach-Karuma'!I22</f>
        <v>1.3333333333333333</v>
      </c>
      <c r="J22" s="49">
        <f>'Avg Week Karuma-Pakwach'!J22+'Avg Week Pakwach-Karuma'!J22</f>
        <v>0.5714285714285714</v>
      </c>
      <c r="K22" s="49">
        <f>'Avg Week Karuma-Pakwach'!K22+'Avg Week Pakwach-Karuma'!K22</f>
        <v>0.73809523809523803</v>
      </c>
      <c r="L22" s="49">
        <f>'Avg Week Karuma-Pakwach'!L22+'Avg Week Pakwach-Karuma'!L22</f>
        <v>1.3333333333333333</v>
      </c>
      <c r="M22" s="49">
        <f>'Avg Week Karuma-Pakwach'!M22+'Avg Week Pakwach-Karuma'!M22</f>
        <v>6.0238095238095237</v>
      </c>
      <c r="N22" s="49">
        <f>'Avg Week Karuma-Pakwach'!N22+'Avg Week Pakwach-Karuma'!N22</f>
        <v>0</v>
      </c>
      <c r="O22" s="15">
        <f t="shared" si="0"/>
        <v>10.357142857142856</v>
      </c>
      <c r="P22" s="15">
        <f t="shared" si="1"/>
        <v>16.38095238095238</v>
      </c>
      <c r="R22" s="1" t="s">
        <v>146</v>
      </c>
      <c r="S22" s="34">
        <f>SUM(C58:C61)</f>
        <v>2</v>
      </c>
      <c r="T22" s="34">
        <f t="shared" ref="T22:AF22" si="14">SUM(D58:D61)</f>
        <v>0</v>
      </c>
      <c r="U22" s="34">
        <f t="shared" si="14"/>
        <v>8</v>
      </c>
      <c r="V22" s="34">
        <f t="shared" si="14"/>
        <v>2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4</v>
      </c>
      <c r="AA22" s="34">
        <f t="shared" si="14"/>
        <v>0</v>
      </c>
      <c r="AB22" s="34">
        <f t="shared" si="14"/>
        <v>8</v>
      </c>
      <c r="AC22" s="34">
        <f t="shared" si="14"/>
        <v>15</v>
      </c>
      <c r="AD22" s="34">
        <f t="shared" si="14"/>
        <v>0</v>
      </c>
      <c r="AE22" s="31">
        <f t="shared" si="14"/>
        <v>24</v>
      </c>
      <c r="AF22" s="31">
        <f t="shared" si="14"/>
        <v>39</v>
      </c>
    </row>
    <row r="23" spans="2:32" ht="23.1" customHeight="1" x14ac:dyDescent="0.25">
      <c r="B23" s="23" t="s">
        <v>50</v>
      </c>
      <c r="C23" s="49">
        <f>'Avg Week Karuma-Pakwach'!C23+'Avg Week Pakwach-Karuma'!C23</f>
        <v>1.0952380952380951</v>
      </c>
      <c r="D23" s="49">
        <f>'Avg Week Karuma-Pakwach'!D23+'Avg Week Pakwach-Karuma'!D23</f>
        <v>0.61904761904761907</v>
      </c>
      <c r="E23" s="49">
        <f>'Avg Week Karuma-Pakwach'!E23+'Avg Week Pakwach-Karuma'!E23</f>
        <v>3.8571428571428572</v>
      </c>
      <c r="F23" s="49">
        <f>'Avg Week Karuma-Pakwach'!F23+'Avg Week Pakwach-Karuma'!F23</f>
        <v>1.7380952380952381</v>
      </c>
      <c r="G23" s="49">
        <f>'Avg Week Karuma-Pakwach'!G23+'Avg Week Pakwach-Karuma'!G23</f>
        <v>1.0952380952380951</v>
      </c>
      <c r="H23" s="49">
        <f>'Avg Week Karuma-Pakwach'!H23+'Avg Week Pakwach-Karuma'!H23</f>
        <v>0.97619047619047628</v>
      </c>
      <c r="I23" s="49">
        <f>'Avg Week Karuma-Pakwach'!I23+'Avg Week Pakwach-Karuma'!I23</f>
        <v>0.5</v>
      </c>
      <c r="J23" s="49">
        <f>'Avg Week Karuma-Pakwach'!J23+'Avg Week Pakwach-Karuma'!J23</f>
        <v>0.14285714285714285</v>
      </c>
      <c r="K23" s="49">
        <f>'Avg Week Karuma-Pakwach'!K23+'Avg Week Pakwach-Karuma'!K23</f>
        <v>0.30952380952380953</v>
      </c>
      <c r="L23" s="49">
        <f>'Avg Week Karuma-Pakwach'!L23+'Avg Week Pakwach-Karuma'!L23</f>
        <v>1.6428571428571428</v>
      </c>
      <c r="M23" s="49">
        <f>'Avg Week Karuma-Pakwach'!M23+'Avg Week Pakwach-Karuma'!M23</f>
        <v>7.2380952380952381</v>
      </c>
      <c r="N23" s="49">
        <f>'Avg Week Karuma-Pakwach'!N23+'Avg Week Pakwach-Karuma'!N23</f>
        <v>0.2857142857142857</v>
      </c>
      <c r="O23" s="15">
        <f t="shared" si="0"/>
        <v>12.261904761904763</v>
      </c>
      <c r="P23" s="15">
        <f t="shared" si="1"/>
        <v>19.5</v>
      </c>
      <c r="R23" s="1" t="s">
        <v>147</v>
      </c>
      <c r="S23" s="34">
        <f>SUM(C62:C65)</f>
        <v>2</v>
      </c>
      <c r="T23" s="34">
        <f t="shared" ref="T23:AF23" si="15">SUM(D62:D65)</f>
        <v>0</v>
      </c>
      <c r="U23" s="34">
        <f t="shared" si="15"/>
        <v>6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6</v>
      </c>
      <c r="AA23" s="34">
        <f t="shared" si="15"/>
        <v>0</v>
      </c>
      <c r="AB23" s="34">
        <f t="shared" si="15"/>
        <v>8</v>
      </c>
      <c r="AC23" s="34">
        <f t="shared" si="15"/>
        <v>16.5</v>
      </c>
      <c r="AD23" s="34">
        <f t="shared" si="15"/>
        <v>0</v>
      </c>
      <c r="AE23" s="31">
        <f t="shared" si="15"/>
        <v>24</v>
      </c>
      <c r="AF23" s="31">
        <f t="shared" si="15"/>
        <v>40.5</v>
      </c>
    </row>
    <row r="24" spans="2:32" ht="23.1" customHeight="1" x14ac:dyDescent="0.25">
      <c r="B24" s="23" t="s">
        <v>51</v>
      </c>
      <c r="C24" s="49">
        <f>'Avg Week Karuma-Pakwach'!C24+'Avg Week Pakwach-Karuma'!C24</f>
        <v>0.14285714285714285</v>
      </c>
      <c r="D24" s="49">
        <f>'Avg Week Karuma-Pakwach'!D24+'Avg Week Pakwach-Karuma'!D24</f>
        <v>0.59523809523809523</v>
      </c>
      <c r="E24" s="49">
        <f>'Avg Week Karuma-Pakwach'!E24+'Avg Week Pakwach-Karuma'!E24</f>
        <v>2.8571428571428572</v>
      </c>
      <c r="F24" s="49">
        <f>'Avg Week Karuma-Pakwach'!F24+'Avg Week Pakwach-Karuma'!F24</f>
        <v>0.5714285714285714</v>
      </c>
      <c r="G24" s="49">
        <f>'Avg Week Karuma-Pakwach'!G24+'Avg Week Pakwach-Karuma'!G24</f>
        <v>1.1190476190476191</v>
      </c>
      <c r="H24" s="49">
        <f>'Avg Week Karuma-Pakwach'!H24+'Avg Week Pakwach-Karuma'!H24</f>
        <v>0.5</v>
      </c>
      <c r="I24" s="49">
        <f>'Avg Week Karuma-Pakwach'!I24+'Avg Week Pakwach-Karuma'!I24</f>
        <v>0.47619047619047616</v>
      </c>
      <c r="J24" s="49">
        <f>'Avg Week Karuma-Pakwach'!J24+'Avg Week Pakwach-Karuma'!J24</f>
        <v>1.3333333333333333</v>
      </c>
      <c r="K24" s="49">
        <f>'Avg Week Karuma-Pakwach'!K24+'Avg Week Pakwach-Karuma'!K24</f>
        <v>0.33333333333333331</v>
      </c>
      <c r="L24" s="49">
        <f>'Avg Week Karuma-Pakwach'!L24+'Avg Week Pakwach-Karuma'!L24</f>
        <v>1.1904761904761905</v>
      </c>
      <c r="M24" s="49">
        <f>'Avg Week Karuma-Pakwach'!M24+'Avg Week Pakwach-Karuma'!M24</f>
        <v>5.7857142857142856</v>
      </c>
      <c r="N24" s="49">
        <f>'Avg Week Karuma-Pakwach'!N24+'Avg Week Pakwach-Karuma'!N24</f>
        <v>0.42857142857142855</v>
      </c>
      <c r="O24" s="15">
        <f t="shared" si="0"/>
        <v>9.5476190476190474</v>
      </c>
      <c r="P24" s="15">
        <f t="shared" si="1"/>
        <v>15.333333333333334</v>
      </c>
      <c r="R24" s="1" t="s">
        <v>148</v>
      </c>
      <c r="S24" s="34">
        <f>SUM(C66:C69)</f>
        <v>4</v>
      </c>
      <c r="T24" s="34">
        <f t="shared" ref="T24:AF24" si="16">SUM(D66:D69)</f>
        <v>0</v>
      </c>
      <c r="U24" s="34">
        <f t="shared" si="16"/>
        <v>6</v>
      </c>
      <c r="V24" s="34">
        <f t="shared" si="16"/>
        <v>4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2</v>
      </c>
      <c r="AA24" s="34">
        <f t="shared" si="16"/>
        <v>0</v>
      </c>
      <c r="AB24" s="34">
        <f t="shared" si="16"/>
        <v>4</v>
      </c>
      <c r="AC24" s="34">
        <f t="shared" si="16"/>
        <v>25.5</v>
      </c>
      <c r="AD24" s="34">
        <f t="shared" si="16"/>
        <v>0</v>
      </c>
      <c r="AE24" s="31">
        <f t="shared" si="16"/>
        <v>20</v>
      </c>
      <c r="AF24" s="31">
        <f t="shared" si="16"/>
        <v>45.5</v>
      </c>
    </row>
    <row r="25" spans="2:32" ht="23.1" customHeight="1" x14ac:dyDescent="0.25">
      <c r="B25" s="23" t="s">
        <v>52</v>
      </c>
      <c r="C25" s="49">
        <f>'Avg Week Karuma-Pakwach'!C25+'Avg Week Pakwach-Karuma'!C25</f>
        <v>0.5714285714285714</v>
      </c>
      <c r="D25" s="49">
        <f>'Avg Week Karuma-Pakwach'!D25+'Avg Week Pakwach-Karuma'!D25</f>
        <v>0.47619047619047616</v>
      </c>
      <c r="E25" s="49">
        <f>'Avg Week Karuma-Pakwach'!E25+'Avg Week Pakwach-Karuma'!E25</f>
        <v>2.9761904761904763</v>
      </c>
      <c r="F25" s="49">
        <f>'Avg Week Karuma-Pakwach'!F25+'Avg Week Pakwach-Karuma'!F25</f>
        <v>1.7857142857142858</v>
      </c>
      <c r="G25" s="49">
        <f>'Avg Week Karuma-Pakwach'!G25+'Avg Week Pakwach-Karuma'!G25</f>
        <v>0.59523809523809523</v>
      </c>
      <c r="H25" s="49">
        <f>'Avg Week Karuma-Pakwach'!H25+'Avg Week Pakwach-Karuma'!H25</f>
        <v>1.5</v>
      </c>
      <c r="I25" s="49">
        <f>'Avg Week Karuma-Pakwach'!I25+'Avg Week Pakwach-Karuma'!I25</f>
        <v>1.4047619047619047</v>
      </c>
      <c r="J25" s="49">
        <f>'Avg Week Karuma-Pakwach'!J25+'Avg Week Pakwach-Karuma'!J25</f>
        <v>0.5714285714285714</v>
      </c>
      <c r="K25" s="49">
        <f>'Avg Week Karuma-Pakwach'!K25+'Avg Week Pakwach-Karuma'!K25</f>
        <v>0.14285714285714285</v>
      </c>
      <c r="L25" s="49">
        <f>'Avg Week Karuma-Pakwach'!L25+'Avg Week Pakwach-Karuma'!L25</f>
        <v>1.4047619047619047</v>
      </c>
      <c r="M25" s="49">
        <f>'Avg Week Karuma-Pakwach'!M25+'Avg Week Pakwach-Karuma'!M25</f>
        <v>5.6904761904761907</v>
      </c>
      <c r="N25" s="49">
        <f>'Avg Week Karuma-Pakwach'!N25+'Avg Week Pakwach-Karuma'!N25</f>
        <v>0.14285714285714285</v>
      </c>
      <c r="O25" s="15">
        <f t="shared" si="0"/>
        <v>11.571428571428569</v>
      </c>
      <c r="P25" s="15">
        <f t="shared" si="1"/>
        <v>17.261904761904759</v>
      </c>
      <c r="R25" s="1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8</v>
      </c>
      <c r="V25" s="34">
        <f t="shared" si="17"/>
        <v>2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2</v>
      </c>
      <c r="AA25" s="34">
        <f t="shared" si="17"/>
        <v>0</v>
      </c>
      <c r="AB25" s="34">
        <f t="shared" si="17"/>
        <v>6</v>
      </c>
      <c r="AC25" s="34">
        <f t="shared" si="17"/>
        <v>13</v>
      </c>
      <c r="AD25" s="34">
        <f t="shared" si="17"/>
        <v>0</v>
      </c>
      <c r="AE25" s="31">
        <f t="shared" si="17"/>
        <v>20</v>
      </c>
      <c r="AF25" s="31">
        <f t="shared" si="17"/>
        <v>33</v>
      </c>
    </row>
    <row r="26" spans="2:32" ht="23.1" customHeight="1" x14ac:dyDescent="0.25">
      <c r="B26" s="23" t="s">
        <v>53</v>
      </c>
      <c r="C26" s="49">
        <f>'Avg Week Karuma-Pakwach'!C26+'Avg Week Pakwach-Karuma'!C26</f>
        <v>1.3333333333333333</v>
      </c>
      <c r="D26" s="49">
        <f>'Avg Week Karuma-Pakwach'!D26+'Avg Week Pakwach-Karuma'!D26</f>
        <v>0.14285714285714285</v>
      </c>
      <c r="E26" s="49">
        <f>'Avg Week Karuma-Pakwach'!E26+'Avg Week Pakwach-Karuma'!E26</f>
        <v>2.1190476190476191</v>
      </c>
      <c r="F26" s="49">
        <f>'Avg Week Karuma-Pakwach'!F26+'Avg Week Pakwach-Karuma'!F26</f>
        <v>2.9047619047619047</v>
      </c>
      <c r="G26" s="49">
        <f>'Avg Week Karuma-Pakwach'!G26+'Avg Week Pakwach-Karuma'!G26</f>
        <v>0.95238095238095233</v>
      </c>
      <c r="H26" s="49">
        <f>'Avg Week Karuma-Pakwach'!H26+'Avg Week Pakwach-Karuma'!H26</f>
        <v>0.5</v>
      </c>
      <c r="I26" s="49">
        <f>'Avg Week Karuma-Pakwach'!I26+'Avg Week Pakwach-Karuma'!I26</f>
        <v>0.59523809523809523</v>
      </c>
      <c r="J26" s="49">
        <f>'Avg Week Karuma-Pakwach'!J26+'Avg Week Pakwach-Karuma'!J26</f>
        <v>0.5</v>
      </c>
      <c r="K26" s="49">
        <f>'Avg Week Karuma-Pakwach'!K26+'Avg Week Pakwach-Karuma'!K26</f>
        <v>0.2857142857142857</v>
      </c>
      <c r="L26" s="49">
        <f>'Avg Week Karuma-Pakwach'!L26+'Avg Week Pakwach-Karuma'!L26</f>
        <v>1.5714285714285714</v>
      </c>
      <c r="M26" s="49">
        <f>'Avg Week Karuma-Pakwach'!M26+'Avg Week Pakwach-Karuma'!M26</f>
        <v>6.5952380952380949</v>
      </c>
      <c r="N26" s="49">
        <f>'Avg Week Karuma-Pakwach'!N26+'Avg Week Pakwach-Karuma'!N26</f>
        <v>0.14285714285714285</v>
      </c>
      <c r="O26" s="15">
        <f t="shared" si="0"/>
        <v>11.047619047619047</v>
      </c>
      <c r="P26" s="15">
        <f t="shared" si="1"/>
        <v>17.642857142857142</v>
      </c>
      <c r="R26" s="1" t="s">
        <v>150</v>
      </c>
      <c r="S26" s="34">
        <f>SUM(C74:C77)</f>
        <v>4</v>
      </c>
      <c r="T26" s="34">
        <f t="shared" ref="T26:AF26" si="18">SUM(D74:D77)</f>
        <v>2</v>
      </c>
      <c r="U26" s="34">
        <f t="shared" si="18"/>
        <v>10</v>
      </c>
      <c r="V26" s="34">
        <f t="shared" si="18"/>
        <v>6</v>
      </c>
      <c r="W26" s="34">
        <f t="shared" si="18"/>
        <v>2</v>
      </c>
      <c r="X26" s="34">
        <f t="shared" si="18"/>
        <v>0</v>
      </c>
      <c r="Y26" s="34">
        <f t="shared" si="18"/>
        <v>4</v>
      </c>
      <c r="Z26" s="34">
        <f t="shared" si="18"/>
        <v>0</v>
      </c>
      <c r="AA26" s="34">
        <f t="shared" si="18"/>
        <v>0</v>
      </c>
      <c r="AB26" s="34">
        <f t="shared" si="18"/>
        <v>4</v>
      </c>
      <c r="AC26" s="34">
        <f t="shared" si="18"/>
        <v>8</v>
      </c>
      <c r="AD26" s="34">
        <f t="shared" si="18"/>
        <v>0</v>
      </c>
      <c r="AE26" s="31">
        <f t="shared" si="18"/>
        <v>32</v>
      </c>
      <c r="AF26" s="31">
        <f t="shared" si="18"/>
        <v>40</v>
      </c>
    </row>
    <row r="27" spans="2:32" ht="23.1" customHeight="1" x14ac:dyDescent="0.25">
      <c r="B27" s="23" t="s">
        <v>54</v>
      </c>
      <c r="C27" s="49">
        <f>'Avg Week Karuma-Pakwach'!C27+'Avg Week Pakwach-Karuma'!C27</f>
        <v>0.90476190476190466</v>
      </c>
      <c r="D27" s="49">
        <f>'Avg Week Karuma-Pakwach'!D27+'Avg Week Pakwach-Karuma'!D27</f>
        <v>0.2857142857142857</v>
      </c>
      <c r="E27" s="49">
        <f>'Avg Week Karuma-Pakwach'!E27+'Avg Week Pakwach-Karuma'!E27</f>
        <v>2.0714285714285712</v>
      </c>
      <c r="F27" s="49">
        <f>'Avg Week Karuma-Pakwach'!F27+'Avg Week Pakwach-Karuma'!F27</f>
        <v>1.1428571428571428</v>
      </c>
      <c r="G27" s="49">
        <f>'Avg Week Karuma-Pakwach'!G27+'Avg Week Pakwach-Karuma'!G27</f>
        <v>1.1190476190476191</v>
      </c>
      <c r="H27" s="49">
        <f>'Avg Week Karuma-Pakwach'!H27+'Avg Week Pakwach-Karuma'!H27</f>
        <v>0.83333333333333337</v>
      </c>
      <c r="I27" s="49">
        <f>'Avg Week Karuma-Pakwach'!I27+'Avg Week Pakwach-Karuma'!I27</f>
        <v>1.5</v>
      </c>
      <c r="J27" s="49">
        <f>'Avg Week Karuma-Pakwach'!J27+'Avg Week Pakwach-Karuma'!J27</f>
        <v>0.61904761904761907</v>
      </c>
      <c r="K27" s="49">
        <f>'Avg Week Karuma-Pakwach'!K27+'Avg Week Pakwach-Karuma'!K27</f>
        <v>0.2857142857142857</v>
      </c>
      <c r="L27" s="49">
        <f>'Avg Week Karuma-Pakwach'!L27+'Avg Week Pakwach-Karuma'!L27</f>
        <v>1.1904761904761905</v>
      </c>
      <c r="M27" s="49">
        <f>'Avg Week Karuma-Pakwach'!M27+'Avg Week Pakwach-Karuma'!M27</f>
        <v>7.7380952380952372</v>
      </c>
      <c r="N27" s="49">
        <f>'Avg Week Karuma-Pakwach'!N27+'Avg Week Pakwach-Karuma'!N27</f>
        <v>0.30952380952380953</v>
      </c>
      <c r="O27" s="15">
        <f t="shared" si="0"/>
        <v>10.261904761904763</v>
      </c>
      <c r="P27" s="15">
        <f t="shared" si="1"/>
        <v>18</v>
      </c>
      <c r="R27" s="1" t="s">
        <v>151</v>
      </c>
      <c r="S27" s="34">
        <f>SUM(C78:C81)</f>
        <v>2.5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2</v>
      </c>
      <c r="AC27" s="34">
        <f t="shared" si="19"/>
        <v>10</v>
      </c>
      <c r="AD27" s="34">
        <f t="shared" si="19"/>
        <v>0</v>
      </c>
      <c r="AE27" s="31">
        <f t="shared" si="19"/>
        <v>10.5</v>
      </c>
      <c r="AF27" s="31">
        <f t="shared" si="19"/>
        <v>20.5</v>
      </c>
    </row>
    <row r="28" spans="2:32" ht="23.1" customHeight="1" x14ac:dyDescent="0.25">
      <c r="B28" s="23" t="s">
        <v>55</v>
      </c>
      <c r="C28" s="49">
        <f>'Avg Week Karuma-Pakwach'!C28+'Avg Week Pakwach-Karuma'!C28</f>
        <v>1.5238095238095237</v>
      </c>
      <c r="D28" s="49">
        <f>'Avg Week Karuma-Pakwach'!D28+'Avg Week Pakwach-Karuma'!D28</f>
        <v>0.80952380952380953</v>
      </c>
      <c r="E28" s="49">
        <f>'Avg Week Karuma-Pakwach'!E28+'Avg Week Pakwach-Karuma'!E28</f>
        <v>3.7380952380952381</v>
      </c>
      <c r="F28" s="49">
        <f>'Avg Week Karuma-Pakwach'!F28+'Avg Week Pakwach-Karuma'!F28</f>
        <v>0.47619047619047616</v>
      </c>
      <c r="G28" s="49">
        <f>'Avg Week Karuma-Pakwach'!G28+'Avg Week Pakwach-Karuma'!G28</f>
        <v>0.73809523809523803</v>
      </c>
      <c r="H28" s="49">
        <f>'Avg Week Karuma-Pakwach'!H28+'Avg Week Pakwach-Karuma'!H28</f>
        <v>0.30952380952380953</v>
      </c>
      <c r="I28" s="49">
        <f>'Avg Week Karuma-Pakwach'!I28+'Avg Week Pakwach-Karuma'!I28</f>
        <v>0.47619047619047616</v>
      </c>
      <c r="J28" s="49">
        <f>'Avg Week Karuma-Pakwach'!J28+'Avg Week Pakwach-Karuma'!J28</f>
        <v>0.30952380952380953</v>
      </c>
      <c r="K28" s="49">
        <f>'Avg Week Karuma-Pakwach'!K28+'Avg Week Pakwach-Karuma'!K28</f>
        <v>0.7857142857142857</v>
      </c>
      <c r="L28" s="49">
        <f>'Avg Week Karuma-Pakwach'!L28+'Avg Week Pakwach-Karuma'!L28</f>
        <v>1.3095238095238095</v>
      </c>
      <c r="M28" s="49">
        <f>'Avg Week Karuma-Pakwach'!M28+'Avg Week Pakwach-Karuma'!M28</f>
        <v>6.8333333333333339</v>
      </c>
      <c r="N28" s="49">
        <f>'Avg Week Karuma-Pakwach'!N28+'Avg Week Pakwach-Karuma'!N28</f>
        <v>0.2857142857142857</v>
      </c>
      <c r="O28" s="15">
        <f t="shared" si="0"/>
        <v>10.761904761904765</v>
      </c>
      <c r="P28" s="15">
        <f t="shared" si="1"/>
        <v>17.595238095238095</v>
      </c>
      <c r="R28" s="1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6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4</v>
      </c>
      <c r="AC28" s="34">
        <f t="shared" si="20"/>
        <v>8</v>
      </c>
      <c r="AD28" s="34">
        <f t="shared" si="20"/>
        <v>0</v>
      </c>
      <c r="AE28" s="31">
        <f t="shared" si="20"/>
        <v>14</v>
      </c>
      <c r="AF28" s="31">
        <f t="shared" si="20"/>
        <v>22</v>
      </c>
    </row>
    <row r="29" spans="2:32" ht="23.1" customHeight="1" x14ac:dyDescent="0.25">
      <c r="B29" s="23" t="s">
        <v>56</v>
      </c>
      <c r="C29" s="49">
        <f>'Avg Week Karuma-Pakwach'!C29+'Avg Week Pakwach-Karuma'!C29</f>
        <v>0.64285714285714279</v>
      </c>
      <c r="D29" s="49">
        <f>'Avg Week Karuma-Pakwach'!D29+'Avg Week Pakwach-Karuma'!D29</f>
        <v>1</v>
      </c>
      <c r="E29" s="49">
        <f>'Avg Week Karuma-Pakwach'!E29+'Avg Week Pakwach-Karuma'!E29</f>
        <v>3.8809523809523814</v>
      </c>
      <c r="F29" s="49">
        <f>'Avg Week Karuma-Pakwach'!F29+'Avg Week Pakwach-Karuma'!F29</f>
        <v>2.2857142857142856</v>
      </c>
      <c r="G29" s="49">
        <f>'Avg Week Karuma-Pakwach'!G29+'Avg Week Pakwach-Karuma'!G29</f>
        <v>1.5238095238095237</v>
      </c>
      <c r="H29" s="49">
        <f>'Avg Week Karuma-Pakwach'!H29+'Avg Week Pakwach-Karuma'!H29</f>
        <v>2.1428571428571428</v>
      </c>
      <c r="I29" s="49">
        <f>'Avg Week Karuma-Pakwach'!I29+'Avg Week Pakwach-Karuma'!I29</f>
        <v>1.6904761904761905</v>
      </c>
      <c r="J29" s="49">
        <f>'Avg Week Karuma-Pakwach'!J29+'Avg Week Pakwach-Karuma'!J29</f>
        <v>0.90476190476190466</v>
      </c>
      <c r="K29" s="49">
        <f>'Avg Week Karuma-Pakwach'!K29+'Avg Week Pakwach-Karuma'!K29</f>
        <v>0.2857142857142857</v>
      </c>
      <c r="L29" s="49">
        <f>'Avg Week Karuma-Pakwach'!L29+'Avg Week Pakwach-Karuma'!L29</f>
        <v>0.90476190476190466</v>
      </c>
      <c r="M29" s="49">
        <f>'Avg Week Karuma-Pakwach'!M29+'Avg Week Pakwach-Karuma'!M29</f>
        <v>6.8333333333333339</v>
      </c>
      <c r="N29" s="49">
        <f>'Avg Week Karuma-Pakwach'!N29+'Avg Week Pakwach-Karuma'!N29</f>
        <v>0</v>
      </c>
      <c r="O29" s="15">
        <f t="shared" si="0"/>
        <v>15.261904761904761</v>
      </c>
      <c r="P29" s="15">
        <f t="shared" si="1"/>
        <v>22.095238095238095</v>
      </c>
      <c r="R29" s="1" t="s">
        <v>153</v>
      </c>
      <c r="S29" s="34">
        <f>SUM(C86:C89)</f>
        <v>2</v>
      </c>
      <c r="T29" s="34">
        <f t="shared" ref="T29:AF29" si="21">SUM(D86:D89)</f>
        <v>4</v>
      </c>
      <c r="U29" s="34">
        <f t="shared" si="21"/>
        <v>10</v>
      </c>
      <c r="V29" s="34">
        <f t="shared" si="21"/>
        <v>6</v>
      </c>
      <c r="W29" s="34">
        <f t="shared" si="21"/>
        <v>2</v>
      </c>
      <c r="X29" s="34">
        <f t="shared" si="21"/>
        <v>4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4</v>
      </c>
      <c r="AC29" s="34">
        <f t="shared" si="21"/>
        <v>0</v>
      </c>
      <c r="AD29" s="34">
        <f t="shared" si="21"/>
        <v>0</v>
      </c>
      <c r="AE29" s="31">
        <f t="shared" si="21"/>
        <v>32</v>
      </c>
      <c r="AF29" s="31">
        <f t="shared" si="21"/>
        <v>32</v>
      </c>
    </row>
    <row r="30" spans="2:32" ht="23.1" customHeight="1" x14ac:dyDescent="0.25">
      <c r="B30" s="23" t="s">
        <v>57</v>
      </c>
      <c r="C30" s="49">
        <f>'Avg Week Karuma-Pakwach'!C30+'Avg Week Pakwach-Karuma'!C30</f>
        <v>0.95238095238095233</v>
      </c>
      <c r="D30" s="49">
        <f>'Avg Week Karuma-Pakwach'!D30+'Avg Week Pakwach-Karuma'!D30</f>
        <v>0.42857142857142855</v>
      </c>
      <c r="E30" s="49">
        <f>'Avg Week Karuma-Pakwach'!E30+'Avg Week Pakwach-Karuma'!E30</f>
        <v>2.3571428571428572</v>
      </c>
      <c r="F30" s="49">
        <f>'Avg Week Karuma-Pakwach'!F30+'Avg Week Pakwach-Karuma'!F30</f>
        <v>1.5</v>
      </c>
      <c r="G30" s="49">
        <f>'Avg Week Karuma-Pakwach'!G30+'Avg Week Pakwach-Karuma'!G30</f>
        <v>0</v>
      </c>
      <c r="H30" s="49">
        <f>'Avg Week Karuma-Pakwach'!H30+'Avg Week Pakwach-Karuma'!H30</f>
        <v>0.33333333333333331</v>
      </c>
      <c r="I30" s="49">
        <f>'Avg Week Karuma-Pakwach'!I30+'Avg Week Pakwach-Karuma'!I30</f>
        <v>0</v>
      </c>
      <c r="J30" s="49">
        <f>'Avg Week Karuma-Pakwach'!J30+'Avg Week Pakwach-Karuma'!J30</f>
        <v>0.16666666666666666</v>
      </c>
      <c r="K30" s="49">
        <f>'Avg Week Karuma-Pakwach'!K30+'Avg Week Pakwach-Karuma'!K30</f>
        <v>0.14285714285714285</v>
      </c>
      <c r="L30" s="49">
        <f>'Avg Week Karuma-Pakwach'!L30+'Avg Week Pakwach-Karuma'!L30</f>
        <v>0.7857142857142857</v>
      </c>
      <c r="M30" s="49">
        <f>'Avg Week Karuma-Pakwach'!M30+'Avg Week Pakwach-Karuma'!M30</f>
        <v>5.2857142857142856</v>
      </c>
      <c r="N30" s="49">
        <f>'Avg Week Karuma-Pakwach'!N30+'Avg Week Pakwach-Karuma'!N30</f>
        <v>0.14285714285714285</v>
      </c>
      <c r="O30" s="15">
        <f t="shared" si="0"/>
        <v>6.8095238095238102</v>
      </c>
      <c r="P30" s="15">
        <f t="shared" si="1"/>
        <v>12.095238095238095</v>
      </c>
      <c r="R30" s="1" t="s">
        <v>154</v>
      </c>
      <c r="S30" s="34">
        <f>SUM(C90:C93)</f>
        <v>2.5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6.5</v>
      </c>
      <c r="AF30" s="31">
        <f t="shared" si="22"/>
        <v>6.5</v>
      </c>
    </row>
    <row r="31" spans="2:32" ht="23.1" customHeight="1" x14ac:dyDescent="0.25">
      <c r="B31" s="24" t="s">
        <v>58</v>
      </c>
      <c r="C31" s="49">
        <f>'Avg Week Karuma-Pakwach'!C31+'Avg Week Pakwach-Karuma'!C31</f>
        <v>1.1904761904761905</v>
      </c>
      <c r="D31" s="49">
        <f>'Avg Week Karuma-Pakwach'!D31+'Avg Week Pakwach-Karuma'!D31</f>
        <v>0.47619047619047616</v>
      </c>
      <c r="E31" s="49">
        <f>'Avg Week Karuma-Pakwach'!E31+'Avg Week Pakwach-Karuma'!E31</f>
        <v>3.6904761904761907</v>
      </c>
      <c r="F31" s="49">
        <f>'Avg Week Karuma-Pakwach'!F31+'Avg Week Pakwach-Karuma'!F31</f>
        <v>0.59523809523809523</v>
      </c>
      <c r="G31" s="49">
        <f>'Avg Week Karuma-Pakwach'!G31+'Avg Week Pakwach-Karuma'!G31</f>
        <v>0</v>
      </c>
      <c r="H31" s="49">
        <f>'Avg Week Karuma-Pakwach'!H31+'Avg Week Pakwach-Karuma'!H31</f>
        <v>0.5</v>
      </c>
      <c r="I31" s="49">
        <f>'Avg Week Karuma-Pakwach'!I31+'Avg Week Pakwach-Karuma'!I31</f>
        <v>0.30952380952380953</v>
      </c>
      <c r="J31" s="49">
        <f>'Avg Week Karuma-Pakwach'!J31+'Avg Week Pakwach-Karuma'!J31</f>
        <v>0.64285714285714279</v>
      </c>
      <c r="K31" s="49">
        <f>'Avg Week Karuma-Pakwach'!K31+'Avg Week Pakwach-Karuma'!K31</f>
        <v>0.14285714285714285</v>
      </c>
      <c r="L31" s="49">
        <f>'Avg Week Karuma-Pakwach'!L31+'Avg Week Pakwach-Karuma'!L31</f>
        <v>0.2857142857142857</v>
      </c>
      <c r="M31" s="49">
        <f>'Avg Week Karuma-Pakwach'!M31+'Avg Week Pakwach-Karuma'!M31</f>
        <v>4.5238095238095237</v>
      </c>
      <c r="N31" s="49">
        <f>'Avg Week Karuma-Pakwach'!N31+'Avg Week Pakwach-Karuma'!N31</f>
        <v>0.14285714285714285</v>
      </c>
      <c r="O31" s="15">
        <f t="shared" si="0"/>
        <v>7.9761904761904772</v>
      </c>
      <c r="P31" s="15">
        <f t="shared" si="1"/>
        <v>12.5</v>
      </c>
      <c r="R31" s="1" t="s">
        <v>155</v>
      </c>
      <c r="S31" s="34">
        <f>SUM(C94:C97)</f>
        <v>4</v>
      </c>
      <c r="T31" s="34">
        <f t="shared" ref="T31:AF31" si="23">SUM(D94:D97)</f>
        <v>2</v>
      </c>
      <c r="U31" s="34">
        <f t="shared" si="23"/>
        <v>3.5</v>
      </c>
      <c r="V31" s="34">
        <f t="shared" si="23"/>
        <v>2</v>
      </c>
      <c r="W31" s="34">
        <f t="shared" si="23"/>
        <v>0</v>
      </c>
      <c r="X31" s="34">
        <f t="shared" si="23"/>
        <v>3.5</v>
      </c>
      <c r="Y31" s="34">
        <f t="shared" si="23"/>
        <v>0</v>
      </c>
      <c r="Z31" s="34">
        <f t="shared" si="23"/>
        <v>0</v>
      </c>
      <c r="AA31" s="34">
        <f t="shared" si="23"/>
        <v>4</v>
      </c>
      <c r="AB31" s="34">
        <f t="shared" si="23"/>
        <v>4</v>
      </c>
      <c r="AC31" s="34">
        <f t="shared" si="23"/>
        <v>0</v>
      </c>
      <c r="AD31" s="34">
        <f t="shared" si="23"/>
        <v>0</v>
      </c>
      <c r="AE31" s="31">
        <f t="shared" si="23"/>
        <v>23</v>
      </c>
      <c r="AF31" s="31">
        <f t="shared" si="23"/>
        <v>23</v>
      </c>
    </row>
    <row r="32" spans="2:32" ht="23.1" customHeight="1" x14ac:dyDescent="0.25">
      <c r="B32" s="24" t="s">
        <v>59</v>
      </c>
      <c r="C32" s="49">
        <f>'Avg Week Karuma-Pakwach'!C32+'Avg Week Pakwach-Karuma'!C32</f>
        <v>1.0714285714285714</v>
      </c>
      <c r="D32" s="49">
        <f>'Avg Week Karuma-Pakwach'!D32+'Avg Week Pakwach-Karuma'!D32</f>
        <v>0.14285714285714285</v>
      </c>
      <c r="E32" s="49">
        <f>'Avg Week Karuma-Pakwach'!E32+'Avg Week Pakwach-Karuma'!E32</f>
        <v>2.5238095238095237</v>
      </c>
      <c r="F32" s="49">
        <f>'Avg Week Karuma-Pakwach'!F32+'Avg Week Pakwach-Karuma'!F32</f>
        <v>1.6904761904761905</v>
      </c>
      <c r="G32" s="49">
        <f>'Avg Week Karuma-Pakwach'!G32+'Avg Week Pakwach-Karuma'!G32</f>
        <v>0.64285714285714279</v>
      </c>
      <c r="H32" s="49">
        <f>'Avg Week Karuma-Pakwach'!H32+'Avg Week Pakwach-Karuma'!H32</f>
        <v>0.30952380952380953</v>
      </c>
      <c r="I32" s="49">
        <f>'Avg Week Karuma-Pakwach'!I32+'Avg Week Pakwach-Karuma'!I32</f>
        <v>0.33333333333333331</v>
      </c>
      <c r="J32" s="49">
        <f>'Avg Week Karuma-Pakwach'!J32+'Avg Week Pakwach-Karuma'!J32</f>
        <v>0.30952380952380953</v>
      </c>
      <c r="K32" s="49">
        <f>'Avg Week Karuma-Pakwach'!K32+'Avg Week Pakwach-Karuma'!K32</f>
        <v>0.14285714285714285</v>
      </c>
      <c r="L32" s="49">
        <f>'Avg Week Karuma-Pakwach'!L32+'Avg Week Pakwach-Karuma'!L32</f>
        <v>1.0238095238095237</v>
      </c>
      <c r="M32" s="49">
        <f>'Avg Week Karuma-Pakwach'!M32+'Avg Week Pakwach-Karuma'!M32</f>
        <v>6.8095238095238102</v>
      </c>
      <c r="N32" s="49">
        <f>'Avg Week Karuma-Pakwach'!N32+'Avg Week Pakwach-Karuma'!N32</f>
        <v>0.64285714285714279</v>
      </c>
      <c r="O32" s="15">
        <f t="shared" si="0"/>
        <v>8.8333333333333321</v>
      </c>
      <c r="P32" s="15">
        <f t="shared" si="1"/>
        <v>15.642857142857142</v>
      </c>
      <c r="R32" s="1" t="s">
        <v>156</v>
      </c>
      <c r="S32" s="34">
        <f>SUM(C98:C101)</f>
        <v>4</v>
      </c>
      <c r="T32" s="34">
        <f t="shared" ref="T32:AF32" si="24">SUM(D98:D101)</f>
        <v>4</v>
      </c>
      <c r="U32" s="34">
        <f t="shared" si="24"/>
        <v>9</v>
      </c>
      <c r="V32" s="34">
        <f t="shared" si="24"/>
        <v>4</v>
      </c>
      <c r="W32" s="34">
        <f t="shared" si="24"/>
        <v>0</v>
      </c>
      <c r="X32" s="34">
        <f t="shared" si="24"/>
        <v>2</v>
      </c>
      <c r="Y32" s="34">
        <f t="shared" si="24"/>
        <v>0</v>
      </c>
      <c r="Z32" s="34">
        <f t="shared" si="24"/>
        <v>2</v>
      </c>
      <c r="AA32" s="34">
        <f t="shared" si="24"/>
        <v>0</v>
      </c>
      <c r="AB32" s="34">
        <f t="shared" si="24"/>
        <v>5.5</v>
      </c>
      <c r="AC32" s="34">
        <f t="shared" si="24"/>
        <v>2</v>
      </c>
      <c r="AD32" s="34">
        <f t="shared" si="24"/>
        <v>0</v>
      </c>
      <c r="AE32" s="31">
        <f t="shared" si="24"/>
        <v>30.5</v>
      </c>
      <c r="AF32" s="31">
        <f t="shared" si="24"/>
        <v>32.5</v>
      </c>
    </row>
    <row r="33" spans="2:32" ht="23.1" customHeight="1" x14ac:dyDescent="0.25">
      <c r="B33" s="23" t="s">
        <v>60</v>
      </c>
      <c r="C33" s="49">
        <f>'Avg Week Karuma-Pakwach'!C33+'Avg Week Pakwach-Karuma'!C33</f>
        <v>1.2380952380952381</v>
      </c>
      <c r="D33" s="49">
        <f>'Avg Week Karuma-Pakwach'!D33+'Avg Week Pakwach-Karuma'!D33</f>
        <v>0.42857142857142855</v>
      </c>
      <c r="E33" s="49">
        <f>'Avg Week Karuma-Pakwach'!E33+'Avg Week Pakwach-Karuma'!E33</f>
        <v>2.7380952380952381</v>
      </c>
      <c r="F33" s="49">
        <f>'Avg Week Karuma-Pakwach'!F33+'Avg Week Pakwach-Karuma'!F33</f>
        <v>1.2380952380952381</v>
      </c>
      <c r="G33" s="49">
        <f>'Avg Week Karuma-Pakwach'!G33+'Avg Week Pakwach-Karuma'!G33</f>
        <v>0.76190476190476186</v>
      </c>
      <c r="H33" s="49">
        <f>'Avg Week Karuma-Pakwach'!H33+'Avg Week Pakwach-Karuma'!H33</f>
        <v>0.76190476190476186</v>
      </c>
      <c r="I33" s="49">
        <f>'Avg Week Karuma-Pakwach'!I33+'Avg Week Pakwach-Karuma'!I33</f>
        <v>0.47619047619047616</v>
      </c>
      <c r="J33" s="49">
        <f>'Avg Week Karuma-Pakwach'!J33+'Avg Week Pakwach-Karuma'!J33</f>
        <v>0.30952380952380953</v>
      </c>
      <c r="K33" s="49">
        <f>'Avg Week Karuma-Pakwach'!K33+'Avg Week Pakwach-Karuma'!K33</f>
        <v>0.64285714285714279</v>
      </c>
      <c r="L33" s="49">
        <f>'Avg Week Karuma-Pakwach'!L33+'Avg Week Pakwach-Karuma'!L33</f>
        <v>0.9285714285714286</v>
      </c>
      <c r="M33" s="49">
        <f>'Avg Week Karuma-Pakwach'!M33+'Avg Week Pakwach-Karuma'!M33</f>
        <v>7.5</v>
      </c>
      <c r="N33" s="49">
        <f>'Avg Week Karuma-Pakwach'!N33+'Avg Week Pakwach-Karuma'!N33</f>
        <v>0.30952380952380953</v>
      </c>
      <c r="O33" s="15">
        <f t="shared" si="0"/>
        <v>9.8333333333333339</v>
      </c>
      <c r="P33" s="15">
        <f t="shared" si="1"/>
        <v>17.333333333333336</v>
      </c>
      <c r="R33" s="1" t="s">
        <v>157</v>
      </c>
      <c r="S33" s="34">
        <f>SUM(C102:C105)</f>
        <v>7</v>
      </c>
      <c r="T33" s="34">
        <f t="shared" ref="T33:AF33" si="25">SUM(D102:D105)</f>
        <v>0</v>
      </c>
      <c r="U33" s="34">
        <f t="shared" si="25"/>
        <v>9</v>
      </c>
      <c r="V33" s="34">
        <f t="shared" si="25"/>
        <v>4</v>
      </c>
      <c r="W33" s="34">
        <f t="shared" si="25"/>
        <v>0</v>
      </c>
      <c r="X33" s="34">
        <f t="shared" si="25"/>
        <v>2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5.5</v>
      </c>
      <c r="AC33" s="34">
        <f t="shared" si="25"/>
        <v>14.5</v>
      </c>
      <c r="AD33" s="34">
        <f t="shared" si="25"/>
        <v>0</v>
      </c>
      <c r="AE33" s="31">
        <f t="shared" si="25"/>
        <v>27.5</v>
      </c>
      <c r="AF33" s="31">
        <f t="shared" si="25"/>
        <v>42</v>
      </c>
    </row>
    <row r="34" spans="2:32" ht="23.1" customHeight="1" x14ac:dyDescent="0.25">
      <c r="B34" s="24" t="s">
        <v>61</v>
      </c>
      <c r="C34" s="49">
        <f>'Avg Week Karuma-Pakwach'!C34+'Avg Week Pakwach-Karuma'!C34</f>
        <v>1.4047619047619047</v>
      </c>
      <c r="D34" s="49">
        <f>'Avg Week Karuma-Pakwach'!D34+'Avg Week Pakwach-Karuma'!D34</f>
        <v>0.76190476190476186</v>
      </c>
      <c r="E34" s="49">
        <f>'Avg Week Karuma-Pakwach'!E34+'Avg Week Pakwach-Karuma'!E34</f>
        <v>2.8571428571428572</v>
      </c>
      <c r="F34" s="49">
        <f>'Avg Week Karuma-Pakwach'!F34+'Avg Week Pakwach-Karuma'!F34</f>
        <v>1.2380952380952381</v>
      </c>
      <c r="G34" s="49">
        <f>'Avg Week Karuma-Pakwach'!G34+'Avg Week Pakwach-Karuma'!G34</f>
        <v>0.2857142857142857</v>
      </c>
      <c r="H34" s="49">
        <f>'Avg Week Karuma-Pakwach'!H34+'Avg Week Pakwach-Karuma'!H34</f>
        <v>0.14285714285714285</v>
      </c>
      <c r="I34" s="49">
        <f>'Avg Week Karuma-Pakwach'!I34+'Avg Week Pakwach-Karuma'!I34</f>
        <v>0.59523809523809523</v>
      </c>
      <c r="J34" s="49">
        <f>'Avg Week Karuma-Pakwach'!J34+'Avg Week Pakwach-Karuma'!J34</f>
        <v>0</v>
      </c>
      <c r="K34" s="49">
        <f>'Avg Week Karuma-Pakwach'!K34+'Avg Week Pakwach-Karuma'!K34</f>
        <v>0</v>
      </c>
      <c r="L34" s="49">
        <f>'Avg Week Karuma-Pakwach'!L34+'Avg Week Pakwach-Karuma'!L34</f>
        <v>1.4761904761904761</v>
      </c>
      <c r="M34" s="49">
        <f>'Avg Week Karuma-Pakwach'!M34+'Avg Week Pakwach-Karuma'!M34</f>
        <v>9.4047619047619051</v>
      </c>
      <c r="N34" s="49">
        <f>'Avg Week Karuma-Pakwach'!N34+'Avg Week Pakwach-Karuma'!N34</f>
        <v>0.47619047619047616</v>
      </c>
      <c r="O34" s="15">
        <f t="shared" si="0"/>
        <v>9.2380952380952372</v>
      </c>
      <c r="P34" s="15">
        <f t="shared" si="1"/>
        <v>18.642857142857139</v>
      </c>
      <c r="R34" s="51" t="s">
        <v>90</v>
      </c>
      <c r="S34" s="52">
        <f t="shared" ref="S34:AF34" si="26">MAX(S10:S12)</f>
        <v>3.9285714285714288</v>
      </c>
      <c r="T34" s="52">
        <f t="shared" si="26"/>
        <v>1.8333333333333335</v>
      </c>
      <c r="U34" s="52">
        <f t="shared" si="26"/>
        <v>8.5238095238095255</v>
      </c>
      <c r="V34" s="52">
        <f t="shared" si="26"/>
        <v>5.1904761904761907</v>
      </c>
      <c r="W34" s="52">
        <f t="shared" si="26"/>
        <v>1.6904761904761905</v>
      </c>
      <c r="X34" s="52">
        <f t="shared" si="26"/>
        <v>1.1190476190476191</v>
      </c>
      <c r="Y34" s="52">
        <f t="shared" si="26"/>
        <v>2.9761904761904763</v>
      </c>
      <c r="Z34" s="52">
        <f t="shared" si="26"/>
        <v>3.7857142857142856</v>
      </c>
      <c r="AA34" s="52">
        <f t="shared" si="26"/>
        <v>1.5714285714285714</v>
      </c>
      <c r="AB34" s="52">
        <f t="shared" si="26"/>
        <v>8.6190476190476186</v>
      </c>
      <c r="AC34" s="52">
        <f t="shared" si="26"/>
        <v>35.404761904761905</v>
      </c>
      <c r="AD34" s="52">
        <f t="shared" si="26"/>
        <v>2.166666666666667</v>
      </c>
      <c r="AE34" s="40">
        <f t="shared" si="26"/>
        <v>34.952380952380949</v>
      </c>
      <c r="AF34" s="40">
        <f t="shared" si="26"/>
        <v>69.333333333333343</v>
      </c>
    </row>
    <row r="35" spans="2:32" ht="23.1" customHeight="1" x14ac:dyDescent="0.25">
      <c r="B35" s="24" t="s">
        <v>62</v>
      </c>
      <c r="C35" s="49">
        <f>'Avg Week Karuma-Pakwach'!C35+'Avg Week Pakwach-Karuma'!C35</f>
        <v>2.3571428571428572</v>
      </c>
      <c r="D35" s="49">
        <f>'Avg Week Karuma-Pakwach'!D35+'Avg Week Pakwach-Karuma'!D35</f>
        <v>0</v>
      </c>
      <c r="E35" s="49">
        <f>'Avg Week Karuma-Pakwach'!E35+'Avg Week Pakwach-Karuma'!E35</f>
        <v>1.5238095238095237</v>
      </c>
      <c r="F35" s="49">
        <f>'Avg Week Karuma-Pakwach'!F35+'Avg Week Pakwach-Karuma'!F35</f>
        <v>2.0238095238095237</v>
      </c>
      <c r="G35" s="49">
        <f>'Avg Week Karuma-Pakwach'!G35+'Avg Week Pakwach-Karuma'!G35</f>
        <v>0.16666666666666666</v>
      </c>
      <c r="H35" s="49">
        <f>'Avg Week Karuma-Pakwach'!H35+'Avg Week Pakwach-Karuma'!H35</f>
        <v>0.47619047619047616</v>
      </c>
      <c r="I35" s="49">
        <f>'Avg Week Karuma-Pakwach'!I35+'Avg Week Pakwach-Karuma'!I35</f>
        <v>0.7857142857142857</v>
      </c>
      <c r="J35" s="49">
        <f>'Avg Week Karuma-Pakwach'!J35+'Avg Week Pakwach-Karuma'!J35</f>
        <v>0.5714285714285714</v>
      </c>
      <c r="K35" s="49">
        <f>'Avg Week Karuma-Pakwach'!K35+'Avg Week Pakwach-Karuma'!K35</f>
        <v>0.16666666666666666</v>
      </c>
      <c r="L35" s="49">
        <f>'Avg Week Karuma-Pakwach'!L35+'Avg Week Pakwach-Karuma'!L35</f>
        <v>2.7142857142857144</v>
      </c>
      <c r="M35" s="49">
        <f>'Avg Week Karuma-Pakwach'!M35+'Avg Week Pakwach-Karuma'!M35</f>
        <v>4.333333333333333</v>
      </c>
      <c r="N35" s="49">
        <f>'Avg Week Karuma-Pakwach'!N35+'Avg Week Pakwach-Karuma'!N35</f>
        <v>0.2857142857142857</v>
      </c>
      <c r="O35" s="15">
        <f t="shared" si="0"/>
        <v>11.071428571428571</v>
      </c>
      <c r="P35" s="15">
        <f t="shared" si="1"/>
        <v>15.404761904761903</v>
      </c>
      <c r="R35" s="51" t="s">
        <v>91</v>
      </c>
      <c r="S35" s="52">
        <f t="shared" ref="S35:AF35" si="27">MAX(S13:S18)</f>
        <v>6.1428571428571423</v>
      </c>
      <c r="T35" s="52">
        <f t="shared" si="27"/>
        <v>3.1428571428571428</v>
      </c>
      <c r="U35" s="52">
        <f t="shared" si="27"/>
        <v>13.88095238095238</v>
      </c>
      <c r="V35" s="52">
        <f t="shared" si="27"/>
        <v>6.8095238095238093</v>
      </c>
      <c r="W35" s="52">
        <f t="shared" si="27"/>
        <v>4.333333333333333</v>
      </c>
      <c r="X35" s="52">
        <f t="shared" si="27"/>
        <v>4.833333333333333</v>
      </c>
      <c r="Y35" s="52">
        <f t="shared" si="27"/>
        <v>4.2619047619047619</v>
      </c>
      <c r="Z35" s="52">
        <f t="shared" si="27"/>
        <v>2.6190476190476186</v>
      </c>
      <c r="AA35" s="52">
        <f t="shared" si="27"/>
        <v>4.3571428571428577</v>
      </c>
      <c r="AB35" s="52">
        <f t="shared" si="27"/>
        <v>10.142857142857142</v>
      </c>
      <c r="AC35" s="52">
        <f t="shared" si="27"/>
        <v>30.5</v>
      </c>
      <c r="AD35" s="52">
        <f t="shared" si="27"/>
        <v>1.4285714285714286</v>
      </c>
      <c r="AE35" s="40">
        <f t="shared" si="27"/>
        <v>51.666666666666671</v>
      </c>
      <c r="AF35" s="40">
        <f t="shared" si="27"/>
        <v>82.166666666666671</v>
      </c>
    </row>
    <row r="36" spans="2:32" ht="23.1" customHeight="1" x14ac:dyDescent="0.25">
      <c r="B36" s="24" t="s">
        <v>63</v>
      </c>
      <c r="C36" s="49">
        <f>'Avg Week Karuma-Pakwach'!C36+'Avg Week Pakwach-Karuma'!C36</f>
        <v>1.6190476190476191</v>
      </c>
      <c r="D36" s="49">
        <f>'Avg Week Karuma-Pakwach'!D36+'Avg Week Pakwach-Karuma'!D36</f>
        <v>0.42857142857142855</v>
      </c>
      <c r="E36" s="49">
        <f>'Avg Week Karuma-Pakwach'!E36+'Avg Week Pakwach-Karuma'!E36</f>
        <v>2.2142857142857144</v>
      </c>
      <c r="F36" s="49">
        <f>'Avg Week Karuma-Pakwach'!F36+'Avg Week Pakwach-Karuma'!F36</f>
        <v>1.0952380952380951</v>
      </c>
      <c r="G36" s="49">
        <f>'Avg Week Karuma-Pakwach'!G36+'Avg Week Pakwach-Karuma'!G36</f>
        <v>0.76190476190476186</v>
      </c>
      <c r="H36" s="49">
        <f>'Avg Week Karuma-Pakwach'!H36+'Avg Week Pakwach-Karuma'!H36</f>
        <v>0.5</v>
      </c>
      <c r="I36" s="49">
        <f>'Avg Week Karuma-Pakwach'!I36+'Avg Week Pakwach-Karuma'!I36</f>
        <v>1.2857142857142856</v>
      </c>
      <c r="J36" s="49">
        <f>'Avg Week Karuma-Pakwach'!J36+'Avg Week Pakwach-Karuma'!J36</f>
        <v>0.66666666666666663</v>
      </c>
      <c r="K36" s="49">
        <f>'Avg Week Karuma-Pakwach'!K36+'Avg Week Pakwach-Karuma'!K36</f>
        <v>0.16666666666666666</v>
      </c>
      <c r="L36" s="49">
        <f>'Avg Week Karuma-Pakwach'!L36+'Avg Week Pakwach-Karuma'!L36</f>
        <v>1.2857142857142856</v>
      </c>
      <c r="M36" s="49">
        <f>'Avg Week Karuma-Pakwach'!M36+'Avg Week Pakwach-Karuma'!M36</f>
        <v>5.0952380952380949</v>
      </c>
      <c r="N36" s="49">
        <f>'Avg Week Karuma-Pakwach'!N36+'Avg Week Pakwach-Karuma'!N36</f>
        <v>0.16666666666666666</v>
      </c>
      <c r="O36" s="15">
        <f t="shared" si="0"/>
        <v>10.190476190476188</v>
      </c>
      <c r="P36" s="15">
        <f t="shared" si="1"/>
        <v>15.285714285714283</v>
      </c>
      <c r="R36" s="51" t="s">
        <v>92</v>
      </c>
      <c r="S36" s="52">
        <f t="shared" ref="S36:AF36" si="28">MAX(S19:S21)</f>
        <v>8.8571428571428577</v>
      </c>
      <c r="T36" s="52">
        <f t="shared" si="28"/>
        <v>3.6666666666666665</v>
      </c>
      <c r="U36" s="52">
        <f t="shared" si="28"/>
        <v>13.714285714285714</v>
      </c>
      <c r="V36" s="52">
        <f t="shared" si="28"/>
        <v>6.5238095238095237</v>
      </c>
      <c r="W36" s="52">
        <f t="shared" si="28"/>
        <v>2.1666666666666665</v>
      </c>
      <c r="X36" s="52">
        <f t="shared" si="28"/>
        <v>3.4523809523809526</v>
      </c>
      <c r="Y36" s="52">
        <f t="shared" si="28"/>
        <v>4.7142857142857135</v>
      </c>
      <c r="Z36" s="52">
        <f t="shared" si="28"/>
        <v>4.0476190476190474</v>
      </c>
      <c r="AA36" s="52">
        <f t="shared" si="28"/>
        <v>3.5952380952380953</v>
      </c>
      <c r="AB36" s="52">
        <f t="shared" si="28"/>
        <v>9.4047619047619051</v>
      </c>
      <c r="AC36" s="52">
        <f t="shared" si="28"/>
        <v>31.61904761904762</v>
      </c>
      <c r="AD36" s="52">
        <f t="shared" si="28"/>
        <v>1.9523809523809526</v>
      </c>
      <c r="AE36" s="40">
        <f t="shared" si="28"/>
        <v>53.714285714285715</v>
      </c>
      <c r="AF36" s="40">
        <f t="shared" si="28"/>
        <v>85.333333333333329</v>
      </c>
    </row>
    <row r="37" spans="2:32" ht="23.1" customHeight="1" x14ac:dyDescent="0.25">
      <c r="B37" s="23" t="s">
        <v>64</v>
      </c>
      <c r="C37" s="49">
        <f>'Avg Week Karuma-Pakwach'!C37+'Avg Week Pakwach-Karuma'!C37</f>
        <v>0.66666666666666663</v>
      </c>
      <c r="D37" s="49">
        <f>'Avg Week Karuma-Pakwach'!D37+'Avg Week Pakwach-Karuma'!D37</f>
        <v>0.47619047619047616</v>
      </c>
      <c r="E37" s="49">
        <f>'Avg Week Karuma-Pakwach'!E37+'Avg Week Pakwach-Karuma'!E37</f>
        <v>2.7857142857142856</v>
      </c>
      <c r="F37" s="49">
        <f>'Avg Week Karuma-Pakwach'!F37+'Avg Week Pakwach-Karuma'!F37</f>
        <v>0.61904761904761907</v>
      </c>
      <c r="G37" s="49">
        <f>'Avg Week Karuma-Pakwach'!G37+'Avg Week Pakwach-Karuma'!G37</f>
        <v>0.30952380952380953</v>
      </c>
      <c r="H37" s="49">
        <f>'Avg Week Karuma-Pakwach'!H37+'Avg Week Pakwach-Karuma'!H37</f>
        <v>0.61904761904761907</v>
      </c>
      <c r="I37" s="49">
        <f>'Avg Week Karuma-Pakwach'!I37+'Avg Week Pakwach-Karuma'!I37</f>
        <v>0.97619047619047628</v>
      </c>
      <c r="J37" s="49">
        <f>'Avg Week Karuma-Pakwach'!J37+'Avg Week Pakwach-Karuma'!J37</f>
        <v>0.16666666666666666</v>
      </c>
      <c r="K37" s="49">
        <f>'Avg Week Karuma-Pakwach'!K37+'Avg Week Pakwach-Karuma'!K37</f>
        <v>0.45238095238095233</v>
      </c>
      <c r="L37" s="49">
        <f>'Avg Week Karuma-Pakwach'!L37+'Avg Week Pakwach-Karuma'!L37</f>
        <v>0.7857142857142857</v>
      </c>
      <c r="M37" s="49">
        <f>'Avg Week Karuma-Pakwach'!M37+'Avg Week Pakwach-Karuma'!M37</f>
        <v>6.3571428571428577</v>
      </c>
      <c r="N37" s="49">
        <f>'Avg Week Karuma-Pakwach'!N37+'Avg Week Pakwach-Karuma'!N37</f>
        <v>0.16666666666666666</v>
      </c>
      <c r="O37" s="15">
        <f t="shared" si="0"/>
        <v>8.0238095238095237</v>
      </c>
      <c r="P37" s="15">
        <f t="shared" si="1"/>
        <v>14.380952380952381</v>
      </c>
      <c r="R37" s="37" t="s">
        <v>85</v>
      </c>
      <c r="S37" s="53">
        <f t="shared" ref="S37:AF37" si="29">SUM(S10:S12)</f>
        <v>10.88095238095238</v>
      </c>
      <c r="T37" s="54">
        <f t="shared" si="29"/>
        <v>3.6428571428571428</v>
      </c>
      <c r="U37" s="54">
        <f t="shared" si="29"/>
        <v>23.738095238095237</v>
      </c>
      <c r="V37" s="54">
        <f t="shared" si="29"/>
        <v>10.5</v>
      </c>
      <c r="W37" s="54">
        <f t="shared" si="29"/>
        <v>3.4285714285714288</v>
      </c>
      <c r="X37" s="54">
        <f t="shared" si="29"/>
        <v>1.4523809523809523</v>
      </c>
      <c r="Y37" s="54">
        <f t="shared" si="29"/>
        <v>6.0714285714285712</v>
      </c>
      <c r="Z37" s="54">
        <f t="shared" si="29"/>
        <v>9.4761904761904763</v>
      </c>
      <c r="AA37" s="54">
        <f t="shared" si="29"/>
        <v>3.4523809523809521</v>
      </c>
      <c r="AB37" s="54">
        <f t="shared" si="29"/>
        <v>21.523809523809526</v>
      </c>
      <c r="AC37" s="54">
        <f t="shared" si="29"/>
        <v>78.928571428571416</v>
      </c>
      <c r="AD37" s="54">
        <f t="shared" si="29"/>
        <v>4.3571428571428577</v>
      </c>
      <c r="AE37" s="55">
        <f t="shared" si="29"/>
        <v>98.523809523809533</v>
      </c>
      <c r="AF37" s="55">
        <f t="shared" si="29"/>
        <v>177.45238095238096</v>
      </c>
    </row>
    <row r="38" spans="2:32" ht="23.1" customHeight="1" x14ac:dyDescent="0.25">
      <c r="B38" s="24" t="s">
        <v>65</v>
      </c>
      <c r="C38" s="49">
        <f>'Avg Week Karuma-Pakwach'!C38+'Avg Week Pakwach-Karuma'!C38</f>
        <v>1.6666666666666665</v>
      </c>
      <c r="D38" s="49">
        <f>'Avg Week Karuma-Pakwach'!D38+'Avg Week Pakwach-Karuma'!D38</f>
        <v>1.3571428571428572</v>
      </c>
      <c r="E38" s="49">
        <f>'Avg Week Karuma-Pakwach'!E38+'Avg Week Pakwach-Karuma'!E38</f>
        <v>4.6428571428571423</v>
      </c>
      <c r="F38" s="49">
        <f>'Avg Week Karuma-Pakwach'!F38+'Avg Week Pakwach-Karuma'!F38</f>
        <v>1.5952380952380953</v>
      </c>
      <c r="G38" s="49">
        <f>'Avg Week Karuma-Pakwach'!G38+'Avg Week Pakwach-Karuma'!G38</f>
        <v>0.14285714285714285</v>
      </c>
      <c r="H38" s="49">
        <f>'Avg Week Karuma-Pakwach'!H38+'Avg Week Pakwach-Karuma'!H38</f>
        <v>1.1190476190476191</v>
      </c>
      <c r="I38" s="49">
        <f>'Avg Week Karuma-Pakwach'!I38+'Avg Week Pakwach-Karuma'!I38</f>
        <v>0.64285714285714279</v>
      </c>
      <c r="J38" s="49">
        <f>'Avg Week Karuma-Pakwach'!J38+'Avg Week Pakwach-Karuma'!J38</f>
        <v>0.64285714285714279</v>
      </c>
      <c r="K38" s="49">
        <f>'Avg Week Karuma-Pakwach'!K38+'Avg Week Pakwach-Karuma'!K38</f>
        <v>0.9285714285714286</v>
      </c>
      <c r="L38" s="49">
        <f>'Avg Week Karuma-Pakwach'!L38+'Avg Week Pakwach-Karuma'!L38</f>
        <v>3.1190476190476191</v>
      </c>
      <c r="M38" s="49">
        <f>'Avg Week Karuma-Pakwach'!M38+'Avg Week Pakwach-Karuma'!M38</f>
        <v>7.9523809523809526</v>
      </c>
      <c r="N38" s="49">
        <f>'Avg Week Karuma-Pakwach'!N38+'Avg Week Pakwach-Karuma'!N38</f>
        <v>0.64285714285714279</v>
      </c>
      <c r="O38" s="15">
        <f t="shared" si="0"/>
        <v>16.499999999999996</v>
      </c>
      <c r="P38" s="15">
        <f t="shared" si="1"/>
        <v>24.452380952380949</v>
      </c>
      <c r="R38" s="28" t="s">
        <v>86</v>
      </c>
      <c r="S38" s="54">
        <f t="shared" ref="S38:AF38" si="30">SUM(S13:S18)</f>
        <v>30.071428571428573</v>
      </c>
      <c r="T38" s="54">
        <f t="shared" si="30"/>
        <v>12.80952380952381</v>
      </c>
      <c r="U38" s="54">
        <f t="shared" si="30"/>
        <v>68.976190476190467</v>
      </c>
      <c r="V38" s="54">
        <f t="shared" si="30"/>
        <v>32.5</v>
      </c>
      <c r="W38" s="54">
        <f t="shared" si="30"/>
        <v>14.833333333333334</v>
      </c>
      <c r="X38" s="54">
        <f t="shared" si="30"/>
        <v>18.738095238095237</v>
      </c>
      <c r="Y38" s="54">
        <f t="shared" si="30"/>
        <v>20.214285714285715</v>
      </c>
      <c r="Z38" s="54">
        <f t="shared" si="30"/>
        <v>12.523809523809524</v>
      </c>
      <c r="AA38" s="54">
        <f t="shared" si="30"/>
        <v>11.547619047619047</v>
      </c>
      <c r="AB38" s="54">
        <f t="shared" si="30"/>
        <v>37.785714285714285</v>
      </c>
      <c r="AC38" s="54">
        <f t="shared" si="30"/>
        <v>159.90476190476193</v>
      </c>
      <c r="AD38" s="54">
        <f t="shared" si="30"/>
        <v>6.2857142857142856</v>
      </c>
      <c r="AE38" s="55">
        <f t="shared" si="30"/>
        <v>266.28571428571433</v>
      </c>
      <c r="AF38" s="55">
        <f t="shared" si="30"/>
        <v>426.1904761904762</v>
      </c>
    </row>
    <row r="39" spans="2:32" ht="23.1" customHeight="1" x14ac:dyDescent="0.25">
      <c r="B39" s="24" t="s">
        <v>66</v>
      </c>
      <c r="C39" s="49">
        <f>'Avg Week Karuma-Pakwach'!C39+'Avg Week Pakwach-Karuma'!C39</f>
        <v>0.80952380952380953</v>
      </c>
      <c r="D39" s="49">
        <f>'Avg Week Karuma-Pakwach'!D39+'Avg Week Pakwach-Karuma'!D39</f>
        <v>0.2857142857142857</v>
      </c>
      <c r="E39" s="49">
        <f>'Avg Week Karuma-Pakwach'!E39+'Avg Week Pakwach-Karuma'!E39</f>
        <v>2.5714285714285712</v>
      </c>
      <c r="F39" s="49">
        <f>'Avg Week Karuma-Pakwach'!F39+'Avg Week Pakwach-Karuma'!F39</f>
        <v>1.3333333333333333</v>
      </c>
      <c r="G39" s="49">
        <f>'Avg Week Karuma-Pakwach'!G39+'Avg Week Pakwach-Karuma'!G39</f>
        <v>0.14285714285714285</v>
      </c>
      <c r="H39" s="49">
        <f>'Avg Week Karuma-Pakwach'!H39+'Avg Week Pakwach-Karuma'!H39</f>
        <v>0.45238095238095233</v>
      </c>
      <c r="I39" s="49">
        <f>'Avg Week Karuma-Pakwach'!I39+'Avg Week Pakwach-Karuma'!I39</f>
        <v>0.80952380952380953</v>
      </c>
      <c r="J39" s="49">
        <f>'Avg Week Karuma-Pakwach'!J39+'Avg Week Pakwach-Karuma'!J39</f>
        <v>0.33333333333333331</v>
      </c>
      <c r="K39" s="49">
        <f>'Avg Week Karuma-Pakwach'!K39+'Avg Week Pakwach-Karuma'!K39</f>
        <v>0.47619047619047616</v>
      </c>
      <c r="L39" s="49">
        <f>'Avg Week Karuma-Pakwach'!L39+'Avg Week Pakwach-Karuma'!L39</f>
        <v>1.4761904761904761</v>
      </c>
      <c r="M39" s="49">
        <f>'Avg Week Karuma-Pakwach'!M39+'Avg Week Pakwach-Karuma'!M39</f>
        <v>6.3809523809523814</v>
      </c>
      <c r="N39" s="49">
        <f>'Avg Week Karuma-Pakwach'!N39+'Avg Week Pakwach-Karuma'!N39</f>
        <v>0</v>
      </c>
      <c r="O39" s="15">
        <f t="shared" si="0"/>
        <v>8.6904761904761898</v>
      </c>
      <c r="P39" s="15">
        <f t="shared" si="1"/>
        <v>15.071428571428571</v>
      </c>
      <c r="R39" s="29" t="s">
        <v>87</v>
      </c>
      <c r="S39" s="54">
        <f t="shared" ref="S39:AF39" si="31">SUM(S19:S21)</f>
        <v>18.595238095238095</v>
      </c>
      <c r="T39" s="54">
        <f t="shared" si="31"/>
        <v>7.8809523809523805</v>
      </c>
      <c r="U39" s="54">
        <f t="shared" si="31"/>
        <v>34.357142857142854</v>
      </c>
      <c r="V39" s="54">
        <f t="shared" si="31"/>
        <v>16.357142857142858</v>
      </c>
      <c r="W39" s="54">
        <f t="shared" si="31"/>
        <v>6.0714285714285712</v>
      </c>
      <c r="X39" s="54">
        <f t="shared" si="31"/>
        <v>8.9523809523809526</v>
      </c>
      <c r="Y39" s="54">
        <f t="shared" si="31"/>
        <v>10.476190476190474</v>
      </c>
      <c r="Z39" s="54">
        <f t="shared" si="31"/>
        <v>7.4047619047619051</v>
      </c>
      <c r="AA39" s="54">
        <f t="shared" si="31"/>
        <v>6.7142857142857153</v>
      </c>
      <c r="AB39" s="54">
        <f t="shared" si="31"/>
        <v>22.69047619047619</v>
      </c>
      <c r="AC39" s="54">
        <f t="shared" si="31"/>
        <v>86.428571428571431</v>
      </c>
      <c r="AD39" s="54">
        <f t="shared" si="31"/>
        <v>4.6428571428571423</v>
      </c>
      <c r="AE39" s="55">
        <f t="shared" si="31"/>
        <v>144.14285714285714</v>
      </c>
      <c r="AF39" s="55">
        <f t="shared" si="31"/>
        <v>230.57142857142858</v>
      </c>
    </row>
    <row r="40" spans="2:32" ht="23.1" customHeight="1" x14ac:dyDescent="0.25">
      <c r="B40" s="24" t="s">
        <v>67</v>
      </c>
      <c r="C40" s="49">
        <f>'Avg Week Karuma-Pakwach'!C40+'Avg Week Pakwach-Karuma'!C40</f>
        <v>1.0714285714285714</v>
      </c>
      <c r="D40" s="49">
        <f>'Avg Week Karuma-Pakwach'!D40+'Avg Week Pakwach-Karuma'!D40</f>
        <v>0.30952380952380953</v>
      </c>
      <c r="E40" s="49">
        <f>'Avg Week Karuma-Pakwach'!E40+'Avg Week Pakwach-Karuma'!E40</f>
        <v>3.0476190476190474</v>
      </c>
      <c r="F40" s="49">
        <f>'Avg Week Karuma-Pakwach'!F40+'Avg Week Pakwach-Karuma'!F40</f>
        <v>0.76190476190476186</v>
      </c>
      <c r="G40" s="49">
        <f>'Avg Week Karuma-Pakwach'!G40+'Avg Week Pakwach-Karuma'!G40</f>
        <v>0.73809523809523803</v>
      </c>
      <c r="H40" s="49">
        <f>'Avg Week Karuma-Pakwach'!H40+'Avg Week Pakwach-Karuma'!H40</f>
        <v>1.7380952380952381</v>
      </c>
      <c r="I40" s="49">
        <f>'Avg Week Karuma-Pakwach'!I40+'Avg Week Pakwach-Karuma'!I40</f>
        <v>0.30952380952380953</v>
      </c>
      <c r="J40" s="49">
        <f>'Avg Week Karuma-Pakwach'!J40+'Avg Week Pakwach-Karuma'!J40</f>
        <v>0.97619047619047628</v>
      </c>
      <c r="K40" s="49">
        <f>'Avg Week Karuma-Pakwach'!K40+'Avg Week Pakwach-Karuma'!K40</f>
        <v>0.16666666666666666</v>
      </c>
      <c r="L40" s="49">
        <f>'Avg Week Karuma-Pakwach'!L40+'Avg Week Pakwach-Karuma'!L40</f>
        <v>0.90476190476190466</v>
      </c>
      <c r="M40" s="49">
        <f>'Avg Week Karuma-Pakwach'!M40+'Avg Week Pakwach-Karuma'!M40</f>
        <v>6.6904761904761907</v>
      </c>
      <c r="N40" s="49">
        <f>'Avg Week Karuma-Pakwach'!N40+'Avg Week Pakwach-Karuma'!N40</f>
        <v>0.2857142857142857</v>
      </c>
      <c r="O40" s="15">
        <f t="shared" si="0"/>
        <v>10.30952380952381</v>
      </c>
      <c r="P40" s="15">
        <f t="shared" si="1"/>
        <v>17</v>
      </c>
      <c r="R40" s="5" t="s">
        <v>17</v>
      </c>
      <c r="S40" s="54">
        <f t="shared" ref="S40:AF40" si="32">SUM(S10:S21)</f>
        <v>59.547619047619044</v>
      </c>
      <c r="T40" s="54">
        <f t="shared" si="32"/>
        <v>24.333333333333332</v>
      </c>
      <c r="U40" s="54">
        <f t="shared" si="32"/>
        <v>127.07142857142856</v>
      </c>
      <c r="V40" s="54">
        <f t="shared" si="32"/>
        <v>59.357142857142861</v>
      </c>
      <c r="W40" s="54">
        <f t="shared" si="32"/>
        <v>24.333333333333336</v>
      </c>
      <c r="X40" s="54">
        <f t="shared" si="32"/>
        <v>29.142857142857142</v>
      </c>
      <c r="Y40" s="54">
        <f t="shared" si="32"/>
        <v>36.761904761904759</v>
      </c>
      <c r="Z40" s="54">
        <f t="shared" si="32"/>
        <v>29.404761904761902</v>
      </c>
      <c r="AA40" s="54">
        <f t="shared" si="32"/>
        <v>21.714285714285715</v>
      </c>
      <c r="AB40" s="54">
        <f t="shared" si="32"/>
        <v>82</v>
      </c>
      <c r="AC40" s="54">
        <f t="shared" si="32"/>
        <v>325.2619047619047</v>
      </c>
      <c r="AD40" s="54">
        <f t="shared" si="32"/>
        <v>15.285714285714286</v>
      </c>
      <c r="AE40" s="55">
        <f t="shared" si="32"/>
        <v>508.95238095238102</v>
      </c>
      <c r="AF40" s="55">
        <f t="shared" si="32"/>
        <v>834.21428571428567</v>
      </c>
    </row>
    <row r="41" spans="2:32" ht="23.1" customHeight="1" x14ac:dyDescent="0.25">
      <c r="B41" s="23" t="s">
        <v>68</v>
      </c>
      <c r="C41" s="49">
        <f>'Avg Week Karuma-Pakwach'!C41+'Avg Week Pakwach-Karuma'!C41</f>
        <v>2.5952380952380953</v>
      </c>
      <c r="D41" s="49">
        <f>'Avg Week Karuma-Pakwach'!D41+'Avg Week Pakwach-Karuma'!D41</f>
        <v>1.1904761904761905</v>
      </c>
      <c r="E41" s="49">
        <f>'Avg Week Karuma-Pakwach'!E41+'Avg Week Pakwach-Karuma'!E41</f>
        <v>3.6190476190476186</v>
      </c>
      <c r="F41" s="49">
        <f>'Avg Week Karuma-Pakwach'!F41+'Avg Week Pakwach-Karuma'!F41</f>
        <v>1.1904761904761905</v>
      </c>
      <c r="G41" s="49">
        <f>'Avg Week Karuma-Pakwach'!G41+'Avg Week Pakwach-Karuma'!G41</f>
        <v>1.1666666666666667</v>
      </c>
      <c r="H41" s="49">
        <f>'Avg Week Karuma-Pakwach'!H41+'Avg Week Pakwach-Karuma'!H41</f>
        <v>1.5238095238095237</v>
      </c>
      <c r="I41" s="49">
        <f>'Avg Week Karuma-Pakwach'!I41+'Avg Week Pakwach-Karuma'!I41</f>
        <v>1.5952380952380953</v>
      </c>
      <c r="J41" s="49">
        <f>'Avg Week Karuma-Pakwach'!J41+'Avg Week Pakwach-Karuma'!J41</f>
        <v>0.2857142857142857</v>
      </c>
      <c r="K41" s="49">
        <f>'Avg Week Karuma-Pakwach'!K41+'Avg Week Pakwach-Karuma'!K41</f>
        <v>0.59523809523809523</v>
      </c>
      <c r="L41" s="49">
        <f>'Avg Week Karuma-Pakwach'!L41+'Avg Week Pakwach-Karuma'!L41</f>
        <v>2.3095238095238093</v>
      </c>
      <c r="M41" s="49">
        <f>'Avg Week Karuma-Pakwach'!M41+'Avg Week Pakwach-Karuma'!M41</f>
        <v>6.3333333333333339</v>
      </c>
      <c r="N41" s="49">
        <f>'Avg Week Karuma-Pakwach'!N41+'Avg Week Pakwach-Karuma'!N41</f>
        <v>0</v>
      </c>
      <c r="O41" s="15">
        <f t="shared" si="0"/>
        <v>16.071428571428569</v>
      </c>
      <c r="P41" s="15">
        <f t="shared" si="1"/>
        <v>22.404761904761905</v>
      </c>
      <c r="R41" s="5" t="s">
        <v>175</v>
      </c>
      <c r="S41" s="54">
        <f>SUM(S10:S33)</f>
        <v>95.547619047619037</v>
      </c>
      <c r="T41" s="54">
        <f t="shared" ref="T41:AD41" si="33">SUM(T10:T33)</f>
        <v>36.333333333333329</v>
      </c>
      <c r="U41" s="54">
        <f t="shared" si="33"/>
        <v>206.57142857142856</v>
      </c>
      <c r="V41" s="54">
        <f t="shared" si="33"/>
        <v>97.357142857142861</v>
      </c>
      <c r="W41" s="54">
        <f t="shared" si="33"/>
        <v>28.333333333333336</v>
      </c>
      <c r="X41" s="54">
        <f t="shared" si="33"/>
        <v>40.642857142857139</v>
      </c>
      <c r="Y41" s="54">
        <f t="shared" si="33"/>
        <v>44.761904761904759</v>
      </c>
      <c r="Z41" s="54">
        <f t="shared" si="33"/>
        <v>45.404761904761898</v>
      </c>
      <c r="AA41" s="54">
        <f t="shared" si="33"/>
        <v>25.714285714285715</v>
      </c>
      <c r="AB41" s="54">
        <f t="shared" si="33"/>
        <v>137</v>
      </c>
      <c r="AC41" s="54">
        <f t="shared" si="33"/>
        <v>437.7619047619047</v>
      </c>
      <c r="AD41" s="54">
        <f t="shared" si="33"/>
        <v>15.285714285714286</v>
      </c>
      <c r="AE41" s="55">
        <f>SUM(AE10:AE33)</f>
        <v>772.95238095238096</v>
      </c>
      <c r="AF41" s="55">
        <f>SUM(AF10:AF33)</f>
        <v>1210.7142857142858</v>
      </c>
    </row>
    <row r="42" spans="2:32" ht="23.1" customHeight="1" x14ac:dyDescent="0.25">
      <c r="B42" s="24" t="s">
        <v>69</v>
      </c>
      <c r="C42" s="49">
        <f>'Avg Week Karuma-Pakwach'!C42+'Avg Week Pakwach-Karuma'!C42</f>
        <v>1</v>
      </c>
      <c r="D42" s="49">
        <f>'Avg Week Karuma-Pakwach'!D42+'Avg Week Pakwach-Karuma'!D42</f>
        <v>0.76190476190476186</v>
      </c>
      <c r="E42" s="49">
        <f>'Avg Week Karuma-Pakwach'!E42+'Avg Week Pakwach-Karuma'!E42</f>
        <v>2.7142857142857144</v>
      </c>
      <c r="F42" s="49">
        <f>'Avg Week Karuma-Pakwach'!F42+'Avg Week Pakwach-Karuma'!F42</f>
        <v>1.2619047619047619</v>
      </c>
      <c r="G42" s="49">
        <f>'Avg Week Karuma-Pakwach'!G42+'Avg Week Pakwach-Karuma'!G42</f>
        <v>0.42857142857142855</v>
      </c>
      <c r="H42" s="49">
        <f>'Avg Week Karuma-Pakwach'!H42+'Avg Week Pakwach-Karuma'!H42</f>
        <v>0.9285714285714286</v>
      </c>
      <c r="I42" s="49">
        <f>'Avg Week Karuma-Pakwach'!I42+'Avg Week Pakwach-Karuma'!I42</f>
        <v>1.1190476190476191</v>
      </c>
      <c r="J42" s="49">
        <f>'Avg Week Karuma-Pakwach'!J42+'Avg Week Pakwach-Karuma'!J42</f>
        <v>0.9285714285714286</v>
      </c>
      <c r="K42" s="49">
        <f>'Avg Week Karuma-Pakwach'!K42+'Avg Week Pakwach-Karuma'!K42</f>
        <v>0.9285714285714286</v>
      </c>
      <c r="L42" s="49">
        <f>'Avg Week Karuma-Pakwach'!L42+'Avg Week Pakwach-Karuma'!L42</f>
        <v>3.2857142857142856</v>
      </c>
      <c r="M42" s="49">
        <f>'Avg Week Karuma-Pakwach'!M42+'Avg Week Pakwach-Karuma'!M42</f>
        <v>9.0714285714285712</v>
      </c>
      <c r="N42" s="49">
        <f>'Avg Week Karuma-Pakwach'!N42+'Avg Week Pakwach-Karuma'!N42</f>
        <v>0.30952380952380953</v>
      </c>
      <c r="O42" s="15">
        <f t="shared" si="0"/>
        <v>13.666666666666668</v>
      </c>
      <c r="P42" s="15">
        <f t="shared" si="1"/>
        <v>22.738095238095241</v>
      </c>
      <c r="R42" s="5" t="s">
        <v>160</v>
      </c>
      <c r="S42" s="48">
        <f>S41/S40</f>
        <v>1.6045581767293082</v>
      </c>
      <c r="T42" s="48">
        <f t="shared" ref="T42:AF42" si="34">T41/T40</f>
        <v>1.4931506849315068</v>
      </c>
      <c r="U42" s="48">
        <f t="shared" si="34"/>
        <v>1.6256323777403037</v>
      </c>
      <c r="V42" s="48">
        <f t="shared" si="34"/>
        <v>1.6401925391095065</v>
      </c>
      <c r="W42" s="48">
        <f t="shared" si="34"/>
        <v>1.1643835616438356</v>
      </c>
      <c r="X42" s="48">
        <f t="shared" si="34"/>
        <v>1.3946078431372548</v>
      </c>
      <c r="Y42" s="48">
        <f t="shared" si="34"/>
        <v>1.2176165803108809</v>
      </c>
      <c r="Z42" s="48">
        <f t="shared" si="34"/>
        <v>1.5441295546558704</v>
      </c>
      <c r="AA42" s="48">
        <f t="shared" si="34"/>
        <v>1.1842105263157894</v>
      </c>
      <c r="AB42" s="48">
        <f t="shared" si="34"/>
        <v>1.6707317073170731</v>
      </c>
      <c r="AC42" s="48">
        <f t="shared" si="34"/>
        <v>1.3458751189517606</v>
      </c>
      <c r="AD42" s="48">
        <f t="shared" si="34"/>
        <v>1</v>
      </c>
      <c r="AE42" s="56">
        <f t="shared" si="34"/>
        <v>1.5187125748502992</v>
      </c>
      <c r="AF42" s="56">
        <f t="shared" si="34"/>
        <v>1.4513228872334962</v>
      </c>
    </row>
    <row r="43" spans="2:32" ht="23.1" customHeight="1" x14ac:dyDescent="0.25">
      <c r="B43" s="23" t="s">
        <v>70</v>
      </c>
      <c r="C43" s="49">
        <f>'Avg Week Karuma-Pakwach'!C43+'Avg Week Pakwach-Karuma'!C43</f>
        <v>2.5</v>
      </c>
      <c r="D43" s="49">
        <f>'Avg Week Karuma-Pakwach'!D43+'Avg Week Pakwach-Karuma'!D43</f>
        <v>0.61904761904761907</v>
      </c>
      <c r="E43" s="49">
        <f>'Avg Week Karuma-Pakwach'!E43+'Avg Week Pakwach-Karuma'!E43</f>
        <v>3.2142857142857144</v>
      </c>
      <c r="F43" s="49">
        <f>'Avg Week Karuma-Pakwach'!F43+'Avg Week Pakwach-Karuma'!F43</f>
        <v>0.9285714285714286</v>
      </c>
      <c r="G43" s="49">
        <f>'Avg Week Karuma-Pakwach'!G43+'Avg Week Pakwach-Karuma'!G43</f>
        <v>0.45238095238095233</v>
      </c>
      <c r="H43" s="49">
        <f>'Avg Week Karuma-Pakwach'!H43+'Avg Week Pakwach-Karuma'!H43</f>
        <v>0.45238095238095233</v>
      </c>
      <c r="I43" s="49">
        <f>'Avg Week Karuma-Pakwach'!I43+'Avg Week Pakwach-Karuma'!I43</f>
        <v>1.5714285714285714</v>
      </c>
      <c r="J43" s="49">
        <f>'Avg Week Karuma-Pakwach'!J43+'Avg Week Pakwach-Karuma'!J43</f>
        <v>0.14285714285714285</v>
      </c>
      <c r="K43" s="49">
        <f>'Avg Week Karuma-Pakwach'!K43+'Avg Week Pakwach-Karuma'!K43</f>
        <v>1.0714285714285714</v>
      </c>
      <c r="L43" s="49">
        <f>'Avg Week Karuma-Pakwach'!L43+'Avg Week Pakwach-Karuma'!L43</f>
        <v>2.0714285714285712</v>
      </c>
      <c r="M43" s="49">
        <f>'Avg Week Karuma-Pakwach'!M43+'Avg Week Pakwach-Karuma'!M43</f>
        <v>8.8333333333333321</v>
      </c>
      <c r="N43" s="49">
        <f>'Avg Week Karuma-Pakwach'!N43+'Avg Week Pakwach-Karuma'!N43</f>
        <v>0.95238095238095233</v>
      </c>
      <c r="O43" s="15">
        <f t="shared" si="0"/>
        <v>13.976190476190476</v>
      </c>
      <c r="P43" s="15">
        <f t="shared" si="1"/>
        <v>22.809523809523807</v>
      </c>
    </row>
    <row r="44" spans="2:32" ht="23.1" customHeight="1" x14ac:dyDescent="0.25">
      <c r="B44" s="25" t="s">
        <v>71</v>
      </c>
      <c r="C44" s="49">
        <f>'Avg Week Karuma-Pakwach'!C44+'Avg Week Pakwach-Karuma'!C44</f>
        <v>1.5</v>
      </c>
      <c r="D44" s="49">
        <f>'Avg Week Karuma-Pakwach'!D44+'Avg Week Pakwach-Karuma'!D44</f>
        <v>0.59523809523809523</v>
      </c>
      <c r="E44" s="49">
        <f>'Avg Week Karuma-Pakwach'!E44+'Avg Week Pakwach-Karuma'!E44</f>
        <v>2.7380952380952381</v>
      </c>
      <c r="F44" s="49">
        <f>'Avg Week Karuma-Pakwach'!F44+'Avg Week Pakwach-Karuma'!F44</f>
        <v>1.0952380952380951</v>
      </c>
      <c r="G44" s="49">
        <f>'Avg Week Karuma-Pakwach'!G44+'Avg Week Pakwach-Karuma'!G44</f>
        <v>0.5714285714285714</v>
      </c>
      <c r="H44" s="49">
        <f>'Avg Week Karuma-Pakwach'!H44+'Avg Week Pakwach-Karuma'!H44</f>
        <v>0.95238095238095233</v>
      </c>
      <c r="I44" s="49">
        <f>'Avg Week Karuma-Pakwach'!I44+'Avg Week Pakwach-Karuma'!I44</f>
        <v>0.64285714285714279</v>
      </c>
      <c r="J44" s="49">
        <f>'Avg Week Karuma-Pakwach'!J44+'Avg Week Pakwach-Karuma'!J44</f>
        <v>0.45238095238095233</v>
      </c>
      <c r="K44" s="49">
        <f>'Avg Week Karuma-Pakwach'!K44+'Avg Week Pakwach-Karuma'!K44</f>
        <v>0.76190476190476186</v>
      </c>
      <c r="L44" s="49">
        <f>'Avg Week Karuma-Pakwach'!L44+'Avg Week Pakwach-Karuma'!L44</f>
        <v>2.6904761904761902</v>
      </c>
      <c r="M44" s="49">
        <f>'Avg Week Karuma-Pakwach'!M44+'Avg Week Pakwach-Karuma'!M44</f>
        <v>5.9761904761904763</v>
      </c>
      <c r="N44" s="49">
        <f>'Avg Week Karuma-Pakwach'!N44+'Avg Week Pakwach-Karuma'!N44</f>
        <v>0</v>
      </c>
      <c r="O44" s="15">
        <f t="shared" si="0"/>
        <v>12</v>
      </c>
      <c r="P44" s="15">
        <f t="shared" si="1"/>
        <v>17.976190476190474</v>
      </c>
    </row>
    <row r="45" spans="2:32" ht="23.1" customHeight="1" x14ac:dyDescent="0.25">
      <c r="B45" s="23" t="s">
        <v>72</v>
      </c>
      <c r="C45" s="49">
        <f>'Avg Week Karuma-Pakwach'!C45+'Avg Week Pakwach-Karuma'!C45</f>
        <v>0.95238095238095233</v>
      </c>
      <c r="D45" s="49">
        <f>'Avg Week Karuma-Pakwach'!D45+'Avg Week Pakwach-Karuma'!D45</f>
        <v>0.30952380952380953</v>
      </c>
      <c r="E45" s="49">
        <f>'Avg Week Karuma-Pakwach'!E45+'Avg Week Pakwach-Karuma'!E45</f>
        <v>1.9761904761904763</v>
      </c>
      <c r="F45" s="49">
        <f>'Avg Week Karuma-Pakwach'!F45+'Avg Week Pakwach-Karuma'!F45</f>
        <v>2.0238095238095237</v>
      </c>
      <c r="G45" s="49">
        <f>'Avg Week Karuma-Pakwach'!G45+'Avg Week Pakwach-Karuma'!G45</f>
        <v>0.47619047619047616</v>
      </c>
      <c r="H45" s="49">
        <f>'Avg Week Karuma-Pakwach'!H45+'Avg Week Pakwach-Karuma'!H45</f>
        <v>0.66666666666666663</v>
      </c>
      <c r="I45" s="49">
        <f>'Avg Week Karuma-Pakwach'!I45+'Avg Week Pakwach-Karuma'!I45</f>
        <v>0.7857142857142857</v>
      </c>
      <c r="J45" s="49">
        <f>'Avg Week Karuma-Pakwach'!J45+'Avg Week Pakwach-Karuma'!J45</f>
        <v>0.97619047619047628</v>
      </c>
      <c r="K45" s="49">
        <f>'Avg Week Karuma-Pakwach'!K45+'Avg Week Pakwach-Karuma'!K45</f>
        <v>1.5952380952380953</v>
      </c>
      <c r="L45" s="49">
        <f>'Avg Week Karuma-Pakwach'!L45+'Avg Week Pakwach-Karuma'!L45</f>
        <v>2.0952380952380953</v>
      </c>
      <c r="M45" s="49">
        <f>'Avg Week Karuma-Pakwach'!M45+'Avg Week Pakwach-Karuma'!M45</f>
        <v>6.6190476190476186</v>
      </c>
      <c r="N45" s="49">
        <f>'Avg Week Karuma-Pakwach'!N45+'Avg Week Pakwach-Karuma'!N45</f>
        <v>0.16666666666666666</v>
      </c>
      <c r="O45" s="15">
        <f t="shared" si="0"/>
        <v>12.023809523809524</v>
      </c>
      <c r="P45" s="15">
        <f t="shared" si="1"/>
        <v>18.642857142857142</v>
      </c>
    </row>
    <row r="46" spans="2:32" ht="23.1" customHeight="1" x14ac:dyDescent="0.25">
      <c r="B46" s="24" t="s">
        <v>73</v>
      </c>
      <c r="C46" s="49">
        <f>'Avg Week Karuma-Pakwach'!C46+'Avg Week Pakwach-Karuma'!C46</f>
        <v>1.3571428571428572</v>
      </c>
      <c r="D46" s="49">
        <f>'Avg Week Karuma-Pakwach'!D46+'Avg Week Pakwach-Karuma'!D46</f>
        <v>0.5714285714285714</v>
      </c>
      <c r="E46" s="49">
        <f>'Avg Week Karuma-Pakwach'!E46+'Avg Week Pakwach-Karuma'!E46</f>
        <v>2.5238095238095237</v>
      </c>
      <c r="F46" s="49">
        <f>'Avg Week Karuma-Pakwach'!F46+'Avg Week Pakwach-Karuma'!F46</f>
        <v>1.0714285714285714</v>
      </c>
      <c r="G46" s="49">
        <f>'Avg Week Karuma-Pakwach'!G46+'Avg Week Pakwach-Karuma'!G46</f>
        <v>0.73809523809523803</v>
      </c>
      <c r="H46" s="49">
        <f>'Avg Week Karuma-Pakwach'!H46+'Avg Week Pakwach-Karuma'!H46</f>
        <v>0.16666666666666666</v>
      </c>
      <c r="I46" s="49">
        <f>'Avg Week Karuma-Pakwach'!I46+'Avg Week Pakwach-Karuma'!I46</f>
        <v>0.80952380952380953</v>
      </c>
      <c r="J46" s="49">
        <f>'Avg Week Karuma-Pakwach'!J46+'Avg Week Pakwach-Karuma'!J46</f>
        <v>0.61904761904761907</v>
      </c>
      <c r="K46" s="49">
        <f>'Avg Week Karuma-Pakwach'!K46+'Avg Week Pakwach-Karuma'!K46</f>
        <v>0.61904761904761907</v>
      </c>
      <c r="L46" s="49">
        <f>'Avg Week Karuma-Pakwach'!L46+'Avg Week Pakwach-Karuma'!L46</f>
        <v>2.3095238095238093</v>
      </c>
      <c r="M46" s="49">
        <f>'Avg Week Karuma-Pakwach'!M46+'Avg Week Pakwach-Karuma'!M46</f>
        <v>5.8571428571428577</v>
      </c>
      <c r="N46" s="49">
        <f>'Avg Week Karuma-Pakwach'!N46+'Avg Week Pakwach-Karuma'!N46</f>
        <v>0.47619047619047616</v>
      </c>
      <c r="O46" s="15">
        <f t="shared" si="0"/>
        <v>11.261904761904761</v>
      </c>
      <c r="P46" s="15">
        <f t="shared" si="1"/>
        <v>17.119047619047617</v>
      </c>
      <c r="R46" s="8"/>
      <c r="T46"/>
    </row>
    <row r="47" spans="2:32" ht="23.1" customHeight="1" x14ac:dyDescent="0.25">
      <c r="B47" s="24" t="s">
        <v>74</v>
      </c>
      <c r="C47" s="49">
        <f>'Avg Week Karuma-Pakwach'!C47+'Avg Week Pakwach-Karuma'!C47</f>
        <v>1.2857142857142856</v>
      </c>
      <c r="D47" s="49">
        <f>'Avg Week Karuma-Pakwach'!D47+'Avg Week Pakwach-Karuma'!D47</f>
        <v>1.0238095238095237</v>
      </c>
      <c r="E47" s="49">
        <f>'Avg Week Karuma-Pakwach'!E47+'Avg Week Pakwach-Karuma'!E47</f>
        <v>2.6904761904761907</v>
      </c>
      <c r="F47" s="49">
        <f>'Avg Week Karuma-Pakwach'!F47+'Avg Week Pakwach-Karuma'!F47</f>
        <v>1.2619047619047619</v>
      </c>
      <c r="G47" s="49">
        <f>'Avg Week Karuma-Pakwach'!G47+'Avg Week Pakwach-Karuma'!G47</f>
        <v>0.16666666666666666</v>
      </c>
      <c r="H47" s="49">
        <f>'Avg Week Karuma-Pakwach'!H47+'Avg Week Pakwach-Karuma'!H47</f>
        <v>0.8571428571428571</v>
      </c>
      <c r="I47" s="49">
        <f>'Avg Week Karuma-Pakwach'!I47+'Avg Week Pakwach-Karuma'!I47</f>
        <v>1.2857142857142856</v>
      </c>
      <c r="J47" s="49">
        <f>'Avg Week Karuma-Pakwach'!J47+'Avg Week Pakwach-Karuma'!J47</f>
        <v>0.2857142857142857</v>
      </c>
      <c r="K47" s="49">
        <f>'Avg Week Karuma-Pakwach'!K47+'Avg Week Pakwach-Karuma'!K47</f>
        <v>1.0238095238095237</v>
      </c>
      <c r="L47" s="49">
        <f>'Avg Week Karuma-Pakwach'!L47+'Avg Week Pakwach-Karuma'!L47</f>
        <v>2.0952380952380953</v>
      </c>
      <c r="M47" s="49">
        <f>'Avg Week Karuma-Pakwach'!M47+'Avg Week Pakwach-Karuma'!M47</f>
        <v>7.5476190476190474</v>
      </c>
      <c r="N47" s="49">
        <f>'Avg Week Karuma-Pakwach'!N47+'Avg Week Pakwach-Karuma'!N47</f>
        <v>0</v>
      </c>
      <c r="O47" s="15">
        <f t="shared" si="0"/>
        <v>11.976190476190476</v>
      </c>
      <c r="P47" s="15">
        <f t="shared" si="1"/>
        <v>19.523809523809526</v>
      </c>
      <c r="R47" s="8"/>
      <c r="T47"/>
    </row>
    <row r="48" spans="2:32" ht="23.1" customHeight="1" x14ac:dyDescent="0.25">
      <c r="B48" s="24" t="s">
        <v>75</v>
      </c>
      <c r="C48" s="49">
        <f>'Avg Week Karuma-Pakwach'!C48+'Avg Week Pakwach-Karuma'!C48</f>
        <v>2.0714285714285712</v>
      </c>
      <c r="D48" s="49">
        <f>'Avg Week Karuma-Pakwach'!D48+'Avg Week Pakwach-Karuma'!D48</f>
        <v>0.73809523809523803</v>
      </c>
      <c r="E48" s="49">
        <f>'Avg Week Karuma-Pakwach'!E48+'Avg Week Pakwach-Karuma'!E48</f>
        <v>2.8809523809523809</v>
      </c>
      <c r="F48" s="49">
        <f>'Avg Week Karuma-Pakwach'!F48+'Avg Week Pakwach-Karuma'!F48</f>
        <v>1.8095238095238093</v>
      </c>
      <c r="G48" s="49">
        <f>'Avg Week Karuma-Pakwach'!G48+'Avg Week Pakwach-Karuma'!G48</f>
        <v>0.76190476190476186</v>
      </c>
      <c r="H48" s="49">
        <f>'Avg Week Karuma-Pakwach'!H48+'Avg Week Pakwach-Karuma'!H48</f>
        <v>1.3333333333333333</v>
      </c>
      <c r="I48" s="49">
        <f>'Avg Week Karuma-Pakwach'!I48+'Avg Week Pakwach-Karuma'!I48</f>
        <v>0.66666666666666663</v>
      </c>
      <c r="J48" s="49">
        <f>'Avg Week Karuma-Pakwach'!J48+'Avg Week Pakwach-Karuma'!J48</f>
        <v>0.30952380952380953</v>
      </c>
      <c r="K48" s="49">
        <f>'Avg Week Karuma-Pakwach'!K48+'Avg Week Pakwach-Karuma'!K48</f>
        <v>1.3571428571428572</v>
      </c>
      <c r="L48" s="49">
        <f>'Avg Week Karuma-Pakwach'!L48+'Avg Week Pakwach-Karuma'!L48</f>
        <v>1.9285714285714286</v>
      </c>
      <c r="M48" s="49">
        <f>'Avg Week Karuma-Pakwach'!M48+'Avg Week Pakwach-Karuma'!M48</f>
        <v>7.8571428571428568</v>
      </c>
      <c r="N48" s="49">
        <f>'Avg Week Karuma-Pakwach'!N48+'Avg Week Pakwach-Karuma'!N48</f>
        <v>0.97619047619047628</v>
      </c>
      <c r="O48" s="15">
        <f t="shared" si="0"/>
        <v>14.833333333333334</v>
      </c>
      <c r="P48" s="15">
        <f t="shared" si="1"/>
        <v>22.69047619047619</v>
      </c>
      <c r="R48" s="8"/>
      <c r="T48"/>
    </row>
    <row r="49" spans="2:20" ht="23.1" customHeight="1" x14ac:dyDescent="0.25">
      <c r="B49" s="23" t="s">
        <v>76</v>
      </c>
      <c r="C49" s="49">
        <f>'Avg Week Karuma-Pakwach'!C49+'Avg Week Pakwach-Karuma'!C49</f>
        <v>1.4761904761904761</v>
      </c>
      <c r="D49" s="49">
        <f>'Avg Week Karuma-Pakwach'!D49+'Avg Week Pakwach-Karuma'!D49</f>
        <v>0.42857142857142855</v>
      </c>
      <c r="E49" s="49">
        <f>'Avg Week Karuma-Pakwach'!E49+'Avg Week Pakwach-Karuma'!E49</f>
        <v>2.2619047619047619</v>
      </c>
      <c r="F49" s="49">
        <f>'Avg Week Karuma-Pakwach'!F49+'Avg Week Pakwach-Karuma'!F49</f>
        <v>2.3809523809523809</v>
      </c>
      <c r="G49" s="49">
        <f>'Avg Week Karuma-Pakwach'!G49+'Avg Week Pakwach-Karuma'!G49</f>
        <v>0.5</v>
      </c>
      <c r="H49" s="49">
        <f>'Avg Week Karuma-Pakwach'!H49+'Avg Week Pakwach-Karuma'!H49</f>
        <v>0.5714285714285714</v>
      </c>
      <c r="I49" s="49">
        <f>'Avg Week Karuma-Pakwach'!I49+'Avg Week Pakwach-Karuma'!I49</f>
        <v>1.9523809523809526</v>
      </c>
      <c r="J49" s="49">
        <f>'Avg Week Karuma-Pakwach'!J49+'Avg Week Pakwach-Karuma'!J49</f>
        <v>0.64285714285714279</v>
      </c>
      <c r="K49" s="49">
        <f>'Avg Week Karuma-Pakwach'!K49+'Avg Week Pakwach-Karuma'!K49</f>
        <v>0.59523809523809523</v>
      </c>
      <c r="L49" s="49">
        <f>'Avg Week Karuma-Pakwach'!L49+'Avg Week Pakwach-Karuma'!L49</f>
        <v>3.0714285714285712</v>
      </c>
      <c r="M49" s="49">
        <f>'Avg Week Karuma-Pakwach'!M49+'Avg Week Pakwach-Karuma'!M49</f>
        <v>7.9285714285714288</v>
      </c>
      <c r="N49" s="49">
        <f>'Avg Week Karuma-Pakwach'!N49+'Avg Week Pakwach-Karuma'!N49</f>
        <v>0.5</v>
      </c>
      <c r="O49" s="15">
        <f t="shared" si="0"/>
        <v>14.38095238095238</v>
      </c>
      <c r="P49" s="15">
        <f t="shared" si="1"/>
        <v>22.30952380952381</v>
      </c>
      <c r="R49" s="8"/>
      <c r="T49"/>
    </row>
    <row r="50" spans="2:20" ht="23.1" customHeight="1" x14ac:dyDescent="0.25">
      <c r="B50" s="24" t="s">
        <v>77</v>
      </c>
      <c r="C50" s="49">
        <f>'Avg Week Karuma-Pakwach'!C50+'Avg Week Pakwach-Karuma'!C50</f>
        <v>1.8571428571428572</v>
      </c>
      <c r="D50" s="49">
        <f>'Avg Week Karuma-Pakwach'!D50+'Avg Week Pakwach-Karuma'!D50</f>
        <v>1.1904761904761905</v>
      </c>
      <c r="E50" s="49">
        <f>'Avg Week Karuma-Pakwach'!E50+'Avg Week Pakwach-Karuma'!E50</f>
        <v>3.2857142857142856</v>
      </c>
      <c r="F50" s="49">
        <f>'Avg Week Karuma-Pakwach'!F50+'Avg Week Pakwach-Karuma'!F50</f>
        <v>2.1428571428571428</v>
      </c>
      <c r="G50" s="49">
        <f>'Avg Week Karuma-Pakwach'!G50+'Avg Week Pakwach-Karuma'!G50</f>
        <v>0.30952380952380953</v>
      </c>
      <c r="H50" s="49">
        <f>'Avg Week Karuma-Pakwach'!H50+'Avg Week Pakwach-Karuma'!H50</f>
        <v>0.42857142857142855</v>
      </c>
      <c r="I50" s="49">
        <f>'Avg Week Karuma-Pakwach'!I50+'Avg Week Pakwach-Karuma'!I50</f>
        <v>0.90476190476190466</v>
      </c>
      <c r="J50" s="49">
        <f>'Avg Week Karuma-Pakwach'!J50+'Avg Week Pakwach-Karuma'!J50</f>
        <v>0.61904761904761907</v>
      </c>
      <c r="K50" s="49">
        <f>'Avg Week Karuma-Pakwach'!K50+'Avg Week Pakwach-Karuma'!K50</f>
        <v>0.2857142857142857</v>
      </c>
      <c r="L50" s="49">
        <f>'Avg Week Karuma-Pakwach'!L50+'Avg Week Pakwach-Karuma'!L50</f>
        <v>1.4047619047619047</v>
      </c>
      <c r="M50" s="49">
        <f>'Avg Week Karuma-Pakwach'!M50+'Avg Week Pakwach-Karuma'!M50</f>
        <v>8.7380952380952372</v>
      </c>
      <c r="N50" s="49">
        <f>'Avg Week Karuma-Pakwach'!N50+'Avg Week Pakwach-Karuma'!N50</f>
        <v>0.73809523809523803</v>
      </c>
      <c r="O50" s="15">
        <f t="shared" si="0"/>
        <v>13.166666666666668</v>
      </c>
      <c r="P50" s="15">
        <f t="shared" si="1"/>
        <v>21.904761904761905</v>
      </c>
      <c r="R50" s="8"/>
      <c r="T50"/>
    </row>
    <row r="51" spans="2:20" ht="23.1" customHeight="1" x14ac:dyDescent="0.25">
      <c r="B51" s="24" t="s">
        <v>78</v>
      </c>
      <c r="C51" s="49">
        <f>'Avg Week Karuma-Pakwach'!C51+'Avg Week Pakwach-Karuma'!C51</f>
        <v>1.6190476190476191</v>
      </c>
      <c r="D51" s="49">
        <f>'Avg Week Karuma-Pakwach'!D51+'Avg Week Pakwach-Karuma'!D51</f>
        <v>0.59523809523809523</v>
      </c>
      <c r="E51" s="49">
        <f>'Avg Week Karuma-Pakwach'!E51+'Avg Week Pakwach-Karuma'!E51</f>
        <v>2.8095238095238093</v>
      </c>
      <c r="F51" s="49">
        <f>'Avg Week Karuma-Pakwach'!F51+'Avg Week Pakwach-Karuma'!F51</f>
        <v>1.5</v>
      </c>
      <c r="G51" s="49">
        <f>'Avg Week Karuma-Pakwach'!G51+'Avg Week Pakwach-Karuma'!G51</f>
        <v>0.59523809523809523</v>
      </c>
      <c r="H51" s="49">
        <f>'Avg Week Karuma-Pakwach'!H51+'Avg Week Pakwach-Karuma'!H51</f>
        <v>0.8571428571428571</v>
      </c>
      <c r="I51" s="49">
        <f>'Avg Week Karuma-Pakwach'!I51+'Avg Week Pakwach-Karuma'!I51</f>
        <v>0.61904761904761907</v>
      </c>
      <c r="J51" s="49">
        <f>'Avg Week Karuma-Pakwach'!J51+'Avg Week Pakwach-Karuma'!J51</f>
        <v>1.7857142857142858</v>
      </c>
      <c r="K51" s="49">
        <f>'Avg Week Karuma-Pakwach'!K51+'Avg Week Pakwach-Karuma'!K51</f>
        <v>0</v>
      </c>
      <c r="L51" s="49">
        <f>'Avg Week Karuma-Pakwach'!L51+'Avg Week Pakwach-Karuma'!L51</f>
        <v>2.7857142857142856</v>
      </c>
      <c r="M51" s="49">
        <f>'Avg Week Karuma-Pakwach'!M51+'Avg Week Pakwach-Karuma'!M51</f>
        <v>6.1190476190476186</v>
      </c>
      <c r="N51" s="49">
        <f>'Avg Week Karuma-Pakwach'!N51+'Avg Week Pakwach-Karuma'!N51</f>
        <v>0.2857142857142857</v>
      </c>
      <c r="O51" s="15">
        <f t="shared" si="0"/>
        <v>13.452380952380954</v>
      </c>
      <c r="P51" s="15">
        <f t="shared" si="1"/>
        <v>19.571428571428569</v>
      </c>
      <c r="R51" s="8"/>
      <c r="T51"/>
    </row>
    <row r="52" spans="2:20" ht="23.1" customHeight="1" x14ac:dyDescent="0.25">
      <c r="B52" s="24" t="s">
        <v>79</v>
      </c>
      <c r="C52" s="49">
        <f>'Avg Week Karuma-Pakwach'!C52+'Avg Week Pakwach-Karuma'!C52</f>
        <v>1.3095238095238095</v>
      </c>
      <c r="D52" s="49">
        <f>'Avg Week Karuma-Pakwach'!D52+'Avg Week Pakwach-Karuma'!D52</f>
        <v>0.8571428571428571</v>
      </c>
      <c r="E52" s="49">
        <f>'Avg Week Karuma-Pakwach'!E52+'Avg Week Pakwach-Karuma'!E52</f>
        <v>3.2380952380952381</v>
      </c>
      <c r="F52" s="49">
        <f>'Avg Week Karuma-Pakwach'!F52+'Avg Week Pakwach-Karuma'!F52</f>
        <v>1.1904761904761905</v>
      </c>
      <c r="G52" s="49">
        <f>'Avg Week Karuma-Pakwach'!G52+'Avg Week Pakwach-Karuma'!G52</f>
        <v>0.7857142857142857</v>
      </c>
      <c r="H52" s="49">
        <f>'Avg Week Karuma-Pakwach'!H52+'Avg Week Pakwach-Karuma'!H52</f>
        <v>0.8571428571428571</v>
      </c>
      <c r="I52" s="49">
        <f>'Avg Week Karuma-Pakwach'!I52+'Avg Week Pakwach-Karuma'!I52</f>
        <v>0.47619047619047616</v>
      </c>
      <c r="J52" s="49">
        <f>'Avg Week Karuma-Pakwach'!J52+'Avg Week Pakwach-Karuma'!J52</f>
        <v>0.73809523809523803</v>
      </c>
      <c r="K52" s="49">
        <f>'Avg Week Karuma-Pakwach'!K52+'Avg Week Pakwach-Karuma'!K52</f>
        <v>0</v>
      </c>
      <c r="L52" s="49">
        <f>'Avg Week Karuma-Pakwach'!L52+'Avg Week Pakwach-Karuma'!L52</f>
        <v>1.5714285714285714</v>
      </c>
      <c r="M52" s="49">
        <f>'Avg Week Karuma-Pakwach'!M52+'Avg Week Pakwach-Karuma'!M52</f>
        <v>6.1428571428571432</v>
      </c>
      <c r="N52" s="49">
        <f>'Avg Week Karuma-Pakwach'!N52+'Avg Week Pakwach-Karuma'!N52</f>
        <v>0.14285714285714285</v>
      </c>
      <c r="O52" s="15">
        <f t="shared" si="0"/>
        <v>11.166666666666666</v>
      </c>
      <c r="P52" s="15">
        <f t="shared" si="1"/>
        <v>17.30952380952381</v>
      </c>
      <c r="R52" s="8"/>
      <c r="T52"/>
    </row>
    <row r="53" spans="2:20" ht="23.1" customHeight="1" x14ac:dyDescent="0.25">
      <c r="B53" s="23" t="s">
        <v>80</v>
      </c>
      <c r="C53" s="49">
        <f>'Avg Week Karuma-Pakwach'!C53+'Avg Week Pakwach-Karuma'!C53</f>
        <v>4.0714285714285712</v>
      </c>
      <c r="D53" s="49">
        <f>'Avg Week Karuma-Pakwach'!D53+'Avg Week Pakwach-Karuma'!D53</f>
        <v>1.0238095238095237</v>
      </c>
      <c r="E53" s="49">
        <f>'Avg Week Karuma-Pakwach'!E53+'Avg Week Pakwach-Karuma'!E53</f>
        <v>4.3809523809523814</v>
      </c>
      <c r="F53" s="49">
        <f>'Avg Week Karuma-Pakwach'!F53+'Avg Week Pakwach-Karuma'!F53</f>
        <v>1.0952380952380951</v>
      </c>
      <c r="G53" s="49">
        <f>'Avg Week Karuma-Pakwach'!G53+'Avg Week Pakwach-Karuma'!G53</f>
        <v>0.16666666666666666</v>
      </c>
      <c r="H53" s="49">
        <f>'Avg Week Karuma-Pakwach'!H53+'Avg Week Pakwach-Karuma'!H53</f>
        <v>0.42857142857142855</v>
      </c>
      <c r="I53" s="49">
        <f>'Avg Week Karuma-Pakwach'!I53+'Avg Week Pakwach-Karuma'!I53</f>
        <v>1.2857142857142856</v>
      </c>
      <c r="J53" s="49">
        <f>'Avg Week Karuma-Pakwach'!J53+'Avg Week Pakwach-Karuma'!J53</f>
        <v>0.90476190476190466</v>
      </c>
      <c r="K53" s="49">
        <f>'Avg Week Karuma-Pakwach'!K53+'Avg Week Pakwach-Karuma'!K53</f>
        <v>0.47619047619047616</v>
      </c>
      <c r="L53" s="49">
        <f>'Avg Week Karuma-Pakwach'!L53+'Avg Week Pakwach-Karuma'!L53</f>
        <v>1.9523809523809526</v>
      </c>
      <c r="M53" s="49">
        <f>'Avg Week Karuma-Pakwach'!M53+'Avg Week Pakwach-Karuma'!M53</f>
        <v>10.619047619047619</v>
      </c>
      <c r="N53" s="49">
        <f>'Avg Week Karuma-Pakwach'!N53+'Avg Week Pakwach-Karuma'!N53</f>
        <v>0.14285714285714285</v>
      </c>
      <c r="O53" s="15">
        <f t="shared" si="0"/>
        <v>15.928571428571429</v>
      </c>
      <c r="P53" s="15">
        <f t="shared" si="1"/>
        <v>26.547619047619047</v>
      </c>
      <c r="R53" s="8"/>
      <c r="T53"/>
    </row>
    <row r="54" spans="2:20" ht="23.1" customHeight="1" x14ac:dyDescent="0.25">
      <c r="B54" s="23" t="s">
        <v>81</v>
      </c>
      <c r="C54" s="49">
        <f>'Avg Week Karuma-Pakwach'!C54+'Avg Week Pakwach-Karuma'!C54</f>
        <v>0.73809523809523803</v>
      </c>
      <c r="D54" s="49">
        <f>'Avg Week Karuma-Pakwach'!D54+'Avg Week Pakwach-Karuma'!D54</f>
        <v>0.59523809523809523</v>
      </c>
      <c r="E54" s="49">
        <f>'Avg Week Karuma-Pakwach'!E54+'Avg Week Pakwach-Karuma'!E54</f>
        <v>2.9761904761904763</v>
      </c>
      <c r="F54" s="49">
        <f>'Avg Week Karuma-Pakwach'!F54+'Avg Week Pakwach-Karuma'!F54</f>
        <v>1.0714285714285714</v>
      </c>
      <c r="G54" s="49">
        <f>'Avg Week Karuma-Pakwach'!G54+'Avg Week Pakwach-Karuma'!G54</f>
        <v>0.42857142857142855</v>
      </c>
      <c r="H54" s="49">
        <f>'Avg Week Karuma-Pakwach'!H54+'Avg Week Pakwach-Karuma'!H54</f>
        <v>1.7857142857142858</v>
      </c>
      <c r="I54" s="49">
        <f>'Avg Week Karuma-Pakwach'!I54+'Avg Week Pakwach-Karuma'!I54</f>
        <v>0.76190476190476186</v>
      </c>
      <c r="J54" s="49">
        <f>'Avg Week Karuma-Pakwach'!J54+'Avg Week Pakwach-Karuma'!J54</f>
        <v>0.59523809523809523</v>
      </c>
      <c r="K54" s="49">
        <f>'Avg Week Karuma-Pakwach'!K54+'Avg Week Pakwach-Karuma'!K54</f>
        <v>0.64285714285714279</v>
      </c>
      <c r="L54" s="49">
        <f>'Avg Week Karuma-Pakwach'!L54+'Avg Week Pakwach-Karuma'!L54</f>
        <v>1.8095238095238093</v>
      </c>
      <c r="M54" s="49">
        <f>'Avg Week Karuma-Pakwach'!M54+'Avg Week Pakwach-Karuma'!M54</f>
        <v>8</v>
      </c>
      <c r="N54" s="49">
        <f>'Avg Week Karuma-Pakwach'!N54+'Avg Week Pakwach-Karuma'!N54</f>
        <v>0.45238095238095233</v>
      </c>
      <c r="O54" s="15">
        <f t="shared" si="0"/>
        <v>11.857142857142858</v>
      </c>
      <c r="P54" s="15">
        <f t="shared" si="1"/>
        <v>19.857142857142858</v>
      </c>
      <c r="R54" s="8"/>
      <c r="T54"/>
    </row>
    <row r="55" spans="2:20" ht="23.1" customHeight="1" x14ac:dyDescent="0.25">
      <c r="B55" s="23" t="s">
        <v>82</v>
      </c>
      <c r="C55" s="49">
        <f>'Avg Week Karuma-Pakwach'!C55+'Avg Week Pakwach-Karuma'!C55</f>
        <v>1.6904761904761905</v>
      </c>
      <c r="D55" s="49">
        <f>'Avg Week Karuma-Pakwach'!D55+'Avg Week Pakwach-Karuma'!D55</f>
        <v>0.14285714285714285</v>
      </c>
      <c r="E55" s="49">
        <f>'Avg Week Karuma-Pakwach'!E55+'Avg Week Pakwach-Karuma'!E55</f>
        <v>2.0952380952380953</v>
      </c>
      <c r="F55" s="49">
        <f>'Avg Week Karuma-Pakwach'!F55+'Avg Week Pakwach-Karuma'!F55</f>
        <v>1.6190476190476191</v>
      </c>
      <c r="G55" s="49">
        <f>'Avg Week Karuma-Pakwach'!G55+'Avg Week Pakwach-Karuma'!G55</f>
        <v>0.42857142857142855</v>
      </c>
      <c r="H55" s="49">
        <f>'Avg Week Karuma-Pakwach'!H55+'Avg Week Pakwach-Karuma'!H55</f>
        <v>0.42857142857142855</v>
      </c>
      <c r="I55" s="49">
        <f>'Avg Week Karuma-Pakwach'!I55+'Avg Week Pakwach-Karuma'!I55</f>
        <v>0.5</v>
      </c>
      <c r="J55" s="49">
        <f>'Avg Week Karuma-Pakwach'!J55+'Avg Week Pakwach-Karuma'!J55</f>
        <v>0</v>
      </c>
      <c r="K55" s="49">
        <f>'Avg Week Karuma-Pakwach'!K55+'Avg Week Pakwach-Karuma'!K55</f>
        <v>0.45238095238095233</v>
      </c>
      <c r="L55" s="49">
        <f>'Avg Week Karuma-Pakwach'!L55+'Avg Week Pakwach-Karuma'!L55</f>
        <v>0.76190476190476186</v>
      </c>
      <c r="M55" s="49">
        <f>'Avg Week Karuma-Pakwach'!M55+'Avg Week Pakwach-Karuma'!M55</f>
        <v>7.4047619047619051</v>
      </c>
      <c r="N55" s="49">
        <f>'Avg Week Karuma-Pakwach'!N55+'Avg Week Pakwach-Karuma'!N55</f>
        <v>0.42857142857142855</v>
      </c>
      <c r="O55" s="15">
        <f t="shared" si="0"/>
        <v>8.5476190476190492</v>
      </c>
      <c r="P55" s="15">
        <f t="shared" si="1"/>
        <v>15.952380952380954</v>
      </c>
      <c r="R55" s="8"/>
      <c r="T55"/>
    </row>
    <row r="56" spans="2:20" ht="23.1" customHeight="1" x14ac:dyDescent="0.25">
      <c r="B56" s="23" t="s">
        <v>83</v>
      </c>
      <c r="C56" s="49">
        <f>'Avg Week Karuma-Pakwach'!C56+'Avg Week Pakwach-Karuma'!C56</f>
        <v>0.95238095238095233</v>
      </c>
      <c r="D56" s="49">
        <f>'Avg Week Karuma-Pakwach'!D56+'Avg Week Pakwach-Karuma'!D56</f>
        <v>0.2857142857142857</v>
      </c>
      <c r="E56" s="49">
        <f>'Avg Week Karuma-Pakwach'!E56+'Avg Week Pakwach-Karuma'!E56</f>
        <v>2.1904761904761907</v>
      </c>
      <c r="F56" s="49">
        <f>'Avg Week Karuma-Pakwach'!F56+'Avg Week Pakwach-Karuma'!F56</f>
        <v>0.76190476190476186</v>
      </c>
      <c r="G56" s="49">
        <f>'Avg Week Karuma-Pakwach'!G56+'Avg Week Pakwach-Karuma'!G56</f>
        <v>0.59523809523809523</v>
      </c>
      <c r="H56" s="49">
        <f>'Avg Week Karuma-Pakwach'!H56+'Avg Week Pakwach-Karuma'!H56</f>
        <v>0.61904761904761907</v>
      </c>
      <c r="I56" s="49">
        <f>'Avg Week Karuma-Pakwach'!I56+'Avg Week Pakwach-Karuma'!I56</f>
        <v>0.90476190476190466</v>
      </c>
      <c r="J56" s="49">
        <f>'Avg Week Karuma-Pakwach'!J56+'Avg Week Pakwach-Karuma'!J56</f>
        <v>0.90476190476190466</v>
      </c>
      <c r="K56" s="49">
        <f>'Avg Week Karuma-Pakwach'!K56+'Avg Week Pakwach-Karuma'!K56</f>
        <v>1.1190476190476191</v>
      </c>
      <c r="L56" s="49">
        <f>'Avg Week Karuma-Pakwach'!L56+'Avg Week Pakwach-Karuma'!L56</f>
        <v>1.5</v>
      </c>
      <c r="M56" s="49">
        <f>'Avg Week Karuma-Pakwach'!M56+'Avg Week Pakwach-Karuma'!M56</f>
        <v>5.6190476190476186</v>
      </c>
      <c r="N56" s="49">
        <f>'Avg Week Karuma-Pakwach'!N56+'Avg Week Pakwach-Karuma'!N56</f>
        <v>0.33333333333333331</v>
      </c>
      <c r="O56" s="15">
        <f t="shared" si="0"/>
        <v>10.166666666666668</v>
      </c>
      <c r="P56" s="15">
        <f t="shared" si="1"/>
        <v>15.785714285714286</v>
      </c>
      <c r="R56" s="8"/>
      <c r="T56"/>
    </row>
    <row r="57" spans="2:20" ht="23.1" customHeight="1" x14ac:dyDescent="0.25">
      <c r="B57" s="23" t="s">
        <v>84</v>
      </c>
      <c r="C57" s="49">
        <f>'Avg Week Karuma-Pakwach'!C57+'Avg Week Pakwach-Karuma'!C57</f>
        <v>0.16666666666666666</v>
      </c>
      <c r="D57" s="49">
        <f>'Avg Week Karuma-Pakwach'!D57+'Avg Week Pakwach-Karuma'!D57</f>
        <v>0.42857142857142855</v>
      </c>
      <c r="E57" s="49">
        <f>'Avg Week Karuma-Pakwach'!E57+'Avg Week Pakwach-Karuma'!E57</f>
        <v>3.0238095238095237</v>
      </c>
      <c r="F57" s="49">
        <f>'Avg Week Karuma-Pakwach'!F57+'Avg Week Pakwach-Karuma'!F57</f>
        <v>0.45238095238095233</v>
      </c>
      <c r="G57" s="49">
        <f>'Avg Week Karuma-Pakwach'!G57+'Avg Week Pakwach-Karuma'!G57</f>
        <v>0.59523809523809523</v>
      </c>
      <c r="H57" s="49">
        <f>'Avg Week Karuma-Pakwach'!H57+'Avg Week Pakwach-Karuma'!H57</f>
        <v>0.61904761904761907</v>
      </c>
      <c r="I57" s="49">
        <f>'Avg Week Karuma-Pakwach'!I57+'Avg Week Pakwach-Karuma'!I57</f>
        <v>0.30952380952380953</v>
      </c>
      <c r="J57" s="49">
        <f>'Avg Week Karuma-Pakwach'!J57+'Avg Week Pakwach-Karuma'!J57</f>
        <v>0</v>
      </c>
      <c r="K57" s="49">
        <f>'Avg Week Karuma-Pakwach'!K57+'Avg Week Pakwach-Karuma'!K57</f>
        <v>0.14285714285714285</v>
      </c>
      <c r="L57" s="49">
        <f>'Avg Week Karuma-Pakwach'!L57+'Avg Week Pakwach-Karuma'!L57</f>
        <v>1.5</v>
      </c>
      <c r="M57" s="49">
        <f>'Avg Week Karuma-Pakwach'!M57+'Avg Week Pakwach-Karuma'!M57</f>
        <v>4.5952380952380949</v>
      </c>
      <c r="N57" s="49">
        <f>'Avg Week Karuma-Pakwach'!N57+'Avg Week Pakwach-Karuma'!N57</f>
        <v>0.16666666666666666</v>
      </c>
      <c r="O57" s="15">
        <f t="shared" si="0"/>
        <v>7.4047619047619042</v>
      </c>
      <c r="P57" s="15">
        <f t="shared" si="1"/>
        <v>11.999999999999998</v>
      </c>
      <c r="R57" s="8"/>
      <c r="T57"/>
    </row>
    <row r="58" spans="2:20" ht="23.1" customHeight="1" x14ac:dyDescent="0.25">
      <c r="B58" s="23" t="s">
        <v>99</v>
      </c>
      <c r="C58" s="49">
        <f>'Avg Week Karuma-Pakwach'!C58+'Avg Week Pakwach-Karuma'!C58</f>
        <v>2</v>
      </c>
      <c r="D58" s="49">
        <f>'Avg Week Karuma-Pakwach'!D58+'Avg Week Pakwach-Karuma'!D58</f>
        <v>0</v>
      </c>
      <c r="E58" s="49">
        <f>'Avg Week Karuma-Pakwach'!E58+'Avg Week Pakwach-Karuma'!E58</f>
        <v>2</v>
      </c>
      <c r="F58" s="49">
        <f>'Avg Week Karuma-Pakwach'!F58+'Avg Week Pakwach-Karuma'!F58</f>
        <v>0</v>
      </c>
      <c r="G58" s="49">
        <f>'Avg Week Karuma-Pakwach'!G58+'Avg Week Pakwach-Karuma'!G58</f>
        <v>0</v>
      </c>
      <c r="H58" s="49">
        <f>'Avg Week Karuma-Pakwach'!H58+'Avg Week Pakwach-Karuma'!H58</f>
        <v>0</v>
      </c>
      <c r="I58" s="49">
        <f>'Avg Week Karuma-Pakwach'!I58+'Avg Week Pakwach-Karuma'!I58</f>
        <v>0</v>
      </c>
      <c r="J58" s="49">
        <f>'Avg Week Karuma-Pakwach'!J58+'Avg Week Pakwach-Karuma'!J58</f>
        <v>0</v>
      </c>
      <c r="K58" s="49">
        <f>'Avg Week Karuma-Pakwach'!K58+'Avg Week Pakwach-Karuma'!K58</f>
        <v>0</v>
      </c>
      <c r="L58" s="49">
        <f>'Avg Week Karuma-Pakwach'!L58+'Avg Week Pakwach-Karuma'!L58</f>
        <v>2</v>
      </c>
      <c r="M58" s="49">
        <f>'Avg Week Karuma-Pakwach'!M58+'Avg Week Pakwach-Karuma'!M58</f>
        <v>4</v>
      </c>
      <c r="N58" s="49">
        <f>'Avg Week Karuma-Pakwach'!N58+'Avg Week Pakwach-Karuma'!N58</f>
        <v>0</v>
      </c>
      <c r="O58" s="15">
        <f t="shared" si="0"/>
        <v>6</v>
      </c>
      <c r="P58" s="15">
        <f t="shared" si="1"/>
        <v>10</v>
      </c>
      <c r="R58" s="8"/>
      <c r="T58"/>
    </row>
    <row r="59" spans="2:20" ht="23.1" customHeight="1" x14ac:dyDescent="0.25">
      <c r="B59" s="23" t="s">
        <v>100</v>
      </c>
      <c r="C59" s="49">
        <f>'Avg Week Karuma-Pakwach'!C59+'Avg Week Pakwach-Karuma'!C59</f>
        <v>0</v>
      </c>
      <c r="D59" s="49">
        <f>'Avg Week Karuma-Pakwach'!D59+'Avg Week Pakwach-Karuma'!D59</f>
        <v>0</v>
      </c>
      <c r="E59" s="49">
        <f>'Avg Week Karuma-Pakwach'!E59+'Avg Week Pakwach-Karuma'!E59</f>
        <v>2</v>
      </c>
      <c r="F59" s="49">
        <f>'Avg Week Karuma-Pakwach'!F59+'Avg Week Pakwach-Karuma'!F59</f>
        <v>0</v>
      </c>
      <c r="G59" s="49">
        <f>'Avg Week Karuma-Pakwach'!G59+'Avg Week Pakwach-Karuma'!G59</f>
        <v>0</v>
      </c>
      <c r="H59" s="49">
        <f>'Avg Week Karuma-Pakwach'!H59+'Avg Week Pakwach-Karuma'!H59</f>
        <v>0</v>
      </c>
      <c r="I59" s="49">
        <f>'Avg Week Karuma-Pakwach'!I59+'Avg Week Pakwach-Karuma'!I59</f>
        <v>0</v>
      </c>
      <c r="J59" s="49">
        <f>'Avg Week Karuma-Pakwach'!J59+'Avg Week Pakwach-Karuma'!J59</f>
        <v>0</v>
      </c>
      <c r="K59" s="49">
        <f>'Avg Week Karuma-Pakwach'!K59+'Avg Week Pakwach-Karuma'!K59</f>
        <v>0</v>
      </c>
      <c r="L59" s="49">
        <f>'Avg Week Karuma-Pakwach'!L59+'Avg Week Pakwach-Karuma'!L59</f>
        <v>2</v>
      </c>
      <c r="M59" s="49">
        <f>'Avg Week Karuma-Pakwach'!M59+'Avg Week Pakwach-Karuma'!M59</f>
        <v>4</v>
      </c>
      <c r="N59" s="49">
        <f>'Avg Week Karuma-Pakwach'!N59+'Avg Week Pakwach-Karuma'!N59</f>
        <v>0</v>
      </c>
      <c r="O59" s="15">
        <f t="shared" si="0"/>
        <v>4</v>
      </c>
      <c r="P59" s="15">
        <f t="shared" si="1"/>
        <v>8</v>
      </c>
      <c r="R59" s="8"/>
      <c r="T59"/>
    </row>
    <row r="60" spans="2:20" ht="23.1" customHeight="1" x14ac:dyDescent="0.25">
      <c r="B60" s="23" t="s">
        <v>101</v>
      </c>
      <c r="C60" s="49">
        <f>'Avg Week Karuma-Pakwach'!C60+'Avg Week Pakwach-Karuma'!C60</f>
        <v>0</v>
      </c>
      <c r="D60" s="49">
        <f>'Avg Week Karuma-Pakwach'!D60+'Avg Week Pakwach-Karuma'!D60</f>
        <v>0</v>
      </c>
      <c r="E60" s="49">
        <f>'Avg Week Karuma-Pakwach'!E60+'Avg Week Pakwach-Karuma'!E60</f>
        <v>2</v>
      </c>
      <c r="F60" s="49">
        <f>'Avg Week Karuma-Pakwach'!F60+'Avg Week Pakwach-Karuma'!F60</f>
        <v>2</v>
      </c>
      <c r="G60" s="49">
        <f>'Avg Week Karuma-Pakwach'!G60+'Avg Week Pakwach-Karuma'!G60</f>
        <v>0</v>
      </c>
      <c r="H60" s="49">
        <f>'Avg Week Karuma-Pakwach'!H60+'Avg Week Pakwach-Karuma'!H60</f>
        <v>0</v>
      </c>
      <c r="I60" s="49">
        <f>'Avg Week Karuma-Pakwach'!I60+'Avg Week Pakwach-Karuma'!I60</f>
        <v>0</v>
      </c>
      <c r="J60" s="49">
        <f>'Avg Week Karuma-Pakwach'!J60+'Avg Week Pakwach-Karuma'!J60</f>
        <v>2</v>
      </c>
      <c r="K60" s="49">
        <f>'Avg Week Karuma-Pakwach'!K60+'Avg Week Pakwach-Karuma'!K60</f>
        <v>0</v>
      </c>
      <c r="L60" s="49">
        <f>'Avg Week Karuma-Pakwach'!L60+'Avg Week Pakwach-Karuma'!L60</f>
        <v>2</v>
      </c>
      <c r="M60" s="49">
        <f>'Avg Week Karuma-Pakwach'!M60+'Avg Week Pakwach-Karuma'!M60</f>
        <v>3</v>
      </c>
      <c r="N60" s="49">
        <f>'Avg Week Karuma-Pakwach'!N60+'Avg Week Pakwach-Karuma'!N60</f>
        <v>0</v>
      </c>
      <c r="O60" s="15">
        <f t="shared" si="0"/>
        <v>8</v>
      </c>
      <c r="P60" s="15">
        <f t="shared" si="1"/>
        <v>11</v>
      </c>
      <c r="R60" s="8"/>
      <c r="T60"/>
    </row>
    <row r="61" spans="2:20" ht="23.1" customHeight="1" x14ac:dyDescent="0.25">
      <c r="B61" s="23" t="s">
        <v>102</v>
      </c>
      <c r="C61" s="49">
        <f>'Avg Week Karuma-Pakwach'!C61+'Avg Week Pakwach-Karuma'!C61</f>
        <v>0</v>
      </c>
      <c r="D61" s="49">
        <f>'Avg Week Karuma-Pakwach'!D61+'Avg Week Pakwach-Karuma'!D61</f>
        <v>0</v>
      </c>
      <c r="E61" s="49">
        <f>'Avg Week Karuma-Pakwach'!E61+'Avg Week Pakwach-Karuma'!E61</f>
        <v>2</v>
      </c>
      <c r="F61" s="49">
        <f>'Avg Week Karuma-Pakwach'!F61+'Avg Week Pakwach-Karuma'!F61</f>
        <v>0</v>
      </c>
      <c r="G61" s="49">
        <f>'Avg Week Karuma-Pakwach'!G61+'Avg Week Pakwach-Karuma'!G61</f>
        <v>0</v>
      </c>
      <c r="H61" s="49">
        <f>'Avg Week Karuma-Pakwach'!H61+'Avg Week Pakwach-Karuma'!H61</f>
        <v>0</v>
      </c>
      <c r="I61" s="49">
        <f>'Avg Week Karuma-Pakwach'!I61+'Avg Week Pakwach-Karuma'!I61</f>
        <v>0</v>
      </c>
      <c r="J61" s="49">
        <f>'Avg Week Karuma-Pakwach'!J61+'Avg Week Pakwach-Karuma'!J61</f>
        <v>2</v>
      </c>
      <c r="K61" s="49">
        <f>'Avg Week Karuma-Pakwach'!K61+'Avg Week Pakwach-Karuma'!K61</f>
        <v>0</v>
      </c>
      <c r="L61" s="49">
        <f>'Avg Week Karuma-Pakwach'!L61+'Avg Week Pakwach-Karuma'!L61</f>
        <v>2</v>
      </c>
      <c r="M61" s="49">
        <f>'Avg Week Karuma-Pakwach'!M61+'Avg Week Pakwach-Karuma'!M61</f>
        <v>4</v>
      </c>
      <c r="N61" s="49">
        <f>'Avg Week Karuma-Pakwach'!N61+'Avg Week Pakwach-Karuma'!N61</f>
        <v>0</v>
      </c>
      <c r="O61" s="15">
        <f t="shared" si="0"/>
        <v>6</v>
      </c>
      <c r="P61" s="15">
        <f t="shared" si="1"/>
        <v>10</v>
      </c>
      <c r="R61" s="8"/>
      <c r="T61"/>
    </row>
    <row r="62" spans="2:20" ht="23.1" customHeight="1" x14ac:dyDescent="0.25">
      <c r="B62" s="23" t="s">
        <v>107</v>
      </c>
      <c r="C62" s="49">
        <f>'Avg Week Karuma-Pakwach'!C62+'Avg Week Pakwach-Karuma'!C62</f>
        <v>0</v>
      </c>
      <c r="D62" s="49">
        <f>'Avg Week Karuma-Pakwach'!D62+'Avg Week Pakwach-Karuma'!D62</f>
        <v>0</v>
      </c>
      <c r="E62" s="49">
        <f>'Avg Week Karuma-Pakwach'!E62+'Avg Week Pakwach-Karuma'!E62</f>
        <v>0</v>
      </c>
      <c r="F62" s="49">
        <f>'Avg Week Karuma-Pakwach'!F62+'Avg Week Pakwach-Karuma'!F62</f>
        <v>0</v>
      </c>
      <c r="G62" s="49">
        <f>'Avg Week Karuma-Pakwach'!G62+'Avg Week Pakwach-Karuma'!G62</f>
        <v>0</v>
      </c>
      <c r="H62" s="49">
        <f>'Avg Week Karuma-Pakwach'!H62+'Avg Week Pakwach-Karuma'!H62</f>
        <v>0</v>
      </c>
      <c r="I62" s="49">
        <f>'Avg Week Karuma-Pakwach'!I62+'Avg Week Pakwach-Karuma'!I62</f>
        <v>0</v>
      </c>
      <c r="J62" s="49">
        <f>'Avg Week Karuma-Pakwach'!J62+'Avg Week Pakwach-Karuma'!J62</f>
        <v>2</v>
      </c>
      <c r="K62" s="49">
        <f>'Avg Week Karuma-Pakwach'!K62+'Avg Week Pakwach-Karuma'!K62</f>
        <v>0</v>
      </c>
      <c r="L62" s="49">
        <f>'Avg Week Karuma-Pakwach'!L62+'Avg Week Pakwach-Karuma'!L62</f>
        <v>2</v>
      </c>
      <c r="M62" s="49">
        <f>'Avg Week Karuma-Pakwach'!M62+'Avg Week Pakwach-Karuma'!M62</f>
        <v>4</v>
      </c>
      <c r="N62" s="49">
        <f>'Avg Week Karuma-Pakwach'!N62+'Avg Week Pakwach-Karuma'!N62</f>
        <v>0</v>
      </c>
      <c r="O62" s="15">
        <f t="shared" si="0"/>
        <v>4</v>
      </c>
      <c r="P62" s="15">
        <f t="shared" si="1"/>
        <v>8</v>
      </c>
      <c r="R62" s="8"/>
      <c r="T62"/>
    </row>
    <row r="63" spans="2:20" ht="23.1" customHeight="1" x14ac:dyDescent="0.25">
      <c r="B63" s="23" t="s">
        <v>108</v>
      </c>
      <c r="C63" s="49">
        <f>'Avg Week Karuma-Pakwach'!C63+'Avg Week Pakwach-Karuma'!C63</f>
        <v>0</v>
      </c>
      <c r="D63" s="49">
        <f>'Avg Week Karuma-Pakwach'!D63+'Avg Week Pakwach-Karuma'!D63</f>
        <v>0</v>
      </c>
      <c r="E63" s="49">
        <f>'Avg Week Karuma-Pakwach'!E63+'Avg Week Pakwach-Karuma'!E63</f>
        <v>2</v>
      </c>
      <c r="F63" s="49">
        <f>'Avg Week Karuma-Pakwach'!F63+'Avg Week Pakwach-Karuma'!F63</f>
        <v>0</v>
      </c>
      <c r="G63" s="49">
        <f>'Avg Week Karuma-Pakwach'!G63+'Avg Week Pakwach-Karuma'!G63</f>
        <v>0</v>
      </c>
      <c r="H63" s="49">
        <f>'Avg Week Karuma-Pakwach'!H63+'Avg Week Pakwach-Karuma'!H63</f>
        <v>0</v>
      </c>
      <c r="I63" s="49">
        <f>'Avg Week Karuma-Pakwach'!I63+'Avg Week Pakwach-Karuma'!I63</f>
        <v>2</v>
      </c>
      <c r="J63" s="49">
        <f>'Avg Week Karuma-Pakwach'!J63+'Avg Week Pakwach-Karuma'!J63</f>
        <v>2</v>
      </c>
      <c r="K63" s="49">
        <f>'Avg Week Karuma-Pakwach'!K63+'Avg Week Pakwach-Karuma'!K63</f>
        <v>0</v>
      </c>
      <c r="L63" s="49">
        <f>'Avg Week Karuma-Pakwach'!L63+'Avg Week Pakwach-Karuma'!L63</f>
        <v>2</v>
      </c>
      <c r="M63" s="49">
        <f>'Avg Week Karuma-Pakwach'!M63+'Avg Week Pakwach-Karuma'!M63</f>
        <v>2.5</v>
      </c>
      <c r="N63" s="49">
        <f>'Avg Week Karuma-Pakwach'!N63+'Avg Week Pakwach-Karuma'!N63</f>
        <v>0</v>
      </c>
      <c r="O63" s="15">
        <f t="shared" si="0"/>
        <v>8</v>
      </c>
      <c r="P63" s="15">
        <f t="shared" si="1"/>
        <v>10.5</v>
      </c>
      <c r="R63" s="8"/>
      <c r="T63"/>
    </row>
    <row r="64" spans="2:20" ht="23.1" customHeight="1" x14ac:dyDescent="0.25">
      <c r="B64" s="23" t="s">
        <v>109</v>
      </c>
      <c r="C64" s="49">
        <f>'Avg Week Karuma-Pakwach'!C64+'Avg Week Pakwach-Karuma'!C64</f>
        <v>2</v>
      </c>
      <c r="D64" s="49">
        <f>'Avg Week Karuma-Pakwach'!D64+'Avg Week Pakwach-Karuma'!D64</f>
        <v>0</v>
      </c>
      <c r="E64" s="49">
        <f>'Avg Week Karuma-Pakwach'!E64+'Avg Week Pakwach-Karuma'!E64</f>
        <v>2</v>
      </c>
      <c r="F64" s="49">
        <f>'Avg Week Karuma-Pakwach'!F64+'Avg Week Pakwach-Karuma'!F64</f>
        <v>0</v>
      </c>
      <c r="G64" s="49">
        <f>'Avg Week Karuma-Pakwach'!G64+'Avg Week Pakwach-Karuma'!G64</f>
        <v>0</v>
      </c>
      <c r="H64" s="49">
        <f>'Avg Week Karuma-Pakwach'!H64+'Avg Week Pakwach-Karuma'!H64</f>
        <v>0</v>
      </c>
      <c r="I64" s="49">
        <f>'Avg Week Karuma-Pakwach'!I64+'Avg Week Pakwach-Karuma'!I64</f>
        <v>0</v>
      </c>
      <c r="J64" s="49">
        <f>'Avg Week Karuma-Pakwach'!J64+'Avg Week Pakwach-Karuma'!J64</f>
        <v>0</v>
      </c>
      <c r="K64" s="49">
        <f>'Avg Week Karuma-Pakwach'!K64+'Avg Week Pakwach-Karuma'!K64</f>
        <v>0</v>
      </c>
      <c r="L64" s="49">
        <f>'Avg Week Karuma-Pakwach'!L64+'Avg Week Pakwach-Karuma'!L64</f>
        <v>2</v>
      </c>
      <c r="M64" s="49">
        <f>'Avg Week Karuma-Pakwach'!M64+'Avg Week Pakwach-Karuma'!M64</f>
        <v>4</v>
      </c>
      <c r="N64" s="49">
        <f>'Avg Week Karuma-Pakwach'!N64+'Avg Week Pakwach-Karuma'!N64</f>
        <v>0</v>
      </c>
      <c r="O64" s="15">
        <f t="shared" si="0"/>
        <v>6</v>
      </c>
      <c r="P64" s="15">
        <f t="shared" si="1"/>
        <v>10</v>
      </c>
      <c r="R64" s="8"/>
      <c r="T64"/>
    </row>
    <row r="65" spans="2:20" ht="23.1" customHeight="1" x14ac:dyDescent="0.25">
      <c r="B65" s="23" t="s">
        <v>158</v>
      </c>
      <c r="C65" s="49">
        <f>'Avg Week Karuma-Pakwach'!C65+'Avg Week Pakwach-Karuma'!C65</f>
        <v>0</v>
      </c>
      <c r="D65" s="49">
        <f>'Avg Week Karuma-Pakwach'!D65+'Avg Week Pakwach-Karuma'!D65</f>
        <v>0</v>
      </c>
      <c r="E65" s="49">
        <f>'Avg Week Karuma-Pakwach'!E65+'Avg Week Pakwach-Karuma'!E65</f>
        <v>2</v>
      </c>
      <c r="F65" s="49">
        <f>'Avg Week Karuma-Pakwach'!F65+'Avg Week Pakwach-Karuma'!F65</f>
        <v>0</v>
      </c>
      <c r="G65" s="49">
        <f>'Avg Week Karuma-Pakwach'!G65+'Avg Week Pakwach-Karuma'!G65</f>
        <v>0</v>
      </c>
      <c r="H65" s="49">
        <f>'Avg Week Karuma-Pakwach'!H65+'Avg Week Pakwach-Karuma'!H65</f>
        <v>0</v>
      </c>
      <c r="I65" s="49">
        <f>'Avg Week Karuma-Pakwach'!I65+'Avg Week Pakwach-Karuma'!I65</f>
        <v>0</v>
      </c>
      <c r="J65" s="49">
        <f>'Avg Week Karuma-Pakwach'!J65+'Avg Week Pakwach-Karuma'!J65</f>
        <v>2</v>
      </c>
      <c r="K65" s="49">
        <f>'Avg Week Karuma-Pakwach'!K65+'Avg Week Pakwach-Karuma'!K65</f>
        <v>0</v>
      </c>
      <c r="L65" s="49">
        <f>'Avg Week Karuma-Pakwach'!L65+'Avg Week Pakwach-Karuma'!L65</f>
        <v>2</v>
      </c>
      <c r="M65" s="49">
        <f>'Avg Week Karuma-Pakwach'!M65+'Avg Week Pakwach-Karuma'!M65</f>
        <v>6</v>
      </c>
      <c r="N65" s="49">
        <f>'Avg Week Karuma-Pakwach'!N65+'Avg Week Pakwach-Karuma'!N65</f>
        <v>0</v>
      </c>
      <c r="O65" s="15">
        <f t="shared" si="0"/>
        <v>6</v>
      </c>
      <c r="P65" s="15">
        <f t="shared" si="1"/>
        <v>12</v>
      </c>
      <c r="R65" s="8"/>
      <c r="T65"/>
    </row>
    <row r="66" spans="2:20" ht="23.1" customHeight="1" x14ac:dyDescent="0.25">
      <c r="B66" s="23" t="s">
        <v>103</v>
      </c>
      <c r="C66" s="49">
        <f>'Avg Week Karuma-Pakwach'!C66+'Avg Week Pakwach-Karuma'!C66</f>
        <v>0</v>
      </c>
      <c r="D66" s="49">
        <f>'Avg Week Karuma-Pakwach'!D66+'Avg Week Pakwach-Karuma'!D66</f>
        <v>0</v>
      </c>
      <c r="E66" s="49">
        <f>'Avg Week Karuma-Pakwach'!E66+'Avg Week Pakwach-Karuma'!E66</f>
        <v>0</v>
      </c>
      <c r="F66" s="49">
        <f>'Avg Week Karuma-Pakwach'!F66+'Avg Week Pakwach-Karuma'!F66</f>
        <v>0</v>
      </c>
      <c r="G66" s="49">
        <f>'Avg Week Karuma-Pakwach'!G66+'Avg Week Pakwach-Karuma'!G66</f>
        <v>0</v>
      </c>
      <c r="H66" s="49">
        <f>'Avg Week Karuma-Pakwach'!H66+'Avg Week Pakwach-Karuma'!H66</f>
        <v>0</v>
      </c>
      <c r="I66" s="49">
        <f>'Avg Week Karuma-Pakwach'!I66+'Avg Week Pakwach-Karuma'!I66</f>
        <v>0</v>
      </c>
      <c r="J66" s="49">
        <f>'Avg Week Karuma-Pakwach'!J66+'Avg Week Pakwach-Karuma'!J66</f>
        <v>0</v>
      </c>
      <c r="K66" s="49">
        <f>'Avg Week Karuma-Pakwach'!K66+'Avg Week Pakwach-Karuma'!K66</f>
        <v>0</v>
      </c>
      <c r="L66" s="49">
        <f>'Avg Week Karuma-Pakwach'!L66+'Avg Week Pakwach-Karuma'!L66</f>
        <v>2</v>
      </c>
      <c r="M66" s="49">
        <f>'Avg Week Karuma-Pakwach'!M66+'Avg Week Pakwach-Karuma'!M66</f>
        <v>6</v>
      </c>
      <c r="N66" s="49">
        <f>'Avg Week Karuma-Pakwach'!N66+'Avg Week Pakwach-Karuma'!N66</f>
        <v>0</v>
      </c>
      <c r="O66" s="15">
        <f t="shared" si="0"/>
        <v>2</v>
      </c>
      <c r="P66" s="15">
        <f t="shared" si="1"/>
        <v>8</v>
      </c>
      <c r="R66" s="8"/>
      <c r="T66"/>
    </row>
    <row r="67" spans="2:20" ht="23.1" customHeight="1" x14ac:dyDescent="0.25">
      <c r="B67" s="23" t="s">
        <v>104</v>
      </c>
      <c r="C67" s="49">
        <f>'Avg Week Karuma-Pakwach'!C67+'Avg Week Pakwach-Karuma'!C67</f>
        <v>0</v>
      </c>
      <c r="D67" s="49">
        <f>'Avg Week Karuma-Pakwach'!D67+'Avg Week Pakwach-Karuma'!D67</f>
        <v>0</v>
      </c>
      <c r="E67" s="49">
        <f>'Avg Week Karuma-Pakwach'!E67+'Avg Week Pakwach-Karuma'!E67</f>
        <v>2</v>
      </c>
      <c r="F67" s="49">
        <f>'Avg Week Karuma-Pakwach'!F67+'Avg Week Pakwach-Karuma'!F67</f>
        <v>0</v>
      </c>
      <c r="G67" s="49">
        <f>'Avg Week Karuma-Pakwach'!G67+'Avg Week Pakwach-Karuma'!G67</f>
        <v>0</v>
      </c>
      <c r="H67" s="49">
        <f>'Avg Week Karuma-Pakwach'!H67+'Avg Week Pakwach-Karuma'!H67</f>
        <v>0</v>
      </c>
      <c r="I67" s="49">
        <f>'Avg Week Karuma-Pakwach'!I67+'Avg Week Pakwach-Karuma'!I67</f>
        <v>0</v>
      </c>
      <c r="J67" s="49">
        <f>'Avg Week Karuma-Pakwach'!J67+'Avg Week Pakwach-Karuma'!J67</f>
        <v>0</v>
      </c>
      <c r="K67" s="49">
        <f>'Avg Week Karuma-Pakwach'!K67+'Avg Week Pakwach-Karuma'!K67</f>
        <v>0</v>
      </c>
      <c r="L67" s="49">
        <f>'Avg Week Karuma-Pakwach'!L67+'Avg Week Pakwach-Karuma'!L67</f>
        <v>0</v>
      </c>
      <c r="M67" s="49">
        <f>'Avg Week Karuma-Pakwach'!M67+'Avg Week Pakwach-Karuma'!M67</f>
        <v>6.5</v>
      </c>
      <c r="N67" s="49">
        <f>'Avg Week Karuma-Pakwach'!N67+'Avg Week Pakwach-Karuma'!N67</f>
        <v>0</v>
      </c>
      <c r="O67" s="15">
        <f t="shared" si="0"/>
        <v>2</v>
      </c>
      <c r="P67" s="15">
        <f t="shared" si="1"/>
        <v>8.5</v>
      </c>
      <c r="R67" s="8"/>
      <c r="T67"/>
    </row>
    <row r="68" spans="2:20" ht="23.1" customHeight="1" x14ac:dyDescent="0.25">
      <c r="B68" s="23" t="s">
        <v>105</v>
      </c>
      <c r="C68" s="49">
        <f>'Avg Week Karuma-Pakwach'!C68+'Avg Week Pakwach-Karuma'!C68</f>
        <v>2</v>
      </c>
      <c r="D68" s="49">
        <f>'Avg Week Karuma-Pakwach'!D68+'Avg Week Pakwach-Karuma'!D68</f>
        <v>0</v>
      </c>
      <c r="E68" s="49">
        <f>'Avg Week Karuma-Pakwach'!E68+'Avg Week Pakwach-Karuma'!E68</f>
        <v>2</v>
      </c>
      <c r="F68" s="49">
        <f>'Avg Week Karuma-Pakwach'!F68+'Avg Week Pakwach-Karuma'!F68</f>
        <v>2</v>
      </c>
      <c r="G68" s="49">
        <f>'Avg Week Karuma-Pakwach'!G68+'Avg Week Pakwach-Karuma'!G68</f>
        <v>0</v>
      </c>
      <c r="H68" s="49">
        <f>'Avg Week Karuma-Pakwach'!H68+'Avg Week Pakwach-Karuma'!H68</f>
        <v>0</v>
      </c>
      <c r="I68" s="49">
        <f>'Avg Week Karuma-Pakwach'!I68+'Avg Week Pakwach-Karuma'!I68</f>
        <v>0</v>
      </c>
      <c r="J68" s="49">
        <f>'Avg Week Karuma-Pakwach'!J68+'Avg Week Pakwach-Karuma'!J68</f>
        <v>2</v>
      </c>
      <c r="K68" s="49">
        <f>'Avg Week Karuma-Pakwach'!K68+'Avg Week Pakwach-Karuma'!K68</f>
        <v>0</v>
      </c>
      <c r="L68" s="49">
        <f>'Avg Week Karuma-Pakwach'!L68+'Avg Week Pakwach-Karuma'!L68</f>
        <v>2</v>
      </c>
      <c r="M68" s="49">
        <f>'Avg Week Karuma-Pakwach'!M68+'Avg Week Pakwach-Karuma'!M68</f>
        <v>8</v>
      </c>
      <c r="N68" s="49">
        <f>'Avg Week Karuma-Pakwach'!N68+'Avg Week Pakwach-Karuma'!N68</f>
        <v>0</v>
      </c>
      <c r="O68" s="15">
        <f t="shared" si="0"/>
        <v>10</v>
      </c>
      <c r="P68" s="15">
        <f t="shared" si="1"/>
        <v>18</v>
      </c>
      <c r="R68" s="8"/>
      <c r="T68"/>
    </row>
    <row r="69" spans="2:20" ht="23.1" customHeight="1" x14ac:dyDescent="0.25">
      <c r="B69" s="23" t="s">
        <v>106</v>
      </c>
      <c r="C69" s="49">
        <f>'Avg Week Karuma-Pakwach'!C69+'Avg Week Pakwach-Karuma'!C69</f>
        <v>2</v>
      </c>
      <c r="D69" s="49">
        <f>'Avg Week Karuma-Pakwach'!D69+'Avg Week Pakwach-Karuma'!D69</f>
        <v>0</v>
      </c>
      <c r="E69" s="49">
        <f>'Avg Week Karuma-Pakwach'!E69+'Avg Week Pakwach-Karuma'!E69</f>
        <v>2</v>
      </c>
      <c r="F69" s="49">
        <f>'Avg Week Karuma-Pakwach'!F69+'Avg Week Pakwach-Karuma'!F69</f>
        <v>2</v>
      </c>
      <c r="G69" s="49">
        <f>'Avg Week Karuma-Pakwach'!G69+'Avg Week Pakwach-Karuma'!G69</f>
        <v>0</v>
      </c>
      <c r="H69" s="49">
        <f>'Avg Week Karuma-Pakwach'!H69+'Avg Week Pakwach-Karuma'!H69</f>
        <v>0</v>
      </c>
      <c r="I69" s="49">
        <f>'Avg Week Karuma-Pakwach'!I69+'Avg Week Pakwach-Karuma'!I69</f>
        <v>0</v>
      </c>
      <c r="J69" s="49">
        <f>'Avg Week Karuma-Pakwach'!J69+'Avg Week Pakwach-Karuma'!J69</f>
        <v>0</v>
      </c>
      <c r="K69" s="49">
        <f>'Avg Week Karuma-Pakwach'!K69+'Avg Week Pakwach-Karuma'!K69</f>
        <v>0</v>
      </c>
      <c r="L69" s="49">
        <f>'Avg Week Karuma-Pakwach'!L69+'Avg Week Pakwach-Karuma'!L69</f>
        <v>0</v>
      </c>
      <c r="M69" s="49">
        <f>'Avg Week Karuma-Pakwach'!M69+'Avg Week Pakwach-Karuma'!M69</f>
        <v>5</v>
      </c>
      <c r="N69" s="49">
        <f>'Avg Week Karuma-Pakwach'!N69+'Avg Week Pakwach-Karuma'!N69</f>
        <v>0</v>
      </c>
      <c r="O69" s="15">
        <f t="shared" si="0"/>
        <v>6</v>
      </c>
      <c r="P69" s="15">
        <f t="shared" si="1"/>
        <v>11</v>
      </c>
      <c r="R69" s="8"/>
      <c r="T69"/>
    </row>
    <row r="70" spans="2:20" ht="23.1" customHeight="1" x14ac:dyDescent="0.25">
      <c r="B70" s="23" t="s">
        <v>110</v>
      </c>
      <c r="C70" s="49">
        <f>'Avg Week Karuma-Pakwach'!C70+'Avg Week Pakwach-Karuma'!C70</f>
        <v>0</v>
      </c>
      <c r="D70" s="49">
        <f>'Avg Week Karuma-Pakwach'!D70+'Avg Week Pakwach-Karuma'!D70</f>
        <v>0</v>
      </c>
      <c r="E70" s="49">
        <f>'Avg Week Karuma-Pakwach'!E70+'Avg Week Pakwach-Karuma'!E70</f>
        <v>2</v>
      </c>
      <c r="F70" s="49">
        <f>'Avg Week Karuma-Pakwach'!F70+'Avg Week Pakwach-Karuma'!F70</f>
        <v>0</v>
      </c>
      <c r="G70" s="49">
        <f>'Avg Week Karuma-Pakwach'!G70+'Avg Week Pakwach-Karuma'!G70</f>
        <v>0</v>
      </c>
      <c r="H70" s="49">
        <f>'Avg Week Karuma-Pakwach'!H70+'Avg Week Pakwach-Karuma'!H70</f>
        <v>0</v>
      </c>
      <c r="I70" s="49">
        <f>'Avg Week Karuma-Pakwach'!I70+'Avg Week Pakwach-Karuma'!I70</f>
        <v>2</v>
      </c>
      <c r="J70" s="49">
        <f>'Avg Week Karuma-Pakwach'!J70+'Avg Week Pakwach-Karuma'!J70</f>
        <v>0</v>
      </c>
      <c r="K70" s="49">
        <f>'Avg Week Karuma-Pakwach'!K70+'Avg Week Pakwach-Karuma'!K70</f>
        <v>0</v>
      </c>
      <c r="L70" s="49">
        <f>'Avg Week Karuma-Pakwach'!L70+'Avg Week Pakwach-Karuma'!L70</f>
        <v>2</v>
      </c>
      <c r="M70" s="49">
        <f>'Avg Week Karuma-Pakwach'!M70+'Avg Week Pakwach-Karuma'!M70</f>
        <v>6</v>
      </c>
      <c r="N70" s="49">
        <f>'Avg Week Karuma-Pakwach'!N70+'Avg Week Pakwach-Karuma'!N70</f>
        <v>0</v>
      </c>
      <c r="O70" s="15">
        <f t="shared" si="0"/>
        <v>6</v>
      </c>
      <c r="P70" s="15">
        <f t="shared" si="1"/>
        <v>12</v>
      </c>
      <c r="R70" s="8"/>
      <c r="T70"/>
    </row>
    <row r="71" spans="2:20" ht="23.1" customHeight="1" x14ac:dyDescent="0.25">
      <c r="B71" s="23" t="s">
        <v>111</v>
      </c>
      <c r="C71" s="49">
        <f>'Avg Week Karuma-Pakwach'!C71+'Avg Week Pakwach-Karuma'!C71</f>
        <v>0</v>
      </c>
      <c r="D71" s="49">
        <f>'Avg Week Karuma-Pakwach'!D71+'Avg Week Pakwach-Karuma'!D71</f>
        <v>0</v>
      </c>
      <c r="E71" s="49">
        <f>'Avg Week Karuma-Pakwach'!E71+'Avg Week Pakwach-Karuma'!E71</f>
        <v>2</v>
      </c>
      <c r="F71" s="49">
        <f>'Avg Week Karuma-Pakwach'!F71+'Avg Week Pakwach-Karuma'!F71</f>
        <v>0</v>
      </c>
      <c r="G71" s="49">
        <f>'Avg Week Karuma-Pakwach'!G71+'Avg Week Pakwach-Karuma'!G71</f>
        <v>0</v>
      </c>
      <c r="H71" s="49">
        <f>'Avg Week Karuma-Pakwach'!H71+'Avg Week Pakwach-Karuma'!H71</f>
        <v>0</v>
      </c>
      <c r="I71" s="49">
        <f>'Avg Week Karuma-Pakwach'!I71+'Avg Week Pakwach-Karuma'!I71</f>
        <v>0</v>
      </c>
      <c r="J71" s="49">
        <f>'Avg Week Karuma-Pakwach'!J71+'Avg Week Pakwach-Karuma'!J71</f>
        <v>0</v>
      </c>
      <c r="K71" s="49">
        <f>'Avg Week Karuma-Pakwach'!K71+'Avg Week Pakwach-Karuma'!K71</f>
        <v>0</v>
      </c>
      <c r="L71" s="49">
        <f>'Avg Week Karuma-Pakwach'!L71+'Avg Week Pakwach-Karuma'!L71</f>
        <v>2</v>
      </c>
      <c r="M71" s="49">
        <f>'Avg Week Karuma-Pakwach'!M71+'Avg Week Pakwach-Karuma'!M71</f>
        <v>4.5</v>
      </c>
      <c r="N71" s="49">
        <f>'Avg Week Karuma-Pakwach'!N71+'Avg Week Pakwach-Karuma'!N71</f>
        <v>0</v>
      </c>
      <c r="O71" s="15">
        <f t="shared" si="0"/>
        <v>4</v>
      </c>
      <c r="P71" s="15">
        <f t="shared" si="1"/>
        <v>8.5</v>
      </c>
      <c r="R71" s="8"/>
      <c r="T71"/>
    </row>
    <row r="72" spans="2:20" ht="23.1" customHeight="1" x14ac:dyDescent="0.25">
      <c r="B72" s="23" t="s">
        <v>112</v>
      </c>
      <c r="C72" s="49">
        <f>'Avg Week Karuma-Pakwach'!C72+'Avg Week Pakwach-Karuma'!C72</f>
        <v>0</v>
      </c>
      <c r="D72" s="49">
        <f>'Avg Week Karuma-Pakwach'!D72+'Avg Week Pakwach-Karuma'!D72</f>
        <v>0</v>
      </c>
      <c r="E72" s="49">
        <f>'Avg Week Karuma-Pakwach'!E72+'Avg Week Pakwach-Karuma'!E72</f>
        <v>2</v>
      </c>
      <c r="F72" s="49">
        <f>'Avg Week Karuma-Pakwach'!F72+'Avg Week Pakwach-Karuma'!F72</f>
        <v>0</v>
      </c>
      <c r="G72" s="49">
        <f>'Avg Week Karuma-Pakwach'!G72+'Avg Week Pakwach-Karuma'!G72</f>
        <v>0</v>
      </c>
      <c r="H72" s="49">
        <f>'Avg Week Karuma-Pakwach'!H72+'Avg Week Pakwach-Karuma'!H72</f>
        <v>0</v>
      </c>
      <c r="I72" s="49">
        <f>'Avg Week Karuma-Pakwach'!I72+'Avg Week Pakwach-Karuma'!I72</f>
        <v>0</v>
      </c>
      <c r="J72" s="49">
        <f>'Avg Week Karuma-Pakwach'!J72+'Avg Week Pakwach-Karuma'!J72</f>
        <v>2</v>
      </c>
      <c r="K72" s="49">
        <f>'Avg Week Karuma-Pakwach'!K72+'Avg Week Pakwach-Karuma'!K72</f>
        <v>0</v>
      </c>
      <c r="L72" s="49">
        <f>'Avg Week Karuma-Pakwach'!L72+'Avg Week Pakwach-Karuma'!L72</f>
        <v>2</v>
      </c>
      <c r="M72" s="49">
        <f>'Avg Week Karuma-Pakwach'!M72+'Avg Week Pakwach-Karuma'!M72</f>
        <v>2.5</v>
      </c>
      <c r="N72" s="49">
        <f>'Avg Week Karuma-Pakwach'!N72+'Avg Week Pakwach-Karuma'!N72</f>
        <v>0</v>
      </c>
      <c r="O72" s="15">
        <f t="shared" si="0"/>
        <v>6</v>
      </c>
      <c r="P72" s="15">
        <f t="shared" si="1"/>
        <v>8.5</v>
      </c>
      <c r="R72" s="8"/>
      <c r="T72"/>
    </row>
    <row r="73" spans="2:20" ht="23.1" customHeight="1" x14ac:dyDescent="0.25">
      <c r="B73" s="23" t="s">
        <v>113</v>
      </c>
      <c r="C73" s="49">
        <f>'Avg Week Karuma-Pakwach'!C73+'Avg Week Pakwach-Karuma'!C73</f>
        <v>0</v>
      </c>
      <c r="D73" s="49">
        <f>'Avg Week Karuma-Pakwach'!D73+'Avg Week Pakwach-Karuma'!D73</f>
        <v>0</v>
      </c>
      <c r="E73" s="49">
        <f>'Avg Week Karuma-Pakwach'!E73+'Avg Week Pakwach-Karuma'!E73</f>
        <v>2</v>
      </c>
      <c r="F73" s="49">
        <f>'Avg Week Karuma-Pakwach'!F73+'Avg Week Pakwach-Karuma'!F73</f>
        <v>2</v>
      </c>
      <c r="G73" s="49">
        <f>'Avg Week Karuma-Pakwach'!G73+'Avg Week Pakwach-Karuma'!G73</f>
        <v>0</v>
      </c>
      <c r="H73" s="49">
        <f>'Avg Week Karuma-Pakwach'!H73+'Avg Week Pakwach-Karuma'!H73</f>
        <v>0</v>
      </c>
      <c r="I73" s="49">
        <f>'Avg Week Karuma-Pakwach'!I73+'Avg Week Pakwach-Karuma'!I73</f>
        <v>0</v>
      </c>
      <c r="J73" s="49">
        <f>'Avg Week Karuma-Pakwach'!J73+'Avg Week Pakwach-Karuma'!J73</f>
        <v>0</v>
      </c>
      <c r="K73" s="49">
        <f>'Avg Week Karuma-Pakwach'!K73+'Avg Week Pakwach-Karuma'!K73</f>
        <v>0</v>
      </c>
      <c r="L73" s="49">
        <f>'Avg Week Karuma-Pakwach'!L73+'Avg Week Pakwach-Karuma'!L73</f>
        <v>0</v>
      </c>
      <c r="M73" s="49">
        <f>'Avg Week Karuma-Pakwach'!M73+'Avg Week Pakwach-Karuma'!M73</f>
        <v>0</v>
      </c>
      <c r="N73" s="49">
        <f>'Avg Week Karuma-Pakwach'!N73+'Avg Week Pakwach-Karuma'!N73</f>
        <v>0</v>
      </c>
      <c r="O73" s="15">
        <f t="shared" si="0"/>
        <v>4</v>
      </c>
      <c r="P73" s="15">
        <f t="shared" si="1"/>
        <v>4</v>
      </c>
      <c r="R73" s="8"/>
      <c r="T73"/>
    </row>
    <row r="74" spans="2:20" ht="23.1" customHeight="1" x14ac:dyDescent="0.25">
      <c r="B74" s="23" t="s">
        <v>114</v>
      </c>
      <c r="C74" s="49">
        <f>'Avg Week Karuma-Pakwach'!C74+'Avg Week Pakwach-Karuma'!C74</f>
        <v>2</v>
      </c>
      <c r="D74" s="49">
        <f>'Avg Week Karuma-Pakwach'!D74+'Avg Week Pakwach-Karuma'!D74</f>
        <v>0</v>
      </c>
      <c r="E74" s="49">
        <f>'Avg Week Karuma-Pakwach'!E74+'Avg Week Pakwach-Karuma'!E74</f>
        <v>2</v>
      </c>
      <c r="F74" s="49">
        <f>'Avg Week Karuma-Pakwach'!F74+'Avg Week Pakwach-Karuma'!F74</f>
        <v>2</v>
      </c>
      <c r="G74" s="49">
        <f>'Avg Week Karuma-Pakwach'!G74+'Avg Week Pakwach-Karuma'!G74</f>
        <v>0</v>
      </c>
      <c r="H74" s="49">
        <f>'Avg Week Karuma-Pakwach'!H74+'Avg Week Pakwach-Karuma'!H74</f>
        <v>0</v>
      </c>
      <c r="I74" s="49">
        <f>'Avg Week Karuma-Pakwach'!I74+'Avg Week Pakwach-Karuma'!I74</f>
        <v>0</v>
      </c>
      <c r="J74" s="49">
        <f>'Avg Week Karuma-Pakwach'!J74+'Avg Week Pakwach-Karuma'!J74</f>
        <v>0</v>
      </c>
      <c r="K74" s="49">
        <f>'Avg Week Karuma-Pakwach'!K74+'Avg Week Pakwach-Karuma'!K74</f>
        <v>0</v>
      </c>
      <c r="L74" s="49">
        <f>'Avg Week Karuma-Pakwach'!L74+'Avg Week Pakwach-Karuma'!L74</f>
        <v>0</v>
      </c>
      <c r="M74" s="49">
        <f>'Avg Week Karuma-Pakwach'!M74+'Avg Week Pakwach-Karuma'!M74</f>
        <v>2</v>
      </c>
      <c r="N74" s="49">
        <f>'Avg Week Karuma-Pakwach'!N74+'Avg Week Pakwach-Karuma'!N74</f>
        <v>0</v>
      </c>
      <c r="O74" s="15">
        <f t="shared" ref="O74:O105" si="35">SUM(C74:L74,N74)</f>
        <v>6</v>
      </c>
      <c r="P74" s="15">
        <f t="shared" ref="P74:P105" si="36">SUM(C74:N74)</f>
        <v>8</v>
      </c>
      <c r="R74" s="8"/>
      <c r="T74"/>
    </row>
    <row r="75" spans="2:20" ht="23.1" customHeight="1" x14ac:dyDescent="0.25">
      <c r="B75" s="23" t="s">
        <v>115</v>
      </c>
      <c r="C75" s="49">
        <f>'Avg Week Karuma-Pakwach'!C75+'Avg Week Pakwach-Karuma'!C75</f>
        <v>0</v>
      </c>
      <c r="D75" s="49">
        <f>'Avg Week Karuma-Pakwach'!D75+'Avg Week Pakwach-Karuma'!D75</f>
        <v>0</v>
      </c>
      <c r="E75" s="49">
        <f>'Avg Week Karuma-Pakwach'!E75+'Avg Week Pakwach-Karuma'!E75</f>
        <v>2</v>
      </c>
      <c r="F75" s="49">
        <f>'Avg Week Karuma-Pakwach'!F75+'Avg Week Pakwach-Karuma'!F75</f>
        <v>2</v>
      </c>
      <c r="G75" s="49">
        <f>'Avg Week Karuma-Pakwach'!G75+'Avg Week Pakwach-Karuma'!G75</f>
        <v>0</v>
      </c>
      <c r="H75" s="49">
        <f>'Avg Week Karuma-Pakwach'!H75+'Avg Week Pakwach-Karuma'!H75</f>
        <v>0</v>
      </c>
      <c r="I75" s="49">
        <f>'Avg Week Karuma-Pakwach'!I75+'Avg Week Pakwach-Karuma'!I75</f>
        <v>2</v>
      </c>
      <c r="J75" s="49">
        <f>'Avg Week Karuma-Pakwach'!J75+'Avg Week Pakwach-Karuma'!J75</f>
        <v>0</v>
      </c>
      <c r="K75" s="49">
        <f>'Avg Week Karuma-Pakwach'!K75+'Avg Week Pakwach-Karuma'!K75</f>
        <v>0</v>
      </c>
      <c r="L75" s="49">
        <f>'Avg Week Karuma-Pakwach'!L75+'Avg Week Pakwach-Karuma'!L75</f>
        <v>2</v>
      </c>
      <c r="M75" s="49">
        <f>'Avg Week Karuma-Pakwach'!M75+'Avg Week Pakwach-Karuma'!M75</f>
        <v>4</v>
      </c>
      <c r="N75" s="49">
        <f>'Avg Week Karuma-Pakwach'!N75+'Avg Week Pakwach-Karuma'!N75</f>
        <v>0</v>
      </c>
      <c r="O75" s="15">
        <f t="shared" si="35"/>
        <v>8</v>
      </c>
      <c r="P75" s="15">
        <f t="shared" si="36"/>
        <v>12</v>
      </c>
      <c r="R75" s="8"/>
      <c r="T75"/>
    </row>
    <row r="76" spans="2:20" ht="23.1" customHeight="1" x14ac:dyDescent="0.25">
      <c r="B76" s="23" t="s">
        <v>116</v>
      </c>
      <c r="C76" s="49">
        <f>'Avg Week Karuma-Pakwach'!C76+'Avg Week Pakwach-Karuma'!C76</f>
        <v>2</v>
      </c>
      <c r="D76" s="49">
        <f>'Avg Week Karuma-Pakwach'!D76+'Avg Week Pakwach-Karuma'!D76</f>
        <v>0</v>
      </c>
      <c r="E76" s="49">
        <f>'Avg Week Karuma-Pakwach'!E76+'Avg Week Pakwach-Karuma'!E76</f>
        <v>2</v>
      </c>
      <c r="F76" s="49">
        <f>'Avg Week Karuma-Pakwach'!F76+'Avg Week Pakwach-Karuma'!F76</f>
        <v>0</v>
      </c>
      <c r="G76" s="49">
        <f>'Avg Week Karuma-Pakwach'!G76+'Avg Week Pakwach-Karuma'!G76</f>
        <v>0</v>
      </c>
      <c r="H76" s="49">
        <f>'Avg Week Karuma-Pakwach'!H76+'Avg Week Pakwach-Karuma'!H76</f>
        <v>0</v>
      </c>
      <c r="I76" s="49">
        <f>'Avg Week Karuma-Pakwach'!I76+'Avg Week Pakwach-Karuma'!I76</f>
        <v>0</v>
      </c>
      <c r="J76" s="49">
        <f>'Avg Week Karuma-Pakwach'!J76+'Avg Week Pakwach-Karuma'!J76</f>
        <v>0</v>
      </c>
      <c r="K76" s="49">
        <f>'Avg Week Karuma-Pakwach'!K76+'Avg Week Pakwach-Karuma'!K76</f>
        <v>0</v>
      </c>
      <c r="L76" s="49">
        <f>'Avg Week Karuma-Pakwach'!L76+'Avg Week Pakwach-Karuma'!L76</f>
        <v>2</v>
      </c>
      <c r="M76" s="49">
        <f>'Avg Week Karuma-Pakwach'!M76+'Avg Week Pakwach-Karuma'!M76</f>
        <v>1.5</v>
      </c>
      <c r="N76" s="49">
        <f>'Avg Week Karuma-Pakwach'!N76+'Avg Week Pakwach-Karuma'!N76</f>
        <v>0</v>
      </c>
      <c r="O76" s="15">
        <f t="shared" si="35"/>
        <v>6</v>
      </c>
      <c r="P76" s="15">
        <f t="shared" si="36"/>
        <v>7.5</v>
      </c>
      <c r="R76" s="8"/>
      <c r="T76"/>
    </row>
    <row r="77" spans="2:20" ht="23.1" customHeight="1" x14ac:dyDescent="0.25">
      <c r="B77" s="23" t="s">
        <v>117</v>
      </c>
      <c r="C77" s="49">
        <f>'Avg Week Karuma-Pakwach'!C77+'Avg Week Pakwach-Karuma'!C77</f>
        <v>0</v>
      </c>
      <c r="D77" s="49">
        <f>'Avg Week Karuma-Pakwach'!D77+'Avg Week Pakwach-Karuma'!D77</f>
        <v>2</v>
      </c>
      <c r="E77" s="49">
        <f>'Avg Week Karuma-Pakwach'!E77+'Avg Week Pakwach-Karuma'!E77</f>
        <v>4</v>
      </c>
      <c r="F77" s="49">
        <f>'Avg Week Karuma-Pakwach'!F77+'Avg Week Pakwach-Karuma'!F77</f>
        <v>2</v>
      </c>
      <c r="G77" s="49">
        <f>'Avg Week Karuma-Pakwach'!G77+'Avg Week Pakwach-Karuma'!G77</f>
        <v>2</v>
      </c>
      <c r="H77" s="49">
        <f>'Avg Week Karuma-Pakwach'!H77+'Avg Week Pakwach-Karuma'!H77</f>
        <v>0</v>
      </c>
      <c r="I77" s="49">
        <f>'Avg Week Karuma-Pakwach'!I77+'Avg Week Pakwach-Karuma'!I77</f>
        <v>2</v>
      </c>
      <c r="J77" s="49">
        <f>'Avg Week Karuma-Pakwach'!J77+'Avg Week Pakwach-Karuma'!J77</f>
        <v>0</v>
      </c>
      <c r="K77" s="49">
        <f>'Avg Week Karuma-Pakwach'!K77+'Avg Week Pakwach-Karuma'!K77</f>
        <v>0</v>
      </c>
      <c r="L77" s="49">
        <f>'Avg Week Karuma-Pakwach'!L77+'Avg Week Pakwach-Karuma'!L77</f>
        <v>0</v>
      </c>
      <c r="M77" s="49">
        <f>'Avg Week Karuma-Pakwach'!M77+'Avg Week Pakwach-Karuma'!M77</f>
        <v>0.5</v>
      </c>
      <c r="N77" s="49">
        <f>'Avg Week Karuma-Pakwach'!N77+'Avg Week Pakwach-Karuma'!N77</f>
        <v>0</v>
      </c>
      <c r="O77" s="15">
        <f t="shared" si="35"/>
        <v>12</v>
      </c>
      <c r="P77" s="15">
        <f t="shared" si="36"/>
        <v>12.5</v>
      </c>
      <c r="R77" s="8"/>
      <c r="T77"/>
    </row>
    <row r="78" spans="2:20" ht="23.1" customHeight="1" x14ac:dyDescent="0.25">
      <c r="B78" s="24" t="s">
        <v>118</v>
      </c>
      <c r="C78" s="49">
        <f>'Avg Week Karuma-Pakwach'!C78+'Avg Week Pakwach-Karuma'!C78</f>
        <v>0</v>
      </c>
      <c r="D78" s="49">
        <f>'Avg Week Karuma-Pakwach'!D78+'Avg Week Pakwach-Karuma'!D78</f>
        <v>0</v>
      </c>
      <c r="E78" s="49">
        <f>'Avg Week Karuma-Pakwach'!E78+'Avg Week Pakwach-Karuma'!E78</f>
        <v>2</v>
      </c>
      <c r="F78" s="49">
        <f>'Avg Week Karuma-Pakwach'!F78+'Avg Week Pakwach-Karuma'!F78</f>
        <v>2</v>
      </c>
      <c r="G78" s="49">
        <f>'Avg Week Karuma-Pakwach'!G78+'Avg Week Pakwach-Karuma'!G78</f>
        <v>0</v>
      </c>
      <c r="H78" s="49">
        <f>'Avg Week Karuma-Pakwach'!H78+'Avg Week Pakwach-Karuma'!H78</f>
        <v>0</v>
      </c>
      <c r="I78" s="49">
        <f>'Avg Week Karuma-Pakwach'!I78+'Avg Week Pakwach-Karuma'!I78</f>
        <v>0</v>
      </c>
      <c r="J78" s="49">
        <f>'Avg Week Karuma-Pakwach'!J78+'Avg Week Pakwach-Karuma'!J78</f>
        <v>0</v>
      </c>
      <c r="K78" s="49">
        <f>'Avg Week Karuma-Pakwach'!K78+'Avg Week Pakwach-Karuma'!K78</f>
        <v>0</v>
      </c>
      <c r="L78" s="49">
        <f>'Avg Week Karuma-Pakwach'!L78+'Avg Week Pakwach-Karuma'!L78</f>
        <v>0</v>
      </c>
      <c r="M78" s="49">
        <f>'Avg Week Karuma-Pakwach'!M78+'Avg Week Pakwach-Karuma'!M78</f>
        <v>2</v>
      </c>
      <c r="N78" s="49">
        <f>'Avg Week Karuma-Pakwach'!N78+'Avg Week Pakwach-Karuma'!N78</f>
        <v>0</v>
      </c>
      <c r="O78" s="15">
        <f t="shared" si="35"/>
        <v>4</v>
      </c>
      <c r="P78" s="15">
        <f t="shared" si="36"/>
        <v>6</v>
      </c>
      <c r="R78" s="8"/>
      <c r="T78"/>
    </row>
    <row r="79" spans="2:20" ht="23.1" customHeight="1" x14ac:dyDescent="0.25">
      <c r="B79" s="23" t="s">
        <v>119</v>
      </c>
      <c r="C79" s="49">
        <f>'Avg Week Karuma-Pakwach'!C79+'Avg Week Pakwach-Karuma'!C79</f>
        <v>2</v>
      </c>
      <c r="D79" s="49">
        <f>'Avg Week Karuma-Pakwach'!D79+'Avg Week Pakwach-Karuma'!D79</f>
        <v>0</v>
      </c>
      <c r="E79" s="49">
        <f>'Avg Week Karuma-Pakwach'!E79+'Avg Week Pakwach-Karuma'!E79</f>
        <v>0</v>
      </c>
      <c r="F79" s="49">
        <f>'Avg Week Karuma-Pakwach'!F79+'Avg Week Pakwach-Karuma'!F79</f>
        <v>0</v>
      </c>
      <c r="G79" s="49">
        <f>'Avg Week Karuma-Pakwach'!G79+'Avg Week Pakwach-Karuma'!G79</f>
        <v>0</v>
      </c>
      <c r="H79" s="49">
        <f>'Avg Week Karuma-Pakwach'!H79+'Avg Week Pakwach-Karuma'!H79</f>
        <v>0</v>
      </c>
      <c r="I79" s="49">
        <f>'Avg Week Karuma-Pakwach'!I79+'Avg Week Pakwach-Karuma'!I79</f>
        <v>0</v>
      </c>
      <c r="J79" s="49">
        <f>'Avg Week Karuma-Pakwach'!J79+'Avg Week Pakwach-Karuma'!J79</f>
        <v>0</v>
      </c>
      <c r="K79" s="49">
        <f>'Avg Week Karuma-Pakwach'!K79+'Avg Week Pakwach-Karuma'!K79</f>
        <v>0</v>
      </c>
      <c r="L79" s="49">
        <f>'Avg Week Karuma-Pakwach'!L79+'Avg Week Pakwach-Karuma'!L79</f>
        <v>0</v>
      </c>
      <c r="M79" s="49">
        <f>'Avg Week Karuma-Pakwach'!M79+'Avg Week Pakwach-Karuma'!M79</f>
        <v>4</v>
      </c>
      <c r="N79" s="49">
        <f>'Avg Week Karuma-Pakwach'!N79+'Avg Week Pakwach-Karuma'!N79</f>
        <v>0</v>
      </c>
      <c r="O79" s="15">
        <f t="shared" si="35"/>
        <v>2</v>
      </c>
      <c r="P79" s="15">
        <f t="shared" si="36"/>
        <v>6</v>
      </c>
      <c r="R79" s="8"/>
      <c r="T79"/>
    </row>
    <row r="80" spans="2:20" ht="23.1" customHeight="1" x14ac:dyDescent="0.25">
      <c r="B80" s="25" t="s">
        <v>120</v>
      </c>
      <c r="C80" s="49">
        <f>'Avg Week Karuma-Pakwach'!C80+'Avg Week Pakwach-Karuma'!C80</f>
        <v>0</v>
      </c>
      <c r="D80" s="49">
        <f>'Avg Week Karuma-Pakwach'!D80+'Avg Week Pakwach-Karuma'!D80</f>
        <v>0</v>
      </c>
      <c r="E80" s="49">
        <f>'Avg Week Karuma-Pakwach'!E80+'Avg Week Pakwach-Karuma'!E80</f>
        <v>0</v>
      </c>
      <c r="F80" s="49">
        <f>'Avg Week Karuma-Pakwach'!F80+'Avg Week Pakwach-Karuma'!F80</f>
        <v>2</v>
      </c>
      <c r="G80" s="49">
        <f>'Avg Week Karuma-Pakwach'!G80+'Avg Week Pakwach-Karuma'!G80</f>
        <v>0</v>
      </c>
      <c r="H80" s="49">
        <f>'Avg Week Karuma-Pakwach'!H80+'Avg Week Pakwach-Karuma'!H80</f>
        <v>0</v>
      </c>
      <c r="I80" s="49">
        <f>'Avg Week Karuma-Pakwach'!I80+'Avg Week Pakwach-Karuma'!I80</f>
        <v>0</v>
      </c>
      <c r="J80" s="49">
        <f>'Avg Week Karuma-Pakwach'!J80+'Avg Week Pakwach-Karuma'!J80</f>
        <v>0</v>
      </c>
      <c r="K80" s="49">
        <f>'Avg Week Karuma-Pakwach'!K80+'Avg Week Pakwach-Karuma'!K80</f>
        <v>0</v>
      </c>
      <c r="L80" s="49">
        <f>'Avg Week Karuma-Pakwach'!L80+'Avg Week Pakwach-Karuma'!L80</f>
        <v>2</v>
      </c>
      <c r="M80" s="49">
        <f>'Avg Week Karuma-Pakwach'!M80+'Avg Week Pakwach-Karuma'!M80</f>
        <v>0</v>
      </c>
      <c r="N80" s="49">
        <f>'Avg Week Karuma-Pakwach'!N80+'Avg Week Pakwach-Karuma'!N80</f>
        <v>0</v>
      </c>
      <c r="O80" s="15">
        <f t="shared" si="35"/>
        <v>4</v>
      </c>
      <c r="P80" s="15">
        <f t="shared" si="36"/>
        <v>4</v>
      </c>
      <c r="R80" s="8"/>
      <c r="T80"/>
    </row>
    <row r="81" spans="2:20" ht="23.1" customHeight="1" x14ac:dyDescent="0.25">
      <c r="B81" s="23" t="s">
        <v>121</v>
      </c>
      <c r="C81" s="49">
        <f>'Avg Week Karuma-Pakwach'!C81+'Avg Week Pakwach-Karuma'!C81</f>
        <v>0.5</v>
      </c>
      <c r="D81" s="49">
        <f>'Avg Week Karuma-Pakwach'!D81+'Avg Week Pakwach-Karuma'!D81</f>
        <v>0</v>
      </c>
      <c r="E81" s="49">
        <f>'Avg Week Karuma-Pakwach'!E81+'Avg Week Pakwach-Karuma'!E81</f>
        <v>0</v>
      </c>
      <c r="F81" s="49">
        <f>'Avg Week Karuma-Pakwach'!F81+'Avg Week Pakwach-Karuma'!F81</f>
        <v>0</v>
      </c>
      <c r="G81" s="49">
        <f>'Avg Week Karuma-Pakwach'!G81+'Avg Week Pakwach-Karuma'!G81</f>
        <v>0</v>
      </c>
      <c r="H81" s="49">
        <f>'Avg Week Karuma-Pakwach'!H81+'Avg Week Pakwach-Karuma'!H81</f>
        <v>0</v>
      </c>
      <c r="I81" s="49">
        <f>'Avg Week Karuma-Pakwach'!I81+'Avg Week Pakwach-Karuma'!I81</f>
        <v>0</v>
      </c>
      <c r="J81" s="49">
        <f>'Avg Week Karuma-Pakwach'!J81+'Avg Week Pakwach-Karuma'!J81</f>
        <v>0</v>
      </c>
      <c r="K81" s="49">
        <f>'Avg Week Karuma-Pakwach'!K81+'Avg Week Pakwach-Karuma'!K81</f>
        <v>0</v>
      </c>
      <c r="L81" s="49">
        <f>'Avg Week Karuma-Pakwach'!L81+'Avg Week Pakwach-Karuma'!L81</f>
        <v>0</v>
      </c>
      <c r="M81" s="49">
        <f>'Avg Week Karuma-Pakwach'!M81+'Avg Week Pakwach-Karuma'!M81</f>
        <v>4</v>
      </c>
      <c r="N81" s="49">
        <f>'Avg Week Karuma-Pakwach'!N81+'Avg Week Pakwach-Karuma'!N81</f>
        <v>0</v>
      </c>
      <c r="O81" s="15">
        <f t="shared" si="35"/>
        <v>0.5</v>
      </c>
      <c r="P81" s="15">
        <f t="shared" si="36"/>
        <v>4.5</v>
      </c>
      <c r="R81" s="8"/>
      <c r="T81"/>
    </row>
    <row r="82" spans="2:20" ht="23.1" customHeight="1" x14ac:dyDescent="0.25">
      <c r="B82" s="24" t="s">
        <v>122</v>
      </c>
      <c r="C82" s="49">
        <f>'Avg Week Karuma-Pakwach'!C82+'Avg Week Pakwach-Karuma'!C82</f>
        <v>0</v>
      </c>
      <c r="D82" s="49">
        <f>'Avg Week Karuma-Pakwach'!D82+'Avg Week Pakwach-Karuma'!D82</f>
        <v>0</v>
      </c>
      <c r="E82" s="49">
        <f>'Avg Week Karuma-Pakwach'!E82+'Avg Week Pakwach-Karuma'!E82</f>
        <v>2</v>
      </c>
      <c r="F82" s="49">
        <f>'Avg Week Karuma-Pakwach'!F82+'Avg Week Pakwach-Karuma'!F82</f>
        <v>0</v>
      </c>
      <c r="G82" s="49">
        <f>'Avg Week Karuma-Pakwach'!G82+'Avg Week Pakwach-Karuma'!G82</f>
        <v>0</v>
      </c>
      <c r="H82" s="49">
        <f>'Avg Week Karuma-Pakwach'!H82+'Avg Week Pakwach-Karuma'!H82</f>
        <v>0</v>
      </c>
      <c r="I82" s="49">
        <f>'Avg Week Karuma-Pakwach'!I82+'Avg Week Pakwach-Karuma'!I82</f>
        <v>0</v>
      </c>
      <c r="J82" s="49">
        <f>'Avg Week Karuma-Pakwach'!J82+'Avg Week Pakwach-Karuma'!J82</f>
        <v>0</v>
      </c>
      <c r="K82" s="49">
        <f>'Avg Week Karuma-Pakwach'!K82+'Avg Week Pakwach-Karuma'!K82</f>
        <v>0</v>
      </c>
      <c r="L82" s="49">
        <f>'Avg Week Karuma-Pakwach'!L82+'Avg Week Pakwach-Karuma'!L82</f>
        <v>2</v>
      </c>
      <c r="M82" s="49">
        <f>'Avg Week Karuma-Pakwach'!M82+'Avg Week Pakwach-Karuma'!M82</f>
        <v>2</v>
      </c>
      <c r="N82" s="49">
        <f>'Avg Week Karuma-Pakwach'!N82+'Avg Week Pakwach-Karuma'!N82</f>
        <v>0</v>
      </c>
      <c r="O82" s="15">
        <f t="shared" si="35"/>
        <v>4</v>
      </c>
      <c r="P82" s="15">
        <f t="shared" si="36"/>
        <v>6</v>
      </c>
      <c r="R82" s="8"/>
      <c r="T82"/>
    </row>
    <row r="83" spans="2:20" ht="23.1" customHeight="1" x14ac:dyDescent="0.25">
      <c r="B83" s="23" t="s">
        <v>123</v>
      </c>
      <c r="C83" s="49">
        <f>'Avg Week Karuma-Pakwach'!C83+'Avg Week Pakwach-Karuma'!C83</f>
        <v>2</v>
      </c>
      <c r="D83" s="49">
        <f>'Avg Week Karuma-Pakwach'!D83+'Avg Week Pakwach-Karuma'!D83</f>
        <v>0</v>
      </c>
      <c r="E83" s="49">
        <f>'Avg Week Karuma-Pakwach'!E83+'Avg Week Pakwach-Karuma'!E83</f>
        <v>2</v>
      </c>
      <c r="F83" s="49">
        <f>'Avg Week Karuma-Pakwach'!F83+'Avg Week Pakwach-Karuma'!F83</f>
        <v>2</v>
      </c>
      <c r="G83" s="49">
        <f>'Avg Week Karuma-Pakwach'!G83+'Avg Week Pakwach-Karuma'!G83</f>
        <v>0</v>
      </c>
      <c r="H83" s="49">
        <f>'Avg Week Karuma-Pakwach'!H83+'Avg Week Pakwach-Karuma'!H83</f>
        <v>0</v>
      </c>
      <c r="I83" s="49">
        <f>'Avg Week Karuma-Pakwach'!I83+'Avg Week Pakwach-Karuma'!I83</f>
        <v>0</v>
      </c>
      <c r="J83" s="49">
        <f>'Avg Week Karuma-Pakwach'!J83+'Avg Week Pakwach-Karuma'!J83</f>
        <v>0</v>
      </c>
      <c r="K83" s="49">
        <f>'Avg Week Karuma-Pakwach'!K83+'Avg Week Pakwach-Karuma'!K83</f>
        <v>0</v>
      </c>
      <c r="L83" s="49">
        <f>'Avg Week Karuma-Pakwach'!L83+'Avg Week Pakwach-Karuma'!L83</f>
        <v>2</v>
      </c>
      <c r="M83" s="49">
        <f>'Avg Week Karuma-Pakwach'!M83+'Avg Week Pakwach-Karuma'!M83</f>
        <v>4</v>
      </c>
      <c r="N83" s="49">
        <f>'Avg Week Karuma-Pakwach'!N83+'Avg Week Pakwach-Karuma'!N83</f>
        <v>0</v>
      </c>
      <c r="O83" s="15">
        <f t="shared" si="35"/>
        <v>8</v>
      </c>
      <c r="P83" s="15">
        <f t="shared" si="36"/>
        <v>12</v>
      </c>
      <c r="R83" s="8"/>
      <c r="T83"/>
    </row>
    <row r="84" spans="2:20" ht="23.1" customHeight="1" x14ac:dyDescent="0.25">
      <c r="B84" s="25" t="s">
        <v>124</v>
      </c>
      <c r="C84" s="49">
        <f>'Avg Week Karuma-Pakwach'!C84+'Avg Week Pakwach-Karuma'!C84</f>
        <v>0</v>
      </c>
      <c r="D84" s="49">
        <f>'Avg Week Karuma-Pakwach'!D84+'Avg Week Pakwach-Karuma'!D84</f>
        <v>0</v>
      </c>
      <c r="E84" s="49">
        <f>'Avg Week Karuma-Pakwach'!E84+'Avg Week Pakwach-Karuma'!E84</f>
        <v>0</v>
      </c>
      <c r="F84" s="49">
        <f>'Avg Week Karuma-Pakwach'!F84+'Avg Week Pakwach-Karuma'!F84</f>
        <v>0</v>
      </c>
      <c r="G84" s="49">
        <f>'Avg Week Karuma-Pakwach'!G84+'Avg Week Pakwach-Karuma'!G84</f>
        <v>0</v>
      </c>
      <c r="H84" s="49">
        <f>'Avg Week Karuma-Pakwach'!H84+'Avg Week Pakwach-Karuma'!H84</f>
        <v>0</v>
      </c>
      <c r="I84" s="49">
        <f>'Avg Week Karuma-Pakwach'!I84+'Avg Week Pakwach-Karuma'!I84</f>
        <v>0</v>
      </c>
      <c r="J84" s="49">
        <f>'Avg Week Karuma-Pakwach'!J84+'Avg Week Pakwach-Karuma'!J84</f>
        <v>0</v>
      </c>
      <c r="K84" s="49">
        <f>'Avg Week Karuma-Pakwach'!K84+'Avg Week Pakwach-Karuma'!K84</f>
        <v>0</v>
      </c>
      <c r="L84" s="49">
        <f>'Avg Week Karuma-Pakwach'!L84+'Avg Week Pakwach-Karuma'!L84</f>
        <v>0</v>
      </c>
      <c r="M84" s="49">
        <f>'Avg Week Karuma-Pakwach'!M84+'Avg Week Pakwach-Karuma'!M84</f>
        <v>0</v>
      </c>
      <c r="N84" s="49">
        <f>'Avg Week Karuma-Pakwach'!N84+'Avg Week Pakwach-Karuma'!N84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'Avg Week Karuma-Pakwach'!C85+'Avg Week Pakwach-Karuma'!C85</f>
        <v>0</v>
      </c>
      <c r="D85" s="49">
        <f>'Avg Week Karuma-Pakwach'!D85+'Avg Week Pakwach-Karuma'!D85</f>
        <v>0</v>
      </c>
      <c r="E85" s="49">
        <f>'Avg Week Karuma-Pakwach'!E85+'Avg Week Pakwach-Karuma'!E85</f>
        <v>2</v>
      </c>
      <c r="F85" s="49">
        <f>'Avg Week Karuma-Pakwach'!F85+'Avg Week Pakwach-Karuma'!F85</f>
        <v>0</v>
      </c>
      <c r="G85" s="49">
        <f>'Avg Week Karuma-Pakwach'!G85+'Avg Week Pakwach-Karuma'!G85</f>
        <v>0</v>
      </c>
      <c r="H85" s="49">
        <f>'Avg Week Karuma-Pakwach'!H85+'Avg Week Pakwach-Karuma'!H85</f>
        <v>0</v>
      </c>
      <c r="I85" s="49">
        <f>'Avg Week Karuma-Pakwach'!I85+'Avg Week Pakwach-Karuma'!I85</f>
        <v>0</v>
      </c>
      <c r="J85" s="49">
        <f>'Avg Week Karuma-Pakwach'!J85+'Avg Week Pakwach-Karuma'!J85</f>
        <v>0</v>
      </c>
      <c r="K85" s="49">
        <f>'Avg Week Karuma-Pakwach'!K85+'Avg Week Pakwach-Karuma'!K85</f>
        <v>0</v>
      </c>
      <c r="L85" s="49">
        <f>'Avg Week Karuma-Pakwach'!L85+'Avg Week Pakwach-Karuma'!L85</f>
        <v>0</v>
      </c>
      <c r="M85" s="49">
        <f>'Avg Week Karuma-Pakwach'!M85+'Avg Week Pakwach-Karuma'!M85</f>
        <v>2</v>
      </c>
      <c r="N85" s="49">
        <f>'Avg Week Karuma-Pakwach'!N85+'Avg Week Pakwach-Karuma'!N85</f>
        <v>0</v>
      </c>
      <c r="O85" s="15">
        <f t="shared" si="35"/>
        <v>2</v>
      </c>
      <c r="P85" s="15">
        <f t="shared" si="36"/>
        <v>4</v>
      </c>
      <c r="R85" s="8"/>
      <c r="T85"/>
    </row>
    <row r="86" spans="2:20" ht="23.1" customHeight="1" x14ac:dyDescent="0.25">
      <c r="B86" s="24" t="s">
        <v>126</v>
      </c>
      <c r="C86" s="49">
        <f>'Avg Week Karuma-Pakwach'!C86+'Avg Week Pakwach-Karuma'!C86</f>
        <v>2</v>
      </c>
      <c r="D86" s="49">
        <f>'Avg Week Karuma-Pakwach'!D86+'Avg Week Pakwach-Karuma'!D86</f>
        <v>2</v>
      </c>
      <c r="E86" s="49">
        <f>'Avg Week Karuma-Pakwach'!E86+'Avg Week Pakwach-Karuma'!E86</f>
        <v>4</v>
      </c>
      <c r="F86" s="49">
        <f>'Avg Week Karuma-Pakwach'!F86+'Avg Week Pakwach-Karuma'!F86</f>
        <v>2</v>
      </c>
      <c r="G86" s="49">
        <f>'Avg Week Karuma-Pakwach'!G86+'Avg Week Pakwach-Karuma'!G86</f>
        <v>0</v>
      </c>
      <c r="H86" s="49">
        <f>'Avg Week Karuma-Pakwach'!H86+'Avg Week Pakwach-Karuma'!H86</f>
        <v>0</v>
      </c>
      <c r="I86" s="49">
        <f>'Avg Week Karuma-Pakwach'!I86+'Avg Week Pakwach-Karuma'!I86</f>
        <v>0</v>
      </c>
      <c r="J86" s="49">
        <f>'Avg Week Karuma-Pakwach'!J86+'Avg Week Pakwach-Karuma'!J86</f>
        <v>0</v>
      </c>
      <c r="K86" s="49">
        <f>'Avg Week Karuma-Pakwach'!K86+'Avg Week Pakwach-Karuma'!K86</f>
        <v>0</v>
      </c>
      <c r="L86" s="49">
        <f>'Avg Week Karuma-Pakwach'!L86+'Avg Week Pakwach-Karuma'!L86</f>
        <v>2</v>
      </c>
      <c r="M86" s="49">
        <f>'Avg Week Karuma-Pakwach'!M86+'Avg Week Pakwach-Karuma'!M86</f>
        <v>0</v>
      </c>
      <c r="N86" s="49">
        <f>'Avg Week Karuma-Pakwach'!N86+'Avg Week Pakwach-Karuma'!N86</f>
        <v>0</v>
      </c>
      <c r="O86" s="15">
        <f t="shared" si="35"/>
        <v>12</v>
      </c>
      <c r="P86" s="15">
        <f t="shared" si="36"/>
        <v>12</v>
      </c>
      <c r="R86" s="8"/>
      <c r="T86"/>
    </row>
    <row r="87" spans="2:20" ht="23.1" customHeight="1" x14ac:dyDescent="0.25">
      <c r="B87" s="23" t="s">
        <v>127</v>
      </c>
      <c r="C87" s="49">
        <f>'Avg Week Karuma-Pakwach'!C87+'Avg Week Pakwach-Karuma'!C87</f>
        <v>0</v>
      </c>
      <c r="D87" s="49">
        <f>'Avg Week Karuma-Pakwach'!D87+'Avg Week Pakwach-Karuma'!D87</f>
        <v>0</v>
      </c>
      <c r="E87" s="49">
        <f>'Avg Week Karuma-Pakwach'!E87+'Avg Week Pakwach-Karuma'!E87</f>
        <v>0</v>
      </c>
      <c r="F87" s="49">
        <f>'Avg Week Karuma-Pakwach'!F87+'Avg Week Pakwach-Karuma'!F87</f>
        <v>2</v>
      </c>
      <c r="G87" s="49">
        <f>'Avg Week Karuma-Pakwach'!G87+'Avg Week Pakwach-Karuma'!G87</f>
        <v>0</v>
      </c>
      <c r="H87" s="49">
        <f>'Avg Week Karuma-Pakwach'!H87+'Avg Week Pakwach-Karuma'!H87</f>
        <v>0</v>
      </c>
      <c r="I87" s="49">
        <f>'Avg Week Karuma-Pakwach'!I87+'Avg Week Pakwach-Karuma'!I87</f>
        <v>0</v>
      </c>
      <c r="J87" s="49">
        <f>'Avg Week Karuma-Pakwach'!J87+'Avg Week Pakwach-Karuma'!J87</f>
        <v>0</v>
      </c>
      <c r="K87" s="49">
        <f>'Avg Week Karuma-Pakwach'!K87+'Avg Week Pakwach-Karuma'!K87</f>
        <v>0</v>
      </c>
      <c r="L87" s="49">
        <f>'Avg Week Karuma-Pakwach'!L87+'Avg Week Pakwach-Karuma'!L87</f>
        <v>0</v>
      </c>
      <c r="M87" s="49">
        <f>'Avg Week Karuma-Pakwach'!M87+'Avg Week Pakwach-Karuma'!M87</f>
        <v>0</v>
      </c>
      <c r="N87" s="49">
        <f>'Avg Week Karuma-Pakwach'!N87+'Avg Week Pakwach-Karuma'!N87</f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'Avg Week Karuma-Pakwach'!C88+'Avg Week Pakwach-Karuma'!C88</f>
        <v>0</v>
      </c>
      <c r="D88" s="49">
        <f>'Avg Week Karuma-Pakwach'!D88+'Avg Week Pakwach-Karuma'!D88</f>
        <v>0</v>
      </c>
      <c r="E88" s="49">
        <f>'Avg Week Karuma-Pakwach'!E88+'Avg Week Pakwach-Karuma'!E88</f>
        <v>2</v>
      </c>
      <c r="F88" s="49">
        <f>'Avg Week Karuma-Pakwach'!F88+'Avg Week Pakwach-Karuma'!F88</f>
        <v>0</v>
      </c>
      <c r="G88" s="49">
        <f>'Avg Week Karuma-Pakwach'!G88+'Avg Week Pakwach-Karuma'!G88</f>
        <v>0</v>
      </c>
      <c r="H88" s="49">
        <f>'Avg Week Karuma-Pakwach'!H88+'Avg Week Pakwach-Karuma'!H88</f>
        <v>2</v>
      </c>
      <c r="I88" s="49">
        <f>'Avg Week Karuma-Pakwach'!I88+'Avg Week Pakwach-Karuma'!I88</f>
        <v>0</v>
      </c>
      <c r="J88" s="49">
        <f>'Avg Week Karuma-Pakwach'!J88+'Avg Week Pakwach-Karuma'!J88</f>
        <v>0</v>
      </c>
      <c r="K88" s="49">
        <f>'Avg Week Karuma-Pakwach'!K88+'Avg Week Pakwach-Karuma'!K88</f>
        <v>0</v>
      </c>
      <c r="L88" s="49">
        <f>'Avg Week Karuma-Pakwach'!L88+'Avg Week Pakwach-Karuma'!L88</f>
        <v>0</v>
      </c>
      <c r="M88" s="49">
        <f>'Avg Week Karuma-Pakwach'!M88+'Avg Week Pakwach-Karuma'!M88</f>
        <v>0</v>
      </c>
      <c r="N88" s="49">
        <f>'Avg Week Karuma-Pakwach'!N88+'Avg Week Pakwach-Karuma'!N88</f>
        <v>0</v>
      </c>
      <c r="O88" s="15">
        <f t="shared" si="35"/>
        <v>4</v>
      </c>
      <c r="P88" s="15">
        <f t="shared" si="36"/>
        <v>4</v>
      </c>
      <c r="R88" s="8"/>
      <c r="T88"/>
    </row>
    <row r="89" spans="2:20" ht="23.1" customHeight="1" x14ac:dyDescent="0.25">
      <c r="B89" s="23" t="s">
        <v>129</v>
      </c>
      <c r="C89" s="49">
        <f>'Avg Week Karuma-Pakwach'!C89+'Avg Week Pakwach-Karuma'!C89</f>
        <v>0</v>
      </c>
      <c r="D89" s="49">
        <f>'Avg Week Karuma-Pakwach'!D89+'Avg Week Pakwach-Karuma'!D89</f>
        <v>2</v>
      </c>
      <c r="E89" s="49">
        <f>'Avg Week Karuma-Pakwach'!E89+'Avg Week Pakwach-Karuma'!E89</f>
        <v>4</v>
      </c>
      <c r="F89" s="49">
        <f>'Avg Week Karuma-Pakwach'!F89+'Avg Week Pakwach-Karuma'!F89</f>
        <v>2</v>
      </c>
      <c r="G89" s="49">
        <f>'Avg Week Karuma-Pakwach'!G89+'Avg Week Pakwach-Karuma'!G89</f>
        <v>2</v>
      </c>
      <c r="H89" s="49">
        <f>'Avg Week Karuma-Pakwach'!H89+'Avg Week Pakwach-Karuma'!H89</f>
        <v>2</v>
      </c>
      <c r="I89" s="49">
        <f>'Avg Week Karuma-Pakwach'!I89+'Avg Week Pakwach-Karuma'!I89</f>
        <v>0</v>
      </c>
      <c r="J89" s="49">
        <f>'Avg Week Karuma-Pakwach'!J89+'Avg Week Pakwach-Karuma'!J89</f>
        <v>0</v>
      </c>
      <c r="K89" s="49">
        <f>'Avg Week Karuma-Pakwach'!K89+'Avg Week Pakwach-Karuma'!K89</f>
        <v>0</v>
      </c>
      <c r="L89" s="49">
        <f>'Avg Week Karuma-Pakwach'!L89+'Avg Week Pakwach-Karuma'!L89</f>
        <v>2</v>
      </c>
      <c r="M89" s="49">
        <f>'Avg Week Karuma-Pakwach'!M89+'Avg Week Pakwach-Karuma'!M89</f>
        <v>0</v>
      </c>
      <c r="N89" s="49">
        <f>'Avg Week Karuma-Pakwach'!N89+'Avg Week Pakwach-Karuma'!N89</f>
        <v>0</v>
      </c>
      <c r="O89" s="15">
        <f t="shared" si="35"/>
        <v>14</v>
      </c>
      <c r="P89" s="15">
        <f t="shared" si="36"/>
        <v>14</v>
      </c>
      <c r="R89" s="8"/>
      <c r="T89"/>
    </row>
    <row r="90" spans="2:20" ht="23.1" customHeight="1" x14ac:dyDescent="0.25">
      <c r="B90" s="24" t="s">
        <v>130</v>
      </c>
      <c r="C90" s="49">
        <f>'Avg Week Karuma-Pakwach'!C90+'Avg Week Pakwach-Karuma'!C90</f>
        <v>0</v>
      </c>
      <c r="D90" s="49">
        <f>'Avg Week Karuma-Pakwach'!D90+'Avg Week Pakwach-Karuma'!D90</f>
        <v>0</v>
      </c>
      <c r="E90" s="49">
        <f>'Avg Week Karuma-Pakwach'!E90+'Avg Week Pakwach-Karuma'!E90</f>
        <v>2</v>
      </c>
      <c r="F90" s="49">
        <f>'Avg Week Karuma-Pakwach'!F90+'Avg Week Pakwach-Karuma'!F90</f>
        <v>0</v>
      </c>
      <c r="G90" s="49">
        <f>'Avg Week Karuma-Pakwach'!G90+'Avg Week Pakwach-Karuma'!G90</f>
        <v>0</v>
      </c>
      <c r="H90" s="49">
        <f>'Avg Week Karuma-Pakwach'!H90+'Avg Week Pakwach-Karuma'!H90</f>
        <v>0</v>
      </c>
      <c r="I90" s="49">
        <f>'Avg Week Karuma-Pakwach'!I90+'Avg Week Pakwach-Karuma'!I90</f>
        <v>0</v>
      </c>
      <c r="J90" s="49">
        <f>'Avg Week Karuma-Pakwach'!J90+'Avg Week Pakwach-Karuma'!J90</f>
        <v>0</v>
      </c>
      <c r="K90" s="49">
        <f>'Avg Week Karuma-Pakwach'!K90+'Avg Week Pakwach-Karuma'!K90</f>
        <v>0</v>
      </c>
      <c r="L90" s="49">
        <f>'Avg Week Karuma-Pakwach'!L90+'Avg Week Pakwach-Karuma'!L90</f>
        <v>0</v>
      </c>
      <c r="M90" s="49">
        <f>'Avg Week Karuma-Pakwach'!M90+'Avg Week Pakwach-Karuma'!M90</f>
        <v>0</v>
      </c>
      <c r="N90" s="49">
        <f>'Avg Week Karuma-Pakwach'!N90+'Avg Week Pakwach-Karuma'!N90</f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'Avg Week Karuma-Pakwach'!C91+'Avg Week Pakwach-Karuma'!C91</f>
        <v>2</v>
      </c>
      <c r="D91" s="49">
        <f>'Avg Week Karuma-Pakwach'!D91+'Avg Week Pakwach-Karuma'!D91</f>
        <v>0</v>
      </c>
      <c r="E91" s="49">
        <f>'Avg Week Karuma-Pakwach'!E91+'Avg Week Pakwach-Karuma'!E91</f>
        <v>0</v>
      </c>
      <c r="F91" s="49">
        <f>'Avg Week Karuma-Pakwach'!F91+'Avg Week Pakwach-Karuma'!F91</f>
        <v>0</v>
      </c>
      <c r="G91" s="49">
        <f>'Avg Week Karuma-Pakwach'!G91+'Avg Week Pakwach-Karuma'!G91</f>
        <v>0</v>
      </c>
      <c r="H91" s="49">
        <f>'Avg Week Karuma-Pakwach'!H91+'Avg Week Pakwach-Karuma'!H91</f>
        <v>0</v>
      </c>
      <c r="I91" s="49">
        <f>'Avg Week Karuma-Pakwach'!I91+'Avg Week Pakwach-Karuma'!I91</f>
        <v>0</v>
      </c>
      <c r="J91" s="49">
        <f>'Avg Week Karuma-Pakwach'!J91+'Avg Week Pakwach-Karuma'!J91</f>
        <v>0</v>
      </c>
      <c r="K91" s="49">
        <f>'Avg Week Karuma-Pakwach'!K91+'Avg Week Pakwach-Karuma'!K91</f>
        <v>0</v>
      </c>
      <c r="L91" s="49">
        <f>'Avg Week Karuma-Pakwach'!L91+'Avg Week Pakwach-Karuma'!L91</f>
        <v>0</v>
      </c>
      <c r="M91" s="49">
        <f>'Avg Week Karuma-Pakwach'!M91+'Avg Week Pakwach-Karuma'!M91</f>
        <v>0</v>
      </c>
      <c r="N91" s="49">
        <f>'Avg Week Karuma-Pakwach'!N91+'Avg Week Pakwach-Karuma'!N91</f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'Avg Week Karuma-Pakwach'!C92+'Avg Week Pakwach-Karuma'!C92</f>
        <v>0</v>
      </c>
      <c r="D92" s="49">
        <f>'Avg Week Karuma-Pakwach'!D92+'Avg Week Pakwach-Karuma'!D92</f>
        <v>0</v>
      </c>
      <c r="E92" s="49">
        <f>'Avg Week Karuma-Pakwach'!E92+'Avg Week Pakwach-Karuma'!E92</f>
        <v>0</v>
      </c>
      <c r="F92" s="49">
        <f>'Avg Week Karuma-Pakwach'!F92+'Avg Week Pakwach-Karuma'!F92</f>
        <v>0</v>
      </c>
      <c r="G92" s="49">
        <f>'Avg Week Karuma-Pakwach'!G92+'Avg Week Pakwach-Karuma'!G92</f>
        <v>0</v>
      </c>
      <c r="H92" s="49">
        <f>'Avg Week Karuma-Pakwach'!H92+'Avg Week Pakwach-Karuma'!H92</f>
        <v>0</v>
      </c>
      <c r="I92" s="49">
        <f>'Avg Week Karuma-Pakwach'!I92+'Avg Week Pakwach-Karuma'!I92</f>
        <v>0</v>
      </c>
      <c r="J92" s="49">
        <f>'Avg Week Karuma-Pakwach'!J92+'Avg Week Pakwach-Karuma'!J92</f>
        <v>0</v>
      </c>
      <c r="K92" s="49">
        <f>'Avg Week Karuma-Pakwach'!K92+'Avg Week Pakwach-Karuma'!K92</f>
        <v>0</v>
      </c>
      <c r="L92" s="49">
        <f>'Avg Week Karuma-Pakwach'!L92+'Avg Week Pakwach-Karuma'!L92</f>
        <v>0</v>
      </c>
      <c r="M92" s="49">
        <f>'Avg Week Karuma-Pakwach'!M92+'Avg Week Pakwach-Karuma'!M92</f>
        <v>0</v>
      </c>
      <c r="N92" s="49">
        <f>'Avg Week Karuma-Pakwach'!N92+'Avg Week Pakwach-Karuma'!N92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'Avg Week Karuma-Pakwach'!C93+'Avg Week Pakwach-Karuma'!C93</f>
        <v>0.5</v>
      </c>
      <c r="D93" s="49">
        <f>'Avg Week Karuma-Pakwach'!D93+'Avg Week Pakwach-Karuma'!D93</f>
        <v>0</v>
      </c>
      <c r="E93" s="49">
        <f>'Avg Week Karuma-Pakwach'!E93+'Avg Week Pakwach-Karuma'!E93</f>
        <v>0</v>
      </c>
      <c r="F93" s="49">
        <f>'Avg Week Karuma-Pakwach'!F93+'Avg Week Pakwach-Karuma'!F93</f>
        <v>2</v>
      </c>
      <c r="G93" s="49">
        <f>'Avg Week Karuma-Pakwach'!G93+'Avg Week Pakwach-Karuma'!G93</f>
        <v>0</v>
      </c>
      <c r="H93" s="49">
        <f>'Avg Week Karuma-Pakwach'!H93+'Avg Week Pakwach-Karuma'!H93</f>
        <v>0</v>
      </c>
      <c r="I93" s="49">
        <f>'Avg Week Karuma-Pakwach'!I93+'Avg Week Pakwach-Karuma'!I93</f>
        <v>0</v>
      </c>
      <c r="J93" s="49">
        <f>'Avg Week Karuma-Pakwach'!J93+'Avg Week Pakwach-Karuma'!J93</f>
        <v>0</v>
      </c>
      <c r="K93" s="49">
        <f>'Avg Week Karuma-Pakwach'!K93+'Avg Week Pakwach-Karuma'!K93</f>
        <v>0</v>
      </c>
      <c r="L93" s="49">
        <f>'Avg Week Karuma-Pakwach'!L93+'Avg Week Pakwach-Karuma'!L93</f>
        <v>0</v>
      </c>
      <c r="M93" s="49">
        <f>'Avg Week Karuma-Pakwach'!M93+'Avg Week Pakwach-Karuma'!M93</f>
        <v>0</v>
      </c>
      <c r="N93" s="49">
        <f>'Avg Week Karuma-Pakwach'!N93+'Avg Week Pakwach-Karuma'!N93</f>
        <v>0</v>
      </c>
      <c r="O93" s="15">
        <f t="shared" si="35"/>
        <v>2.5</v>
      </c>
      <c r="P93" s="15">
        <f t="shared" si="36"/>
        <v>2.5</v>
      </c>
      <c r="R93" s="8"/>
      <c r="T93"/>
    </row>
    <row r="94" spans="2:20" ht="23.1" customHeight="1" x14ac:dyDescent="0.25">
      <c r="B94" s="24" t="s">
        <v>134</v>
      </c>
      <c r="C94" s="49">
        <f>'Avg Week Karuma-Pakwach'!C94+'Avg Week Pakwach-Karuma'!C94</f>
        <v>2</v>
      </c>
      <c r="D94" s="49">
        <f>'Avg Week Karuma-Pakwach'!D94+'Avg Week Pakwach-Karuma'!D94</f>
        <v>0</v>
      </c>
      <c r="E94" s="49">
        <f>'Avg Week Karuma-Pakwach'!E94+'Avg Week Pakwach-Karuma'!E94</f>
        <v>0</v>
      </c>
      <c r="F94" s="49">
        <f>'Avg Week Karuma-Pakwach'!F94+'Avg Week Pakwach-Karuma'!F94</f>
        <v>0</v>
      </c>
      <c r="G94" s="49">
        <f>'Avg Week Karuma-Pakwach'!G94+'Avg Week Pakwach-Karuma'!G94</f>
        <v>0</v>
      </c>
      <c r="H94" s="49">
        <f>'Avg Week Karuma-Pakwach'!H94+'Avg Week Pakwach-Karuma'!H94</f>
        <v>0</v>
      </c>
      <c r="I94" s="49">
        <f>'Avg Week Karuma-Pakwach'!I94+'Avg Week Pakwach-Karuma'!I94</f>
        <v>0</v>
      </c>
      <c r="J94" s="49">
        <f>'Avg Week Karuma-Pakwach'!J94+'Avg Week Pakwach-Karuma'!J94</f>
        <v>0</v>
      </c>
      <c r="K94" s="49">
        <f>'Avg Week Karuma-Pakwach'!K94+'Avg Week Pakwach-Karuma'!K94</f>
        <v>0</v>
      </c>
      <c r="L94" s="49">
        <f>'Avg Week Karuma-Pakwach'!L94+'Avg Week Pakwach-Karuma'!L94</f>
        <v>0</v>
      </c>
      <c r="M94" s="49">
        <f>'Avg Week Karuma-Pakwach'!M94+'Avg Week Pakwach-Karuma'!M94</f>
        <v>0</v>
      </c>
      <c r="N94" s="49">
        <f>'Avg Week Karuma-Pakwach'!N94+'Avg Week Pakwach-Karuma'!N94</f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'Avg Week Karuma-Pakwach'!C95+'Avg Week Pakwach-Karuma'!C95</f>
        <v>0</v>
      </c>
      <c r="D95" s="49">
        <f>'Avg Week Karuma-Pakwach'!D95+'Avg Week Pakwach-Karuma'!D95</f>
        <v>2</v>
      </c>
      <c r="E95" s="49">
        <f>'Avg Week Karuma-Pakwach'!E95+'Avg Week Pakwach-Karuma'!E95</f>
        <v>2</v>
      </c>
      <c r="F95" s="49">
        <f>'Avg Week Karuma-Pakwach'!F95+'Avg Week Pakwach-Karuma'!F95</f>
        <v>0</v>
      </c>
      <c r="G95" s="49">
        <f>'Avg Week Karuma-Pakwach'!G95+'Avg Week Pakwach-Karuma'!G95</f>
        <v>0</v>
      </c>
      <c r="H95" s="49">
        <f>'Avg Week Karuma-Pakwach'!H95+'Avg Week Pakwach-Karuma'!H95</f>
        <v>2</v>
      </c>
      <c r="I95" s="49">
        <f>'Avg Week Karuma-Pakwach'!I95+'Avg Week Pakwach-Karuma'!I95</f>
        <v>0</v>
      </c>
      <c r="J95" s="49">
        <f>'Avg Week Karuma-Pakwach'!J95+'Avg Week Pakwach-Karuma'!J95</f>
        <v>0</v>
      </c>
      <c r="K95" s="49">
        <f>'Avg Week Karuma-Pakwach'!K95+'Avg Week Pakwach-Karuma'!K95</f>
        <v>2</v>
      </c>
      <c r="L95" s="49">
        <f>'Avg Week Karuma-Pakwach'!L95+'Avg Week Pakwach-Karuma'!L95</f>
        <v>2</v>
      </c>
      <c r="M95" s="49">
        <f>'Avg Week Karuma-Pakwach'!M95+'Avg Week Pakwach-Karuma'!M95</f>
        <v>0</v>
      </c>
      <c r="N95" s="49">
        <f>'Avg Week Karuma-Pakwach'!N95+'Avg Week Pakwach-Karuma'!N95</f>
        <v>0</v>
      </c>
      <c r="O95" s="15">
        <f t="shared" si="35"/>
        <v>10</v>
      </c>
      <c r="P95" s="15">
        <f t="shared" si="36"/>
        <v>10</v>
      </c>
      <c r="R95" s="8"/>
      <c r="T95"/>
    </row>
    <row r="96" spans="2:20" ht="23.1" customHeight="1" x14ac:dyDescent="0.25">
      <c r="B96" s="25" t="s">
        <v>136</v>
      </c>
      <c r="C96" s="49">
        <f>'Avg Week Karuma-Pakwach'!C96+'Avg Week Pakwach-Karuma'!C96</f>
        <v>2</v>
      </c>
      <c r="D96" s="49">
        <f>'Avg Week Karuma-Pakwach'!D96+'Avg Week Pakwach-Karuma'!D96</f>
        <v>0</v>
      </c>
      <c r="E96" s="49">
        <f>'Avg Week Karuma-Pakwach'!E96+'Avg Week Pakwach-Karuma'!E96</f>
        <v>0</v>
      </c>
      <c r="F96" s="49">
        <f>'Avg Week Karuma-Pakwach'!F96+'Avg Week Pakwach-Karuma'!F96</f>
        <v>2</v>
      </c>
      <c r="G96" s="49">
        <f>'Avg Week Karuma-Pakwach'!G96+'Avg Week Pakwach-Karuma'!G96</f>
        <v>0</v>
      </c>
      <c r="H96" s="49">
        <f>'Avg Week Karuma-Pakwach'!H96+'Avg Week Pakwach-Karuma'!H96</f>
        <v>1.5</v>
      </c>
      <c r="I96" s="49">
        <f>'Avg Week Karuma-Pakwach'!I96+'Avg Week Pakwach-Karuma'!I96</f>
        <v>0</v>
      </c>
      <c r="J96" s="49">
        <f>'Avg Week Karuma-Pakwach'!J96+'Avg Week Pakwach-Karuma'!J96</f>
        <v>0</v>
      </c>
      <c r="K96" s="49">
        <f>'Avg Week Karuma-Pakwach'!K96+'Avg Week Pakwach-Karuma'!K96</f>
        <v>2</v>
      </c>
      <c r="L96" s="49">
        <f>'Avg Week Karuma-Pakwach'!L96+'Avg Week Pakwach-Karuma'!L96</f>
        <v>0</v>
      </c>
      <c r="M96" s="49">
        <f>'Avg Week Karuma-Pakwach'!M96+'Avg Week Pakwach-Karuma'!M96</f>
        <v>0</v>
      </c>
      <c r="N96" s="49">
        <f>'Avg Week Karuma-Pakwach'!N96+'Avg Week Pakwach-Karuma'!N96</f>
        <v>0</v>
      </c>
      <c r="O96" s="15">
        <f t="shared" si="35"/>
        <v>7.5</v>
      </c>
      <c r="P96" s="15">
        <f t="shared" si="36"/>
        <v>7.5</v>
      </c>
      <c r="R96" s="8"/>
      <c r="T96"/>
    </row>
    <row r="97" spans="2:20" ht="23.1" customHeight="1" x14ac:dyDescent="0.25">
      <c r="B97" s="23" t="s">
        <v>137</v>
      </c>
      <c r="C97" s="49">
        <f>'Avg Week Karuma-Pakwach'!C97+'Avg Week Pakwach-Karuma'!C97</f>
        <v>0</v>
      </c>
      <c r="D97" s="49">
        <f>'Avg Week Karuma-Pakwach'!D97+'Avg Week Pakwach-Karuma'!D97</f>
        <v>0</v>
      </c>
      <c r="E97" s="49">
        <f>'Avg Week Karuma-Pakwach'!E97+'Avg Week Pakwach-Karuma'!E97</f>
        <v>1.5</v>
      </c>
      <c r="F97" s="49">
        <f>'Avg Week Karuma-Pakwach'!F97+'Avg Week Pakwach-Karuma'!F97</f>
        <v>0</v>
      </c>
      <c r="G97" s="49">
        <f>'Avg Week Karuma-Pakwach'!G97+'Avg Week Pakwach-Karuma'!G97</f>
        <v>0</v>
      </c>
      <c r="H97" s="49">
        <f>'Avg Week Karuma-Pakwach'!H97+'Avg Week Pakwach-Karuma'!H97</f>
        <v>0</v>
      </c>
      <c r="I97" s="49">
        <f>'Avg Week Karuma-Pakwach'!I97+'Avg Week Pakwach-Karuma'!I97</f>
        <v>0</v>
      </c>
      <c r="J97" s="49">
        <f>'Avg Week Karuma-Pakwach'!J97+'Avg Week Pakwach-Karuma'!J97</f>
        <v>0</v>
      </c>
      <c r="K97" s="49">
        <f>'Avg Week Karuma-Pakwach'!K97+'Avg Week Pakwach-Karuma'!K97</f>
        <v>0</v>
      </c>
      <c r="L97" s="49">
        <f>'Avg Week Karuma-Pakwach'!L97+'Avg Week Pakwach-Karuma'!L97</f>
        <v>2</v>
      </c>
      <c r="M97" s="49">
        <f>'Avg Week Karuma-Pakwach'!M97+'Avg Week Pakwach-Karuma'!M97</f>
        <v>0</v>
      </c>
      <c r="N97" s="49">
        <f>'Avg Week Karuma-Pakwach'!N97+'Avg Week Pakwach-Karuma'!N97</f>
        <v>0</v>
      </c>
      <c r="O97" s="15">
        <f t="shared" si="35"/>
        <v>3.5</v>
      </c>
      <c r="P97" s="15">
        <f t="shared" si="36"/>
        <v>3.5</v>
      </c>
      <c r="R97" s="8"/>
      <c r="T97"/>
    </row>
    <row r="98" spans="2:20" ht="23.1" customHeight="1" x14ac:dyDescent="0.25">
      <c r="B98" s="24" t="s">
        <v>138</v>
      </c>
      <c r="C98" s="49">
        <f>'Avg Week Karuma-Pakwach'!C98+'Avg Week Pakwach-Karuma'!C98</f>
        <v>0</v>
      </c>
      <c r="D98" s="49">
        <f>'Avg Week Karuma-Pakwach'!D98+'Avg Week Pakwach-Karuma'!D98</f>
        <v>2</v>
      </c>
      <c r="E98" s="49">
        <f>'Avg Week Karuma-Pakwach'!E98+'Avg Week Pakwach-Karuma'!E98</f>
        <v>1.5</v>
      </c>
      <c r="F98" s="49">
        <f>'Avg Week Karuma-Pakwach'!F98+'Avg Week Pakwach-Karuma'!F98</f>
        <v>2</v>
      </c>
      <c r="G98" s="49">
        <f>'Avg Week Karuma-Pakwach'!G98+'Avg Week Pakwach-Karuma'!G98</f>
        <v>0</v>
      </c>
      <c r="H98" s="49">
        <f>'Avg Week Karuma-Pakwach'!H98+'Avg Week Pakwach-Karuma'!H98</f>
        <v>0</v>
      </c>
      <c r="I98" s="49">
        <f>'Avg Week Karuma-Pakwach'!I98+'Avg Week Pakwach-Karuma'!I98</f>
        <v>0</v>
      </c>
      <c r="J98" s="49">
        <f>'Avg Week Karuma-Pakwach'!J98+'Avg Week Pakwach-Karuma'!J98</f>
        <v>0</v>
      </c>
      <c r="K98" s="49">
        <f>'Avg Week Karuma-Pakwach'!K98+'Avg Week Pakwach-Karuma'!K98</f>
        <v>0</v>
      </c>
      <c r="L98" s="49">
        <f>'Avg Week Karuma-Pakwach'!L98+'Avg Week Pakwach-Karuma'!L98</f>
        <v>0</v>
      </c>
      <c r="M98" s="49">
        <f>'Avg Week Karuma-Pakwach'!M98+'Avg Week Pakwach-Karuma'!M98</f>
        <v>0</v>
      </c>
      <c r="N98" s="49">
        <f>'Avg Week Karuma-Pakwach'!N98+'Avg Week Pakwach-Karuma'!N98</f>
        <v>0</v>
      </c>
      <c r="O98" s="15">
        <f t="shared" si="35"/>
        <v>5.5</v>
      </c>
      <c r="P98" s="15">
        <f t="shared" si="36"/>
        <v>5.5</v>
      </c>
      <c r="R98" s="8"/>
      <c r="T98"/>
    </row>
    <row r="99" spans="2:20" ht="23.1" customHeight="1" x14ac:dyDescent="0.25">
      <c r="B99" s="23" t="s">
        <v>139</v>
      </c>
      <c r="C99" s="49">
        <f>'Avg Week Karuma-Pakwach'!C99+'Avg Week Pakwach-Karuma'!C99</f>
        <v>2</v>
      </c>
      <c r="D99" s="49">
        <f>'Avg Week Karuma-Pakwach'!D99+'Avg Week Pakwach-Karuma'!D99</f>
        <v>0</v>
      </c>
      <c r="E99" s="49">
        <f>'Avg Week Karuma-Pakwach'!E99+'Avg Week Pakwach-Karuma'!E99</f>
        <v>2</v>
      </c>
      <c r="F99" s="49">
        <f>'Avg Week Karuma-Pakwach'!F99+'Avg Week Pakwach-Karuma'!F99</f>
        <v>0</v>
      </c>
      <c r="G99" s="49">
        <f>'Avg Week Karuma-Pakwach'!G99+'Avg Week Pakwach-Karuma'!G99</f>
        <v>0</v>
      </c>
      <c r="H99" s="49">
        <f>'Avg Week Karuma-Pakwach'!H99+'Avg Week Pakwach-Karuma'!H99</f>
        <v>0</v>
      </c>
      <c r="I99" s="49">
        <f>'Avg Week Karuma-Pakwach'!I99+'Avg Week Pakwach-Karuma'!I99</f>
        <v>0</v>
      </c>
      <c r="J99" s="49">
        <f>'Avg Week Karuma-Pakwach'!J99+'Avg Week Pakwach-Karuma'!J99</f>
        <v>0</v>
      </c>
      <c r="K99" s="49">
        <f>'Avg Week Karuma-Pakwach'!K99+'Avg Week Pakwach-Karuma'!K99</f>
        <v>0</v>
      </c>
      <c r="L99" s="49">
        <f>'Avg Week Karuma-Pakwach'!L99+'Avg Week Pakwach-Karuma'!L99</f>
        <v>1.5</v>
      </c>
      <c r="M99" s="49">
        <f>'Avg Week Karuma-Pakwach'!M99+'Avg Week Pakwach-Karuma'!M99</f>
        <v>0</v>
      </c>
      <c r="N99" s="49">
        <f>'Avg Week Karuma-Pakwach'!N99+'Avg Week Pakwach-Karuma'!N99</f>
        <v>0</v>
      </c>
      <c r="O99" s="15">
        <f t="shared" si="35"/>
        <v>5.5</v>
      </c>
      <c r="P99" s="15">
        <f t="shared" si="36"/>
        <v>5.5</v>
      </c>
      <c r="R99" s="8"/>
      <c r="T99"/>
    </row>
    <row r="100" spans="2:20" ht="23.1" customHeight="1" x14ac:dyDescent="0.25">
      <c r="B100" s="25" t="s">
        <v>140</v>
      </c>
      <c r="C100" s="49">
        <f>'Avg Week Karuma-Pakwach'!C100+'Avg Week Pakwach-Karuma'!C100</f>
        <v>2</v>
      </c>
      <c r="D100" s="49">
        <f>'Avg Week Karuma-Pakwach'!D100+'Avg Week Pakwach-Karuma'!D100</f>
        <v>2</v>
      </c>
      <c r="E100" s="49">
        <f>'Avg Week Karuma-Pakwach'!E100+'Avg Week Pakwach-Karuma'!E100</f>
        <v>3.5</v>
      </c>
      <c r="F100" s="49">
        <f>'Avg Week Karuma-Pakwach'!F100+'Avg Week Pakwach-Karuma'!F100</f>
        <v>2</v>
      </c>
      <c r="G100" s="49">
        <f>'Avg Week Karuma-Pakwach'!G100+'Avg Week Pakwach-Karuma'!G100</f>
        <v>0</v>
      </c>
      <c r="H100" s="49">
        <f>'Avg Week Karuma-Pakwach'!H100+'Avg Week Pakwach-Karuma'!H100</f>
        <v>2</v>
      </c>
      <c r="I100" s="49">
        <f>'Avg Week Karuma-Pakwach'!I100+'Avg Week Pakwach-Karuma'!I100</f>
        <v>0</v>
      </c>
      <c r="J100" s="49">
        <f>'Avg Week Karuma-Pakwach'!J100+'Avg Week Pakwach-Karuma'!J100</f>
        <v>2</v>
      </c>
      <c r="K100" s="49">
        <f>'Avg Week Karuma-Pakwach'!K100+'Avg Week Pakwach-Karuma'!K100</f>
        <v>0</v>
      </c>
      <c r="L100" s="49">
        <f>'Avg Week Karuma-Pakwach'!L100+'Avg Week Pakwach-Karuma'!L100</f>
        <v>2</v>
      </c>
      <c r="M100" s="49">
        <f>'Avg Week Karuma-Pakwach'!M100+'Avg Week Pakwach-Karuma'!M100</f>
        <v>2</v>
      </c>
      <c r="N100" s="49">
        <f>'Avg Week Karuma-Pakwach'!N100+'Avg Week Pakwach-Karuma'!N100</f>
        <v>0</v>
      </c>
      <c r="O100" s="15">
        <f t="shared" si="35"/>
        <v>15.5</v>
      </c>
      <c r="P100" s="15">
        <f t="shared" si="36"/>
        <v>17.5</v>
      </c>
      <c r="R100" s="8"/>
      <c r="T100"/>
    </row>
    <row r="101" spans="2:20" ht="23.1" customHeight="1" x14ac:dyDescent="0.25">
      <c r="B101" s="23" t="s">
        <v>141</v>
      </c>
      <c r="C101" s="49">
        <f>'Avg Week Karuma-Pakwach'!C101+'Avg Week Pakwach-Karuma'!C101</f>
        <v>0</v>
      </c>
      <c r="D101" s="49">
        <f>'Avg Week Karuma-Pakwach'!D101+'Avg Week Pakwach-Karuma'!D101</f>
        <v>0</v>
      </c>
      <c r="E101" s="49">
        <f>'Avg Week Karuma-Pakwach'!E101+'Avg Week Pakwach-Karuma'!E101</f>
        <v>2</v>
      </c>
      <c r="F101" s="49">
        <f>'Avg Week Karuma-Pakwach'!F101+'Avg Week Pakwach-Karuma'!F101</f>
        <v>0</v>
      </c>
      <c r="G101" s="49">
        <f>'Avg Week Karuma-Pakwach'!G101+'Avg Week Pakwach-Karuma'!G101</f>
        <v>0</v>
      </c>
      <c r="H101" s="49">
        <f>'Avg Week Karuma-Pakwach'!H101+'Avg Week Pakwach-Karuma'!H101</f>
        <v>0</v>
      </c>
      <c r="I101" s="49">
        <f>'Avg Week Karuma-Pakwach'!I101+'Avg Week Pakwach-Karuma'!I101</f>
        <v>0</v>
      </c>
      <c r="J101" s="49">
        <f>'Avg Week Karuma-Pakwach'!J101+'Avg Week Pakwach-Karuma'!J101</f>
        <v>0</v>
      </c>
      <c r="K101" s="49">
        <f>'Avg Week Karuma-Pakwach'!K101+'Avg Week Pakwach-Karuma'!K101</f>
        <v>0</v>
      </c>
      <c r="L101" s="49">
        <f>'Avg Week Karuma-Pakwach'!L101+'Avg Week Pakwach-Karuma'!L101</f>
        <v>2</v>
      </c>
      <c r="M101" s="49">
        <f>'Avg Week Karuma-Pakwach'!M101+'Avg Week Pakwach-Karuma'!M101</f>
        <v>0</v>
      </c>
      <c r="N101" s="49">
        <f>'Avg Week Karuma-Pakwach'!N101+'Avg Week Pakwach-Karuma'!N101</f>
        <v>0</v>
      </c>
      <c r="O101" s="15">
        <f t="shared" si="35"/>
        <v>4</v>
      </c>
      <c r="P101" s="15">
        <f t="shared" si="36"/>
        <v>4</v>
      </c>
      <c r="R101" s="8"/>
      <c r="T101"/>
    </row>
    <row r="102" spans="2:20" ht="23.1" customHeight="1" x14ac:dyDescent="0.25">
      <c r="B102" s="24" t="s">
        <v>142</v>
      </c>
      <c r="C102" s="49">
        <f>'Avg Week Karuma-Pakwach'!C102+'Avg Week Pakwach-Karuma'!C102</f>
        <v>1.5</v>
      </c>
      <c r="D102" s="49">
        <f>'Avg Week Karuma-Pakwach'!D102+'Avg Week Pakwach-Karuma'!D102</f>
        <v>0</v>
      </c>
      <c r="E102" s="49">
        <f>'Avg Week Karuma-Pakwach'!E102+'Avg Week Pakwach-Karuma'!E102</f>
        <v>2</v>
      </c>
      <c r="F102" s="49">
        <f>'Avg Week Karuma-Pakwach'!F102+'Avg Week Pakwach-Karuma'!F102</f>
        <v>2</v>
      </c>
      <c r="G102" s="49">
        <f>'Avg Week Karuma-Pakwach'!G102+'Avg Week Pakwach-Karuma'!G102</f>
        <v>0</v>
      </c>
      <c r="H102" s="49">
        <f>'Avg Week Karuma-Pakwach'!H102+'Avg Week Pakwach-Karuma'!H102</f>
        <v>2</v>
      </c>
      <c r="I102" s="49">
        <f>'Avg Week Karuma-Pakwach'!I102+'Avg Week Pakwach-Karuma'!I102</f>
        <v>0</v>
      </c>
      <c r="J102" s="49">
        <f>'Avg Week Karuma-Pakwach'!J102+'Avg Week Pakwach-Karuma'!J102</f>
        <v>0</v>
      </c>
      <c r="K102" s="49">
        <f>'Avg Week Karuma-Pakwach'!K102+'Avg Week Pakwach-Karuma'!K102</f>
        <v>0</v>
      </c>
      <c r="L102" s="49">
        <f>'Avg Week Karuma-Pakwach'!L102+'Avg Week Pakwach-Karuma'!L102</f>
        <v>2.5</v>
      </c>
      <c r="M102" s="49">
        <f>'Avg Week Karuma-Pakwach'!M102+'Avg Week Pakwach-Karuma'!M102</f>
        <v>2</v>
      </c>
      <c r="N102" s="49">
        <f>'Avg Week Karuma-Pakwach'!N102+'Avg Week Pakwach-Karuma'!N102</f>
        <v>0</v>
      </c>
      <c r="O102" s="15">
        <f t="shared" si="35"/>
        <v>10</v>
      </c>
      <c r="P102" s="15">
        <f t="shared" si="36"/>
        <v>12</v>
      </c>
      <c r="R102" s="8"/>
      <c r="T102"/>
    </row>
    <row r="103" spans="2:20" ht="23.1" customHeight="1" x14ac:dyDescent="0.25">
      <c r="B103" s="23" t="s">
        <v>143</v>
      </c>
      <c r="C103" s="49">
        <f>'Avg Week Karuma-Pakwach'!C103+'Avg Week Pakwach-Karuma'!C103</f>
        <v>1.5</v>
      </c>
      <c r="D103" s="49">
        <f>'Avg Week Karuma-Pakwach'!D103+'Avg Week Pakwach-Karuma'!D103</f>
        <v>0</v>
      </c>
      <c r="E103" s="49">
        <f>'Avg Week Karuma-Pakwach'!E103+'Avg Week Pakwach-Karuma'!E103</f>
        <v>3</v>
      </c>
      <c r="F103" s="49">
        <f>'Avg Week Karuma-Pakwach'!F103+'Avg Week Pakwach-Karuma'!F103</f>
        <v>2</v>
      </c>
      <c r="G103" s="49">
        <f>'Avg Week Karuma-Pakwach'!G103+'Avg Week Pakwach-Karuma'!G103</f>
        <v>0</v>
      </c>
      <c r="H103" s="49">
        <f>'Avg Week Karuma-Pakwach'!H103+'Avg Week Pakwach-Karuma'!H103</f>
        <v>0</v>
      </c>
      <c r="I103" s="49">
        <f>'Avg Week Karuma-Pakwach'!I103+'Avg Week Pakwach-Karuma'!I103</f>
        <v>0</v>
      </c>
      <c r="J103" s="49">
        <f>'Avg Week Karuma-Pakwach'!J103+'Avg Week Pakwach-Karuma'!J103</f>
        <v>0</v>
      </c>
      <c r="K103" s="49">
        <f>'Avg Week Karuma-Pakwach'!K103+'Avg Week Pakwach-Karuma'!K103</f>
        <v>0</v>
      </c>
      <c r="L103" s="49">
        <f>'Avg Week Karuma-Pakwach'!L103+'Avg Week Pakwach-Karuma'!L103</f>
        <v>0</v>
      </c>
      <c r="M103" s="49">
        <f>'Avg Week Karuma-Pakwach'!M103+'Avg Week Pakwach-Karuma'!M103</f>
        <v>2</v>
      </c>
      <c r="N103" s="49">
        <f>'Avg Week Karuma-Pakwach'!N103+'Avg Week Pakwach-Karuma'!N103</f>
        <v>0</v>
      </c>
      <c r="O103" s="15">
        <f t="shared" si="35"/>
        <v>6.5</v>
      </c>
      <c r="P103" s="15">
        <f t="shared" si="36"/>
        <v>8.5</v>
      </c>
      <c r="R103" s="8"/>
      <c r="T103"/>
    </row>
    <row r="104" spans="2:20" ht="23.1" customHeight="1" x14ac:dyDescent="0.25">
      <c r="B104" s="25" t="s">
        <v>144</v>
      </c>
      <c r="C104" s="49">
        <f>'Avg Week Karuma-Pakwach'!C104+'Avg Week Pakwach-Karuma'!C104</f>
        <v>2</v>
      </c>
      <c r="D104" s="49">
        <f>'Avg Week Karuma-Pakwach'!D104+'Avg Week Pakwach-Karuma'!D104</f>
        <v>0</v>
      </c>
      <c r="E104" s="49">
        <f>'Avg Week Karuma-Pakwach'!E104+'Avg Week Pakwach-Karuma'!E104</f>
        <v>2</v>
      </c>
      <c r="F104" s="49">
        <f>'Avg Week Karuma-Pakwach'!F104+'Avg Week Pakwach-Karuma'!F104</f>
        <v>0</v>
      </c>
      <c r="G104" s="49">
        <f>'Avg Week Karuma-Pakwach'!G104+'Avg Week Pakwach-Karuma'!G104</f>
        <v>0</v>
      </c>
      <c r="H104" s="49">
        <f>'Avg Week Karuma-Pakwach'!H104+'Avg Week Pakwach-Karuma'!H104</f>
        <v>0</v>
      </c>
      <c r="I104" s="49">
        <f>'Avg Week Karuma-Pakwach'!I104+'Avg Week Pakwach-Karuma'!I104</f>
        <v>0</v>
      </c>
      <c r="J104" s="49">
        <f>'Avg Week Karuma-Pakwach'!J104+'Avg Week Pakwach-Karuma'!J104</f>
        <v>0</v>
      </c>
      <c r="K104" s="49">
        <f>'Avg Week Karuma-Pakwach'!K104+'Avg Week Pakwach-Karuma'!K104</f>
        <v>0</v>
      </c>
      <c r="L104" s="49">
        <f>'Avg Week Karuma-Pakwach'!L104+'Avg Week Pakwach-Karuma'!L104</f>
        <v>1.5</v>
      </c>
      <c r="M104" s="49">
        <f>'Avg Week Karuma-Pakwach'!M104+'Avg Week Pakwach-Karuma'!M104</f>
        <v>5</v>
      </c>
      <c r="N104" s="49">
        <f>'Avg Week Karuma-Pakwach'!N104+'Avg Week Pakwach-Karuma'!N104</f>
        <v>0</v>
      </c>
      <c r="O104" s="15">
        <f t="shared" si="35"/>
        <v>5.5</v>
      </c>
      <c r="P104" s="15">
        <f t="shared" si="36"/>
        <v>10.5</v>
      </c>
      <c r="R104" s="8"/>
      <c r="T104"/>
    </row>
    <row r="105" spans="2:20" ht="23.1" customHeight="1" x14ac:dyDescent="0.25">
      <c r="B105" s="23" t="s">
        <v>145</v>
      </c>
      <c r="C105" s="49">
        <f>'Avg Week Karuma-Pakwach'!C105+'Avg Week Pakwach-Karuma'!C105</f>
        <v>2</v>
      </c>
      <c r="D105" s="49">
        <f>'Avg Week Karuma-Pakwach'!D105+'Avg Week Pakwach-Karuma'!D105</f>
        <v>0</v>
      </c>
      <c r="E105" s="49">
        <f>'Avg Week Karuma-Pakwach'!E105+'Avg Week Pakwach-Karuma'!E105</f>
        <v>2</v>
      </c>
      <c r="F105" s="49">
        <f>'Avg Week Karuma-Pakwach'!F105+'Avg Week Pakwach-Karuma'!F105</f>
        <v>0</v>
      </c>
      <c r="G105" s="49">
        <f>'Avg Week Karuma-Pakwach'!G105+'Avg Week Pakwach-Karuma'!G105</f>
        <v>0</v>
      </c>
      <c r="H105" s="49">
        <f>'Avg Week Karuma-Pakwach'!H105+'Avg Week Pakwach-Karuma'!H105</f>
        <v>0</v>
      </c>
      <c r="I105" s="49">
        <f>'Avg Week Karuma-Pakwach'!I105+'Avg Week Pakwach-Karuma'!I105</f>
        <v>0</v>
      </c>
      <c r="J105" s="49">
        <f>'Avg Week Karuma-Pakwach'!J105+'Avg Week Pakwach-Karuma'!J105</f>
        <v>0</v>
      </c>
      <c r="K105" s="49">
        <f>'Avg Week Karuma-Pakwach'!K105+'Avg Week Pakwach-Karuma'!K105</f>
        <v>0</v>
      </c>
      <c r="L105" s="49">
        <f>'Avg Week Karuma-Pakwach'!L105+'Avg Week Pakwach-Karuma'!L105</f>
        <v>1.5</v>
      </c>
      <c r="M105" s="49">
        <f>'Avg Week Karuma-Pakwach'!M105+'Avg Week Pakwach-Karuma'!M105</f>
        <v>5.5</v>
      </c>
      <c r="N105" s="49">
        <f>'Avg Week Karuma-Pakwach'!N105+'Avg Week Pakwach-Karuma'!N105</f>
        <v>0</v>
      </c>
      <c r="O105" s="15">
        <f t="shared" si="35"/>
        <v>5.5</v>
      </c>
      <c r="P105" s="15">
        <f t="shared" si="36"/>
        <v>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95.547619047619037</v>
      </c>
      <c r="D106" s="16">
        <f t="shared" ref="D106:P106" si="37">SUM(D10:D105)</f>
        <v>36.333333333333329</v>
      </c>
      <c r="E106" s="16">
        <f t="shared" si="37"/>
        <v>206.57142857142856</v>
      </c>
      <c r="F106" s="16">
        <f t="shared" si="37"/>
        <v>97.357142857142833</v>
      </c>
      <c r="G106" s="16">
        <f t="shared" si="37"/>
        <v>28.333333333333329</v>
      </c>
      <c r="H106" s="16">
        <f t="shared" si="37"/>
        <v>40.642857142857139</v>
      </c>
      <c r="I106" s="16">
        <f t="shared" si="37"/>
        <v>44.761904761904759</v>
      </c>
      <c r="J106" s="16">
        <f t="shared" si="37"/>
        <v>45.404761904761905</v>
      </c>
      <c r="K106" s="16">
        <f t="shared" si="37"/>
        <v>25.714285714285712</v>
      </c>
      <c r="L106" s="16">
        <f t="shared" si="37"/>
        <v>137</v>
      </c>
      <c r="M106" s="16">
        <f t="shared" si="37"/>
        <v>437.76190476190476</v>
      </c>
      <c r="N106" s="16">
        <f t="shared" si="37"/>
        <v>15.285714285714285</v>
      </c>
      <c r="O106" s="16">
        <f t="shared" si="37"/>
        <v>772.95238095238096</v>
      </c>
      <c r="P106" s="16">
        <f t="shared" si="37"/>
        <v>1210.7142857142858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7.8918387413962621E-2</v>
      </c>
      <c r="D107" s="43">
        <f t="shared" si="38"/>
        <v>3.0009832841691245E-2</v>
      </c>
      <c r="E107" s="43">
        <f t="shared" si="38"/>
        <v>0.17061946902654865</v>
      </c>
      <c r="F107" s="43">
        <f t="shared" si="38"/>
        <v>8.0412979351032421E-2</v>
      </c>
      <c r="G107" s="43">
        <f t="shared" si="38"/>
        <v>2.3402163225172069E-2</v>
      </c>
      <c r="H107" s="43">
        <f t="shared" si="38"/>
        <v>3.3569321533923301E-2</v>
      </c>
      <c r="I107" s="43">
        <f t="shared" si="38"/>
        <v>3.6971484759095376E-2</v>
      </c>
      <c r="J107" s="43">
        <f t="shared" si="38"/>
        <v>3.7502458210422814E-2</v>
      </c>
      <c r="K107" s="43">
        <f t="shared" si="38"/>
        <v>2.1238938053097341E-2</v>
      </c>
      <c r="L107" s="43">
        <f t="shared" si="38"/>
        <v>0.11315634218289085</v>
      </c>
      <c r="M107" s="43">
        <f t="shared" si="38"/>
        <v>0.36157325467059981</v>
      </c>
      <c r="N107" s="43">
        <f t="shared" si="38"/>
        <v>1.2625368731563421E-2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0.12361384918679151</v>
      </c>
      <c r="D108" s="44">
        <f t="shared" ref="D108:N108" si="39">D106/$O$106</f>
        <v>4.7005914243469685E-2</v>
      </c>
      <c r="E108" s="44">
        <f t="shared" si="39"/>
        <v>0.26724987678659434</v>
      </c>
      <c r="F108" s="44">
        <f t="shared" si="39"/>
        <v>0.12595490389354358</v>
      </c>
      <c r="G108" s="44">
        <f t="shared" si="39"/>
        <v>3.6655988171513054E-2</v>
      </c>
      <c r="H108" s="44">
        <f t="shared" si="39"/>
        <v>5.2581320847708224E-2</v>
      </c>
      <c r="I108" s="44">
        <f t="shared" si="39"/>
        <v>5.7910300640709705E-2</v>
      </c>
      <c r="J108" s="44">
        <f t="shared" si="39"/>
        <v>5.8741991128634798E-2</v>
      </c>
      <c r="K108" s="44">
        <f t="shared" si="39"/>
        <v>3.3267619517003445E-2</v>
      </c>
      <c r="L108" s="44">
        <f t="shared" si="39"/>
        <v>0.17724248398225725</v>
      </c>
      <c r="M108" s="44"/>
      <c r="N108" s="44">
        <f t="shared" si="39"/>
        <v>1.977575160177427E-2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Pakwach-Karuma</vt:lpstr>
      <vt:lpstr>29.07 karuma-pakwach</vt:lpstr>
      <vt:lpstr>30.07.19 pakwach-karuma</vt:lpstr>
      <vt:lpstr>30.07 karuma-pakwach</vt:lpstr>
      <vt:lpstr>31.07 pakwach-karuma</vt:lpstr>
      <vt:lpstr>31.07 karuma-pakwach</vt:lpstr>
      <vt:lpstr>01.08 pakwach-karuma</vt:lpstr>
      <vt:lpstr>01.08 karuma-pakwach</vt:lpstr>
      <vt:lpstr>2.08 Pakwach-Karuma-24h</vt:lpstr>
      <vt:lpstr>2.08 Karuma-Pakwach-24h</vt:lpstr>
      <vt:lpstr>3.08 Pakwach-Karuma-24h</vt:lpstr>
      <vt:lpstr>3.08 Karuma-Pakwach-24h</vt:lpstr>
      <vt:lpstr>4.08 Pakwach-Karuma </vt:lpstr>
      <vt:lpstr>04.08 Karuma-Pakwach</vt:lpstr>
      <vt:lpstr>Avg Week Karuma-Pakwach</vt:lpstr>
      <vt:lpstr>Avg Week Pakwach-Karuma</vt:lpstr>
      <vt:lpstr>Avg Week Karuma-Pakwach-2Dir</vt:lpstr>
      <vt:lpstr>'01.08 karuma-pakwach'!Print_Area</vt:lpstr>
      <vt:lpstr>'01.08 pakwach-karuma'!Print_Area</vt:lpstr>
      <vt:lpstr>'04.08 Karuma-Pakwach'!Print_Area</vt:lpstr>
      <vt:lpstr>'2.08 Karuma-Pakwach-24h'!Print_Area</vt:lpstr>
      <vt:lpstr>'2.08 Pakwach-Karuma-24h'!Print_Area</vt:lpstr>
      <vt:lpstr>'29.07 karuma-pakwach'!Print_Area</vt:lpstr>
      <vt:lpstr>'29.07 Pakwach-Karuma'!Print_Area</vt:lpstr>
      <vt:lpstr>'3.08 Karuma-Pakwach-24h'!Print_Area</vt:lpstr>
      <vt:lpstr>'3.08 Pakwach-Karuma-24h'!Print_Area</vt:lpstr>
      <vt:lpstr>'30.07 karuma-pakwach'!Print_Area</vt:lpstr>
      <vt:lpstr>'30.07.19 pakwach-karuma'!Print_Area</vt:lpstr>
      <vt:lpstr>'31.07 karuma-pakwach'!Print_Area</vt:lpstr>
      <vt:lpstr>'31.07 pakwach-karuma'!Print_Area</vt:lpstr>
      <vt:lpstr>'4.08 Pakwach-Karuma '!Print_Area</vt:lpstr>
      <vt:lpstr>'Avg Week Karuma-Pakwach'!Print_Area</vt:lpstr>
      <vt:lpstr>'Avg Week Karuma-Pakwach-2Dir'!Print_Area</vt:lpstr>
      <vt:lpstr>'Avg Week Pakwach-Karuma'!Print_Area</vt:lpstr>
      <vt:lpstr>'01.08 karuma-pakwach'!Print_Titles</vt:lpstr>
      <vt:lpstr>'01.08 pakwach-karuma'!Print_Titles</vt:lpstr>
      <vt:lpstr>'04.08 Karuma-Pakwach'!Print_Titles</vt:lpstr>
      <vt:lpstr>'2.08 Karuma-Pakwach-24h'!Print_Titles</vt:lpstr>
      <vt:lpstr>'2.08 Pakwach-Karuma-24h'!Print_Titles</vt:lpstr>
      <vt:lpstr>'29.07 karuma-pakwach'!Print_Titles</vt:lpstr>
      <vt:lpstr>'29.07 Pakwach-Karuma'!Print_Titles</vt:lpstr>
      <vt:lpstr>'3.08 Karuma-Pakwach-24h'!Print_Titles</vt:lpstr>
      <vt:lpstr>'3.08 Pakwach-Karuma-24h'!Print_Titles</vt:lpstr>
      <vt:lpstr>'30.07 karuma-pakwach'!Print_Titles</vt:lpstr>
      <vt:lpstr>'30.07.19 pakwach-karuma'!Print_Titles</vt:lpstr>
      <vt:lpstr>'31.07 karuma-pakwach'!Print_Titles</vt:lpstr>
      <vt:lpstr>'31.07 pakwach-karuma'!Print_Titles</vt:lpstr>
      <vt:lpstr>'4.08 Pakwach-Karuma '!Print_Titles</vt:lpstr>
      <vt:lpstr>'Avg Week Karuma-Pakwach'!Print_Titles</vt:lpstr>
      <vt:lpstr>'Avg Week Karuma-Pakwach-2Dir'!Print_Titles</vt:lpstr>
      <vt:lpstr>'Avg Week Pakwach-Karuma'!Print_Titles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2020-04-06T17:46:37Z</dcterms:modified>
</cp:coreProperties>
</file>