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DMP Final Data\C-5 Analysis Complete\STN138 GOLI BORDER POST\MCC\"/>
    </mc:Choice>
  </mc:AlternateContent>
  <xr:revisionPtr revIDLastSave="0" documentId="13_ncr:1_{80D09CA9-C506-454B-9093-4A27BCA57919}" xr6:coauthVersionLast="45" xr6:coauthVersionMax="45" xr10:uidLastSave="{00000000-0000-0000-0000-000000000000}"/>
  <bookViews>
    <workbookView xWindow="-120" yWindow="-120" windowWidth="20730" windowHeight="11160" tabRatio="890" firstSheet="10" activeTab="16" xr2:uid="{00000000-000D-0000-FFFF-FFFF00000000}"/>
  </bookViews>
  <sheets>
    <sheet name="31.07 Goli-Nebbi" sheetId="93" r:id="rId1"/>
    <sheet name="31.07 Nebbi-Goli" sheetId="94" r:id="rId2"/>
    <sheet name="01.08 Goli-Nebbi" sheetId="95" r:id="rId3"/>
    <sheet name="01.08 Nebbi-Goli" sheetId="96" r:id="rId4"/>
    <sheet name="02.08 Goli-Nebbi-24h" sheetId="101" r:id="rId5"/>
    <sheet name="02.08 Nebbi-Goli-24h" sheetId="109" r:id="rId6"/>
    <sheet name="03.08 Goli-Nebbi-24h" sheetId="105" r:id="rId7"/>
    <sheet name="03.08 Nebbi-Goli-24h" sheetId="110" r:id="rId8"/>
    <sheet name="04.08 Goli-Nebbi" sheetId="97" r:id="rId9"/>
    <sheet name="04.08 Nebbi-Goli" sheetId="98" r:id="rId10"/>
    <sheet name="05.08 Goli-Nebbi" sheetId="99" r:id="rId11"/>
    <sheet name="05.08 Nebbi-Goli" sheetId="100" r:id="rId12"/>
    <sheet name="06.08 Goli-Nebbi" sheetId="103" r:id="rId13"/>
    <sheet name="06.08 Nebbi-Goli" sheetId="104" r:id="rId14"/>
    <sheet name="Avg Week Goli-Nebbi" sheetId="107" r:id="rId15"/>
    <sheet name="Avg Week Nebbi-Goli" sheetId="108" r:id="rId16"/>
    <sheet name="Avg Week Goli-Nebbi-2Dir" sheetId="111" r:id="rId17"/>
  </sheets>
  <externalReferences>
    <externalReference r:id="rId18"/>
  </externalReferences>
  <definedNames>
    <definedName name="_xlnm.Print_Area" localSheetId="2">'01.08 Goli-Nebbi'!$A$1:$AF$60</definedName>
    <definedName name="_xlnm.Print_Area" localSheetId="3">'01.08 Nebbi-Goli'!$A$1:$AF$60</definedName>
    <definedName name="_xlnm.Print_Area" localSheetId="4">'02.08 Goli-Nebbi-24h'!$A$1:$AF$108</definedName>
    <definedName name="_xlnm.Print_Area" localSheetId="5">'02.08 Nebbi-Goli-24h'!$A$1:$AF$108</definedName>
    <definedName name="_xlnm.Print_Area" localSheetId="6">'03.08 Goli-Nebbi-24h'!$A$1:$AF$108</definedName>
    <definedName name="_xlnm.Print_Area" localSheetId="7">'03.08 Nebbi-Goli-24h'!$A$1:$AF$108</definedName>
    <definedName name="_xlnm.Print_Area" localSheetId="8">'04.08 Goli-Nebbi'!$A$1:$AF$60</definedName>
    <definedName name="_xlnm.Print_Area" localSheetId="9">'04.08 Nebbi-Goli'!$A$1:$AF$60</definedName>
    <definedName name="_xlnm.Print_Area" localSheetId="10">'05.08 Goli-Nebbi'!$A$1:$AF$60</definedName>
    <definedName name="_xlnm.Print_Area" localSheetId="11">'05.08 Nebbi-Goli'!$A$1:$AF$60</definedName>
    <definedName name="_xlnm.Print_Area" localSheetId="12">'06.08 Goli-Nebbi'!$A$1:$AF$60</definedName>
    <definedName name="_xlnm.Print_Area" localSheetId="13">'06.08 Nebbi-Goli'!$A$1:$AF$60</definedName>
    <definedName name="_xlnm.Print_Area" localSheetId="0">'31.07 Goli-Nebbi'!$A$1:$AF$60</definedName>
    <definedName name="_xlnm.Print_Area" localSheetId="1">'31.07 Nebbi-Goli'!$A$1:$AF$60</definedName>
    <definedName name="_xlnm.Print_Area" localSheetId="14">'Avg Week Goli-Nebbi'!$A$1:$AF$108</definedName>
    <definedName name="_xlnm.Print_Area" localSheetId="16">'Avg Week Goli-Nebbi-2Dir'!$A$1:$AF$108</definedName>
    <definedName name="_xlnm.Print_Area" localSheetId="15">'Avg Week Nebbi-Goli'!$A$1:$AF$108</definedName>
    <definedName name="_xlnm.Print_Titles" localSheetId="2">'01.08 Goli-Nebbi'!$1:$8</definedName>
    <definedName name="_xlnm.Print_Titles" localSheetId="3">'01.08 Nebbi-Goli'!$1:$8</definedName>
    <definedName name="_xlnm.Print_Titles" localSheetId="4">'02.08 Goli-Nebbi-24h'!$1:$8</definedName>
    <definedName name="_xlnm.Print_Titles" localSheetId="5">'02.08 Nebbi-Goli-24h'!$1:$8</definedName>
    <definedName name="_xlnm.Print_Titles" localSheetId="6">'03.08 Goli-Nebbi-24h'!$1:$8</definedName>
    <definedName name="_xlnm.Print_Titles" localSheetId="7">'03.08 Nebbi-Goli-24h'!$1:$8</definedName>
    <definedName name="_xlnm.Print_Titles" localSheetId="8">'04.08 Goli-Nebbi'!$1:$8</definedName>
    <definedName name="_xlnm.Print_Titles" localSheetId="9">'04.08 Nebbi-Goli'!$1:$8</definedName>
    <definedName name="_xlnm.Print_Titles" localSheetId="10">'05.08 Goli-Nebbi'!$1:$8</definedName>
    <definedName name="_xlnm.Print_Titles" localSheetId="11">'05.08 Nebbi-Goli'!$1:$8</definedName>
    <definedName name="_xlnm.Print_Titles" localSheetId="12">'06.08 Goli-Nebbi'!$1:$8</definedName>
    <definedName name="_xlnm.Print_Titles" localSheetId="13">'06.08 Nebbi-Goli'!$1:$8</definedName>
    <definedName name="_xlnm.Print_Titles" localSheetId="0">'31.07 Goli-Nebbi'!$1:$8</definedName>
    <definedName name="_xlnm.Print_Titles" localSheetId="1">'31.07 Nebbi-Goli'!$1:$8</definedName>
    <definedName name="_xlnm.Print_Titles" localSheetId="14">'Avg Week Goli-Nebbi'!$1:$8</definedName>
    <definedName name="_xlnm.Print_Titles" localSheetId="16">'Avg Week Goli-Nebbi-2Dir'!$1:$8</definedName>
    <definedName name="_xlnm.Print_Titles" localSheetId="15">'Avg Week Nebbi-Goli'!$1:$8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8" i="108" l="1"/>
  <c r="E58" i="108"/>
  <c r="F58" i="108"/>
  <c r="G58" i="108"/>
  <c r="H58" i="108"/>
  <c r="I58" i="108"/>
  <c r="J58" i="108"/>
  <c r="K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X30" i="108" s="1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T31" i="108" s="1"/>
  <c r="E94" i="108"/>
  <c r="F94" i="108"/>
  <c r="G94" i="108"/>
  <c r="H94" i="108"/>
  <c r="I94" i="108"/>
  <c r="J94" i="108"/>
  <c r="K94" i="108"/>
  <c r="L94" i="108"/>
  <c r="AB31" i="108" s="1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X32" i="108" s="1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T33" i="108" s="1"/>
  <c r="E102" i="108"/>
  <c r="F102" i="108"/>
  <c r="G102" i="108"/>
  <c r="H102" i="108"/>
  <c r="I102" i="108"/>
  <c r="J102" i="108"/>
  <c r="K102" i="108"/>
  <c r="L102" i="108"/>
  <c r="AB33" i="108" s="1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K59" i="111" s="1"/>
  <c r="L59" i="107"/>
  <c r="M59" i="107"/>
  <c r="M59" i="111" s="1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J60" i="107"/>
  <c r="J60" i="111" s="1"/>
  <c r="K60" i="107"/>
  <c r="K60" i="111" s="1"/>
  <c r="M60" i="107"/>
  <c r="M60" i="111" s="1"/>
  <c r="N60" i="107"/>
  <c r="N60" i="111" s="1"/>
  <c r="D61" i="107"/>
  <c r="D61" i="111" s="1"/>
  <c r="E61" i="107"/>
  <c r="E61" i="111" s="1"/>
  <c r="F61" i="107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D63" i="111" s="1"/>
  <c r="E63" i="107"/>
  <c r="E63" i="111" s="1"/>
  <c r="F63" i="107"/>
  <c r="F63" i="111" s="1"/>
  <c r="G63" i="107"/>
  <c r="G63" i="111" s="1"/>
  <c r="H63" i="107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K65" i="107"/>
  <c r="K65" i="111" s="1"/>
  <c r="L65" i="107"/>
  <c r="L65" i="111" s="1"/>
  <c r="M65" i="107"/>
  <c r="M65" i="111" s="1"/>
  <c r="N65" i="107"/>
  <c r="N65" i="111" s="1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D71" i="111" s="1"/>
  <c r="E71" i="107"/>
  <c r="E71" i="111" s="1"/>
  <c r="F71" i="107"/>
  <c r="F71" i="111" s="1"/>
  <c r="G71" i="107"/>
  <c r="G71" i="111" s="1"/>
  <c r="H71" i="107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D72" i="107"/>
  <c r="D72" i="111" s="1"/>
  <c r="E72" i="107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K73" i="107"/>
  <c r="K73" i="111" s="1"/>
  <c r="L73" i="107"/>
  <c r="L73" i="111" s="1"/>
  <c r="M73" i="107"/>
  <c r="M73" i="111" s="1"/>
  <c r="N73" i="107"/>
  <c r="N73" i="111" s="1"/>
  <c r="D74" i="107"/>
  <c r="E74" i="107"/>
  <c r="F74" i="107"/>
  <c r="G74" i="107"/>
  <c r="H74" i="107"/>
  <c r="I74" i="107"/>
  <c r="J74" i="107"/>
  <c r="K74" i="107"/>
  <c r="K74" i="111" s="1"/>
  <c r="L74" i="107"/>
  <c r="M74" i="107"/>
  <c r="N74" i="107"/>
  <c r="D75" i="107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M75" i="107"/>
  <c r="M75" i="111" s="1"/>
  <c r="N75" i="107"/>
  <c r="N75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D79" i="111" s="1"/>
  <c r="E79" i="107"/>
  <c r="F79" i="107"/>
  <c r="F79" i="111" s="1"/>
  <c r="G79" i="107"/>
  <c r="G79" i="111" s="1"/>
  <c r="H79" i="107"/>
  <c r="I79" i="107"/>
  <c r="J79" i="107"/>
  <c r="J79" i="111" s="1"/>
  <c r="K79" i="107"/>
  <c r="K79" i="111" s="1"/>
  <c r="L79" i="107"/>
  <c r="L79" i="111" s="1"/>
  <c r="M79" i="107"/>
  <c r="N79" i="107"/>
  <c r="N79" i="111" s="1"/>
  <c r="D80" i="107"/>
  <c r="D80" i="111" s="1"/>
  <c r="E80" i="107"/>
  <c r="F80" i="107"/>
  <c r="G80" i="107"/>
  <c r="G80" i="111" s="1"/>
  <c r="H80" i="107"/>
  <c r="H80" i="111" s="1"/>
  <c r="I80" i="107"/>
  <c r="I80" i="111" s="1"/>
  <c r="J80" i="107"/>
  <c r="K80" i="107"/>
  <c r="K80" i="111" s="1"/>
  <c r="L80" i="107"/>
  <c r="L80" i="111" s="1"/>
  <c r="M80" i="107"/>
  <c r="N80" i="107"/>
  <c r="D81" i="107"/>
  <c r="D81" i="111" s="1"/>
  <c r="E81" i="107"/>
  <c r="E81" i="111" s="1"/>
  <c r="F81" i="107"/>
  <c r="F81" i="111" s="1"/>
  <c r="G81" i="107"/>
  <c r="H81" i="107"/>
  <c r="H81" i="111" s="1"/>
  <c r="I81" i="107"/>
  <c r="I81" i="111" s="1"/>
  <c r="J81" i="107"/>
  <c r="K81" i="107"/>
  <c r="L81" i="107"/>
  <c r="L81" i="111" s="1"/>
  <c r="M81" i="107"/>
  <c r="M81" i="111" s="1"/>
  <c r="N81" i="107"/>
  <c r="N81" i="111" s="1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E83" i="107"/>
  <c r="F83" i="107"/>
  <c r="F83" i="111" s="1"/>
  <c r="G83" i="107"/>
  <c r="G83" i="111" s="1"/>
  <c r="H83" i="107"/>
  <c r="H83" i="111" s="1"/>
  <c r="I83" i="107"/>
  <c r="J83" i="107"/>
  <c r="J83" i="111" s="1"/>
  <c r="K83" i="107"/>
  <c r="K83" i="111" s="1"/>
  <c r="L83" i="107"/>
  <c r="M83" i="107"/>
  <c r="N83" i="107"/>
  <c r="N83" i="111" s="1"/>
  <c r="D84" i="107"/>
  <c r="D84" i="111" s="1"/>
  <c r="E84" i="107"/>
  <c r="E84" i="111" s="1"/>
  <c r="F84" i="107"/>
  <c r="G84" i="107"/>
  <c r="G84" i="111" s="1"/>
  <c r="H84" i="107"/>
  <c r="H84" i="111" s="1"/>
  <c r="I84" i="107"/>
  <c r="J84" i="107"/>
  <c r="K84" i="107"/>
  <c r="K84" i="111" s="1"/>
  <c r="L84" i="107"/>
  <c r="L84" i="111" s="1"/>
  <c r="M84" i="107"/>
  <c r="M84" i="111" s="1"/>
  <c r="N84" i="107"/>
  <c r="D85" i="107"/>
  <c r="D85" i="111" s="1"/>
  <c r="E85" i="107"/>
  <c r="E85" i="111" s="1"/>
  <c r="F85" i="107"/>
  <c r="G85" i="107"/>
  <c r="H85" i="107"/>
  <c r="H85" i="111" s="1"/>
  <c r="I85" i="107"/>
  <c r="I85" i="111" s="1"/>
  <c r="J85" i="107"/>
  <c r="J85" i="111" s="1"/>
  <c r="K85" i="107"/>
  <c r="L85" i="107"/>
  <c r="L85" i="111" s="1"/>
  <c r="M85" i="107"/>
  <c r="M85" i="111" s="1"/>
  <c r="N85" i="107"/>
  <c r="D86" i="107"/>
  <c r="E86" i="107"/>
  <c r="F86" i="107"/>
  <c r="G86" i="107"/>
  <c r="G86" i="111" s="1"/>
  <c r="H86" i="107"/>
  <c r="I86" i="107"/>
  <c r="J86" i="107"/>
  <c r="K86" i="107"/>
  <c r="L86" i="107"/>
  <c r="M86" i="107"/>
  <c r="N86" i="107"/>
  <c r="D87" i="107"/>
  <c r="D87" i="111" s="1"/>
  <c r="E87" i="107"/>
  <c r="F87" i="107"/>
  <c r="F87" i="111" s="1"/>
  <c r="G87" i="107"/>
  <c r="G87" i="111" s="1"/>
  <c r="H87" i="107"/>
  <c r="I87" i="107"/>
  <c r="J87" i="107"/>
  <c r="J87" i="111" s="1"/>
  <c r="K87" i="107"/>
  <c r="K87" i="111" s="1"/>
  <c r="L87" i="107"/>
  <c r="L87" i="111" s="1"/>
  <c r="M87" i="107"/>
  <c r="N87" i="107"/>
  <c r="N87" i="111" s="1"/>
  <c r="D88" i="107"/>
  <c r="D88" i="111" s="1"/>
  <c r="E88" i="107"/>
  <c r="F88" i="107"/>
  <c r="G88" i="107"/>
  <c r="G88" i="111" s="1"/>
  <c r="H88" i="107"/>
  <c r="H88" i="111" s="1"/>
  <c r="I88" i="107"/>
  <c r="I88" i="111" s="1"/>
  <c r="J88" i="107"/>
  <c r="K88" i="107"/>
  <c r="K88" i="111" s="1"/>
  <c r="L88" i="107"/>
  <c r="L88" i="111" s="1"/>
  <c r="M88" i="107"/>
  <c r="N88" i="107"/>
  <c r="D89" i="107"/>
  <c r="D89" i="111" s="1"/>
  <c r="E89" i="107"/>
  <c r="E89" i="111" s="1"/>
  <c r="F89" i="107"/>
  <c r="F89" i="111" s="1"/>
  <c r="G89" i="107"/>
  <c r="H89" i="107"/>
  <c r="H89" i="111" s="1"/>
  <c r="I89" i="107"/>
  <c r="I89" i="111" s="1"/>
  <c r="J89" i="107"/>
  <c r="K89" i="107"/>
  <c r="L89" i="107"/>
  <c r="L89" i="111" s="1"/>
  <c r="M89" i="107"/>
  <c r="M89" i="111" s="1"/>
  <c r="N89" i="107"/>
  <c r="N89" i="111" s="1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F91" i="111" s="1"/>
  <c r="G91" i="107"/>
  <c r="G91" i="111" s="1"/>
  <c r="H91" i="107"/>
  <c r="H91" i="111" s="1"/>
  <c r="I91" i="107"/>
  <c r="J91" i="107"/>
  <c r="J91" i="111" s="1"/>
  <c r="K91" i="107"/>
  <c r="K91" i="111" s="1"/>
  <c r="L91" i="107"/>
  <c r="M91" i="107"/>
  <c r="N91" i="107"/>
  <c r="N91" i="111" s="1"/>
  <c r="D92" i="107"/>
  <c r="D92" i="111" s="1"/>
  <c r="E92" i="107"/>
  <c r="E92" i="111" s="1"/>
  <c r="F92" i="107"/>
  <c r="G92" i="107"/>
  <c r="G92" i="111" s="1"/>
  <c r="H92" i="107"/>
  <c r="H92" i="111" s="1"/>
  <c r="I92" i="107"/>
  <c r="J92" i="107"/>
  <c r="K92" i="107"/>
  <c r="K92" i="111" s="1"/>
  <c r="L92" i="107"/>
  <c r="L92" i="111" s="1"/>
  <c r="M92" i="107"/>
  <c r="M92" i="111" s="1"/>
  <c r="N92" i="107"/>
  <c r="D93" i="107"/>
  <c r="D93" i="111" s="1"/>
  <c r="E93" i="107"/>
  <c r="E93" i="111" s="1"/>
  <c r="F93" i="107"/>
  <c r="G93" i="107"/>
  <c r="H93" i="107"/>
  <c r="H93" i="111" s="1"/>
  <c r="I93" i="107"/>
  <c r="I93" i="111" s="1"/>
  <c r="J93" i="107"/>
  <c r="J93" i="111" s="1"/>
  <c r="K93" i="107"/>
  <c r="L93" i="107"/>
  <c r="L93" i="111" s="1"/>
  <c r="M93" i="107"/>
  <c r="M93" i="111" s="1"/>
  <c r="N93" i="107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D95" i="111" s="1"/>
  <c r="E95" i="107"/>
  <c r="F95" i="107"/>
  <c r="F95" i="111" s="1"/>
  <c r="G95" i="107"/>
  <c r="G95" i="111" s="1"/>
  <c r="H95" i="107"/>
  <c r="I95" i="107"/>
  <c r="J95" i="107"/>
  <c r="J95" i="111" s="1"/>
  <c r="K95" i="107"/>
  <c r="K95" i="111" s="1"/>
  <c r="L95" i="107"/>
  <c r="L95" i="111" s="1"/>
  <c r="M95" i="107"/>
  <c r="N95" i="107"/>
  <c r="N95" i="111" s="1"/>
  <c r="D96" i="107"/>
  <c r="D96" i="111" s="1"/>
  <c r="E96" i="107"/>
  <c r="F96" i="107"/>
  <c r="G96" i="107"/>
  <c r="G96" i="111" s="1"/>
  <c r="H96" i="107"/>
  <c r="H96" i="111" s="1"/>
  <c r="I96" i="107"/>
  <c r="I96" i="111" s="1"/>
  <c r="J96" i="107"/>
  <c r="K96" i="107"/>
  <c r="K96" i="111" s="1"/>
  <c r="L96" i="107"/>
  <c r="L96" i="111" s="1"/>
  <c r="M96" i="107"/>
  <c r="N96" i="107"/>
  <c r="D97" i="107"/>
  <c r="D97" i="111" s="1"/>
  <c r="E97" i="107"/>
  <c r="E97" i="111" s="1"/>
  <c r="F97" i="107"/>
  <c r="F97" i="111" s="1"/>
  <c r="G97" i="107"/>
  <c r="H97" i="107"/>
  <c r="H97" i="111" s="1"/>
  <c r="I97" i="107"/>
  <c r="I97" i="111" s="1"/>
  <c r="J97" i="107"/>
  <c r="K97" i="107"/>
  <c r="L97" i="107"/>
  <c r="L97" i="111" s="1"/>
  <c r="M97" i="107"/>
  <c r="M97" i="111" s="1"/>
  <c r="N97" i="107"/>
  <c r="N97" i="111" s="1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F99" i="111" s="1"/>
  <c r="G99" i="107"/>
  <c r="G99" i="111" s="1"/>
  <c r="H99" i="107"/>
  <c r="H99" i="111" s="1"/>
  <c r="I99" i="107"/>
  <c r="J99" i="107"/>
  <c r="J99" i="111" s="1"/>
  <c r="K99" i="107"/>
  <c r="K99" i="111" s="1"/>
  <c r="L99" i="107"/>
  <c r="M99" i="107"/>
  <c r="N99" i="107"/>
  <c r="N99" i="111" s="1"/>
  <c r="D100" i="107"/>
  <c r="D100" i="111" s="1"/>
  <c r="E100" i="107"/>
  <c r="E100" i="111" s="1"/>
  <c r="F100" i="107"/>
  <c r="G100" i="107"/>
  <c r="G100" i="111" s="1"/>
  <c r="H100" i="107"/>
  <c r="H100" i="111" s="1"/>
  <c r="I100" i="107"/>
  <c r="J100" i="107"/>
  <c r="K100" i="107"/>
  <c r="K100" i="111" s="1"/>
  <c r="L100" i="107"/>
  <c r="L100" i="111" s="1"/>
  <c r="M100" i="107"/>
  <c r="M100" i="111" s="1"/>
  <c r="N100" i="107"/>
  <c r="D101" i="107"/>
  <c r="D101" i="111" s="1"/>
  <c r="E101" i="107"/>
  <c r="E101" i="111" s="1"/>
  <c r="F101" i="107"/>
  <c r="G101" i="107"/>
  <c r="H101" i="107"/>
  <c r="H101" i="111" s="1"/>
  <c r="I101" i="107"/>
  <c r="I101" i="111" s="1"/>
  <c r="J101" i="107"/>
  <c r="J101" i="111" s="1"/>
  <c r="K101" i="107"/>
  <c r="L101" i="107"/>
  <c r="L101" i="111" s="1"/>
  <c r="M101" i="107"/>
  <c r="M101" i="111" s="1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D103" i="111" s="1"/>
  <c r="E103" i="107"/>
  <c r="F103" i="107"/>
  <c r="F103" i="111" s="1"/>
  <c r="G103" i="107"/>
  <c r="G103" i="111" s="1"/>
  <c r="H103" i="107"/>
  <c r="I103" i="107"/>
  <c r="J103" i="107"/>
  <c r="J103" i="111" s="1"/>
  <c r="K103" i="107"/>
  <c r="K103" i="111" s="1"/>
  <c r="L103" i="107"/>
  <c r="L103" i="111" s="1"/>
  <c r="M103" i="107"/>
  <c r="N103" i="107"/>
  <c r="N103" i="111" s="1"/>
  <c r="D104" i="107"/>
  <c r="D104" i="111" s="1"/>
  <c r="E104" i="107"/>
  <c r="F104" i="107"/>
  <c r="G104" i="107"/>
  <c r="G104" i="111" s="1"/>
  <c r="H104" i="107"/>
  <c r="H104" i="111" s="1"/>
  <c r="I104" i="107"/>
  <c r="I104" i="111" s="1"/>
  <c r="J104" i="107"/>
  <c r="K104" i="107"/>
  <c r="K104" i="111" s="1"/>
  <c r="L104" i="107"/>
  <c r="L104" i="111" s="1"/>
  <c r="M104" i="107"/>
  <c r="N104" i="107"/>
  <c r="D105" i="107"/>
  <c r="D105" i="111" s="1"/>
  <c r="E105" i="107"/>
  <c r="E105" i="111" s="1"/>
  <c r="F105" i="107"/>
  <c r="F105" i="111" s="1"/>
  <c r="G105" i="107"/>
  <c r="H105" i="107"/>
  <c r="H105" i="111" s="1"/>
  <c r="I105" i="107"/>
  <c r="I105" i="111" s="1"/>
  <c r="J105" i="107"/>
  <c r="K105" i="107"/>
  <c r="L105" i="107"/>
  <c r="L105" i="111" s="1"/>
  <c r="M105" i="107"/>
  <c r="M105" i="111" s="1"/>
  <c r="N105" i="107"/>
  <c r="N105" i="111" s="1"/>
  <c r="C59" i="107"/>
  <c r="C60" i="107"/>
  <c r="C61" i="107"/>
  <c r="C62" i="107"/>
  <c r="C63" i="107"/>
  <c r="C64" i="107"/>
  <c r="P64" i="107" s="1"/>
  <c r="C65" i="107"/>
  <c r="C66" i="107"/>
  <c r="C67" i="107"/>
  <c r="C68" i="107"/>
  <c r="C69" i="107"/>
  <c r="C70" i="107"/>
  <c r="C71" i="107"/>
  <c r="C72" i="107"/>
  <c r="P72" i="107" s="1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P88" i="107" s="1"/>
  <c r="C89" i="107"/>
  <c r="C90" i="107"/>
  <c r="C91" i="107"/>
  <c r="C92" i="107"/>
  <c r="C93" i="107"/>
  <c r="C94" i="107"/>
  <c r="C95" i="107"/>
  <c r="C96" i="107"/>
  <c r="P96" i="107" s="1"/>
  <c r="C97" i="107"/>
  <c r="C98" i="107"/>
  <c r="C99" i="107"/>
  <c r="C100" i="107"/>
  <c r="C101" i="107"/>
  <c r="C102" i="107"/>
  <c r="C103" i="107"/>
  <c r="C104" i="107"/>
  <c r="C105" i="107"/>
  <c r="C58" i="108"/>
  <c r="C58" i="107"/>
  <c r="V22" i="108" l="1"/>
  <c r="I60" i="111"/>
  <c r="L59" i="111"/>
  <c r="D59" i="111"/>
  <c r="Z27" i="108"/>
  <c r="AD26" i="108"/>
  <c r="V26" i="108"/>
  <c r="Z25" i="108"/>
  <c r="AD24" i="108"/>
  <c r="V24" i="108"/>
  <c r="Z23" i="108"/>
  <c r="AD22" i="108"/>
  <c r="H103" i="111"/>
  <c r="N101" i="111"/>
  <c r="F101" i="111"/>
  <c r="I100" i="111"/>
  <c r="L99" i="111"/>
  <c r="D99" i="111"/>
  <c r="J97" i="111"/>
  <c r="M96" i="111"/>
  <c r="E96" i="111"/>
  <c r="H95" i="111"/>
  <c r="N93" i="111"/>
  <c r="F93" i="111"/>
  <c r="I92" i="111"/>
  <c r="L91" i="111"/>
  <c r="D91" i="111"/>
  <c r="J89" i="111"/>
  <c r="M88" i="111"/>
  <c r="E88" i="111"/>
  <c r="H87" i="111"/>
  <c r="N85" i="111"/>
  <c r="F85" i="111"/>
  <c r="I84" i="111"/>
  <c r="L83" i="111"/>
  <c r="D83" i="111"/>
  <c r="J81" i="111"/>
  <c r="M80" i="111"/>
  <c r="E80" i="111"/>
  <c r="H79" i="111"/>
  <c r="N77" i="111"/>
  <c r="F77" i="111"/>
  <c r="I76" i="111"/>
  <c r="L75" i="111"/>
  <c r="D75" i="111"/>
  <c r="J73" i="111"/>
  <c r="M72" i="111"/>
  <c r="E72" i="111"/>
  <c r="H71" i="111"/>
  <c r="N69" i="111"/>
  <c r="F69" i="111"/>
  <c r="I68" i="111"/>
  <c r="L67" i="111"/>
  <c r="D67" i="111"/>
  <c r="J65" i="111"/>
  <c r="M64" i="111"/>
  <c r="E64" i="111"/>
  <c r="H63" i="111"/>
  <c r="N61" i="111"/>
  <c r="F61" i="111"/>
  <c r="P100" i="108"/>
  <c r="P92" i="108"/>
  <c r="P84" i="108"/>
  <c r="O76" i="108"/>
  <c r="O68" i="108"/>
  <c r="O60" i="108"/>
  <c r="M104" i="111"/>
  <c r="X33" i="108"/>
  <c r="AB32" i="108"/>
  <c r="T32" i="108"/>
  <c r="X31" i="108"/>
  <c r="AB30" i="108"/>
  <c r="T30" i="108"/>
  <c r="X29" i="108"/>
  <c r="AB28" i="108"/>
  <c r="T28" i="108"/>
  <c r="X27" i="108"/>
  <c r="T24" i="108"/>
  <c r="J105" i="111"/>
  <c r="P76" i="107"/>
  <c r="Z22" i="108"/>
  <c r="E104" i="111"/>
  <c r="P84" i="107"/>
  <c r="Z26" i="108"/>
  <c r="AD25" i="108"/>
  <c r="V25" i="108"/>
  <c r="Z24" i="108"/>
  <c r="AD23" i="108"/>
  <c r="V23" i="108"/>
  <c r="P98" i="107"/>
  <c r="P90" i="107"/>
  <c r="P82" i="107"/>
  <c r="P74" i="107"/>
  <c r="P66" i="107"/>
  <c r="O72" i="108"/>
  <c r="O64" i="108"/>
  <c r="P64" i="108"/>
  <c r="P104" i="108"/>
  <c r="P96" i="108"/>
  <c r="P88" i="108"/>
  <c r="AB29" i="108"/>
  <c r="T29" i="108"/>
  <c r="X28" i="108"/>
  <c r="P80" i="108"/>
  <c r="AB27" i="108"/>
  <c r="X26" i="108"/>
  <c r="P72" i="108"/>
  <c r="C104" i="111"/>
  <c r="O104" i="107"/>
  <c r="C92" i="111"/>
  <c r="O92" i="107"/>
  <c r="C80" i="111"/>
  <c r="O80" i="107"/>
  <c r="C68" i="111"/>
  <c r="O68" i="107"/>
  <c r="I98" i="111"/>
  <c r="Y32" i="107"/>
  <c r="I90" i="111"/>
  <c r="Y30" i="107"/>
  <c r="I86" i="111"/>
  <c r="Y29" i="107"/>
  <c r="E86" i="111"/>
  <c r="U29" i="107"/>
  <c r="M82" i="111"/>
  <c r="AC28" i="107"/>
  <c r="I78" i="111"/>
  <c r="Y27" i="107"/>
  <c r="E78" i="111"/>
  <c r="U27" i="111" s="1"/>
  <c r="U27" i="107"/>
  <c r="M74" i="111"/>
  <c r="AC26" i="111" s="1"/>
  <c r="AC26" i="107"/>
  <c r="I66" i="111"/>
  <c r="Y24" i="111" s="1"/>
  <c r="Y24" i="107"/>
  <c r="I58" i="111"/>
  <c r="Y22" i="111" s="1"/>
  <c r="Y22" i="107"/>
  <c r="P99" i="108"/>
  <c r="O99" i="108"/>
  <c r="P87" i="108"/>
  <c r="O87" i="108"/>
  <c r="P75" i="108"/>
  <c r="O75" i="108"/>
  <c r="P63" i="108"/>
  <c r="O63" i="108"/>
  <c r="AA26" i="111"/>
  <c r="P80" i="107"/>
  <c r="P104" i="107"/>
  <c r="C58" i="111"/>
  <c r="S22" i="107"/>
  <c r="O58" i="107"/>
  <c r="C103" i="111"/>
  <c r="P103" i="107"/>
  <c r="O103" i="107"/>
  <c r="C99" i="111"/>
  <c r="P99" i="107"/>
  <c r="O99" i="107"/>
  <c r="C95" i="111"/>
  <c r="P95" i="107"/>
  <c r="O95" i="107"/>
  <c r="C91" i="111"/>
  <c r="P91" i="107"/>
  <c r="AF30" i="107" s="1"/>
  <c r="O91" i="107"/>
  <c r="C87" i="111"/>
  <c r="P87" i="107"/>
  <c r="O87" i="107"/>
  <c r="C83" i="111"/>
  <c r="P83" i="107"/>
  <c r="O83" i="107"/>
  <c r="C79" i="111"/>
  <c r="P79" i="107"/>
  <c r="O79" i="107"/>
  <c r="C75" i="111"/>
  <c r="P75" i="107"/>
  <c r="O75" i="107"/>
  <c r="C71" i="111"/>
  <c r="P71" i="107"/>
  <c r="O71" i="107"/>
  <c r="C67" i="111"/>
  <c r="P67" i="107"/>
  <c r="O67" i="107"/>
  <c r="C63" i="111"/>
  <c r="P63" i="107"/>
  <c r="O63" i="107"/>
  <c r="C59" i="111"/>
  <c r="P59" i="107"/>
  <c r="O59" i="107"/>
  <c r="K105" i="111"/>
  <c r="G105" i="111"/>
  <c r="N104" i="111"/>
  <c r="J104" i="111"/>
  <c r="F104" i="111"/>
  <c r="M103" i="111"/>
  <c r="I103" i="111"/>
  <c r="E103" i="111"/>
  <c r="L102" i="111"/>
  <c r="AB33" i="111" s="1"/>
  <c r="AB33" i="107"/>
  <c r="H102" i="111"/>
  <c r="X33" i="111" s="1"/>
  <c r="X33" i="107"/>
  <c r="D102" i="111"/>
  <c r="T33" i="111" s="1"/>
  <c r="T33" i="107"/>
  <c r="K101" i="111"/>
  <c r="G101" i="111"/>
  <c r="N100" i="111"/>
  <c r="J100" i="111"/>
  <c r="F100" i="111"/>
  <c r="M99" i="111"/>
  <c r="I99" i="111"/>
  <c r="E99" i="111"/>
  <c r="L98" i="111"/>
  <c r="AB32" i="111" s="1"/>
  <c r="AB32" i="107"/>
  <c r="H98" i="111"/>
  <c r="X32" i="111" s="1"/>
  <c r="X32" i="107"/>
  <c r="D98" i="111"/>
  <c r="T32" i="111" s="1"/>
  <c r="T32" i="107"/>
  <c r="K97" i="111"/>
  <c r="G97" i="111"/>
  <c r="N96" i="111"/>
  <c r="J96" i="111"/>
  <c r="F96" i="111"/>
  <c r="M95" i="111"/>
  <c r="I95" i="111"/>
  <c r="E95" i="111"/>
  <c r="L94" i="111"/>
  <c r="AB31" i="111" s="1"/>
  <c r="AB31" i="107"/>
  <c r="H94" i="111"/>
  <c r="X31" i="111" s="1"/>
  <c r="X31" i="107"/>
  <c r="D94" i="111"/>
  <c r="T31" i="111" s="1"/>
  <c r="T31" i="107"/>
  <c r="K93" i="111"/>
  <c r="G93" i="111"/>
  <c r="N92" i="111"/>
  <c r="J92" i="111"/>
  <c r="F92" i="111"/>
  <c r="M91" i="111"/>
  <c r="I91" i="111"/>
  <c r="E91" i="111"/>
  <c r="L90" i="111"/>
  <c r="AB30" i="111" s="1"/>
  <c r="AB30" i="107"/>
  <c r="H90" i="111"/>
  <c r="X30" i="111" s="1"/>
  <c r="X30" i="107"/>
  <c r="D90" i="111"/>
  <c r="T30" i="111" s="1"/>
  <c r="T30" i="107"/>
  <c r="K89" i="111"/>
  <c r="G89" i="111"/>
  <c r="W29" i="111" s="1"/>
  <c r="N88" i="111"/>
  <c r="J88" i="111"/>
  <c r="F88" i="111"/>
  <c r="M87" i="111"/>
  <c r="I87" i="111"/>
  <c r="E87" i="111"/>
  <c r="L86" i="111"/>
  <c r="AB29" i="111" s="1"/>
  <c r="AB29" i="107"/>
  <c r="H86" i="111"/>
  <c r="X29" i="111" s="1"/>
  <c r="X29" i="107"/>
  <c r="D86" i="111"/>
  <c r="T29" i="111" s="1"/>
  <c r="T29" i="107"/>
  <c r="K85" i="111"/>
  <c r="G85" i="111"/>
  <c r="N84" i="111"/>
  <c r="J84" i="111"/>
  <c r="F84" i="111"/>
  <c r="M83" i="111"/>
  <c r="I83" i="111"/>
  <c r="E83" i="111"/>
  <c r="L82" i="111"/>
  <c r="AB28" i="111" s="1"/>
  <c r="AB28" i="107"/>
  <c r="H82" i="111"/>
  <c r="X28" i="111" s="1"/>
  <c r="X28" i="107"/>
  <c r="D82" i="111"/>
  <c r="T28" i="111" s="1"/>
  <c r="T28" i="107"/>
  <c r="K81" i="111"/>
  <c r="G81" i="111"/>
  <c r="N80" i="111"/>
  <c r="J80" i="111"/>
  <c r="F80" i="111"/>
  <c r="M79" i="111"/>
  <c r="I79" i="111"/>
  <c r="E79" i="111"/>
  <c r="L78" i="111"/>
  <c r="AB27" i="111" s="1"/>
  <c r="AB27" i="107"/>
  <c r="H78" i="111"/>
  <c r="X27" i="111" s="1"/>
  <c r="X27" i="107"/>
  <c r="D78" i="111"/>
  <c r="T27" i="111" s="1"/>
  <c r="T27" i="107"/>
  <c r="L74" i="111"/>
  <c r="AB26" i="111" s="1"/>
  <c r="AB26" i="107"/>
  <c r="H74" i="111"/>
  <c r="X26" i="111" s="1"/>
  <c r="X26" i="107"/>
  <c r="D74" i="111"/>
  <c r="T26" i="111" s="1"/>
  <c r="T26" i="107"/>
  <c r="L70" i="111"/>
  <c r="AB25" i="111" s="1"/>
  <c r="AB25" i="107"/>
  <c r="H70" i="111"/>
  <c r="X25" i="111" s="1"/>
  <c r="X25" i="107"/>
  <c r="D70" i="111"/>
  <c r="T25" i="111" s="1"/>
  <c r="T25" i="107"/>
  <c r="L66" i="111"/>
  <c r="AB24" i="111" s="1"/>
  <c r="AB24" i="107"/>
  <c r="H66" i="111"/>
  <c r="X24" i="111" s="1"/>
  <c r="X24" i="107"/>
  <c r="D66" i="111"/>
  <c r="T24" i="111" s="1"/>
  <c r="T24" i="107"/>
  <c r="L62" i="111"/>
  <c r="AB23" i="111" s="1"/>
  <c r="AB23" i="107"/>
  <c r="H62" i="111"/>
  <c r="X23" i="111" s="1"/>
  <c r="X23" i="107"/>
  <c r="D62" i="111"/>
  <c r="T23" i="111" s="1"/>
  <c r="T23" i="107"/>
  <c r="H58" i="111"/>
  <c r="X22" i="111" s="1"/>
  <c r="X22" i="107"/>
  <c r="D58" i="111"/>
  <c r="T22" i="111" s="1"/>
  <c r="T22" i="107"/>
  <c r="S33" i="108"/>
  <c r="O102" i="108"/>
  <c r="S32" i="108"/>
  <c r="O98" i="108"/>
  <c r="S31" i="108"/>
  <c r="O94" i="108"/>
  <c r="S30" i="108"/>
  <c r="O90" i="108"/>
  <c r="S29" i="108"/>
  <c r="O86" i="108"/>
  <c r="S28" i="108"/>
  <c r="O82" i="108"/>
  <c r="S27" i="108"/>
  <c r="O78" i="108"/>
  <c r="S26" i="108"/>
  <c r="O74" i="108"/>
  <c r="S25" i="108"/>
  <c r="O70" i="108"/>
  <c r="S24" i="108"/>
  <c r="O66" i="108"/>
  <c r="S23" i="108"/>
  <c r="O62" i="108"/>
  <c r="AA33" i="108"/>
  <c r="W33" i="108"/>
  <c r="AA32" i="108"/>
  <c r="W32" i="108"/>
  <c r="AA31" i="108"/>
  <c r="W31" i="108"/>
  <c r="AA30" i="108"/>
  <c r="W30" i="108"/>
  <c r="AA29" i="108"/>
  <c r="W29" i="108"/>
  <c r="AA28" i="108"/>
  <c r="W28" i="108"/>
  <c r="P66" i="108"/>
  <c r="P74" i="108"/>
  <c r="P82" i="108"/>
  <c r="P90" i="108"/>
  <c r="P98" i="108"/>
  <c r="P58" i="107"/>
  <c r="C100" i="111"/>
  <c r="O100" i="107"/>
  <c r="C88" i="111"/>
  <c r="O88" i="107"/>
  <c r="C72" i="111"/>
  <c r="O72" i="107"/>
  <c r="I102" i="111"/>
  <c r="Y33" i="107"/>
  <c r="E98" i="111"/>
  <c r="U32" i="107"/>
  <c r="M94" i="111"/>
  <c r="AC31" i="107"/>
  <c r="E94" i="111"/>
  <c r="U31" i="111" s="1"/>
  <c r="U31" i="107"/>
  <c r="M90" i="111"/>
  <c r="AC30" i="111" s="1"/>
  <c r="AC30" i="107"/>
  <c r="E90" i="111"/>
  <c r="U30" i="107"/>
  <c r="M86" i="111"/>
  <c r="AC29" i="107"/>
  <c r="E82" i="111"/>
  <c r="U28" i="107"/>
  <c r="M78" i="111"/>
  <c r="AC27" i="107"/>
  <c r="E74" i="111"/>
  <c r="U26" i="111" s="1"/>
  <c r="U26" i="107"/>
  <c r="M70" i="111"/>
  <c r="AC25" i="111" s="1"/>
  <c r="AC25" i="107"/>
  <c r="I62" i="111"/>
  <c r="Y23" i="111" s="1"/>
  <c r="Y23" i="107"/>
  <c r="E62" i="111"/>
  <c r="U23" i="111" s="1"/>
  <c r="U23" i="107"/>
  <c r="E58" i="111"/>
  <c r="U22" i="111" s="1"/>
  <c r="U22" i="107"/>
  <c r="P95" i="108"/>
  <c r="O95" i="108"/>
  <c r="P83" i="108"/>
  <c r="O83" i="108"/>
  <c r="P67" i="108"/>
  <c r="O67" i="108"/>
  <c r="C98" i="111"/>
  <c r="S32" i="107"/>
  <c r="O98" i="107"/>
  <c r="C90" i="111"/>
  <c r="S30" i="107"/>
  <c r="O90" i="107"/>
  <c r="C82" i="111"/>
  <c r="S28" i="107"/>
  <c r="O82" i="107"/>
  <c r="C74" i="111"/>
  <c r="S26" i="107"/>
  <c r="O74" i="107"/>
  <c r="C66" i="111"/>
  <c r="S24" i="107"/>
  <c r="O66" i="107"/>
  <c r="C62" i="111"/>
  <c r="S23" i="107"/>
  <c r="O62" i="107"/>
  <c r="G102" i="111"/>
  <c r="W33" i="107"/>
  <c r="K98" i="111"/>
  <c r="AA32" i="107"/>
  <c r="G98" i="111"/>
  <c r="W32" i="111" s="1"/>
  <c r="W32" i="107"/>
  <c r="K94" i="111"/>
  <c r="AA31" i="111" s="1"/>
  <c r="AA31" i="107"/>
  <c r="G94" i="111"/>
  <c r="W31" i="107"/>
  <c r="K90" i="111"/>
  <c r="AA30" i="111" s="1"/>
  <c r="AA30" i="107"/>
  <c r="G90" i="111"/>
  <c r="W30" i="111" s="1"/>
  <c r="W30" i="107"/>
  <c r="K86" i="111"/>
  <c r="AA29" i="111" s="1"/>
  <c r="AA29" i="107"/>
  <c r="W29" i="107"/>
  <c r="AA28" i="107"/>
  <c r="K82" i="111"/>
  <c r="G82" i="111"/>
  <c r="W28" i="111" s="1"/>
  <c r="W28" i="107"/>
  <c r="K78" i="111"/>
  <c r="AA27" i="111" s="1"/>
  <c r="AA27" i="107"/>
  <c r="W27" i="107"/>
  <c r="G78" i="111"/>
  <c r="AA26" i="107"/>
  <c r="G74" i="111"/>
  <c r="W26" i="111" s="1"/>
  <c r="W26" i="107"/>
  <c r="K70" i="111"/>
  <c r="AA25" i="111" s="1"/>
  <c r="AA25" i="107"/>
  <c r="W25" i="107"/>
  <c r="G70" i="111"/>
  <c r="W25" i="111" s="1"/>
  <c r="AA24" i="107"/>
  <c r="K66" i="111"/>
  <c r="AA24" i="111" s="1"/>
  <c r="G66" i="111"/>
  <c r="W24" i="111" s="1"/>
  <c r="W24" i="107"/>
  <c r="K62" i="111"/>
  <c r="AA23" i="111" s="1"/>
  <c r="AA23" i="107"/>
  <c r="W23" i="107"/>
  <c r="G62" i="111"/>
  <c r="W23" i="111" s="1"/>
  <c r="AA22" i="107"/>
  <c r="K58" i="111"/>
  <c r="AA22" i="111" s="1"/>
  <c r="G58" i="111"/>
  <c r="W22" i="111" s="1"/>
  <c r="W22" i="107"/>
  <c r="P105" i="108"/>
  <c r="O105" i="108"/>
  <c r="P101" i="108"/>
  <c r="O101" i="108"/>
  <c r="P97" i="108"/>
  <c r="O97" i="108"/>
  <c r="P93" i="108"/>
  <c r="O93" i="108"/>
  <c r="P89" i="108"/>
  <c r="O89" i="108"/>
  <c r="P85" i="108"/>
  <c r="O85" i="108"/>
  <c r="P81" i="108"/>
  <c r="O81" i="108"/>
  <c r="P77" i="108"/>
  <c r="O77" i="108"/>
  <c r="P73" i="108"/>
  <c r="O73" i="108"/>
  <c r="P69" i="108"/>
  <c r="O69" i="108"/>
  <c r="P65" i="108"/>
  <c r="O65" i="108"/>
  <c r="P61" i="108"/>
  <c r="O61" i="108"/>
  <c r="AD33" i="108"/>
  <c r="Z33" i="108"/>
  <c r="V33" i="108"/>
  <c r="AD32" i="108"/>
  <c r="Z32" i="108"/>
  <c r="V32" i="108"/>
  <c r="AD31" i="108"/>
  <c r="Z31" i="108"/>
  <c r="V31" i="108"/>
  <c r="AD30" i="108"/>
  <c r="Z30" i="108"/>
  <c r="V30" i="108"/>
  <c r="AD29" i="108"/>
  <c r="Z29" i="108"/>
  <c r="V29" i="108"/>
  <c r="AD28" i="108"/>
  <c r="Z28" i="108"/>
  <c r="V28" i="108"/>
  <c r="AD27" i="108"/>
  <c r="V27" i="108"/>
  <c r="P60" i="108"/>
  <c r="P68" i="108"/>
  <c r="P76" i="108"/>
  <c r="P68" i="107"/>
  <c r="P92" i="107"/>
  <c r="P100" i="107"/>
  <c r="C96" i="111"/>
  <c r="O96" i="107"/>
  <c r="C84" i="111"/>
  <c r="O84" i="107"/>
  <c r="C76" i="111"/>
  <c r="O76" i="107"/>
  <c r="C64" i="111"/>
  <c r="O64" i="107"/>
  <c r="C60" i="111"/>
  <c r="M102" i="111"/>
  <c r="AC33" i="107"/>
  <c r="E102" i="111"/>
  <c r="U33" i="111" s="1"/>
  <c r="U33" i="107"/>
  <c r="M98" i="111"/>
  <c r="AC32" i="111" s="1"/>
  <c r="AC32" i="107"/>
  <c r="I94" i="111"/>
  <c r="Y31" i="111" s="1"/>
  <c r="Y31" i="107"/>
  <c r="I82" i="111"/>
  <c r="Y28" i="111" s="1"/>
  <c r="Y28" i="107"/>
  <c r="I74" i="111"/>
  <c r="Y26" i="111" s="1"/>
  <c r="Y26" i="107"/>
  <c r="I70" i="111"/>
  <c r="Y25" i="111" s="1"/>
  <c r="Y25" i="107"/>
  <c r="E70" i="111"/>
  <c r="U25" i="107"/>
  <c r="M66" i="111"/>
  <c r="AC24" i="111" s="1"/>
  <c r="AC24" i="107"/>
  <c r="E66" i="111"/>
  <c r="U24" i="111" s="1"/>
  <c r="U24" i="107"/>
  <c r="M62" i="111"/>
  <c r="AC23" i="107"/>
  <c r="M58" i="111"/>
  <c r="AC22" i="111" s="1"/>
  <c r="AC22" i="107"/>
  <c r="P103" i="108"/>
  <c r="O103" i="108"/>
  <c r="P91" i="108"/>
  <c r="O91" i="108"/>
  <c r="P79" i="108"/>
  <c r="O79" i="108"/>
  <c r="P71" i="108"/>
  <c r="O71" i="108"/>
  <c r="P59" i="108"/>
  <c r="O59" i="108"/>
  <c r="S22" i="108"/>
  <c r="C102" i="111"/>
  <c r="S33" i="107"/>
  <c r="O102" i="107"/>
  <c r="C94" i="111"/>
  <c r="S31" i="107"/>
  <c r="O94" i="107"/>
  <c r="C86" i="111"/>
  <c r="S29" i="107"/>
  <c r="O86" i="107"/>
  <c r="C78" i="111"/>
  <c r="S27" i="107"/>
  <c r="O78" i="107"/>
  <c r="C70" i="111"/>
  <c r="S25" i="107"/>
  <c r="O70" i="107"/>
  <c r="K102" i="111"/>
  <c r="AA33" i="111" s="1"/>
  <c r="AA33" i="107"/>
  <c r="C105" i="111"/>
  <c r="P105" i="107"/>
  <c r="O105" i="107"/>
  <c r="C101" i="111"/>
  <c r="P101" i="107"/>
  <c r="O101" i="107"/>
  <c r="C97" i="111"/>
  <c r="P97" i="107"/>
  <c r="O97" i="107"/>
  <c r="C93" i="111"/>
  <c r="P93" i="107"/>
  <c r="O93" i="107"/>
  <c r="C89" i="111"/>
  <c r="P89" i="107"/>
  <c r="O89" i="107"/>
  <c r="C85" i="111"/>
  <c r="P85" i="107"/>
  <c r="O85" i="107"/>
  <c r="C81" i="111"/>
  <c r="P81" i="107"/>
  <c r="O81" i="107"/>
  <c r="C77" i="111"/>
  <c r="P77" i="107"/>
  <c r="O77" i="107"/>
  <c r="C73" i="111"/>
  <c r="P73" i="107"/>
  <c r="O73" i="107"/>
  <c r="C69" i="111"/>
  <c r="P69" i="107"/>
  <c r="O69" i="107"/>
  <c r="C65" i="111"/>
  <c r="P65" i="107"/>
  <c r="O65" i="107"/>
  <c r="C61" i="111"/>
  <c r="P61" i="107"/>
  <c r="O61" i="107"/>
  <c r="N102" i="111"/>
  <c r="AD33" i="111" s="1"/>
  <c r="AD33" i="107"/>
  <c r="J102" i="111"/>
  <c r="Z33" i="111" s="1"/>
  <c r="Z33" i="107"/>
  <c r="F102" i="111"/>
  <c r="V33" i="111" s="1"/>
  <c r="V33" i="107"/>
  <c r="N98" i="111"/>
  <c r="AD32" i="111" s="1"/>
  <c r="AD32" i="107"/>
  <c r="J98" i="111"/>
  <c r="Z32" i="107"/>
  <c r="F98" i="111"/>
  <c r="V32" i="111" s="1"/>
  <c r="V32" i="107"/>
  <c r="N94" i="111"/>
  <c r="AD31" i="107"/>
  <c r="J94" i="111"/>
  <c r="Z31" i="111" s="1"/>
  <c r="Z31" i="107"/>
  <c r="F94" i="111"/>
  <c r="V31" i="111" s="1"/>
  <c r="V31" i="107"/>
  <c r="N90" i="111"/>
  <c r="AD30" i="111" s="1"/>
  <c r="AD30" i="107"/>
  <c r="J90" i="111"/>
  <c r="Z30" i="107"/>
  <c r="F90" i="111"/>
  <c r="V30" i="107"/>
  <c r="N86" i="111"/>
  <c r="AD29" i="111" s="1"/>
  <c r="AD29" i="107"/>
  <c r="J86" i="111"/>
  <c r="Z29" i="111" s="1"/>
  <c r="Z29" i="107"/>
  <c r="F86" i="111"/>
  <c r="V29" i="111" s="1"/>
  <c r="V29" i="107"/>
  <c r="N82" i="111"/>
  <c r="AD28" i="107"/>
  <c r="J82" i="111"/>
  <c r="Z28" i="107"/>
  <c r="F82" i="111"/>
  <c r="V28" i="111" s="1"/>
  <c r="V28" i="107"/>
  <c r="N78" i="111"/>
  <c r="AD27" i="107"/>
  <c r="J78" i="111"/>
  <c r="Z27" i="111" s="1"/>
  <c r="Z27" i="107"/>
  <c r="F78" i="111"/>
  <c r="V27" i="111" s="1"/>
  <c r="V27" i="107"/>
  <c r="N74" i="111"/>
  <c r="AD26" i="111" s="1"/>
  <c r="AD26" i="107"/>
  <c r="J74" i="111"/>
  <c r="Z26" i="111" s="1"/>
  <c r="Z26" i="107"/>
  <c r="F74" i="111"/>
  <c r="V26" i="111" s="1"/>
  <c r="V26" i="107"/>
  <c r="N70" i="111"/>
  <c r="AD25" i="111" s="1"/>
  <c r="AD25" i="107"/>
  <c r="J70" i="111"/>
  <c r="Z25" i="111" s="1"/>
  <c r="Z25" i="107"/>
  <c r="F70" i="111"/>
  <c r="V25" i="111" s="1"/>
  <c r="V25" i="107"/>
  <c r="N66" i="111"/>
  <c r="AD24" i="111" s="1"/>
  <c r="AD24" i="107"/>
  <c r="J66" i="111"/>
  <c r="Z24" i="111" s="1"/>
  <c r="Z24" i="107"/>
  <c r="F66" i="111"/>
  <c r="V24" i="111" s="1"/>
  <c r="V24" i="107"/>
  <c r="N62" i="111"/>
  <c r="AD23" i="111" s="1"/>
  <c r="AD23" i="107"/>
  <c r="J62" i="111"/>
  <c r="Z23" i="111" s="1"/>
  <c r="Z23" i="107"/>
  <c r="F62" i="111"/>
  <c r="V23" i="111" s="1"/>
  <c r="V23" i="107"/>
  <c r="N58" i="111"/>
  <c r="AD22" i="111" s="1"/>
  <c r="AD22" i="107"/>
  <c r="J58" i="111"/>
  <c r="Z22" i="111" s="1"/>
  <c r="Z22" i="107"/>
  <c r="F58" i="111"/>
  <c r="V22" i="111" s="1"/>
  <c r="V22" i="107"/>
  <c r="O104" i="108"/>
  <c r="O100" i="108"/>
  <c r="O96" i="108"/>
  <c r="O92" i="108"/>
  <c r="O88" i="108"/>
  <c r="O84" i="108"/>
  <c r="O80" i="108"/>
  <c r="AC33" i="108"/>
  <c r="Y33" i="108"/>
  <c r="U33" i="108"/>
  <c r="AC32" i="108"/>
  <c r="Y32" i="108"/>
  <c r="U32" i="108"/>
  <c r="AC31" i="108"/>
  <c r="Y31" i="108"/>
  <c r="U31" i="108"/>
  <c r="AC30" i="108"/>
  <c r="Y30" i="108"/>
  <c r="U30" i="108"/>
  <c r="AC29" i="108"/>
  <c r="Y29" i="108"/>
  <c r="U29" i="108"/>
  <c r="AC28" i="108"/>
  <c r="Y28" i="108"/>
  <c r="U28" i="108"/>
  <c r="P62" i="108"/>
  <c r="AF23" i="108" s="1"/>
  <c r="P70" i="108"/>
  <c r="AF25" i="108" s="1"/>
  <c r="P78" i="108"/>
  <c r="P86" i="108"/>
  <c r="AF29" i="108" s="1"/>
  <c r="P94" i="108"/>
  <c r="AF31" i="108" s="1"/>
  <c r="P102" i="108"/>
  <c r="AF33" i="108" s="1"/>
  <c r="P62" i="107"/>
  <c r="AF23" i="107" s="1"/>
  <c r="P70" i="107"/>
  <c r="P78" i="107"/>
  <c r="P86" i="107"/>
  <c r="P94" i="107"/>
  <c r="AF31" i="107" s="1"/>
  <c r="P102" i="107"/>
  <c r="AC27" i="108"/>
  <c r="Y27" i="108"/>
  <c r="U27" i="108"/>
  <c r="AC26" i="108"/>
  <c r="Y26" i="108"/>
  <c r="U26" i="108"/>
  <c r="AC25" i="108"/>
  <c r="Y25" i="108"/>
  <c r="U25" i="108"/>
  <c r="AC24" i="108"/>
  <c r="Y24" i="108"/>
  <c r="U24" i="108"/>
  <c r="AC23" i="108"/>
  <c r="Y23" i="108"/>
  <c r="U23" i="108"/>
  <c r="AC22" i="108"/>
  <c r="Y22" i="108"/>
  <c r="U22" i="108"/>
  <c r="T27" i="108"/>
  <c r="AB26" i="108"/>
  <c r="T26" i="108"/>
  <c r="AB25" i="108"/>
  <c r="X25" i="108"/>
  <c r="T25" i="108"/>
  <c r="AB24" i="108"/>
  <c r="X24" i="108"/>
  <c r="AB23" i="108"/>
  <c r="X23" i="108"/>
  <c r="T23" i="108"/>
  <c r="X22" i="108"/>
  <c r="T22" i="108"/>
  <c r="AA27" i="108"/>
  <c r="W27" i="108"/>
  <c r="AA26" i="108"/>
  <c r="W26" i="108"/>
  <c r="AA25" i="108"/>
  <c r="W25" i="108"/>
  <c r="AA24" i="108"/>
  <c r="W24" i="108"/>
  <c r="AA23" i="108"/>
  <c r="W23" i="108"/>
  <c r="AA22" i="108"/>
  <c r="W22" i="108"/>
  <c r="Y29" i="111" l="1"/>
  <c r="AD28" i="111"/>
  <c r="V30" i="111"/>
  <c r="AE27" i="107"/>
  <c r="U25" i="111"/>
  <c r="Y33" i="111"/>
  <c r="AF28" i="107"/>
  <c r="AD27" i="111"/>
  <c r="AD31" i="111"/>
  <c r="AC23" i="111"/>
  <c r="AE30" i="107"/>
  <c r="AF30" i="108"/>
  <c r="AE23" i="108"/>
  <c r="AF27" i="108"/>
  <c r="AA28" i="111"/>
  <c r="AA32" i="111"/>
  <c r="AF26" i="107"/>
  <c r="AC28" i="111"/>
  <c r="Y32" i="111"/>
  <c r="AF29" i="107"/>
  <c r="AF27" i="107"/>
  <c r="AF24" i="107"/>
  <c r="AF32" i="107"/>
  <c r="AE23" i="107"/>
  <c r="AE29" i="108"/>
  <c r="AE33" i="108"/>
  <c r="P65" i="111"/>
  <c r="O65" i="111"/>
  <c r="AE27" i="108"/>
  <c r="P75" i="111"/>
  <c r="O75" i="111"/>
  <c r="P91" i="111"/>
  <c r="O91" i="111"/>
  <c r="O80" i="111"/>
  <c r="P80" i="111"/>
  <c r="P61" i="111"/>
  <c r="O61" i="111"/>
  <c r="P77" i="111"/>
  <c r="O77" i="111"/>
  <c r="P93" i="111"/>
  <c r="O93" i="111"/>
  <c r="AE25" i="107"/>
  <c r="S29" i="111"/>
  <c r="O86" i="111"/>
  <c r="P86" i="111"/>
  <c r="AE33" i="107"/>
  <c r="O76" i="111"/>
  <c r="P76" i="111"/>
  <c r="O96" i="111"/>
  <c r="P96" i="111"/>
  <c r="S24" i="111"/>
  <c r="O66" i="111"/>
  <c r="P66" i="111"/>
  <c r="AE28" i="107"/>
  <c r="S32" i="111"/>
  <c r="O98" i="111"/>
  <c r="P98" i="111"/>
  <c r="U28" i="111"/>
  <c r="U30" i="111"/>
  <c r="U32" i="111"/>
  <c r="O72" i="111"/>
  <c r="P72" i="111"/>
  <c r="O100" i="111"/>
  <c r="P100" i="111"/>
  <c r="AF28" i="108"/>
  <c r="P71" i="111"/>
  <c r="O71" i="111"/>
  <c r="P87" i="111"/>
  <c r="O87" i="111"/>
  <c r="P103" i="111"/>
  <c r="O103" i="111"/>
  <c r="P81" i="111"/>
  <c r="O81" i="111"/>
  <c r="P97" i="111"/>
  <c r="O97" i="111"/>
  <c r="S31" i="111"/>
  <c r="O94" i="111"/>
  <c r="P94" i="111"/>
  <c r="AE25" i="108"/>
  <c r="AE31" i="108"/>
  <c r="P59" i="111"/>
  <c r="O59" i="111"/>
  <c r="S22" i="111"/>
  <c r="O104" i="111"/>
  <c r="P104" i="111"/>
  <c r="AF33" i="107"/>
  <c r="AF25" i="107"/>
  <c r="Z28" i="111"/>
  <c r="Z30" i="111"/>
  <c r="Z32" i="111"/>
  <c r="P73" i="111"/>
  <c r="O73" i="111"/>
  <c r="P89" i="111"/>
  <c r="O89" i="111"/>
  <c r="P105" i="111"/>
  <c r="O105" i="111"/>
  <c r="S27" i="111"/>
  <c r="O78" i="111"/>
  <c r="P78" i="111"/>
  <c r="AE31" i="107"/>
  <c r="S23" i="111"/>
  <c r="O62" i="111"/>
  <c r="P62" i="111"/>
  <c r="AE26" i="107"/>
  <c r="S30" i="111"/>
  <c r="O90" i="111"/>
  <c r="P90" i="111"/>
  <c r="AF26" i="108"/>
  <c r="AE24" i="108"/>
  <c r="AE26" i="108"/>
  <c r="AE28" i="108"/>
  <c r="AE30" i="108"/>
  <c r="AE32" i="108"/>
  <c r="P67" i="111"/>
  <c r="O67" i="111"/>
  <c r="P83" i="111"/>
  <c r="O83" i="111"/>
  <c r="P99" i="111"/>
  <c r="O99" i="111"/>
  <c r="Y27" i="111"/>
  <c r="U29" i="111"/>
  <c r="Y30" i="111"/>
  <c r="O68" i="111"/>
  <c r="P68" i="111"/>
  <c r="O92" i="111"/>
  <c r="P92" i="111"/>
  <c r="S26" i="111"/>
  <c r="O74" i="111"/>
  <c r="AE26" i="111" s="1"/>
  <c r="P74" i="111"/>
  <c r="P69" i="111"/>
  <c r="O69" i="111"/>
  <c r="P85" i="111"/>
  <c r="O85" i="111"/>
  <c r="P101" i="111"/>
  <c r="O101" i="111"/>
  <c r="S25" i="111"/>
  <c r="O70" i="111"/>
  <c r="AE25" i="111" s="1"/>
  <c r="P70" i="111"/>
  <c r="AF25" i="111" s="1"/>
  <c r="AE29" i="107"/>
  <c r="S33" i="111"/>
  <c r="O102" i="111"/>
  <c r="P102" i="111"/>
  <c r="AC33" i="111"/>
  <c r="O64" i="111"/>
  <c r="P64" i="111"/>
  <c r="O84" i="111"/>
  <c r="P84" i="111"/>
  <c r="W27" i="111"/>
  <c r="W31" i="111"/>
  <c r="W33" i="111"/>
  <c r="AE24" i="107"/>
  <c r="S28" i="111"/>
  <c r="O82" i="111"/>
  <c r="P82" i="111"/>
  <c r="AE32" i="107"/>
  <c r="AC27" i="111"/>
  <c r="AC29" i="111"/>
  <c r="AC31" i="111"/>
  <c r="O88" i="111"/>
  <c r="P88" i="111"/>
  <c r="AF32" i="108"/>
  <c r="AF24" i="108"/>
  <c r="P63" i="111"/>
  <c r="O63" i="111"/>
  <c r="P79" i="111"/>
  <c r="O79" i="111"/>
  <c r="P95" i="111"/>
  <c r="O95" i="111"/>
  <c r="AE32" i="111" l="1"/>
  <c r="AF33" i="111"/>
  <c r="AE33" i="111"/>
  <c r="AE24" i="111"/>
  <c r="AE30" i="111"/>
  <c r="AE27" i="111"/>
  <c r="AF29" i="111"/>
  <c r="AF28" i="111"/>
  <c r="AF31" i="111"/>
  <c r="AE29" i="111"/>
  <c r="AE23" i="111"/>
  <c r="AE28" i="111"/>
  <c r="AF26" i="111"/>
  <c r="AF30" i="111"/>
  <c r="AF23" i="111"/>
  <c r="AF27" i="111"/>
  <c r="AE31" i="111"/>
  <c r="AF32" i="111"/>
  <c r="AF24" i="111"/>
  <c r="C58" i="96"/>
  <c r="D106" i="105"/>
  <c r="E106" i="105"/>
  <c r="F106" i="105"/>
  <c r="G106" i="105"/>
  <c r="H106" i="105"/>
  <c r="I106" i="105"/>
  <c r="J106" i="105"/>
  <c r="K106" i="105"/>
  <c r="M106" i="105"/>
  <c r="N106" i="105"/>
  <c r="L60" i="105"/>
  <c r="L60" i="107" s="1"/>
  <c r="L58" i="110"/>
  <c r="L58" i="108" s="1"/>
  <c r="L10" i="97"/>
  <c r="L57" i="98"/>
  <c r="L56" i="98"/>
  <c r="L55" i="98"/>
  <c r="L54" i="98"/>
  <c r="L53" i="98"/>
  <c r="L52" i="98"/>
  <c r="L51" i="98"/>
  <c r="L50" i="98"/>
  <c r="L49" i="98"/>
  <c r="L48" i="98"/>
  <c r="L47" i="98"/>
  <c r="L46" i="98"/>
  <c r="L45" i="98"/>
  <c r="L44" i="98"/>
  <c r="L43" i="98"/>
  <c r="L42" i="98"/>
  <c r="L41" i="98"/>
  <c r="L40" i="98"/>
  <c r="L39" i="98"/>
  <c r="L38" i="98"/>
  <c r="L37" i="98"/>
  <c r="L36" i="98"/>
  <c r="L35" i="98"/>
  <c r="L34" i="98"/>
  <c r="L33" i="98"/>
  <c r="L32" i="98"/>
  <c r="L31" i="98"/>
  <c r="L30" i="98"/>
  <c r="L29" i="98"/>
  <c r="L28" i="98"/>
  <c r="L27" i="98"/>
  <c r="L26" i="98"/>
  <c r="L25" i="98"/>
  <c r="L24" i="98"/>
  <c r="L23" i="98"/>
  <c r="L22" i="98"/>
  <c r="L21" i="98"/>
  <c r="L20" i="98"/>
  <c r="L18" i="98"/>
  <c r="L17" i="98"/>
  <c r="L15" i="98"/>
  <c r="L13" i="98"/>
  <c r="L10" i="98"/>
  <c r="L57" i="99"/>
  <c r="L56" i="99"/>
  <c r="L55" i="99"/>
  <c r="L54" i="99"/>
  <c r="L53" i="99"/>
  <c r="L52" i="99"/>
  <c r="L51" i="99"/>
  <c r="L50" i="99"/>
  <c r="L49" i="99"/>
  <c r="L48" i="99"/>
  <c r="L47" i="99"/>
  <c r="L46" i="99"/>
  <c r="L45" i="99"/>
  <c r="L44" i="99"/>
  <c r="L43" i="99"/>
  <c r="L42" i="99"/>
  <c r="L41" i="99"/>
  <c r="L40" i="99"/>
  <c r="L39" i="99"/>
  <c r="L38" i="99"/>
  <c r="L37" i="99"/>
  <c r="L36" i="99"/>
  <c r="L35" i="99"/>
  <c r="L34" i="99"/>
  <c r="L33" i="99"/>
  <c r="L32" i="99"/>
  <c r="L31" i="99"/>
  <c r="L30" i="99"/>
  <c r="L29" i="99"/>
  <c r="L28" i="99"/>
  <c r="L27" i="99"/>
  <c r="L26" i="99"/>
  <c r="L25" i="99"/>
  <c r="L24" i="99"/>
  <c r="L23" i="99"/>
  <c r="L22" i="99"/>
  <c r="L20" i="99"/>
  <c r="L18" i="99"/>
  <c r="L17" i="99"/>
  <c r="L16" i="99"/>
  <c r="L14" i="99"/>
  <c r="L13" i="99"/>
  <c r="L12" i="99"/>
  <c r="L11" i="99"/>
  <c r="L57" i="100"/>
  <c r="L56" i="100"/>
  <c r="L55" i="100"/>
  <c r="L54" i="100"/>
  <c r="L53" i="100"/>
  <c r="L52" i="100"/>
  <c r="L51" i="100"/>
  <c r="L50" i="100"/>
  <c r="L49" i="100"/>
  <c r="L48" i="100"/>
  <c r="L47" i="100"/>
  <c r="L46" i="100"/>
  <c r="L45" i="100"/>
  <c r="L44" i="100"/>
  <c r="L43" i="100"/>
  <c r="L42" i="100"/>
  <c r="L41" i="100"/>
  <c r="L40" i="100"/>
  <c r="L39" i="100"/>
  <c r="L38" i="100"/>
  <c r="L37" i="100"/>
  <c r="L36" i="100"/>
  <c r="L35" i="100"/>
  <c r="L34" i="100"/>
  <c r="L33" i="100"/>
  <c r="L32" i="100"/>
  <c r="L31" i="100"/>
  <c r="L30" i="100"/>
  <c r="L29" i="100"/>
  <c r="L28" i="100"/>
  <c r="L27" i="100"/>
  <c r="L26" i="100"/>
  <c r="L25" i="100"/>
  <c r="L24" i="100"/>
  <c r="L23" i="100"/>
  <c r="L22" i="100"/>
  <c r="L20" i="100"/>
  <c r="L19" i="100"/>
  <c r="L18" i="100"/>
  <c r="L17" i="100"/>
  <c r="L15" i="100"/>
  <c r="L14" i="100"/>
  <c r="L13" i="100"/>
  <c r="L11" i="100"/>
  <c r="AB22" i="108" l="1"/>
  <c r="P58" i="108"/>
  <c r="AF22" i="108" s="1"/>
  <c r="L58" i="111"/>
  <c r="O58" i="108"/>
  <c r="AE22" i="108" s="1"/>
  <c r="L106" i="105"/>
  <c r="L60" i="111"/>
  <c r="AB22" i="107"/>
  <c r="P60" i="107"/>
  <c r="AF22" i="107" s="1"/>
  <c r="O60" i="107"/>
  <c r="AE22" i="107" s="1"/>
  <c r="D106" i="109"/>
  <c r="D10" i="94"/>
  <c r="D11" i="94"/>
  <c r="D12" i="94"/>
  <c r="D13" i="94"/>
  <c r="D14" i="94"/>
  <c r="D15" i="94"/>
  <c r="D16" i="94"/>
  <c r="D17" i="94"/>
  <c r="D18" i="94"/>
  <c r="D19" i="94"/>
  <c r="D20" i="94"/>
  <c r="D21" i="94"/>
  <c r="D22" i="94"/>
  <c r="D23" i="94"/>
  <c r="D24" i="94"/>
  <c r="D25" i="94"/>
  <c r="D26" i="94"/>
  <c r="D27" i="94"/>
  <c r="D28" i="94"/>
  <c r="D29" i="94"/>
  <c r="D30" i="94"/>
  <c r="D31" i="94"/>
  <c r="D32" i="94"/>
  <c r="D33" i="94"/>
  <c r="D34" i="94"/>
  <c r="D35" i="94"/>
  <c r="D36" i="94"/>
  <c r="D37" i="94"/>
  <c r="D38" i="94"/>
  <c r="D39" i="94"/>
  <c r="D40" i="94"/>
  <c r="D41" i="94"/>
  <c r="D42" i="94"/>
  <c r="D43" i="94"/>
  <c r="D44" i="94"/>
  <c r="D45" i="94"/>
  <c r="D46" i="94"/>
  <c r="D47" i="94"/>
  <c r="D48" i="94"/>
  <c r="D49" i="94"/>
  <c r="D50" i="94"/>
  <c r="D51" i="94"/>
  <c r="D52" i="94"/>
  <c r="D53" i="94"/>
  <c r="D54" i="94"/>
  <c r="D55" i="94"/>
  <c r="D56" i="94"/>
  <c r="D57" i="94"/>
  <c r="L10" i="93"/>
  <c r="AB22" i="111" l="1"/>
  <c r="P58" i="111"/>
  <c r="O58" i="111"/>
  <c r="O60" i="111"/>
  <c r="P60" i="111"/>
  <c r="L12" i="104"/>
  <c r="L13" i="104"/>
  <c r="L14" i="104"/>
  <c r="L15" i="104"/>
  <c r="L16" i="104"/>
  <c r="L17" i="104"/>
  <c r="L18" i="104"/>
  <c r="L19" i="104"/>
  <c r="L21" i="104"/>
  <c r="L22" i="104"/>
  <c r="L23" i="104"/>
  <c r="L24" i="104"/>
  <c r="L25" i="104"/>
  <c r="L26" i="104"/>
  <c r="L27" i="104"/>
  <c r="L28" i="104"/>
  <c r="L29" i="104"/>
  <c r="L30" i="104"/>
  <c r="L31" i="104"/>
  <c r="L32" i="104"/>
  <c r="L33" i="104"/>
  <c r="L34" i="104"/>
  <c r="L35" i="104"/>
  <c r="L36" i="104"/>
  <c r="L37" i="104"/>
  <c r="L38" i="104"/>
  <c r="L39" i="104"/>
  <c r="L40" i="104"/>
  <c r="L41" i="104"/>
  <c r="L42" i="104"/>
  <c r="L43" i="104"/>
  <c r="L44" i="104"/>
  <c r="L45" i="104"/>
  <c r="L46" i="104"/>
  <c r="L47" i="104"/>
  <c r="L48" i="104"/>
  <c r="L49" i="104"/>
  <c r="L50" i="104"/>
  <c r="L51" i="104"/>
  <c r="L52" i="104"/>
  <c r="L53" i="104"/>
  <c r="L54" i="104"/>
  <c r="L55" i="104"/>
  <c r="L56" i="104"/>
  <c r="L57" i="104"/>
  <c r="L10" i="104"/>
  <c r="L11" i="103"/>
  <c r="L12" i="103"/>
  <c r="L13" i="103"/>
  <c r="L14" i="103"/>
  <c r="L15" i="103"/>
  <c r="L16" i="103"/>
  <c r="L17" i="103"/>
  <c r="L18" i="103"/>
  <c r="L19" i="103"/>
  <c r="L20" i="103"/>
  <c r="L21" i="103"/>
  <c r="L22" i="103"/>
  <c r="L23" i="103"/>
  <c r="L24" i="103"/>
  <c r="L25" i="103"/>
  <c r="L26" i="103"/>
  <c r="L27" i="103"/>
  <c r="L28" i="103"/>
  <c r="L29" i="103"/>
  <c r="L30" i="103"/>
  <c r="L31" i="103"/>
  <c r="L32" i="103"/>
  <c r="L33" i="103"/>
  <c r="L34" i="103"/>
  <c r="L35" i="103"/>
  <c r="L36" i="103"/>
  <c r="L37" i="103"/>
  <c r="L38" i="103"/>
  <c r="L39" i="103"/>
  <c r="L40" i="103"/>
  <c r="L41" i="103"/>
  <c r="L42" i="103"/>
  <c r="L43" i="103"/>
  <c r="L44" i="103"/>
  <c r="L45" i="103"/>
  <c r="L46" i="103"/>
  <c r="L47" i="103"/>
  <c r="L48" i="103"/>
  <c r="L49" i="103"/>
  <c r="L50" i="103"/>
  <c r="L51" i="103"/>
  <c r="L52" i="103"/>
  <c r="L53" i="103"/>
  <c r="L54" i="103"/>
  <c r="L55" i="103"/>
  <c r="L56" i="103"/>
  <c r="L57" i="103"/>
  <c r="C3" i="94"/>
  <c r="AF22" i="111" l="1"/>
  <c r="AE22" i="111"/>
  <c r="K6" i="98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5" i="104" l="1"/>
  <c r="K5" i="108" s="1"/>
  <c r="K5" i="111" s="1"/>
  <c r="K5" i="107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Y19" i="105"/>
  <c r="X19" i="105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A19" i="103"/>
  <c r="Z19" i="103"/>
  <c r="Z27" i="103" s="1"/>
  <c r="Y19" i="103"/>
  <c r="Y27" i="103" s="1"/>
  <c r="X19" i="103"/>
  <c r="X27" i="103" s="1"/>
  <c r="W19" i="103"/>
  <c r="W27" i="103" s="1"/>
  <c r="V19" i="103"/>
  <c r="U19" i="103"/>
  <c r="U24" i="103" s="1"/>
  <c r="T19" i="103"/>
  <c r="S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Y19" i="97"/>
  <c r="X19" i="97"/>
  <c r="X27" i="97" s="1"/>
  <c r="W19" i="97"/>
  <c r="V19" i="97"/>
  <c r="V27" i="97" s="1"/>
  <c r="U19" i="97"/>
  <c r="T19" i="97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AA26" i="95" s="1"/>
  <c r="W13" i="95"/>
  <c r="V13" i="95"/>
  <c r="U13" i="95"/>
  <c r="T13" i="95"/>
  <c r="AD21" i="95"/>
  <c r="AC20" i="95"/>
  <c r="T19" i="95"/>
  <c r="T27" i="97" l="1"/>
  <c r="AA27" i="103"/>
  <c r="W39" i="105"/>
  <c r="S27" i="99"/>
  <c r="S39" i="101"/>
  <c r="T27" i="103"/>
  <c r="AB27" i="103"/>
  <c r="V27" i="103"/>
  <c r="AD27" i="103"/>
  <c r="Z39" i="105"/>
  <c r="U39" i="109"/>
  <c r="Z27" i="97"/>
  <c r="Y39" i="109"/>
  <c r="S27" i="103"/>
  <c r="AB27" i="97"/>
  <c r="AA27" i="99"/>
  <c r="X26" i="98"/>
  <c r="X39" i="105"/>
  <c r="AA39" i="101"/>
  <c r="AD38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W16" i="108" s="1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S38" i="110" s="1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W18" i="108" s="1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5" i="108" s="1"/>
  <c r="AA16" i="94"/>
  <c r="K34" i="108"/>
  <c r="AA16" i="108" s="1"/>
  <c r="AA18" i="94"/>
  <c r="K42" i="108"/>
  <c r="AA18" i="108" s="1"/>
  <c r="M54" i="108"/>
  <c r="AC21" i="108" s="1"/>
  <c r="M50" i="108"/>
  <c r="M46" i="108"/>
  <c r="C42" i="108"/>
  <c r="S18" i="108" s="1"/>
  <c r="C34" i="108"/>
  <c r="S16" i="108" s="1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U21" i="108" s="1"/>
  <c r="E50" i="108"/>
  <c r="C46" i="108"/>
  <c r="C38" i="108"/>
  <c r="S17" i="108" s="1"/>
  <c r="C30" i="108"/>
  <c r="S15" i="108" s="1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Y13" i="108" s="1"/>
  <c r="K22" i="108"/>
  <c r="AA13" i="108" s="1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W20" i="108" s="1"/>
  <c r="C50" i="108"/>
  <c r="K46" i="108"/>
  <c r="G46" i="108"/>
  <c r="G38" i="108"/>
  <c r="W17" i="108" s="1"/>
  <c r="G30" i="108"/>
  <c r="W15" i="108" s="1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P17" i="105"/>
  <c r="P18" i="105"/>
  <c r="P19" i="105"/>
  <c r="P20" i="105"/>
  <c r="S32" i="105"/>
  <c r="P31" i="105"/>
  <c r="P33" i="105"/>
  <c r="T10" i="105"/>
  <c r="V10" i="105"/>
  <c r="C106" i="105"/>
  <c r="P10" i="105"/>
  <c r="S10" i="105"/>
  <c r="O10" i="105"/>
  <c r="U10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B26" i="103" l="1"/>
  <c r="S13" i="108"/>
  <c r="T19" i="108"/>
  <c r="Y20" i="108"/>
  <c r="AA19" i="108"/>
  <c r="U38" i="109"/>
  <c r="E106" i="107"/>
  <c r="U10" i="107"/>
  <c r="X21" i="107"/>
  <c r="T20" i="107"/>
  <c r="X19" i="107"/>
  <c r="T18" i="107"/>
  <c r="X17" i="107"/>
  <c r="X16" i="107"/>
  <c r="X15" i="107"/>
  <c r="X14" i="107"/>
  <c r="T13" i="107"/>
  <c r="AB12" i="107"/>
  <c r="X11" i="107"/>
  <c r="T17" i="108"/>
  <c r="AB16" i="108"/>
  <c r="AB15" i="108"/>
  <c r="AD10" i="108"/>
  <c r="N106" i="108"/>
  <c r="U12" i="108"/>
  <c r="U11" i="108"/>
  <c r="Y10" i="108"/>
  <c r="I106" i="108"/>
  <c r="AB21" i="108"/>
  <c r="T21" i="108"/>
  <c r="AB20" i="108"/>
  <c r="T20" i="108"/>
  <c r="AB19" i="108"/>
  <c r="M106" i="107"/>
  <c r="AC10" i="107"/>
  <c r="T21" i="107"/>
  <c r="AB20" i="107"/>
  <c r="AB19" i="107"/>
  <c r="AB18" i="107"/>
  <c r="AB17" i="107"/>
  <c r="AB16" i="107"/>
  <c r="AB15" i="107"/>
  <c r="AB14" i="107"/>
  <c r="AB13" i="107"/>
  <c r="X12" i="107"/>
  <c r="AB11" i="107"/>
  <c r="X10" i="108"/>
  <c r="H106" i="108"/>
  <c r="AB17" i="108"/>
  <c r="AC17" i="108"/>
  <c r="AC15" i="108"/>
  <c r="AC12" i="108"/>
  <c r="AD11" i="108"/>
  <c r="L106" i="107"/>
  <c r="AB10" i="107"/>
  <c r="H106" i="107"/>
  <c r="X10" i="107"/>
  <c r="D106" i="107"/>
  <c r="T10" i="107"/>
  <c r="AA21" i="107"/>
  <c r="W21" i="107"/>
  <c r="S21" i="107"/>
  <c r="AA20" i="107"/>
  <c r="W20" i="107"/>
  <c r="S20" i="107"/>
  <c r="AA19" i="107"/>
  <c r="W19" i="107"/>
  <c r="S19" i="107"/>
  <c r="AA18" i="107"/>
  <c r="W18" i="107"/>
  <c r="S18" i="107"/>
  <c r="AA17" i="107"/>
  <c r="W17" i="107"/>
  <c r="S17" i="107"/>
  <c r="AA16" i="107"/>
  <c r="W16" i="107"/>
  <c r="S16" i="107"/>
  <c r="AA15" i="107"/>
  <c r="W15" i="107"/>
  <c r="S15" i="107"/>
  <c r="AA14" i="107"/>
  <c r="W14" i="107"/>
  <c r="S14" i="107"/>
  <c r="AA13" i="107"/>
  <c r="W13" i="107"/>
  <c r="S13" i="107"/>
  <c r="AA12" i="107"/>
  <c r="W12" i="107"/>
  <c r="S12" i="107"/>
  <c r="AA11" i="107"/>
  <c r="W11" i="107"/>
  <c r="S11" i="107"/>
  <c r="O106" i="105"/>
  <c r="AB10" i="108"/>
  <c r="L106" i="108"/>
  <c r="Z18" i="108"/>
  <c r="Z17" i="108"/>
  <c r="Z16" i="108"/>
  <c r="Z15" i="108"/>
  <c r="Z14" i="108"/>
  <c r="AB13" i="108"/>
  <c r="AB12" i="108"/>
  <c r="AB11" i="108"/>
  <c r="V13" i="108"/>
  <c r="W19" i="108"/>
  <c r="AA20" i="108"/>
  <c r="AA39" i="108" s="1"/>
  <c r="W13" i="108"/>
  <c r="Y21" i="108"/>
  <c r="AA21" i="108"/>
  <c r="Z10" i="108"/>
  <c r="J106" i="108"/>
  <c r="U18" i="108"/>
  <c r="AA17" i="108"/>
  <c r="U16" i="108"/>
  <c r="Y15" i="108"/>
  <c r="AC14" i="108"/>
  <c r="AA12" i="108"/>
  <c r="S12" i="108"/>
  <c r="AA11" i="108"/>
  <c r="S11" i="108"/>
  <c r="W10" i="108"/>
  <c r="G106" i="108"/>
  <c r="Z21" i="108"/>
  <c r="Z20" i="108"/>
  <c r="Z19" i="108"/>
  <c r="AD12" i="108"/>
  <c r="Z11" i="108"/>
  <c r="T18" i="108"/>
  <c r="T16" i="108"/>
  <c r="T14" i="108"/>
  <c r="AC11" i="108"/>
  <c r="C106" i="107"/>
  <c r="S10" i="107"/>
  <c r="K106" i="107"/>
  <c r="AA10" i="107"/>
  <c r="G106" i="107"/>
  <c r="W10" i="107"/>
  <c r="AD21" i="107"/>
  <c r="Z21" i="107"/>
  <c r="V21" i="107"/>
  <c r="AD20" i="107"/>
  <c r="Z20" i="107"/>
  <c r="V20" i="107"/>
  <c r="AD19" i="107"/>
  <c r="Z19" i="107"/>
  <c r="V19" i="107"/>
  <c r="AD18" i="107"/>
  <c r="Z18" i="107"/>
  <c r="V18" i="107"/>
  <c r="AD17" i="107"/>
  <c r="Z17" i="107"/>
  <c r="V17" i="107"/>
  <c r="AD16" i="107"/>
  <c r="Z16" i="107"/>
  <c r="V16" i="107"/>
  <c r="AD15" i="107"/>
  <c r="Z15" i="107"/>
  <c r="V15" i="107"/>
  <c r="AD14" i="107"/>
  <c r="Z14" i="107"/>
  <c r="V14" i="107"/>
  <c r="AD13" i="107"/>
  <c r="Z13" i="107"/>
  <c r="V13" i="107"/>
  <c r="AD12" i="107"/>
  <c r="Z12" i="107"/>
  <c r="V12" i="107"/>
  <c r="AD11" i="107"/>
  <c r="Z11" i="107"/>
  <c r="V11" i="107"/>
  <c r="Z26" i="95"/>
  <c r="T36" i="105"/>
  <c r="S10" i="108"/>
  <c r="C106" i="108"/>
  <c r="X18" i="108"/>
  <c r="X17" i="108"/>
  <c r="X16" i="108"/>
  <c r="X15" i="108"/>
  <c r="X14" i="108"/>
  <c r="X13" i="108"/>
  <c r="X12" i="108"/>
  <c r="X11" i="108"/>
  <c r="W14" i="108"/>
  <c r="S21" i="108"/>
  <c r="AC13" i="108"/>
  <c r="U13" i="108"/>
  <c r="V11" i="108"/>
  <c r="S19" i="108"/>
  <c r="V10" i="108"/>
  <c r="F106" i="108"/>
  <c r="AC19" i="108"/>
  <c r="Y19" i="108"/>
  <c r="AC18" i="108"/>
  <c r="Y17" i="108"/>
  <c r="AC16" i="108"/>
  <c r="U15" i="108"/>
  <c r="Y14" i="108"/>
  <c r="Y35" i="108" s="1"/>
  <c r="Y12" i="108"/>
  <c r="Y11" i="108"/>
  <c r="AC10" i="108"/>
  <c r="M106" i="108"/>
  <c r="U10" i="108"/>
  <c r="E106" i="108"/>
  <c r="X21" i="108"/>
  <c r="X20" i="108"/>
  <c r="X19" i="108"/>
  <c r="AD13" i="108"/>
  <c r="Z12" i="108"/>
  <c r="I106" i="107"/>
  <c r="Y10" i="107"/>
  <c r="AB21" i="107"/>
  <c r="X20" i="107"/>
  <c r="T19" i="107"/>
  <c r="X18" i="107"/>
  <c r="T17" i="107"/>
  <c r="T16" i="107"/>
  <c r="T15" i="107"/>
  <c r="T14" i="107"/>
  <c r="X13" i="107"/>
  <c r="T12" i="107"/>
  <c r="T11" i="107"/>
  <c r="AB18" i="108"/>
  <c r="T15" i="108"/>
  <c r="AB14" i="108"/>
  <c r="N106" i="107"/>
  <c r="AD10" i="107"/>
  <c r="J106" i="107"/>
  <c r="Z10" i="107"/>
  <c r="F106" i="107"/>
  <c r="V10" i="107"/>
  <c r="AC21" i="107"/>
  <c r="Y21" i="107"/>
  <c r="U21" i="107"/>
  <c r="AC20" i="107"/>
  <c r="Y20" i="107"/>
  <c r="U20" i="107"/>
  <c r="AC19" i="107"/>
  <c r="Y19" i="107"/>
  <c r="U19" i="107"/>
  <c r="AC18" i="107"/>
  <c r="Y18" i="107"/>
  <c r="U18" i="107"/>
  <c r="AC17" i="107"/>
  <c r="Y17" i="107"/>
  <c r="U17" i="107"/>
  <c r="AC16" i="107"/>
  <c r="Y16" i="107"/>
  <c r="U16" i="107"/>
  <c r="AC15" i="107"/>
  <c r="Y15" i="107"/>
  <c r="U15" i="107"/>
  <c r="AC14" i="107"/>
  <c r="Y14" i="107"/>
  <c r="U14" i="107"/>
  <c r="AC13" i="107"/>
  <c r="Y13" i="107"/>
  <c r="U13" i="107"/>
  <c r="AC12" i="107"/>
  <c r="Y12" i="107"/>
  <c r="U12" i="107"/>
  <c r="AC11" i="107"/>
  <c r="Y11" i="107"/>
  <c r="U11" i="107"/>
  <c r="T10" i="108"/>
  <c r="D106" i="108"/>
  <c r="AD18" i="108"/>
  <c r="V18" i="108"/>
  <c r="AD17" i="108"/>
  <c r="V17" i="108"/>
  <c r="AD16" i="108"/>
  <c r="V16" i="108"/>
  <c r="AD15" i="108"/>
  <c r="V15" i="108"/>
  <c r="AD14" i="108"/>
  <c r="V14" i="108"/>
  <c r="T13" i="108"/>
  <c r="T12" i="108"/>
  <c r="T11" i="108"/>
  <c r="S20" i="108"/>
  <c r="W21" i="108"/>
  <c r="AA38" i="108"/>
  <c r="V12" i="108"/>
  <c r="U20" i="108"/>
  <c r="S14" i="108"/>
  <c r="S35" i="108" s="1"/>
  <c r="AC20" i="108"/>
  <c r="AA14" i="108"/>
  <c r="AA35" i="108" s="1"/>
  <c r="U19" i="108"/>
  <c r="Y18" i="108"/>
  <c r="U17" i="108"/>
  <c r="Y16" i="108"/>
  <c r="U14" i="108"/>
  <c r="W12" i="108"/>
  <c r="W11" i="108"/>
  <c r="AA10" i="108"/>
  <c r="K106" i="108"/>
  <c r="AD21" i="108"/>
  <c r="V21" i="108"/>
  <c r="AD20" i="108"/>
  <c r="V20" i="108"/>
  <c r="AD19" i="108"/>
  <c r="Z13" i="108"/>
  <c r="P106" i="105"/>
  <c r="F107" i="105" s="1"/>
  <c r="V39" i="109"/>
  <c r="AB26" i="98"/>
  <c r="S35" i="110"/>
  <c r="Y38" i="105"/>
  <c r="AF25" i="101"/>
  <c r="AF28" i="101"/>
  <c r="X36" i="101"/>
  <c r="AF32" i="101"/>
  <c r="AF33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17" i="111" s="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X21" i="111" s="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X19" i="111" s="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X17" i="111" s="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X15" i="111" s="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X13" i="111" s="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V11" i="111" s="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S14" i="111" s="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S12" i="111" s="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Z20" i="111" s="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Z18" i="111" s="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Z16" i="111" s="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Z14" i="111" s="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AD12" i="111" s="1"/>
  <c r="L18" i="111"/>
  <c r="AB12" i="111" s="1"/>
  <c r="F18" i="111"/>
  <c r="V12" i="111" s="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AC19" i="111" s="1"/>
  <c r="K46" i="111"/>
  <c r="I46" i="111"/>
  <c r="Y19" i="111" s="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AC17" i="111" s="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S15" i="111" s="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D108" i="109" s="1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AE21" i="108" s="1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AE11" i="107" s="1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G108" i="105"/>
  <c r="AE10" i="105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E16" i="107" l="1"/>
  <c r="U15" i="111"/>
  <c r="T39" i="108"/>
  <c r="Z11" i="111"/>
  <c r="AF15" i="107"/>
  <c r="AF21" i="108"/>
  <c r="AF14" i="108"/>
  <c r="X42" i="109"/>
  <c r="AB11" i="111"/>
  <c r="Z13" i="111"/>
  <c r="Z15" i="111"/>
  <c r="Z17" i="111"/>
  <c r="Z19" i="111"/>
  <c r="Z21" i="111"/>
  <c r="S11" i="111"/>
  <c r="S13" i="111"/>
  <c r="S38" i="111" s="1"/>
  <c r="X14" i="111"/>
  <c r="X16" i="111"/>
  <c r="X18" i="111"/>
  <c r="X20" i="111"/>
  <c r="S18" i="111"/>
  <c r="V39" i="108"/>
  <c r="AF17" i="107"/>
  <c r="AF12" i="108"/>
  <c r="Y38" i="108"/>
  <c r="AA19" i="111"/>
  <c r="AF13" i="108"/>
  <c r="Z41" i="108"/>
  <c r="Z34" i="108"/>
  <c r="Z40" i="108"/>
  <c r="Z37" i="108"/>
  <c r="AE14" i="107"/>
  <c r="AE17" i="107"/>
  <c r="AF13" i="107"/>
  <c r="AF16" i="108"/>
  <c r="AE19" i="108"/>
  <c r="AE12" i="108"/>
  <c r="AF19" i="108"/>
  <c r="AE10" i="108"/>
  <c r="O106" i="108"/>
  <c r="H108" i="108" s="1"/>
  <c r="AA42" i="110"/>
  <c r="W10" i="111"/>
  <c r="G106" i="111"/>
  <c r="U11" i="111"/>
  <c r="U12" i="111"/>
  <c r="U13" i="111"/>
  <c r="W14" i="111"/>
  <c r="W16" i="111"/>
  <c r="S19" i="111"/>
  <c r="W20" i="111"/>
  <c r="S21" i="111"/>
  <c r="V10" i="111"/>
  <c r="F106" i="111"/>
  <c r="AB13" i="111"/>
  <c r="AD14" i="111"/>
  <c r="AD15" i="111"/>
  <c r="AD16" i="111"/>
  <c r="AD17" i="111"/>
  <c r="AD18" i="111"/>
  <c r="AD19" i="111"/>
  <c r="AD20" i="111"/>
  <c r="AD21" i="111"/>
  <c r="W11" i="111"/>
  <c r="W12" i="111"/>
  <c r="W13" i="111"/>
  <c r="U14" i="111"/>
  <c r="W15" i="111"/>
  <c r="U16" i="111"/>
  <c r="X11" i="111"/>
  <c r="Z12" i="111"/>
  <c r="AD13" i="111"/>
  <c r="AB14" i="111"/>
  <c r="AB15" i="111"/>
  <c r="AB16" i="111"/>
  <c r="AB17" i="111"/>
  <c r="AB18" i="111"/>
  <c r="AB19" i="111"/>
  <c r="AB20" i="111"/>
  <c r="AB21" i="111"/>
  <c r="AC10" i="111"/>
  <c r="M106" i="111"/>
  <c r="U17" i="111"/>
  <c r="U18" i="111"/>
  <c r="U19" i="111"/>
  <c r="S20" i="111"/>
  <c r="W21" i="111"/>
  <c r="D106" i="111"/>
  <c r="T10" i="111"/>
  <c r="AA41" i="108"/>
  <c r="AA34" i="108"/>
  <c r="AA37" i="108"/>
  <c r="AA40" i="108"/>
  <c r="V36" i="108"/>
  <c r="AC35" i="107"/>
  <c r="AC38" i="107"/>
  <c r="U39" i="107"/>
  <c r="U36" i="107"/>
  <c r="T36" i="108"/>
  <c r="X38" i="107"/>
  <c r="X35" i="107"/>
  <c r="AD38" i="108"/>
  <c r="AD35" i="108"/>
  <c r="AC36" i="108"/>
  <c r="AC39" i="108"/>
  <c r="AA36" i="108"/>
  <c r="S41" i="108"/>
  <c r="S40" i="108"/>
  <c r="S34" i="108"/>
  <c r="S37" i="108"/>
  <c r="Z39" i="107"/>
  <c r="Z36" i="107"/>
  <c r="W37" i="107"/>
  <c r="W41" i="107"/>
  <c r="W42" i="107" s="1"/>
  <c r="W40" i="107"/>
  <c r="W34" i="107"/>
  <c r="S37" i="107"/>
  <c r="S41" i="107"/>
  <c r="S40" i="107"/>
  <c r="S34" i="107"/>
  <c r="Z39" i="108"/>
  <c r="Z36" i="108"/>
  <c r="W34" i="108"/>
  <c r="W37" i="108"/>
  <c r="W41" i="108"/>
  <c r="W40" i="108"/>
  <c r="W39" i="108"/>
  <c r="W36" i="108"/>
  <c r="AB38" i="108"/>
  <c r="AB35" i="108"/>
  <c r="W38" i="107"/>
  <c r="W35" i="107"/>
  <c r="X41" i="107"/>
  <c r="X34" i="107"/>
  <c r="X40" i="107"/>
  <c r="X37" i="107"/>
  <c r="AB39" i="108"/>
  <c r="AB36" i="108"/>
  <c r="T38" i="107"/>
  <c r="T35" i="107"/>
  <c r="AE11" i="108"/>
  <c r="AE17" i="108"/>
  <c r="Z35" i="111"/>
  <c r="Z38" i="111"/>
  <c r="X12" i="111"/>
  <c r="X36" i="111"/>
  <c r="X39" i="111"/>
  <c r="AC20" i="111"/>
  <c r="T41" i="108"/>
  <c r="T37" i="108"/>
  <c r="T34" i="108"/>
  <c r="T40" i="108"/>
  <c r="Y35" i="107"/>
  <c r="Y38" i="107"/>
  <c r="S39" i="108"/>
  <c r="S36" i="108"/>
  <c r="AD38" i="107"/>
  <c r="AD35" i="107"/>
  <c r="AB41" i="108"/>
  <c r="AB37" i="108"/>
  <c r="AB40" i="108"/>
  <c r="AB34" i="108"/>
  <c r="S38" i="107"/>
  <c r="S35" i="107"/>
  <c r="AA36" i="107"/>
  <c r="AA39" i="107"/>
  <c r="AB39" i="107"/>
  <c r="AB36" i="107"/>
  <c r="O106" i="107"/>
  <c r="H108" i="107" s="1"/>
  <c r="AE10" i="107"/>
  <c r="AE15" i="107"/>
  <c r="AF14" i="107"/>
  <c r="AE12" i="107"/>
  <c r="AF18" i="107"/>
  <c r="AF19" i="107"/>
  <c r="AF20" i="107"/>
  <c r="AE21" i="107"/>
  <c r="AF12" i="107"/>
  <c r="AE16" i="108"/>
  <c r="AF18" i="108"/>
  <c r="AF11" i="108"/>
  <c r="AE13" i="108"/>
  <c r="AF17" i="108"/>
  <c r="S42" i="110"/>
  <c r="AA10" i="111"/>
  <c r="K106" i="111"/>
  <c r="Y11" i="111"/>
  <c r="Y12" i="111"/>
  <c r="Y13" i="111"/>
  <c r="Y14" i="111"/>
  <c r="AC15" i="111"/>
  <c r="AC16" i="111"/>
  <c r="W17" i="111"/>
  <c r="W18" i="111"/>
  <c r="Y20" i="111"/>
  <c r="U21" i="111"/>
  <c r="H106" i="111"/>
  <c r="X10" i="111"/>
  <c r="T11" i="111"/>
  <c r="T12" i="111"/>
  <c r="T13" i="111"/>
  <c r="AA11" i="111"/>
  <c r="AA12" i="111"/>
  <c r="AA13" i="111"/>
  <c r="AA14" i="111"/>
  <c r="Y15" i="111"/>
  <c r="Y16" i="111"/>
  <c r="AD11" i="111"/>
  <c r="S10" i="111"/>
  <c r="C106" i="111"/>
  <c r="AA17" i="111"/>
  <c r="Y18" i="111"/>
  <c r="W19" i="111"/>
  <c r="U20" i="111"/>
  <c r="Y21" i="111"/>
  <c r="Z10" i="111"/>
  <c r="J106" i="111"/>
  <c r="Z38" i="108"/>
  <c r="Z35" i="108"/>
  <c r="S38" i="108"/>
  <c r="T38" i="108"/>
  <c r="T35" i="108"/>
  <c r="Y39" i="107"/>
  <c r="Y36" i="107"/>
  <c r="V41" i="107"/>
  <c r="V37" i="107"/>
  <c r="V34" i="107"/>
  <c r="V40" i="107"/>
  <c r="AD41" i="107"/>
  <c r="AD37" i="107"/>
  <c r="AD40" i="107"/>
  <c r="AD34" i="107"/>
  <c r="Y34" i="107"/>
  <c r="Y37" i="107"/>
  <c r="Y40" i="107"/>
  <c r="Y41" i="107"/>
  <c r="X39" i="108"/>
  <c r="X36" i="108"/>
  <c r="U40" i="108"/>
  <c r="U34" i="108"/>
  <c r="U41" i="108"/>
  <c r="U37" i="108"/>
  <c r="U38" i="108"/>
  <c r="U35" i="108"/>
  <c r="X38" i="108"/>
  <c r="X35" i="108"/>
  <c r="V38" i="107"/>
  <c r="V35" i="107"/>
  <c r="AD39" i="107"/>
  <c r="AD36" i="107"/>
  <c r="V38" i="108"/>
  <c r="V35" i="108"/>
  <c r="AA38" i="107"/>
  <c r="AA35" i="107"/>
  <c r="S36" i="107"/>
  <c r="S39" i="107"/>
  <c r="AB38" i="107"/>
  <c r="AB35" i="107"/>
  <c r="U34" i="107"/>
  <c r="U37" i="107"/>
  <c r="U41" i="107"/>
  <c r="U40" i="107"/>
  <c r="AE13" i="107"/>
  <c r="AE15" i="108"/>
  <c r="AC36" i="111"/>
  <c r="Z39" i="111"/>
  <c r="Z36" i="111"/>
  <c r="X38" i="111"/>
  <c r="X35" i="111"/>
  <c r="Y10" i="111"/>
  <c r="I106" i="111"/>
  <c r="U36" i="108"/>
  <c r="U39" i="108"/>
  <c r="Z41" i="107"/>
  <c r="Z34" i="107"/>
  <c r="Z40" i="107"/>
  <c r="Z37" i="107"/>
  <c r="AC40" i="108"/>
  <c r="AC37" i="108"/>
  <c r="AC41" i="108"/>
  <c r="AC34" i="108"/>
  <c r="Y36" i="108"/>
  <c r="Y39" i="108"/>
  <c r="V39" i="107"/>
  <c r="V36" i="107"/>
  <c r="V22" i="93"/>
  <c r="AF10" i="107"/>
  <c r="AF16" i="107"/>
  <c r="AE18" i="107"/>
  <c r="AE19" i="107"/>
  <c r="AE20" i="107"/>
  <c r="AF21" i="107"/>
  <c r="AF11" i="107"/>
  <c r="AE18" i="108"/>
  <c r="AF20" i="108"/>
  <c r="AF15" i="108"/>
  <c r="AE20" i="108"/>
  <c r="AE14" i="108"/>
  <c r="AF10" i="108"/>
  <c r="P106" i="108"/>
  <c r="AC11" i="111"/>
  <c r="AC12" i="111"/>
  <c r="AC13" i="111"/>
  <c r="Y17" i="111"/>
  <c r="AC18" i="111"/>
  <c r="AC21" i="111"/>
  <c r="AC39" i="111" s="1"/>
  <c r="AD10" i="111"/>
  <c r="N106" i="111"/>
  <c r="V13" i="111"/>
  <c r="V14" i="111"/>
  <c r="V15" i="111"/>
  <c r="V16" i="111"/>
  <c r="V17" i="111"/>
  <c r="V18" i="111"/>
  <c r="V19" i="111"/>
  <c r="V20" i="111"/>
  <c r="V21" i="111"/>
  <c r="AC14" i="111"/>
  <c r="AA15" i="111"/>
  <c r="AA16" i="111"/>
  <c r="T14" i="111"/>
  <c r="T15" i="111"/>
  <c r="T16" i="111"/>
  <c r="T17" i="111"/>
  <c r="T18" i="111"/>
  <c r="T19" i="111"/>
  <c r="T20" i="111"/>
  <c r="T21" i="111"/>
  <c r="U10" i="111"/>
  <c r="E106" i="111"/>
  <c r="AA18" i="111"/>
  <c r="AA20" i="111"/>
  <c r="AA36" i="111" s="1"/>
  <c r="AA21" i="111"/>
  <c r="L106" i="111"/>
  <c r="AB10" i="111"/>
  <c r="AD39" i="108"/>
  <c r="AD36" i="108"/>
  <c r="U35" i="107"/>
  <c r="U38" i="107"/>
  <c r="AC39" i="107"/>
  <c r="AC36" i="107"/>
  <c r="T39" i="107"/>
  <c r="T36" i="107"/>
  <c r="V41" i="108"/>
  <c r="V34" i="108"/>
  <c r="V40" i="108"/>
  <c r="V37" i="108"/>
  <c r="AC38" i="108"/>
  <c r="AC35" i="108"/>
  <c r="Z38" i="107"/>
  <c r="Z35" i="107"/>
  <c r="AA37" i="107"/>
  <c r="AA41" i="107"/>
  <c r="AA34" i="107"/>
  <c r="AA40" i="107"/>
  <c r="W35" i="108"/>
  <c r="W38" i="108"/>
  <c r="W36" i="107"/>
  <c r="W39" i="107"/>
  <c r="T41" i="107"/>
  <c r="T37" i="107"/>
  <c r="T34" i="107"/>
  <c r="T40" i="107"/>
  <c r="AB41" i="107"/>
  <c r="AB34" i="107"/>
  <c r="AB40" i="107"/>
  <c r="AB37" i="107"/>
  <c r="X41" i="108"/>
  <c r="X34" i="108"/>
  <c r="X40" i="108"/>
  <c r="X37" i="108"/>
  <c r="AC34" i="107"/>
  <c r="AC37" i="107"/>
  <c r="AC40" i="107"/>
  <c r="AC41" i="107"/>
  <c r="AC42" i="107" s="1"/>
  <c r="Y40" i="108"/>
  <c r="Y34" i="108"/>
  <c r="Y37" i="108"/>
  <c r="Y41" i="108"/>
  <c r="AD41" i="108"/>
  <c r="AD34" i="108"/>
  <c r="AD40" i="108"/>
  <c r="AD37" i="108"/>
  <c r="X39" i="107"/>
  <c r="X36" i="107"/>
  <c r="P106" i="107"/>
  <c r="I107" i="105"/>
  <c r="D107" i="105"/>
  <c r="K107" i="105"/>
  <c r="L107" i="105"/>
  <c r="J107" i="105"/>
  <c r="G107" i="105"/>
  <c r="E107" i="105"/>
  <c r="M107" i="105"/>
  <c r="H107" i="105"/>
  <c r="N107" i="105"/>
  <c r="J107" i="109"/>
  <c r="D107" i="109"/>
  <c r="AE24" i="98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L107" i="109"/>
  <c r="C107" i="109"/>
  <c r="E107" i="109"/>
  <c r="G107" i="109"/>
  <c r="I107" i="109"/>
  <c r="K107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C107" i="107"/>
  <c r="H107" i="108"/>
  <c r="C107" i="105"/>
  <c r="AF35" i="105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S42" i="107" l="1"/>
  <c r="W42" i="108"/>
  <c r="AF13" i="111"/>
  <c r="S35" i="111"/>
  <c r="Y39" i="111"/>
  <c r="Z42" i="107"/>
  <c r="AB42" i="108"/>
  <c r="AF15" i="111"/>
  <c r="AE11" i="111"/>
  <c r="AE16" i="111"/>
  <c r="AE39" i="108"/>
  <c r="AE36" i="108"/>
  <c r="AF12" i="111"/>
  <c r="AE20" i="111"/>
  <c r="AF18" i="111"/>
  <c r="AE15" i="111"/>
  <c r="AF17" i="111"/>
  <c r="AF14" i="111"/>
  <c r="Y42" i="108"/>
  <c r="T42" i="107"/>
  <c r="AB37" i="111"/>
  <c r="AB40" i="111"/>
  <c r="AB34" i="111"/>
  <c r="AB41" i="111"/>
  <c r="V39" i="111"/>
  <c r="V36" i="111"/>
  <c r="AD41" i="111"/>
  <c r="AD40" i="111"/>
  <c r="AD34" i="111"/>
  <c r="AD37" i="111"/>
  <c r="X34" i="111"/>
  <c r="X37" i="111"/>
  <c r="X40" i="111"/>
  <c r="X41" i="111"/>
  <c r="X42" i="111" s="1"/>
  <c r="Y36" i="111"/>
  <c r="T42" i="108"/>
  <c r="AD35" i="111"/>
  <c r="AD38" i="111"/>
  <c r="AE41" i="108"/>
  <c r="AE42" i="108" s="1"/>
  <c r="AE40" i="108"/>
  <c r="AE34" i="108"/>
  <c r="AE37" i="108"/>
  <c r="AF20" i="111"/>
  <c r="AA39" i="111"/>
  <c r="AE39" i="107"/>
  <c r="AE36" i="107"/>
  <c r="Y41" i="111"/>
  <c r="Y42" i="111" s="1"/>
  <c r="Y37" i="111"/>
  <c r="Y34" i="111"/>
  <c r="Y40" i="111"/>
  <c r="AE38" i="107"/>
  <c r="AE35" i="107"/>
  <c r="AA41" i="111"/>
  <c r="AA37" i="111"/>
  <c r="AA34" i="111"/>
  <c r="AA40" i="111"/>
  <c r="AA42" i="111" s="1"/>
  <c r="T34" i="111"/>
  <c r="T41" i="111"/>
  <c r="T37" i="111"/>
  <c r="T40" i="111"/>
  <c r="AC41" i="111"/>
  <c r="AC34" i="111"/>
  <c r="AC40" i="111"/>
  <c r="AC37" i="111"/>
  <c r="AE10" i="111"/>
  <c r="O106" i="111"/>
  <c r="AF21" i="111"/>
  <c r="AE14" i="111"/>
  <c r="AE13" i="111"/>
  <c r="AD42" i="108"/>
  <c r="X42" i="108"/>
  <c r="AB42" i="107"/>
  <c r="V42" i="108"/>
  <c r="T36" i="111"/>
  <c r="T39" i="111"/>
  <c r="AC42" i="108"/>
  <c r="U42" i="107"/>
  <c r="U42" i="108"/>
  <c r="AD42" i="107"/>
  <c r="V42" i="107"/>
  <c r="W39" i="111"/>
  <c r="W36" i="111"/>
  <c r="S41" i="111"/>
  <c r="S37" i="111"/>
  <c r="S40" i="111"/>
  <c r="S34" i="111"/>
  <c r="T38" i="111"/>
  <c r="T35" i="111"/>
  <c r="AF39" i="107"/>
  <c r="AF36" i="107"/>
  <c r="X42" i="107"/>
  <c r="S42" i="108"/>
  <c r="AB38" i="111"/>
  <c r="AB35" i="111"/>
  <c r="U38" i="111"/>
  <c r="U35" i="111"/>
  <c r="W41" i="111"/>
  <c r="W34" i="111"/>
  <c r="W40" i="111"/>
  <c r="W42" i="111" s="1"/>
  <c r="W37" i="111"/>
  <c r="AF39" i="108"/>
  <c r="AF36" i="108"/>
  <c r="AF38" i="107"/>
  <c r="AF35" i="107"/>
  <c r="Z42" i="108"/>
  <c r="AF19" i="111"/>
  <c r="Y38" i="111"/>
  <c r="Y35" i="111"/>
  <c r="U39" i="111"/>
  <c r="U36" i="111"/>
  <c r="AD39" i="111"/>
  <c r="AD36" i="111"/>
  <c r="V41" i="111"/>
  <c r="V34" i="111"/>
  <c r="V37" i="111"/>
  <c r="V40" i="111"/>
  <c r="AF11" i="111"/>
  <c r="AE19" i="111"/>
  <c r="AE17" i="111"/>
  <c r="AF16" i="111"/>
  <c r="AE21" i="111"/>
  <c r="AE18" i="111"/>
  <c r="P106" i="111"/>
  <c r="AF10" i="111"/>
  <c r="AA42" i="107"/>
  <c r="U41" i="111"/>
  <c r="U34" i="111"/>
  <c r="U40" i="111"/>
  <c r="U37" i="111"/>
  <c r="V35" i="111"/>
  <c r="V38" i="111"/>
  <c r="AC38" i="111"/>
  <c r="AC35" i="111"/>
  <c r="AF41" i="108"/>
  <c r="AF34" i="108"/>
  <c r="AF40" i="108"/>
  <c r="AF37" i="108"/>
  <c r="AF41" i="107"/>
  <c r="AF34" i="107"/>
  <c r="AF40" i="107"/>
  <c r="AF37" i="107"/>
  <c r="Y42" i="107"/>
  <c r="Z41" i="111"/>
  <c r="Z40" i="111"/>
  <c r="Z34" i="111"/>
  <c r="Z37" i="111"/>
  <c r="AA38" i="111"/>
  <c r="AA35" i="111"/>
  <c r="AE35" i="108"/>
  <c r="AE38" i="108"/>
  <c r="AE37" i="107"/>
  <c r="AE41" i="107"/>
  <c r="AE42" i="107" s="1"/>
  <c r="AE40" i="107"/>
  <c r="AE34" i="107"/>
  <c r="AA42" i="108"/>
  <c r="AB36" i="111"/>
  <c r="AB39" i="111"/>
  <c r="W38" i="111"/>
  <c r="W35" i="111"/>
  <c r="S39" i="111"/>
  <c r="S36" i="111"/>
  <c r="AF38" i="108"/>
  <c r="AF35" i="108"/>
  <c r="K108" i="11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42" i="108" l="1"/>
  <c r="AF42" i="107"/>
  <c r="AF38" i="111"/>
  <c r="Z42" i="111"/>
  <c r="U42" i="111"/>
  <c r="AE39" i="111"/>
  <c r="AE36" i="111"/>
  <c r="AF39" i="111"/>
  <c r="AF36" i="111"/>
  <c r="T42" i="111"/>
  <c r="AF35" i="111"/>
  <c r="AB42" i="111"/>
  <c r="AF37" i="111"/>
  <c r="AF41" i="111"/>
  <c r="AF34" i="111"/>
  <c r="AF40" i="111"/>
  <c r="V42" i="111"/>
  <c r="S42" i="111"/>
  <c r="AE38" i="111"/>
  <c r="AE35" i="111"/>
  <c r="AE41" i="111"/>
  <c r="AE34" i="111"/>
  <c r="AE40" i="111"/>
  <c r="AE42" i="111" s="1"/>
  <c r="AE37" i="111"/>
  <c r="AC42" i="111"/>
  <c r="AD42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F42" i="111" l="1"/>
</calcChain>
</file>

<file path=xl/sharedStrings.xml><?xml version="1.0" encoding="utf-8"?>
<sst xmlns="http://schemas.openxmlformats.org/spreadsheetml/2006/main" count="2324" uniqueCount="176">
  <si>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</si>
  <si>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</si>
  <si>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</si>
  <si>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</si>
  <si>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</si>
  <si>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</si>
  <si>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</si>
  <si>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</si>
  <si>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</si>
  <si>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</si>
  <si>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</si>
  <si>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</si>
  <si>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</si>
  <si>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</si>
  <si>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</si>
  <si>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</si>
  <si>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</si>
  <si>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</si>
  <si>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</si>
  <si>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</si>
  <si>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</si>
  <si>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</si>
  <si>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</si>
  <si>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</si>
  <si>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</si>
  <si>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</si>
  <si>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</si>
  <si>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</si>
  <si>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</si>
  <si>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</si>
  <si>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</si>
  <si>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</si>
  <si>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</si>
  <si>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</si>
  <si>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</si>
  <si>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</si>
  <si>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</si>
  <si>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</si>
  <si>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</si>
  <si>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</si>
  <si>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</si>
  <si>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</si>
  <si>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</si>
  <si>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</si>
  <si>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</si>
  <si>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</si>
  <si>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</si>
  <si>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</si>
  <si>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</si>
  <si>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</si>
  <si>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</si>
  <si>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</si>
  <si>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</si>
  <si>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</si>
  <si>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</si>
  <si>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</si>
  <si>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</si>
  <si>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</si>
  <si>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</si>
  <si>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</si>
  <si>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</si>
  <si>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</si>
  <si>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</si>
  <si>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</si>
  <si>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</si>
  <si>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</si>
  <si>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</si>
  <si>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</si>
  <si>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</si>
  <si>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</si>
  <si>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</si>
  <si>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</si>
  <si>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</si>
  <si>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</si>
  <si>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</si>
  <si>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</si>
  <si>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</si>
  <si>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</si>
  <si>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</si>
  <si>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</si>
  <si>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</si>
  <si>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</si>
  <si>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</si>
  <si>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</si>
  <si>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</si>
  <si>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</si>
  <si>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</si>
  <si>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</si>
  <si>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</si>
  <si>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</si>
  <si>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</si>
  <si>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</si>
  <si>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</si>
  <si>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</si>
  <si>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</si>
  <si>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</si>
  <si>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</si>
  <si>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</si>
  <si>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</si>
  <si>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</si>
  <si>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</si>
  <si>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</si>
  <si>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</si>
  <si>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</si>
  <si>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</si>
  <si>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</si>
  <si>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</si>
  <si>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</si>
  <si>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</si>
  <si>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</si>
  <si>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</si>
  <si>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</si>
  <si>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</si>
  <si>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</si>
  <si>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</si>
  <si>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</si>
  <si>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</si>
  <si>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</si>
  <si>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</si>
  <si>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</si>
  <si>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</si>
  <si>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</si>
  <si>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</si>
  <si>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</si>
  <si>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</si>
  <si>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</si>
  <si>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</si>
  <si>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</si>
  <si>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</si>
  <si>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</si>
  <si>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</si>
  <si>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</si>
  <si>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</si>
  <si>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</si>
  <si>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</si>
  <si>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</si>
  <si>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</si>
  <si>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</si>
  <si>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</si>
  <si>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</si>
  <si>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</si>
  <si>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</si>
  <si>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</si>
  <si>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</si>
  <si>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</si>
  <si>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</si>
  <si>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</si>
  <si>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</si>
  <si>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</si>
  <si>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</si>
  <si>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</si>
  <si>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</si>
  <si>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</si>
  <si>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</si>
  <si>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</si>
  <si>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</si>
  <si>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</si>
  <si>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</si>
  <si>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</si>
  <si>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</si>
  <si>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</si>
  <si>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</si>
  <si>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</si>
  <si>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Goli</t>
  </si>
  <si>
    <t>Nebbi</t>
  </si>
  <si>
    <t>31.07.19</t>
  </si>
  <si>
    <t>01.08.19</t>
  </si>
  <si>
    <t>02.08.19</t>
  </si>
  <si>
    <t>03.08.19</t>
  </si>
  <si>
    <t>04.08.19</t>
  </si>
  <si>
    <t>05.08.19</t>
  </si>
  <si>
    <t>06.08.19</t>
  </si>
  <si>
    <t>MCC - C4 - STN138 - NEBBI-GOLI ROAD</t>
  </si>
  <si>
    <t>24 Hours</t>
  </si>
  <si>
    <t>Moreen</t>
  </si>
  <si>
    <t>Herbert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</si>
</sst>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2" borderId="4" xfId="0" applyFill="1" applyBorder="1"/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Goli-Nebbi'!$AE$9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Goli-Nebbi'!$AE$10:$AE$21</c:f>
              <c:numCache>
                <c:formatCode>0</c:formatCode>
                <c:ptCount val="12"/>
                <c:pt idx="0">
                  <c:v>13</c:v>
                </c:pt>
                <c:pt idx="1">
                  <c:v>16</c:v>
                </c:pt>
                <c:pt idx="2">
                  <c:v>29</c:v>
                </c:pt>
                <c:pt idx="3">
                  <c:v>14</c:v>
                </c:pt>
                <c:pt idx="4">
                  <c:v>15</c:v>
                </c:pt>
                <c:pt idx="5">
                  <c:v>12</c:v>
                </c:pt>
                <c:pt idx="6">
                  <c:v>8</c:v>
                </c:pt>
                <c:pt idx="7">
                  <c:v>15</c:v>
                </c:pt>
                <c:pt idx="8">
                  <c:v>19</c:v>
                </c:pt>
                <c:pt idx="9">
                  <c:v>15</c:v>
                </c:pt>
                <c:pt idx="10">
                  <c:v>18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'31.07 Goli-Nebbi'!$AF$9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Goli-Nebbi'!$AF$10:$AF$21</c:f>
              <c:numCache>
                <c:formatCode>0</c:formatCode>
                <c:ptCount val="12"/>
                <c:pt idx="0">
                  <c:v>56</c:v>
                </c:pt>
                <c:pt idx="1">
                  <c:v>68</c:v>
                </c:pt>
                <c:pt idx="2">
                  <c:v>88</c:v>
                </c:pt>
                <c:pt idx="3">
                  <c:v>77</c:v>
                </c:pt>
                <c:pt idx="4">
                  <c:v>55</c:v>
                </c:pt>
                <c:pt idx="5">
                  <c:v>63</c:v>
                </c:pt>
                <c:pt idx="6">
                  <c:v>61</c:v>
                </c:pt>
                <c:pt idx="7">
                  <c:v>53</c:v>
                </c:pt>
                <c:pt idx="8">
                  <c:v>73</c:v>
                </c:pt>
                <c:pt idx="9">
                  <c:v>54</c:v>
                </c:pt>
                <c:pt idx="10">
                  <c:v>87</c:v>
                </c:pt>
                <c:pt idx="11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40320"/>
        <c:axId val="77567488"/>
      </c:lineChart>
      <c:catAx>
        <c:axId val="76840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567488"/>
        <c:crosses val="autoZero"/>
        <c:auto val="1"/>
        <c:lblAlgn val="ctr"/>
        <c:lblOffset val="100"/>
        <c:noMultiLvlLbl val="0"/>
      </c:catAx>
      <c:valAx>
        <c:axId val="77567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84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Goli-Nebbi'!$C$59:$N$59</c:f>
              <c:numCache>
                <c:formatCode>0.0%</c:formatCode>
                <c:ptCount val="12"/>
                <c:pt idx="0">
                  <c:v>7.7388149939540504E-2</c:v>
                </c:pt>
                <c:pt idx="1">
                  <c:v>1.2091898428053204E-2</c:v>
                </c:pt>
                <c:pt idx="2">
                  <c:v>3.8694074969770252E-2</c:v>
                </c:pt>
                <c:pt idx="3">
                  <c:v>2.7811366384522369E-2</c:v>
                </c:pt>
                <c:pt idx="4">
                  <c:v>4.8367593712212815E-3</c:v>
                </c:pt>
                <c:pt idx="5">
                  <c:v>1.2091898428053204E-3</c:v>
                </c:pt>
                <c:pt idx="6">
                  <c:v>2.6602176541717048E-2</c:v>
                </c:pt>
                <c:pt idx="7">
                  <c:v>1.9347037484885126E-2</c:v>
                </c:pt>
                <c:pt idx="8">
                  <c:v>1.0882708585247884E-2</c:v>
                </c:pt>
                <c:pt idx="9">
                  <c:v>1.5719467956469165E-2</c:v>
                </c:pt>
                <c:pt idx="10">
                  <c:v>0.76541717049576785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Goli-Nebbi'!$C$60:$N$60</c:f>
              <c:numCache>
                <c:formatCode>0.00%</c:formatCode>
                <c:ptCount val="12"/>
                <c:pt idx="0">
                  <c:v>0.32989690721649484</c:v>
                </c:pt>
                <c:pt idx="1">
                  <c:v>5.1546391752577317E-2</c:v>
                </c:pt>
                <c:pt idx="2">
                  <c:v>0.16494845360824742</c:v>
                </c:pt>
                <c:pt idx="3">
                  <c:v>0.11855670103092783</c:v>
                </c:pt>
                <c:pt idx="4">
                  <c:v>2.0618556701030927E-2</c:v>
                </c:pt>
                <c:pt idx="5">
                  <c:v>5.1546391752577319E-3</c:v>
                </c:pt>
                <c:pt idx="6">
                  <c:v>0.1134020618556701</c:v>
                </c:pt>
                <c:pt idx="7">
                  <c:v>8.247422680412371E-2</c:v>
                </c:pt>
                <c:pt idx="8">
                  <c:v>4.6391752577319589E-2</c:v>
                </c:pt>
                <c:pt idx="9">
                  <c:v>6.7010309278350513E-2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Nebbi-Goli'!$AE$9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Nebbi-Goli'!$AE$10:$AE$21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6</c:v>
                </c:pt>
                <c:pt idx="3">
                  <c:v>13</c:v>
                </c:pt>
                <c:pt idx="4">
                  <c:v>16</c:v>
                </c:pt>
                <c:pt idx="5">
                  <c:v>22</c:v>
                </c:pt>
                <c:pt idx="6">
                  <c:v>20</c:v>
                </c:pt>
                <c:pt idx="7">
                  <c:v>19</c:v>
                </c:pt>
                <c:pt idx="8">
                  <c:v>19</c:v>
                </c:pt>
                <c:pt idx="9">
                  <c:v>27</c:v>
                </c:pt>
                <c:pt idx="10">
                  <c:v>30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'31.07 Nebbi-Goli'!$AF$9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Nebbi-Goli'!$AF$10:$AF$21</c:f>
              <c:numCache>
                <c:formatCode>0</c:formatCode>
                <c:ptCount val="12"/>
                <c:pt idx="0">
                  <c:v>37</c:v>
                </c:pt>
                <c:pt idx="1">
                  <c:v>71</c:v>
                </c:pt>
                <c:pt idx="2">
                  <c:v>68</c:v>
                </c:pt>
                <c:pt idx="3">
                  <c:v>63</c:v>
                </c:pt>
                <c:pt idx="4">
                  <c:v>64</c:v>
                </c:pt>
                <c:pt idx="5">
                  <c:v>87</c:v>
                </c:pt>
                <c:pt idx="6">
                  <c:v>74</c:v>
                </c:pt>
                <c:pt idx="7">
                  <c:v>64</c:v>
                </c:pt>
                <c:pt idx="8">
                  <c:v>66</c:v>
                </c:pt>
                <c:pt idx="9">
                  <c:v>88</c:v>
                </c:pt>
                <c:pt idx="10">
                  <c:v>93</c:v>
                </c:pt>
                <c:pt idx="11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17504"/>
        <c:axId val="77719424"/>
      </c:lineChart>
      <c:catAx>
        <c:axId val="777175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719424"/>
        <c:crosses val="autoZero"/>
        <c:auto val="1"/>
        <c:lblAlgn val="ctr"/>
        <c:lblOffset val="100"/>
        <c:noMultiLvlLbl val="0"/>
      </c:catAx>
      <c:valAx>
        <c:axId val="777194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71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Nebbi-Goli'!$C$59:$N$59</c:f>
              <c:numCache>
                <c:formatCode>0.0%</c:formatCode>
                <c:ptCount val="12"/>
                <c:pt idx="0">
                  <c:v>4.6964490263459335E-2</c:v>
                </c:pt>
                <c:pt idx="1">
                  <c:v>6.8728522336769758E-3</c:v>
                </c:pt>
                <c:pt idx="2">
                  <c:v>5.2691867124856816E-2</c:v>
                </c:pt>
                <c:pt idx="3">
                  <c:v>2.8636884306987399E-2</c:v>
                </c:pt>
                <c:pt idx="4">
                  <c:v>2.2909507445589921E-3</c:v>
                </c:pt>
                <c:pt idx="5">
                  <c:v>2.2909507445589921E-3</c:v>
                </c:pt>
                <c:pt idx="6">
                  <c:v>2.9782359679266894E-2</c:v>
                </c:pt>
                <c:pt idx="7">
                  <c:v>1.7182130584192441E-2</c:v>
                </c:pt>
                <c:pt idx="8">
                  <c:v>1.3745704467353952E-2</c:v>
                </c:pt>
                <c:pt idx="9">
                  <c:v>3.5509736540664374E-2</c:v>
                </c:pt>
                <c:pt idx="10">
                  <c:v>0.76403207331042378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Nebbi-Goli'!$S$9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Nebbi-Goli'!$S$10:$S$21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7</c:v>
                </c:pt>
                <c:pt idx="10">
                  <c:v>8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'31.07 Nebbi-Goli'!$T$9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Nebbi-Goli'!$T$10:$T$21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'31.07 Nebbi-Goli'!$U$9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Nebbi-Goli'!$U$10:$U$21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4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'31.07 Nebbi-Goli'!$V$9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Nebbi-Goli'!$V$10:$V$21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'31.07 Nebbi-Goli'!$W$9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Nebbi-Goli'!$W$10:$W$21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'31.07 Nebbi-Goli'!$X$9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Nebbi-Goli'!$X$10:$X$21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'31.07 Nebbi-Goli'!$Y$9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Nebbi-Goli'!$Y$10:$Y$21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'31.07 Nebbi-Goli'!$Z$9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Nebbi-Goli'!$Z$10:$Z$21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'31.07 Nebbi-Goli'!$AA$9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Nebbi-Goli'!$AA$10:$AA$21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'31.07 Nebbi-Goli'!$AB$9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Nebbi-Goli'!$AB$10:$AB$21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'31.07 Nebbi-Goli'!$AC$9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Nebbi-Goli'!$AC$10:$AC$21</c:f>
              <c:numCache>
                <c:formatCode>0</c:formatCode>
                <c:ptCount val="12"/>
                <c:pt idx="0">
                  <c:v>32</c:v>
                </c:pt>
                <c:pt idx="1">
                  <c:v>62</c:v>
                </c:pt>
                <c:pt idx="2">
                  <c:v>62</c:v>
                </c:pt>
                <c:pt idx="3">
                  <c:v>50</c:v>
                </c:pt>
                <c:pt idx="4">
                  <c:v>48</c:v>
                </c:pt>
                <c:pt idx="5">
                  <c:v>65</c:v>
                </c:pt>
                <c:pt idx="6">
                  <c:v>54</c:v>
                </c:pt>
                <c:pt idx="7">
                  <c:v>45</c:v>
                </c:pt>
                <c:pt idx="8">
                  <c:v>47</c:v>
                </c:pt>
                <c:pt idx="9">
                  <c:v>61</c:v>
                </c:pt>
                <c:pt idx="10">
                  <c:v>63</c:v>
                </c:pt>
                <c:pt idx="11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'31.07 Nebbi-Goli'!$AD$9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Nebbi-Goli'!$AD$10:$AD$21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29184"/>
        <c:axId val="78030720"/>
      </c:lineChart>
      <c:catAx>
        <c:axId val="7802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030720"/>
        <c:crosses val="autoZero"/>
        <c:auto val="1"/>
        <c:lblAlgn val="ctr"/>
        <c:lblOffset val="100"/>
        <c:noMultiLvlLbl val="0"/>
      </c:catAx>
      <c:valAx>
        <c:axId val="7803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0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Nebbi-Goli'!$C$60:$N$60</c:f>
              <c:numCache>
                <c:formatCode>0.00%</c:formatCode>
                <c:ptCount val="12"/>
                <c:pt idx="0">
                  <c:v>0.19902912621359223</c:v>
                </c:pt>
                <c:pt idx="1">
                  <c:v>2.9126213592233011E-2</c:v>
                </c:pt>
                <c:pt idx="2">
                  <c:v>0.22330097087378642</c:v>
                </c:pt>
                <c:pt idx="3">
                  <c:v>0.12135922330097088</c:v>
                </c:pt>
                <c:pt idx="4">
                  <c:v>9.7087378640776691E-3</c:v>
                </c:pt>
                <c:pt idx="5">
                  <c:v>9.7087378640776691E-3</c:v>
                </c:pt>
                <c:pt idx="6">
                  <c:v>0.12621359223300971</c:v>
                </c:pt>
                <c:pt idx="7">
                  <c:v>7.281553398058252E-2</c:v>
                </c:pt>
                <c:pt idx="8">
                  <c:v>5.8252427184466021E-2</c:v>
                </c:pt>
                <c:pt idx="9">
                  <c:v>0.15048543689320387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Goli-Nebbi'!$AE$9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Goli-Nebbi'!$AE$10:$AE$21</c:f>
              <c:numCache>
                <c:formatCode>0</c:formatCode>
                <c:ptCount val="12"/>
                <c:pt idx="0">
                  <c:v>14</c:v>
                </c:pt>
                <c:pt idx="1">
                  <c:v>18</c:v>
                </c:pt>
                <c:pt idx="2">
                  <c:v>18</c:v>
                </c:pt>
                <c:pt idx="3">
                  <c:v>16</c:v>
                </c:pt>
                <c:pt idx="4">
                  <c:v>7</c:v>
                </c:pt>
                <c:pt idx="5">
                  <c:v>20</c:v>
                </c:pt>
                <c:pt idx="6">
                  <c:v>17</c:v>
                </c:pt>
                <c:pt idx="7">
                  <c:v>14</c:v>
                </c:pt>
                <c:pt idx="8">
                  <c:v>11</c:v>
                </c:pt>
                <c:pt idx="9">
                  <c:v>19</c:v>
                </c:pt>
                <c:pt idx="10">
                  <c:v>12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'01.08 Goli-Nebbi'!$AF$9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Goli-Nebbi'!$AF$10:$AF$21</c:f>
              <c:numCache>
                <c:formatCode>0</c:formatCode>
                <c:ptCount val="12"/>
                <c:pt idx="0">
                  <c:v>60</c:v>
                </c:pt>
                <c:pt idx="1">
                  <c:v>68</c:v>
                </c:pt>
                <c:pt idx="2">
                  <c:v>74</c:v>
                </c:pt>
                <c:pt idx="3">
                  <c:v>72</c:v>
                </c:pt>
                <c:pt idx="4">
                  <c:v>66</c:v>
                </c:pt>
                <c:pt idx="5">
                  <c:v>67</c:v>
                </c:pt>
                <c:pt idx="6">
                  <c:v>56</c:v>
                </c:pt>
                <c:pt idx="7">
                  <c:v>80</c:v>
                </c:pt>
                <c:pt idx="8">
                  <c:v>54</c:v>
                </c:pt>
                <c:pt idx="9">
                  <c:v>69</c:v>
                </c:pt>
                <c:pt idx="10">
                  <c:v>66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70560"/>
        <c:axId val="79185024"/>
      </c:lineChart>
      <c:catAx>
        <c:axId val="79170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185024"/>
        <c:crosses val="autoZero"/>
        <c:auto val="1"/>
        <c:lblAlgn val="ctr"/>
        <c:lblOffset val="100"/>
        <c:noMultiLvlLbl val="0"/>
      </c:catAx>
      <c:valAx>
        <c:axId val="79185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1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Goli-Nebbi'!$C$59:$N$59</c:f>
              <c:numCache>
                <c:formatCode>0.0%</c:formatCode>
                <c:ptCount val="12"/>
                <c:pt idx="0">
                  <c:v>6.9478908188585611E-2</c:v>
                </c:pt>
                <c:pt idx="1">
                  <c:v>1.2406947890818859E-2</c:v>
                </c:pt>
                <c:pt idx="2">
                  <c:v>3.9702233250620347E-2</c:v>
                </c:pt>
                <c:pt idx="3">
                  <c:v>1.8610421836228287E-2</c:v>
                </c:pt>
                <c:pt idx="4">
                  <c:v>1.2406947890818859E-3</c:v>
                </c:pt>
                <c:pt idx="5">
                  <c:v>0</c:v>
                </c:pt>
                <c:pt idx="6">
                  <c:v>5.0868486352357321E-2</c:v>
                </c:pt>
                <c:pt idx="7">
                  <c:v>6.2034739454094297E-3</c:v>
                </c:pt>
                <c:pt idx="8">
                  <c:v>0</c:v>
                </c:pt>
                <c:pt idx="9">
                  <c:v>2.9776674937965261E-2</c:v>
                </c:pt>
                <c:pt idx="10">
                  <c:v>0.77171215880893296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Goli-Nebbi'!$S$9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Goli-Nebbi'!$S$10:$S$21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8</c:v>
                </c:pt>
                <c:pt idx="6">
                  <c:v>8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'01.08 Goli-Nebbi'!$T$9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Goli-Nebbi'!$T$10:$T$21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'01.08 Goli-Nebbi'!$U$9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'01.08 Goli-Nebbi'!$U$10:$U$21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'01.08 Goli-Nebbi'!$V$9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'01.08 Goli-Nebbi'!$V$10:$V$21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'01.08 Goli-Nebbi'!$W$9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'01.08 Goli-Nebbi'!$W$10:$W$21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'01.08 Goli-Nebbi'!$X$9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'01.08 Goli-Nebbi'!$X$10:$X$21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'01.08 Goli-Nebbi'!$Y$9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Goli-Nebbi'!$Y$10:$Y$21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1</c:v>
                </c:pt>
                <c:pt idx="3">
                  <c:v>7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'01.08 Goli-Nebbi'!$Z$9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Goli-Nebbi'!$Z$10:$Z$21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'01.08 Goli-Nebbi'!$AA$9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Goli-Nebbi'!$AA$10:$AA$21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'01.08 Goli-Nebbi'!$AB$9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Goli-Nebbi'!$AB$10:$AB$21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'01.08 Goli-Nebbi'!$AC$9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Goli-Nebbi'!$AC$10:$AC$21</c:f>
              <c:numCache>
                <c:formatCode>0</c:formatCode>
                <c:ptCount val="12"/>
                <c:pt idx="0">
                  <c:v>46</c:v>
                </c:pt>
                <c:pt idx="1">
                  <c:v>50</c:v>
                </c:pt>
                <c:pt idx="2">
                  <c:v>56</c:v>
                </c:pt>
                <c:pt idx="3">
                  <c:v>56</c:v>
                </c:pt>
                <c:pt idx="4">
                  <c:v>59</c:v>
                </c:pt>
                <c:pt idx="5">
                  <c:v>47</c:v>
                </c:pt>
                <c:pt idx="6">
                  <c:v>39</c:v>
                </c:pt>
                <c:pt idx="7">
                  <c:v>66</c:v>
                </c:pt>
                <c:pt idx="8">
                  <c:v>43</c:v>
                </c:pt>
                <c:pt idx="9">
                  <c:v>50</c:v>
                </c:pt>
                <c:pt idx="10">
                  <c:v>54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'01.08 Goli-Nebbi'!$AD$9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Goli-Nebbi'!$AD$10:$AD$21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42080"/>
        <c:axId val="79743616"/>
      </c:lineChart>
      <c:catAx>
        <c:axId val="7974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743616"/>
        <c:crosses val="autoZero"/>
        <c:auto val="1"/>
        <c:lblAlgn val="ctr"/>
        <c:lblOffset val="100"/>
        <c:noMultiLvlLbl val="0"/>
      </c:catAx>
      <c:valAx>
        <c:axId val="7974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74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Goli-Nebbi'!$C$60:$N$60</c:f>
              <c:numCache>
                <c:formatCode>0.00%</c:formatCode>
                <c:ptCount val="12"/>
                <c:pt idx="0">
                  <c:v>0.30434782608695654</c:v>
                </c:pt>
                <c:pt idx="1">
                  <c:v>5.434782608695652E-2</c:v>
                </c:pt>
                <c:pt idx="2">
                  <c:v>0.17391304347826086</c:v>
                </c:pt>
                <c:pt idx="3">
                  <c:v>8.1521739130434784E-2</c:v>
                </c:pt>
                <c:pt idx="4">
                  <c:v>5.434782608695652E-3</c:v>
                </c:pt>
                <c:pt idx="5">
                  <c:v>0</c:v>
                </c:pt>
                <c:pt idx="6">
                  <c:v>0.22282608695652173</c:v>
                </c:pt>
                <c:pt idx="7">
                  <c:v>2.717391304347826E-2</c:v>
                </c:pt>
                <c:pt idx="8">
                  <c:v>0</c:v>
                </c:pt>
                <c:pt idx="9">
                  <c:v>0.13043478260869565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Nebbi-Goli'!$AE$9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Nebbi-Goli'!$AE$10:$AE$21</c:f>
              <c:numCache>
                <c:formatCode>0</c:formatCode>
                <c:ptCount val="12"/>
                <c:pt idx="0">
                  <c:v>15</c:v>
                </c:pt>
                <c:pt idx="1">
                  <c:v>27</c:v>
                </c:pt>
                <c:pt idx="2">
                  <c:v>17</c:v>
                </c:pt>
                <c:pt idx="3">
                  <c:v>15</c:v>
                </c:pt>
                <c:pt idx="4">
                  <c:v>23</c:v>
                </c:pt>
                <c:pt idx="5">
                  <c:v>14</c:v>
                </c:pt>
                <c:pt idx="6">
                  <c:v>18</c:v>
                </c:pt>
                <c:pt idx="7">
                  <c:v>11</c:v>
                </c:pt>
                <c:pt idx="8">
                  <c:v>28</c:v>
                </c:pt>
                <c:pt idx="9">
                  <c:v>16</c:v>
                </c:pt>
                <c:pt idx="10">
                  <c:v>24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'01.08 Nebbi-Goli'!$AF$9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Nebbi-Goli'!$AF$10:$AF$21</c:f>
              <c:numCache>
                <c:formatCode>0</c:formatCode>
                <c:ptCount val="12"/>
                <c:pt idx="0">
                  <c:v>42</c:v>
                </c:pt>
                <c:pt idx="1">
                  <c:v>70</c:v>
                </c:pt>
                <c:pt idx="2">
                  <c:v>66</c:v>
                </c:pt>
                <c:pt idx="3">
                  <c:v>57</c:v>
                </c:pt>
                <c:pt idx="4">
                  <c:v>63</c:v>
                </c:pt>
                <c:pt idx="5">
                  <c:v>55</c:v>
                </c:pt>
                <c:pt idx="6">
                  <c:v>66</c:v>
                </c:pt>
                <c:pt idx="7">
                  <c:v>59</c:v>
                </c:pt>
                <c:pt idx="8">
                  <c:v>66</c:v>
                </c:pt>
                <c:pt idx="9">
                  <c:v>67</c:v>
                </c:pt>
                <c:pt idx="10">
                  <c:v>81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54816"/>
        <c:axId val="79556992"/>
      </c:lineChart>
      <c:catAx>
        <c:axId val="795548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556992"/>
        <c:crosses val="autoZero"/>
        <c:auto val="1"/>
        <c:lblAlgn val="ctr"/>
        <c:lblOffset val="100"/>
        <c:noMultiLvlLbl val="0"/>
      </c:catAx>
      <c:valAx>
        <c:axId val="79556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55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Nebbi-Goli'!$C$59:$N$59</c:f>
              <c:numCache>
                <c:formatCode>0.0%</c:formatCode>
                <c:ptCount val="12"/>
                <c:pt idx="0">
                  <c:v>5.5776892430278883E-2</c:v>
                </c:pt>
                <c:pt idx="1">
                  <c:v>3.9840637450199202E-3</c:v>
                </c:pt>
                <c:pt idx="2">
                  <c:v>4.7808764940239043E-2</c:v>
                </c:pt>
                <c:pt idx="3">
                  <c:v>5.4448871181938911E-2</c:v>
                </c:pt>
                <c:pt idx="4">
                  <c:v>2.3904382470119521E-2</c:v>
                </c:pt>
                <c:pt idx="5">
                  <c:v>2.6560424966799467E-3</c:v>
                </c:pt>
                <c:pt idx="6">
                  <c:v>4.7808764940239043E-2</c:v>
                </c:pt>
                <c:pt idx="7">
                  <c:v>7.9681274900398405E-3</c:v>
                </c:pt>
                <c:pt idx="8">
                  <c:v>3.9840637450199202E-3</c:v>
                </c:pt>
                <c:pt idx="9">
                  <c:v>4.9136786188579015E-2</c:v>
                </c:pt>
                <c:pt idx="10">
                  <c:v>0.70252324037184599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Nebbi-Goli'!$S$9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Nebbi-Goli'!$S$10:$S$21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3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'01.08 Nebbi-Goli'!$T$9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Nebbi-Goli'!$T$10:$T$21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'01.08 Nebbi-Goli'!$U$9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'01.08 Nebbi-Goli'!$U$10:$U$21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9</c:v>
                </c:pt>
                <c:pt idx="9">
                  <c:v>1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'01.08 Nebbi-Goli'!$V$9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'01.08 Nebbi-Goli'!$V$10:$V$21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'01.08 Nebbi-Goli'!$W$9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'01.08 Nebbi-Goli'!$W$10:$W$21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'01.08 Nebbi-Goli'!$X$9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'01.08 Nebbi-Goli'!$X$10:$X$21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'01.08 Nebbi-Goli'!$Y$9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Nebbi-Goli'!$Y$10:$Y$21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'01.08 Nebbi-Goli'!$Z$9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Nebbi-Goli'!$Z$10:$Z$21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'01.08 Nebbi-Goli'!$AA$9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Nebbi-Goli'!$AA$10:$AA$21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'01.08 Nebbi-Goli'!$AB$9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Nebbi-Goli'!$AB$10:$AB$21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'01.08 Nebbi-Goli'!$AC$9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Nebbi-Goli'!$AC$10:$AC$21</c:f>
              <c:numCache>
                <c:formatCode>0</c:formatCode>
                <c:ptCount val="12"/>
                <c:pt idx="0">
                  <c:v>27</c:v>
                </c:pt>
                <c:pt idx="1">
                  <c:v>43</c:v>
                </c:pt>
                <c:pt idx="2">
                  <c:v>49</c:v>
                </c:pt>
                <c:pt idx="3">
                  <c:v>42</c:v>
                </c:pt>
                <c:pt idx="4">
                  <c:v>40</c:v>
                </c:pt>
                <c:pt idx="5">
                  <c:v>41</c:v>
                </c:pt>
                <c:pt idx="6">
                  <c:v>48</c:v>
                </c:pt>
                <c:pt idx="7">
                  <c:v>48</c:v>
                </c:pt>
                <c:pt idx="8">
                  <c:v>38</c:v>
                </c:pt>
                <c:pt idx="9">
                  <c:v>51</c:v>
                </c:pt>
                <c:pt idx="10">
                  <c:v>57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'01.08 Nebbi-Goli'!$AD$9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Nebbi-Goli'!$AD$10:$AD$21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64192"/>
        <c:axId val="79865728"/>
      </c:lineChart>
      <c:catAx>
        <c:axId val="7986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865728"/>
        <c:crosses val="autoZero"/>
        <c:auto val="1"/>
        <c:lblAlgn val="ctr"/>
        <c:lblOffset val="100"/>
        <c:noMultiLvlLbl val="0"/>
      </c:catAx>
      <c:valAx>
        <c:axId val="7986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86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Nebbi-Goli'!$C$60:$N$60</c:f>
              <c:numCache>
                <c:formatCode>0.00%</c:formatCode>
                <c:ptCount val="12"/>
                <c:pt idx="0">
                  <c:v>0.1875</c:v>
                </c:pt>
                <c:pt idx="1">
                  <c:v>1.3392857142857142E-2</c:v>
                </c:pt>
                <c:pt idx="2">
                  <c:v>0.16071428571428573</c:v>
                </c:pt>
                <c:pt idx="3">
                  <c:v>0.18303571428571427</c:v>
                </c:pt>
                <c:pt idx="4">
                  <c:v>8.0357142857142863E-2</c:v>
                </c:pt>
                <c:pt idx="5">
                  <c:v>8.9285714285714281E-3</c:v>
                </c:pt>
                <c:pt idx="6">
                  <c:v>0.16071428571428573</c:v>
                </c:pt>
                <c:pt idx="7">
                  <c:v>2.6785714285714284E-2</c:v>
                </c:pt>
                <c:pt idx="8">
                  <c:v>1.3392857142857142E-2</c:v>
                </c:pt>
                <c:pt idx="9">
                  <c:v>0.16517857142857142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Goli-Nebbi-24h'!$AE$9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Goli-Nebbi-24h'!$R$10:$R$33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Goli-Nebbi-24h'!$AE$10:$AE$33</c:f>
              <c:numCache>
                <c:formatCode>0</c:formatCode>
                <c:ptCount val="24"/>
                <c:pt idx="0">
                  <c:v>17</c:v>
                </c:pt>
                <c:pt idx="1">
                  <c:v>13</c:v>
                </c:pt>
                <c:pt idx="2">
                  <c:v>18</c:v>
                </c:pt>
                <c:pt idx="3">
                  <c:v>11</c:v>
                </c:pt>
                <c:pt idx="4">
                  <c:v>14</c:v>
                </c:pt>
                <c:pt idx="5">
                  <c:v>13</c:v>
                </c:pt>
                <c:pt idx="6">
                  <c:v>20</c:v>
                </c:pt>
                <c:pt idx="7">
                  <c:v>11</c:v>
                </c:pt>
                <c:pt idx="8">
                  <c:v>13</c:v>
                </c:pt>
                <c:pt idx="9">
                  <c:v>25</c:v>
                </c:pt>
                <c:pt idx="10">
                  <c:v>17</c:v>
                </c:pt>
                <c:pt idx="11">
                  <c:v>14</c:v>
                </c:pt>
                <c:pt idx="12">
                  <c:v>14</c:v>
                </c:pt>
                <c:pt idx="13">
                  <c:v>7</c:v>
                </c:pt>
                <c:pt idx="14">
                  <c:v>7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8</c:v>
                </c:pt>
                <c:pt idx="22">
                  <c:v>13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'02.08 Goli-Nebbi-24h'!$AF$9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Goli-Nebbi-24h'!$R$10:$R$33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Goli-Nebbi-24h'!$AF$10:$AF$33</c:f>
              <c:numCache>
                <c:formatCode>0</c:formatCode>
                <c:ptCount val="24"/>
                <c:pt idx="0">
                  <c:v>49</c:v>
                </c:pt>
                <c:pt idx="1">
                  <c:v>50</c:v>
                </c:pt>
                <c:pt idx="2">
                  <c:v>70</c:v>
                </c:pt>
                <c:pt idx="3">
                  <c:v>58</c:v>
                </c:pt>
                <c:pt idx="4">
                  <c:v>75</c:v>
                </c:pt>
                <c:pt idx="5">
                  <c:v>65</c:v>
                </c:pt>
                <c:pt idx="6">
                  <c:v>71</c:v>
                </c:pt>
                <c:pt idx="7">
                  <c:v>44</c:v>
                </c:pt>
                <c:pt idx="8">
                  <c:v>63</c:v>
                </c:pt>
                <c:pt idx="9">
                  <c:v>79</c:v>
                </c:pt>
                <c:pt idx="10">
                  <c:v>66</c:v>
                </c:pt>
                <c:pt idx="11">
                  <c:v>81</c:v>
                </c:pt>
                <c:pt idx="12">
                  <c:v>122</c:v>
                </c:pt>
                <c:pt idx="13">
                  <c:v>43</c:v>
                </c:pt>
                <c:pt idx="14">
                  <c:v>30</c:v>
                </c:pt>
                <c:pt idx="15">
                  <c:v>16</c:v>
                </c:pt>
                <c:pt idx="16">
                  <c:v>10</c:v>
                </c:pt>
                <c:pt idx="17">
                  <c:v>5</c:v>
                </c:pt>
                <c:pt idx="18">
                  <c:v>7</c:v>
                </c:pt>
                <c:pt idx="19">
                  <c:v>4</c:v>
                </c:pt>
                <c:pt idx="20">
                  <c:v>8</c:v>
                </c:pt>
                <c:pt idx="21">
                  <c:v>18</c:v>
                </c:pt>
                <c:pt idx="22">
                  <c:v>22</c:v>
                </c:pt>
                <c:pt idx="23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91712"/>
        <c:axId val="76697984"/>
      </c:lineChart>
      <c:catAx>
        <c:axId val="76691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697984"/>
        <c:crosses val="autoZero"/>
        <c:auto val="1"/>
        <c:lblAlgn val="ctr"/>
        <c:lblOffset val="100"/>
        <c:noMultiLvlLbl val="0"/>
      </c:catAx>
      <c:valAx>
        <c:axId val="76697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6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Goli-Nebbi-24h'!$C$9:$N$9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Goli-Nebbi-24h'!$C$107:$N$107</c:f>
              <c:numCache>
                <c:formatCode>0.0%</c:formatCode>
                <c:ptCount val="12"/>
                <c:pt idx="0">
                  <c:v>7.6096687555953446E-2</c:v>
                </c:pt>
                <c:pt idx="1">
                  <c:v>8.057296329453895E-3</c:v>
                </c:pt>
                <c:pt idx="2">
                  <c:v>3.6705461056401073E-2</c:v>
                </c:pt>
                <c:pt idx="3">
                  <c:v>2.5067144136078783E-2</c:v>
                </c:pt>
                <c:pt idx="4">
                  <c:v>2.6857654431512983E-3</c:v>
                </c:pt>
                <c:pt idx="5">
                  <c:v>4.4762757385854966E-3</c:v>
                </c:pt>
                <c:pt idx="6">
                  <c:v>5.461056401074306E-2</c:v>
                </c:pt>
                <c:pt idx="7">
                  <c:v>1.7905102954341987E-3</c:v>
                </c:pt>
                <c:pt idx="8">
                  <c:v>1.7905102954341987E-3</c:v>
                </c:pt>
                <c:pt idx="9">
                  <c:v>3.4019695613249773E-2</c:v>
                </c:pt>
                <c:pt idx="10">
                  <c:v>0.75470008952551482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Goli-Nebbi-24h'!$C$9:$N$9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Goli-Nebbi-24h'!$C$108:$N$108</c:f>
              <c:numCache>
                <c:formatCode>0.00%</c:formatCode>
                <c:ptCount val="12"/>
                <c:pt idx="0">
                  <c:v>0.31021897810218979</c:v>
                </c:pt>
                <c:pt idx="1">
                  <c:v>3.2846715328467155E-2</c:v>
                </c:pt>
                <c:pt idx="2">
                  <c:v>0.14963503649635038</c:v>
                </c:pt>
                <c:pt idx="3">
                  <c:v>0.10218978102189781</c:v>
                </c:pt>
                <c:pt idx="4">
                  <c:v>1.0948905109489052E-2</c:v>
                </c:pt>
                <c:pt idx="5">
                  <c:v>1.824817518248175E-2</c:v>
                </c:pt>
                <c:pt idx="6">
                  <c:v>0.22262773722627738</c:v>
                </c:pt>
                <c:pt idx="7">
                  <c:v>7.2992700729927005E-3</c:v>
                </c:pt>
                <c:pt idx="8">
                  <c:v>7.2992700729927005E-3</c:v>
                </c:pt>
                <c:pt idx="9">
                  <c:v>0.13868613138686131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Nebbi-Goli-24h'!$AE$9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Nebbi-Goli-24h'!$R$10:$R$33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Nebbi-Goli-24h'!$AE$10:$AE$33</c:f>
              <c:numCache>
                <c:formatCode>0</c:formatCode>
                <c:ptCount val="24"/>
                <c:pt idx="0">
                  <c:v>6</c:v>
                </c:pt>
                <c:pt idx="1">
                  <c:v>20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20</c:v>
                </c:pt>
                <c:pt idx="6">
                  <c:v>6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21</c:v>
                </c:pt>
                <c:pt idx="11">
                  <c:v>21</c:v>
                </c:pt>
                <c:pt idx="12">
                  <c:v>11</c:v>
                </c:pt>
                <c:pt idx="13">
                  <c:v>9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'02.08 Nebbi-Goli-24h'!$AF$9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Nebbi-Goli-24h'!$R$10:$R$33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Nebbi-Goli-24h'!$AF$10:$AF$33</c:f>
              <c:numCache>
                <c:formatCode>0</c:formatCode>
                <c:ptCount val="24"/>
                <c:pt idx="0">
                  <c:v>41</c:v>
                </c:pt>
                <c:pt idx="1">
                  <c:v>69</c:v>
                </c:pt>
                <c:pt idx="2">
                  <c:v>42</c:v>
                </c:pt>
                <c:pt idx="3">
                  <c:v>50</c:v>
                </c:pt>
                <c:pt idx="4">
                  <c:v>59</c:v>
                </c:pt>
                <c:pt idx="5">
                  <c:v>48</c:v>
                </c:pt>
                <c:pt idx="6">
                  <c:v>37</c:v>
                </c:pt>
                <c:pt idx="7">
                  <c:v>48</c:v>
                </c:pt>
                <c:pt idx="8">
                  <c:v>57</c:v>
                </c:pt>
                <c:pt idx="9">
                  <c:v>62</c:v>
                </c:pt>
                <c:pt idx="10">
                  <c:v>53</c:v>
                </c:pt>
                <c:pt idx="11">
                  <c:v>74</c:v>
                </c:pt>
                <c:pt idx="12">
                  <c:v>89</c:v>
                </c:pt>
                <c:pt idx="13">
                  <c:v>61</c:v>
                </c:pt>
                <c:pt idx="14">
                  <c:v>19</c:v>
                </c:pt>
                <c:pt idx="15">
                  <c:v>19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9</c:v>
                </c:pt>
                <c:pt idx="22">
                  <c:v>10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11168"/>
        <c:axId val="81513088"/>
      </c:lineChart>
      <c:catAx>
        <c:axId val="81511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513088"/>
        <c:crosses val="autoZero"/>
        <c:auto val="1"/>
        <c:lblAlgn val="ctr"/>
        <c:lblOffset val="100"/>
        <c:noMultiLvlLbl val="0"/>
      </c:catAx>
      <c:valAx>
        <c:axId val="815130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51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Nebbi-Goli-24h'!$C$9:$N$9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Nebbi-Goli-24h'!$C$107:$N$107</c:f>
              <c:numCache>
                <c:formatCode>0.0%</c:formatCode>
                <c:ptCount val="12"/>
                <c:pt idx="0">
                  <c:v>5.8823529411764705E-2</c:v>
                </c:pt>
                <c:pt idx="1">
                  <c:v>6.7873303167420816E-3</c:v>
                </c:pt>
                <c:pt idx="2">
                  <c:v>3.7330316742081447E-2</c:v>
                </c:pt>
                <c:pt idx="3">
                  <c:v>4.2986425339366516E-2</c:v>
                </c:pt>
                <c:pt idx="4">
                  <c:v>3.3936651583710408E-3</c:v>
                </c:pt>
                <c:pt idx="5">
                  <c:v>4.5248868778280547E-3</c:v>
                </c:pt>
                <c:pt idx="6">
                  <c:v>4.7511312217194568E-2</c:v>
                </c:pt>
                <c:pt idx="7">
                  <c:v>3.3936651583710408E-3</c:v>
                </c:pt>
                <c:pt idx="8">
                  <c:v>5.6561085972850677E-3</c:v>
                </c:pt>
                <c:pt idx="9">
                  <c:v>3.2805429864253395E-2</c:v>
                </c:pt>
                <c:pt idx="10">
                  <c:v>0.75678733031674206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Nebbi-Goli-24h'!$C$9:$N$9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Nebbi-Goli-24h'!$C$108:$N$108</c:f>
              <c:numCache>
                <c:formatCode>0.00%</c:formatCode>
                <c:ptCount val="12"/>
                <c:pt idx="0">
                  <c:v>0.24186046511627907</c:v>
                </c:pt>
                <c:pt idx="1">
                  <c:v>2.7906976744186046E-2</c:v>
                </c:pt>
                <c:pt idx="2">
                  <c:v>0.15348837209302327</c:v>
                </c:pt>
                <c:pt idx="3">
                  <c:v>0.17674418604651163</c:v>
                </c:pt>
                <c:pt idx="4">
                  <c:v>1.3953488372093023E-2</c:v>
                </c:pt>
                <c:pt idx="5">
                  <c:v>1.8604651162790697E-2</c:v>
                </c:pt>
                <c:pt idx="6">
                  <c:v>0.19534883720930232</c:v>
                </c:pt>
                <c:pt idx="7">
                  <c:v>1.3953488372093023E-2</c:v>
                </c:pt>
                <c:pt idx="8">
                  <c:v>2.3255813953488372E-2</c:v>
                </c:pt>
                <c:pt idx="9">
                  <c:v>0.13488372093023257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Goli-Nebbi-24h'!$AE$9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Goli-Nebbi-24h'!$R$10:$R$33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Goli-Nebbi-24h'!$AE$10:$AE$33</c:f>
              <c:numCache>
                <c:formatCode>0</c:formatCode>
                <c:ptCount val="24"/>
                <c:pt idx="0">
                  <c:v>16</c:v>
                </c:pt>
                <c:pt idx="1">
                  <c:v>21</c:v>
                </c:pt>
                <c:pt idx="2">
                  <c:v>20</c:v>
                </c:pt>
                <c:pt idx="3">
                  <c:v>13</c:v>
                </c:pt>
                <c:pt idx="4">
                  <c:v>22</c:v>
                </c:pt>
                <c:pt idx="5">
                  <c:v>10</c:v>
                </c:pt>
                <c:pt idx="6">
                  <c:v>17</c:v>
                </c:pt>
                <c:pt idx="7">
                  <c:v>23</c:v>
                </c:pt>
                <c:pt idx="8">
                  <c:v>9</c:v>
                </c:pt>
                <c:pt idx="9">
                  <c:v>14</c:v>
                </c:pt>
                <c:pt idx="10">
                  <c:v>17</c:v>
                </c:pt>
                <c:pt idx="11">
                  <c:v>20</c:v>
                </c:pt>
                <c:pt idx="12">
                  <c:v>9</c:v>
                </c:pt>
                <c:pt idx="13">
                  <c:v>10</c:v>
                </c:pt>
                <c:pt idx="14">
                  <c:v>13</c:v>
                </c:pt>
                <c:pt idx="15">
                  <c:v>6</c:v>
                </c:pt>
                <c:pt idx="16">
                  <c:v>9</c:v>
                </c:pt>
                <c:pt idx="17">
                  <c:v>3</c:v>
                </c:pt>
                <c:pt idx="18">
                  <c:v>6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3</c:v>
                </c:pt>
                <c:pt idx="2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Goli-Nebbi-24h'!$AF$9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Goli-Nebbi-24h'!$R$10:$R$33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Goli-Nebbi-24h'!$AF$10:$AF$33</c:f>
              <c:numCache>
                <c:formatCode>0</c:formatCode>
                <c:ptCount val="24"/>
                <c:pt idx="0">
                  <c:v>69</c:v>
                </c:pt>
                <c:pt idx="1">
                  <c:v>73</c:v>
                </c:pt>
                <c:pt idx="2">
                  <c:v>70</c:v>
                </c:pt>
                <c:pt idx="3">
                  <c:v>68</c:v>
                </c:pt>
                <c:pt idx="4">
                  <c:v>98</c:v>
                </c:pt>
                <c:pt idx="5">
                  <c:v>56</c:v>
                </c:pt>
                <c:pt idx="6">
                  <c:v>75</c:v>
                </c:pt>
                <c:pt idx="7">
                  <c:v>60</c:v>
                </c:pt>
                <c:pt idx="8">
                  <c:v>46</c:v>
                </c:pt>
                <c:pt idx="9">
                  <c:v>63</c:v>
                </c:pt>
                <c:pt idx="10">
                  <c:v>72</c:v>
                </c:pt>
                <c:pt idx="11">
                  <c:v>76</c:v>
                </c:pt>
                <c:pt idx="12">
                  <c:v>42</c:v>
                </c:pt>
                <c:pt idx="13">
                  <c:v>44</c:v>
                </c:pt>
                <c:pt idx="14">
                  <c:v>63</c:v>
                </c:pt>
                <c:pt idx="15">
                  <c:v>31</c:v>
                </c:pt>
                <c:pt idx="16">
                  <c:v>19</c:v>
                </c:pt>
                <c:pt idx="17">
                  <c:v>10</c:v>
                </c:pt>
                <c:pt idx="18">
                  <c:v>7</c:v>
                </c:pt>
                <c:pt idx="19">
                  <c:v>5</c:v>
                </c:pt>
                <c:pt idx="20">
                  <c:v>5</c:v>
                </c:pt>
                <c:pt idx="21">
                  <c:v>8</c:v>
                </c:pt>
                <c:pt idx="22">
                  <c:v>4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44160"/>
        <c:axId val="81246080"/>
      </c:lineChart>
      <c:catAx>
        <c:axId val="812441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246080"/>
        <c:crosses val="autoZero"/>
        <c:auto val="1"/>
        <c:lblAlgn val="ctr"/>
        <c:lblOffset val="100"/>
        <c:noMultiLvlLbl val="0"/>
      </c:catAx>
      <c:valAx>
        <c:axId val="81246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24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Goli-Nebbi-24h'!$C$9:$N$9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Goli-Nebbi-24h'!$C$107:$N$107</c:f>
              <c:numCache>
                <c:formatCode>0.0%</c:formatCode>
                <c:ptCount val="12"/>
                <c:pt idx="0">
                  <c:v>8.7198515769944335E-2</c:v>
                </c:pt>
                <c:pt idx="1">
                  <c:v>7.4211502782931356E-3</c:v>
                </c:pt>
                <c:pt idx="2">
                  <c:v>3.896103896103896E-2</c:v>
                </c:pt>
                <c:pt idx="3">
                  <c:v>2.4118738404452691E-2</c:v>
                </c:pt>
                <c:pt idx="4">
                  <c:v>2.7829313543599257E-3</c:v>
                </c:pt>
                <c:pt idx="5">
                  <c:v>6.4935064935064939E-3</c:v>
                </c:pt>
                <c:pt idx="6">
                  <c:v>4.9165120593692019E-2</c:v>
                </c:pt>
                <c:pt idx="7">
                  <c:v>2.7829313543599257E-3</c:v>
                </c:pt>
                <c:pt idx="8">
                  <c:v>5.5658627087198514E-3</c:v>
                </c:pt>
                <c:pt idx="9">
                  <c:v>3.4322820037105753E-2</c:v>
                </c:pt>
                <c:pt idx="10">
                  <c:v>0.74118738404452689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Goli-Nebbi-24h'!$C$9:$N$9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Goli-Nebbi-24h'!$C$108:$N$108</c:f>
              <c:numCache>
                <c:formatCode>0.00%</c:formatCode>
                <c:ptCount val="12"/>
                <c:pt idx="0">
                  <c:v>0.33691756272401435</c:v>
                </c:pt>
                <c:pt idx="1">
                  <c:v>2.8673835125448029E-2</c:v>
                </c:pt>
                <c:pt idx="2">
                  <c:v>0.15053763440860216</c:v>
                </c:pt>
                <c:pt idx="3">
                  <c:v>9.3189964157706098E-2</c:v>
                </c:pt>
                <c:pt idx="4">
                  <c:v>1.0752688172043012E-2</c:v>
                </c:pt>
                <c:pt idx="5">
                  <c:v>2.5089605734767026E-2</c:v>
                </c:pt>
                <c:pt idx="6">
                  <c:v>0.18996415770609318</c:v>
                </c:pt>
                <c:pt idx="7">
                  <c:v>1.0752688172043012E-2</c:v>
                </c:pt>
                <c:pt idx="8">
                  <c:v>2.1505376344086023E-2</c:v>
                </c:pt>
                <c:pt idx="9">
                  <c:v>0.13261648745519714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Nebbi-Goli-24h'!$AE$9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Nebbi-Goli-24h'!$R$10:$R$33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Nebbi-Goli-24h'!$AE$10:$AE$33</c:f>
              <c:numCache>
                <c:formatCode>0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14</c:v>
                </c:pt>
                <c:pt idx="3">
                  <c:v>15</c:v>
                </c:pt>
                <c:pt idx="4">
                  <c:v>10</c:v>
                </c:pt>
                <c:pt idx="5">
                  <c:v>14</c:v>
                </c:pt>
                <c:pt idx="6">
                  <c:v>22</c:v>
                </c:pt>
                <c:pt idx="7">
                  <c:v>24</c:v>
                </c:pt>
                <c:pt idx="8">
                  <c:v>11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12</c:v>
                </c:pt>
                <c:pt idx="13">
                  <c:v>14</c:v>
                </c:pt>
                <c:pt idx="14">
                  <c:v>11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Nebbi-Goli-24h'!$AF$9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Nebbi-Goli-24h'!$R$10:$R$33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Nebbi-Goli-24h'!$AF$10:$AF$33</c:f>
              <c:numCache>
                <c:formatCode>0</c:formatCode>
                <c:ptCount val="24"/>
                <c:pt idx="0">
                  <c:v>58</c:v>
                </c:pt>
                <c:pt idx="1">
                  <c:v>58</c:v>
                </c:pt>
                <c:pt idx="2">
                  <c:v>64</c:v>
                </c:pt>
                <c:pt idx="3">
                  <c:v>57</c:v>
                </c:pt>
                <c:pt idx="4">
                  <c:v>68</c:v>
                </c:pt>
                <c:pt idx="5">
                  <c:v>64</c:v>
                </c:pt>
                <c:pt idx="6">
                  <c:v>68</c:v>
                </c:pt>
                <c:pt idx="7">
                  <c:v>65</c:v>
                </c:pt>
                <c:pt idx="8">
                  <c:v>49</c:v>
                </c:pt>
                <c:pt idx="9">
                  <c:v>62</c:v>
                </c:pt>
                <c:pt idx="10">
                  <c:v>48</c:v>
                </c:pt>
                <c:pt idx="11">
                  <c:v>68</c:v>
                </c:pt>
                <c:pt idx="12">
                  <c:v>40</c:v>
                </c:pt>
                <c:pt idx="13">
                  <c:v>44</c:v>
                </c:pt>
                <c:pt idx="14">
                  <c:v>27</c:v>
                </c:pt>
                <c:pt idx="15">
                  <c:v>21</c:v>
                </c:pt>
                <c:pt idx="16">
                  <c:v>11</c:v>
                </c:pt>
                <c:pt idx="17">
                  <c:v>9</c:v>
                </c:pt>
                <c:pt idx="18">
                  <c:v>5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2</c:v>
                </c:pt>
                <c:pt idx="23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72928"/>
        <c:axId val="82269312"/>
      </c:lineChart>
      <c:catAx>
        <c:axId val="821729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269312"/>
        <c:crosses val="autoZero"/>
        <c:auto val="1"/>
        <c:lblAlgn val="ctr"/>
        <c:lblOffset val="100"/>
        <c:noMultiLvlLbl val="0"/>
      </c:catAx>
      <c:valAx>
        <c:axId val="82269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17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Nebbi-Goli-24h'!$C$9:$N$9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Nebbi-Goli-24h'!$C$107:$N$107</c:f>
              <c:numCache>
                <c:formatCode>0.0%</c:formatCode>
                <c:ptCount val="12"/>
                <c:pt idx="0">
                  <c:v>5.8114035087719298E-2</c:v>
                </c:pt>
                <c:pt idx="1">
                  <c:v>1.3157894736842105E-2</c:v>
                </c:pt>
                <c:pt idx="2">
                  <c:v>5.3728070175438597E-2</c:v>
                </c:pt>
                <c:pt idx="3">
                  <c:v>2.1929824561403508E-2</c:v>
                </c:pt>
                <c:pt idx="4">
                  <c:v>1.0964912280701754E-3</c:v>
                </c:pt>
                <c:pt idx="5">
                  <c:v>8.771929824561403E-3</c:v>
                </c:pt>
                <c:pt idx="6">
                  <c:v>7.0175438596491224E-2</c:v>
                </c:pt>
                <c:pt idx="7">
                  <c:v>4.3859649122807015E-3</c:v>
                </c:pt>
                <c:pt idx="8">
                  <c:v>4.3859649122807015E-3</c:v>
                </c:pt>
                <c:pt idx="9">
                  <c:v>3.7280701754385963E-2</c:v>
                </c:pt>
                <c:pt idx="10">
                  <c:v>0.72697368421052633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Nebbi-Goli-24h'!$C$9:$N$9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Nebbi-Goli-24h'!$C$108:$N$108</c:f>
              <c:numCache>
                <c:formatCode>0.00%</c:formatCode>
                <c:ptCount val="12"/>
                <c:pt idx="0">
                  <c:v>0.21285140562248997</c:v>
                </c:pt>
                <c:pt idx="1">
                  <c:v>4.8192771084337352E-2</c:v>
                </c:pt>
                <c:pt idx="2">
                  <c:v>0.19678714859437751</c:v>
                </c:pt>
                <c:pt idx="3">
                  <c:v>8.0321285140562249E-2</c:v>
                </c:pt>
                <c:pt idx="4">
                  <c:v>4.0160642570281121E-3</c:v>
                </c:pt>
                <c:pt idx="5">
                  <c:v>3.2128514056224897E-2</c:v>
                </c:pt>
                <c:pt idx="6">
                  <c:v>0.25702811244979917</c:v>
                </c:pt>
                <c:pt idx="7">
                  <c:v>1.6064257028112448E-2</c:v>
                </c:pt>
                <c:pt idx="8">
                  <c:v>1.6064257028112448E-2</c:v>
                </c:pt>
                <c:pt idx="9">
                  <c:v>0.13654618473895583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Goli-Nebbi'!$AE$9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Goli-Nebbi'!$AE$10:$AE$21</c:f>
              <c:numCache>
                <c:formatCode>0</c:formatCode>
                <c:ptCount val="12"/>
                <c:pt idx="0">
                  <c:v>13</c:v>
                </c:pt>
                <c:pt idx="1">
                  <c:v>12</c:v>
                </c:pt>
                <c:pt idx="2">
                  <c:v>22</c:v>
                </c:pt>
                <c:pt idx="3">
                  <c:v>13</c:v>
                </c:pt>
                <c:pt idx="4">
                  <c:v>14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12</c:v>
                </c:pt>
                <c:pt idx="10">
                  <c:v>16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'04.08 Goli-Nebbi'!$AF$9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Goli-Nebbi'!$AF$10:$AF$21</c:f>
              <c:numCache>
                <c:formatCode>0</c:formatCode>
                <c:ptCount val="12"/>
                <c:pt idx="0">
                  <c:v>37</c:v>
                </c:pt>
                <c:pt idx="1">
                  <c:v>39</c:v>
                </c:pt>
                <c:pt idx="2">
                  <c:v>71</c:v>
                </c:pt>
                <c:pt idx="3">
                  <c:v>71</c:v>
                </c:pt>
                <c:pt idx="4">
                  <c:v>71</c:v>
                </c:pt>
                <c:pt idx="5">
                  <c:v>66</c:v>
                </c:pt>
                <c:pt idx="6">
                  <c:v>58</c:v>
                </c:pt>
                <c:pt idx="7">
                  <c:v>59</c:v>
                </c:pt>
                <c:pt idx="8">
                  <c:v>61</c:v>
                </c:pt>
                <c:pt idx="9">
                  <c:v>59</c:v>
                </c:pt>
                <c:pt idx="10">
                  <c:v>51</c:v>
                </c:pt>
                <c:pt idx="11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37632"/>
        <c:axId val="82439552"/>
      </c:lineChart>
      <c:catAx>
        <c:axId val="82437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439552"/>
        <c:crosses val="autoZero"/>
        <c:auto val="1"/>
        <c:lblAlgn val="ctr"/>
        <c:lblOffset val="100"/>
        <c:noMultiLvlLbl val="0"/>
      </c:catAx>
      <c:valAx>
        <c:axId val="82439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4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Goli-Nebbi'!$C$59:$N$59</c:f>
              <c:numCache>
                <c:formatCode>0.0%</c:formatCode>
                <c:ptCount val="12"/>
                <c:pt idx="0">
                  <c:v>6.2228654124457307E-2</c:v>
                </c:pt>
                <c:pt idx="1">
                  <c:v>1.5918958031837915E-2</c:v>
                </c:pt>
                <c:pt idx="2">
                  <c:v>4.9204052098408106E-2</c:v>
                </c:pt>
                <c:pt idx="3">
                  <c:v>3.4732272069464547E-2</c:v>
                </c:pt>
                <c:pt idx="4">
                  <c:v>1.4471780028943559E-3</c:v>
                </c:pt>
                <c:pt idx="5">
                  <c:v>0</c:v>
                </c:pt>
                <c:pt idx="6">
                  <c:v>2.8943560057887119E-2</c:v>
                </c:pt>
                <c:pt idx="7">
                  <c:v>8.6830680173661367E-3</c:v>
                </c:pt>
                <c:pt idx="8">
                  <c:v>5.7887120115774236E-3</c:v>
                </c:pt>
                <c:pt idx="9">
                  <c:v>1.8813314037626629E-2</c:v>
                </c:pt>
                <c:pt idx="10">
                  <c:v>0.77424023154848043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Goli-Nebbi'!$S$9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Goli-Nebbi'!$S$10:$S$21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  <c:pt idx="4">
                  <c:v>0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'04.08 Goli-Nebbi'!$T$9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Goli-Nebbi'!$T$10:$T$21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'04.08 Goli-Nebbi'!$U$9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Goli-Nebbi'!$U$10:$U$21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'04.08 Goli-Nebbi'!$V$9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Goli-Nebbi'!$V$10:$V$21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'04.08 Goli-Nebbi'!$W$9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Goli-Nebbi'!$W$10:$W$21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'04.08 Goli-Nebbi'!$X$9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Goli-Nebbi'!$X$10:$X$21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'04.08 Goli-Nebbi'!$Y$9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Goli-Nebbi'!$Y$10:$Y$21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'04.08 Goli-Nebbi'!$Z$9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Goli-Nebbi'!$Z$10:$Z$21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'04.08 Goli-Nebbi'!$AA$9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Goli-Nebbi'!$AA$10:$AA$21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'04.08 Goli-Nebbi'!$AB$9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Goli-Nebbi'!$AB$10:$AB$21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'04.08 Goli-Nebbi'!$AC$9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Goli-Nebbi'!$AC$10:$AC$21</c:f>
              <c:numCache>
                <c:formatCode>0</c:formatCode>
                <c:ptCount val="12"/>
                <c:pt idx="0">
                  <c:v>24</c:v>
                </c:pt>
                <c:pt idx="1">
                  <c:v>27</c:v>
                </c:pt>
                <c:pt idx="2">
                  <c:v>49</c:v>
                </c:pt>
                <c:pt idx="3">
                  <c:v>58</c:v>
                </c:pt>
                <c:pt idx="4">
                  <c:v>57</c:v>
                </c:pt>
                <c:pt idx="5">
                  <c:v>58</c:v>
                </c:pt>
                <c:pt idx="6">
                  <c:v>48</c:v>
                </c:pt>
                <c:pt idx="7">
                  <c:v>49</c:v>
                </c:pt>
                <c:pt idx="8">
                  <c:v>52</c:v>
                </c:pt>
                <c:pt idx="9">
                  <c:v>47</c:v>
                </c:pt>
                <c:pt idx="10">
                  <c:v>35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'04.08 Goli-Nebbi'!$AD$9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Goli-Nebbi'!$AD$10:$AD$21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070336"/>
        <c:axId val="83080320"/>
      </c:lineChart>
      <c:catAx>
        <c:axId val="8307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080320"/>
        <c:crosses val="autoZero"/>
        <c:auto val="1"/>
        <c:lblAlgn val="ctr"/>
        <c:lblOffset val="100"/>
        <c:noMultiLvlLbl val="0"/>
      </c:catAx>
      <c:valAx>
        <c:axId val="8308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0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Goli-Nebbi'!$C$60:$N$60</c:f>
              <c:numCache>
                <c:formatCode>0.00%</c:formatCode>
                <c:ptCount val="12"/>
                <c:pt idx="0">
                  <c:v>0.27564102564102566</c:v>
                </c:pt>
                <c:pt idx="1">
                  <c:v>7.0512820512820512E-2</c:v>
                </c:pt>
                <c:pt idx="2">
                  <c:v>0.21794871794871795</c:v>
                </c:pt>
                <c:pt idx="3">
                  <c:v>0.15384615384615385</c:v>
                </c:pt>
                <c:pt idx="4">
                  <c:v>6.41025641025641E-3</c:v>
                </c:pt>
                <c:pt idx="5">
                  <c:v>0</c:v>
                </c:pt>
                <c:pt idx="6">
                  <c:v>0.12820512820512819</c:v>
                </c:pt>
                <c:pt idx="7">
                  <c:v>3.8461538461538464E-2</c:v>
                </c:pt>
                <c:pt idx="8">
                  <c:v>2.564102564102564E-2</c:v>
                </c:pt>
                <c:pt idx="9">
                  <c:v>8.3333333333333329E-2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Nebbi-Goli'!$AE$9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Nebbi-Goli'!$AE$10:$AE$21</c:f>
              <c:numCache>
                <c:formatCode>0</c:formatCode>
                <c:ptCount val="12"/>
                <c:pt idx="0">
                  <c:v>18</c:v>
                </c:pt>
                <c:pt idx="1">
                  <c:v>16</c:v>
                </c:pt>
                <c:pt idx="2">
                  <c:v>4</c:v>
                </c:pt>
                <c:pt idx="3">
                  <c:v>15</c:v>
                </c:pt>
                <c:pt idx="4">
                  <c:v>8</c:v>
                </c:pt>
                <c:pt idx="5">
                  <c:v>13</c:v>
                </c:pt>
                <c:pt idx="6">
                  <c:v>13</c:v>
                </c:pt>
                <c:pt idx="7">
                  <c:v>8</c:v>
                </c:pt>
                <c:pt idx="8">
                  <c:v>15</c:v>
                </c:pt>
                <c:pt idx="9">
                  <c:v>18</c:v>
                </c:pt>
                <c:pt idx="10">
                  <c:v>12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'04.08 Nebbi-Goli'!$AF$9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Nebbi-Goli'!$AF$10:$AF$21</c:f>
              <c:numCache>
                <c:formatCode>0</c:formatCode>
                <c:ptCount val="12"/>
                <c:pt idx="0">
                  <c:v>43</c:v>
                </c:pt>
                <c:pt idx="1">
                  <c:v>42</c:v>
                </c:pt>
                <c:pt idx="2">
                  <c:v>44</c:v>
                </c:pt>
                <c:pt idx="3">
                  <c:v>73</c:v>
                </c:pt>
                <c:pt idx="4">
                  <c:v>47</c:v>
                </c:pt>
                <c:pt idx="5">
                  <c:v>58</c:v>
                </c:pt>
                <c:pt idx="6">
                  <c:v>72</c:v>
                </c:pt>
                <c:pt idx="7">
                  <c:v>46</c:v>
                </c:pt>
                <c:pt idx="8">
                  <c:v>54</c:v>
                </c:pt>
                <c:pt idx="9">
                  <c:v>65</c:v>
                </c:pt>
                <c:pt idx="10">
                  <c:v>50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08480"/>
        <c:axId val="81910400"/>
      </c:lineChart>
      <c:catAx>
        <c:axId val="819084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910400"/>
        <c:crosses val="autoZero"/>
        <c:auto val="1"/>
        <c:lblAlgn val="ctr"/>
        <c:lblOffset val="100"/>
        <c:noMultiLvlLbl val="0"/>
      </c:catAx>
      <c:valAx>
        <c:axId val="81910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90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Nebbi-Goli'!$C$59:$N$59</c:f>
              <c:numCache>
                <c:formatCode>0.0%</c:formatCode>
                <c:ptCount val="12"/>
                <c:pt idx="0">
                  <c:v>4.8589341692789965E-2</c:v>
                </c:pt>
                <c:pt idx="1">
                  <c:v>1.2539184952978056E-2</c:v>
                </c:pt>
                <c:pt idx="2">
                  <c:v>4.5454545454545456E-2</c:v>
                </c:pt>
                <c:pt idx="3">
                  <c:v>4.3887147335423198E-2</c:v>
                </c:pt>
                <c:pt idx="4">
                  <c:v>1.567398119122257E-3</c:v>
                </c:pt>
                <c:pt idx="5">
                  <c:v>3.134796238244514E-3</c:v>
                </c:pt>
                <c:pt idx="6">
                  <c:v>3.6050156739811913E-2</c:v>
                </c:pt>
                <c:pt idx="7">
                  <c:v>4.7021943573667714E-3</c:v>
                </c:pt>
                <c:pt idx="8">
                  <c:v>4.7021943573667714E-3</c:v>
                </c:pt>
                <c:pt idx="9">
                  <c:v>3.918495297805643E-2</c:v>
                </c:pt>
                <c:pt idx="10">
                  <c:v>0.7601880877742947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Nebbi-Goli'!$C$60:$N$60</c:f>
              <c:numCache>
                <c:formatCode>0.00%</c:formatCode>
                <c:ptCount val="12"/>
                <c:pt idx="0">
                  <c:v>0.20261437908496732</c:v>
                </c:pt>
                <c:pt idx="1">
                  <c:v>5.2287581699346407E-2</c:v>
                </c:pt>
                <c:pt idx="2">
                  <c:v>0.18954248366013071</c:v>
                </c:pt>
                <c:pt idx="3">
                  <c:v>0.18300653594771241</c:v>
                </c:pt>
                <c:pt idx="4">
                  <c:v>6.5359477124183009E-3</c:v>
                </c:pt>
                <c:pt idx="5">
                  <c:v>1.3071895424836602E-2</c:v>
                </c:pt>
                <c:pt idx="6">
                  <c:v>0.15032679738562091</c:v>
                </c:pt>
                <c:pt idx="7">
                  <c:v>1.9607843137254902E-2</c:v>
                </c:pt>
                <c:pt idx="8">
                  <c:v>1.9607843137254902E-2</c:v>
                </c:pt>
                <c:pt idx="9">
                  <c:v>0.16339869281045752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Goli-Nebbi'!$AE$9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Goli-Nebbi'!$AE$10:$AE$21</c:f>
              <c:numCache>
                <c:formatCode>0</c:formatCode>
                <c:ptCount val="12"/>
                <c:pt idx="0">
                  <c:v>6</c:v>
                </c:pt>
                <c:pt idx="1">
                  <c:v>13</c:v>
                </c:pt>
                <c:pt idx="2">
                  <c:v>13</c:v>
                </c:pt>
                <c:pt idx="3">
                  <c:v>23</c:v>
                </c:pt>
                <c:pt idx="4">
                  <c:v>12</c:v>
                </c:pt>
                <c:pt idx="5">
                  <c:v>20</c:v>
                </c:pt>
                <c:pt idx="6">
                  <c:v>14</c:v>
                </c:pt>
                <c:pt idx="7">
                  <c:v>13</c:v>
                </c:pt>
                <c:pt idx="8">
                  <c:v>14</c:v>
                </c:pt>
                <c:pt idx="9">
                  <c:v>9</c:v>
                </c:pt>
                <c:pt idx="10">
                  <c:v>18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'05.08 Goli-Nebbi'!$AF$9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Goli-Nebbi'!$AF$10:$AF$21</c:f>
              <c:numCache>
                <c:formatCode>0</c:formatCode>
                <c:ptCount val="12"/>
                <c:pt idx="0">
                  <c:v>42</c:v>
                </c:pt>
                <c:pt idx="1">
                  <c:v>82</c:v>
                </c:pt>
                <c:pt idx="2">
                  <c:v>71</c:v>
                </c:pt>
                <c:pt idx="3">
                  <c:v>63</c:v>
                </c:pt>
                <c:pt idx="4">
                  <c:v>69</c:v>
                </c:pt>
                <c:pt idx="5">
                  <c:v>67</c:v>
                </c:pt>
                <c:pt idx="6">
                  <c:v>63</c:v>
                </c:pt>
                <c:pt idx="7">
                  <c:v>59</c:v>
                </c:pt>
                <c:pt idx="8">
                  <c:v>42</c:v>
                </c:pt>
                <c:pt idx="9">
                  <c:v>63</c:v>
                </c:pt>
                <c:pt idx="10">
                  <c:v>78</c:v>
                </c:pt>
                <c:pt idx="1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17024"/>
        <c:axId val="82818944"/>
      </c:lineChart>
      <c:catAx>
        <c:axId val="828170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818944"/>
        <c:crosses val="autoZero"/>
        <c:auto val="1"/>
        <c:lblAlgn val="ctr"/>
        <c:lblOffset val="100"/>
        <c:noMultiLvlLbl val="0"/>
      </c:catAx>
      <c:valAx>
        <c:axId val="82818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8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Goli-Nebbi'!$C$59:$N$59</c:f>
              <c:numCache>
                <c:formatCode>0.0%</c:formatCode>
                <c:ptCount val="12"/>
                <c:pt idx="0">
                  <c:v>0</c:v>
                </c:pt>
                <c:pt idx="1">
                  <c:v>6.6577896138482022E-3</c:v>
                </c:pt>
                <c:pt idx="2">
                  <c:v>5.3262316910785618E-2</c:v>
                </c:pt>
                <c:pt idx="3">
                  <c:v>2.6631158455392809E-2</c:v>
                </c:pt>
                <c:pt idx="4">
                  <c:v>1.3315579227696406E-3</c:v>
                </c:pt>
                <c:pt idx="5">
                  <c:v>1.3315579227696406E-3</c:v>
                </c:pt>
                <c:pt idx="6">
                  <c:v>4.5272969374167776E-2</c:v>
                </c:pt>
                <c:pt idx="7">
                  <c:v>2.6631158455392811E-3</c:v>
                </c:pt>
                <c:pt idx="8">
                  <c:v>3.9946737683089215E-3</c:v>
                </c:pt>
                <c:pt idx="9">
                  <c:v>3.7283621837549935E-2</c:v>
                </c:pt>
                <c:pt idx="10">
                  <c:v>0.77097203728362185</c:v>
                </c:pt>
                <c:pt idx="11">
                  <c:v>1.3315579227696406E-3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Goli-Nebbi'!$S$9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'05.08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Goli-Nebbi'!$S$10:$S$21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'05.08 Goli-Nebbi'!$T$9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'05.08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Goli-Nebbi'!$T$10:$T$21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'05.08 Goli-Nebbi'!$U$9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'05.08 Goli-Nebbi'!$U$10:$U$21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'05.08 Goli-Nebbi'!$V$9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'05.08 Goli-Nebbi'!$V$10:$V$21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'05.08 Goli-Nebbi'!$W$9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'05.08 Goli-Nebbi'!$W$10:$W$21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'05.08 Goli-Nebbi'!$X$9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'05.08 Goli-Nebbi'!$X$10:$X$21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'05.08 Goli-Nebbi'!$Y$9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Goli-Nebbi'!$Y$10:$Y$21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'05.08 Goli-Nebbi'!$Z$9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Goli-Nebbi'!$Z$10:$Z$21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'05.08 Goli-Nebbi'!$AA$9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Goli-Nebbi'!$AA$10:$AA$21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'05.08 Goli-Nebbi'!$AB$9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Goli-Nebbi'!$AB$10:$AB$21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'05.08 Goli-Nebbi'!$AC$9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Goli-Nebbi'!$AC$10:$AC$21</c:f>
              <c:numCache>
                <c:formatCode>0</c:formatCode>
                <c:ptCount val="12"/>
                <c:pt idx="0">
                  <c:v>36</c:v>
                </c:pt>
                <c:pt idx="1">
                  <c:v>69</c:v>
                </c:pt>
                <c:pt idx="2">
                  <c:v>58</c:v>
                </c:pt>
                <c:pt idx="3">
                  <c:v>40</c:v>
                </c:pt>
                <c:pt idx="4">
                  <c:v>57</c:v>
                </c:pt>
                <c:pt idx="5">
                  <c:v>47</c:v>
                </c:pt>
                <c:pt idx="6">
                  <c:v>49</c:v>
                </c:pt>
                <c:pt idx="7">
                  <c:v>46</c:v>
                </c:pt>
                <c:pt idx="8">
                  <c:v>28</c:v>
                </c:pt>
                <c:pt idx="9">
                  <c:v>54</c:v>
                </c:pt>
                <c:pt idx="10">
                  <c:v>60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'05.08 Goli-Nebbi'!$AD$9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Goli-Nebbi'!$AD$10:$AD$21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66400"/>
        <c:axId val="82967936"/>
      </c:lineChart>
      <c:catAx>
        <c:axId val="8296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67936"/>
        <c:crosses val="autoZero"/>
        <c:auto val="1"/>
        <c:lblAlgn val="ctr"/>
        <c:lblOffset val="100"/>
        <c:noMultiLvlLbl val="0"/>
      </c:catAx>
      <c:valAx>
        <c:axId val="8296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6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Goli-Nebbi'!$C$60:$N$60</c:f>
              <c:numCache>
                <c:formatCode>0.00%</c:formatCode>
                <c:ptCount val="12"/>
                <c:pt idx="0">
                  <c:v>0</c:v>
                </c:pt>
                <c:pt idx="1">
                  <c:v>2.9069767441860465E-2</c:v>
                </c:pt>
                <c:pt idx="2">
                  <c:v>0.23255813953488372</c:v>
                </c:pt>
                <c:pt idx="3">
                  <c:v>0.11627906976744186</c:v>
                </c:pt>
                <c:pt idx="4">
                  <c:v>5.8139534883720929E-3</c:v>
                </c:pt>
                <c:pt idx="5">
                  <c:v>5.8139534883720929E-3</c:v>
                </c:pt>
                <c:pt idx="6">
                  <c:v>0.19767441860465115</c:v>
                </c:pt>
                <c:pt idx="7">
                  <c:v>1.1627906976744186E-2</c:v>
                </c:pt>
                <c:pt idx="8">
                  <c:v>1.7441860465116279E-2</c:v>
                </c:pt>
                <c:pt idx="9">
                  <c:v>0.16279069767441862</c:v>
                </c:pt>
                <c:pt idx="11">
                  <c:v>5.8139534883720929E-3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Nebbi-Goli'!$AE$9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Nebbi-Goli'!$AE$10:$AE$21</c:f>
              <c:numCache>
                <c:formatCode>0</c:formatCode>
                <c:ptCount val="12"/>
                <c:pt idx="0">
                  <c:v>11</c:v>
                </c:pt>
                <c:pt idx="1">
                  <c:v>15</c:v>
                </c:pt>
                <c:pt idx="2">
                  <c:v>10</c:v>
                </c:pt>
                <c:pt idx="3">
                  <c:v>11</c:v>
                </c:pt>
                <c:pt idx="4">
                  <c:v>8</c:v>
                </c:pt>
                <c:pt idx="5">
                  <c:v>22</c:v>
                </c:pt>
                <c:pt idx="6">
                  <c:v>11</c:v>
                </c:pt>
                <c:pt idx="7">
                  <c:v>12</c:v>
                </c:pt>
                <c:pt idx="8">
                  <c:v>7</c:v>
                </c:pt>
                <c:pt idx="9">
                  <c:v>18</c:v>
                </c:pt>
                <c:pt idx="10">
                  <c:v>23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'05.08 Nebbi-Goli'!$AF$9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Nebbi-Goli'!$AF$10:$AF$21</c:f>
              <c:numCache>
                <c:formatCode>0</c:formatCode>
                <c:ptCount val="12"/>
                <c:pt idx="0">
                  <c:v>47</c:v>
                </c:pt>
                <c:pt idx="1">
                  <c:v>75</c:v>
                </c:pt>
                <c:pt idx="2">
                  <c:v>60</c:v>
                </c:pt>
                <c:pt idx="3">
                  <c:v>61</c:v>
                </c:pt>
                <c:pt idx="4">
                  <c:v>52</c:v>
                </c:pt>
                <c:pt idx="5">
                  <c:v>64</c:v>
                </c:pt>
                <c:pt idx="6">
                  <c:v>61</c:v>
                </c:pt>
                <c:pt idx="7">
                  <c:v>44</c:v>
                </c:pt>
                <c:pt idx="8">
                  <c:v>46</c:v>
                </c:pt>
                <c:pt idx="9">
                  <c:v>58</c:v>
                </c:pt>
                <c:pt idx="10">
                  <c:v>74</c:v>
                </c:pt>
                <c:pt idx="11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46880"/>
        <c:axId val="83256448"/>
      </c:lineChart>
      <c:catAx>
        <c:axId val="83946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256448"/>
        <c:crosses val="autoZero"/>
        <c:auto val="1"/>
        <c:lblAlgn val="ctr"/>
        <c:lblOffset val="100"/>
        <c:noMultiLvlLbl val="0"/>
      </c:catAx>
      <c:valAx>
        <c:axId val="832564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94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Nebbi-Goli'!$C$59:$N$59</c:f>
              <c:numCache>
                <c:formatCode>0.0%</c:formatCode>
                <c:ptCount val="12"/>
                <c:pt idx="0">
                  <c:v>4.6025104602510462E-2</c:v>
                </c:pt>
                <c:pt idx="1">
                  <c:v>1.1157601115760111E-2</c:v>
                </c:pt>
                <c:pt idx="2">
                  <c:v>5.0209205020920501E-2</c:v>
                </c:pt>
                <c:pt idx="3">
                  <c:v>3.7656903765690378E-2</c:v>
                </c:pt>
                <c:pt idx="4">
                  <c:v>2.7894002789400278E-3</c:v>
                </c:pt>
                <c:pt idx="5">
                  <c:v>4.1841004184100415E-3</c:v>
                </c:pt>
                <c:pt idx="6">
                  <c:v>3.4867503486750349E-2</c:v>
                </c:pt>
                <c:pt idx="7">
                  <c:v>2.7894002789400278E-3</c:v>
                </c:pt>
                <c:pt idx="8">
                  <c:v>1.3947001394700139E-3</c:v>
                </c:pt>
                <c:pt idx="9">
                  <c:v>3.626220362622036E-2</c:v>
                </c:pt>
                <c:pt idx="10">
                  <c:v>0.77126917712691767</c:v>
                </c:pt>
                <c:pt idx="11">
                  <c:v>1.3947001394700139E-3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Nebbi-Goli'!$S$9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'05.08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Nebbi-Goli'!$S$10:$S$21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8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'05.08 Nebbi-Goli'!$T$9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'05.08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Nebbi-Goli'!$T$10:$T$21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'05.08 Nebbi-Goli'!$U$9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'05.08 Nebbi-Goli'!$U$10:$U$21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'05.08 Nebbi-Goli'!$V$9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'05.08 Nebbi-Goli'!$V$10:$V$21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'05.08 Nebbi-Goli'!$W$9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'05.08 Nebbi-Goli'!$W$10:$W$21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'05.08 Nebbi-Goli'!$X$9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'05.08 Nebbi-Goli'!$X$10:$X$21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'05.08 Nebbi-Goli'!$Y$9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Nebbi-Goli'!$Y$10:$Y$21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'05.08 Nebbi-Goli'!$Z$9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Nebbi-Goli'!$Z$10:$Z$21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'05.08 Nebbi-Goli'!$AA$9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Nebbi-Goli'!$AA$10:$AA$21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'05.08 Nebbi-Goli'!$AB$9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Nebbi-Goli'!$AB$10:$AB$21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'05.08 Nebbi-Goli'!$AC$9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Nebbi-Goli'!$AC$10:$AC$21</c:f>
              <c:numCache>
                <c:formatCode>0</c:formatCode>
                <c:ptCount val="12"/>
                <c:pt idx="0">
                  <c:v>36</c:v>
                </c:pt>
                <c:pt idx="1">
                  <c:v>60</c:v>
                </c:pt>
                <c:pt idx="2">
                  <c:v>50</c:v>
                </c:pt>
                <c:pt idx="3">
                  <c:v>50</c:v>
                </c:pt>
                <c:pt idx="4">
                  <c:v>44</c:v>
                </c:pt>
                <c:pt idx="5">
                  <c:v>42</c:v>
                </c:pt>
                <c:pt idx="6">
                  <c:v>50</c:v>
                </c:pt>
                <c:pt idx="7">
                  <c:v>32</c:v>
                </c:pt>
                <c:pt idx="8">
                  <c:v>39</c:v>
                </c:pt>
                <c:pt idx="9">
                  <c:v>40</c:v>
                </c:pt>
                <c:pt idx="10">
                  <c:v>51</c:v>
                </c:pt>
                <c:pt idx="1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'05.08 Nebbi-Goli'!$AD$9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Nebbi-Goli'!$AD$10:$AD$21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71136"/>
        <c:axId val="83372672"/>
      </c:lineChart>
      <c:catAx>
        <c:axId val="8337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372672"/>
        <c:crosses val="autoZero"/>
        <c:auto val="1"/>
        <c:lblAlgn val="ctr"/>
        <c:lblOffset val="100"/>
        <c:noMultiLvlLbl val="0"/>
      </c:catAx>
      <c:valAx>
        <c:axId val="833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37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Nebbi-Goli'!$C$60:$N$60</c:f>
              <c:numCache>
                <c:formatCode>0.00%</c:formatCode>
                <c:ptCount val="12"/>
                <c:pt idx="0">
                  <c:v>0.20121951219512196</c:v>
                </c:pt>
                <c:pt idx="1">
                  <c:v>4.878048780487805E-2</c:v>
                </c:pt>
                <c:pt idx="2">
                  <c:v>0.21951219512195122</c:v>
                </c:pt>
                <c:pt idx="3">
                  <c:v>0.16463414634146342</c:v>
                </c:pt>
                <c:pt idx="4">
                  <c:v>1.2195121951219513E-2</c:v>
                </c:pt>
                <c:pt idx="5">
                  <c:v>1.8292682926829267E-2</c:v>
                </c:pt>
                <c:pt idx="6">
                  <c:v>0.1524390243902439</c:v>
                </c:pt>
                <c:pt idx="7">
                  <c:v>1.2195121951219513E-2</c:v>
                </c:pt>
                <c:pt idx="8">
                  <c:v>6.0975609756097563E-3</c:v>
                </c:pt>
                <c:pt idx="9">
                  <c:v>0.15853658536585366</c:v>
                </c:pt>
                <c:pt idx="11">
                  <c:v>6.0975609756097563E-3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Goli-Nebbi'!$AE$9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Goli-Nebbi'!$AE$10:$AE$21</c:f>
              <c:numCache>
                <c:formatCode>0</c:formatCode>
                <c:ptCount val="12"/>
                <c:pt idx="0">
                  <c:v>15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17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11</c:v>
                </c:pt>
                <c:pt idx="9">
                  <c:v>11</c:v>
                </c:pt>
                <c:pt idx="10">
                  <c:v>14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'06.08 Goli-Nebbi'!$AF$9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Goli-Nebbi'!$AF$10:$AF$21</c:f>
              <c:numCache>
                <c:formatCode>0</c:formatCode>
                <c:ptCount val="12"/>
                <c:pt idx="0">
                  <c:v>42</c:v>
                </c:pt>
                <c:pt idx="1">
                  <c:v>47</c:v>
                </c:pt>
                <c:pt idx="2">
                  <c:v>58</c:v>
                </c:pt>
                <c:pt idx="3">
                  <c:v>74</c:v>
                </c:pt>
                <c:pt idx="4">
                  <c:v>53</c:v>
                </c:pt>
                <c:pt idx="5">
                  <c:v>72</c:v>
                </c:pt>
                <c:pt idx="6">
                  <c:v>48</c:v>
                </c:pt>
                <c:pt idx="7">
                  <c:v>58</c:v>
                </c:pt>
                <c:pt idx="8">
                  <c:v>56</c:v>
                </c:pt>
                <c:pt idx="9">
                  <c:v>52</c:v>
                </c:pt>
                <c:pt idx="10">
                  <c:v>57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36832"/>
        <c:axId val="83743104"/>
      </c:lineChart>
      <c:catAx>
        <c:axId val="83736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743104"/>
        <c:crosses val="autoZero"/>
        <c:auto val="1"/>
        <c:lblAlgn val="ctr"/>
        <c:lblOffset val="100"/>
        <c:noMultiLvlLbl val="0"/>
      </c:catAx>
      <c:valAx>
        <c:axId val="83743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73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Goli-Nebbi'!$C$59:$N$59</c:f>
              <c:numCache>
                <c:formatCode>0.0%</c:formatCode>
                <c:ptCount val="12"/>
                <c:pt idx="0">
                  <c:v>4.7058823529411764E-2</c:v>
                </c:pt>
                <c:pt idx="1">
                  <c:v>1.7647058823529412E-2</c:v>
                </c:pt>
                <c:pt idx="2">
                  <c:v>6.9117647058823534E-2</c:v>
                </c:pt>
                <c:pt idx="3">
                  <c:v>2.5000000000000001E-2</c:v>
                </c:pt>
                <c:pt idx="4">
                  <c:v>1.4705882352941176E-3</c:v>
                </c:pt>
                <c:pt idx="5">
                  <c:v>2.9411764705882353E-3</c:v>
                </c:pt>
                <c:pt idx="6">
                  <c:v>5.2941176470588235E-2</c:v>
                </c:pt>
                <c:pt idx="7">
                  <c:v>1.4705882352941176E-3</c:v>
                </c:pt>
                <c:pt idx="8">
                  <c:v>1.4705882352941176E-3</c:v>
                </c:pt>
                <c:pt idx="9">
                  <c:v>3.3823529411764704E-2</c:v>
                </c:pt>
                <c:pt idx="10">
                  <c:v>0.74411764705882355</c:v>
                </c:pt>
                <c:pt idx="11">
                  <c:v>2.9411764705882353E-3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Goli-Nebbi'!$S$9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Goli-Nebbi'!$S$10:$S$21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'06.08 Goli-Nebbi'!$T$9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'06.08 Goli-Nebbi'!$R$10:$R$21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Goli-Nebbi'!$T$10:$T$21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'06.08 Goli-Nebbi'!$U$9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'06.08 Goli-Nebbi'!$U$10:$U$21</c:f>
              <c:numCache>
                <c:formatCode>0</c:formatCode>
                <c:ptCount val="12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7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'06.08 Goli-Nebbi'!$V$9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'06.08 Goli-Nebbi'!$V$10:$V$21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'06.08 Goli-Nebbi'!$W$9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'06.08 Goli-Nebbi'!$W$10:$W$21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'06.08 Goli-Nebbi'!$X$9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'06.08 Goli-Nebbi'!$X$10:$X$21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'06.08 Goli-Nebbi'!$Y$9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Goli-Nebbi'!$Y$10:$Y$21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4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'06.08 Goli-Nebbi'!$Z$9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Goli-Nebbi'!$Z$10:$Z$21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'06.08 Goli-Nebbi'!$AA$9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Goli-Nebbi'!$AA$10:$AA$21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'06.08 Goli-Nebbi'!$AB$9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Goli-Nebbi'!$AB$10:$AB$21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'06.08 Goli-Nebbi'!$AC$9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Goli-Nebbi'!$AC$10:$AC$21</c:f>
              <c:numCache>
                <c:formatCode>0</c:formatCode>
                <c:ptCount val="12"/>
                <c:pt idx="0">
                  <c:v>27</c:v>
                </c:pt>
                <c:pt idx="1">
                  <c:v>31</c:v>
                </c:pt>
                <c:pt idx="2">
                  <c:v>38</c:v>
                </c:pt>
                <c:pt idx="3">
                  <c:v>58</c:v>
                </c:pt>
                <c:pt idx="4">
                  <c:v>36</c:v>
                </c:pt>
                <c:pt idx="5">
                  <c:v>60</c:v>
                </c:pt>
                <c:pt idx="6">
                  <c:v>36</c:v>
                </c:pt>
                <c:pt idx="7">
                  <c:v>44</c:v>
                </c:pt>
                <c:pt idx="8">
                  <c:v>45</c:v>
                </c:pt>
                <c:pt idx="9">
                  <c:v>41</c:v>
                </c:pt>
                <c:pt idx="10">
                  <c:v>43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'06.08 Goli-Nebbi'!$AD$9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Goli-Nebbi'!$AD$10:$AD$21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058496"/>
        <c:axId val="84060032"/>
      </c:lineChart>
      <c:catAx>
        <c:axId val="8405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4060032"/>
        <c:crosses val="autoZero"/>
        <c:auto val="1"/>
        <c:lblAlgn val="ctr"/>
        <c:lblOffset val="100"/>
        <c:noMultiLvlLbl val="0"/>
      </c:catAx>
      <c:valAx>
        <c:axId val="8406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405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Goli-Nebbi'!$C$60:$N$60</c:f>
              <c:numCache>
                <c:formatCode>0.00%</c:formatCode>
                <c:ptCount val="12"/>
                <c:pt idx="0">
                  <c:v>0.18390804597701149</c:v>
                </c:pt>
                <c:pt idx="1">
                  <c:v>6.8965517241379309E-2</c:v>
                </c:pt>
                <c:pt idx="2">
                  <c:v>0.27011494252873564</c:v>
                </c:pt>
                <c:pt idx="3">
                  <c:v>9.7701149425287362E-2</c:v>
                </c:pt>
                <c:pt idx="4">
                  <c:v>5.7471264367816091E-3</c:v>
                </c:pt>
                <c:pt idx="5">
                  <c:v>1.1494252873563218E-2</c:v>
                </c:pt>
                <c:pt idx="6">
                  <c:v>0.20689655172413793</c:v>
                </c:pt>
                <c:pt idx="7">
                  <c:v>5.7471264367816091E-3</c:v>
                </c:pt>
                <c:pt idx="8">
                  <c:v>5.7471264367816091E-3</c:v>
                </c:pt>
                <c:pt idx="9">
                  <c:v>0.13218390804597702</c:v>
                </c:pt>
                <c:pt idx="11">
                  <c:v>1.1494252873563218E-2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Nebbi-Goli'!$AE$9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Nebbi-Goli'!$AE$10:$AE$21</c:f>
              <c:numCache>
                <c:formatCode>0</c:formatCode>
                <c:ptCount val="12"/>
                <c:pt idx="0">
                  <c:v>13</c:v>
                </c:pt>
                <c:pt idx="1">
                  <c:v>8</c:v>
                </c:pt>
                <c:pt idx="2">
                  <c:v>8</c:v>
                </c:pt>
                <c:pt idx="3">
                  <c:v>18</c:v>
                </c:pt>
                <c:pt idx="4">
                  <c:v>18</c:v>
                </c:pt>
                <c:pt idx="5">
                  <c:v>16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14</c:v>
                </c:pt>
                <c:pt idx="10">
                  <c:v>26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'06.08 Nebbi-Goli'!$AF$9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Nebbi-Goli'!$AF$10:$AF$21</c:f>
              <c:numCache>
                <c:formatCode>0</c:formatCode>
                <c:ptCount val="12"/>
                <c:pt idx="0">
                  <c:v>47</c:v>
                </c:pt>
                <c:pt idx="1">
                  <c:v>57</c:v>
                </c:pt>
                <c:pt idx="2">
                  <c:v>52</c:v>
                </c:pt>
                <c:pt idx="3">
                  <c:v>72</c:v>
                </c:pt>
                <c:pt idx="4">
                  <c:v>67</c:v>
                </c:pt>
                <c:pt idx="5">
                  <c:v>65</c:v>
                </c:pt>
                <c:pt idx="6">
                  <c:v>38</c:v>
                </c:pt>
                <c:pt idx="7">
                  <c:v>48</c:v>
                </c:pt>
                <c:pt idx="8">
                  <c:v>56</c:v>
                </c:pt>
                <c:pt idx="9">
                  <c:v>61</c:v>
                </c:pt>
                <c:pt idx="10">
                  <c:v>68</c:v>
                </c:pt>
                <c:pt idx="11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66848"/>
        <c:axId val="84368768"/>
      </c:lineChart>
      <c:catAx>
        <c:axId val="84366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4368768"/>
        <c:crosses val="autoZero"/>
        <c:auto val="1"/>
        <c:lblAlgn val="ctr"/>
        <c:lblOffset val="100"/>
        <c:noMultiLvlLbl val="0"/>
      </c:catAx>
      <c:valAx>
        <c:axId val="84368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43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Nebbi-Goli'!$C$59:$N$59</c:f>
              <c:numCache>
                <c:formatCode>0.0%</c:formatCode>
                <c:ptCount val="12"/>
                <c:pt idx="0">
                  <c:v>5.9766763848396499E-2</c:v>
                </c:pt>
                <c:pt idx="1">
                  <c:v>1.7492711370262391E-2</c:v>
                </c:pt>
                <c:pt idx="2">
                  <c:v>6.7055393586005832E-2</c:v>
                </c:pt>
                <c:pt idx="3">
                  <c:v>2.9154518950437316E-2</c:v>
                </c:pt>
                <c:pt idx="4">
                  <c:v>1.4577259475218659E-3</c:v>
                </c:pt>
                <c:pt idx="5">
                  <c:v>5.8309037900874635E-3</c:v>
                </c:pt>
                <c:pt idx="6">
                  <c:v>4.3731778425655975E-2</c:v>
                </c:pt>
                <c:pt idx="7">
                  <c:v>2.9154518950437317E-3</c:v>
                </c:pt>
                <c:pt idx="8">
                  <c:v>2.9154518950437317E-3</c:v>
                </c:pt>
                <c:pt idx="9">
                  <c:v>3.4985422740524783E-2</c:v>
                </c:pt>
                <c:pt idx="10">
                  <c:v>0.73323615160349853</c:v>
                </c:pt>
                <c:pt idx="11">
                  <c:v>1.4577259475218659E-3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Nebbi-Goli'!$S$9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Nebbi-Goli'!$S$10:$S$21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'06.08 Nebbi-Goli'!$T$9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'06.08 Nebbi-Goli'!$R$10:$R$21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Nebbi-Goli'!$T$10:$T$21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'06.08 Nebbi-Goli'!$U$9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'06.08 Nebbi-Goli'!$U$10:$U$21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6</c:v>
                </c:pt>
                <c:pt idx="9">
                  <c:v>1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'06.08 Nebbi-Goli'!$V$9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'06.08 Nebbi-Goli'!$V$10:$V$21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'06.08 Nebbi-Goli'!$W$9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'06.08 Nebbi-Goli'!$W$10:$W$21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'06.08 Nebbi-Goli'!$X$9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'06.08 Nebbi-Goli'!$X$10:$X$21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'06.08 Nebbi-Goli'!$Y$9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Nebbi-Goli'!$Y$10:$Y$21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'06.08 Nebbi-Goli'!$Z$9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Nebbi-Goli'!$Z$10:$Z$21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'06.08 Nebbi-Goli'!$AA$9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Nebbi-Goli'!$AA$10:$AA$21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'06.08 Nebbi-Goli'!$AB$9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Nebbi-Goli'!$AB$10:$AB$21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'06.08 Nebbi-Goli'!$AC$9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Nebbi-Goli'!$AC$10:$AC$21</c:f>
              <c:numCache>
                <c:formatCode>0</c:formatCode>
                <c:ptCount val="12"/>
                <c:pt idx="0">
                  <c:v>34</c:v>
                </c:pt>
                <c:pt idx="1">
                  <c:v>49</c:v>
                </c:pt>
                <c:pt idx="2">
                  <c:v>44</c:v>
                </c:pt>
                <c:pt idx="3">
                  <c:v>54</c:v>
                </c:pt>
                <c:pt idx="4">
                  <c:v>49</c:v>
                </c:pt>
                <c:pt idx="5">
                  <c:v>49</c:v>
                </c:pt>
                <c:pt idx="6">
                  <c:v>26</c:v>
                </c:pt>
                <c:pt idx="7">
                  <c:v>32</c:v>
                </c:pt>
                <c:pt idx="8">
                  <c:v>36</c:v>
                </c:pt>
                <c:pt idx="9">
                  <c:v>47</c:v>
                </c:pt>
                <c:pt idx="10">
                  <c:v>42</c:v>
                </c:pt>
                <c:pt idx="1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'06.08 Nebbi-Goli'!$AD$9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Nebbi-Goli'!$AD$10:$AD$21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17920"/>
        <c:axId val="84423808"/>
      </c:lineChart>
      <c:catAx>
        <c:axId val="8441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4423808"/>
        <c:crosses val="autoZero"/>
        <c:auto val="1"/>
        <c:lblAlgn val="ctr"/>
        <c:lblOffset val="100"/>
        <c:noMultiLvlLbl val="0"/>
      </c:catAx>
      <c:valAx>
        <c:axId val="844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441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Nebbi-Goli'!$C$60:$N$60</c:f>
              <c:numCache>
                <c:formatCode>0.00%</c:formatCode>
                <c:ptCount val="12"/>
                <c:pt idx="0">
                  <c:v>0.22404371584699453</c:v>
                </c:pt>
                <c:pt idx="1">
                  <c:v>6.5573770491803282E-2</c:v>
                </c:pt>
                <c:pt idx="2">
                  <c:v>0.25136612021857924</c:v>
                </c:pt>
                <c:pt idx="3">
                  <c:v>0.10928961748633879</c:v>
                </c:pt>
                <c:pt idx="4">
                  <c:v>5.4644808743169399E-3</c:v>
                </c:pt>
                <c:pt idx="5">
                  <c:v>2.185792349726776E-2</c:v>
                </c:pt>
                <c:pt idx="6">
                  <c:v>0.16393442622950818</c:v>
                </c:pt>
                <c:pt idx="7">
                  <c:v>1.092896174863388E-2</c:v>
                </c:pt>
                <c:pt idx="8">
                  <c:v>1.092896174863388E-2</c:v>
                </c:pt>
                <c:pt idx="9">
                  <c:v>0.13114754098360656</c:v>
                </c:pt>
                <c:pt idx="11">
                  <c:v>5.4644808743169399E-3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Goli-Nebbi'!$AE$9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Goli-Nebbi'!$R$10:$R$33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Goli-Nebbi'!$AE$10:$AE$33</c:f>
              <c:numCache>
                <c:formatCode>0</c:formatCode>
                <c:ptCount val="24"/>
                <c:pt idx="0">
                  <c:v>13.428571428571429</c:v>
                </c:pt>
                <c:pt idx="1">
                  <c:v>15.571428571428569</c:v>
                </c:pt>
                <c:pt idx="2">
                  <c:v>20</c:v>
                </c:pt>
                <c:pt idx="3">
                  <c:v>15.142857142857142</c:v>
                </c:pt>
                <c:pt idx="4">
                  <c:v>14.428571428571429</c:v>
                </c:pt>
                <c:pt idx="5">
                  <c:v>13.571428571428569</c:v>
                </c:pt>
                <c:pt idx="6">
                  <c:v>13.999999999999998</c:v>
                </c:pt>
                <c:pt idx="7">
                  <c:v>14.285714285714285</c:v>
                </c:pt>
                <c:pt idx="8">
                  <c:v>12.285714285714285</c:v>
                </c:pt>
                <c:pt idx="9">
                  <c:v>15</c:v>
                </c:pt>
                <c:pt idx="10">
                  <c:v>16</c:v>
                </c:pt>
                <c:pt idx="11">
                  <c:v>17.428571428571427</c:v>
                </c:pt>
                <c:pt idx="12">
                  <c:v>7.6666666666666661</c:v>
                </c:pt>
                <c:pt idx="13">
                  <c:v>5.6666666666666661</c:v>
                </c:pt>
                <c:pt idx="14">
                  <c:v>6.6666666666666661</c:v>
                </c:pt>
                <c:pt idx="15">
                  <c:v>2.6666666666666665</c:v>
                </c:pt>
                <c:pt idx="16">
                  <c:v>3.6666666666666661</c:v>
                </c:pt>
                <c:pt idx="17">
                  <c:v>2</c:v>
                </c:pt>
                <c:pt idx="18">
                  <c:v>3</c:v>
                </c:pt>
                <c:pt idx="19">
                  <c:v>1.6666666666666665</c:v>
                </c:pt>
                <c:pt idx="20">
                  <c:v>1.3333333333333333</c:v>
                </c:pt>
                <c:pt idx="21">
                  <c:v>4.333333333333333</c:v>
                </c:pt>
                <c:pt idx="22">
                  <c:v>5.333333333333333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Goli-Nebbi'!$AF$9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Goli-Nebbi'!$R$10:$R$33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Goli-Nebbi'!$AF$10:$AF$33</c:f>
              <c:numCache>
                <c:formatCode>0</c:formatCode>
                <c:ptCount val="24"/>
                <c:pt idx="0">
                  <c:v>50.714285714285715</c:v>
                </c:pt>
                <c:pt idx="1">
                  <c:v>61</c:v>
                </c:pt>
                <c:pt idx="2">
                  <c:v>71.714285714285708</c:v>
                </c:pt>
                <c:pt idx="3">
                  <c:v>69</c:v>
                </c:pt>
                <c:pt idx="4">
                  <c:v>69.571428571428569</c:v>
                </c:pt>
                <c:pt idx="5">
                  <c:v>65.142857142857139</c:v>
                </c:pt>
                <c:pt idx="6">
                  <c:v>61.714285714285715</c:v>
                </c:pt>
                <c:pt idx="7">
                  <c:v>59</c:v>
                </c:pt>
                <c:pt idx="8">
                  <c:v>56.428571428571423</c:v>
                </c:pt>
                <c:pt idx="9">
                  <c:v>62.714285714285708</c:v>
                </c:pt>
                <c:pt idx="10">
                  <c:v>68.142857142857139</c:v>
                </c:pt>
                <c:pt idx="11">
                  <c:v>69.428571428571431</c:v>
                </c:pt>
                <c:pt idx="12">
                  <c:v>54.666666666666664</c:v>
                </c:pt>
                <c:pt idx="13">
                  <c:v>29</c:v>
                </c:pt>
                <c:pt idx="14">
                  <c:v>31</c:v>
                </c:pt>
                <c:pt idx="15">
                  <c:v>15.666666666666668</c:v>
                </c:pt>
                <c:pt idx="16">
                  <c:v>9.6666666666666661</c:v>
                </c:pt>
                <c:pt idx="17">
                  <c:v>5</c:v>
                </c:pt>
                <c:pt idx="18">
                  <c:v>4.6666666666666661</c:v>
                </c:pt>
                <c:pt idx="19">
                  <c:v>3</c:v>
                </c:pt>
                <c:pt idx="20">
                  <c:v>4.3333333333333339</c:v>
                </c:pt>
                <c:pt idx="21">
                  <c:v>8.6666666666666643</c:v>
                </c:pt>
                <c:pt idx="22">
                  <c:v>8.6666666666666661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03776"/>
        <c:axId val="85805696"/>
      </c:lineChart>
      <c:catAx>
        <c:axId val="85803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805696"/>
        <c:crosses val="autoZero"/>
        <c:auto val="1"/>
        <c:lblAlgn val="ctr"/>
        <c:lblOffset val="100"/>
        <c:noMultiLvlLbl val="0"/>
      </c:catAx>
      <c:valAx>
        <c:axId val="85805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80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Goli-Nebbi'!$C$107:$N$107</c:f>
              <c:numCache>
                <c:formatCode>0.0%</c:formatCode>
                <c:ptCount val="12"/>
                <c:pt idx="0">
                  <c:v>7.276948918091096E-2</c:v>
                </c:pt>
                <c:pt idx="1">
                  <c:v>9.6334354312814941E-3</c:v>
                </c:pt>
                <c:pt idx="2">
                  <c:v>4.2288311431676745E-2</c:v>
                </c:pt>
                <c:pt idx="3">
                  <c:v>2.4651714257484431E-2</c:v>
                </c:pt>
                <c:pt idx="4">
                  <c:v>3.0629384448177055E-3</c:v>
                </c:pt>
                <c:pt idx="5">
                  <c:v>4.7426143661693509E-3</c:v>
                </c:pt>
                <c:pt idx="6">
                  <c:v>4.5104238711589778E-2</c:v>
                </c:pt>
                <c:pt idx="7">
                  <c:v>5.9776701906926162E-3</c:v>
                </c:pt>
                <c:pt idx="8">
                  <c:v>3.9027764054935274E-3</c:v>
                </c:pt>
                <c:pt idx="9">
                  <c:v>3.2407864835490546E-2</c:v>
                </c:pt>
                <c:pt idx="10">
                  <c:v>0.75501432664756452</c:v>
                </c:pt>
                <c:pt idx="11">
                  <c:v>4.4462009682837654E-4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Goli-Nebbi'!$C$9:$N$9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Goli-Nebbi'!$C$108:$N$108</c:f>
              <c:numCache>
                <c:formatCode>0.00%</c:formatCode>
                <c:ptCount val="12"/>
                <c:pt idx="0">
                  <c:v>0.29703569267997582</c:v>
                </c:pt>
                <c:pt idx="1">
                  <c:v>3.9322444041137328E-2</c:v>
                </c:pt>
                <c:pt idx="2">
                  <c:v>0.17261544666263376</c:v>
                </c:pt>
                <c:pt idx="3">
                  <c:v>0.10062512603347448</c:v>
                </c:pt>
                <c:pt idx="4">
                  <c:v>1.2502520669489817E-2</c:v>
                </c:pt>
                <c:pt idx="5">
                  <c:v>1.9358741681790685E-2</c:v>
                </c:pt>
                <c:pt idx="6">
                  <c:v>0.18410969953619691</c:v>
                </c:pt>
                <c:pt idx="7">
                  <c:v>2.4400080661423667E-2</c:v>
                </c:pt>
                <c:pt idx="8">
                  <c:v>1.593063117564025E-2</c:v>
                </c:pt>
                <c:pt idx="9">
                  <c:v>0.1322847348255696</c:v>
                </c:pt>
                <c:pt idx="11">
                  <c:v>1.8148820326678765E-3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Nebbi-Goli'!$AE$9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Nebbi-Goli'!$R$10:$R$33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Nebbi-Goli'!$AE$10:$AE$33</c:f>
              <c:numCache>
                <c:formatCode>0</c:formatCode>
                <c:ptCount val="24"/>
                <c:pt idx="0">
                  <c:v>11.142857142857141</c:v>
                </c:pt>
                <c:pt idx="1">
                  <c:v>15.714285714285714</c:v>
                </c:pt>
                <c:pt idx="2">
                  <c:v>9.5714285714285694</c:v>
                </c:pt>
                <c:pt idx="3">
                  <c:v>14.142857142857142</c:v>
                </c:pt>
                <c:pt idx="4">
                  <c:v>13.285714285714285</c:v>
                </c:pt>
                <c:pt idx="5">
                  <c:v>17.285714285714285</c:v>
                </c:pt>
                <c:pt idx="6">
                  <c:v>14.571428571428569</c:v>
                </c:pt>
                <c:pt idx="7">
                  <c:v>14.714285714285714</c:v>
                </c:pt>
                <c:pt idx="8">
                  <c:v>16.428571428571427</c:v>
                </c:pt>
                <c:pt idx="9">
                  <c:v>18.857142857142854</c:v>
                </c:pt>
                <c:pt idx="10">
                  <c:v>21.571428571428573</c:v>
                </c:pt>
                <c:pt idx="11">
                  <c:v>16.857142857142858</c:v>
                </c:pt>
                <c:pt idx="12">
                  <c:v>11.5</c:v>
                </c:pt>
                <c:pt idx="13">
                  <c:v>11.5</c:v>
                </c:pt>
                <c:pt idx="14">
                  <c:v>9.5</c:v>
                </c:pt>
                <c:pt idx="15">
                  <c:v>6</c:v>
                </c:pt>
                <c:pt idx="16">
                  <c:v>1.5</c:v>
                </c:pt>
                <c:pt idx="17">
                  <c:v>1</c:v>
                </c:pt>
                <c:pt idx="18">
                  <c:v>2.5</c:v>
                </c:pt>
                <c:pt idx="19">
                  <c:v>0.5</c:v>
                </c:pt>
                <c:pt idx="20">
                  <c:v>1</c:v>
                </c:pt>
                <c:pt idx="21">
                  <c:v>2.5</c:v>
                </c:pt>
                <c:pt idx="22">
                  <c:v>1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Nebbi-Goli'!$AF$9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Nebbi-Goli'!$R$10:$R$33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Nebbi-Goli'!$AF$10:$AF$33</c:f>
              <c:numCache>
                <c:formatCode>0</c:formatCode>
                <c:ptCount val="24"/>
                <c:pt idx="0">
                  <c:v>45</c:v>
                </c:pt>
                <c:pt idx="1">
                  <c:v>63.142857142857139</c:v>
                </c:pt>
                <c:pt idx="2">
                  <c:v>56.571428571428569</c:v>
                </c:pt>
                <c:pt idx="3">
                  <c:v>61.857142857142854</c:v>
                </c:pt>
                <c:pt idx="4">
                  <c:v>60</c:v>
                </c:pt>
                <c:pt idx="5">
                  <c:v>63</c:v>
                </c:pt>
                <c:pt idx="6">
                  <c:v>59.428571428571423</c:v>
                </c:pt>
                <c:pt idx="7">
                  <c:v>53.428571428571431</c:v>
                </c:pt>
                <c:pt idx="8">
                  <c:v>56.285714285714285</c:v>
                </c:pt>
                <c:pt idx="9">
                  <c:v>66.142857142857139</c:v>
                </c:pt>
                <c:pt idx="10">
                  <c:v>66.714285714285722</c:v>
                </c:pt>
                <c:pt idx="11">
                  <c:v>67.857142857142861</c:v>
                </c:pt>
                <c:pt idx="12">
                  <c:v>64.5</c:v>
                </c:pt>
                <c:pt idx="13">
                  <c:v>52.5</c:v>
                </c:pt>
                <c:pt idx="14">
                  <c:v>23</c:v>
                </c:pt>
                <c:pt idx="15">
                  <c:v>20</c:v>
                </c:pt>
                <c:pt idx="16">
                  <c:v>7</c:v>
                </c:pt>
                <c:pt idx="17">
                  <c:v>5.5</c:v>
                </c:pt>
                <c:pt idx="18">
                  <c:v>3.5</c:v>
                </c:pt>
                <c:pt idx="19">
                  <c:v>2</c:v>
                </c:pt>
                <c:pt idx="20">
                  <c:v>3</c:v>
                </c:pt>
                <c:pt idx="21">
                  <c:v>6.5</c:v>
                </c:pt>
                <c:pt idx="22">
                  <c:v>6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25600"/>
        <c:axId val="86427520"/>
      </c:lineChart>
      <c:catAx>
        <c:axId val="86425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427520"/>
        <c:crosses val="autoZero"/>
        <c:auto val="1"/>
        <c:lblAlgn val="ctr"/>
        <c:lblOffset val="100"/>
        <c:noMultiLvlLbl val="0"/>
      </c:catAx>
      <c:valAx>
        <c:axId val="86427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42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Nebbi-Goli'!$C$107:$N$107</c:f>
              <c:numCache>
                <c:formatCode>0.0%</c:formatCode>
                <c:ptCount val="12"/>
                <c:pt idx="0">
                  <c:v>5.405405405405405E-2</c:v>
                </c:pt>
                <c:pt idx="1">
                  <c:v>9.5704769925733062E-3</c:v>
                </c:pt>
                <c:pt idx="2">
                  <c:v>5.0149299441084136E-2</c:v>
                </c:pt>
                <c:pt idx="3">
                  <c:v>3.1620855983462218E-2</c:v>
                </c:pt>
                <c:pt idx="4">
                  <c:v>4.6703927723757734E-3</c:v>
                </c:pt>
                <c:pt idx="5">
                  <c:v>6.5079243549498499E-3</c:v>
                </c:pt>
                <c:pt idx="6">
                  <c:v>4.6091417196233053E-2</c:v>
                </c:pt>
                <c:pt idx="7">
                  <c:v>7.2735625143557133E-3</c:v>
                </c:pt>
                <c:pt idx="8">
                  <c:v>4.9766480361381196E-3</c:v>
                </c:pt>
                <c:pt idx="9">
                  <c:v>3.8435035602174407E-2</c:v>
                </c:pt>
                <c:pt idx="10">
                  <c:v>0.74634407778883693</c:v>
                </c:pt>
                <c:pt idx="11">
                  <c:v>3.0625526376234586E-4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Nebbi-Goli'!$C$9:$N$9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Nebbi-Goli'!$C$108:$N$108</c:f>
              <c:numCache>
                <c:formatCode>0.00%</c:formatCode>
                <c:ptCount val="12"/>
                <c:pt idx="0">
                  <c:v>0.21309990944763058</c:v>
                </c:pt>
                <c:pt idx="1">
                  <c:v>3.7730153939028073E-2</c:v>
                </c:pt>
                <c:pt idx="2">
                  <c:v>0.19770600664050711</c:v>
                </c:pt>
                <c:pt idx="3">
                  <c:v>0.12466042861454878</c:v>
                </c:pt>
                <c:pt idx="4">
                  <c:v>1.8412315122245695E-2</c:v>
                </c:pt>
                <c:pt idx="5">
                  <c:v>2.565650467853909E-2</c:v>
                </c:pt>
                <c:pt idx="6">
                  <c:v>0.18170842137035922</c:v>
                </c:pt>
                <c:pt idx="7">
                  <c:v>2.8674916993661335E-2</c:v>
                </c:pt>
                <c:pt idx="8">
                  <c:v>1.9619680048294598E-2</c:v>
                </c:pt>
                <c:pt idx="9">
                  <c:v>0.15152429821913674</c:v>
                </c:pt>
                <c:pt idx="11">
                  <c:v>1.2073649260488984E-3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Goli-Nebbi-2Dir'!$C$9:$N$9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Goli-Nebbi-2Dir'!$C$107:$N$107</c:f>
              <c:numCache>
                <c:formatCode>0.0%</c:formatCode>
                <c:ptCount val="12"/>
                <c:pt idx="0">
                  <c:v>6.3564587595867778E-2</c:v>
                </c:pt>
                <c:pt idx="1">
                  <c:v>9.6024702825511163E-3</c:v>
                </c:pt>
                <c:pt idx="2">
                  <c:v>4.6154618599922148E-2</c:v>
                </c:pt>
                <c:pt idx="3">
                  <c:v>2.8079380421002414E-2</c:v>
                </c:pt>
                <c:pt idx="4">
                  <c:v>3.8535403617558071E-3</c:v>
                </c:pt>
                <c:pt idx="5">
                  <c:v>5.6108551847063393E-3</c:v>
                </c:pt>
                <c:pt idx="6">
                  <c:v>4.5589767406830899E-2</c:v>
                </c:pt>
                <c:pt idx="7">
                  <c:v>6.6150350835352152E-3</c:v>
                </c:pt>
                <c:pt idx="8">
                  <c:v>4.4309438035824121E-3</c:v>
                </c:pt>
                <c:pt idx="9">
                  <c:v>3.537223693624713E-2</c:v>
                </c:pt>
                <c:pt idx="10">
                  <c:v>0.75074999686193744</c:v>
                </c:pt>
                <c:pt idx="11">
                  <c:v>3.7656746206082809E-4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Goli-Nebbi-2Dir'!$C$9:$N$9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Goli-Nebbi-2Dir'!$C$108:$N$108</c:f>
              <c:numCache>
                <c:formatCode>0.00%</c:formatCode>
                <c:ptCount val="12"/>
                <c:pt idx="0">
                  <c:v>0.25502341743465778</c:v>
                </c:pt>
                <c:pt idx="1">
                  <c:v>3.8525457017676387E-2</c:v>
                </c:pt>
                <c:pt idx="2">
                  <c:v>0.18517399405751114</c:v>
                </c:pt>
                <c:pt idx="3">
                  <c:v>0.11265548673012037</c:v>
                </c:pt>
                <c:pt idx="4">
                  <c:v>1.5460542881603465E-2</c:v>
                </c:pt>
                <c:pt idx="5">
                  <c:v>2.2510953316210915E-2</c:v>
                </c:pt>
                <c:pt idx="6">
                  <c:v>0.18290779070353017</c:v>
                </c:pt>
                <c:pt idx="7">
                  <c:v>2.6539759278843739E-2</c:v>
                </c:pt>
                <c:pt idx="8">
                  <c:v>1.7777106310117346E-2</c:v>
                </c:pt>
                <c:pt idx="9">
                  <c:v>0.14191469003374133</c:v>
                </c:pt>
                <c:pt idx="11">
                  <c:v>1.5108022359873092E-3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Goli-Nebbi-2Dir'!$AE$9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Goli-Nebbi-2Dir'!$R$10:$R$33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Goli-Nebbi-2Dir'!$AE$10:$AE$33</c:f>
              <c:numCache>
                <c:formatCode>0</c:formatCode>
                <c:ptCount val="24"/>
                <c:pt idx="0">
                  <c:v>24.571428571428569</c:v>
                </c:pt>
                <c:pt idx="1">
                  <c:v>31.285714285714288</c:v>
                </c:pt>
                <c:pt idx="2">
                  <c:v>29.571428571428569</c:v>
                </c:pt>
                <c:pt idx="3">
                  <c:v>29.285714285714285</c:v>
                </c:pt>
                <c:pt idx="4">
                  <c:v>27.714285714285715</c:v>
                </c:pt>
                <c:pt idx="5">
                  <c:v>30.857142857142861</c:v>
                </c:pt>
                <c:pt idx="6">
                  <c:v>28.571428571428573</c:v>
                </c:pt>
                <c:pt idx="7">
                  <c:v>29.000000000000007</c:v>
                </c:pt>
                <c:pt idx="8">
                  <c:v>28.714285714285719</c:v>
                </c:pt>
                <c:pt idx="9">
                  <c:v>33.857142857142861</c:v>
                </c:pt>
                <c:pt idx="10">
                  <c:v>37.571428571428569</c:v>
                </c:pt>
                <c:pt idx="11">
                  <c:v>34.285714285714285</c:v>
                </c:pt>
                <c:pt idx="12">
                  <c:v>19.166666666666668</c:v>
                </c:pt>
                <c:pt idx="13">
                  <c:v>17.166666666666664</c:v>
                </c:pt>
                <c:pt idx="14">
                  <c:v>16.166666666666668</c:v>
                </c:pt>
                <c:pt idx="15">
                  <c:v>8.6666666666666661</c:v>
                </c:pt>
                <c:pt idx="16">
                  <c:v>5.1666666666666661</c:v>
                </c:pt>
                <c:pt idx="17">
                  <c:v>3</c:v>
                </c:pt>
                <c:pt idx="18">
                  <c:v>5.5</c:v>
                </c:pt>
                <c:pt idx="19">
                  <c:v>2.1666666666666665</c:v>
                </c:pt>
                <c:pt idx="20">
                  <c:v>2.333333333333333</c:v>
                </c:pt>
                <c:pt idx="21">
                  <c:v>6.8333333333333321</c:v>
                </c:pt>
                <c:pt idx="22">
                  <c:v>6.333333333333333</c:v>
                </c:pt>
                <c:pt idx="23">
                  <c:v>14.999999999999998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33-4F8E-BC10-ED6AE7DD20FB}"/>
            </c:ext>
          </c:extLst>
        </c:ser>
        <c:ser>
          <c:idx val="1"/>
          <c:order val="1"/>
          <c:tx>
            <c:strRef>
              <c:f>'Avg Week Goli-Nebbi-2Dir'!$AF$9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Goli-Nebbi-2Dir'!$R$10:$R$33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Goli-Nebbi-2Dir'!$AF$10:$AF$33</c:f>
              <c:numCache>
                <c:formatCode>0</c:formatCode>
                <c:ptCount val="24"/>
                <c:pt idx="0">
                  <c:v>95.714285714285722</c:v>
                </c:pt>
                <c:pt idx="1">
                  <c:v>124.14285714285714</c:v>
                </c:pt>
                <c:pt idx="2">
                  <c:v>128.28571428571428</c:v>
                </c:pt>
                <c:pt idx="3">
                  <c:v>130.85714285714286</c:v>
                </c:pt>
                <c:pt idx="4">
                  <c:v>129.57142857142856</c:v>
                </c:pt>
                <c:pt idx="5">
                  <c:v>128.14285714285714</c:v>
                </c:pt>
                <c:pt idx="6">
                  <c:v>121.14285714285714</c:v>
                </c:pt>
                <c:pt idx="7">
                  <c:v>112.42857142857144</c:v>
                </c:pt>
                <c:pt idx="8">
                  <c:v>112.71428571428571</c:v>
                </c:pt>
                <c:pt idx="9">
                  <c:v>128.85714285714286</c:v>
                </c:pt>
                <c:pt idx="10">
                  <c:v>134.85714285714286</c:v>
                </c:pt>
                <c:pt idx="11">
                  <c:v>137.28571428571428</c:v>
                </c:pt>
                <c:pt idx="12">
                  <c:v>119.16666666666667</c:v>
                </c:pt>
                <c:pt idx="13">
                  <c:v>81.5</c:v>
                </c:pt>
                <c:pt idx="14">
                  <c:v>54</c:v>
                </c:pt>
                <c:pt idx="15">
                  <c:v>35.666666666666664</c:v>
                </c:pt>
                <c:pt idx="16">
                  <c:v>16.666666666666668</c:v>
                </c:pt>
                <c:pt idx="17">
                  <c:v>10.499999999999998</c:v>
                </c:pt>
                <c:pt idx="18">
                  <c:v>8.1666666666666661</c:v>
                </c:pt>
                <c:pt idx="19">
                  <c:v>5</c:v>
                </c:pt>
                <c:pt idx="20">
                  <c:v>7.3333333333333339</c:v>
                </c:pt>
                <c:pt idx="21">
                  <c:v>15.166666666666664</c:v>
                </c:pt>
                <c:pt idx="22">
                  <c:v>14.666666666666666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33-4F8E-BC10-ED6AE7DD20FB}"/>
            </c:ext>
          </c:extLst>
        </c:ser>
        <c:ser>
          <c:idx val="5"/>
          <c:order val="2"/>
          <c:tx>
            <c:strRef>
              <c:f>'Avg Week Goli-Nebbi-2Dir'!$AC$9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Goli-Nebbi-2Dir'!$R$10:$R$33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Goli-Nebbi-2Dir'!$AC$10:$AC$33</c:f>
              <c:numCache>
                <c:formatCode>0</c:formatCode>
                <c:ptCount val="24"/>
                <c:pt idx="0">
                  <c:v>71.142857142857139</c:v>
                </c:pt>
                <c:pt idx="1">
                  <c:v>92.857142857142861</c:v>
                </c:pt>
                <c:pt idx="2">
                  <c:v>98.714285714285722</c:v>
                </c:pt>
                <c:pt idx="3">
                  <c:v>101.57142857142858</c:v>
                </c:pt>
                <c:pt idx="4">
                  <c:v>101.85714285714285</c:v>
                </c:pt>
                <c:pt idx="5">
                  <c:v>97.285714285714292</c:v>
                </c:pt>
                <c:pt idx="6">
                  <c:v>92.571428571428584</c:v>
                </c:pt>
                <c:pt idx="7">
                  <c:v>83.428571428571416</c:v>
                </c:pt>
                <c:pt idx="8">
                  <c:v>84</c:v>
                </c:pt>
                <c:pt idx="9">
                  <c:v>95</c:v>
                </c:pt>
                <c:pt idx="10">
                  <c:v>97.285714285714292</c:v>
                </c:pt>
                <c:pt idx="11">
                  <c:v>103</c:v>
                </c:pt>
                <c:pt idx="12">
                  <c:v>100.00000000000001</c:v>
                </c:pt>
                <c:pt idx="13">
                  <c:v>64.333333333333343</c:v>
                </c:pt>
                <c:pt idx="14">
                  <c:v>37.833333333333336</c:v>
                </c:pt>
                <c:pt idx="15">
                  <c:v>27</c:v>
                </c:pt>
                <c:pt idx="16">
                  <c:v>11.5</c:v>
                </c:pt>
                <c:pt idx="17">
                  <c:v>7.4999999999999982</c:v>
                </c:pt>
                <c:pt idx="18">
                  <c:v>2.6666666666666665</c:v>
                </c:pt>
                <c:pt idx="19">
                  <c:v>2.833333333333333</c:v>
                </c:pt>
                <c:pt idx="20">
                  <c:v>5</c:v>
                </c:pt>
                <c:pt idx="21">
                  <c:v>8.3333333333333321</c:v>
                </c:pt>
                <c:pt idx="22">
                  <c:v>8.3333333333333321</c:v>
                </c:pt>
                <c:pt idx="23">
                  <c:v>30.000000000000004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33-4F8E-BC10-ED6AE7DD2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Goli-Nebbi-2Dir'!$S$9:$AF$9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Goli-Nebbi-2Dir'!$S$41:$AF$41</c:f>
              <c:numCache>
                <c:formatCode>_(* #,##0_);_(* \(#,##0\);_(* "-"_);_(@_)</c:formatCode>
                <c:ptCount val="14"/>
                <c:pt idx="0">
                  <c:v>120.57142857142858</c:v>
                </c:pt>
                <c:pt idx="1">
                  <c:v>18.214285714285712</c:v>
                </c:pt>
                <c:pt idx="2">
                  <c:v>87.547619047619051</c:v>
                </c:pt>
                <c:pt idx="3">
                  <c:v>53.261904761904759</c:v>
                </c:pt>
                <c:pt idx="4">
                  <c:v>7.3095238095238084</c:v>
                </c:pt>
                <c:pt idx="5">
                  <c:v>10.642857142857142</c:v>
                </c:pt>
                <c:pt idx="6">
                  <c:v>86.476190476190482</c:v>
                </c:pt>
                <c:pt idx="7">
                  <c:v>12.547619047619047</c:v>
                </c:pt>
                <c:pt idx="8">
                  <c:v>8.4047619047619051</c:v>
                </c:pt>
                <c:pt idx="9">
                  <c:v>67.095238095238088</c:v>
                </c:pt>
                <c:pt idx="10">
                  <c:v>1424.0476190476188</c:v>
                </c:pt>
                <c:pt idx="11">
                  <c:v>0.71428571428571419</c:v>
                </c:pt>
                <c:pt idx="12">
                  <c:v>472.78571428571433</c:v>
                </c:pt>
                <c:pt idx="13">
                  <c:v>1896.8333333333337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6-47E0-8FDF-97AD9E48D1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Goli-Nebbi-2Dir'!$S$9:$AF$9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Goli-Nebbi-2Dir'!$S$42:$AF$42</c:f>
              <c:numCache>
                <c:formatCode>0.000</c:formatCode>
                <c:ptCount val="14"/>
                <c:pt idx="0">
                  <c:v>1.3612903225806452</c:v>
                </c:pt>
                <c:pt idx="1">
                  <c:v>1.0897435897435896</c:v>
                </c:pt>
                <c:pt idx="2">
                  <c:v>1.2039947609692205</c:v>
                </c:pt>
                <c:pt idx="3">
                  <c:v>1.0998033431661751</c:v>
                </c:pt>
                <c:pt idx="4">
                  <c:v>1.4212962962962963</c:v>
                </c:pt>
                <c:pt idx="5">
                  <c:v>3.3863636363636367</c:v>
                </c:pt>
                <c:pt idx="6">
                  <c:v>1.3074154067674584</c:v>
                </c:pt>
                <c:pt idx="7">
                  <c:v>1.4398907103825138</c:v>
                </c:pt>
                <c:pt idx="8">
                  <c:v>1.1100628930817611</c:v>
                </c:pt>
                <c:pt idx="9">
                  <c:v>1.4146586345381527</c:v>
                </c:pt>
                <c:pt idx="10">
                  <c:v>1.2729323628314815</c:v>
                </c:pt>
                <c:pt idx="11">
                  <c:v>1</c:v>
                </c:pt>
                <c:pt idx="12">
                  <c:v>1.2942901838091516</c:v>
                </c:pt>
                <c:pt idx="13">
                  <c:v>1.2781895777178798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8-48EA-8FDD-E338C2BEB6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1.xml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35836</xdr:colOff>
      <xdr:row>43</xdr:row>
      <xdr:rowOff>6349</xdr:rowOff>
    </xdr:from>
    <xdr:to>
      <xdr:col>28</xdr:col>
      <xdr:colOff>15875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59</xdr:row>
      <xdr:rowOff>9525</xdr:rowOff>
    </xdr:from>
    <xdr:to>
      <xdr:col>31</xdr:col>
      <xdr:colOff>0</xdr:colOff>
      <xdr:row>74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15876</xdr:colOff>
      <xdr:row>59</xdr:row>
      <xdr:rowOff>15875</xdr:rowOff>
    </xdr:from>
    <xdr:to>
      <xdr:col>23</xdr:col>
      <xdr:colOff>15876</xdr:colOff>
      <xdr:row>74</xdr:row>
      <xdr:rowOff>254000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22224</xdr:rowOff>
    </xdr:from>
    <xdr:to>
      <xdr:col>27</xdr:col>
      <xdr:colOff>698499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60</xdr:row>
      <xdr:rowOff>9525</xdr:rowOff>
    </xdr:from>
    <xdr:to>
      <xdr:col>23</xdr:col>
      <xdr:colOff>0</xdr:colOff>
      <xdr:row>74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60</xdr:row>
      <xdr:rowOff>15876</xdr:rowOff>
    </xdr:from>
    <xdr:to>
      <xdr:col>31</xdr:col>
      <xdr:colOff>15876</xdr:colOff>
      <xdr:row>73</xdr:row>
      <xdr:rowOff>269876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41275</xdr:rowOff>
    </xdr:from>
    <xdr:to>
      <xdr:col>23</xdr:col>
      <xdr:colOff>650874</xdr:colOff>
      <xdr:row>75</xdr:row>
      <xdr:rowOff>47625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75</xdr:row>
      <xdr:rowOff>63500</xdr:rowOff>
    </xdr:from>
    <xdr:to>
      <xdr:col>23</xdr:col>
      <xdr:colOff>650874</xdr:colOff>
      <xdr:row>90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186414</xdr:colOff>
      <xdr:row>59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650875</xdr:colOff>
      <xdr:row>59</xdr:row>
      <xdr:rowOff>47625</xdr:rowOff>
    </xdr:from>
    <xdr:to>
      <xdr:col>30</xdr:col>
      <xdr:colOff>635000</xdr:colOff>
      <xdr:row>75</xdr:row>
      <xdr:rowOff>46038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666750</xdr:colOff>
      <xdr:row>75</xdr:row>
      <xdr:rowOff>63500</xdr:rowOff>
    </xdr:from>
    <xdr:to>
      <xdr:col>30</xdr:col>
      <xdr:colOff>650875</xdr:colOff>
      <xdr:row>91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KURE\Desktop\EDMP-N&amp;E-DATA\NORTHERN%20REGION%20C-5\STN138%20GOLI%20BORDER%20POST\MCC\MCC-C5-STN%20138%20NEBBI-GOLI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"/>
      <sheetName val="RD4 MCC"/>
      <sheetName val="Axle Loads"/>
      <sheetName val="OD"/>
      <sheetName val="AV1 Air Inquiry"/>
      <sheetName val="IW1 OD Ferries"/>
      <sheetName val="EntExit Bus"/>
      <sheetName val="PT2 OD Bus"/>
      <sheetName val="SP"/>
      <sheetName val="Reference Data Codes"/>
      <sheetName val="District Codes"/>
      <sheetName val="Border Codes"/>
      <sheetName val="Zones"/>
    </sheetNames>
    <sheetDataSet>
      <sheetData sheetId="0" refreshError="1"/>
      <sheetData sheetId="1" refreshError="1">
        <row r="802">
          <cell r="R802">
            <v>0</v>
          </cell>
        </row>
        <row r="803"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R804">
            <v>0</v>
          </cell>
          <cell r="S804">
            <v>0</v>
          </cell>
          <cell r="T804">
            <v>0</v>
          </cell>
          <cell r="U804">
            <v>0</v>
          </cell>
        </row>
        <row r="805">
          <cell r="R805">
            <v>0</v>
          </cell>
          <cell r="S805">
            <v>0</v>
          </cell>
          <cell r="T805">
            <v>0</v>
          </cell>
          <cell r="U805">
            <v>0</v>
          </cell>
        </row>
        <row r="806">
          <cell r="R806">
            <v>0</v>
          </cell>
          <cell r="S806">
            <v>2</v>
          </cell>
          <cell r="T806">
            <v>0</v>
          </cell>
          <cell r="U806">
            <v>0</v>
          </cell>
        </row>
        <row r="807">
          <cell r="R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R812">
            <v>0</v>
          </cell>
          <cell r="S812">
            <v>0</v>
          </cell>
          <cell r="T812">
            <v>0</v>
          </cell>
          <cell r="U812">
            <v>0</v>
          </cell>
        </row>
        <row r="813">
          <cell r="R813">
            <v>0</v>
          </cell>
          <cell r="S813">
            <v>1</v>
          </cell>
          <cell r="T813">
            <v>0</v>
          </cell>
          <cell r="U813">
            <v>0</v>
          </cell>
        </row>
        <row r="814">
          <cell r="R814">
            <v>0</v>
          </cell>
          <cell r="S814">
            <v>0</v>
          </cell>
          <cell r="T814">
            <v>0</v>
          </cell>
          <cell r="U814">
            <v>0</v>
          </cell>
        </row>
        <row r="815">
          <cell r="R815">
            <v>0</v>
          </cell>
          <cell r="S815">
            <v>1</v>
          </cell>
          <cell r="T815">
            <v>0</v>
          </cell>
          <cell r="U815">
            <v>0</v>
          </cell>
        </row>
        <row r="816">
          <cell r="R816">
            <v>1</v>
          </cell>
          <cell r="S816">
            <v>1</v>
          </cell>
          <cell r="T816">
            <v>0</v>
          </cell>
          <cell r="U816">
            <v>0</v>
          </cell>
        </row>
        <row r="817">
          <cell r="R817">
            <v>0</v>
          </cell>
          <cell r="S817">
            <v>0</v>
          </cell>
          <cell r="T817">
            <v>0</v>
          </cell>
          <cell r="U817">
            <v>0</v>
          </cell>
        </row>
        <row r="818">
          <cell r="R818">
            <v>0</v>
          </cell>
          <cell r="S818">
            <v>1</v>
          </cell>
          <cell r="T818">
            <v>0</v>
          </cell>
          <cell r="U818">
            <v>0</v>
          </cell>
        </row>
        <row r="819">
          <cell r="R819">
            <v>0</v>
          </cell>
          <cell r="S819">
            <v>0</v>
          </cell>
          <cell r="T819">
            <v>0</v>
          </cell>
          <cell r="U819">
            <v>0</v>
          </cell>
        </row>
        <row r="820">
          <cell r="R820">
            <v>0</v>
          </cell>
          <cell r="S820">
            <v>0</v>
          </cell>
          <cell r="T820">
            <v>0</v>
          </cell>
          <cell r="U820">
            <v>0</v>
          </cell>
        </row>
        <row r="821">
          <cell r="R821">
            <v>0</v>
          </cell>
          <cell r="S821">
            <v>0</v>
          </cell>
          <cell r="T821">
            <v>1</v>
          </cell>
          <cell r="U821">
            <v>0</v>
          </cell>
        </row>
        <row r="822">
          <cell r="R822">
            <v>0</v>
          </cell>
          <cell r="S822">
            <v>1</v>
          </cell>
          <cell r="T822">
            <v>0</v>
          </cell>
          <cell r="U822">
            <v>0</v>
          </cell>
        </row>
        <row r="823">
          <cell r="R823">
            <v>0</v>
          </cell>
          <cell r="S823">
            <v>1</v>
          </cell>
          <cell r="T823">
            <v>0</v>
          </cell>
          <cell r="U823">
            <v>0</v>
          </cell>
        </row>
        <row r="824">
          <cell r="R824">
            <v>0</v>
          </cell>
          <cell r="S824">
            <v>3</v>
          </cell>
          <cell r="T824">
            <v>0</v>
          </cell>
          <cell r="U824">
            <v>0</v>
          </cell>
        </row>
        <row r="825">
          <cell r="R825">
            <v>0</v>
          </cell>
          <cell r="S825">
            <v>0</v>
          </cell>
          <cell r="T825">
            <v>0</v>
          </cell>
          <cell r="U825">
            <v>0</v>
          </cell>
        </row>
        <row r="826">
          <cell r="R826">
            <v>0</v>
          </cell>
          <cell r="S826">
            <v>1</v>
          </cell>
          <cell r="T826">
            <v>0</v>
          </cell>
          <cell r="U826">
            <v>0</v>
          </cell>
        </row>
        <row r="827">
          <cell r="R827">
            <v>0</v>
          </cell>
          <cell r="S827">
            <v>0</v>
          </cell>
          <cell r="T827">
            <v>0</v>
          </cell>
          <cell r="U827">
            <v>0</v>
          </cell>
        </row>
        <row r="828">
          <cell r="R828">
            <v>0</v>
          </cell>
          <cell r="S828">
            <v>1</v>
          </cell>
          <cell r="T828">
            <v>0</v>
          </cell>
          <cell r="U828">
            <v>0</v>
          </cell>
        </row>
        <row r="829">
          <cell r="R829">
            <v>0</v>
          </cell>
          <cell r="S829">
            <v>0</v>
          </cell>
          <cell r="T829">
            <v>1</v>
          </cell>
          <cell r="U829">
            <v>0</v>
          </cell>
        </row>
        <row r="830">
          <cell r="R830">
            <v>0</v>
          </cell>
          <cell r="S830">
            <v>0</v>
          </cell>
          <cell r="T830">
            <v>0</v>
          </cell>
          <cell r="U830">
            <v>0</v>
          </cell>
        </row>
        <row r="831">
          <cell r="R831">
            <v>0</v>
          </cell>
          <cell r="S831">
            <v>1</v>
          </cell>
          <cell r="T831">
            <v>1</v>
          </cell>
          <cell r="U831">
            <v>0</v>
          </cell>
        </row>
        <row r="832">
          <cell r="R832">
            <v>0</v>
          </cell>
          <cell r="S832">
            <v>0</v>
          </cell>
          <cell r="T832">
            <v>0</v>
          </cell>
          <cell r="U832">
            <v>0</v>
          </cell>
        </row>
        <row r="833">
          <cell r="R833">
            <v>0</v>
          </cell>
          <cell r="S833">
            <v>1</v>
          </cell>
          <cell r="T833">
            <v>0</v>
          </cell>
          <cell r="U833">
            <v>0</v>
          </cell>
        </row>
        <row r="834">
          <cell r="R834">
            <v>0</v>
          </cell>
          <cell r="S834">
            <v>0</v>
          </cell>
          <cell r="T834">
            <v>0</v>
          </cell>
          <cell r="U834">
            <v>0</v>
          </cell>
        </row>
        <row r="835">
          <cell r="R835">
            <v>0</v>
          </cell>
          <cell r="S835">
            <v>0</v>
          </cell>
          <cell r="T835">
            <v>0</v>
          </cell>
          <cell r="U835">
            <v>0</v>
          </cell>
        </row>
        <row r="836">
          <cell r="R836">
            <v>0</v>
          </cell>
          <cell r="S836">
            <v>0</v>
          </cell>
          <cell r="T836">
            <v>0</v>
          </cell>
          <cell r="U836">
            <v>0</v>
          </cell>
        </row>
        <row r="837">
          <cell r="R837">
            <v>0</v>
          </cell>
          <cell r="S837">
            <v>0</v>
          </cell>
          <cell r="T837">
            <v>0</v>
          </cell>
          <cell r="U837">
            <v>0</v>
          </cell>
        </row>
        <row r="838">
          <cell r="R838">
            <v>0</v>
          </cell>
          <cell r="S838">
            <v>0</v>
          </cell>
          <cell r="T838">
            <v>1</v>
          </cell>
          <cell r="U838">
            <v>0</v>
          </cell>
        </row>
        <row r="839">
          <cell r="R839">
            <v>0</v>
          </cell>
          <cell r="S839">
            <v>0</v>
          </cell>
          <cell r="T839">
            <v>0</v>
          </cell>
          <cell r="U839">
            <v>0</v>
          </cell>
        </row>
        <row r="840">
          <cell r="R840">
            <v>0</v>
          </cell>
          <cell r="S840">
            <v>0</v>
          </cell>
          <cell r="T840">
            <v>0</v>
          </cell>
          <cell r="U840">
            <v>0</v>
          </cell>
        </row>
        <row r="841">
          <cell r="R841">
            <v>0</v>
          </cell>
          <cell r="S841">
            <v>0</v>
          </cell>
          <cell r="T841">
            <v>0</v>
          </cell>
          <cell r="U841">
            <v>0</v>
          </cell>
        </row>
        <row r="842">
          <cell r="R842">
            <v>0</v>
          </cell>
          <cell r="S842">
            <v>0</v>
          </cell>
          <cell r="T842">
            <v>0</v>
          </cell>
          <cell r="U842">
            <v>0</v>
          </cell>
        </row>
        <row r="843">
          <cell r="R843">
            <v>0</v>
          </cell>
          <cell r="S843">
            <v>0</v>
          </cell>
          <cell r="T843">
            <v>0</v>
          </cell>
          <cell r="U843">
            <v>0</v>
          </cell>
        </row>
        <row r="844">
          <cell r="R844">
            <v>0</v>
          </cell>
          <cell r="S844">
            <v>0</v>
          </cell>
          <cell r="T844">
            <v>0</v>
          </cell>
          <cell r="U844">
            <v>0</v>
          </cell>
        </row>
        <row r="845">
          <cell r="R845">
            <v>0</v>
          </cell>
          <cell r="S845">
            <v>1</v>
          </cell>
          <cell r="T845">
            <v>0</v>
          </cell>
          <cell r="U845">
            <v>0</v>
          </cell>
        </row>
        <row r="846">
          <cell r="R846">
            <v>0</v>
          </cell>
          <cell r="S846">
            <v>0</v>
          </cell>
          <cell r="T846">
            <v>0</v>
          </cell>
          <cell r="U846">
            <v>0</v>
          </cell>
        </row>
        <row r="847">
          <cell r="R847">
            <v>0</v>
          </cell>
          <cell r="S847">
            <v>0</v>
          </cell>
          <cell r="T847">
            <v>0</v>
          </cell>
          <cell r="U847">
            <v>0</v>
          </cell>
        </row>
        <row r="848">
          <cell r="R848">
            <v>0</v>
          </cell>
          <cell r="S848">
            <v>0</v>
          </cell>
          <cell r="T848">
            <v>0</v>
          </cell>
          <cell r="U848">
            <v>0</v>
          </cell>
        </row>
        <row r="849">
          <cell r="R849">
            <v>0</v>
          </cell>
          <cell r="S849">
            <v>1</v>
          </cell>
          <cell r="T849">
            <v>0</v>
          </cell>
          <cell r="U849">
            <v>0</v>
          </cell>
        </row>
        <row r="850">
          <cell r="R850">
            <v>0</v>
          </cell>
          <cell r="S850">
            <v>0</v>
          </cell>
          <cell r="T850">
            <v>0</v>
          </cell>
          <cell r="U850">
            <v>0</v>
          </cell>
        </row>
        <row r="851">
          <cell r="R851">
            <v>0</v>
          </cell>
          <cell r="S851">
            <v>0</v>
          </cell>
          <cell r="T851">
            <v>0</v>
          </cell>
          <cell r="U851">
            <v>0</v>
          </cell>
        </row>
        <row r="852">
          <cell r="R852">
            <v>0</v>
          </cell>
          <cell r="S852">
            <v>0</v>
          </cell>
          <cell r="T852">
            <v>0</v>
          </cell>
          <cell r="U852">
            <v>0</v>
          </cell>
        </row>
        <row r="853">
          <cell r="R853">
            <v>0</v>
          </cell>
          <cell r="S853">
            <v>0</v>
          </cell>
          <cell r="T853">
            <v>0</v>
          </cell>
          <cell r="U853">
            <v>0</v>
          </cell>
        </row>
        <row r="854">
          <cell r="R854">
            <v>0</v>
          </cell>
          <cell r="S854">
            <v>0</v>
          </cell>
          <cell r="T854">
            <v>0</v>
          </cell>
          <cell r="U854">
            <v>0</v>
          </cell>
        </row>
        <row r="855">
          <cell r="R855">
            <v>0</v>
          </cell>
          <cell r="S855">
            <v>0</v>
          </cell>
          <cell r="T855">
            <v>0</v>
          </cell>
          <cell r="U855">
            <v>0</v>
          </cell>
        </row>
        <row r="856">
          <cell r="R856">
            <v>0</v>
          </cell>
          <cell r="S856">
            <v>0</v>
          </cell>
          <cell r="T856">
            <v>0</v>
          </cell>
          <cell r="U856">
            <v>0</v>
          </cell>
        </row>
        <row r="857">
          <cell r="R857">
            <v>0</v>
          </cell>
          <cell r="S857">
            <v>0</v>
          </cell>
          <cell r="T857">
            <v>0</v>
          </cell>
          <cell r="U857">
            <v>0</v>
          </cell>
        </row>
        <row r="858">
          <cell r="R858">
            <v>0</v>
          </cell>
          <cell r="S858">
            <v>0</v>
          </cell>
          <cell r="T858">
            <v>0</v>
          </cell>
          <cell r="U858">
            <v>0</v>
          </cell>
        </row>
        <row r="859">
          <cell r="R859">
            <v>0</v>
          </cell>
          <cell r="S859">
            <v>0</v>
          </cell>
          <cell r="T859">
            <v>0</v>
          </cell>
          <cell r="U859">
            <v>0</v>
          </cell>
        </row>
        <row r="860">
          <cell r="R860">
            <v>0</v>
          </cell>
          <cell r="S860">
            <v>0</v>
          </cell>
          <cell r="T860">
            <v>0</v>
          </cell>
          <cell r="U860">
            <v>0</v>
          </cell>
        </row>
        <row r="861">
          <cell r="R861">
            <v>0</v>
          </cell>
          <cell r="S861">
            <v>0</v>
          </cell>
          <cell r="T861">
            <v>0</v>
          </cell>
          <cell r="U861">
            <v>0</v>
          </cell>
        </row>
        <row r="862">
          <cell r="R862">
            <v>0</v>
          </cell>
          <cell r="S862">
            <v>1</v>
          </cell>
          <cell r="T862">
            <v>0</v>
          </cell>
          <cell r="U862">
            <v>0</v>
          </cell>
        </row>
        <row r="863">
          <cell r="R863">
            <v>0</v>
          </cell>
          <cell r="S863">
            <v>0</v>
          </cell>
          <cell r="T863">
            <v>0</v>
          </cell>
          <cell r="U863">
            <v>0</v>
          </cell>
        </row>
        <row r="864">
          <cell r="R864">
            <v>0</v>
          </cell>
          <cell r="S864">
            <v>1</v>
          </cell>
          <cell r="T864">
            <v>0</v>
          </cell>
          <cell r="U864">
            <v>0</v>
          </cell>
        </row>
        <row r="865">
          <cell r="R865">
            <v>0</v>
          </cell>
          <cell r="S865">
            <v>1</v>
          </cell>
          <cell r="T865">
            <v>1</v>
          </cell>
          <cell r="U865">
            <v>0</v>
          </cell>
        </row>
        <row r="866">
          <cell r="R866">
            <v>0</v>
          </cell>
          <cell r="S866">
            <v>1</v>
          </cell>
          <cell r="T866">
            <v>0</v>
          </cell>
          <cell r="U866">
            <v>0</v>
          </cell>
        </row>
        <row r="867">
          <cell r="R867">
            <v>0</v>
          </cell>
          <cell r="S867">
            <v>0</v>
          </cell>
          <cell r="T867">
            <v>0</v>
          </cell>
          <cell r="U867">
            <v>0</v>
          </cell>
        </row>
        <row r="868">
          <cell r="R868">
            <v>0</v>
          </cell>
          <cell r="S868">
            <v>1</v>
          </cell>
          <cell r="T868">
            <v>0</v>
          </cell>
          <cell r="U868">
            <v>0</v>
          </cell>
        </row>
        <row r="869">
          <cell r="R869">
            <v>0</v>
          </cell>
          <cell r="S869">
            <v>0</v>
          </cell>
          <cell r="T869">
            <v>0</v>
          </cell>
          <cell r="U869">
            <v>0</v>
          </cell>
        </row>
        <row r="870">
          <cell r="R870">
            <v>0</v>
          </cell>
          <cell r="S870">
            <v>2</v>
          </cell>
          <cell r="T870">
            <v>1</v>
          </cell>
          <cell r="U870">
            <v>0</v>
          </cell>
        </row>
        <row r="871">
          <cell r="R871">
            <v>0</v>
          </cell>
          <cell r="S871">
            <v>0</v>
          </cell>
          <cell r="T871">
            <v>0</v>
          </cell>
          <cell r="U871">
            <v>0</v>
          </cell>
        </row>
        <row r="872">
          <cell r="R872">
            <v>0</v>
          </cell>
          <cell r="S872">
            <v>1</v>
          </cell>
          <cell r="T872">
            <v>0</v>
          </cell>
          <cell r="U872">
            <v>0</v>
          </cell>
        </row>
        <row r="873">
          <cell r="R873">
            <v>0</v>
          </cell>
          <cell r="S873">
            <v>0</v>
          </cell>
          <cell r="T873">
            <v>0</v>
          </cell>
          <cell r="U873">
            <v>0</v>
          </cell>
        </row>
        <row r="874">
          <cell r="R874">
            <v>0</v>
          </cell>
          <cell r="S874">
            <v>1</v>
          </cell>
          <cell r="T874">
            <v>0</v>
          </cell>
          <cell r="U874">
            <v>0</v>
          </cell>
        </row>
        <row r="875">
          <cell r="R875">
            <v>0</v>
          </cell>
          <cell r="S875">
            <v>0</v>
          </cell>
          <cell r="T875">
            <v>0</v>
          </cell>
          <cell r="U875">
            <v>0</v>
          </cell>
        </row>
        <row r="876">
          <cell r="R876">
            <v>0</v>
          </cell>
          <cell r="S876">
            <v>0</v>
          </cell>
          <cell r="T876">
            <v>0</v>
          </cell>
          <cell r="U876">
            <v>0</v>
          </cell>
        </row>
        <row r="877">
          <cell r="R877">
            <v>0</v>
          </cell>
          <cell r="S877">
            <v>0</v>
          </cell>
          <cell r="T877">
            <v>0</v>
          </cell>
          <cell r="U877">
            <v>0</v>
          </cell>
        </row>
        <row r="878">
          <cell r="R878">
            <v>0</v>
          </cell>
          <cell r="S878">
            <v>1</v>
          </cell>
          <cell r="T878">
            <v>1</v>
          </cell>
          <cell r="U878">
            <v>0</v>
          </cell>
        </row>
        <row r="879">
          <cell r="R879">
            <v>0</v>
          </cell>
          <cell r="S879">
            <v>0</v>
          </cell>
          <cell r="T879">
            <v>0</v>
          </cell>
          <cell r="U879">
            <v>0</v>
          </cell>
        </row>
        <row r="880">
          <cell r="R880">
            <v>0</v>
          </cell>
          <cell r="S880">
            <v>0</v>
          </cell>
          <cell r="T880">
            <v>0</v>
          </cell>
          <cell r="U880">
            <v>0</v>
          </cell>
        </row>
        <row r="881">
          <cell r="R881">
            <v>0</v>
          </cell>
          <cell r="S881">
            <v>0</v>
          </cell>
          <cell r="T881">
            <v>0</v>
          </cell>
          <cell r="U881">
            <v>0</v>
          </cell>
        </row>
        <row r="882">
          <cell r="R882">
            <v>0</v>
          </cell>
          <cell r="S882">
            <v>0</v>
          </cell>
          <cell r="T882">
            <v>0</v>
          </cell>
          <cell r="U882">
            <v>0</v>
          </cell>
        </row>
        <row r="883">
          <cell r="R883">
            <v>0</v>
          </cell>
          <cell r="S883">
            <v>0</v>
          </cell>
          <cell r="T883">
            <v>0</v>
          </cell>
          <cell r="U883">
            <v>0</v>
          </cell>
        </row>
        <row r="884">
          <cell r="R884">
            <v>0</v>
          </cell>
          <cell r="S884">
            <v>0</v>
          </cell>
          <cell r="T884">
            <v>0</v>
          </cell>
          <cell r="U884">
            <v>0</v>
          </cell>
        </row>
        <row r="885">
          <cell r="R885">
            <v>0</v>
          </cell>
          <cell r="S885">
            <v>0</v>
          </cell>
          <cell r="T885">
            <v>0</v>
          </cell>
          <cell r="U885">
            <v>0</v>
          </cell>
        </row>
        <row r="886">
          <cell r="R886">
            <v>0</v>
          </cell>
          <cell r="S886">
            <v>1</v>
          </cell>
          <cell r="T886">
            <v>1</v>
          </cell>
          <cell r="U886">
            <v>0</v>
          </cell>
        </row>
        <row r="887">
          <cell r="R887">
            <v>0</v>
          </cell>
          <cell r="S887">
            <v>0</v>
          </cell>
          <cell r="T887">
            <v>1</v>
          </cell>
          <cell r="U887">
            <v>0</v>
          </cell>
        </row>
        <row r="888">
          <cell r="R888">
            <v>0</v>
          </cell>
          <cell r="S888">
            <v>0</v>
          </cell>
          <cell r="T888">
            <v>0</v>
          </cell>
          <cell r="U888">
            <v>0</v>
          </cell>
        </row>
        <row r="889">
          <cell r="R889">
            <v>0</v>
          </cell>
          <cell r="S889">
            <v>0</v>
          </cell>
          <cell r="T889">
            <v>0</v>
          </cell>
          <cell r="U889">
            <v>0</v>
          </cell>
        </row>
        <row r="890">
          <cell r="R890">
            <v>0</v>
          </cell>
          <cell r="S890">
            <v>0</v>
          </cell>
          <cell r="T890">
            <v>0</v>
          </cell>
          <cell r="U890">
            <v>0</v>
          </cell>
        </row>
        <row r="891">
          <cell r="R891">
            <v>0</v>
          </cell>
          <cell r="S891">
            <v>2</v>
          </cell>
          <cell r="T891">
            <v>0</v>
          </cell>
          <cell r="U891">
            <v>0</v>
          </cell>
        </row>
        <row r="892">
          <cell r="R892">
            <v>0</v>
          </cell>
          <cell r="S892">
            <v>0</v>
          </cell>
          <cell r="T892">
            <v>1</v>
          </cell>
          <cell r="U892">
            <v>0</v>
          </cell>
        </row>
        <row r="893">
          <cell r="R893">
            <v>0</v>
          </cell>
          <cell r="S893">
            <v>0</v>
          </cell>
          <cell r="T893">
            <v>0</v>
          </cell>
          <cell r="U893">
            <v>0</v>
          </cell>
        </row>
        <row r="894">
          <cell r="R894">
            <v>0</v>
          </cell>
          <cell r="S894">
            <v>0</v>
          </cell>
          <cell r="T894">
            <v>0</v>
          </cell>
          <cell r="U894">
            <v>0</v>
          </cell>
        </row>
        <row r="895">
          <cell r="R895">
            <v>0</v>
          </cell>
          <cell r="S895">
            <v>0</v>
          </cell>
          <cell r="T895">
            <v>0</v>
          </cell>
          <cell r="U895">
            <v>0</v>
          </cell>
        </row>
        <row r="896">
          <cell r="R896">
            <v>0</v>
          </cell>
          <cell r="S896">
            <v>0</v>
          </cell>
          <cell r="T896">
            <v>0</v>
          </cell>
          <cell r="U896">
            <v>0</v>
          </cell>
        </row>
        <row r="897">
          <cell r="R897">
            <v>0</v>
          </cell>
          <cell r="S897">
            <v>1</v>
          </cell>
          <cell r="T897">
            <v>1</v>
          </cell>
          <cell r="U89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70" zoomScaleSheetLayoutView="7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1" t="s">
        <v>96</v>
      </c>
      <c r="C3" s="61" t="s">
        <v>172</v>
      </c>
      <c r="D3" s="61"/>
      <c r="E3" s="61"/>
      <c r="F3" s="61"/>
      <c r="G3" s="6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56" t="s">
        <v>163</v>
      </c>
      <c r="H5" s="57"/>
      <c r="I5" s="14"/>
      <c r="J5" s="2" t="s">
        <v>5</v>
      </c>
      <c r="K5" s="56" t="s">
        <v>174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163</v>
      </c>
      <c r="E6" s="57"/>
      <c r="F6" s="2" t="s">
        <v>2</v>
      </c>
      <c r="G6" s="56" t="s">
        <v>164</v>
      </c>
      <c r="H6" s="57"/>
      <c r="J6" s="2" t="s">
        <v>21</v>
      </c>
      <c r="K6" s="56" t="s">
        <v>175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f>ROUNDDOWN((0.4*E10),0)</f>
        <v>0</v>
      </c>
      <c r="M10" s="50">
        <v>6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1</v>
      </c>
      <c r="AA10" s="17">
        <f t="shared" si="2"/>
        <v>2</v>
      </c>
      <c r="AB10" s="17">
        <f t="shared" si="2"/>
        <v>0</v>
      </c>
      <c r="AC10" s="17">
        <f t="shared" si="2"/>
        <v>43</v>
      </c>
      <c r="AD10" s="17">
        <f t="shared" si="2"/>
        <v>0</v>
      </c>
      <c r="AE10" s="31">
        <f t="shared" si="2"/>
        <v>13</v>
      </c>
      <c r="AF10" s="31">
        <f t="shared" si="2"/>
        <v>56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2</v>
      </c>
      <c r="P11" s="15">
        <f t="shared" si="1"/>
        <v>8</v>
      </c>
      <c r="R11" s="1" t="s">
        <v>7</v>
      </c>
      <c r="S11" s="17">
        <f t="shared" ref="S11:AF11" si="3">SUM(C14:C17)</f>
        <v>8</v>
      </c>
      <c r="T11" s="17">
        <f t="shared" si="3"/>
        <v>1</v>
      </c>
      <c r="U11" s="17">
        <f t="shared" si="3"/>
        <v>2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52</v>
      </c>
      <c r="AD11" s="17">
        <f t="shared" si="3"/>
        <v>0</v>
      </c>
      <c r="AE11" s="31">
        <f t="shared" si="3"/>
        <v>16</v>
      </c>
      <c r="AF11" s="31">
        <f t="shared" si="3"/>
        <v>68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15</v>
      </c>
      <c r="N12" s="50">
        <v>0</v>
      </c>
      <c r="O12" s="15">
        <f t="shared" si="0"/>
        <v>5</v>
      </c>
      <c r="P12" s="15">
        <f t="shared" si="1"/>
        <v>20</v>
      </c>
      <c r="R12" s="1" t="s">
        <v>8</v>
      </c>
      <c r="S12" s="17">
        <f t="shared" ref="S12:AF12" si="4">SUM(C18:C21)</f>
        <v>8</v>
      </c>
      <c r="T12" s="17">
        <f t="shared" si="4"/>
        <v>2</v>
      </c>
      <c r="U12" s="17">
        <f t="shared" si="4"/>
        <v>5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3</v>
      </c>
      <c r="AB12" s="17">
        <f t="shared" si="4"/>
        <v>4</v>
      </c>
      <c r="AC12" s="17">
        <f t="shared" si="4"/>
        <v>59</v>
      </c>
      <c r="AD12" s="17">
        <f t="shared" si="4"/>
        <v>0</v>
      </c>
      <c r="AE12" s="31">
        <f t="shared" si="4"/>
        <v>29</v>
      </c>
      <c r="AF12" s="31">
        <f t="shared" si="4"/>
        <v>88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2</v>
      </c>
      <c r="L13" s="50">
        <v>0</v>
      </c>
      <c r="M13" s="50">
        <v>16</v>
      </c>
      <c r="N13" s="50">
        <v>0</v>
      </c>
      <c r="O13" s="15">
        <f t="shared" si="0"/>
        <v>6</v>
      </c>
      <c r="P13" s="15">
        <f t="shared" si="1"/>
        <v>22</v>
      </c>
      <c r="R13" s="1" t="s">
        <v>9</v>
      </c>
      <c r="S13" s="17">
        <f t="shared" ref="S13:AF13" si="5">SUM(C22:C25)</f>
        <v>5</v>
      </c>
      <c r="T13" s="17">
        <f t="shared" si="5"/>
        <v>1</v>
      </c>
      <c r="U13" s="17">
        <f t="shared" si="5"/>
        <v>3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63</v>
      </c>
      <c r="AD13" s="17">
        <f t="shared" si="5"/>
        <v>0</v>
      </c>
      <c r="AE13" s="31">
        <f t="shared" si="5"/>
        <v>14</v>
      </c>
      <c r="AF13" s="31">
        <f t="shared" si="5"/>
        <v>77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3</v>
      </c>
      <c r="P14" s="15">
        <f t="shared" si="1"/>
        <v>9</v>
      </c>
      <c r="R14" s="1" t="s">
        <v>10</v>
      </c>
      <c r="S14" s="17">
        <f t="shared" ref="S14:AF14" si="6">SUM(C26:C29)</f>
        <v>4</v>
      </c>
      <c r="T14" s="17">
        <f t="shared" si="6"/>
        <v>2</v>
      </c>
      <c r="U14" s="17">
        <f t="shared" si="6"/>
        <v>4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2</v>
      </c>
      <c r="AC14" s="17">
        <f t="shared" si="6"/>
        <v>40</v>
      </c>
      <c r="AD14" s="17">
        <f t="shared" si="6"/>
        <v>0</v>
      </c>
      <c r="AE14" s="31">
        <f t="shared" si="6"/>
        <v>15</v>
      </c>
      <c r="AF14" s="31">
        <f t="shared" si="6"/>
        <v>55</v>
      </c>
    </row>
    <row r="15" spans="2:32" ht="23.1" customHeight="1" x14ac:dyDescent="0.25">
      <c r="B15" s="23" t="s">
        <v>42</v>
      </c>
      <c r="C15" s="50">
        <v>2</v>
      </c>
      <c r="D15" s="50">
        <v>1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5</v>
      </c>
      <c r="P15" s="15">
        <f t="shared" si="1"/>
        <v>15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2</v>
      </c>
      <c r="V15" s="17">
        <f t="shared" si="7"/>
        <v>1</v>
      </c>
      <c r="W15" s="17">
        <f t="shared" si="7"/>
        <v>2</v>
      </c>
      <c r="X15" s="17">
        <f t="shared" si="7"/>
        <v>0</v>
      </c>
      <c r="Y15" s="17">
        <f t="shared" si="7"/>
        <v>0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51</v>
      </c>
      <c r="AD15" s="17">
        <f t="shared" si="7"/>
        <v>0</v>
      </c>
      <c r="AE15" s="31">
        <f t="shared" si="7"/>
        <v>12</v>
      </c>
      <c r="AF15" s="31">
        <f t="shared" si="7"/>
        <v>63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1</v>
      </c>
      <c r="K16" s="50">
        <v>1</v>
      </c>
      <c r="L16" s="50">
        <v>0</v>
      </c>
      <c r="M16" s="50">
        <v>18</v>
      </c>
      <c r="N16" s="50">
        <v>0</v>
      </c>
      <c r="O16" s="15">
        <f t="shared" si="0"/>
        <v>5</v>
      </c>
      <c r="P16" s="15">
        <f t="shared" si="1"/>
        <v>23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2</v>
      </c>
      <c r="AC16" s="17">
        <f t="shared" si="8"/>
        <v>53</v>
      </c>
      <c r="AD16" s="17">
        <f t="shared" si="8"/>
        <v>0</v>
      </c>
      <c r="AE16" s="31">
        <f t="shared" si="8"/>
        <v>8</v>
      </c>
      <c r="AF16" s="31">
        <f t="shared" si="8"/>
        <v>61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18</v>
      </c>
      <c r="N17" s="50">
        <v>0</v>
      </c>
      <c r="O17" s="15">
        <f t="shared" si="0"/>
        <v>3</v>
      </c>
      <c r="P17" s="15">
        <f t="shared" si="1"/>
        <v>21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1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5</v>
      </c>
      <c r="AA17" s="17">
        <f t="shared" si="9"/>
        <v>0</v>
      </c>
      <c r="AB17" s="17">
        <f t="shared" si="9"/>
        <v>0</v>
      </c>
      <c r="AC17" s="17">
        <f t="shared" si="9"/>
        <v>38</v>
      </c>
      <c r="AD17" s="17">
        <f t="shared" si="9"/>
        <v>0</v>
      </c>
      <c r="AE17" s="31">
        <f t="shared" si="9"/>
        <v>15</v>
      </c>
      <c r="AF17" s="31">
        <f t="shared" si="9"/>
        <v>53</v>
      </c>
    </row>
    <row r="18" spans="2:32" ht="23.1" customHeight="1" x14ac:dyDescent="0.25">
      <c r="B18" s="23" t="s">
        <v>45</v>
      </c>
      <c r="C18" s="50">
        <v>3</v>
      </c>
      <c r="D18" s="50">
        <v>1</v>
      </c>
      <c r="E18" s="50">
        <v>2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3</v>
      </c>
      <c r="M18" s="50">
        <v>8</v>
      </c>
      <c r="N18" s="50">
        <v>0</v>
      </c>
      <c r="O18" s="15">
        <f t="shared" si="0"/>
        <v>10</v>
      </c>
      <c r="P18" s="15">
        <f t="shared" si="1"/>
        <v>18</v>
      </c>
      <c r="R18" s="1" t="s">
        <v>14</v>
      </c>
      <c r="S18" s="17">
        <f t="shared" ref="S18:AF18" si="10">SUM(C42:C45)</f>
        <v>9</v>
      </c>
      <c r="T18" s="17">
        <f t="shared" si="10"/>
        <v>0</v>
      </c>
      <c r="U18" s="17">
        <f t="shared" si="10"/>
        <v>2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54</v>
      </c>
      <c r="AD18" s="17">
        <f t="shared" si="10"/>
        <v>0</v>
      </c>
      <c r="AE18" s="31">
        <f t="shared" si="10"/>
        <v>19</v>
      </c>
      <c r="AF18" s="31">
        <f t="shared" si="10"/>
        <v>73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3</v>
      </c>
      <c r="G19" s="50">
        <v>0</v>
      </c>
      <c r="H19" s="50">
        <v>0</v>
      </c>
      <c r="I19" s="50">
        <v>1</v>
      </c>
      <c r="J19" s="50">
        <v>1</v>
      </c>
      <c r="K19" s="50">
        <v>3</v>
      </c>
      <c r="L19" s="50">
        <v>1</v>
      </c>
      <c r="M19" s="50">
        <v>16</v>
      </c>
      <c r="N19" s="50">
        <v>0</v>
      </c>
      <c r="O19" s="15">
        <f t="shared" si="0"/>
        <v>11</v>
      </c>
      <c r="P19" s="15">
        <f t="shared" si="1"/>
        <v>27</v>
      </c>
      <c r="R19" s="1" t="s">
        <v>15</v>
      </c>
      <c r="S19" s="17">
        <f t="shared" ref="S19:AF19" si="11">SUM(C46:C49)</f>
        <v>5</v>
      </c>
      <c r="T19" s="17">
        <f t="shared" si="11"/>
        <v>1</v>
      </c>
      <c r="U19" s="17">
        <f t="shared" si="11"/>
        <v>2</v>
      </c>
      <c r="V19" s="17">
        <f t="shared" si="11"/>
        <v>0</v>
      </c>
      <c r="W19" s="17">
        <f t="shared" si="11"/>
        <v>1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0</v>
      </c>
      <c r="AB19" s="17">
        <f t="shared" si="11"/>
        <v>2</v>
      </c>
      <c r="AC19" s="17">
        <f t="shared" si="11"/>
        <v>39</v>
      </c>
      <c r="AD19" s="17">
        <f t="shared" si="11"/>
        <v>0</v>
      </c>
      <c r="AE19" s="31">
        <f t="shared" si="11"/>
        <v>15</v>
      </c>
      <c r="AF19" s="31">
        <f t="shared" si="11"/>
        <v>54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19</v>
      </c>
      <c r="N20" s="50">
        <v>0</v>
      </c>
      <c r="O20" s="15">
        <f t="shared" si="0"/>
        <v>5</v>
      </c>
      <c r="P20" s="15">
        <f t="shared" si="1"/>
        <v>24</v>
      </c>
      <c r="R20" s="1" t="s">
        <v>16</v>
      </c>
      <c r="S20" s="17">
        <f t="shared" ref="S20:AF20" si="12">SUM(C50:C53)</f>
        <v>6</v>
      </c>
      <c r="T20" s="17">
        <f t="shared" si="12"/>
        <v>1</v>
      </c>
      <c r="U20" s="17">
        <f t="shared" si="12"/>
        <v>4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1</v>
      </c>
      <c r="AA20" s="17">
        <f t="shared" si="12"/>
        <v>1</v>
      </c>
      <c r="AB20" s="17">
        <f t="shared" si="12"/>
        <v>1</v>
      </c>
      <c r="AC20" s="17">
        <f t="shared" si="12"/>
        <v>69</v>
      </c>
      <c r="AD20" s="17">
        <f t="shared" si="12"/>
        <v>0</v>
      </c>
      <c r="AE20" s="31">
        <f t="shared" si="12"/>
        <v>18</v>
      </c>
      <c r="AF20" s="31">
        <f t="shared" si="12"/>
        <v>87</v>
      </c>
    </row>
    <row r="21" spans="2:32" ht="23.1" customHeight="1" x14ac:dyDescent="0.25">
      <c r="B21" s="23" t="s">
        <v>48</v>
      </c>
      <c r="C21" s="50">
        <v>1</v>
      </c>
      <c r="D21" s="50">
        <v>1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16</v>
      </c>
      <c r="N21" s="50">
        <v>0</v>
      </c>
      <c r="O21" s="15">
        <f t="shared" si="0"/>
        <v>3</v>
      </c>
      <c r="P21" s="15">
        <f t="shared" si="1"/>
        <v>19</v>
      </c>
      <c r="R21" s="36" t="s">
        <v>20</v>
      </c>
      <c r="S21" s="34">
        <f t="shared" ref="S21:AF21" si="13">SUM(C54:C57)</f>
        <v>4</v>
      </c>
      <c r="T21" s="17">
        <f t="shared" si="13"/>
        <v>2</v>
      </c>
      <c r="U21" s="17">
        <f t="shared" si="13"/>
        <v>5</v>
      </c>
      <c r="V21" s="17">
        <f t="shared" si="13"/>
        <v>3</v>
      </c>
      <c r="W21" s="17">
        <f t="shared" si="13"/>
        <v>1</v>
      </c>
      <c r="X21" s="17">
        <f t="shared" si="13"/>
        <v>1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1</v>
      </c>
      <c r="AC21" s="17">
        <f t="shared" si="13"/>
        <v>72</v>
      </c>
      <c r="AD21" s="17">
        <f t="shared" si="13"/>
        <v>0</v>
      </c>
      <c r="AE21" s="31">
        <f t="shared" si="13"/>
        <v>20</v>
      </c>
      <c r="AF21" s="31">
        <f t="shared" si="13"/>
        <v>92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19</v>
      </c>
      <c r="N22" s="50">
        <v>0</v>
      </c>
      <c r="O22" s="15">
        <f t="shared" si="0"/>
        <v>1</v>
      </c>
      <c r="P22" s="15">
        <f t="shared" si="1"/>
        <v>20</v>
      </c>
      <c r="R22" s="38" t="s">
        <v>90</v>
      </c>
      <c r="S22" s="39">
        <f>MAX(S10:S12)</f>
        <v>8</v>
      </c>
      <c r="T22" s="39">
        <f t="shared" ref="T22:AF22" si="14">MAX(T10:T12)</f>
        <v>2</v>
      </c>
      <c r="U22" s="39">
        <f t="shared" si="14"/>
        <v>5</v>
      </c>
      <c r="V22" s="39">
        <f t="shared" si="14"/>
        <v>4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2</v>
      </c>
      <c r="AA22" s="39">
        <f t="shared" si="14"/>
        <v>3</v>
      </c>
      <c r="AB22" s="39">
        <f t="shared" si="14"/>
        <v>4</v>
      </c>
      <c r="AC22" s="39">
        <f t="shared" si="14"/>
        <v>59</v>
      </c>
      <c r="AD22" s="39">
        <f t="shared" si="14"/>
        <v>0</v>
      </c>
      <c r="AE22" s="40">
        <f t="shared" si="14"/>
        <v>29</v>
      </c>
      <c r="AF22" s="40">
        <f t="shared" si="14"/>
        <v>88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5</v>
      </c>
      <c r="P23" s="15">
        <f t="shared" si="1"/>
        <v>18</v>
      </c>
      <c r="R23" s="38" t="s">
        <v>91</v>
      </c>
      <c r="S23" s="39">
        <f>MAX(S13:S18)</f>
        <v>9</v>
      </c>
      <c r="T23" s="39">
        <f t="shared" ref="T23:AF23" si="15">MAX(T13:T18)</f>
        <v>2</v>
      </c>
      <c r="U23" s="39">
        <f t="shared" si="15"/>
        <v>4</v>
      </c>
      <c r="V23" s="39">
        <f t="shared" si="15"/>
        <v>5</v>
      </c>
      <c r="W23" s="39">
        <f t="shared" si="15"/>
        <v>2</v>
      </c>
      <c r="X23" s="39">
        <f t="shared" si="15"/>
        <v>0</v>
      </c>
      <c r="Y23" s="39">
        <f t="shared" si="15"/>
        <v>5</v>
      </c>
      <c r="Z23" s="39">
        <f t="shared" si="15"/>
        <v>5</v>
      </c>
      <c r="AA23" s="39">
        <f t="shared" si="15"/>
        <v>2</v>
      </c>
      <c r="AB23" s="39">
        <f t="shared" si="15"/>
        <v>2</v>
      </c>
      <c r="AC23" s="39">
        <f t="shared" si="15"/>
        <v>63</v>
      </c>
      <c r="AD23" s="39">
        <f t="shared" si="15"/>
        <v>0</v>
      </c>
      <c r="AE23" s="40">
        <f t="shared" si="15"/>
        <v>19</v>
      </c>
      <c r="AF23" s="40">
        <f t="shared" si="15"/>
        <v>77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3</v>
      </c>
      <c r="K24" s="50">
        <v>0</v>
      </c>
      <c r="L24" s="50">
        <v>0</v>
      </c>
      <c r="M24" s="50">
        <v>18</v>
      </c>
      <c r="N24" s="50">
        <v>0</v>
      </c>
      <c r="O24" s="15">
        <f t="shared" si="0"/>
        <v>6</v>
      </c>
      <c r="P24" s="15">
        <f t="shared" si="1"/>
        <v>24</v>
      </c>
      <c r="R24" s="38" t="s">
        <v>92</v>
      </c>
      <c r="S24" s="39">
        <f>MAX(S19:S21)</f>
        <v>6</v>
      </c>
      <c r="T24" s="39">
        <f t="shared" ref="T24:AF24" si="16">MAX(T19:T21)</f>
        <v>2</v>
      </c>
      <c r="U24" s="39">
        <f t="shared" si="16"/>
        <v>5</v>
      </c>
      <c r="V24" s="39">
        <f t="shared" si="16"/>
        <v>3</v>
      </c>
      <c r="W24" s="39">
        <f t="shared" si="16"/>
        <v>1</v>
      </c>
      <c r="X24" s="39">
        <f t="shared" si="16"/>
        <v>1</v>
      </c>
      <c r="Y24" s="39">
        <f t="shared" si="16"/>
        <v>3</v>
      </c>
      <c r="Z24" s="39">
        <f t="shared" si="16"/>
        <v>1</v>
      </c>
      <c r="AA24" s="39">
        <f t="shared" si="16"/>
        <v>1</v>
      </c>
      <c r="AB24" s="39">
        <f t="shared" si="16"/>
        <v>2</v>
      </c>
      <c r="AC24" s="39">
        <f t="shared" si="16"/>
        <v>72</v>
      </c>
      <c r="AD24" s="39">
        <f t="shared" si="16"/>
        <v>0</v>
      </c>
      <c r="AE24" s="40">
        <f t="shared" si="16"/>
        <v>20</v>
      </c>
      <c r="AF24" s="40">
        <f t="shared" si="16"/>
        <v>92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2</v>
      </c>
      <c r="P25" s="15">
        <f t="shared" si="1"/>
        <v>15</v>
      </c>
      <c r="R25" s="37" t="s">
        <v>85</v>
      </c>
      <c r="S25" s="35">
        <f t="shared" ref="S25:AF25" si="17">SUM(S10:S12)</f>
        <v>22</v>
      </c>
      <c r="T25" s="16">
        <f t="shared" si="17"/>
        <v>3</v>
      </c>
      <c r="U25" s="16">
        <f t="shared" si="17"/>
        <v>8</v>
      </c>
      <c r="V25" s="16">
        <f t="shared" si="17"/>
        <v>6</v>
      </c>
      <c r="W25" s="16">
        <f t="shared" si="17"/>
        <v>0</v>
      </c>
      <c r="X25" s="16">
        <f t="shared" si="17"/>
        <v>0</v>
      </c>
      <c r="Y25" s="16">
        <f t="shared" si="17"/>
        <v>5</v>
      </c>
      <c r="Z25" s="16">
        <f t="shared" si="17"/>
        <v>4</v>
      </c>
      <c r="AA25" s="16">
        <f t="shared" si="17"/>
        <v>6</v>
      </c>
      <c r="AB25" s="16">
        <f t="shared" si="17"/>
        <v>4</v>
      </c>
      <c r="AC25" s="16">
        <f t="shared" si="17"/>
        <v>154</v>
      </c>
      <c r="AD25" s="16">
        <f t="shared" si="17"/>
        <v>0</v>
      </c>
      <c r="AE25" s="32">
        <f t="shared" si="17"/>
        <v>58</v>
      </c>
      <c r="AF25" s="32">
        <f t="shared" si="17"/>
        <v>212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7</v>
      </c>
      <c r="N26" s="50">
        <v>0</v>
      </c>
      <c r="O26" s="15">
        <f t="shared" si="0"/>
        <v>3</v>
      </c>
      <c r="P26" s="15">
        <f t="shared" si="1"/>
        <v>10</v>
      </c>
      <c r="R26" s="28" t="s">
        <v>86</v>
      </c>
      <c r="S26" s="16">
        <f t="shared" ref="S26:AF26" si="18">SUM(S13:S18)</f>
        <v>27</v>
      </c>
      <c r="T26" s="16">
        <f t="shared" si="18"/>
        <v>3</v>
      </c>
      <c r="U26" s="16">
        <f t="shared" si="18"/>
        <v>13</v>
      </c>
      <c r="V26" s="16">
        <f t="shared" si="18"/>
        <v>11</v>
      </c>
      <c r="W26" s="16">
        <f t="shared" si="18"/>
        <v>2</v>
      </c>
      <c r="X26" s="16">
        <f t="shared" si="18"/>
        <v>0</v>
      </c>
      <c r="Y26" s="16">
        <f t="shared" si="18"/>
        <v>10</v>
      </c>
      <c r="Z26" s="16">
        <f t="shared" si="18"/>
        <v>10</v>
      </c>
      <c r="AA26" s="16">
        <f t="shared" si="18"/>
        <v>2</v>
      </c>
      <c r="AB26" s="16">
        <f t="shared" si="18"/>
        <v>5</v>
      </c>
      <c r="AC26" s="16">
        <f t="shared" si="18"/>
        <v>299</v>
      </c>
      <c r="AD26" s="16">
        <f t="shared" si="18"/>
        <v>0</v>
      </c>
      <c r="AE26" s="32">
        <f t="shared" si="18"/>
        <v>83</v>
      </c>
      <c r="AF26" s="32">
        <f t="shared" si="18"/>
        <v>382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13</v>
      </c>
      <c r="N27" s="50">
        <v>0</v>
      </c>
      <c r="O27" s="15">
        <f t="shared" si="0"/>
        <v>0</v>
      </c>
      <c r="P27" s="15">
        <f t="shared" si="1"/>
        <v>13</v>
      </c>
      <c r="R27" s="29" t="s">
        <v>87</v>
      </c>
      <c r="S27" s="16">
        <f t="shared" ref="S27:AF27" si="19">SUM(S19:S21)</f>
        <v>15</v>
      </c>
      <c r="T27" s="16">
        <f t="shared" si="19"/>
        <v>4</v>
      </c>
      <c r="U27" s="16">
        <f t="shared" si="19"/>
        <v>11</v>
      </c>
      <c r="V27" s="16">
        <f t="shared" si="19"/>
        <v>6</v>
      </c>
      <c r="W27" s="16">
        <f t="shared" si="19"/>
        <v>2</v>
      </c>
      <c r="X27" s="16">
        <f t="shared" si="19"/>
        <v>1</v>
      </c>
      <c r="Y27" s="16">
        <f t="shared" si="19"/>
        <v>7</v>
      </c>
      <c r="Z27" s="16">
        <f t="shared" si="19"/>
        <v>2</v>
      </c>
      <c r="AA27" s="16">
        <f t="shared" si="19"/>
        <v>1</v>
      </c>
      <c r="AB27" s="16">
        <f t="shared" si="19"/>
        <v>4</v>
      </c>
      <c r="AC27" s="16">
        <f t="shared" si="19"/>
        <v>180</v>
      </c>
      <c r="AD27" s="16">
        <f t="shared" si="19"/>
        <v>0</v>
      </c>
      <c r="AE27" s="32">
        <f t="shared" si="19"/>
        <v>53</v>
      </c>
      <c r="AF27" s="32">
        <f t="shared" si="19"/>
        <v>233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11</v>
      </c>
      <c r="N28" s="50">
        <v>0</v>
      </c>
      <c r="O28" s="15">
        <f t="shared" si="0"/>
        <v>6</v>
      </c>
      <c r="P28" s="15">
        <f t="shared" si="1"/>
        <v>17</v>
      </c>
      <c r="R28" s="5" t="s">
        <v>17</v>
      </c>
      <c r="S28" s="16">
        <f t="shared" ref="S28:AF28" si="20">SUM(S10:S21)</f>
        <v>64</v>
      </c>
      <c r="T28" s="16">
        <f t="shared" si="20"/>
        <v>10</v>
      </c>
      <c r="U28" s="16">
        <f t="shared" si="20"/>
        <v>32</v>
      </c>
      <c r="V28" s="16">
        <f t="shared" si="20"/>
        <v>23</v>
      </c>
      <c r="W28" s="16">
        <f t="shared" si="20"/>
        <v>4</v>
      </c>
      <c r="X28" s="16">
        <f t="shared" si="20"/>
        <v>1</v>
      </c>
      <c r="Y28" s="16">
        <f t="shared" si="20"/>
        <v>22</v>
      </c>
      <c r="Z28" s="16">
        <f t="shared" si="20"/>
        <v>16</v>
      </c>
      <c r="AA28" s="16">
        <f t="shared" si="20"/>
        <v>9</v>
      </c>
      <c r="AB28" s="16">
        <f t="shared" si="20"/>
        <v>13</v>
      </c>
      <c r="AC28" s="16">
        <f t="shared" si="20"/>
        <v>633</v>
      </c>
      <c r="AD28" s="16">
        <f t="shared" si="20"/>
        <v>0</v>
      </c>
      <c r="AE28" s="32">
        <f t="shared" si="20"/>
        <v>194</v>
      </c>
      <c r="AF28" s="32">
        <f t="shared" si="20"/>
        <v>827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2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2</v>
      </c>
      <c r="M29" s="50">
        <v>9</v>
      </c>
      <c r="N29" s="50">
        <v>0</v>
      </c>
      <c r="O29" s="15">
        <f t="shared" si="0"/>
        <v>6</v>
      </c>
      <c r="P29" s="15">
        <f t="shared" si="1"/>
        <v>15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2</v>
      </c>
      <c r="L30" s="50">
        <v>0</v>
      </c>
      <c r="M30" s="50">
        <v>17</v>
      </c>
      <c r="N30" s="50">
        <v>0</v>
      </c>
      <c r="O30" s="15">
        <f t="shared" si="0"/>
        <v>6</v>
      </c>
      <c r="P30" s="15">
        <f t="shared" si="1"/>
        <v>23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0</v>
      </c>
      <c r="P31" s="15">
        <f t="shared" si="1"/>
        <v>3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14</v>
      </c>
      <c r="N32" s="50">
        <v>0</v>
      </c>
      <c r="O32" s="15">
        <f t="shared" si="0"/>
        <v>3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1</v>
      </c>
      <c r="G33" s="50">
        <v>2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17</v>
      </c>
      <c r="N33" s="50">
        <v>0</v>
      </c>
      <c r="O33" s="15">
        <f t="shared" si="0"/>
        <v>3</v>
      </c>
      <c r="P33" s="15">
        <f t="shared" si="1"/>
        <v>20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1</v>
      </c>
      <c r="M34" s="50">
        <v>9</v>
      </c>
      <c r="N34" s="50">
        <v>0</v>
      </c>
      <c r="O34" s="15">
        <f t="shared" si="0"/>
        <v>3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18</v>
      </c>
      <c r="N35" s="50">
        <v>0</v>
      </c>
      <c r="O35" s="15">
        <f t="shared" si="0"/>
        <v>3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18</v>
      </c>
      <c r="N36" s="50">
        <v>0</v>
      </c>
      <c r="O36" s="15">
        <f t="shared" si="0"/>
        <v>1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1</v>
      </c>
      <c r="M37" s="50">
        <v>8</v>
      </c>
      <c r="N37" s="50">
        <v>0</v>
      </c>
      <c r="O37" s="15">
        <f t="shared" si="0"/>
        <v>1</v>
      </c>
      <c r="P37" s="15">
        <f t="shared" si="1"/>
        <v>9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2</v>
      </c>
      <c r="P38" s="15">
        <f t="shared" si="1"/>
        <v>12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1</v>
      </c>
      <c r="J39" s="50">
        <v>3</v>
      </c>
      <c r="K39" s="50">
        <v>0</v>
      </c>
      <c r="L39" s="50">
        <v>0</v>
      </c>
      <c r="M39" s="50">
        <v>5</v>
      </c>
      <c r="N39" s="50">
        <v>0</v>
      </c>
      <c r="O39" s="15">
        <f t="shared" si="0"/>
        <v>6</v>
      </c>
      <c r="P39" s="15">
        <f t="shared" si="1"/>
        <v>11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18</v>
      </c>
      <c r="N40" s="50">
        <v>0</v>
      </c>
      <c r="O40" s="15">
        <f t="shared" si="0"/>
        <v>5</v>
      </c>
      <c r="P40" s="15">
        <f t="shared" si="1"/>
        <v>23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2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3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16</v>
      </c>
      <c r="N43" s="50">
        <v>0</v>
      </c>
      <c r="O43" s="15">
        <f t="shared" si="0"/>
        <v>2</v>
      </c>
      <c r="P43" s="15">
        <f t="shared" si="1"/>
        <v>18</v>
      </c>
    </row>
    <row r="44" spans="2:20" ht="23.1" customHeight="1" x14ac:dyDescent="0.25">
      <c r="B44" s="25" t="s">
        <v>71</v>
      </c>
      <c r="C44" s="50">
        <v>6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19</v>
      </c>
      <c r="N44" s="50">
        <v>0</v>
      </c>
      <c r="O44" s="15">
        <f t="shared" si="0"/>
        <v>10</v>
      </c>
      <c r="P44" s="15">
        <f t="shared" si="1"/>
        <v>29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1</v>
      </c>
      <c r="M45" s="50">
        <v>13</v>
      </c>
      <c r="N45" s="50">
        <v>0</v>
      </c>
      <c r="O45" s="15">
        <f t="shared" si="0"/>
        <v>4</v>
      </c>
      <c r="P45" s="15">
        <f t="shared" si="1"/>
        <v>17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2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1</v>
      </c>
      <c r="F47" s="50">
        <v>0</v>
      </c>
      <c r="G47" s="50">
        <v>1</v>
      </c>
      <c r="H47" s="50">
        <v>0</v>
      </c>
      <c r="I47" s="50">
        <v>2</v>
      </c>
      <c r="J47" s="50">
        <v>0</v>
      </c>
      <c r="K47" s="50">
        <v>0</v>
      </c>
      <c r="L47" s="50">
        <v>1</v>
      </c>
      <c r="M47" s="50">
        <v>11</v>
      </c>
      <c r="N47" s="50">
        <v>0</v>
      </c>
      <c r="O47" s="15">
        <f t="shared" si="0"/>
        <v>6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1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1</v>
      </c>
      <c r="M48" s="50">
        <v>11</v>
      </c>
      <c r="N48" s="50">
        <v>0</v>
      </c>
      <c r="O48" s="15">
        <f t="shared" si="0"/>
        <v>6</v>
      </c>
      <c r="P48" s="15">
        <f t="shared" si="1"/>
        <v>17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1</v>
      </c>
      <c r="P49" s="15">
        <f t="shared" si="1"/>
        <v>3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1</v>
      </c>
      <c r="F50" s="50">
        <v>2</v>
      </c>
      <c r="G50" s="50">
        <v>0</v>
      </c>
      <c r="H50" s="50">
        <v>0</v>
      </c>
      <c r="I50" s="50">
        <v>0</v>
      </c>
      <c r="J50" s="50">
        <v>1</v>
      </c>
      <c r="K50" s="50">
        <v>1</v>
      </c>
      <c r="L50" s="50">
        <v>0</v>
      </c>
      <c r="M50" s="50">
        <v>17</v>
      </c>
      <c r="N50" s="50">
        <v>0</v>
      </c>
      <c r="O50" s="15">
        <f t="shared" si="0"/>
        <v>7</v>
      </c>
      <c r="P50" s="15">
        <f t="shared" si="1"/>
        <v>24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1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1</v>
      </c>
      <c r="M51" s="50">
        <v>7</v>
      </c>
      <c r="N51" s="50">
        <v>0</v>
      </c>
      <c r="O51" s="15">
        <f t="shared" si="0"/>
        <v>5</v>
      </c>
      <c r="P51" s="15">
        <f t="shared" si="1"/>
        <v>12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1</v>
      </c>
      <c r="E52" s="50">
        <v>1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21</v>
      </c>
      <c r="N52" s="50">
        <v>0</v>
      </c>
      <c r="O52" s="15">
        <f t="shared" si="0"/>
        <v>5</v>
      </c>
      <c r="P52" s="15">
        <f t="shared" si="1"/>
        <v>26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24</v>
      </c>
      <c r="N53" s="50">
        <v>0</v>
      </c>
      <c r="O53" s="15">
        <f t="shared" si="0"/>
        <v>1</v>
      </c>
      <c r="P53" s="15">
        <f t="shared" si="1"/>
        <v>25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1</v>
      </c>
      <c r="E54" s="50">
        <v>1</v>
      </c>
      <c r="F54" s="50">
        <v>2</v>
      </c>
      <c r="G54" s="50">
        <v>1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8</v>
      </c>
      <c r="P54" s="15">
        <f t="shared" si="1"/>
        <v>30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16</v>
      </c>
      <c r="N55" s="50">
        <v>0</v>
      </c>
      <c r="O55" s="15">
        <f t="shared" si="0"/>
        <v>4</v>
      </c>
      <c r="P55" s="15">
        <f t="shared" si="1"/>
        <v>20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1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21</v>
      </c>
      <c r="N56" s="50">
        <v>0</v>
      </c>
      <c r="O56" s="15">
        <f t="shared" si="0"/>
        <v>4</v>
      </c>
      <c r="P56" s="15">
        <f t="shared" si="1"/>
        <v>25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1</v>
      </c>
      <c r="F57" s="50">
        <v>0</v>
      </c>
      <c r="G57" s="50">
        <v>0</v>
      </c>
      <c r="H57" s="50">
        <v>1</v>
      </c>
      <c r="I57" s="50">
        <v>0</v>
      </c>
      <c r="J57" s="50">
        <v>0</v>
      </c>
      <c r="K57" s="50">
        <v>0</v>
      </c>
      <c r="L57" s="50">
        <v>1</v>
      </c>
      <c r="M57" s="50">
        <v>13</v>
      </c>
      <c r="N57" s="50">
        <v>0</v>
      </c>
      <c r="O57" s="15">
        <f t="shared" si="0"/>
        <v>4</v>
      </c>
      <c r="P57" s="15">
        <f t="shared" si="1"/>
        <v>17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64</v>
      </c>
      <c r="D58" s="16">
        <f t="shared" si="21"/>
        <v>10</v>
      </c>
      <c r="E58" s="16">
        <f t="shared" si="21"/>
        <v>32</v>
      </c>
      <c r="F58" s="16">
        <f t="shared" si="21"/>
        <v>23</v>
      </c>
      <c r="G58" s="16">
        <f t="shared" si="21"/>
        <v>4</v>
      </c>
      <c r="H58" s="16">
        <f t="shared" si="21"/>
        <v>1</v>
      </c>
      <c r="I58" s="16">
        <f t="shared" si="21"/>
        <v>22</v>
      </c>
      <c r="J58" s="16">
        <f t="shared" si="21"/>
        <v>16</v>
      </c>
      <c r="K58" s="16">
        <f t="shared" si="21"/>
        <v>9</v>
      </c>
      <c r="L58" s="16">
        <f t="shared" si="21"/>
        <v>13</v>
      </c>
      <c r="M58" s="16">
        <f t="shared" si="21"/>
        <v>633</v>
      </c>
      <c r="N58" s="16">
        <f t="shared" si="21"/>
        <v>0</v>
      </c>
      <c r="O58" s="16">
        <f t="shared" si="21"/>
        <v>194</v>
      </c>
      <c r="P58" s="16">
        <f t="shared" si="21"/>
        <v>827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7.7388149939540504E-2</v>
      </c>
      <c r="D59" s="43">
        <f t="shared" si="22"/>
        <v>1.2091898428053204E-2</v>
      </c>
      <c r="E59" s="43">
        <f t="shared" si="22"/>
        <v>3.8694074969770252E-2</v>
      </c>
      <c r="F59" s="43">
        <f t="shared" si="22"/>
        <v>2.7811366384522369E-2</v>
      </c>
      <c r="G59" s="43">
        <f t="shared" si="22"/>
        <v>4.8367593712212815E-3</v>
      </c>
      <c r="H59" s="43">
        <f t="shared" si="22"/>
        <v>1.2091898428053204E-3</v>
      </c>
      <c r="I59" s="43">
        <f t="shared" si="22"/>
        <v>2.6602176541717048E-2</v>
      </c>
      <c r="J59" s="43">
        <f t="shared" si="22"/>
        <v>1.9347037484885126E-2</v>
      </c>
      <c r="K59" s="43">
        <f t="shared" si="22"/>
        <v>1.0882708585247884E-2</v>
      </c>
      <c r="L59" s="43">
        <f t="shared" si="22"/>
        <v>1.5719467956469165E-2</v>
      </c>
      <c r="M59" s="43">
        <f t="shared" si="22"/>
        <v>0.76541717049576785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0.32989690721649484</v>
      </c>
      <c r="D60" s="44">
        <f t="shared" ref="D60:N60" si="23">D58/$O$58</f>
        <v>5.1546391752577317E-2</v>
      </c>
      <c r="E60" s="44">
        <f t="shared" si="23"/>
        <v>0.16494845360824742</v>
      </c>
      <c r="F60" s="44">
        <f t="shared" si="23"/>
        <v>0.11855670103092783</v>
      </c>
      <c r="G60" s="44">
        <f t="shared" si="23"/>
        <v>2.0618556701030927E-2</v>
      </c>
      <c r="H60" s="44">
        <f t="shared" si="23"/>
        <v>5.1546391752577319E-3</v>
      </c>
      <c r="I60" s="44">
        <f t="shared" si="23"/>
        <v>0.1134020618556701</v>
      </c>
      <c r="J60" s="44">
        <f t="shared" si="23"/>
        <v>8.247422680412371E-2</v>
      </c>
      <c r="K60" s="44">
        <f t="shared" si="23"/>
        <v>4.6391752577319589E-2</v>
      </c>
      <c r="L60" s="44">
        <f t="shared" si="23"/>
        <v>6.7010309278350513E-2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Goli-Nebbi'!C3:G3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Goli-Nebbi'!D5</f>
        <v>31.07.19</v>
      </c>
      <c r="E5" s="3"/>
      <c r="F5" s="41" t="s">
        <v>1</v>
      </c>
      <c r="G5" s="62" t="str">
        <f>'31.07 Goli-Nebbi'!G5:H5</f>
        <v>Goli</v>
      </c>
      <c r="H5" s="63"/>
      <c r="I5" s="14"/>
      <c r="J5" s="2" t="s">
        <v>5</v>
      </c>
      <c r="K5" s="62" t="str">
        <f>'31.07 Goli-Nebbi'!K5:L5</f>
        <v>Moreen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164</v>
      </c>
      <c r="E6" s="57"/>
      <c r="F6" s="2" t="s">
        <v>2</v>
      </c>
      <c r="G6" s="56" t="s">
        <v>163</v>
      </c>
      <c r="H6" s="57"/>
      <c r="J6" s="2" t="s">
        <v>21</v>
      </c>
      <c r="K6" s="62" t="str">
        <f>'31.07 Goli-Nebbi'!K6:L6</f>
        <v>Herbert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f>ROUNDDOWN((0.4*E10),0)</f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1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1</v>
      </c>
      <c r="AC10" s="17">
        <f t="shared" si="2"/>
        <v>32</v>
      </c>
      <c r="AD10" s="17">
        <f t="shared" si="2"/>
        <v>0</v>
      </c>
      <c r="AE10" s="31">
        <f t="shared" si="2"/>
        <v>5</v>
      </c>
      <c r="AF10" s="31">
        <f t="shared" si="2"/>
        <v>37</v>
      </c>
    </row>
    <row r="11" spans="2:32" s="6" customFormat="1" ht="23.1" customHeight="1" x14ac:dyDescent="0.25">
      <c r="B11" s="23" t="s">
        <v>38</v>
      </c>
      <c r="C11" s="50">
        <v>0</v>
      </c>
      <c r="D11" s="50">
        <f t="shared" ref="D11:D57" si="3">ROUNDDOWN((0.4*E11),0)</f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0</v>
      </c>
      <c r="P11" s="15">
        <f t="shared" si="1"/>
        <v>7</v>
      </c>
      <c r="R11" s="1" t="s">
        <v>7</v>
      </c>
      <c r="S11" s="17">
        <f t="shared" ref="S11:AF11" si="4">SUM(C14:C17)</f>
        <v>3</v>
      </c>
      <c r="T11" s="17">
        <f t="shared" si="4"/>
        <v>0</v>
      </c>
      <c r="U11" s="17">
        <f t="shared" si="4"/>
        <v>0</v>
      </c>
      <c r="V11" s="17">
        <f t="shared" si="4"/>
        <v>1</v>
      </c>
      <c r="W11" s="17">
        <f t="shared" si="4"/>
        <v>1</v>
      </c>
      <c r="X11" s="17">
        <f t="shared" si="4"/>
        <v>0</v>
      </c>
      <c r="Y11" s="17">
        <f t="shared" si="4"/>
        <v>1</v>
      </c>
      <c r="Z11" s="17">
        <f t="shared" si="4"/>
        <v>3</v>
      </c>
      <c r="AA11" s="17">
        <f t="shared" si="4"/>
        <v>0</v>
      </c>
      <c r="AB11" s="17">
        <f t="shared" si="4"/>
        <v>0</v>
      </c>
      <c r="AC11" s="17">
        <f t="shared" si="4"/>
        <v>62</v>
      </c>
      <c r="AD11" s="17">
        <f t="shared" si="4"/>
        <v>0</v>
      </c>
      <c r="AE11" s="31">
        <f t="shared" si="4"/>
        <v>9</v>
      </c>
      <c r="AF11" s="31">
        <f t="shared" si="4"/>
        <v>71</v>
      </c>
    </row>
    <row r="12" spans="2:32" ht="23.1" customHeight="1" x14ac:dyDescent="0.25">
      <c r="B12" s="23" t="s">
        <v>39</v>
      </c>
      <c r="C12" s="50">
        <v>0</v>
      </c>
      <c r="D12" s="50">
        <f t="shared" si="3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0</v>
      </c>
      <c r="P12" s="15">
        <f t="shared" si="1"/>
        <v>7</v>
      </c>
      <c r="R12" s="1" t="s">
        <v>8</v>
      </c>
      <c r="S12" s="17">
        <f t="shared" ref="S12:AF12" si="5">SUM(C18:C21)</f>
        <v>3</v>
      </c>
      <c r="T12" s="17">
        <f t="shared" si="5"/>
        <v>0</v>
      </c>
      <c r="U12" s="17">
        <f t="shared" si="5"/>
        <v>1</v>
      </c>
      <c r="V12" s="17">
        <f t="shared" si="5"/>
        <v>2</v>
      </c>
      <c r="W12" s="17">
        <f t="shared" si="5"/>
        <v>0</v>
      </c>
      <c r="X12" s="17">
        <f t="shared" si="5"/>
        <v>0</v>
      </c>
      <c r="Y12" s="17">
        <f t="shared" si="5"/>
        <v>0</v>
      </c>
      <c r="Z12" s="17">
        <f t="shared" si="5"/>
        <v>0</v>
      </c>
      <c r="AA12" s="17">
        <f t="shared" si="5"/>
        <v>0</v>
      </c>
      <c r="AB12" s="17">
        <f t="shared" si="5"/>
        <v>0</v>
      </c>
      <c r="AC12" s="17">
        <f t="shared" si="5"/>
        <v>62</v>
      </c>
      <c r="AD12" s="17">
        <f t="shared" si="5"/>
        <v>0</v>
      </c>
      <c r="AE12" s="31">
        <f t="shared" si="5"/>
        <v>6</v>
      </c>
      <c r="AF12" s="31">
        <f t="shared" si="5"/>
        <v>68</v>
      </c>
    </row>
    <row r="13" spans="2:32" ht="23.1" customHeight="1" x14ac:dyDescent="0.25">
      <c r="B13" s="23" t="s">
        <v>40</v>
      </c>
      <c r="C13" s="50">
        <v>0</v>
      </c>
      <c r="D13" s="50">
        <f t="shared" si="3"/>
        <v>0</v>
      </c>
      <c r="E13" s="50">
        <v>1</v>
      </c>
      <c r="F13" s="50">
        <v>0</v>
      </c>
      <c r="G13" s="50">
        <v>0</v>
      </c>
      <c r="H13" s="50">
        <v>1</v>
      </c>
      <c r="I13" s="50">
        <v>0</v>
      </c>
      <c r="J13" s="50">
        <v>1</v>
      </c>
      <c r="K13" s="50">
        <v>0</v>
      </c>
      <c r="L13" s="50">
        <v>1</v>
      </c>
      <c r="M13" s="50">
        <v>12</v>
      </c>
      <c r="N13" s="50">
        <v>0</v>
      </c>
      <c r="O13" s="15">
        <f t="shared" si="0"/>
        <v>4</v>
      </c>
      <c r="P13" s="15">
        <f t="shared" si="1"/>
        <v>16</v>
      </c>
      <c r="R13" s="1" t="s">
        <v>9</v>
      </c>
      <c r="S13" s="17">
        <f t="shared" ref="S13:AF13" si="6">SUM(C22:C25)</f>
        <v>4</v>
      </c>
      <c r="T13" s="17">
        <f t="shared" si="6"/>
        <v>0</v>
      </c>
      <c r="U13" s="17">
        <f t="shared" si="6"/>
        <v>2</v>
      </c>
      <c r="V13" s="17">
        <f t="shared" si="6"/>
        <v>2</v>
      </c>
      <c r="W13" s="17">
        <f t="shared" si="6"/>
        <v>0</v>
      </c>
      <c r="X13" s="17">
        <f t="shared" si="6"/>
        <v>0</v>
      </c>
      <c r="Y13" s="17">
        <f t="shared" si="6"/>
        <v>0</v>
      </c>
      <c r="Z13" s="17">
        <f t="shared" si="6"/>
        <v>0</v>
      </c>
      <c r="AA13" s="17">
        <f t="shared" si="6"/>
        <v>1</v>
      </c>
      <c r="AB13" s="17">
        <f t="shared" si="6"/>
        <v>4</v>
      </c>
      <c r="AC13" s="17">
        <f t="shared" si="6"/>
        <v>50</v>
      </c>
      <c r="AD13" s="17">
        <f t="shared" si="6"/>
        <v>0</v>
      </c>
      <c r="AE13" s="31">
        <f t="shared" si="6"/>
        <v>13</v>
      </c>
      <c r="AF13" s="31">
        <f t="shared" si="6"/>
        <v>63</v>
      </c>
    </row>
    <row r="14" spans="2:32" ht="23.1" customHeight="1" x14ac:dyDescent="0.25">
      <c r="B14" s="23" t="s">
        <v>41</v>
      </c>
      <c r="C14" s="50">
        <v>0</v>
      </c>
      <c r="D14" s="50">
        <f t="shared" si="3"/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2</v>
      </c>
      <c r="P14" s="15">
        <f t="shared" si="1"/>
        <v>12</v>
      </c>
      <c r="R14" s="1" t="s">
        <v>10</v>
      </c>
      <c r="S14" s="17">
        <f t="shared" ref="S14:AF14" si="7">SUM(C26:C29)</f>
        <v>2</v>
      </c>
      <c r="T14" s="17">
        <f t="shared" si="7"/>
        <v>1</v>
      </c>
      <c r="U14" s="17">
        <f t="shared" si="7"/>
        <v>5</v>
      </c>
      <c r="V14" s="17">
        <f t="shared" si="7"/>
        <v>1</v>
      </c>
      <c r="W14" s="17">
        <f t="shared" si="7"/>
        <v>0</v>
      </c>
      <c r="X14" s="17">
        <f t="shared" si="7"/>
        <v>0</v>
      </c>
      <c r="Y14" s="17">
        <f t="shared" si="7"/>
        <v>2</v>
      </c>
      <c r="Z14" s="17">
        <f t="shared" si="7"/>
        <v>1</v>
      </c>
      <c r="AA14" s="17">
        <f t="shared" si="7"/>
        <v>1</v>
      </c>
      <c r="AB14" s="17">
        <f t="shared" si="7"/>
        <v>3</v>
      </c>
      <c r="AC14" s="17">
        <f t="shared" si="7"/>
        <v>48</v>
      </c>
      <c r="AD14" s="17">
        <f t="shared" si="7"/>
        <v>0</v>
      </c>
      <c r="AE14" s="31">
        <f t="shared" si="7"/>
        <v>16</v>
      </c>
      <c r="AF14" s="31">
        <f t="shared" si="7"/>
        <v>64</v>
      </c>
    </row>
    <row r="15" spans="2:32" ht="23.1" customHeight="1" x14ac:dyDescent="0.25">
      <c r="B15" s="23" t="s">
        <v>42</v>
      </c>
      <c r="C15" s="50">
        <v>2</v>
      </c>
      <c r="D15" s="50">
        <f t="shared" si="3"/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3</v>
      </c>
      <c r="P15" s="15">
        <f t="shared" si="1"/>
        <v>15</v>
      </c>
      <c r="R15" s="1" t="s">
        <v>11</v>
      </c>
      <c r="S15" s="17">
        <f t="shared" ref="S15:AF15" si="8">SUM(C30:C33)</f>
        <v>2</v>
      </c>
      <c r="T15" s="17">
        <f t="shared" si="8"/>
        <v>0</v>
      </c>
      <c r="U15" s="17">
        <f t="shared" si="8"/>
        <v>3</v>
      </c>
      <c r="V15" s="17">
        <f t="shared" si="8"/>
        <v>5</v>
      </c>
      <c r="W15" s="17">
        <f t="shared" si="8"/>
        <v>1</v>
      </c>
      <c r="X15" s="17">
        <f t="shared" si="8"/>
        <v>1</v>
      </c>
      <c r="Y15" s="17">
        <f t="shared" si="8"/>
        <v>3</v>
      </c>
      <c r="Z15" s="17">
        <f t="shared" si="8"/>
        <v>4</v>
      </c>
      <c r="AA15" s="17">
        <f t="shared" si="8"/>
        <v>0</v>
      </c>
      <c r="AB15" s="17">
        <f t="shared" si="8"/>
        <v>3</v>
      </c>
      <c r="AC15" s="17">
        <f t="shared" si="8"/>
        <v>65</v>
      </c>
      <c r="AD15" s="17">
        <f t="shared" si="8"/>
        <v>0</v>
      </c>
      <c r="AE15" s="31">
        <f t="shared" si="8"/>
        <v>22</v>
      </c>
      <c r="AF15" s="31">
        <f t="shared" si="8"/>
        <v>87</v>
      </c>
    </row>
    <row r="16" spans="2:32" ht="23.1" customHeight="1" x14ac:dyDescent="0.25">
      <c r="B16" s="23" t="s">
        <v>43</v>
      </c>
      <c r="C16" s="50">
        <v>0</v>
      </c>
      <c r="D16" s="50">
        <f t="shared" si="3"/>
        <v>0</v>
      </c>
      <c r="E16" s="50">
        <v>0</v>
      </c>
      <c r="F16" s="50">
        <v>0</v>
      </c>
      <c r="G16" s="50">
        <v>1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17</v>
      </c>
      <c r="N16" s="50">
        <v>0</v>
      </c>
      <c r="O16" s="15">
        <f t="shared" si="0"/>
        <v>2</v>
      </c>
      <c r="P16" s="15">
        <f t="shared" si="1"/>
        <v>19</v>
      </c>
      <c r="R16" s="1" t="s">
        <v>12</v>
      </c>
      <c r="S16" s="17">
        <f t="shared" ref="S16:AF16" si="9">SUM(C34:C37)</f>
        <v>2</v>
      </c>
      <c r="T16" s="17">
        <f t="shared" si="9"/>
        <v>1</v>
      </c>
      <c r="U16" s="17">
        <f t="shared" si="9"/>
        <v>6</v>
      </c>
      <c r="V16" s="17">
        <f t="shared" si="9"/>
        <v>3</v>
      </c>
      <c r="W16" s="17">
        <f t="shared" si="9"/>
        <v>0</v>
      </c>
      <c r="X16" s="17">
        <f t="shared" si="9"/>
        <v>0</v>
      </c>
      <c r="Y16" s="17">
        <f t="shared" si="9"/>
        <v>4</v>
      </c>
      <c r="Z16" s="17">
        <f t="shared" si="9"/>
        <v>1</v>
      </c>
      <c r="AA16" s="17">
        <f t="shared" si="9"/>
        <v>0</v>
      </c>
      <c r="AB16" s="17">
        <f t="shared" si="9"/>
        <v>3</v>
      </c>
      <c r="AC16" s="17">
        <f t="shared" si="9"/>
        <v>54</v>
      </c>
      <c r="AD16" s="17">
        <f t="shared" si="9"/>
        <v>0</v>
      </c>
      <c r="AE16" s="31">
        <f t="shared" si="9"/>
        <v>20</v>
      </c>
      <c r="AF16" s="31">
        <f t="shared" si="9"/>
        <v>74</v>
      </c>
    </row>
    <row r="17" spans="2:32" ht="23.1" customHeight="1" x14ac:dyDescent="0.25">
      <c r="B17" s="23" t="s">
        <v>44</v>
      </c>
      <c r="C17" s="50">
        <v>1</v>
      </c>
      <c r="D17" s="50">
        <f t="shared" si="3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23</v>
      </c>
      <c r="N17" s="50">
        <v>0</v>
      </c>
      <c r="O17" s="15">
        <f t="shared" si="0"/>
        <v>2</v>
      </c>
      <c r="P17" s="15">
        <f t="shared" si="1"/>
        <v>25</v>
      </c>
      <c r="R17" s="1" t="s">
        <v>13</v>
      </c>
      <c r="S17" s="17">
        <f t="shared" ref="S17:AF17" si="10">SUM(C38:C41)</f>
        <v>4</v>
      </c>
      <c r="T17" s="17">
        <f t="shared" si="10"/>
        <v>0</v>
      </c>
      <c r="U17" s="17">
        <f t="shared" si="10"/>
        <v>2</v>
      </c>
      <c r="V17" s="17">
        <f t="shared" si="10"/>
        <v>3</v>
      </c>
      <c r="W17" s="17">
        <f t="shared" si="10"/>
        <v>0</v>
      </c>
      <c r="X17" s="17">
        <f t="shared" si="10"/>
        <v>0</v>
      </c>
      <c r="Y17" s="17">
        <f t="shared" si="10"/>
        <v>3</v>
      </c>
      <c r="Z17" s="17">
        <f t="shared" si="10"/>
        <v>1</v>
      </c>
      <c r="AA17" s="17">
        <f t="shared" si="10"/>
        <v>4</v>
      </c>
      <c r="AB17" s="17">
        <f t="shared" si="10"/>
        <v>2</v>
      </c>
      <c r="AC17" s="17">
        <f t="shared" si="10"/>
        <v>45</v>
      </c>
      <c r="AD17" s="17">
        <f t="shared" si="10"/>
        <v>0</v>
      </c>
      <c r="AE17" s="31">
        <f t="shared" si="10"/>
        <v>19</v>
      </c>
      <c r="AF17" s="31">
        <f t="shared" si="10"/>
        <v>64</v>
      </c>
    </row>
    <row r="18" spans="2:32" ht="23.1" customHeight="1" x14ac:dyDescent="0.25">
      <c r="B18" s="23" t="s">
        <v>45</v>
      </c>
      <c r="C18" s="50">
        <v>1</v>
      </c>
      <c r="D18" s="50">
        <f t="shared" si="3"/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2</v>
      </c>
      <c r="P18" s="15">
        <f t="shared" si="1"/>
        <v>13</v>
      </c>
      <c r="R18" s="1" t="s">
        <v>14</v>
      </c>
      <c r="S18" s="17">
        <f t="shared" ref="S18:AF18" si="11">SUM(C42:C45)</f>
        <v>3</v>
      </c>
      <c r="T18" s="17">
        <f t="shared" si="11"/>
        <v>0</v>
      </c>
      <c r="U18" s="17">
        <f t="shared" si="11"/>
        <v>4</v>
      </c>
      <c r="V18" s="17">
        <f t="shared" si="11"/>
        <v>3</v>
      </c>
      <c r="W18" s="17">
        <f t="shared" si="11"/>
        <v>0</v>
      </c>
      <c r="X18" s="17">
        <f t="shared" si="11"/>
        <v>0</v>
      </c>
      <c r="Y18" s="17">
        <f t="shared" si="11"/>
        <v>4</v>
      </c>
      <c r="Z18" s="17">
        <f t="shared" si="11"/>
        <v>1</v>
      </c>
      <c r="AA18" s="17">
        <f t="shared" si="11"/>
        <v>2</v>
      </c>
      <c r="AB18" s="17">
        <f t="shared" si="11"/>
        <v>2</v>
      </c>
      <c r="AC18" s="17">
        <f t="shared" si="11"/>
        <v>47</v>
      </c>
      <c r="AD18" s="17">
        <f t="shared" si="11"/>
        <v>0</v>
      </c>
      <c r="AE18" s="31">
        <f t="shared" si="11"/>
        <v>19</v>
      </c>
      <c r="AF18" s="31">
        <f t="shared" si="11"/>
        <v>66</v>
      </c>
    </row>
    <row r="19" spans="2:32" ht="23.1" customHeight="1" x14ac:dyDescent="0.25">
      <c r="B19" s="23" t="s">
        <v>46</v>
      </c>
      <c r="C19" s="50">
        <v>1</v>
      </c>
      <c r="D19" s="50">
        <f t="shared" si="3"/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1</v>
      </c>
      <c r="P19" s="15">
        <f t="shared" si="1"/>
        <v>21</v>
      </c>
      <c r="R19" s="1" t="s">
        <v>15</v>
      </c>
      <c r="S19" s="17">
        <f t="shared" ref="S19:AF19" si="12">SUM(C46:C49)</f>
        <v>7</v>
      </c>
      <c r="T19" s="17">
        <f t="shared" si="12"/>
        <v>1</v>
      </c>
      <c r="U19" s="17">
        <f t="shared" si="12"/>
        <v>7</v>
      </c>
      <c r="V19" s="17">
        <f t="shared" si="12"/>
        <v>0</v>
      </c>
      <c r="W19" s="17">
        <f t="shared" si="12"/>
        <v>0</v>
      </c>
      <c r="X19" s="17">
        <f t="shared" si="12"/>
        <v>0</v>
      </c>
      <c r="Y19" s="17">
        <f t="shared" si="12"/>
        <v>4</v>
      </c>
      <c r="Z19" s="17">
        <f t="shared" si="12"/>
        <v>1</v>
      </c>
      <c r="AA19" s="17">
        <f t="shared" si="12"/>
        <v>3</v>
      </c>
      <c r="AB19" s="17">
        <f t="shared" si="12"/>
        <v>4</v>
      </c>
      <c r="AC19" s="17">
        <f t="shared" si="12"/>
        <v>61</v>
      </c>
      <c r="AD19" s="17">
        <f t="shared" si="12"/>
        <v>0</v>
      </c>
      <c r="AE19" s="31">
        <f t="shared" si="12"/>
        <v>27</v>
      </c>
      <c r="AF19" s="31">
        <f t="shared" si="12"/>
        <v>88</v>
      </c>
    </row>
    <row r="20" spans="2:32" ht="23.1" customHeight="1" x14ac:dyDescent="0.25">
      <c r="B20" s="23" t="s">
        <v>47</v>
      </c>
      <c r="C20" s="50">
        <v>0</v>
      </c>
      <c r="D20" s="50">
        <f t="shared" si="3"/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19</v>
      </c>
      <c r="N20" s="50">
        <v>0</v>
      </c>
      <c r="O20" s="15">
        <f t="shared" si="0"/>
        <v>2</v>
      </c>
      <c r="P20" s="15">
        <f t="shared" si="1"/>
        <v>21</v>
      </c>
      <c r="R20" s="1" t="s">
        <v>16</v>
      </c>
      <c r="S20" s="17">
        <f t="shared" ref="S20:AF20" si="13">SUM(C50:C53)</f>
        <v>8</v>
      </c>
      <c r="T20" s="17">
        <f t="shared" si="13"/>
        <v>2</v>
      </c>
      <c r="U20" s="17">
        <f t="shared" si="13"/>
        <v>10</v>
      </c>
      <c r="V20" s="17">
        <f t="shared" si="13"/>
        <v>3</v>
      </c>
      <c r="W20" s="17">
        <f t="shared" si="13"/>
        <v>0</v>
      </c>
      <c r="X20" s="17">
        <f t="shared" si="13"/>
        <v>0</v>
      </c>
      <c r="Y20" s="17">
        <f t="shared" si="13"/>
        <v>3</v>
      </c>
      <c r="Z20" s="17">
        <f t="shared" si="13"/>
        <v>1</v>
      </c>
      <c r="AA20" s="17">
        <f t="shared" si="13"/>
        <v>1</v>
      </c>
      <c r="AB20" s="17">
        <f t="shared" si="13"/>
        <v>2</v>
      </c>
      <c r="AC20" s="17">
        <f t="shared" si="13"/>
        <v>63</v>
      </c>
      <c r="AD20" s="17">
        <f t="shared" si="13"/>
        <v>0</v>
      </c>
      <c r="AE20" s="31">
        <f t="shared" si="13"/>
        <v>30</v>
      </c>
      <c r="AF20" s="31">
        <f t="shared" si="13"/>
        <v>93</v>
      </c>
    </row>
    <row r="21" spans="2:32" ht="23.1" customHeight="1" x14ac:dyDescent="0.25">
      <c r="B21" s="23" t="s">
        <v>48</v>
      </c>
      <c r="C21" s="50">
        <v>1</v>
      </c>
      <c r="D21" s="50">
        <f t="shared" si="3"/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12</v>
      </c>
      <c r="N21" s="50">
        <v>0</v>
      </c>
      <c r="O21" s="15">
        <f t="shared" si="0"/>
        <v>1</v>
      </c>
      <c r="P21" s="15">
        <f t="shared" si="1"/>
        <v>13</v>
      </c>
      <c r="R21" s="36" t="s">
        <v>20</v>
      </c>
      <c r="S21" s="34">
        <f t="shared" ref="S21:AF21" si="14">SUM(C54:C57)</f>
        <v>2</v>
      </c>
      <c r="T21" s="17">
        <f t="shared" si="14"/>
        <v>1</v>
      </c>
      <c r="U21" s="17">
        <f t="shared" si="14"/>
        <v>5</v>
      </c>
      <c r="V21" s="17">
        <f t="shared" si="14"/>
        <v>2</v>
      </c>
      <c r="W21" s="17">
        <f t="shared" si="14"/>
        <v>0</v>
      </c>
      <c r="X21" s="17">
        <f t="shared" si="14"/>
        <v>0</v>
      </c>
      <c r="Y21" s="17">
        <f t="shared" si="14"/>
        <v>2</v>
      </c>
      <c r="Z21" s="17">
        <f t="shared" si="14"/>
        <v>1</v>
      </c>
      <c r="AA21" s="17">
        <f t="shared" si="14"/>
        <v>0</v>
      </c>
      <c r="AB21" s="17">
        <f t="shared" si="14"/>
        <v>7</v>
      </c>
      <c r="AC21" s="17">
        <f t="shared" si="14"/>
        <v>78</v>
      </c>
      <c r="AD21" s="17">
        <f t="shared" si="14"/>
        <v>0</v>
      </c>
      <c r="AE21" s="31">
        <f t="shared" si="14"/>
        <v>20</v>
      </c>
      <c r="AF21" s="31">
        <f t="shared" si="14"/>
        <v>98</v>
      </c>
    </row>
    <row r="22" spans="2:32" ht="23.1" customHeight="1" x14ac:dyDescent="0.25">
      <c r="B22" s="23" t="s">
        <v>49</v>
      </c>
      <c r="C22" s="50">
        <v>1</v>
      </c>
      <c r="D22" s="50">
        <f t="shared" si="3"/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1</v>
      </c>
      <c r="P22" s="15">
        <f t="shared" si="1"/>
        <v>12</v>
      </c>
      <c r="R22" s="38" t="s">
        <v>90</v>
      </c>
      <c r="S22" s="39">
        <f>MAX(S10:S12)</f>
        <v>3</v>
      </c>
      <c r="T22" s="39">
        <f t="shared" ref="T22:AF22" si="15">MAX(T10:T12)</f>
        <v>0</v>
      </c>
      <c r="U22" s="39">
        <f t="shared" si="15"/>
        <v>1</v>
      </c>
      <c r="V22" s="39">
        <f t="shared" si="15"/>
        <v>2</v>
      </c>
      <c r="W22" s="39">
        <f t="shared" si="15"/>
        <v>1</v>
      </c>
      <c r="X22" s="39">
        <f t="shared" si="15"/>
        <v>1</v>
      </c>
      <c r="Y22" s="39">
        <f t="shared" si="15"/>
        <v>1</v>
      </c>
      <c r="Z22" s="39">
        <f t="shared" si="15"/>
        <v>3</v>
      </c>
      <c r="AA22" s="39">
        <f t="shared" si="15"/>
        <v>0</v>
      </c>
      <c r="AB22" s="39">
        <f t="shared" si="15"/>
        <v>1</v>
      </c>
      <c r="AC22" s="39">
        <f t="shared" si="15"/>
        <v>62</v>
      </c>
      <c r="AD22" s="39">
        <f t="shared" si="15"/>
        <v>0</v>
      </c>
      <c r="AE22" s="40">
        <f t="shared" si="15"/>
        <v>9</v>
      </c>
      <c r="AF22" s="40">
        <f t="shared" si="15"/>
        <v>71</v>
      </c>
    </row>
    <row r="23" spans="2:32" ht="23.1" customHeight="1" x14ac:dyDescent="0.25">
      <c r="B23" s="23" t="s">
        <v>50</v>
      </c>
      <c r="C23" s="50">
        <v>0</v>
      </c>
      <c r="D23" s="50">
        <f t="shared" si="3"/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1</v>
      </c>
      <c r="L23" s="50">
        <v>4</v>
      </c>
      <c r="M23" s="50">
        <v>20</v>
      </c>
      <c r="N23" s="50">
        <v>0</v>
      </c>
      <c r="O23" s="15">
        <f t="shared" si="0"/>
        <v>6</v>
      </c>
      <c r="P23" s="15">
        <f t="shared" si="1"/>
        <v>26</v>
      </c>
      <c r="R23" s="38" t="s">
        <v>91</v>
      </c>
      <c r="S23" s="39">
        <f>MAX(S13:S18)</f>
        <v>4</v>
      </c>
      <c r="T23" s="39">
        <f t="shared" ref="T23:AF23" si="16">MAX(T13:T18)</f>
        <v>1</v>
      </c>
      <c r="U23" s="39">
        <f t="shared" si="16"/>
        <v>6</v>
      </c>
      <c r="V23" s="39">
        <f t="shared" si="16"/>
        <v>5</v>
      </c>
      <c r="W23" s="39">
        <f t="shared" si="16"/>
        <v>1</v>
      </c>
      <c r="X23" s="39">
        <f t="shared" si="16"/>
        <v>1</v>
      </c>
      <c r="Y23" s="39">
        <f t="shared" si="16"/>
        <v>4</v>
      </c>
      <c r="Z23" s="39">
        <f t="shared" si="16"/>
        <v>4</v>
      </c>
      <c r="AA23" s="39">
        <f t="shared" si="16"/>
        <v>4</v>
      </c>
      <c r="AB23" s="39">
        <f t="shared" si="16"/>
        <v>4</v>
      </c>
      <c r="AC23" s="39">
        <f t="shared" si="16"/>
        <v>65</v>
      </c>
      <c r="AD23" s="39">
        <f t="shared" si="16"/>
        <v>0</v>
      </c>
      <c r="AE23" s="40">
        <f t="shared" si="16"/>
        <v>22</v>
      </c>
      <c r="AF23" s="40">
        <f t="shared" si="16"/>
        <v>87</v>
      </c>
    </row>
    <row r="24" spans="2:32" ht="23.1" customHeight="1" x14ac:dyDescent="0.25">
      <c r="B24" s="23" t="s">
        <v>51</v>
      </c>
      <c r="C24" s="50">
        <v>2</v>
      </c>
      <c r="D24" s="50">
        <f t="shared" si="3"/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15</v>
      </c>
      <c r="N24" s="50">
        <v>0</v>
      </c>
      <c r="O24" s="15">
        <f t="shared" si="0"/>
        <v>2</v>
      </c>
      <c r="P24" s="15">
        <f t="shared" si="1"/>
        <v>17</v>
      </c>
      <c r="R24" s="38" t="s">
        <v>92</v>
      </c>
      <c r="S24" s="39">
        <f>MAX(S19:S21)</f>
        <v>8</v>
      </c>
      <c r="T24" s="39">
        <f t="shared" ref="T24:AF24" si="17">MAX(T19:T21)</f>
        <v>2</v>
      </c>
      <c r="U24" s="39">
        <f t="shared" si="17"/>
        <v>10</v>
      </c>
      <c r="V24" s="39">
        <f t="shared" si="17"/>
        <v>3</v>
      </c>
      <c r="W24" s="39">
        <f t="shared" si="17"/>
        <v>0</v>
      </c>
      <c r="X24" s="39">
        <f t="shared" si="17"/>
        <v>0</v>
      </c>
      <c r="Y24" s="39">
        <f t="shared" si="17"/>
        <v>4</v>
      </c>
      <c r="Z24" s="39">
        <f t="shared" si="17"/>
        <v>1</v>
      </c>
      <c r="AA24" s="39">
        <f t="shared" si="17"/>
        <v>3</v>
      </c>
      <c r="AB24" s="39">
        <f t="shared" si="17"/>
        <v>7</v>
      </c>
      <c r="AC24" s="39">
        <f t="shared" si="17"/>
        <v>78</v>
      </c>
      <c r="AD24" s="39">
        <f t="shared" si="17"/>
        <v>0</v>
      </c>
      <c r="AE24" s="40">
        <f t="shared" si="17"/>
        <v>30</v>
      </c>
      <c r="AF24" s="40">
        <f t="shared" si="17"/>
        <v>98</v>
      </c>
    </row>
    <row r="25" spans="2:32" ht="23.1" customHeight="1" x14ac:dyDescent="0.25">
      <c r="B25" s="23" t="s">
        <v>52</v>
      </c>
      <c r="C25" s="50">
        <v>1</v>
      </c>
      <c r="D25" s="50">
        <f t="shared" si="3"/>
        <v>0</v>
      </c>
      <c r="E25" s="50">
        <v>2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4</v>
      </c>
      <c r="P25" s="15">
        <f t="shared" si="1"/>
        <v>8</v>
      </c>
      <c r="R25" s="37" t="s">
        <v>85</v>
      </c>
      <c r="S25" s="35">
        <f t="shared" ref="S25:AF25" si="18">SUM(S10:S12)</f>
        <v>7</v>
      </c>
      <c r="T25" s="16">
        <f t="shared" si="18"/>
        <v>0</v>
      </c>
      <c r="U25" s="16">
        <f t="shared" si="18"/>
        <v>2</v>
      </c>
      <c r="V25" s="16">
        <f t="shared" si="18"/>
        <v>3</v>
      </c>
      <c r="W25" s="16">
        <f t="shared" si="18"/>
        <v>1</v>
      </c>
      <c r="X25" s="16">
        <f t="shared" si="18"/>
        <v>1</v>
      </c>
      <c r="Y25" s="16">
        <f t="shared" si="18"/>
        <v>1</v>
      </c>
      <c r="Z25" s="16">
        <f t="shared" si="18"/>
        <v>4</v>
      </c>
      <c r="AA25" s="16">
        <f t="shared" si="18"/>
        <v>0</v>
      </c>
      <c r="AB25" s="16">
        <f t="shared" si="18"/>
        <v>1</v>
      </c>
      <c r="AC25" s="16">
        <f t="shared" si="18"/>
        <v>156</v>
      </c>
      <c r="AD25" s="16">
        <f t="shared" si="18"/>
        <v>0</v>
      </c>
      <c r="AE25" s="32">
        <f t="shared" si="18"/>
        <v>20</v>
      </c>
      <c r="AF25" s="32">
        <f t="shared" si="18"/>
        <v>176</v>
      </c>
    </row>
    <row r="26" spans="2:32" ht="23.1" customHeight="1" x14ac:dyDescent="0.25">
      <c r="B26" s="23" t="s">
        <v>53</v>
      </c>
      <c r="C26" s="50">
        <v>0</v>
      </c>
      <c r="D26" s="50">
        <f t="shared" si="3"/>
        <v>0</v>
      </c>
      <c r="E26" s="50">
        <v>2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1</v>
      </c>
      <c r="M26" s="50">
        <v>12</v>
      </c>
      <c r="N26" s="50">
        <v>0</v>
      </c>
      <c r="O26" s="15">
        <f t="shared" si="0"/>
        <v>4</v>
      </c>
      <c r="P26" s="15">
        <f t="shared" si="1"/>
        <v>16</v>
      </c>
      <c r="R26" s="28" t="s">
        <v>86</v>
      </c>
      <c r="S26" s="16">
        <f t="shared" ref="S26:AF26" si="19">SUM(S13:S18)</f>
        <v>17</v>
      </c>
      <c r="T26" s="16">
        <f t="shared" si="19"/>
        <v>2</v>
      </c>
      <c r="U26" s="16">
        <f t="shared" si="19"/>
        <v>22</v>
      </c>
      <c r="V26" s="16">
        <f t="shared" si="19"/>
        <v>17</v>
      </c>
      <c r="W26" s="16">
        <f t="shared" si="19"/>
        <v>1</v>
      </c>
      <c r="X26" s="16">
        <f t="shared" si="19"/>
        <v>1</v>
      </c>
      <c r="Y26" s="16">
        <f t="shared" si="19"/>
        <v>16</v>
      </c>
      <c r="Z26" s="16">
        <f t="shared" si="19"/>
        <v>8</v>
      </c>
      <c r="AA26" s="16">
        <f t="shared" si="19"/>
        <v>8</v>
      </c>
      <c r="AB26" s="16">
        <f t="shared" si="19"/>
        <v>17</v>
      </c>
      <c r="AC26" s="16">
        <f t="shared" si="19"/>
        <v>309</v>
      </c>
      <c r="AD26" s="16">
        <f t="shared" si="19"/>
        <v>0</v>
      </c>
      <c r="AE26" s="32">
        <f t="shared" si="19"/>
        <v>109</v>
      </c>
      <c r="AF26" s="32">
        <f t="shared" si="19"/>
        <v>418</v>
      </c>
    </row>
    <row r="27" spans="2:32" ht="23.1" customHeight="1" x14ac:dyDescent="0.25">
      <c r="B27" s="23" t="s">
        <v>54</v>
      </c>
      <c r="C27" s="50">
        <v>0</v>
      </c>
      <c r="D27" s="50">
        <f t="shared" si="3"/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1</v>
      </c>
      <c r="M27" s="50">
        <v>11</v>
      </c>
      <c r="N27" s="50">
        <v>0</v>
      </c>
      <c r="O27" s="15">
        <f t="shared" si="0"/>
        <v>2</v>
      </c>
      <c r="P27" s="15">
        <f t="shared" si="1"/>
        <v>13</v>
      </c>
      <c r="R27" s="29" t="s">
        <v>87</v>
      </c>
      <c r="S27" s="16">
        <f t="shared" ref="S27:AF27" si="20">SUM(S19:S21)</f>
        <v>17</v>
      </c>
      <c r="T27" s="16">
        <f t="shared" si="20"/>
        <v>4</v>
      </c>
      <c r="U27" s="16">
        <f t="shared" si="20"/>
        <v>22</v>
      </c>
      <c r="V27" s="16">
        <f t="shared" si="20"/>
        <v>5</v>
      </c>
      <c r="W27" s="16">
        <f t="shared" si="20"/>
        <v>0</v>
      </c>
      <c r="X27" s="16">
        <f t="shared" si="20"/>
        <v>0</v>
      </c>
      <c r="Y27" s="16">
        <f t="shared" si="20"/>
        <v>9</v>
      </c>
      <c r="Z27" s="16">
        <f t="shared" si="20"/>
        <v>3</v>
      </c>
      <c r="AA27" s="16">
        <f t="shared" si="20"/>
        <v>4</v>
      </c>
      <c r="AB27" s="16">
        <f t="shared" si="20"/>
        <v>13</v>
      </c>
      <c r="AC27" s="16">
        <f t="shared" si="20"/>
        <v>202</v>
      </c>
      <c r="AD27" s="16">
        <f t="shared" si="20"/>
        <v>0</v>
      </c>
      <c r="AE27" s="32">
        <f t="shared" si="20"/>
        <v>77</v>
      </c>
      <c r="AF27" s="32">
        <f t="shared" si="20"/>
        <v>279</v>
      </c>
    </row>
    <row r="28" spans="2:32" ht="23.1" customHeight="1" x14ac:dyDescent="0.25">
      <c r="B28" s="23" t="s">
        <v>55</v>
      </c>
      <c r="C28" s="50">
        <v>0</v>
      </c>
      <c r="D28" s="50">
        <f t="shared" si="3"/>
        <v>1</v>
      </c>
      <c r="E28" s="50">
        <v>3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4</v>
      </c>
      <c r="P28" s="15">
        <f t="shared" si="1"/>
        <v>16</v>
      </c>
      <c r="R28" s="5" t="s">
        <v>17</v>
      </c>
      <c r="S28" s="16">
        <f t="shared" ref="S28:AF28" si="21">SUM(S10:S21)</f>
        <v>41</v>
      </c>
      <c r="T28" s="16">
        <f t="shared" si="21"/>
        <v>6</v>
      </c>
      <c r="U28" s="16">
        <f t="shared" si="21"/>
        <v>46</v>
      </c>
      <c r="V28" s="16">
        <f t="shared" si="21"/>
        <v>25</v>
      </c>
      <c r="W28" s="16">
        <f t="shared" si="21"/>
        <v>2</v>
      </c>
      <c r="X28" s="16">
        <f t="shared" si="21"/>
        <v>2</v>
      </c>
      <c r="Y28" s="16">
        <f t="shared" si="21"/>
        <v>26</v>
      </c>
      <c r="Z28" s="16">
        <f t="shared" si="21"/>
        <v>15</v>
      </c>
      <c r="AA28" s="16">
        <f t="shared" si="21"/>
        <v>12</v>
      </c>
      <c r="AB28" s="16">
        <f t="shared" si="21"/>
        <v>31</v>
      </c>
      <c r="AC28" s="16">
        <f t="shared" si="21"/>
        <v>667</v>
      </c>
      <c r="AD28" s="16">
        <f t="shared" si="21"/>
        <v>0</v>
      </c>
      <c r="AE28" s="32">
        <f t="shared" si="21"/>
        <v>206</v>
      </c>
      <c r="AF28" s="32">
        <f t="shared" si="21"/>
        <v>873</v>
      </c>
    </row>
    <row r="29" spans="2:32" ht="23.1" customHeight="1" x14ac:dyDescent="0.25">
      <c r="B29" s="23" t="s">
        <v>56</v>
      </c>
      <c r="C29" s="50">
        <v>2</v>
      </c>
      <c r="D29" s="50">
        <f t="shared" si="3"/>
        <v>0</v>
      </c>
      <c r="E29" s="50">
        <v>0</v>
      </c>
      <c r="F29" s="50">
        <v>0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1</v>
      </c>
      <c r="M29" s="50">
        <v>13</v>
      </c>
      <c r="N29" s="50">
        <v>0</v>
      </c>
      <c r="O29" s="15">
        <f t="shared" si="0"/>
        <v>6</v>
      </c>
      <c r="P29" s="15">
        <f t="shared" si="1"/>
        <v>19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f t="shared" si="3"/>
        <v>0</v>
      </c>
      <c r="E30" s="50">
        <v>2</v>
      </c>
      <c r="F30" s="50">
        <v>0</v>
      </c>
      <c r="G30" s="50">
        <v>0</v>
      </c>
      <c r="H30" s="50">
        <v>1</v>
      </c>
      <c r="I30" s="50">
        <v>1</v>
      </c>
      <c r="J30" s="50">
        <v>1</v>
      </c>
      <c r="K30" s="50">
        <v>0</v>
      </c>
      <c r="L30" s="50">
        <v>1</v>
      </c>
      <c r="M30" s="50">
        <v>17</v>
      </c>
      <c r="N30" s="50">
        <v>0</v>
      </c>
      <c r="O30" s="15">
        <f t="shared" si="0"/>
        <v>8</v>
      </c>
      <c r="P30" s="15">
        <f t="shared" si="1"/>
        <v>25</v>
      </c>
    </row>
    <row r="31" spans="2:32" ht="23.1" customHeight="1" x14ac:dyDescent="0.25">
      <c r="B31" s="24" t="s">
        <v>58</v>
      </c>
      <c r="C31" s="50">
        <v>0</v>
      </c>
      <c r="D31" s="50">
        <f t="shared" si="3"/>
        <v>0</v>
      </c>
      <c r="E31" s="50">
        <v>0</v>
      </c>
      <c r="F31" s="50">
        <v>4</v>
      </c>
      <c r="G31" s="50">
        <v>1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18</v>
      </c>
      <c r="N31" s="50">
        <v>0</v>
      </c>
      <c r="O31" s="15">
        <f t="shared" si="0"/>
        <v>5</v>
      </c>
      <c r="P31" s="15">
        <f t="shared" si="1"/>
        <v>23</v>
      </c>
    </row>
    <row r="32" spans="2:32" ht="23.1" customHeight="1" x14ac:dyDescent="0.25">
      <c r="B32" s="24" t="s">
        <v>59</v>
      </c>
      <c r="C32" s="50">
        <v>0</v>
      </c>
      <c r="D32" s="50">
        <f t="shared" si="3"/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1</v>
      </c>
      <c r="M32" s="50">
        <v>19</v>
      </c>
      <c r="N32" s="50">
        <v>0</v>
      </c>
      <c r="O32" s="15">
        <f t="shared" si="0"/>
        <v>2</v>
      </c>
      <c r="P32" s="15">
        <f t="shared" si="1"/>
        <v>21</v>
      </c>
    </row>
    <row r="33" spans="2:20" ht="23.1" customHeight="1" x14ac:dyDescent="0.25">
      <c r="B33" s="23" t="s">
        <v>60</v>
      </c>
      <c r="C33" s="50">
        <v>0</v>
      </c>
      <c r="D33" s="50">
        <f t="shared" si="3"/>
        <v>0</v>
      </c>
      <c r="E33" s="50">
        <v>1</v>
      </c>
      <c r="F33" s="50">
        <v>1</v>
      </c>
      <c r="G33" s="50">
        <v>0</v>
      </c>
      <c r="H33" s="50">
        <v>0</v>
      </c>
      <c r="I33" s="50">
        <v>2</v>
      </c>
      <c r="J33" s="50">
        <v>2</v>
      </c>
      <c r="K33" s="50">
        <v>0</v>
      </c>
      <c r="L33" s="50">
        <v>1</v>
      </c>
      <c r="M33" s="50">
        <v>11</v>
      </c>
      <c r="N33" s="50">
        <v>0</v>
      </c>
      <c r="O33" s="15">
        <f t="shared" si="0"/>
        <v>7</v>
      </c>
      <c r="P33" s="15">
        <f t="shared" si="1"/>
        <v>18</v>
      </c>
    </row>
    <row r="34" spans="2:20" ht="23.1" customHeight="1" x14ac:dyDescent="0.25">
      <c r="B34" s="24" t="s">
        <v>61</v>
      </c>
      <c r="C34" s="50">
        <v>1</v>
      </c>
      <c r="D34" s="50">
        <f t="shared" si="3"/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1</v>
      </c>
      <c r="M34" s="50">
        <v>11</v>
      </c>
      <c r="N34" s="50">
        <v>0</v>
      </c>
      <c r="O34" s="15">
        <f t="shared" si="0"/>
        <v>3</v>
      </c>
      <c r="P34" s="15">
        <f t="shared" si="1"/>
        <v>14</v>
      </c>
    </row>
    <row r="35" spans="2:20" ht="23.1" customHeight="1" x14ac:dyDescent="0.25">
      <c r="B35" s="24" t="s">
        <v>62</v>
      </c>
      <c r="C35" s="50">
        <v>0</v>
      </c>
      <c r="D35" s="50">
        <f t="shared" si="3"/>
        <v>1</v>
      </c>
      <c r="E35" s="50">
        <v>3</v>
      </c>
      <c r="F35" s="50">
        <v>2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2</v>
      </c>
      <c r="M35" s="50">
        <v>20</v>
      </c>
      <c r="N35" s="50">
        <v>0</v>
      </c>
      <c r="O35" s="15">
        <f t="shared" si="0"/>
        <v>11</v>
      </c>
      <c r="P35" s="15">
        <f t="shared" si="1"/>
        <v>31</v>
      </c>
    </row>
    <row r="36" spans="2:20" ht="23.1" customHeight="1" x14ac:dyDescent="0.25">
      <c r="B36" s="24" t="s">
        <v>63</v>
      </c>
      <c r="C36" s="50">
        <v>0</v>
      </c>
      <c r="D36" s="50">
        <f t="shared" si="3"/>
        <v>0</v>
      </c>
      <c r="E36" s="50">
        <v>2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3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1</v>
      </c>
      <c r="D37" s="50">
        <f t="shared" si="3"/>
        <v>0</v>
      </c>
      <c r="E37" s="50">
        <v>1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3</v>
      </c>
      <c r="P37" s="15">
        <f t="shared" si="1"/>
        <v>14</v>
      </c>
    </row>
    <row r="38" spans="2:20" ht="23.1" customHeight="1" x14ac:dyDescent="0.25">
      <c r="B38" s="24" t="s">
        <v>65</v>
      </c>
      <c r="C38" s="50">
        <v>0</v>
      </c>
      <c r="D38" s="50">
        <f t="shared" si="3"/>
        <v>0</v>
      </c>
      <c r="E38" s="50">
        <v>1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3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1</v>
      </c>
      <c r="D39" s="50">
        <f t="shared" si="3"/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2</v>
      </c>
      <c r="L39" s="50">
        <v>2</v>
      </c>
      <c r="M39" s="50">
        <v>14</v>
      </c>
      <c r="N39" s="50">
        <v>0</v>
      </c>
      <c r="O39" s="15">
        <f t="shared" si="0"/>
        <v>7</v>
      </c>
      <c r="P39" s="15">
        <f t="shared" si="1"/>
        <v>21</v>
      </c>
    </row>
    <row r="40" spans="2:20" ht="23.1" customHeight="1" x14ac:dyDescent="0.25">
      <c r="B40" s="24" t="s">
        <v>67</v>
      </c>
      <c r="C40" s="50">
        <v>2</v>
      </c>
      <c r="D40" s="50">
        <f t="shared" si="3"/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2</v>
      </c>
      <c r="L40" s="50">
        <v>0</v>
      </c>
      <c r="M40" s="50">
        <v>10</v>
      </c>
      <c r="N40" s="50">
        <v>0</v>
      </c>
      <c r="O40" s="15">
        <f t="shared" si="0"/>
        <v>6</v>
      </c>
      <c r="P40" s="15">
        <f t="shared" si="1"/>
        <v>16</v>
      </c>
    </row>
    <row r="41" spans="2:20" ht="23.1" customHeight="1" x14ac:dyDescent="0.25">
      <c r="B41" s="23" t="s">
        <v>68</v>
      </c>
      <c r="C41" s="50">
        <v>1</v>
      </c>
      <c r="D41" s="50">
        <f t="shared" si="3"/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3</v>
      </c>
      <c r="P41" s="15">
        <f t="shared" si="1"/>
        <v>12</v>
      </c>
    </row>
    <row r="42" spans="2:20" ht="23.1" customHeight="1" x14ac:dyDescent="0.25">
      <c r="B42" s="24" t="s">
        <v>69</v>
      </c>
      <c r="C42" s="50">
        <v>1</v>
      </c>
      <c r="D42" s="50">
        <f t="shared" si="3"/>
        <v>0</v>
      </c>
      <c r="E42" s="50">
        <v>1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3</v>
      </c>
      <c r="P42" s="15">
        <f t="shared" si="1"/>
        <v>11</v>
      </c>
    </row>
    <row r="43" spans="2:20" ht="23.1" customHeight="1" x14ac:dyDescent="0.25">
      <c r="B43" s="23" t="s">
        <v>70</v>
      </c>
      <c r="C43" s="50">
        <v>0</v>
      </c>
      <c r="D43" s="50">
        <f t="shared" si="3"/>
        <v>0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1</v>
      </c>
      <c r="L43" s="50">
        <v>0</v>
      </c>
      <c r="M43" s="50">
        <v>16</v>
      </c>
      <c r="N43" s="50">
        <v>0</v>
      </c>
      <c r="O43" s="15">
        <f t="shared" si="0"/>
        <v>3</v>
      </c>
      <c r="P43" s="15">
        <f t="shared" si="1"/>
        <v>19</v>
      </c>
    </row>
    <row r="44" spans="2:20" ht="23.1" customHeight="1" x14ac:dyDescent="0.25">
      <c r="B44" s="25" t="s">
        <v>71</v>
      </c>
      <c r="C44" s="50">
        <v>1</v>
      </c>
      <c r="D44" s="50">
        <f t="shared" si="3"/>
        <v>0</v>
      </c>
      <c r="E44" s="50">
        <v>1</v>
      </c>
      <c r="F44" s="50">
        <v>1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5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1</v>
      </c>
      <c r="D45" s="50">
        <f t="shared" si="3"/>
        <v>0</v>
      </c>
      <c r="E45" s="50">
        <v>1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1</v>
      </c>
      <c r="L45" s="50">
        <v>2</v>
      </c>
      <c r="M45" s="50">
        <v>13</v>
      </c>
      <c r="N45" s="50">
        <v>0</v>
      </c>
      <c r="O45" s="15">
        <f t="shared" si="0"/>
        <v>8</v>
      </c>
      <c r="P45" s="15">
        <f t="shared" si="1"/>
        <v>21</v>
      </c>
    </row>
    <row r="46" spans="2:20" ht="23.1" customHeight="1" x14ac:dyDescent="0.25">
      <c r="B46" s="24" t="s">
        <v>73</v>
      </c>
      <c r="C46" s="50">
        <v>0</v>
      </c>
      <c r="D46" s="50">
        <f t="shared" si="3"/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1</v>
      </c>
      <c r="L46" s="50">
        <v>0</v>
      </c>
      <c r="M46" s="50">
        <v>19</v>
      </c>
      <c r="N46" s="50">
        <v>0</v>
      </c>
      <c r="O46" s="15">
        <f t="shared" si="0"/>
        <v>2</v>
      </c>
      <c r="P46" s="15">
        <f t="shared" si="1"/>
        <v>21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f t="shared" si="3"/>
        <v>0</v>
      </c>
      <c r="E47" s="50">
        <v>1</v>
      </c>
      <c r="F47" s="50">
        <v>0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1</v>
      </c>
      <c r="M47" s="50">
        <v>25</v>
      </c>
      <c r="N47" s="50">
        <v>0</v>
      </c>
      <c r="O47" s="15">
        <f t="shared" si="0"/>
        <v>8</v>
      </c>
      <c r="P47" s="15">
        <f t="shared" si="1"/>
        <v>33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f t="shared" si="3"/>
        <v>1</v>
      </c>
      <c r="E48" s="50">
        <v>3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2</v>
      </c>
      <c r="L48" s="50">
        <v>0</v>
      </c>
      <c r="M48" s="50">
        <v>10</v>
      </c>
      <c r="N48" s="50">
        <v>0</v>
      </c>
      <c r="O48" s="15">
        <f t="shared" si="0"/>
        <v>9</v>
      </c>
      <c r="P48" s="15">
        <f t="shared" si="1"/>
        <v>19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f t="shared" si="3"/>
        <v>0</v>
      </c>
      <c r="E49" s="50">
        <v>2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3</v>
      </c>
      <c r="M49" s="50">
        <v>7</v>
      </c>
      <c r="N49" s="50">
        <v>0</v>
      </c>
      <c r="O49" s="15">
        <f t="shared" si="0"/>
        <v>8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f t="shared" si="3"/>
        <v>2</v>
      </c>
      <c r="E50" s="50">
        <v>7</v>
      </c>
      <c r="F50" s="50">
        <v>2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24</v>
      </c>
      <c r="N50" s="50">
        <v>0</v>
      </c>
      <c r="O50" s="15">
        <f t="shared" si="0"/>
        <v>15</v>
      </c>
      <c r="P50" s="15">
        <f t="shared" si="1"/>
        <v>39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f t="shared" si="3"/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1</v>
      </c>
      <c r="L51" s="50">
        <v>0</v>
      </c>
      <c r="M51" s="50">
        <v>9</v>
      </c>
      <c r="N51" s="50">
        <v>0</v>
      </c>
      <c r="O51" s="15">
        <f t="shared" si="0"/>
        <v>4</v>
      </c>
      <c r="P51" s="15">
        <f t="shared" si="1"/>
        <v>13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f t="shared" si="3"/>
        <v>0</v>
      </c>
      <c r="E52" s="50">
        <v>2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12</v>
      </c>
      <c r="N52" s="50">
        <v>0</v>
      </c>
      <c r="O52" s="15">
        <f t="shared" si="0"/>
        <v>5</v>
      </c>
      <c r="P52" s="15">
        <f t="shared" si="1"/>
        <v>17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f t="shared" si="3"/>
        <v>0</v>
      </c>
      <c r="E53" s="50">
        <v>1</v>
      </c>
      <c r="F53" s="50">
        <v>1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1</v>
      </c>
      <c r="M53" s="50">
        <v>18</v>
      </c>
      <c r="N53" s="50">
        <v>0</v>
      </c>
      <c r="O53" s="15">
        <f t="shared" si="0"/>
        <v>6</v>
      </c>
      <c r="P53" s="15">
        <f t="shared" si="1"/>
        <v>24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f t="shared" si="3"/>
        <v>1</v>
      </c>
      <c r="E54" s="50">
        <v>4</v>
      </c>
      <c r="F54" s="50">
        <v>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18</v>
      </c>
      <c r="N54" s="50">
        <v>0</v>
      </c>
      <c r="O54" s="15">
        <f t="shared" si="0"/>
        <v>7</v>
      </c>
      <c r="P54" s="15">
        <f t="shared" si="1"/>
        <v>25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f t="shared" si="3"/>
        <v>0</v>
      </c>
      <c r="E55" s="50">
        <v>0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1</v>
      </c>
      <c r="M55" s="50">
        <v>15</v>
      </c>
      <c r="N55" s="50">
        <v>0</v>
      </c>
      <c r="O55" s="15">
        <f t="shared" si="0"/>
        <v>5</v>
      </c>
      <c r="P55" s="15">
        <f t="shared" si="1"/>
        <v>20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f t="shared" si="3"/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23</v>
      </c>
      <c r="N56" s="50">
        <v>0</v>
      </c>
      <c r="O56" s="15">
        <f t="shared" si="0"/>
        <v>0</v>
      </c>
      <c r="P56" s="15">
        <f t="shared" si="1"/>
        <v>23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f t="shared" si="3"/>
        <v>0</v>
      </c>
      <c r="E57" s="50">
        <v>1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6</v>
      </c>
      <c r="M57" s="50">
        <v>22</v>
      </c>
      <c r="N57" s="50">
        <v>0</v>
      </c>
      <c r="O57" s="15">
        <f t="shared" si="0"/>
        <v>8</v>
      </c>
      <c r="P57" s="15">
        <f t="shared" si="1"/>
        <v>30</v>
      </c>
      <c r="R57" s="8"/>
      <c r="T57"/>
    </row>
    <row r="58" spans="2:20" ht="23.1" customHeight="1" x14ac:dyDescent="0.25">
      <c r="B58" s="26" t="s">
        <v>18</v>
      </c>
      <c r="C58" s="16">
        <f t="shared" ref="C58:P58" si="22">SUM(C10:C57)</f>
        <v>41</v>
      </c>
      <c r="D58" s="16">
        <f t="shared" si="22"/>
        <v>6</v>
      </c>
      <c r="E58" s="16">
        <f t="shared" si="22"/>
        <v>46</v>
      </c>
      <c r="F58" s="16">
        <f t="shared" si="22"/>
        <v>25</v>
      </c>
      <c r="G58" s="16">
        <f t="shared" si="22"/>
        <v>2</v>
      </c>
      <c r="H58" s="16">
        <f t="shared" si="22"/>
        <v>2</v>
      </c>
      <c r="I58" s="16">
        <f t="shared" si="22"/>
        <v>26</v>
      </c>
      <c r="J58" s="16">
        <f t="shared" si="22"/>
        <v>15</v>
      </c>
      <c r="K58" s="16">
        <f t="shared" si="22"/>
        <v>12</v>
      </c>
      <c r="L58" s="16">
        <f t="shared" si="22"/>
        <v>31</v>
      </c>
      <c r="M58" s="16">
        <f t="shared" si="22"/>
        <v>667</v>
      </c>
      <c r="N58" s="16">
        <f t="shared" si="22"/>
        <v>0</v>
      </c>
      <c r="O58" s="16">
        <f t="shared" si="22"/>
        <v>206</v>
      </c>
      <c r="P58" s="16">
        <f t="shared" si="22"/>
        <v>873</v>
      </c>
      <c r="R58" s="8"/>
      <c r="T58"/>
    </row>
    <row r="59" spans="2:20" ht="23.1" customHeight="1" x14ac:dyDescent="0.25">
      <c r="B59" s="26" t="s">
        <v>93</v>
      </c>
      <c r="C59" s="43">
        <f t="shared" ref="C59:N59" si="23">C58/$P$58</f>
        <v>4.6964490263459335E-2</v>
      </c>
      <c r="D59" s="43">
        <f t="shared" si="23"/>
        <v>6.8728522336769758E-3</v>
      </c>
      <c r="E59" s="43">
        <f t="shared" si="23"/>
        <v>5.2691867124856816E-2</v>
      </c>
      <c r="F59" s="43">
        <f t="shared" si="23"/>
        <v>2.8636884306987399E-2</v>
      </c>
      <c r="G59" s="43">
        <f t="shared" si="23"/>
        <v>2.2909507445589921E-3</v>
      </c>
      <c r="H59" s="43">
        <f t="shared" si="23"/>
        <v>2.2909507445589921E-3</v>
      </c>
      <c r="I59" s="43">
        <f t="shared" si="23"/>
        <v>2.9782359679266894E-2</v>
      </c>
      <c r="J59" s="43">
        <f t="shared" si="23"/>
        <v>1.7182130584192441E-2</v>
      </c>
      <c r="K59" s="43">
        <f t="shared" si="23"/>
        <v>1.3745704467353952E-2</v>
      </c>
      <c r="L59" s="43">
        <f t="shared" si="23"/>
        <v>3.5509736540664374E-2</v>
      </c>
      <c r="M59" s="43">
        <f t="shared" si="23"/>
        <v>0.76403207331042378</v>
      </c>
      <c r="N59" s="43">
        <f t="shared" si="23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0.19902912621359223</v>
      </c>
      <c r="D60" s="44">
        <f t="shared" ref="D60:N60" si="24">D58/$O$58</f>
        <v>2.9126213592233011E-2</v>
      </c>
      <c r="E60" s="44">
        <f t="shared" si="24"/>
        <v>0.22330097087378642</v>
      </c>
      <c r="F60" s="44">
        <f t="shared" si="24"/>
        <v>0.12135922330097088</v>
      </c>
      <c r="G60" s="44">
        <f t="shared" si="24"/>
        <v>9.7087378640776691E-3</v>
      </c>
      <c r="H60" s="44">
        <f t="shared" si="24"/>
        <v>9.7087378640776691E-3</v>
      </c>
      <c r="I60" s="44">
        <f t="shared" si="24"/>
        <v>0.12621359223300971</v>
      </c>
      <c r="J60" s="44">
        <f t="shared" si="24"/>
        <v>7.281553398058252E-2</v>
      </c>
      <c r="K60" s="44">
        <f t="shared" si="24"/>
        <v>5.8252427184466021E-2</v>
      </c>
      <c r="L60" s="44">
        <f t="shared" si="24"/>
        <v>0.15048543689320387</v>
      </c>
      <c r="M60" s="44"/>
      <c r="N60" s="44">
        <f t="shared" si="24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60" workbookViewId="0">
      <selection activeCell="L36" sqref="L3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1" t="str">
        <f>'31.07 Goli-Nebbi'!C3:G3</f>
        <v>MCC - C4 - STN138 - NEBBI-GOLI ROAD</v>
      </c>
      <c r="D3" s="6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166</v>
      </c>
      <c r="E5" s="3"/>
      <c r="F5" s="41" t="s">
        <v>1</v>
      </c>
      <c r="G5" s="56" t="str">
        <f>'31.07 Goli-Nebbi'!G5:H5</f>
        <v>Goli</v>
      </c>
      <c r="H5" s="57"/>
      <c r="I5" s="14"/>
      <c r="J5" s="2" t="s">
        <v>5</v>
      </c>
      <c r="K5" s="56" t="str">
        <f>'31.07 Goli-Nebbi'!K5:L5</f>
        <v>Moreen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'31.07 Goli-Nebbi'!D6:E6</f>
        <v>Goli</v>
      </c>
      <c r="E6" s="57"/>
      <c r="F6" s="2" t="s">
        <v>2</v>
      </c>
      <c r="G6" s="56" t="str">
        <f>'31.07 Goli-Nebbi'!G6:H6</f>
        <v>Nebbi</v>
      </c>
      <c r="H6" s="57"/>
      <c r="J6" s="2" t="s">
        <v>21</v>
      </c>
      <c r="K6" s="56" t="str">
        <f>'31.07 Goli-Nebbi'!K6:L6</f>
        <v>Herbert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3</v>
      </c>
      <c r="K10" s="50">
        <v>0</v>
      </c>
      <c r="L10" s="50">
        <v>0</v>
      </c>
      <c r="M10" s="50">
        <v>24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28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3</v>
      </c>
      <c r="AA10" s="17">
        <f t="shared" si="2"/>
        <v>0</v>
      </c>
      <c r="AB10" s="17">
        <f t="shared" si="2"/>
        <v>2</v>
      </c>
      <c r="AC10" s="17">
        <f t="shared" si="2"/>
        <v>46</v>
      </c>
      <c r="AD10" s="17">
        <f t="shared" si="2"/>
        <v>0</v>
      </c>
      <c r="AE10" s="31">
        <f t="shared" si="2"/>
        <v>14</v>
      </c>
      <c r="AF10" s="31">
        <f t="shared" si="2"/>
        <v>60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4</v>
      </c>
      <c r="P11" s="15">
        <f t="shared" si="1"/>
        <v>13</v>
      </c>
      <c r="R11" s="1" t="s">
        <v>7</v>
      </c>
      <c r="S11" s="17">
        <f t="shared" ref="S11:AF11" si="3">SUM(C14:C17)</f>
        <v>3</v>
      </c>
      <c r="T11" s="17">
        <f t="shared" si="3"/>
        <v>1</v>
      </c>
      <c r="U11" s="17">
        <f t="shared" si="3"/>
        <v>4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0</v>
      </c>
      <c r="AA11" s="17">
        <f t="shared" si="3"/>
        <v>0</v>
      </c>
      <c r="AB11" s="17">
        <f t="shared" si="3"/>
        <v>3</v>
      </c>
      <c r="AC11" s="17">
        <f t="shared" si="3"/>
        <v>50</v>
      </c>
      <c r="AD11" s="17">
        <f t="shared" si="3"/>
        <v>0</v>
      </c>
      <c r="AE11" s="31">
        <f t="shared" si="3"/>
        <v>18</v>
      </c>
      <c r="AF11" s="31">
        <f t="shared" si="3"/>
        <v>68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2</v>
      </c>
      <c r="M12" s="50">
        <v>6</v>
      </c>
      <c r="N12" s="50">
        <v>0</v>
      </c>
      <c r="O12" s="15">
        <f t="shared" si="0"/>
        <v>2</v>
      </c>
      <c r="P12" s="15">
        <f t="shared" si="1"/>
        <v>8</v>
      </c>
      <c r="R12" s="1" t="s">
        <v>8</v>
      </c>
      <c r="S12" s="17">
        <f t="shared" ref="S12:AF12" si="4">SUM(C18:C21)</f>
        <v>4</v>
      </c>
      <c r="T12" s="17">
        <f t="shared" si="4"/>
        <v>3</v>
      </c>
      <c r="U12" s="17">
        <f t="shared" si="4"/>
        <v>6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1</v>
      </c>
      <c r="AC12" s="17">
        <f t="shared" si="4"/>
        <v>56</v>
      </c>
      <c r="AD12" s="17">
        <f t="shared" si="4"/>
        <v>0</v>
      </c>
      <c r="AE12" s="31">
        <f t="shared" si="4"/>
        <v>18</v>
      </c>
      <c r="AF12" s="31">
        <f t="shared" si="4"/>
        <v>74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4</v>
      </c>
      <c r="P13" s="15">
        <f t="shared" si="1"/>
        <v>11</v>
      </c>
      <c r="R13" s="1" t="s">
        <v>9</v>
      </c>
      <c r="S13" s="17">
        <f t="shared" ref="S13:AF13" si="5">SUM(C22:C25)</f>
        <v>4</v>
      </c>
      <c r="T13" s="17">
        <f t="shared" si="5"/>
        <v>0</v>
      </c>
      <c r="U13" s="17">
        <f t="shared" si="5"/>
        <v>0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0</v>
      </c>
      <c r="AB13" s="17">
        <f t="shared" si="5"/>
        <v>3</v>
      </c>
      <c r="AC13" s="17">
        <f t="shared" si="5"/>
        <v>56</v>
      </c>
      <c r="AD13" s="17">
        <f t="shared" si="5"/>
        <v>0</v>
      </c>
      <c r="AE13" s="31">
        <f t="shared" si="5"/>
        <v>16</v>
      </c>
      <c r="AF13" s="31">
        <f t="shared" si="5"/>
        <v>72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1</v>
      </c>
      <c r="M14" s="50">
        <v>11</v>
      </c>
      <c r="N14" s="50">
        <v>0</v>
      </c>
      <c r="O14" s="15">
        <f t="shared" si="0"/>
        <v>7</v>
      </c>
      <c r="P14" s="15">
        <f t="shared" si="1"/>
        <v>18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3</v>
      </c>
      <c r="AC14" s="17">
        <f t="shared" si="6"/>
        <v>59</v>
      </c>
      <c r="AD14" s="17">
        <f t="shared" si="6"/>
        <v>0</v>
      </c>
      <c r="AE14" s="31">
        <f t="shared" si="6"/>
        <v>7</v>
      </c>
      <c r="AF14" s="31">
        <f t="shared" si="6"/>
        <v>66</v>
      </c>
    </row>
    <row r="15" spans="2:32" ht="23.1" customHeight="1" x14ac:dyDescent="0.25">
      <c r="B15" s="23" t="s">
        <v>42</v>
      </c>
      <c r="C15" s="50">
        <v>1</v>
      </c>
      <c r="D15" s="50">
        <v>1</v>
      </c>
      <c r="E15" s="50">
        <v>2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1</v>
      </c>
      <c r="M15" s="50">
        <v>9</v>
      </c>
      <c r="N15" s="50">
        <v>0</v>
      </c>
      <c r="O15" s="15">
        <f t="shared" si="0"/>
        <v>6</v>
      </c>
      <c r="P15" s="15">
        <f t="shared" si="1"/>
        <v>15</v>
      </c>
      <c r="R15" s="1" t="s">
        <v>11</v>
      </c>
      <c r="S15" s="17">
        <f t="shared" ref="S15:AF15" si="7">SUM(C30:C33)</f>
        <v>8</v>
      </c>
      <c r="T15" s="17">
        <f t="shared" si="7"/>
        <v>2</v>
      </c>
      <c r="U15" s="17">
        <f t="shared" si="7"/>
        <v>5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1</v>
      </c>
      <c r="AA15" s="17">
        <f t="shared" si="7"/>
        <v>0</v>
      </c>
      <c r="AB15" s="17">
        <f t="shared" si="7"/>
        <v>2</v>
      </c>
      <c r="AC15" s="17">
        <f t="shared" si="7"/>
        <v>47</v>
      </c>
      <c r="AD15" s="17">
        <f t="shared" si="7"/>
        <v>0</v>
      </c>
      <c r="AE15" s="31">
        <f t="shared" si="7"/>
        <v>20</v>
      </c>
      <c r="AF15" s="31">
        <f t="shared" si="7"/>
        <v>67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1</v>
      </c>
      <c r="M16" s="50">
        <v>13</v>
      </c>
      <c r="N16" s="50">
        <v>0</v>
      </c>
      <c r="O16" s="15">
        <f t="shared" si="0"/>
        <v>3</v>
      </c>
      <c r="P16" s="15">
        <f t="shared" si="1"/>
        <v>16</v>
      </c>
      <c r="R16" s="1" t="s">
        <v>12</v>
      </c>
      <c r="S16" s="17">
        <f t="shared" ref="S16:AF16" si="8">SUM(C34:C37)</f>
        <v>8</v>
      </c>
      <c r="T16" s="17">
        <f t="shared" si="8"/>
        <v>1</v>
      </c>
      <c r="U16" s="17">
        <f t="shared" si="8"/>
        <v>4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2</v>
      </c>
      <c r="AC16" s="17">
        <f t="shared" si="8"/>
        <v>39</v>
      </c>
      <c r="AD16" s="17">
        <f t="shared" si="8"/>
        <v>0</v>
      </c>
      <c r="AE16" s="31">
        <f t="shared" si="8"/>
        <v>17</v>
      </c>
      <c r="AF16" s="31">
        <f t="shared" si="8"/>
        <v>56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17</v>
      </c>
      <c r="N17" s="50">
        <v>0</v>
      </c>
      <c r="O17" s="15">
        <f t="shared" si="0"/>
        <v>2</v>
      </c>
      <c r="P17" s="15">
        <f t="shared" si="1"/>
        <v>19</v>
      </c>
      <c r="R17" s="1" t="s">
        <v>13</v>
      </c>
      <c r="S17" s="17">
        <f t="shared" ref="S17:AF17" si="9">SUM(C38:C41)</f>
        <v>4</v>
      </c>
      <c r="T17" s="17">
        <f t="shared" si="9"/>
        <v>0</v>
      </c>
      <c r="U17" s="17">
        <f t="shared" si="9"/>
        <v>2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1</v>
      </c>
      <c r="AC17" s="17">
        <f t="shared" si="9"/>
        <v>66</v>
      </c>
      <c r="AD17" s="17">
        <f t="shared" si="9"/>
        <v>0</v>
      </c>
      <c r="AE17" s="31">
        <f t="shared" si="9"/>
        <v>14</v>
      </c>
      <c r="AF17" s="31">
        <f t="shared" si="9"/>
        <v>80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1</v>
      </c>
      <c r="M18" s="50">
        <v>3</v>
      </c>
      <c r="N18" s="50">
        <v>0</v>
      </c>
      <c r="O18" s="15">
        <f t="shared" si="0"/>
        <v>4</v>
      </c>
      <c r="P18" s="15">
        <f t="shared" si="1"/>
        <v>7</v>
      </c>
      <c r="R18" s="1" t="s">
        <v>14</v>
      </c>
      <c r="S18" s="17">
        <f t="shared" ref="S18:AF18" si="10">SUM(C42:C45)</f>
        <v>5</v>
      </c>
      <c r="T18" s="17">
        <f t="shared" si="10"/>
        <v>0</v>
      </c>
      <c r="U18" s="17">
        <f t="shared" si="10"/>
        <v>1</v>
      </c>
      <c r="V18" s="17">
        <f t="shared" si="10"/>
        <v>2</v>
      </c>
      <c r="W18" s="17">
        <f t="shared" si="10"/>
        <v>1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43</v>
      </c>
      <c r="AD18" s="17">
        <f t="shared" si="10"/>
        <v>0</v>
      </c>
      <c r="AE18" s="31">
        <f t="shared" si="10"/>
        <v>11</v>
      </c>
      <c r="AF18" s="31">
        <f t="shared" si="10"/>
        <v>54</v>
      </c>
    </row>
    <row r="19" spans="2:32" ht="23.1" customHeight="1" x14ac:dyDescent="0.25">
      <c r="B19" s="23" t="s">
        <v>46</v>
      </c>
      <c r="C19" s="50">
        <v>1</v>
      </c>
      <c r="D19" s="50">
        <v>1</v>
      </c>
      <c r="E19" s="50">
        <v>2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5</v>
      </c>
      <c r="P19" s="15">
        <f t="shared" si="1"/>
        <v>25</v>
      </c>
      <c r="R19" s="1" t="s">
        <v>15</v>
      </c>
      <c r="S19" s="17">
        <f t="shared" ref="S19:AF19" si="11">SUM(C46:C49)</f>
        <v>5</v>
      </c>
      <c r="T19" s="17">
        <f t="shared" si="11"/>
        <v>2</v>
      </c>
      <c r="U19" s="17">
        <f t="shared" si="11"/>
        <v>4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50</v>
      </c>
      <c r="AD19" s="17">
        <f t="shared" si="11"/>
        <v>0</v>
      </c>
      <c r="AE19" s="31">
        <f t="shared" si="11"/>
        <v>19</v>
      </c>
      <c r="AF19" s="31">
        <f t="shared" si="11"/>
        <v>69</v>
      </c>
    </row>
    <row r="20" spans="2:32" ht="23.1" customHeight="1" x14ac:dyDescent="0.25">
      <c r="B20" s="23" t="s">
        <v>47</v>
      </c>
      <c r="C20" s="50">
        <v>1</v>
      </c>
      <c r="D20" s="50">
        <v>1</v>
      </c>
      <c r="E20" s="50">
        <v>2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5">
        <f t="shared" si="0"/>
        <v>5</v>
      </c>
      <c r="P20" s="15">
        <f t="shared" si="1"/>
        <v>21</v>
      </c>
      <c r="R20" s="1" t="s">
        <v>16</v>
      </c>
      <c r="S20" s="17">
        <f t="shared" ref="S20:AF20" si="12">SUM(C50:C53)</f>
        <v>5</v>
      </c>
      <c r="T20" s="17">
        <f t="shared" si="12"/>
        <v>1</v>
      </c>
      <c r="U20" s="17">
        <f t="shared" si="12"/>
        <v>3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54</v>
      </c>
      <c r="AD20" s="17">
        <f t="shared" si="12"/>
        <v>0</v>
      </c>
      <c r="AE20" s="31">
        <f t="shared" si="12"/>
        <v>12</v>
      </c>
      <c r="AF20" s="31">
        <f t="shared" si="12"/>
        <v>66</v>
      </c>
    </row>
    <row r="21" spans="2:32" ht="23.1" customHeight="1" x14ac:dyDescent="0.25">
      <c r="B21" s="23" t="s">
        <v>48</v>
      </c>
      <c r="C21" s="50">
        <v>1</v>
      </c>
      <c r="D21" s="50">
        <v>1</v>
      </c>
      <c r="E21" s="50">
        <v>2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17</v>
      </c>
      <c r="N21" s="50">
        <v>0</v>
      </c>
      <c r="O21" s="15">
        <f t="shared" si="0"/>
        <v>4</v>
      </c>
      <c r="P21" s="15">
        <f t="shared" si="1"/>
        <v>21</v>
      </c>
      <c r="R21" s="36" t="s">
        <v>20</v>
      </c>
      <c r="S21" s="34">
        <f t="shared" ref="S21:AF21" si="13">SUM(C54:C57)</f>
        <v>5</v>
      </c>
      <c r="T21" s="17">
        <f t="shared" si="13"/>
        <v>0</v>
      </c>
      <c r="U21" s="17">
        <f t="shared" si="13"/>
        <v>1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0</v>
      </c>
      <c r="AA21" s="17">
        <f t="shared" si="13"/>
        <v>0</v>
      </c>
      <c r="AB21" s="17">
        <f t="shared" si="13"/>
        <v>5</v>
      </c>
      <c r="AC21" s="17">
        <f t="shared" si="13"/>
        <v>56</v>
      </c>
      <c r="AD21" s="17">
        <f t="shared" si="13"/>
        <v>0</v>
      </c>
      <c r="AE21" s="31">
        <f t="shared" si="13"/>
        <v>18</v>
      </c>
      <c r="AF21" s="31">
        <f t="shared" si="13"/>
        <v>74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4</v>
      </c>
      <c r="P22" s="15">
        <f t="shared" si="1"/>
        <v>13</v>
      </c>
      <c r="R22" s="38" t="s">
        <v>90</v>
      </c>
      <c r="S22" s="39">
        <f>MAX(S10:S12)</f>
        <v>4</v>
      </c>
      <c r="T22" s="39">
        <f t="shared" ref="T22:AF22" si="14">MAX(T10:T12)</f>
        <v>3</v>
      </c>
      <c r="U22" s="39">
        <f t="shared" si="14"/>
        <v>6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7</v>
      </c>
      <c r="Z22" s="39">
        <f t="shared" si="14"/>
        <v>3</v>
      </c>
      <c r="AA22" s="39">
        <f t="shared" si="14"/>
        <v>0</v>
      </c>
      <c r="AB22" s="39">
        <f t="shared" si="14"/>
        <v>3</v>
      </c>
      <c r="AC22" s="39">
        <f t="shared" si="14"/>
        <v>56</v>
      </c>
      <c r="AD22" s="39">
        <f t="shared" si="14"/>
        <v>0</v>
      </c>
      <c r="AE22" s="40">
        <f t="shared" si="14"/>
        <v>18</v>
      </c>
      <c r="AF22" s="40">
        <f t="shared" si="14"/>
        <v>74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1</v>
      </c>
      <c r="M23" s="50">
        <v>16</v>
      </c>
      <c r="N23" s="50">
        <v>0</v>
      </c>
      <c r="O23" s="15">
        <f t="shared" si="0"/>
        <v>2</v>
      </c>
      <c r="P23" s="15">
        <f t="shared" si="1"/>
        <v>18</v>
      </c>
      <c r="R23" s="38" t="s">
        <v>91</v>
      </c>
      <c r="S23" s="39">
        <f>MAX(S13:S18)</f>
        <v>8</v>
      </c>
      <c r="T23" s="39">
        <f t="shared" ref="T23:AF23" si="15">MAX(T13:T18)</f>
        <v>2</v>
      </c>
      <c r="U23" s="39">
        <f t="shared" si="15"/>
        <v>5</v>
      </c>
      <c r="V23" s="39">
        <f t="shared" si="15"/>
        <v>3</v>
      </c>
      <c r="W23" s="39">
        <f t="shared" si="15"/>
        <v>1</v>
      </c>
      <c r="X23" s="39">
        <f t="shared" si="15"/>
        <v>0</v>
      </c>
      <c r="Y23" s="39">
        <f t="shared" si="15"/>
        <v>7</v>
      </c>
      <c r="Z23" s="39">
        <f t="shared" si="15"/>
        <v>1</v>
      </c>
      <c r="AA23" s="39">
        <f t="shared" si="15"/>
        <v>0</v>
      </c>
      <c r="AB23" s="39">
        <f t="shared" si="15"/>
        <v>3</v>
      </c>
      <c r="AC23" s="39">
        <f t="shared" si="15"/>
        <v>66</v>
      </c>
      <c r="AD23" s="39">
        <f t="shared" si="15"/>
        <v>0</v>
      </c>
      <c r="AE23" s="40">
        <f t="shared" si="15"/>
        <v>20</v>
      </c>
      <c r="AF23" s="40">
        <f t="shared" si="15"/>
        <v>80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16</v>
      </c>
      <c r="N24" s="50">
        <v>0</v>
      </c>
      <c r="O24" s="15">
        <f t="shared" si="0"/>
        <v>7</v>
      </c>
      <c r="P24" s="15">
        <f t="shared" si="1"/>
        <v>23</v>
      </c>
      <c r="R24" s="38" t="s">
        <v>92</v>
      </c>
      <c r="S24" s="39">
        <f>MAX(S19:S21)</f>
        <v>5</v>
      </c>
      <c r="T24" s="39">
        <f t="shared" ref="T24:AF24" si="16">MAX(T19:T21)</f>
        <v>2</v>
      </c>
      <c r="U24" s="39">
        <f t="shared" si="16"/>
        <v>4</v>
      </c>
      <c r="V24" s="39">
        <f t="shared" si="16"/>
        <v>3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0</v>
      </c>
      <c r="AA24" s="39">
        <f t="shared" si="16"/>
        <v>0</v>
      </c>
      <c r="AB24" s="39">
        <f t="shared" si="16"/>
        <v>5</v>
      </c>
      <c r="AC24" s="39">
        <f t="shared" si="16"/>
        <v>56</v>
      </c>
      <c r="AD24" s="39">
        <f t="shared" si="16"/>
        <v>0</v>
      </c>
      <c r="AE24" s="40">
        <f t="shared" si="16"/>
        <v>19</v>
      </c>
      <c r="AF24" s="40">
        <f t="shared" si="16"/>
        <v>74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2</v>
      </c>
      <c r="M25" s="50">
        <v>15</v>
      </c>
      <c r="N25" s="50">
        <v>0</v>
      </c>
      <c r="O25" s="15">
        <f t="shared" si="0"/>
        <v>3</v>
      </c>
      <c r="P25" s="15">
        <f t="shared" si="1"/>
        <v>18</v>
      </c>
      <c r="R25" s="37" t="s">
        <v>85</v>
      </c>
      <c r="S25" s="35">
        <f t="shared" ref="S25:AF25" si="17">SUM(S10:S12)</f>
        <v>10</v>
      </c>
      <c r="T25" s="16">
        <f t="shared" si="17"/>
        <v>4</v>
      </c>
      <c r="U25" s="16">
        <f t="shared" si="17"/>
        <v>11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13</v>
      </c>
      <c r="Z25" s="16">
        <f t="shared" si="17"/>
        <v>3</v>
      </c>
      <c r="AA25" s="16">
        <f t="shared" si="17"/>
        <v>0</v>
      </c>
      <c r="AB25" s="16">
        <f t="shared" si="17"/>
        <v>6</v>
      </c>
      <c r="AC25" s="16">
        <f t="shared" si="17"/>
        <v>152</v>
      </c>
      <c r="AD25" s="16">
        <f t="shared" si="17"/>
        <v>0</v>
      </c>
      <c r="AE25" s="32">
        <f t="shared" si="17"/>
        <v>50</v>
      </c>
      <c r="AF25" s="32">
        <f t="shared" si="17"/>
        <v>202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17</v>
      </c>
      <c r="N26" s="50">
        <v>0</v>
      </c>
      <c r="O26" s="15">
        <f t="shared" si="0"/>
        <v>1</v>
      </c>
      <c r="P26" s="15">
        <f t="shared" si="1"/>
        <v>18</v>
      </c>
      <c r="R26" s="28" t="s">
        <v>86</v>
      </c>
      <c r="S26" s="16">
        <f t="shared" ref="S26:AF26" si="18">SUM(S13:S18)</f>
        <v>31</v>
      </c>
      <c r="T26" s="16">
        <f t="shared" si="18"/>
        <v>3</v>
      </c>
      <c r="U26" s="16">
        <f t="shared" si="18"/>
        <v>13</v>
      </c>
      <c r="V26" s="16">
        <f t="shared" si="18"/>
        <v>7</v>
      </c>
      <c r="W26" s="16">
        <f t="shared" si="18"/>
        <v>1</v>
      </c>
      <c r="X26" s="16">
        <f t="shared" si="18"/>
        <v>0</v>
      </c>
      <c r="Y26" s="16">
        <f t="shared" si="18"/>
        <v>16</v>
      </c>
      <c r="Z26" s="16">
        <f t="shared" si="18"/>
        <v>2</v>
      </c>
      <c r="AA26" s="16">
        <f t="shared" si="18"/>
        <v>0</v>
      </c>
      <c r="AB26" s="16">
        <f t="shared" si="18"/>
        <v>12</v>
      </c>
      <c r="AC26" s="16">
        <f t="shared" si="18"/>
        <v>310</v>
      </c>
      <c r="AD26" s="16">
        <f t="shared" si="18"/>
        <v>0</v>
      </c>
      <c r="AE26" s="32">
        <f t="shared" si="18"/>
        <v>85</v>
      </c>
      <c r="AF26" s="32">
        <f t="shared" si="18"/>
        <v>395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2</v>
      </c>
      <c r="M27" s="50">
        <v>11</v>
      </c>
      <c r="N27" s="50">
        <v>0</v>
      </c>
      <c r="O27" s="15">
        <f t="shared" si="0"/>
        <v>4</v>
      </c>
      <c r="P27" s="15">
        <f t="shared" si="1"/>
        <v>15</v>
      </c>
      <c r="R27" s="29" t="s">
        <v>87</v>
      </c>
      <c r="S27" s="16">
        <f t="shared" ref="S27:AF27" si="19">SUM(S19:S21)</f>
        <v>15</v>
      </c>
      <c r="T27" s="16">
        <f t="shared" si="19"/>
        <v>3</v>
      </c>
      <c r="U27" s="16">
        <f t="shared" si="19"/>
        <v>8</v>
      </c>
      <c r="V27" s="16">
        <f t="shared" si="19"/>
        <v>5</v>
      </c>
      <c r="W27" s="16">
        <f t="shared" si="19"/>
        <v>0</v>
      </c>
      <c r="X27" s="16">
        <f t="shared" si="19"/>
        <v>0</v>
      </c>
      <c r="Y27" s="16">
        <f t="shared" si="19"/>
        <v>12</v>
      </c>
      <c r="Z27" s="16">
        <f t="shared" si="19"/>
        <v>0</v>
      </c>
      <c r="AA27" s="16">
        <f t="shared" si="19"/>
        <v>0</v>
      </c>
      <c r="AB27" s="16">
        <f t="shared" si="19"/>
        <v>6</v>
      </c>
      <c r="AC27" s="16">
        <f t="shared" si="19"/>
        <v>160</v>
      </c>
      <c r="AD27" s="16">
        <f t="shared" si="19"/>
        <v>0</v>
      </c>
      <c r="AE27" s="32">
        <f t="shared" si="19"/>
        <v>49</v>
      </c>
      <c r="AF27" s="32">
        <f t="shared" si="19"/>
        <v>209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13</v>
      </c>
      <c r="N28" s="50">
        <v>0</v>
      </c>
      <c r="O28" s="15">
        <f t="shared" si="0"/>
        <v>0</v>
      </c>
      <c r="P28" s="15">
        <f t="shared" si="1"/>
        <v>13</v>
      </c>
      <c r="R28" s="5" t="s">
        <v>17</v>
      </c>
      <c r="S28" s="16">
        <f t="shared" ref="S28:AF28" si="20">SUM(S10:S21)</f>
        <v>56</v>
      </c>
      <c r="T28" s="16">
        <f t="shared" si="20"/>
        <v>10</v>
      </c>
      <c r="U28" s="16">
        <f t="shared" si="20"/>
        <v>32</v>
      </c>
      <c r="V28" s="16">
        <f t="shared" si="20"/>
        <v>15</v>
      </c>
      <c r="W28" s="16">
        <f t="shared" si="20"/>
        <v>1</v>
      </c>
      <c r="X28" s="16">
        <f t="shared" si="20"/>
        <v>0</v>
      </c>
      <c r="Y28" s="16">
        <f t="shared" si="20"/>
        <v>41</v>
      </c>
      <c r="Z28" s="16">
        <f t="shared" si="20"/>
        <v>5</v>
      </c>
      <c r="AA28" s="16">
        <f t="shared" si="20"/>
        <v>0</v>
      </c>
      <c r="AB28" s="16">
        <f t="shared" si="20"/>
        <v>24</v>
      </c>
      <c r="AC28" s="16">
        <f t="shared" si="20"/>
        <v>622</v>
      </c>
      <c r="AD28" s="16">
        <f t="shared" si="20"/>
        <v>0</v>
      </c>
      <c r="AE28" s="32">
        <f t="shared" si="20"/>
        <v>184</v>
      </c>
      <c r="AF28" s="32">
        <f t="shared" si="20"/>
        <v>806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1</v>
      </c>
      <c r="M29" s="50">
        <v>18</v>
      </c>
      <c r="N29" s="50">
        <v>0</v>
      </c>
      <c r="O29" s="15">
        <f t="shared" si="0"/>
        <v>2</v>
      </c>
      <c r="P29" s="15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3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1</v>
      </c>
      <c r="D31" s="50">
        <v>1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12</v>
      </c>
      <c r="N31" s="50">
        <v>0</v>
      </c>
      <c r="O31" s="15">
        <f t="shared" si="0"/>
        <v>4</v>
      </c>
      <c r="P31" s="15">
        <f t="shared" si="1"/>
        <v>16</v>
      </c>
    </row>
    <row r="32" spans="2:32" ht="23.1" customHeight="1" x14ac:dyDescent="0.25">
      <c r="B32" s="24" t="s">
        <v>59</v>
      </c>
      <c r="C32" s="50">
        <v>2</v>
      </c>
      <c r="D32" s="50">
        <v>1</v>
      </c>
      <c r="E32" s="50">
        <v>2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6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2</v>
      </c>
      <c r="M33" s="50">
        <v>11</v>
      </c>
      <c r="N33" s="50">
        <v>0</v>
      </c>
      <c r="O33" s="15">
        <f t="shared" si="0"/>
        <v>7</v>
      </c>
      <c r="P33" s="15">
        <f t="shared" si="1"/>
        <v>18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3</v>
      </c>
      <c r="P34" s="15">
        <f t="shared" si="1"/>
        <v>14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11</v>
      </c>
      <c r="N35" s="50">
        <v>0</v>
      </c>
      <c r="O35" s="15">
        <f t="shared" si="0"/>
        <v>2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2</v>
      </c>
      <c r="D36" s="50">
        <v>1</v>
      </c>
      <c r="E36" s="50">
        <v>2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1</v>
      </c>
      <c r="M36" s="50">
        <v>11</v>
      </c>
      <c r="N36" s="50">
        <v>0</v>
      </c>
      <c r="O36" s="15">
        <f t="shared" si="0"/>
        <v>7</v>
      </c>
      <c r="P36" s="15">
        <f t="shared" si="1"/>
        <v>18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1</v>
      </c>
      <c r="M37" s="50">
        <v>6</v>
      </c>
      <c r="N37" s="50">
        <v>0</v>
      </c>
      <c r="O37" s="15">
        <f t="shared" si="0"/>
        <v>5</v>
      </c>
      <c r="P37" s="15">
        <f t="shared" si="1"/>
        <v>11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16</v>
      </c>
      <c r="N38" s="50">
        <v>0</v>
      </c>
      <c r="O38" s="15">
        <f t="shared" si="0"/>
        <v>1</v>
      </c>
      <c r="P38" s="15">
        <f t="shared" si="1"/>
        <v>17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21</v>
      </c>
      <c r="N39" s="50">
        <v>0</v>
      </c>
      <c r="O39" s="15">
        <f t="shared" si="0"/>
        <v>2</v>
      </c>
      <c r="P39" s="15">
        <f t="shared" si="1"/>
        <v>23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1</v>
      </c>
      <c r="F40" s="50">
        <v>2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1</v>
      </c>
      <c r="M40" s="50">
        <v>13</v>
      </c>
      <c r="N40" s="50">
        <v>0</v>
      </c>
      <c r="O40" s="15">
        <f t="shared" si="0"/>
        <v>7</v>
      </c>
      <c r="P40" s="15">
        <f t="shared" si="1"/>
        <v>20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16</v>
      </c>
      <c r="N41" s="50">
        <v>0</v>
      </c>
      <c r="O41" s="15">
        <f t="shared" si="0"/>
        <v>4</v>
      </c>
      <c r="P41" s="15">
        <f t="shared" si="1"/>
        <v>20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2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0</v>
      </c>
      <c r="F43" s="50">
        <v>1</v>
      </c>
      <c r="G43" s="50">
        <v>1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12</v>
      </c>
      <c r="N43" s="50">
        <v>0</v>
      </c>
      <c r="O43" s="15">
        <f t="shared" si="0"/>
        <v>5</v>
      </c>
      <c r="P43" s="15">
        <f t="shared" si="1"/>
        <v>17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1</v>
      </c>
      <c r="M44" s="50">
        <v>6</v>
      </c>
      <c r="N44" s="50">
        <v>0</v>
      </c>
      <c r="O44" s="15">
        <f t="shared" si="0"/>
        <v>3</v>
      </c>
      <c r="P44" s="15">
        <f t="shared" si="1"/>
        <v>9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14</v>
      </c>
      <c r="N45" s="50">
        <v>0</v>
      </c>
      <c r="O45" s="15">
        <f t="shared" si="0"/>
        <v>1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4</v>
      </c>
      <c r="P46" s="15">
        <f t="shared" si="1"/>
        <v>19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1</v>
      </c>
      <c r="E47" s="50">
        <v>2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14</v>
      </c>
      <c r="N47" s="50">
        <v>0</v>
      </c>
      <c r="O47" s="15">
        <f t="shared" si="0"/>
        <v>6</v>
      </c>
      <c r="P47" s="15">
        <f t="shared" si="1"/>
        <v>20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1</v>
      </c>
      <c r="M48" s="50">
        <v>10</v>
      </c>
      <c r="N48" s="50">
        <v>0</v>
      </c>
      <c r="O48" s="15">
        <f t="shared" si="0"/>
        <v>4</v>
      </c>
      <c r="P48" s="15">
        <f t="shared" si="1"/>
        <v>14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2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5</v>
      </c>
      <c r="P49" s="15">
        <f t="shared" si="1"/>
        <v>16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14</v>
      </c>
      <c r="N50" s="50">
        <v>0</v>
      </c>
      <c r="O50" s="15">
        <f t="shared" si="0"/>
        <v>4</v>
      </c>
      <c r="P50" s="15">
        <f t="shared" si="1"/>
        <v>18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17</v>
      </c>
      <c r="N51" s="50">
        <v>0</v>
      </c>
      <c r="O51" s="15">
        <f t="shared" si="0"/>
        <v>0</v>
      </c>
      <c r="P51" s="15">
        <f t="shared" si="1"/>
        <v>17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1</v>
      </c>
      <c r="E52" s="50">
        <v>2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10</v>
      </c>
      <c r="N52" s="50">
        <v>0</v>
      </c>
      <c r="O52" s="15">
        <f t="shared" si="0"/>
        <v>5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3</v>
      </c>
      <c r="P53" s="15">
        <f t="shared" si="1"/>
        <v>16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1</v>
      </c>
      <c r="M54" s="50">
        <v>13</v>
      </c>
      <c r="N54" s="50">
        <v>0</v>
      </c>
      <c r="O54" s="15">
        <f t="shared" si="0"/>
        <v>5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1</v>
      </c>
      <c r="M55" s="50">
        <v>20</v>
      </c>
      <c r="N55" s="50">
        <v>0</v>
      </c>
      <c r="O55" s="15">
        <f t="shared" si="0"/>
        <v>3</v>
      </c>
      <c r="P55" s="15">
        <f t="shared" si="1"/>
        <v>23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1</v>
      </c>
      <c r="M56" s="50">
        <v>12</v>
      </c>
      <c r="N56" s="50">
        <v>0</v>
      </c>
      <c r="O56" s="15">
        <f t="shared" si="0"/>
        <v>6</v>
      </c>
      <c r="P56" s="15">
        <f t="shared" si="1"/>
        <v>18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2</v>
      </c>
      <c r="M57" s="50">
        <v>11</v>
      </c>
      <c r="N57" s="50">
        <v>0</v>
      </c>
      <c r="O57" s="15">
        <f t="shared" si="0"/>
        <v>4</v>
      </c>
      <c r="P57" s="15">
        <f t="shared" si="1"/>
        <v>15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56</v>
      </c>
      <c r="D58" s="16">
        <f t="shared" si="21"/>
        <v>10</v>
      </c>
      <c r="E58" s="16">
        <f t="shared" si="21"/>
        <v>32</v>
      </c>
      <c r="F58" s="16">
        <f t="shared" si="21"/>
        <v>15</v>
      </c>
      <c r="G58" s="16">
        <f t="shared" si="21"/>
        <v>1</v>
      </c>
      <c r="H58" s="16">
        <f t="shared" si="21"/>
        <v>0</v>
      </c>
      <c r="I58" s="16">
        <f t="shared" si="21"/>
        <v>41</v>
      </c>
      <c r="J58" s="16">
        <f t="shared" si="21"/>
        <v>5</v>
      </c>
      <c r="K58" s="16">
        <f t="shared" si="21"/>
        <v>0</v>
      </c>
      <c r="L58" s="16">
        <f t="shared" si="21"/>
        <v>24</v>
      </c>
      <c r="M58" s="16">
        <f t="shared" si="21"/>
        <v>622</v>
      </c>
      <c r="N58" s="16">
        <f t="shared" si="21"/>
        <v>0</v>
      </c>
      <c r="O58" s="16">
        <f t="shared" si="21"/>
        <v>184</v>
      </c>
      <c r="P58" s="16">
        <f t="shared" si="21"/>
        <v>806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6.9478908188585611E-2</v>
      </c>
      <c r="D59" s="43">
        <f t="shared" si="22"/>
        <v>1.2406947890818859E-2</v>
      </c>
      <c r="E59" s="43">
        <f t="shared" si="22"/>
        <v>3.9702233250620347E-2</v>
      </c>
      <c r="F59" s="43">
        <f t="shared" si="22"/>
        <v>1.8610421836228287E-2</v>
      </c>
      <c r="G59" s="43">
        <f t="shared" si="22"/>
        <v>1.2406947890818859E-3</v>
      </c>
      <c r="H59" s="43">
        <f t="shared" si="22"/>
        <v>0</v>
      </c>
      <c r="I59" s="43">
        <f t="shared" si="22"/>
        <v>5.0868486352357321E-2</v>
      </c>
      <c r="J59" s="43">
        <f t="shared" si="22"/>
        <v>6.2034739454094297E-3</v>
      </c>
      <c r="K59" s="43">
        <f t="shared" si="22"/>
        <v>0</v>
      </c>
      <c r="L59" s="43">
        <f t="shared" si="22"/>
        <v>2.9776674937965261E-2</v>
      </c>
      <c r="M59" s="43">
        <f t="shared" si="22"/>
        <v>0.77171215880893296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0.30434782608695654</v>
      </c>
      <c r="D60" s="44">
        <f t="shared" ref="D60:N60" si="23">D58/$O$58</f>
        <v>5.434782608695652E-2</v>
      </c>
      <c r="E60" s="44">
        <f t="shared" si="23"/>
        <v>0.17391304347826086</v>
      </c>
      <c r="F60" s="44">
        <f t="shared" si="23"/>
        <v>8.1521739130434784E-2</v>
      </c>
      <c r="G60" s="44">
        <f t="shared" si="23"/>
        <v>5.434782608695652E-3</v>
      </c>
      <c r="H60" s="44">
        <f t="shared" si="23"/>
        <v>0</v>
      </c>
      <c r="I60" s="44">
        <f t="shared" si="23"/>
        <v>0.22282608695652173</v>
      </c>
      <c r="J60" s="44">
        <f t="shared" si="23"/>
        <v>2.717391304347826E-2</v>
      </c>
      <c r="K60" s="44">
        <f t="shared" si="23"/>
        <v>0</v>
      </c>
      <c r="L60" s="44">
        <f t="shared" si="23"/>
        <v>0.13043478260869565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H48" sqref="H4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Nebbi-Goli'!C3:G3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Goli-Nebbi'!D5</f>
        <v>01.08.19</v>
      </c>
      <c r="E5" s="3"/>
      <c r="F5" s="41" t="s">
        <v>1</v>
      </c>
      <c r="G5" s="65" t="str">
        <f>'31.07 Goli-Nebbi'!G5:H5</f>
        <v>Goli</v>
      </c>
      <c r="H5" s="66"/>
      <c r="I5" s="14"/>
      <c r="J5" s="2" t="s">
        <v>5</v>
      </c>
      <c r="K5" s="65" t="str">
        <f>'31.07 Goli-Nebbi'!K5:L5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'31.07 Nebbi-Goli'!D6:E6</f>
        <v>Nebbi</v>
      </c>
      <c r="E6" s="66"/>
      <c r="F6" s="2" t="s">
        <v>2</v>
      </c>
      <c r="G6" s="65" t="str">
        <f>'31.07 Nebbi-Goli'!G6:H6</f>
        <v>Goli</v>
      </c>
      <c r="H6" s="66"/>
      <c r="J6" s="2" t="s">
        <v>21</v>
      </c>
      <c r="K6" s="65" t="str">
        <f>'31.07 Goli-Nebbi'!K6:L6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1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1</v>
      </c>
      <c r="V10" s="17">
        <f t="shared" si="2"/>
        <v>4</v>
      </c>
      <c r="W10" s="17">
        <f t="shared" si="2"/>
        <v>1</v>
      </c>
      <c r="X10" s="17">
        <f t="shared" si="2"/>
        <v>1</v>
      </c>
      <c r="Y10" s="17">
        <f t="shared" si="2"/>
        <v>3</v>
      </c>
      <c r="Z10" s="17">
        <f t="shared" si="2"/>
        <v>1</v>
      </c>
      <c r="AA10" s="17">
        <f t="shared" si="2"/>
        <v>0</v>
      </c>
      <c r="AB10" s="17">
        <f t="shared" si="2"/>
        <v>2</v>
      </c>
      <c r="AC10" s="17">
        <f t="shared" si="2"/>
        <v>27</v>
      </c>
      <c r="AD10" s="17">
        <f t="shared" si="2"/>
        <v>0</v>
      </c>
      <c r="AE10" s="31">
        <f t="shared" si="2"/>
        <v>15</v>
      </c>
      <c r="AF10" s="31">
        <f t="shared" si="2"/>
        <v>42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3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2</v>
      </c>
      <c r="M11" s="50">
        <v>10</v>
      </c>
      <c r="N11" s="50">
        <v>0</v>
      </c>
      <c r="O11" s="15">
        <f t="shared" si="0"/>
        <v>5</v>
      </c>
      <c r="P11" s="15">
        <f t="shared" si="1"/>
        <v>15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3</v>
      </c>
      <c r="V11" s="17">
        <f t="shared" si="3"/>
        <v>8</v>
      </c>
      <c r="W11" s="17">
        <f t="shared" si="3"/>
        <v>3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0</v>
      </c>
      <c r="AB11" s="17">
        <f t="shared" si="3"/>
        <v>5</v>
      </c>
      <c r="AC11" s="17">
        <f t="shared" si="3"/>
        <v>43</v>
      </c>
      <c r="AD11" s="17">
        <f t="shared" si="3"/>
        <v>0</v>
      </c>
      <c r="AE11" s="31">
        <f t="shared" si="3"/>
        <v>27</v>
      </c>
      <c r="AF11" s="31">
        <f t="shared" si="3"/>
        <v>70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1</v>
      </c>
      <c r="I12" s="50">
        <v>2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4</v>
      </c>
      <c r="P12" s="15">
        <f t="shared" si="1"/>
        <v>4</v>
      </c>
      <c r="R12" s="1" t="s">
        <v>8</v>
      </c>
      <c r="S12" s="17">
        <f t="shared" ref="S12:AF12" si="4">SUM(C18:C21)</f>
        <v>3</v>
      </c>
      <c r="T12" s="17">
        <f t="shared" si="4"/>
        <v>0</v>
      </c>
      <c r="U12" s="17">
        <f t="shared" si="4"/>
        <v>1</v>
      </c>
      <c r="V12" s="17">
        <f t="shared" si="4"/>
        <v>5</v>
      </c>
      <c r="W12" s="17">
        <f t="shared" si="4"/>
        <v>3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5</v>
      </c>
      <c r="AC12" s="17">
        <f t="shared" si="4"/>
        <v>49</v>
      </c>
      <c r="AD12" s="17">
        <f t="shared" si="4"/>
        <v>0</v>
      </c>
      <c r="AE12" s="31">
        <f t="shared" si="4"/>
        <v>17</v>
      </c>
      <c r="AF12" s="31">
        <f t="shared" si="4"/>
        <v>66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2</v>
      </c>
      <c r="P13" s="15">
        <f t="shared" si="1"/>
        <v>10</v>
      </c>
      <c r="R13" s="1" t="s">
        <v>9</v>
      </c>
      <c r="S13" s="17">
        <f t="shared" ref="S13:AF13" si="5">SUM(C22:C25)</f>
        <v>6</v>
      </c>
      <c r="T13" s="17">
        <f t="shared" si="5"/>
        <v>0</v>
      </c>
      <c r="U13" s="17">
        <f t="shared" si="5"/>
        <v>3</v>
      </c>
      <c r="V13" s="17">
        <f t="shared" si="5"/>
        <v>3</v>
      </c>
      <c r="W13" s="17">
        <f t="shared" si="5"/>
        <v>1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2</v>
      </c>
      <c r="AC13" s="17">
        <f t="shared" si="5"/>
        <v>42</v>
      </c>
      <c r="AD13" s="17">
        <f t="shared" si="5"/>
        <v>0</v>
      </c>
      <c r="AE13" s="31">
        <f t="shared" si="5"/>
        <v>15</v>
      </c>
      <c r="AF13" s="31">
        <f t="shared" si="5"/>
        <v>57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4</v>
      </c>
      <c r="G14" s="50">
        <v>1</v>
      </c>
      <c r="H14" s="50">
        <v>0</v>
      </c>
      <c r="I14" s="50">
        <v>0</v>
      </c>
      <c r="J14" s="50">
        <v>0</v>
      </c>
      <c r="K14" s="50">
        <v>0</v>
      </c>
      <c r="L14" s="50">
        <v>2</v>
      </c>
      <c r="M14" s="50">
        <v>9</v>
      </c>
      <c r="N14" s="50">
        <v>0</v>
      </c>
      <c r="O14" s="15">
        <f t="shared" si="0"/>
        <v>8</v>
      </c>
      <c r="P14" s="15">
        <f t="shared" si="1"/>
        <v>17</v>
      </c>
      <c r="R14" s="1" t="s">
        <v>10</v>
      </c>
      <c r="S14" s="17">
        <f t="shared" ref="S14:AF14" si="6">SUM(C26:C29)</f>
        <v>4</v>
      </c>
      <c r="T14" s="17">
        <f t="shared" si="6"/>
        <v>0</v>
      </c>
      <c r="U14" s="17">
        <f t="shared" si="6"/>
        <v>2</v>
      </c>
      <c r="V14" s="17">
        <f t="shared" si="6"/>
        <v>4</v>
      </c>
      <c r="W14" s="17">
        <f t="shared" si="6"/>
        <v>4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5</v>
      </c>
      <c r="AC14" s="17">
        <f t="shared" si="6"/>
        <v>40</v>
      </c>
      <c r="AD14" s="17">
        <f t="shared" si="6"/>
        <v>0</v>
      </c>
      <c r="AE14" s="31">
        <f t="shared" si="6"/>
        <v>23</v>
      </c>
      <c r="AF14" s="31">
        <f t="shared" si="6"/>
        <v>63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3</v>
      </c>
      <c r="M15" s="50">
        <v>13</v>
      </c>
      <c r="N15" s="50">
        <v>0</v>
      </c>
      <c r="O15" s="15">
        <f t="shared" si="0"/>
        <v>8</v>
      </c>
      <c r="P15" s="15">
        <f t="shared" si="1"/>
        <v>21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4</v>
      </c>
      <c r="V15" s="17">
        <f t="shared" si="7"/>
        <v>3</v>
      </c>
      <c r="W15" s="17">
        <f t="shared" si="7"/>
        <v>1</v>
      </c>
      <c r="X15" s="17">
        <f t="shared" si="7"/>
        <v>1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2</v>
      </c>
      <c r="AC15" s="17">
        <f t="shared" si="7"/>
        <v>41</v>
      </c>
      <c r="AD15" s="17">
        <f t="shared" si="7"/>
        <v>0</v>
      </c>
      <c r="AE15" s="31">
        <f t="shared" si="7"/>
        <v>14</v>
      </c>
      <c r="AF15" s="31">
        <f t="shared" si="7"/>
        <v>55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1</v>
      </c>
      <c r="F16" s="50">
        <v>3</v>
      </c>
      <c r="G16" s="50">
        <v>1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10</v>
      </c>
      <c r="N16" s="50">
        <v>0</v>
      </c>
      <c r="O16" s="15">
        <f t="shared" si="0"/>
        <v>7</v>
      </c>
      <c r="P16" s="15">
        <f t="shared" si="1"/>
        <v>17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3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4</v>
      </c>
      <c r="AA16" s="17">
        <f t="shared" si="8"/>
        <v>0</v>
      </c>
      <c r="AB16" s="17">
        <f t="shared" si="8"/>
        <v>3</v>
      </c>
      <c r="AC16" s="17">
        <f t="shared" si="8"/>
        <v>48</v>
      </c>
      <c r="AD16" s="17">
        <f t="shared" si="8"/>
        <v>0</v>
      </c>
      <c r="AE16" s="31">
        <f t="shared" si="8"/>
        <v>18</v>
      </c>
      <c r="AF16" s="31">
        <f t="shared" si="8"/>
        <v>66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2</v>
      </c>
      <c r="F17" s="50">
        <v>1</v>
      </c>
      <c r="G17" s="50">
        <v>1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11</v>
      </c>
      <c r="N17" s="50">
        <v>0</v>
      </c>
      <c r="O17" s="15">
        <f t="shared" si="0"/>
        <v>4</v>
      </c>
      <c r="P17" s="15">
        <f t="shared" si="1"/>
        <v>15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1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1</v>
      </c>
      <c r="AC17" s="17">
        <f t="shared" si="9"/>
        <v>48</v>
      </c>
      <c r="AD17" s="17">
        <f t="shared" si="9"/>
        <v>0</v>
      </c>
      <c r="AE17" s="31">
        <f t="shared" si="9"/>
        <v>11</v>
      </c>
      <c r="AF17" s="31">
        <f t="shared" si="9"/>
        <v>59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1</v>
      </c>
      <c r="M18" s="50">
        <v>11</v>
      </c>
      <c r="N18" s="50">
        <v>0</v>
      </c>
      <c r="O18" s="15">
        <f t="shared" si="0"/>
        <v>2</v>
      </c>
      <c r="P18" s="15">
        <f t="shared" si="1"/>
        <v>13</v>
      </c>
      <c r="R18" s="1" t="s">
        <v>14</v>
      </c>
      <c r="S18" s="17">
        <f t="shared" ref="S18:AF18" si="10">SUM(C42:C45)</f>
        <v>5</v>
      </c>
      <c r="T18" s="17">
        <f t="shared" si="10"/>
        <v>2</v>
      </c>
      <c r="U18" s="17">
        <f t="shared" si="10"/>
        <v>9</v>
      </c>
      <c r="V18" s="17">
        <f t="shared" si="10"/>
        <v>3</v>
      </c>
      <c r="W18" s="17">
        <f t="shared" si="10"/>
        <v>2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2</v>
      </c>
      <c r="AC18" s="17">
        <f t="shared" si="10"/>
        <v>38</v>
      </c>
      <c r="AD18" s="17">
        <f t="shared" si="10"/>
        <v>0</v>
      </c>
      <c r="AE18" s="31">
        <f t="shared" si="10"/>
        <v>28</v>
      </c>
      <c r="AF18" s="31">
        <f t="shared" si="10"/>
        <v>66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2</v>
      </c>
      <c r="G19" s="50">
        <v>2</v>
      </c>
      <c r="H19" s="50">
        <v>0</v>
      </c>
      <c r="I19" s="50">
        <v>0</v>
      </c>
      <c r="J19" s="50">
        <v>0</v>
      </c>
      <c r="K19" s="50">
        <v>0</v>
      </c>
      <c r="L19" s="50">
        <v>1</v>
      </c>
      <c r="M19" s="50">
        <v>10</v>
      </c>
      <c r="N19" s="50">
        <v>0</v>
      </c>
      <c r="O19" s="15">
        <f t="shared" si="0"/>
        <v>5</v>
      </c>
      <c r="P19" s="15">
        <f t="shared" si="1"/>
        <v>15</v>
      </c>
      <c r="R19" s="1" t="s">
        <v>15</v>
      </c>
      <c r="S19" s="17">
        <f t="shared" ref="S19:AF19" si="11">SUM(C46:C49)</f>
        <v>3</v>
      </c>
      <c r="T19" s="17">
        <f t="shared" si="11"/>
        <v>0</v>
      </c>
      <c r="U19" s="17">
        <f t="shared" si="11"/>
        <v>1</v>
      </c>
      <c r="V19" s="17">
        <f t="shared" si="11"/>
        <v>1</v>
      </c>
      <c r="W19" s="17">
        <f t="shared" si="11"/>
        <v>2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0</v>
      </c>
      <c r="AB19" s="17">
        <f t="shared" si="11"/>
        <v>5</v>
      </c>
      <c r="AC19" s="17">
        <f t="shared" si="11"/>
        <v>51</v>
      </c>
      <c r="AD19" s="17">
        <f t="shared" si="11"/>
        <v>0</v>
      </c>
      <c r="AE19" s="31">
        <f t="shared" si="11"/>
        <v>16</v>
      </c>
      <c r="AF19" s="31">
        <f t="shared" si="11"/>
        <v>67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3</v>
      </c>
      <c r="G20" s="50">
        <v>1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5">
        <f t="shared" si="0"/>
        <v>5</v>
      </c>
      <c r="P20" s="15">
        <f t="shared" si="1"/>
        <v>21</v>
      </c>
      <c r="R20" s="1" t="s">
        <v>16</v>
      </c>
      <c r="S20" s="17">
        <f t="shared" ref="S20:AF20" si="12">SUM(C50:C53)</f>
        <v>6</v>
      </c>
      <c r="T20" s="17">
        <f t="shared" si="12"/>
        <v>1</v>
      </c>
      <c r="U20" s="17">
        <f t="shared" si="12"/>
        <v>6</v>
      </c>
      <c r="V20" s="17">
        <f t="shared" si="12"/>
        <v>5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1</v>
      </c>
      <c r="AB20" s="17">
        <f t="shared" si="12"/>
        <v>1</v>
      </c>
      <c r="AC20" s="17">
        <f t="shared" si="12"/>
        <v>57</v>
      </c>
      <c r="AD20" s="17">
        <f t="shared" si="12"/>
        <v>0</v>
      </c>
      <c r="AE20" s="31">
        <f t="shared" si="12"/>
        <v>24</v>
      </c>
      <c r="AF20" s="31">
        <f t="shared" si="12"/>
        <v>81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3</v>
      </c>
      <c r="M21" s="50">
        <v>12</v>
      </c>
      <c r="N21" s="50">
        <v>0</v>
      </c>
      <c r="O21" s="15">
        <f t="shared" si="0"/>
        <v>5</v>
      </c>
      <c r="P21" s="15">
        <f t="shared" si="1"/>
        <v>17</v>
      </c>
      <c r="R21" s="36" t="s">
        <v>20</v>
      </c>
      <c r="S21" s="34">
        <f t="shared" ref="S21:AF21" si="13">SUM(C54:C57)</f>
        <v>4</v>
      </c>
      <c r="T21" s="17">
        <f t="shared" si="13"/>
        <v>0</v>
      </c>
      <c r="U21" s="17">
        <f t="shared" si="13"/>
        <v>2</v>
      </c>
      <c r="V21" s="17">
        <f t="shared" si="13"/>
        <v>1</v>
      </c>
      <c r="W21" s="17">
        <f t="shared" si="13"/>
        <v>1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2</v>
      </c>
      <c r="AB21" s="17">
        <f t="shared" si="13"/>
        <v>4</v>
      </c>
      <c r="AC21" s="17">
        <f t="shared" si="13"/>
        <v>45</v>
      </c>
      <c r="AD21" s="17">
        <f t="shared" si="13"/>
        <v>0</v>
      </c>
      <c r="AE21" s="31">
        <f t="shared" si="13"/>
        <v>16</v>
      </c>
      <c r="AF21" s="31">
        <f t="shared" si="13"/>
        <v>61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1</v>
      </c>
      <c r="F22" s="50">
        <v>2</v>
      </c>
      <c r="G22" s="50">
        <v>1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10</v>
      </c>
      <c r="N22" s="50">
        <v>0</v>
      </c>
      <c r="O22" s="15">
        <f t="shared" si="0"/>
        <v>8</v>
      </c>
      <c r="P22" s="15">
        <f t="shared" si="1"/>
        <v>18</v>
      </c>
      <c r="R22" s="38" t="s">
        <v>90</v>
      </c>
      <c r="S22" s="39">
        <f>MAX(S10:S12)</f>
        <v>3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8</v>
      </c>
      <c r="W22" s="39">
        <f t="shared" si="14"/>
        <v>3</v>
      </c>
      <c r="X22" s="39">
        <f t="shared" si="14"/>
        <v>1</v>
      </c>
      <c r="Y22" s="39">
        <f t="shared" si="14"/>
        <v>5</v>
      </c>
      <c r="Z22" s="39">
        <f t="shared" si="14"/>
        <v>1</v>
      </c>
      <c r="AA22" s="39">
        <f t="shared" si="14"/>
        <v>0</v>
      </c>
      <c r="AB22" s="39">
        <f t="shared" si="14"/>
        <v>5</v>
      </c>
      <c r="AC22" s="39">
        <f t="shared" si="14"/>
        <v>49</v>
      </c>
      <c r="AD22" s="39">
        <f t="shared" si="14"/>
        <v>0</v>
      </c>
      <c r="AE22" s="40">
        <f t="shared" si="14"/>
        <v>27</v>
      </c>
      <c r="AF22" s="40">
        <f t="shared" si="14"/>
        <v>70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1</v>
      </c>
      <c r="M23" s="50">
        <v>10</v>
      </c>
      <c r="N23" s="50">
        <v>0</v>
      </c>
      <c r="O23" s="15">
        <f t="shared" si="0"/>
        <v>3</v>
      </c>
      <c r="P23" s="15">
        <f t="shared" si="1"/>
        <v>13</v>
      </c>
      <c r="R23" s="38" t="s">
        <v>91</v>
      </c>
      <c r="S23" s="39">
        <f>MAX(S13:S18)</f>
        <v>6</v>
      </c>
      <c r="T23" s="39">
        <f t="shared" ref="T23:AF23" si="15">MAX(T13:T18)</f>
        <v>2</v>
      </c>
      <c r="U23" s="39">
        <f t="shared" si="15"/>
        <v>9</v>
      </c>
      <c r="V23" s="39">
        <f t="shared" si="15"/>
        <v>4</v>
      </c>
      <c r="W23" s="39">
        <f t="shared" si="15"/>
        <v>4</v>
      </c>
      <c r="X23" s="39">
        <f t="shared" si="15"/>
        <v>1</v>
      </c>
      <c r="Y23" s="39">
        <f t="shared" si="15"/>
        <v>5</v>
      </c>
      <c r="Z23" s="39">
        <f t="shared" si="15"/>
        <v>4</v>
      </c>
      <c r="AA23" s="39">
        <f t="shared" si="15"/>
        <v>0</v>
      </c>
      <c r="AB23" s="39">
        <f t="shared" si="15"/>
        <v>5</v>
      </c>
      <c r="AC23" s="39">
        <f t="shared" si="15"/>
        <v>48</v>
      </c>
      <c r="AD23" s="39">
        <f t="shared" si="15"/>
        <v>0</v>
      </c>
      <c r="AE23" s="40">
        <f t="shared" si="15"/>
        <v>28</v>
      </c>
      <c r="AF23" s="40">
        <f t="shared" si="15"/>
        <v>66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15</v>
      </c>
      <c r="N24" s="50">
        <v>0</v>
      </c>
      <c r="O24" s="15">
        <f t="shared" si="0"/>
        <v>2</v>
      </c>
      <c r="P24" s="15">
        <f t="shared" si="1"/>
        <v>17</v>
      </c>
      <c r="R24" s="38" t="s">
        <v>92</v>
      </c>
      <c r="S24" s="39">
        <f>MAX(S19:S21)</f>
        <v>6</v>
      </c>
      <c r="T24" s="39">
        <f t="shared" ref="T24:AF24" si="16">MAX(T19:T21)</f>
        <v>1</v>
      </c>
      <c r="U24" s="39">
        <f t="shared" si="16"/>
        <v>6</v>
      </c>
      <c r="V24" s="39">
        <f t="shared" si="16"/>
        <v>5</v>
      </c>
      <c r="W24" s="39">
        <f t="shared" si="16"/>
        <v>2</v>
      </c>
      <c r="X24" s="39">
        <f t="shared" si="16"/>
        <v>0</v>
      </c>
      <c r="Y24" s="39">
        <f t="shared" si="16"/>
        <v>4</v>
      </c>
      <c r="Z24" s="39">
        <f t="shared" si="16"/>
        <v>1</v>
      </c>
      <c r="AA24" s="39">
        <f t="shared" si="16"/>
        <v>2</v>
      </c>
      <c r="AB24" s="39">
        <f t="shared" si="16"/>
        <v>5</v>
      </c>
      <c r="AC24" s="39">
        <f t="shared" si="16"/>
        <v>57</v>
      </c>
      <c r="AD24" s="39">
        <f t="shared" si="16"/>
        <v>0</v>
      </c>
      <c r="AE24" s="40">
        <f t="shared" si="16"/>
        <v>24</v>
      </c>
      <c r="AF24" s="40">
        <f t="shared" si="16"/>
        <v>81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7</v>
      </c>
      <c r="N25" s="50">
        <v>0</v>
      </c>
      <c r="O25" s="15">
        <f t="shared" si="0"/>
        <v>2</v>
      </c>
      <c r="P25" s="15">
        <f t="shared" si="1"/>
        <v>9</v>
      </c>
      <c r="R25" s="37" t="s">
        <v>85</v>
      </c>
      <c r="S25" s="35">
        <f t="shared" ref="S25:AF25" si="17">SUM(S10:S12)</f>
        <v>8</v>
      </c>
      <c r="T25" s="16">
        <f t="shared" si="17"/>
        <v>0</v>
      </c>
      <c r="U25" s="16">
        <f t="shared" si="17"/>
        <v>5</v>
      </c>
      <c r="V25" s="16">
        <f t="shared" si="17"/>
        <v>17</v>
      </c>
      <c r="W25" s="16">
        <f t="shared" si="17"/>
        <v>7</v>
      </c>
      <c r="X25" s="16">
        <f t="shared" si="17"/>
        <v>1</v>
      </c>
      <c r="Y25" s="16">
        <f t="shared" si="17"/>
        <v>8</v>
      </c>
      <c r="Z25" s="16">
        <f t="shared" si="17"/>
        <v>1</v>
      </c>
      <c r="AA25" s="16">
        <f t="shared" si="17"/>
        <v>0</v>
      </c>
      <c r="AB25" s="16">
        <f t="shared" si="17"/>
        <v>12</v>
      </c>
      <c r="AC25" s="16">
        <f t="shared" si="17"/>
        <v>119</v>
      </c>
      <c r="AD25" s="16">
        <f t="shared" si="17"/>
        <v>0</v>
      </c>
      <c r="AE25" s="32">
        <f t="shared" si="17"/>
        <v>59</v>
      </c>
      <c r="AF25" s="32">
        <f t="shared" si="17"/>
        <v>178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2</v>
      </c>
      <c r="G26" s="50">
        <v>1</v>
      </c>
      <c r="H26" s="50">
        <v>0</v>
      </c>
      <c r="I26" s="50">
        <v>2</v>
      </c>
      <c r="J26" s="50">
        <v>0</v>
      </c>
      <c r="K26" s="50">
        <v>0</v>
      </c>
      <c r="L26" s="50">
        <v>1</v>
      </c>
      <c r="M26" s="50">
        <v>11</v>
      </c>
      <c r="N26" s="50">
        <v>0</v>
      </c>
      <c r="O26" s="15">
        <f t="shared" si="0"/>
        <v>6</v>
      </c>
      <c r="P26" s="15">
        <f t="shared" si="1"/>
        <v>17</v>
      </c>
      <c r="R26" s="28" t="s">
        <v>86</v>
      </c>
      <c r="S26" s="16">
        <f t="shared" ref="S26:AF26" si="18">SUM(S13:S18)</f>
        <v>21</v>
      </c>
      <c r="T26" s="16">
        <f t="shared" si="18"/>
        <v>2</v>
      </c>
      <c r="U26" s="16">
        <f t="shared" si="18"/>
        <v>22</v>
      </c>
      <c r="V26" s="16">
        <f t="shared" si="18"/>
        <v>17</v>
      </c>
      <c r="W26" s="16">
        <f t="shared" si="18"/>
        <v>8</v>
      </c>
      <c r="X26" s="16">
        <f t="shared" si="18"/>
        <v>1</v>
      </c>
      <c r="Y26" s="16">
        <f t="shared" si="18"/>
        <v>19</v>
      </c>
      <c r="Z26" s="16">
        <f t="shared" si="18"/>
        <v>4</v>
      </c>
      <c r="AA26" s="16">
        <f t="shared" si="18"/>
        <v>0</v>
      </c>
      <c r="AB26" s="16">
        <f t="shared" si="18"/>
        <v>15</v>
      </c>
      <c r="AC26" s="16">
        <f t="shared" si="18"/>
        <v>257</v>
      </c>
      <c r="AD26" s="16">
        <f t="shared" si="18"/>
        <v>0</v>
      </c>
      <c r="AE26" s="32">
        <f t="shared" si="18"/>
        <v>109</v>
      </c>
      <c r="AF26" s="32">
        <f t="shared" si="18"/>
        <v>366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9</v>
      </c>
      <c r="N27" s="50">
        <v>0</v>
      </c>
      <c r="O27" s="15">
        <f t="shared" si="0"/>
        <v>2</v>
      </c>
      <c r="P27" s="15">
        <f t="shared" si="1"/>
        <v>11</v>
      </c>
      <c r="R27" s="29" t="s">
        <v>87</v>
      </c>
      <c r="S27" s="16">
        <f t="shared" ref="S27:AF27" si="19">SUM(S19:S21)</f>
        <v>13</v>
      </c>
      <c r="T27" s="16">
        <f t="shared" si="19"/>
        <v>1</v>
      </c>
      <c r="U27" s="16">
        <f t="shared" si="19"/>
        <v>9</v>
      </c>
      <c r="V27" s="16">
        <f t="shared" si="19"/>
        <v>7</v>
      </c>
      <c r="W27" s="16">
        <f t="shared" si="19"/>
        <v>3</v>
      </c>
      <c r="X27" s="16">
        <f t="shared" si="19"/>
        <v>0</v>
      </c>
      <c r="Y27" s="16">
        <f t="shared" si="19"/>
        <v>9</v>
      </c>
      <c r="Z27" s="16">
        <f t="shared" si="19"/>
        <v>1</v>
      </c>
      <c r="AA27" s="16">
        <f t="shared" si="19"/>
        <v>3</v>
      </c>
      <c r="AB27" s="16">
        <f t="shared" si="19"/>
        <v>10</v>
      </c>
      <c r="AC27" s="16">
        <f t="shared" si="19"/>
        <v>153</v>
      </c>
      <c r="AD27" s="16">
        <f t="shared" si="19"/>
        <v>0</v>
      </c>
      <c r="AE27" s="32">
        <f t="shared" si="19"/>
        <v>56</v>
      </c>
      <c r="AF27" s="32">
        <f t="shared" si="19"/>
        <v>209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1</v>
      </c>
      <c r="F28" s="50">
        <v>0</v>
      </c>
      <c r="G28" s="50">
        <v>2</v>
      </c>
      <c r="H28" s="50">
        <v>0</v>
      </c>
      <c r="I28" s="50">
        <v>2</v>
      </c>
      <c r="J28" s="50">
        <v>0</v>
      </c>
      <c r="K28" s="50">
        <v>0</v>
      </c>
      <c r="L28" s="50">
        <v>2</v>
      </c>
      <c r="M28" s="50">
        <v>11</v>
      </c>
      <c r="N28" s="50">
        <v>0</v>
      </c>
      <c r="O28" s="15">
        <f t="shared" si="0"/>
        <v>8</v>
      </c>
      <c r="P28" s="15">
        <f t="shared" si="1"/>
        <v>19</v>
      </c>
      <c r="R28" s="5" t="s">
        <v>17</v>
      </c>
      <c r="S28" s="16">
        <f t="shared" ref="S28:AF28" si="20">SUM(S10:S21)</f>
        <v>42</v>
      </c>
      <c r="T28" s="16">
        <f t="shared" si="20"/>
        <v>3</v>
      </c>
      <c r="U28" s="16">
        <f t="shared" si="20"/>
        <v>36</v>
      </c>
      <c r="V28" s="16">
        <f t="shared" si="20"/>
        <v>41</v>
      </c>
      <c r="W28" s="16">
        <f t="shared" si="20"/>
        <v>18</v>
      </c>
      <c r="X28" s="16">
        <f t="shared" si="20"/>
        <v>2</v>
      </c>
      <c r="Y28" s="16">
        <f t="shared" si="20"/>
        <v>36</v>
      </c>
      <c r="Z28" s="16">
        <f t="shared" si="20"/>
        <v>6</v>
      </c>
      <c r="AA28" s="16">
        <f t="shared" si="20"/>
        <v>3</v>
      </c>
      <c r="AB28" s="16">
        <f t="shared" si="20"/>
        <v>37</v>
      </c>
      <c r="AC28" s="16">
        <f t="shared" si="20"/>
        <v>529</v>
      </c>
      <c r="AD28" s="16">
        <f t="shared" si="20"/>
        <v>0</v>
      </c>
      <c r="AE28" s="32">
        <f t="shared" si="20"/>
        <v>224</v>
      </c>
      <c r="AF28" s="32">
        <f t="shared" si="20"/>
        <v>753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2</v>
      </c>
      <c r="G29" s="50">
        <v>1</v>
      </c>
      <c r="H29" s="50">
        <v>0</v>
      </c>
      <c r="I29" s="50">
        <v>0</v>
      </c>
      <c r="J29" s="50">
        <v>0</v>
      </c>
      <c r="K29" s="50">
        <v>0</v>
      </c>
      <c r="L29" s="50">
        <v>2</v>
      </c>
      <c r="M29" s="50">
        <v>9</v>
      </c>
      <c r="N29" s="50">
        <v>0</v>
      </c>
      <c r="O29" s="15">
        <f t="shared" si="0"/>
        <v>7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2</v>
      </c>
      <c r="F30" s="50">
        <v>1</v>
      </c>
      <c r="G30" s="50">
        <v>0</v>
      </c>
      <c r="H30" s="50">
        <v>1</v>
      </c>
      <c r="I30" s="50">
        <v>0</v>
      </c>
      <c r="J30" s="50">
        <v>0</v>
      </c>
      <c r="K30" s="50">
        <v>0</v>
      </c>
      <c r="L30" s="50">
        <v>2</v>
      </c>
      <c r="M30" s="50">
        <v>18</v>
      </c>
      <c r="N30" s="50">
        <v>0</v>
      </c>
      <c r="O30" s="15">
        <f t="shared" si="0"/>
        <v>6</v>
      </c>
      <c r="P30" s="15">
        <f t="shared" si="1"/>
        <v>24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4</v>
      </c>
      <c r="N31" s="50">
        <v>0</v>
      </c>
      <c r="O31" s="15">
        <f t="shared" si="0"/>
        <v>2</v>
      </c>
      <c r="P31" s="15">
        <f t="shared" si="1"/>
        <v>6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1</v>
      </c>
      <c r="F32" s="50">
        <v>0</v>
      </c>
      <c r="G32" s="50">
        <v>1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3</v>
      </c>
      <c r="P32" s="15">
        <f t="shared" si="1"/>
        <v>15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7</v>
      </c>
      <c r="N33" s="50">
        <v>0</v>
      </c>
      <c r="O33" s="15">
        <f t="shared" si="0"/>
        <v>3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2</v>
      </c>
      <c r="M34" s="50">
        <v>16</v>
      </c>
      <c r="N34" s="50">
        <v>0</v>
      </c>
      <c r="O34" s="15">
        <f t="shared" si="0"/>
        <v>3</v>
      </c>
      <c r="P34" s="15">
        <f t="shared" si="1"/>
        <v>19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2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4</v>
      </c>
      <c r="P35" s="15">
        <f t="shared" si="1"/>
        <v>14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1</v>
      </c>
      <c r="J36" s="50">
        <v>2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5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2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1</v>
      </c>
      <c r="M37" s="50">
        <v>8</v>
      </c>
      <c r="N37" s="50">
        <v>0</v>
      </c>
      <c r="O37" s="15">
        <f t="shared" si="0"/>
        <v>6</v>
      </c>
      <c r="P37" s="15">
        <f t="shared" si="1"/>
        <v>14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1</v>
      </c>
      <c r="M38" s="50">
        <v>7</v>
      </c>
      <c r="N38" s="50">
        <v>0</v>
      </c>
      <c r="O38" s="15">
        <f t="shared" si="0"/>
        <v>1</v>
      </c>
      <c r="P38" s="15">
        <f t="shared" si="1"/>
        <v>8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0</v>
      </c>
      <c r="P39" s="15">
        <f t="shared" si="1"/>
        <v>14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3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7</v>
      </c>
      <c r="P40" s="15">
        <f t="shared" si="1"/>
        <v>16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18</v>
      </c>
      <c r="N41" s="50">
        <v>0</v>
      </c>
      <c r="O41" s="15">
        <f t="shared" si="0"/>
        <v>3</v>
      </c>
      <c r="P41" s="15">
        <f t="shared" si="1"/>
        <v>21</v>
      </c>
    </row>
    <row r="42" spans="2:20" ht="23.1" customHeight="1" x14ac:dyDescent="0.25">
      <c r="B42" s="24" t="s">
        <v>69</v>
      </c>
      <c r="C42" s="50">
        <v>0</v>
      </c>
      <c r="D42" s="50">
        <v>2</v>
      </c>
      <c r="E42" s="50">
        <v>6</v>
      </c>
      <c r="F42" s="50">
        <v>0</v>
      </c>
      <c r="G42" s="50">
        <v>1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10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1</v>
      </c>
      <c r="M43" s="50">
        <v>10</v>
      </c>
      <c r="N43" s="50">
        <v>0</v>
      </c>
      <c r="O43" s="15">
        <f t="shared" si="0"/>
        <v>4</v>
      </c>
      <c r="P43" s="15">
        <f t="shared" si="1"/>
        <v>14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0</v>
      </c>
      <c r="G44" s="50">
        <v>1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7</v>
      </c>
      <c r="P44" s="15">
        <f t="shared" si="1"/>
        <v>14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2</v>
      </c>
      <c r="F45" s="50">
        <v>2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1</v>
      </c>
      <c r="M45" s="50">
        <v>11</v>
      </c>
      <c r="N45" s="50">
        <v>0</v>
      </c>
      <c r="O45" s="15">
        <f t="shared" si="0"/>
        <v>7</v>
      </c>
      <c r="P45" s="15">
        <f t="shared" si="1"/>
        <v>18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1</v>
      </c>
      <c r="F46" s="50">
        <v>0</v>
      </c>
      <c r="G46" s="50">
        <v>1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12</v>
      </c>
      <c r="N46" s="50">
        <v>0</v>
      </c>
      <c r="O46" s="15">
        <f t="shared" si="0"/>
        <v>3</v>
      </c>
      <c r="P46" s="15">
        <f t="shared" si="1"/>
        <v>15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1</v>
      </c>
      <c r="M47" s="50">
        <v>6</v>
      </c>
      <c r="N47" s="50">
        <v>0</v>
      </c>
      <c r="O47" s="15">
        <f t="shared" si="0"/>
        <v>1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1</v>
      </c>
      <c r="G48" s="50">
        <v>1</v>
      </c>
      <c r="H48" s="50">
        <v>0</v>
      </c>
      <c r="I48" s="50">
        <v>1</v>
      </c>
      <c r="J48" s="50">
        <v>0</v>
      </c>
      <c r="K48" s="50">
        <v>0</v>
      </c>
      <c r="L48" s="50">
        <v>2</v>
      </c>
      <c r="M48" s="50">
        <v>14</v>
      </c>
      <c r="N48" s="50">
        <v>0</v>
      </c>
      <c r="O48" s="15">
        <f t="shared" si="0"/>
        <v>6</v>
      </c>
      <c r="P48" s="15">
        <f t="shared" si="1"/>
        <v>20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2</v>
      </c>
      <c r="M49" s="50">
        <v>19</v>
      </c>
      <c r="N49" s="50">
        <v>0</v>
      </c>
      <c r="O49" s="15">
        <f t="shared" si="0"/>
        <v>6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1</v>
      </c>
      <c r="M50" s="50">
        <v>18</v>
      </c>
      <c r="N50" s="50">
        <v>0</v>
      </c>
      <c r="O50" s="15">
        <f t="shared" si="0"/>
        <v>9</v>
      </c>
      <c r="P50" s="15">
        <f t="shared" si="1"/>
        <v>27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3</v>
      </c>
      <c r="F51" s="50">
        <v>2</v>
      </c>
      <c r="G51" s="50">
        <v>0</v>
      </c>
      <c r="H51" s="50">
        <v>0</v>
      </c>
      <c r="I51" s="50">
        <v>1</v>
      </c>
      <c r="J51" s="50">
        <v>0</v>
      </c>
      <c r="K51" s="50">
        <v>1</v>
      </c>
      <c r="L51" s="50">
        <v>0</v>
      </c>
      <c r="M51" s="50">
        <v>12</v>
      </c>
      <c r="N51" s="50">
        <v>0</v>
      </c>
      <c r="O51" s="15">
        <f t="shared" si="0"/>
        <v>9</v>
      </c>
      <c r="P51" s="15">
        <f t="shared" si="1"/>
        <v>21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16</v>
      </c>
      <c r="N52" s="50">
        <v>0</v>
      </c>
      <c r="O52" s="15">
        <f t="shared" si="0"/>
        <v>4</v>
      </c>
      <c r="P52" s="15">
        <f t="shared" si="1"/>
        <v>20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1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11</v>
      </c>
      <c r="N53" s="50">
        <v>0</v>
      </c>
      <c r="O53" s="15">
        <f t="shared" si="0"/>
        <v>2</v>
      </c>
      <c r="P53" s="15">
        <f t="shared" si="1"/>
        <v>13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0</v>
      </c>
      <c r="F54" s="50">
        <v>1</v>
      </c>
      <c r="G54" s="50">
        <v>1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5</v>
      </c>
      <c r="P54" s="15">
        <f t="shared" si="1"/>
        <v>13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1</v>
      </c>
      <c r="M55" s="50">
        <v>15</v>
      </c>
      <c r="N55" s="50">
        <v>0</v>
      </c>
      <c r="O55" s="15">
        <f t="shared" si="0"/>
        <v>3</v>
      </c>
      <c r="P55" s="15">
        <f t="shared" si="1"/>
        <v>18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1</v>
      </c>
      <c r="L56" s="50">
        <v>0</v>
      </c>
      <c r="M56" s="50">
        <v>10</v>
      </c>
      <c r="N56" s="50">
        <v>0</v>
      </c>
      <c r="O56" s="15">
        <f t="shared" si="0"/>
        <v>4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3</v>
      </c>
      <c r="M57" s="50">
        <v>12</v>
      </c>
      <c r="N57" s="50">
        <v>0</v>
      </c>
      <c r="O57" s="15">
        <f t="shared" si="0"/>
        <v>4</v>
      </c>
      <c r="P57" s="15">
        <f t="shared" si="1"/>
        <v>16</v>
      </c>
      <c r="R57" s="8"/>
      <c r="T57"/>
    </row>
    <row r="58" spans="2:20" ht="23.1" customHeight="1" x14ac:dyDescent="0.25">
      <c r="B58" s="26" t="s">
        <v>18</v>
      </c>
      <c r="C58" s="16">
        <f>SUM(C10:C57)</f>
        <v>42</v>
      </c>
      <c r="D58" s="16">
        <f t="shared" ref="D58:P58" si="21">SUM(D10:D57)</f>
        <v>3</v>
      </c>
      <c r="E58" s="16">
        <f t="shared" si="21"/>
        <v>36</v>
      </c>
      <c r="F58" s="16">
        <f t="shared" si="21"/>
        <v>41</v>
      </c>
      <c r="G58" s="16">
        <f t="shared" si="21"/>
        <v>18</v>
      </c>
      <c r="H58" s="16">
        <f t="shared" si="21"/>
        <v>2</v>
      </c>
      <c r="I58" s="16">
        <f t="shared" si="21"/>
        <v>36</v>
      </c>
      <c r="J58" s="16">
        <f t="shared" si="21"/>
        <v>6</v>
      </c>
      <c r="K58" s="16">
        <f t="shared" si="21"/>
        <v>3</v>
      </c>
      <c r="L58" s="16">
        <f t="shared" si="21"/>
        <v>37</v>
      </c>
      <c r="M58" s="16">
        <f t="shared" si="21"/>
        <v>529</v>
      </c>
      <c r="N58" s="16">
        <f t="shared" si="21"/>
        <v>0</v>
      </c>
      <c r="O58" s="16">
        <f t="shared" si="21"/>
        <v>224</v>
      </c>
      <c r="P58" s="16">
        <f t="shared" si="21"/>
        <v>753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5.5776892430278883E-2</v>
      </c>
      <c r="D59" s="43">
        <f t="shared" si="22"/>
        <v>3.9840637450199202E-3</v>
      </c>
      <c r="E59" s="43">
        <f t="shared" si="22"/>
        <v>4.7808764940239043E-2</v>
      </c>
      <c r="F59" s="43">
        <f t="shared" si="22"/>
        <v>5.4448871181938911E-2</v>
      </c>
      <c r="G59" s="43">
        <f t="shared" si="22"/>
        <v>2.3904382470119521E-2</v>
      </c>
      <c r="H59" s="43">
        <f t="shared" si="22"/>
        <v>2.6560424966799467E-3</v>
      </c>
      <c r="I59" s="43">
        <f t="shared" si="22"/>
        <v>4.7808764940239043E-2</v>
      </c>
      <c r="J59" s="43">
        <f t="shared" si="22"/>
        <v>7.9681274900398405E-3</v>
      </c>
      <c r="K59" s="43">
        <f t="shared" si="22"/>
        <v>3.9840637450199202E-3</v>
      </c>
      <c r="L59" s="43">
        <f t="shared" si="22"/>
        <v>4.9136786188579015E-2</v>
      </c>
      <c r="M59" s="43">
        <f t="shared" si="22"/>
        <v>0.70252324037184599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0.1875</v>
      </c>
      <c r="D60" s="44">
        <f t="shared" ref="D60:N60" si="23">D58/$O$58</f>
        <v>1.3392857142857142E-2</v>
      </c>
      <c r="E60" s="44">
        <f t="shared" si="23"/>
        <v>0.16071428571428573</v>
      </c>
      <c r="F60" s="44">
        <f t="shared" si="23"/>
        <v>0.18303571428571427</v>
      </c>
      <c r="G60" s="44">
        <f t="shared" si="23"/>
        <v>8.0357142857142863E-2</v>
      </c>
      <c r="H60" s="44">
        <f t="shared" si="23"/>
        <v>8.9285714285714281E-3</v>
      </c>
      <c r="I60" s="44">
        <f t="shared" si="23"/>
        <v>0.16071428571428573</v>
      </c>
      <c r="J60" s="44">
        <f t="shared" si="23"/>
        <v>2.6785714285714284E-2</v>
      </c>
      <c r="K60" s="44">
        <f t="shared" si="23"/>
        <v>1.3392857142857142E-2</v>
      </c>
      <c r="L60" s="44">
        <f t="shared" si="23"/>
        <v>0.16517857142857142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249977111117893"/>
  </sheetPr>
  <dimension ref="B1:AF174"/>
  <sheetViews>
    <sheetView view="pageBreakPreview" zoomScale="60" workbookViewId="0">
      <selection activeCell="L102" sqref="L10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Goli-Nebbi'!C3:G3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5" t="str">
        <f>'05.08 Nebbi-Goli'!G5:H5</f>
        <v>Goli</v>
      </c>
      <c r="H5" s="66"/>
      <c r="I5" s="14"/>
      <c r="J5" s="2" t="s">
        <v>5</v>
      </c>
      <c r="K5" s="65" t="str">
        <f>'05.08 Nebbi-Goli'!K5:L5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'31.07 Goli-Nebbi'!D6:E6</f>
        <v>Goli</v>
      </c>
      <c r="E6" s="66"/>
      <c r="F6" s="2" t="s">
        <v>2</v>
      </c>
      <c r="G6" s="65" t="str">
        <f>'31.07 Goli-Nebbi'!G6:H6</f>
        <v>Nebbi</v>
      </c>
      <c r="H6" s="66"/>
      <c r="J6" s="2" t="s">
        <v>21</v>
      </c>
      <c r="K6" s="65" t="str">
        <f>'05.08 Nebbi-Goli'!K6:L6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7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7</v>
      </c>
      <c r="T10" s="17">
        <f t="shared" si="2"/>
        <v>1</v>
      </c>
      <c r="U10" s="17">
        <f t="shared" si="2"/>
        <v>2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1</v>
      </c>
      <c r="AB10" s="17">
        <f t="shared" si="2"/>
        <v>3</v>
      </c>
      <c r="AC10" s="17">
        <f t="shared" si="2"/>
        <v>32</v>
      </c>
      <c r="AD10" s="17">
        <f t="shared" si="2"/>
        <v>0</v>
      </c>
      <c r="AE10" s="31">
        <f t="shared" si="2"/>
        <v>17</v>
      </c>
      <c r="AF10" s="31">
        <f t="shared" si="2"/>
        <v>49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9</v>
      </c>
      <c r="N11" s="50">
        <v>0</v>
      </c>
      <c r="O11" s="15">
        <f t="shared" si="0"/>
        <v>2</v>
      </c>
      <c r="P11" s="15">
        <f t="shared" si="1"/>
        <v>11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0</v>
      </c>
      <c r="AA11" s="17">
        <f t="shared" si="3"/>
        <v>0</v>
      </c>
      <c r="AB11" s="17">
        <f t="shared" si="3"/>
        <v>5</v>
      </c>
      <c r="AC11" s="17">
        <f t="shared" si="3"/>
        <v>37</v>
      </c>
      <c r="AD11" s="17">
        <f t="shared" si="3"/>
        <v>0</v>
      </c>
      <c r="AE11" s="31">
        <f t="shared" si="3"/>
        <v>13</v>
      </c>
      <c r="AF11" s="31">
        <f t="shared" si="3"/>
        <v>50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9</v>
      </c>
      <c r="N12" s="50">
        <v>0</v>
      </c>
      <c r="O12" s="15">
        <f t="shared" si="0"/>
        <v>3</v>
      </c>
      <c r="P12" s="15">
        <f t="shared" si="1"/>
        <v>12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3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3</v>
      </c>
      <c r="AC12" s="17">
        <f t="shared" si="4"/>
        <v>52</v>
      </c>
      <c r="AD12" s="17">
        <f t="shared" si="4"/>
        <v>0</v>
      </c>
      <c r="AE12" s="31">
        <f t="shared" si="4"/>
        <v>18</v>
      </c>
      <c r="AF12" s="31">
        <f t="shared" si="4"/>
        <v>70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1</v>
      </c>
      <c r="M13" s="50">
        <v>7</v>
      </c>
      <c r="N13" s="50">
        <v>0</v>
      </c>
      <c r="O13" s="15">
        <f t="shared" si="0"/>
        <v>5</v>
      </c>
      <c r="P13" s="15">
        <f t="shared" si="1"/>
        <v>12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2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2</v>
      </c>
      <c r="AC13" s="17">
        <f t="shared" si="5"/>
        <v>47</v>
      </c>
      <c r="AD13" s="17">
        <f t="shared" si="5"/>
        <v>0</v>
      </c>
      <c r="AE13" s="31">
        <f t="shared" si="5"/>
        <v>11</v>
      </c>
      <c r="AF13" s="31">
        <f t="shared" si="5"/>
        <v>58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1</v>
      </c>
      <c r="M14" s="50">
        <v>8</v>
      </c>
      <c r="N14" s="50">
        <v>0</v>
      </c>
      <c r="O14" s="15">
        <f t="shared" si="0"/>
        <v>5</v>
      </c>
      <c r="P14" s="15">
        <f t="shared" si="1"/>
        <v>13</v>
      </c>
      <c r="R14" s="1" t="s">
        <v>10</v>
      </c>
      <c r="S14" s="17">
        <f t="shared" ref="S14:AF14" si="6">SUM(C26:C29)</f>
        <v>3</v>
      </c>
      <c r="T14" s="17">
        <f t="shared" si="6"/>
        <v>1</v>
      </c>
      <c r="U14" s="17">
        <f t="shared" si="6"/>
        <v>5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2</v>
      </c>
      <c r="AC14" s="17">
        <f t="shared" si="6"/>
        <v>61</v>
      </c>
      <c r="AD14" s="17">
        <f t="shared" si="6"/>
        <v>0</v>
      </c>
      <c r="AE14" s="31">
        <f t="shared" si="6"/>
        <v>14</v>
      </c>
      <c r="AF14" s="31">
        <f t="shared" si="6"/>
        <v>75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1</v>
      </c>
      <c r="M15" s="50">
        <v>13</v>
      </c>
      <c r="N15" s="50">
        <v>0</v>
      </c>
      <c r="O15" s="15">
        <f t="shared" si="0"/>
        <v>3</v>
      </c>
      <c r="P15" s="15">
        <f t="shared" si="1"/>
        <v>16</v>
      </c>
      <c r="R15" s="1" t="s">
        <v>11</v>
      </c>
      <c r="S15" s="17">
        <f t="shared" ref="S15:AF15" si="7">SUM(C30:C33)</f>
        <v>5</v>
      </c>
      <c r="T15" s="17">
        <f t="shared" si="7"/>
        <v>0</v>
      </c>
      <c r="U15" s="17">
        <f t="shared" si="7"/>
        <v>1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2</v>
      </c>
      <c r="AC15" s="17">
        <f t="shared" si="7"/>
        <v>52</v>
      </c>
      <c r="AD15" s="17">
        <f t="shared" si="7"/>
        <v>0</v>
      </c>
      <c r="AE15" s="31">
        <f t="shared" si="7"/>
        <v>13</v>
      </c>
      <c r="AF15" s="31">
        <f t="shared" si="7"/>
        <v>65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1</v>
      </c>
      <c r="M16" s="50">
        <v>6</v>
      </c>
      <c r="N16" s="50">
        <v>0</v>
      </c>
      <c r="O16" s="15">
        <f t="shared" si="0"/>
        <v>1</v>
      </c>
      <c r="P16" s="15">
        <f t="shared" si="1"/>
        <v>7</v>
      </c>
      <c r="R16" s="1" t="s">
        <v>12</v>
      </c>
      <c r="S16" s="17">
        <f t="shared" ref="S16:AF16" si="8">SUM(C34:C37)</f>
        <v>5</v>
      </c>
      <c r="T16" s="17">
        <f t="shared" si="8"/>
        <v>3</v>
      </c>
      <c r="U16" s="17">
        <f t="shared" si="8"/>
        <v>6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51</v>
      </c>
      <c r="AD16" s="17">
        <f t="shared" si="8"/>
        <v>0</v>
      </c>
      <c r="AE16" s="31">
        <f t="shared" si="8"/>
        <v>20</v>
      </c>
      <c r="AF16" s="31">
        <f t="shared" si="8"/>
        <v>71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2</v>
      </c>
      <c r="M17" s="50">
        <v>10</v>
      </c>
      <c r="N17" s="50">
        <v>0</v>
      </c>
      <c r="O17" s="15">
        <f t="shared" si="0"/>
        <v>4</v>
      </c>
      <c r="P17" s="15">
        <f t="shared" si="1"/>
        <v>14</v>
      </c>
      <c r="R17" s="1" t="s">
        <v>13</v>
      </c>
      <c r="S17" s="17">
        <f t="shared" ref="S17:AF17" si="9">SUM(C38:C41)</f>
        <v>3</v>
      </c>
      <c r="T17" s="17">
        <f t="shared" si="9"/>
        <v>1</v>
      </c>
      <c r="U17" s="17">
        <f t="shared" si="9"/>
        <v>4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33</v>
      </c>
      <c r="AD17" s="17">
        <f t="shared" si="9"/>
        <v>0</v>
      </c>
      <c r="AE17" s="31">
        <f t="shared" si="9"/>
        <v>11</v>
      </c>
      <c r="AF17" s="31">
        <f t="shared" si="9"/>
        <v>44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14</v>
      </c>
      <c r="N18" s="50">
        <v>0</v>
      </c>
      <c r="O18" s="15">
        <f t="shared" si="0"/>
        <v>1</v>
      </c>
      <c r="P18" s="15">
        <f t="shared" si="1"/>
        <v>15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2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50</v>
      </c>
      <c r="AD18" s="17">
        <f t="shared" si="10"/>
        <v>0</v>
      </c>
      <c r="AE18" s="31">
        <f t="shared" si="10"/>
        <v>13</v>
      </c>
      <c r="AF18" s="31">
        <f t="shared" si="10"/>
        <v>63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1</v>
      </c>
      <c r="M19" s="50">
        <v>11</v>
      </c>
      <c r="N19" s="50">
        <v>0</v>
      </c>
      <c r="O19" s="15">
        <f t="shared" si="0"/>
        <v>5</v>
      </c>
      <c r="P19" s="15">
        <f t="shared" si="1"/>
        <v>16</v>
      </c>
      <c r="R19" s="1" t="s">
        <v>15</v>
      </c>
      <c r="S19" s="17">
        <f t="shared" ref="S19:AF19" si="11">SUM(C46:C49)</f>
        <v>10</v>
      </c>
      <c r="T19" s="17">
        <f t="shared" si="11"/>
        <v>1</v>
      </c>
      <c r="U19" s="17">
        <f t="shared" si="11"/>
        <v>4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54</v>
      </c>
      <c r="AD19" s="17">
        <f t="shared" si="11"/>
        <v>0</v>
      </c>
      <c r="AE19" s="31">
        <f t="shared" si="11"/>
        <v>25</v>
      </c>
      <c r="AF19" s="31">
        <f t="shared" si="11"/>
        <v>79</v>
      </c>
    </row>
    <row r="20" spans="2:32" ht="23.1" customHeight="1" x14ac:dyDescent="0.25">
      <c r="B20" s="45" t="s">
        <v>47</v>
      </c>
      <c r="C20" s="50">
        <v>4</v>
      </c>
      <c r="D20" s="50">
        <v>0</v>
      </c>
      <c r="E20" s="50">
        <v>1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8</v>
      </c>
      <c r="P20" s="15">
        <f t="shared" si="1"/>
        <v>21</v>
      </c>
      <c r="R20" s="1" t="s">
        <v>16</v>
      </c>
      <c r="S20" s="17">
        <f t="shared" ref="S20:AF20" si="12">SUM(C50:C53)</f>
        <v>5</v>
      </c>
      <c r="T20" s="17">
        <f t="shared" si="12"/>
        <v>1</v>
      </c>
      <c r="U20" s="17">
        <f t="shared" si="12"/>
        <v>3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2</v>
      </c>
      <c r="AC20" s="17">
        <f t="shared" si="12"/>
        <v>49</v>
      </c>
      <c r="AD20" s="17">
        <f t="shared" si="12"/>
        <v>0</v>
      </c>
      <c r="AE20" s="31">
        <f t="shared" si="12"/>
        <v>17</v>
      </c>
      <c r="AF20" s="31">
        <f t="shared" si="12"/>
        <v>66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2</v>
      </c>
      <c r="M21" s="50">
        <v>14</v>
      </c>
      <c r="N21" s="50">
        <v>0</v>
      </c>
      <c r="O21" s="15">
        <f t="shared" si="0"/>
        <v>4</v>
      </c>
      <c r="P21" s="15">
        <f t="shared" si="1"/>
        <v>18</v>
      </c>
      <c r="R21" s="36" t="s">
        <v>20</v>
      </c>
      <c r="S21" s="34">
        <f t="shared" ref="S21:AF21" si="13">SUM(C54:C57)</f>
        <v>7</v>
      </c>
      <c r="T21" s="17">
        <f t="shared" si="13"/>
        <v>1</v>
      </c>
      <c r="U21" s="17">
        <f t="shared" si="13"/>
        <v>2</v>
      </c>
      <c r="V21" s="17">
        <f t="shared" si="13"/>
        <v>1</v>
      </c>
      <c r="W21" s="17">
        <f t="shared" si="13"/>
        <v>1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2</v>
      </c>
      <c r="AC21" s="17">
        <f t="shared" si="13"/>
        <v>67</v>
      </c>
      <c r="AD21" s="17">
        <f t="shared" si="13"/>
        <v>0</v>
      </c>
      <c r="AE21" s="31">
        <f t="shared" si="13"/>
        <v>14</v>
      </c>
      <c r="AF21" s="31">
        <f t="shared" si="13"/>
        <v>81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2</v>
      </c>
      <c r="P22" s="15">
        <f t="shared" si="1"/>
        <v>11</v>
      </c>
      <c r="R22" s="36" t="s">
        <v>146</v>
      </c>
      <c r="S22" s="34">
        <f>SUM(C58:C61)</f>
        <v>3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4</v>
      </c>
      <c r="W22" s="34">
        <f t="shared" si="14"/>
        <v>1</v>
      </c>
      <c r="X22" s="34">
        <f t="shared" si="14"/>
        <v>2</v>
      </c>
      <c r="Y22" s="34">
        <f t="shared" si="14"/>
        <v>2</v>
      </c>
      <c r="Z22" s="34">
        <f t="shared" si="14"/>
        <v>0</v>
      </c>
      <c r="AA22" s="34">
        <f t="shared" si="14"/>
        <v>0</v>
      </c>
      <c r="AB22" s="34">
        <f t="shared" si="14"/>
        <v>1</v>
      </c>
      <c r="AC22" s="34">
        <f t="shared" si="14"/>
        <v>108</v>
      </c>
      <c r="AD22" s="34">
        <f t="shared" si="14"/>
        <v>0</v>
      </c>
      <c r="AE22" s="31">
        <f t="shared" si="14"/>
        <v>14</v>
      </c>
      <c r="AF22" s="31">
        <f t="shared" si="14"/>
        <v>122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1</v>
      </c>
      <c r="M23" s="50">
        <v>8</v>
      </c>
      <c r="N23" s="50">
        <v>0</v>
      </c>
      <c r="O23" s="15">
        <f t="shared" si="0"/>
        <v>3</v>
      </c>
      <c r="P23" s="15">
        <f t="shared" si="1"/>
        <v>11</v>
      </c>
      <c r="R23" s="36" t="s">
        <v>147</v>
      </c>
      <c r="S23" s="34">
        <f>SUM(C62:C65)</f>
        <v>4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0</v>
      </c>
      <c r="AB23" s="34">
        <f t="shared" si="15"/>
        <v>1</v>
      </c>
      <c r="AC23" s="34">
        <f t="shared" si="15"/>
        <v>36</v>
      </c>
      <c r="AD23" s="34">
        <f t="shared" si="15"/>
        <v>0</v>
      </c>
      <c r="AE23" s="31">
        <f t="shared" si="15"/>
        <v>7</v>
      </c>
      <c r="AF23" s="31">
        <f t="shared" si="15"/>
        <v>43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1</v>
      </c>
      <c r="M24" s="50">
        <v>14</v>
      </c>
      <c r="N24" s="50">
        <v>0</v>
      </c>
      <c r="O24" s="15">
        <f t="shared" si="0"/>
        <v>3</v>
      </c>
      <c r="P24" s="15">
        <f t="shared" si="1"/>
        <v>17</v>
      </c>
      <c r="R24" s="36" t="s">
        <v>148</v>
      </c>
      <c r="S24" s="34">
        <f>SUM(C66:C69)</f>
        <v>3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1</v>
      </c>
      <c r="AC24" s="34">
        <f t="shared" si="16"/>
        <v>23</v>
      </c>
      <c r="AD24" s="34">
        <f t="shared" si="16"/>
        <v>0</v>
      </c>
      <c r="AE24" s="31">
        <f t="shared" si="16"/>
        <v>7</v>
      </c>
      <c r="AF24" s="31">
        <f t="shared" si="16"/>
        <v>30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16</v>
      </c>
      <c r="N25" s="50">
        <v>0</v>
      </c>
      <c r="O25" s="15">
        <f t="shared" si="0"/>
        <v>3</v>
      </c>
      <c r="P25" s="15">
        <f t="shared" si="1"/>
        <v>19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14</v>
      </c>
      <c r="AD25" s="34">
        <f t="shared" si="17"/>
        <v>0</v>
      </c>
      <c r="AE25" s="31">
        <f t="shared" si="17"/>
        <v>2</v>
      </c>
      <c r="AF25" s="31">
        <f t="shared" si="17"/>
        <v>16</v>
      </c>
    </row>
    <row r="26" spans="2:32" ht="23.1" customHeight="1" x14ac:dyDescent="0.25">
      <c r="B26" s="45" t="s">
        <v>53</v>
      </c>
      <c r="C26" s="50">
        <v>1</v>
      </c>
      <c r="D26" s="50">
        <v>1</v>
      </c>
      <c r="E26" s="50">
        <v>2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4</v>
      </c>
      <c r="P26" s="15">
        <f t="shared" si="1"/>
        <v>16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1</v>
      </c>
      <c r="AC26" s="34">
        <f t="shared" si="18"/>
        <v>8</v>
      </c>
      <c r="AD26" s="34">
        <f t="shared" si="18"/>
        <v>0</v>
      </c>
      <c r="AE26" s="31">
        <f t="shared" si="18"/>
        <v>2</v>
      </c>
      <c r="AF26" s="31">
        <f t="shared" si="18"/>
        <v>10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19</v>
      </c>
      <c r="N27" s="50">
        <v>0</v>
      </c>
      <c r="O27" s="15">
        <f t="shared" si="0"/>
        <v>3</v>
      </c>
      <c r="P27" s="15">
        <f t="shared" si="1"/>
        <v>22</v>
      </c>
      <c r="R27" s="36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2</v>
      </c>
      <c r="AD27" s="34">
        <f t="shared" si="19"/>
        <v>0</v>
      </c>
      <c r="AE27" s="31">
        <f t="shared" si="19"/>
        <v>3</v>
      </c>
      <c r="AF27" s="31">
        <f t="shared" si="19"/>
        <v>5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2</v>
      </c>
      <c r="P28" s="15">
        <f t="shared" si="1"/>
        <v>18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</v>
      </c>
      <c r="AA28" s="34">
        <f t="shared" si="20"/>
        <v>0</v>
      </c>
      <c r="AB28" s="34">
        <f t="shared" si="20"/>
        <v>1</v>
      </c>
      <c r="AC28" s="34">
        <f t="shared" si="20"/>
        <v>4</v>
      </c>
      <c r="AD28" s="34">
        <f t="shared" si="20"/>
        <v>0</v>
      </c>
      <c r="AE28" s="31">
        <f t="shared" si="20"/>
        <v>3</v>
      </c>
      <c r="AF28" s="31">
        <f t="shared" si="20"/>
        <v>7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1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2</v>
      </c>
      <c r="M29" s="50">
        <v>14</v>
      </c>
      <c r="N29" s="50">
        <v>0</v>
      </c>
      <c r="O29" s="15">
        <f t="shared" si="0"/>
        <v>5</v>
      </c>
      <c r="P29" s="15">
        <f t="shared" si="1"/>
        <v>19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2</v>
      </c>
      <c r="AF29" s="31">
        <f t="shared" si="21"/>
        <v>4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15</v>
      </c>
      <c r="N30" s="50">
        <v>0</v>
      </c>
      <c r="O30" s="15">
        <f t="shared" si="0"/>
        <v>4</v>
      </c>
      <c r="P30" s="15">
        <f t="shared" si="1"/>
        <v>19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7</v>
      </c>
      <c r="AD30" s="34">
        <f t="shared" si="22"/>
        <v>0</v>
      </c>
      <c r="AE30" s="31">
        <f t="shared" si="22"/>
        <v>1</v>
      </c>
      <c r="AF30" s="31">
        <f t="shared" si="22"/>
        <v>8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1</v>
      </c>
      <c r="M31" s="50">
        <v>7</v>
      </c>
      <c r="N31" s="50">
        <v>0</v>
      </c>
      <c r="O31" s="15">
        <f t="shared" si="0"/>
        <v>4</v>
      </c>
      <c r="P31" s="15">
        <f t="shared" si="1"/>
        <v>11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3</v>
      </c>
      <c r="W31" s="34">
        <f t="shared" si="23"/>
        <v>0</v>
      </c>
      <c r="X31" s="34">
        <f t="shared" si="23"/>
        <v>2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10</v>
      </c>
      <c r="AD31" s="34">
        <f t="shared" si="23"/>
        <v>0</v>
      </c>
      <c r="AE31" s="31">
        <f t="shared" si="23"/>
        <v>8</v>
      </c>
      <c r="AF31" s="31">
        <f t="shared" si="23"/>
        <v>18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1</v>
      </c>
      <c r="M32" s="50">
        <v>18</v>
      </c>
      <c r="N32" s="50">
        <v>0</v>
      </c>
      <c r="O32" s="15">
        <f t="shared" si="0"/>
        <v>2</v>
      </c>
      <c r="P32" s="15">
        <f t="shared" si="1"/>
        <v>20</v>
      </c>
      <c r="R32" s="33" t="s">
        <v>156</v>
      </c>
      <c r="S32" s="34">
        <f>SUM(C98:C101)</f>
        <v>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1</v>
      </c>
      <c r="X32" s="34">
        <f t="shared" si="24"/>
        <v>1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3</v>
      </c>
      <c r="AC32" s="34">
        <f t="shared" si="24"/>
        <v>9</v>
      </c>
      <c r="AD32" s="34">
        <f t="shared" si="24"/>
        <v>0</v>
      </c>
      <c r="AE32" s="31">
        <f t="shared" si="24"/>
        <v>13</v>
      </c>
      <c r="AF32" s="31">
        <f t="shared" si="24"/>
        <v>22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12</v>
      </c>
      <c r="N33" s="50">
        <v>0</v>
      </c>
      <c r="O33" s="15">
        <f t="shared" si="0"/>
        <v>3</v>
      </c>
      <c r="P33" s="15">
        <f t="shared" si="1"/>
        <v>15</v>
      </c>
      <c r="R33" s="33" t="s">
        <v>157</v>
      </c>
      <c r="S33" s="34">
        <f>SUM(C102:C105)</f>
        <v>6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11</v>
      </c>
      <c r="Z33" s="34">
        <f t="shared" si="25"/>
        <v>1</v>
      </c>
      <c r="AA33" s="34">
        <f t="shared" si="25"/>
        <v>0</v>
      </c>
      <c r="AB33" s="34">
        <f t="shared" si="25"/>
        <v>7</v>
      </c>
      <c r="AC33" s="34">
        <f t="shared" si="25"/>
        <v>35</v>
      </c>
      <c r="AD33" s="34">
        <f t="shared" si="25"/>
        <v>0</v>
      </c>
      <c r="AE33" s="31">
        <f t="shared" si="25"/>
        <v>26</v>
      </c>
      <c r="AF33" s="31">
        <f t="shared" si="25"/>
        <v>61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6</v>
      </c>
      <c r="P34" s="15">
        <f t="shared" si="1"/>
        <v>14</v>
      </c>
      <c r="R34" s="38" t="s">
        <v>90</v>
      </c>
      <c r="S34" s="39">
        <f t="shared" ref="S34:AF34" si="26">MAX(S10:S12)</f>
        <v>7</v>
      </c>
      <c r="T34" s="39">
        <f t="shared" si="26"/>
        <v>1</v>
      </c>
      <c r="U34" s="39">
        <f t="shared" si="26"/>
        <v>3</v>
      </c>
      <c r="V34" s="39">
        <f t="shared" si="26"/>
        <v>4</v>
      </c>
      <c r="W34" s="39">
        <f t="shared" si="26"/>
        <v>0</v>
      </c>
      <c r="X34" s="39">
        <f t="shared" si="26"/>
        <v>0</v>
      </c>
      <c r="Y34" s="39">
        <f t="shared" si="26"/>
        <v>6</v>
      </c>
      <c r="Z34" s="39">
        <f t="shared" si="26"/>
        <v>0</v>
      </c>
      <c r="AA34" s="39">
        <f t="shared" si="26"/>
        <v>1</v>
      </c>
      <c r="AB34" s="39">
        <f t="shared" si="26"/>
        <v>5</v>
      </c>
      <c r="AC34" s="39">
        <f t="shared" si="26"/>
        <v>52</v>
      </c>
      <c r="AD34" s="39">
        <f t="shared" si="26"/>
        <v>0</v>
      </c>
      <c r="AE34" s="40">
        <f t="shared" si="26"/>
        <v>18</v>
      </c>
      <c r="AF34" s="40">
        <f t="shared" si="26"/>
        <v>70</v>
      </c>
    </row>
    <row r="35" spans="2:32" ht="23.1" customHeight="1" x14ac:dyDescent="0.25">
      <c r="B35" s="46" t="s">
        <v>62</v>
      </c>
      <c r="C35" s="50">
        <v>1</v>
      </c>
      <c r="D35" s="50">
        <v>2</v>
      </c>
      <c r="E35" s="50">
        <v>4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22</v>
      </c>
      <c r="N35" s="50">
        <v>0</v>
      </c>
      <c r="O35" s="15">
        <f t="shared" si="0"/>
        <v>7</v>
      </c>
      <c r="P35" s="15">
        <f t="shared" si="1"/>
        <v>29</v>
      </c>
      <c r="R35" s="38" t="s">
        <v>91</v>
      </c>
      <c r="S35" s="39">
        <f t="shared" ref="S35:AF35" si="27">MAX(S13:S18)</f>
        <v>5</v>
      </c>
      <c r="T35" s="39">
        <f t="shared" si="27"/>
        <v>3</v>
      </c>
      <c r="U35" s="39">
        <f t="shared" si="27"/>
        <v>6</v>
      </c>
      <c r="V35" s="39">
        <f t="shared" si="27"/>
        <v>3</v>
      </c>
      <c r="W35" s="39">
        <f t="shared" si="27"/>
        <v>0</v>
      </c>
      <c r="X35" s="39">
        <f t="shared" si="27"/>
        <v>0</v>
      </c>
      <c r="Y35" s="39">
        <f t="shared" si="27"/>
        <v>5</v>
      </c>
      <c r="Z35" s="39">
        <f t="shared" si="27"/>
        <v>0</v>
      </c>
      <c r="AA35" s="39">
        <f t="shared" si="27"/>
        <v>1</v>
      </c>
      <c r="AB35" s="39">
        <f t="shared" si="27"/>
        <v>2</v>
      </c>
      <c r="AC35" s="39">
        <f t="shared" si="27"/>
        <v>61</v>
      </c>
      <c r="AD35" s="39">
        <f t="shared" si="27"/>
        <v>0</v>
      </c>
      <c r="AE35" s="40">
        <f t="shared" si="27"/>
        <v>20</v>
      </c>
      <c r="AF35" s="40">
        <f t="shared" si="27"/>
        <v>75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1</v>
      </c>
      <c r="P36" s="15">
        <f t="shared" si="1"/>
        <v>9</v>
      </c>
      <c r="R36" s="38" t="s">
        <v>92</v>
      </c>
      <c r="S36" s="39">
        <f t="shared" ref="S36:AF36" si="28">MAX(S19:S21)</f>
        <v>10</v>
      </c>
      <c r="T36" s="39">
        <f t="shared" si="28"/>
        <v>1</v>
      </c>
      <c r="U36" s="39">
        <f t="shared" si="28"/>
        <v>4</v>
      </c>
      <c r="V36" s="39">
        <f t="shared" si="28"/>
        <v>1</v>
      </c>
      <c r="W36" s="39">
        <f t="shared" si="28"/>
        <v>1</v>
      </c>
      <c r="X36" s="39">
        <f t="shared" si="28"/>
        <v>0</v>
      </c>
      <c r="Y36" s="39">
        <f t="shared" si="28"/>
        <v>8</v>
      </c>
      <c r="Z36" s="39">
        <f t="shared" si="28"/>
        <v>0</v>
      </c>
      <c r="AA36" s="39">
        <f t="shared" si="28"/>
        <v>0</v>
      </c>
      <c r="AB36" s="39">
        <f t="shared" si="28"/>
        <v>2</v>
      </c>
      <c r="AC36" s="39">
        <f t="shared" si="28"/>
        <v>67</v>
      </c>
      <c r="AD36" s="39">
        <f t="shared" si="28"/>
        <v>0</v>
      </c>
      <c r="AE36" s="40">
        <f t="shared" si="28"/>
        <v>25</v>
      </c>
      <c r="AF36" s="40">
        <f t="shared" si="28"/>
        <v>81</v>
      </c>
    </row>
    <row r="37" spans="2:32" ht="23.1" customHeight="1" x14ac:dyDescent="0.25">
      <c r="B37" s="45" t="s">
        <v>64</v>
      </c>
      <c r="C37" s="50">
        <v>2</v>
      </c>
      <c r="D37" s="50">
        <v>1</v>
      </c>
      <c r="E37" s="50">
        <v>2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6</v>
      </c>
      <c r="P37" s="15">
        <f t="shared" si="1"/>
        <v>19</v>
      </c>
      <c r="R37" s="37" t="s">
        <v>85</v>
      </c>
      <c r="S37" s="35">
        <f t="shared" ref="S37:AF37" si="29">SUM(S10:S12)</f>
        <v>14</v>
      </c>
      <c r="T37" s="16">
        <f t="shared" si="29"/>
        <v>1</v>
      </c>
      <c r="U37" s="16">
        <f t="shared" si="29"/>
        <v>6</v>
      </c>
      <c r="V37" s="16">
        <f t="shared" si="29"/>
        <v>6</v>
      </c>
      <c r="W37" s="16">
        <f t="shared" si="29"/>
        <v>0</v>
      </c>
      <c r="X37" s="16">
        <f t="shared" si="29"/>
        <v>0</v>
      </c>
      <c r="Y37" s="16">
        <f t="shared" si="29"/>
        <v>9</v>
      </c>
      <c r="Z37" s="16">
        <f t="shared" si="29"/>
        <v>0</v>
      </c>
      <c r="AA37" s="16">
        <f t="shared" si="29"/>
        <v>1</v>
      </c>
      <c r="AB37" s="16">
        <f t="shared" si="29"/>
        <v>11</v>
      </c>
      <c r="AC37" s="16">
        <f t="shared" si="29"/>
        <v>121</v>
      </c>
      <c r="AD37" s="16">
        <f t="shared" si="29"/>
        <v>0</v>
      </c>
      <c r="AE37" s="32">
        <f t="shared" si="29"/>
        <v>48</v>
      </c>
      <c r="AF37" s="32">
        <f t="shared" si="29"/>
        <v>169</v>
      </c>
    </row>
    <row r="38" spans="2:32" ht="23.1" customHeight="1" x14ac:dyDescent="0.25">
      <c r="B38" s="46" t="s">
        <v>65</v>
      </c>
      <c r="C38" s="50">
        <v>1</v>
      </c>
      <c r="D38" s="50">
        <v>1</v>
      </c>
      <c r="E38" s="50">
        <v>2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9</v>
      </c>
      <c r="N38" s="50">
        <v>0</v>
      </c>
      <c r="O38" s="15">
        <f t="shared" si="0"/>
        <v>4</v>
      </c>
      <c r="P38" s="15">
        <f t="shared" si="1"/>
        <v>13</v>
      </c>
      <c r="R38" s="28" t="s">
        <v>86</v>
      </c>
      <c r="S38" s="16">
        <f t="shared" ref="S38:AF38" si="30">SUM(S13:S18)</f>
        <v>21</v>
      </c>
      <c r="T38" s="16">
        <f t="shared" si="30"/>
        <v>5</v>
      </c>
      <c r="U38" s="16">
        <f t="shared" si="30"/>
        <v>20</v>
      </c>
      <c r="V38" s="16">
        <f t="shared" si="30"/>
        <v>11</v>
      </c>
      <c r="W38" s="16">
        <f t="shared" si="30"/>
        <v>0</v>
      </c>
      <c r="X38" s="16">
        <f t="shared" si="30"/>
        <v>0</v>
      </c>
      <c r="Y38" s="16">
        <f t="shared" si="30"/>
        <v>18</v>
      </c>
      <c r="Z38" s="16">
        <f t="shared" si="30"/>
        <v>0</v>
      </c>
      <c r="AA38" s="16">
        <f t="shared" si="30"/>
        <v>1</v>
      </c>
      <c r="AB38" s="16">
        <f t="shared" si="30"/>
        <v>6</v>
      </c>
      <c r="AC38" s="16">
        <f t="shared" si="30"/>
        <v>294</v>
      </c>
      <c r="AD38" s="16">
        <f t="shared" si="30"/>
        <v>0</v>
      </c>
      <c r="AE38" s="32">
        <f t="shared" si="30"/>
        <v>82</v>
      </c>
      <c r="AF38" s="32">
        <f t="shared" si="30"/>
        <v>376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1</v>
      </c>
      <c r="P39" s="15">
        <f t="shared" si="1"/>
        <v>8</v>
      </c>
      <c r="R39" s="29" t="s">
        <v>87</v>
      </c>
      <c r="S39" s="16">
        <f t="shared" ref="S39:AF39" si="31">SUM(S19:S21)</f>
        <v>22</v>
      </c>
      <c r="T39" s="16">
        <f t="shared" si="31"/>
        <v>3</v>
      </c>
      <c r="U39" s="16">
        <f t="shared" si="31"/>
        <v>9</v>
      </c>
      <c r="V39" s="16">
        <f t="shared" si="31"/>
        <v>3</v>
      </c>
      <c r="W39" s="16">
        <f t="shared" si="31"/>
        <v>1</v>
      </c>
      <c r="X39" s="16">
        <f t="shared" si="31"/>
        <v>0</v>
      </c>
      <c r="Y39" s="16">
        <f t="shared" si="31"/>
        <v>13</v>
      </c>
      <c r="Z39" s="16">
        <f t="shared" si="31"/>
        <v>0</v>
      </c>
      <c r="AA39" s="16">
        <f t="shared" si="31"/>
        <v>0</v>
      </c>
      <c r="AB39" s="16">
        <f t="shared" si="31"/>
        <v>5</v>
      </c>
      <c r="AC39" s="16">
        <f t="shared" si="31"/>
        <v>170</v>
      </c>
      <c r="AD39" s="16">
        <f t="shared" si="31"/>
        <v>0</v>
      </c>
      <c r="AE39" s="32">
        <f t="shared" si="31"/>
        <v>56</v>
      </c>
      <c r="AF39" s="32">
        <f t="shared" si="31"/>
        <v>226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4</v>
      </c>
      <c r="P40" s="15">
        <f t="shared" si="1"/>
        <v>11</v>
      </c>
      <c r="R40" s="5" t="s">
        <v>17</v>
      </c>
      <c r="S40" s="16">
        <f t="shared" ref="S40:AF40" si="32">SUM(S10:S21)</f>
        <v>57</v>
      </c>
      <c r="T40" s="16">
        <f t="shared" si="32"/>
        <v>9</v>
      </c>
      <c r="U40" s="16">
        <f t="shared" si="32"/>
        <v>35</v>
      </c>
      <c r="V40" s="16">
        <f t="shared" si="32"/>
        <v>20</v>
      </c>
      <c r="W40" s="16">
        <f t="shared" si="32"/>
        <v>1</v>
      </c>
      <c r="X40" s="16">
        <f t="shared" si="32"/>
        <v>0</v>
      </c>
      <c r="Y40" s="16">
        <f t="shared" si="32"/>
        <v>40</v>
      </c>
      <c r="Z40" s="16">
        <f t="shared" si="32"/>
        <v>0</v>
      </c>
      <c r="AA40" s="16">
        <f t="shared" si="32"/>
        <v>2</v>
      </c>
      <c r="AB40" s="16">
        <f t="shared" si="32"/>
        <v>22</v>
      </c>
      <c r="AC40" s="16">
        <f t="shared" si="32"/>
        <v>585</v>
      </c>
      <c r="AD40" s="16">
        <f t="shared" si="32"/>
        <v>0</v>
      </c>
      <c r="AE40" s="32">
        <f t="shared" si="32"/>
        <v>186</v>
      </c>
      <c r="AF40" s="32">
        <f t="shared" si="32"/>
        <v>771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10</v>
      </c>
      <c r="N41" s="50">
        <v>0</v>
      </c>
      <c r="O41" s="15">
        <f t="shared" si="0"/>
        <v>2</v>
      </c>
      <c r="P41" s="15">
        <f t="shared" si="1"/>
        <v>12</v>
      </c>
      <c r="R41" s="5" t="s">
        <v>159</v>
      </c>
      <c r="S41" s="16">
        <f>SUM(S10:S33)</f>
        <v>85</v>
      </c>
      <c r="T41" s="16">
        <f t="shared" ref="T41:AF41" si="33">SUM(T10:T33)</f>
        <v>9</v>
      </c>
      <c r="U41" s="16">
        <f t="shared" si="33"/>
        <v>41</v>
      </c>
      <c r="V41" s="16">
        <f t="shared" si="33"/>
        <v>28</v>
      </c>
      <c r="W41" s="16">
        <f t="shared" si="33"/>
        <v>3</v>
      </c>
      <c r="X41" s="16">
        <f t="shared" si="33"/>
        <v>5</v>
      </c>
      <c r="Y41" s="16">
        <f t="shared" si="33"/>
        <v>61</v>
      </c>
      <c r="Z41" s="16">
        <f t="shared" si="33"/>
        <v>2</v>
      </c>
      <c r="AA41" s="16">
        <f t="shared" si="33"/>
        <v>2</v>
      </c>
      <c r="AB41" s="16">
        <f t="shared" si="33"/>
        <v>38</v>
      </c>
      <c r="AC41" s="16">
        <f t="shared" si="33"/>
        <v>843</v>
      </c>
      <c r="AD41" s="16">
        <f t="shared" si="33"/>
        <v>0</v>
      </c>
      <c r="AE41" s="32">
        <f t="shared" si="33"/>
        <v>274</v>
      </c>
      <c r="AF41" s="32">
        <f t="shared" si="33"/>
        <v>1117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11</v>
      </c>
      <c r="N42" s="50">
        <v>0</v>
      </c>
      <c r="O42" s="15">
        <f t="shared" si="0"/>
        <v>3</v>
      </c>
      <c r="P42" s="15">
        <f t="shared" si="1"/>
        <v>14</v>
      </c>
      <c r="R42" s="5" t="s">
        <v>160</v>
      </c>
      <c r="S42" s="48">
        <f>S41/S40</f>
        <v>1.4912280701754386</v>
      </c>
      <c r="T42" s="48">
        <f t="shared" ref="T42:AF42" si="34">T41/T40</f>
        <v>1</v>
      </c>
      <c r="U42" s="48">
        <f t="shared" si="34"/>
        <v>1.1714285714285715</v>
      </c>
      <c r="V42" s="48">
        <f t="shared" si="34"/>
        <v>1.4</v>
      </c>
      <c r="W42" s="48">
        <f t="shared" si="34"/>
        <v>3</v>
      </c>
      <c r="X42" s="48" t="e">
        <f t="shared" si="34"/>
        <v>#DIV/0!</v>
      </c>
      <c r="Y42" s="48">
        <f t="shared" si="34"/>
        <v>1.5249999999999999</v>
      </c>
      <c r="Z42" s="48" t="e">
        <f t="shared" si="34"/>
        <v>#DIV/0!</v>
      </c>
      <c r="AA42" s="48">
        <f t="shared" si="34"/>
        <v>1</v>
      </c>
      <c r="AB42" s="48">
        <f t="shared" si="34"/>
        <v>1.7272727272727273</v>
      </c>
      <c r="AC42" s="48">
        <f t="shared" si="34"/>
        <v>1.441025641025641</v>
      </c>
      <c r="AD42" s="48" t="e">
        <f t="shared" si="34"/>
        <v>#DIV/0!</v>
      </c>
      <c r="AE42" s="48">
        <f t="shared" si="34"/>
        <v>1.4731182795698925</v>
      </c>
      <c r="AF42" s="48">
        <f t="shared" si="34"/>
        <v>1.4487678339818417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17</v>
      </c>
      <c r="N43" s="50">
        <v>0</v>
      </c>
      <c r="O43" s="15">
        <f t="shared" si="0"/>
        <v>2</v>
      </c>
      <c r="P43" s="15">
        <f t="shared" si="1"/>
        <v>19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1</v>
      </c>
      <c r="F44" s="50">
        <v>1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9</v>
      </c>
      <c r="N44" s="50">
        <v>0</v>
      </c>
      <c r="O44" s="15">
        <f t="shared" si="0"/>
        <v>4</v>
      </c>
      <c r="P44" s="15">
        <f t="shared" si="1"/>
        <v>13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13</v>
      </c>
      <c r="N45" s="50">
        <v>0</v>
      </c>
      <c r="O45" s="15">
        <f t="shared" si="0"/>
        <v>4</v>
      </c>
      <c r="P45" s="15">
        <f t="shared" si="1"/>
        <v>17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5</v>
      </c>
      <c r="P46" s="15">
        <f t="shared" si="1"/>
        <v>20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6</v>
      </c>
      <c r="J47" s="50">
        <v>0</v>
      </c>
      <c r="K47" s="50">
        <v>0</v>
      </c>
      <c r="L47" s="50">
        <v>0</v>
      </c>
      <c r="M47" s="50">
        <v>14</v>
      </c>
      <c r="N47" s="50">
        <v>0</v>
      </c>
      <c r="O47" s="15">
        <f t="shared" si="0"/>
        <v>7</v>
      </c>
      <c r="P47" s="15">
        <f t="shared" si="1"/>
        <v>21</v>
      </c>
      <c r="R47" s="8"/>
      <c r="T47"/>
    </row>
    <row r="48" spans="2:32" ht="23.1" customHeight="1" x14ac:dyDescent="0.25">
      <c r="B48" s="46" t="s">
        <v>75</v>
      </c>
      <c r="C48" s="50">
        <v>6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1</v>
      </c>
      <c r="M48" s="50">
        <v>9</v>
      </c>
      <c r="N48" s="50">
        <v>0</v>
      </c>
      <c r="O48" s="15">
        <f t="shared" si="0"/>
        <v>8</v>
      </c>
      <c r="P48" s="15">
        <f t="shared" si="1"/>
        <v>17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1</v>
      </c>
      <c r="E49" s="50">
        <v>2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5</v>
      </c>
      <c r="P49" s="15">
        <f t="shared" si="1"/>
        <v>21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9</v>
      </c>
      <c r="N50" s="50">
        <v>0</v>
      </c>
      <c r="O50" s="15">
        <f t="shared" si="0"/>
        <v>6</v>
      </c>
      <c r="P50" s="15">
        <f t="shared" si="1"/>
        <v>15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1</v>
      </c>
      <c r="M51" s="50">
        <v>10</v>
      </c>
      <c r="N51" s="50">
        <v>0</v>
      </c>
      <c r="O51" s="15">
        <f t="shared" si="0"/>
        <v>2</v>
      </c>
      <c r="P51" s="15">
        <f t="shared" si="1"/>
        <v>12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1</v>
      </c>
      <c r="E52" s="50">
        <v>2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16</v>
      </c>
      <c r="N52" s="50">
        <v>0</v>
      </c>
      <c r="O52" s="15">
        <f t="shared" si="0"/>
        <v>6</v>
      </c>
      <c r="P52" s="15">
        <f t="shared" si="1"/>
        <v>22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1</v>
      </c>
      <c r="M53" s="50">
        <v>14</v>
      </c>
      <c r="N53" s="50">
        <v>0</v>
      </c>
      <c r="O53" s="15">
        <f t="shared" si="0"/>
        <v>3</v>
      </c>
      <c r="P53" s="15">
        <f t="shared" si="1"/>
        <v>17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0</v>
      </c>
      <c r="F54" s="50">
        <v>1</v>
      </c>
      <c r="G54" s="50">
        <v>1</v>
      </c>
      <c r="H54" s="50">
        <v>0</v>
      </c>
      <c r="I54" s="50">
        <v>0</v>
      </c>
      <c r="J54" s="50">
        <v>0</v>
      </c>
      <c r="K54" s="50">
        <v>0</v>
      </c>
      <c r="L54" s="50">
        <v>2</v>
      </c>
      <c r="M54" s="50">
        <v>12</v>
      </c>
      <c r="N54" s="50">
        <v>0</v>
      </c>
      <c r="O54" s="15">
        <f t="shared" si="0"/>
        <v>6</v>
      </c>
      <c r="P54" s="15">
        <f t="shared" si="1"/>
        <v>18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1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19</v>
      </c>
      <c r="N55" s="50">
        <v>0</v>
      </c>
      <c r="O55" s="15">
        <f t="shared" si="0"/>
        <v>5</v>
      </c>
      <c r="P55" s="15">
        <f t="shared" si="1"/>
        <v>24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25</v>
      </c>
      <c r="N56" s="50">
        <v>0</v>
      </c>
      <c r="O56" s="15">
        <f t="shared" si="0"/>
        <v>2</v>
      </c>
      <c r="P56" s="15">
        <f t="shared" si="1"/>
        <v>27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11</v>
      </c>
      <c r="N57" s="50">
        <v>0</v>
      </c>
      <c r="O57" s="15">
        <f t="shared" si="0"/>
        <v>1</v>
      </c>
      <c r="P57" s="15">
        <f t="shared" si="1"/>
        <v>12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1</v>
      </c>
      <c r="F58" s="50">
        <v>3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36</v>
      </c>
      <c r="N58" s="50">
        <v>0</v>
      </c>
      <c r="O58" s="15">
        <f t="shared" ref="O58:O105" si="35">SUM(C58:L58,N58)</f>
        <v>4</v>
      </c>
      <c r="P58" s="15">
        <f t="shared" ref="P58:P105" si="36">SUM(C58:N58)</f>
        <v>40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0</v>
      </c>
      <c r="F59" s="50">
        <v>1</v>
      </c>
      <c r="G59" s="50">
        <v>0</v>
      </c>
      <c r="H59" s="50">
        <v>1</v>
      </c>
      <c r="I59" s="50">
        <v>1</v>
      </c>
      <c r="J59" s="50">
        <v>0</v>
      </c>
      <c r="K59" s="50">
        <v>0</v>
      </c>
      <c r="L59" s="50">
        <v>1</v>
      </c>
      <c r="M59" s="50">
        <v>47</v>
      </c>
      <c r="N59" s="50">
        <v>0</v>
      </c>
      <c r="O59" s="15">
        <f t="shared" si="35"/>
        <v>6</v>
      </c>
      <c r="P59" s="15">
        <f t="shared" si="36"/>
        <v>53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0</v>
      </c>
      <c r="F60" s="50">
        <v>0</v>
      </c>
      <c r="G60" s="50">
        <v>1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20</v>
      </c>
      <c r="N60" s="50">
        <v>0</v>
      </c>
      <c r="O60" s="15">
        <f t="shared" si="35"/>
        <v>2</v>
      </c>
      <c r="P60" s="15">
        <f t="shared" si="36"/>
        <v>22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1</v>
      </c>
      <c r="I61" s="50">
        <v>1</v>
      </c>
      <c r="J61" s="50">
        <v>0</v>
      </c>
      <c r="K61" s="50">
        <v>0</v>
      </c>
      <c r="L61" s="50">
        <v>0</v>
      </c>
      <c r="M61" s="50">
        <v>5</v>
      </c>
      <c r="N61" s="50">
        <v>0</v>
      </c>
      <c r="O61" s="15">
        <f t="shared" si="35"/>
        <v>2</v>
      </c>
      <c r="P61" s="15">
        <f t="shared" si="36"/>
        <v>7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7</v>
      </c>
      <c r="N62" s="50">
        <v>0</v>
      </c>
      <c r="O62" s="15">
        <f t="shared" si="35"/>
        <v>2</v>
      </c>
      <c r="P62" s="15">
        <f t="shared" si="36"/>
        <v>9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12</v>
      </c>
      <c r="N63" s="50">
        <v>0</v>
      </c>
      <c r="O63" s="15">
        <f t="shared" si="35"/>
        <v>2</v>
      </c>
      <c r="P63" s="15">
        <f t="shared" si="36"/>
        <v>14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1</v>
      </c>
      <c r="M64" s="50">
        <v>10</v>
      </c>
      <c r="N64" s="50">
        <v>0</v>
      </c>
      <c r="O64" s="15">
        <f t="shared" si="35"/>
        <v>2</v>
      </c>
      <c r="P64" s="15">
        <f t="shared" si="36"/>
        <v>12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1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7</v>
      </c>
      <c r="N65" s="50">
        <v>0</v>
      </c>
      <c r="O65" s="15">
        <f t="shared" si="35"/>
        <v>1</v>
      </c>
      <c r="P65" s="15">
        <f t="shared" si="36"/>
        <v>8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9</v>
      </c>
      <c r="N66" s="50">
        <v>0</v>
      </c>
      <c r="O66" s="15">
        <f t="shared" si="35"/>
        <v>2</v>
      </c>
      <c r="P66" s="15">
        <f t="shared" si="36"/>
        <v>11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8</v>
      </c>
      <c r="N67" s="50">
        <v>0</v>
      </c>
      <c r="O67" s="15">
        <f t="shared" si="35"/>
        <v>3</v>
      </c>
      <c r="P67" s="15">
        <f t="shared" si="36"/>
        <v>11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1</v>
      </c>
      <c r="M68" s="50">
        <v>2</v>
      </c>
      <c r="N68" s="50">
        <v>0</v>
      </c>
      <c r="O68" s="15">
        <f t="shared" si="35"/>
        <v>1</v>
      </c>
      <c r="P68" s="15">
        <f t="shared" si="36"/>
        <v>3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1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4</v>
      </c>
      <c r="N69" s="50">
        <v>0</v>
      </c>
      <c r="O69" s="15">
        <f t="shared" si="35"/>
        <v>1</v>
      </c>
      <c r="P69" s="15">
        <f t="shared" si="36"/>
        <v>5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35"/>
        <v>0</v>
      </c>
      <c r="P70" s="15">
        <f t="shared" si="36"/>
        <v>1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35"/>
        <v>1</v>
      </c>
      <c r="P71" s="15">
        <f t="shared" si="36"/>
        <v>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7</v>
      </c>
      <c r="N72" s="50">
        <v>0</v>
      </c>
      <c r="O72" s="15">
        <f t="shared" si="35"/>
        <v>0</v>
      </c>
      <c r="P72" s="15">
        <f t="shared" si="36"/>
        <v>7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4</v>
      </c>
      <c r="N73" s="50">
        <v>0</v>
      </c>
      <c r="O73" s="15">
        <f t="shared" si="35"/>
        <v>1</v>
      </c>
      <c r="P73" s="15">
        <f t="shared" si="36"/>
        <v>5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1</v>
      </c>
      <c r="M74" s="50">
        <v>5</v>
      </c>
      <c r="N74" s="50">
        <v>0</v>
      </c>
      <c r="O74" s="15">
        <f t="shared" si="35"/>
        <v>2</v>
      </c>
      <c r="P74" s="15">
        <f t="shared" si="36"/>
        <v>7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3</v>
      </c>
      <c r="N75" s="50">
        <v>0</v>
      </c>
      <c r="O75" s="15">
        <f t="shared" si="35"/>
        <v>0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1</v>
      </c>
      <c r="M79" s="50">
        <v>1</v>
      </c>
      <c r="N79" s="50">
        <v>0</v>
      </c>
      <c r="O79" s="15">
        <f t="shared" si="35"/>
        <v>1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</v>
      </c>
      <c r="M82" s="50">
        <v>1</v>
      </c>
      <c r="N82" s="50">
        <v>0</v>
      </c>
      <c r="O82" s="15">
        <f t="shared" si="35"/>
        <v>1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1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1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</v>
      </c>
      <c r="N86" s="50">
        <v>0</v>
      </c>
      <c r="O86" s="15">
        <f t="shared" si="35"/>
        <v>0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1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0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0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4</v>
      </c>
      <c r="N93" s="50">
        <v>0</v>
      </c>
      <c r="O93" s="15">
        <f t="shared" si="35"/>
        <v>1</v>
      </c>
      <c r="P93" s="15">
        <f t="shared" si="36"/>
        <v>5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1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1</v>
      </c>
      <c r="P94" s="15">
        <f t="shared" si="36"/>
        <v>3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2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4</v>
      </c>
      <c r="N95" s="50">
        <v>0</v>
      </c>
      <c r="O95" s="15">
        <f t="shared" si="35"/>
        <v>2</v>
      </c>
      <c r="P95" s="15">
        <f t="shared" si="36"/>
        <v>6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1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2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0</v>
      </c>
      <c r="F97" s="50">
        <v>0</v>
      </c>
      <c r="G97" s="50">
        <v>0</v>
      </c>
      <c r="H97" s="50">
        <v>1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3</v>
      </c>
      <c r="P97" s="15">
        <f t="shared" si="36"/>
        <v>5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2</v>
      </c>
      <c r="M98" s="50">
        <v>1</v>
      </c>
      <c r="N98" s="50">
        <v>0</v>
      </c>
      <c r="O98" s="15">
        <f t="shared" si="35"/>
        <v>5</v>
      </c>
      <c r="P98" s="15">
        <f t="shared" si="36"/>
        <v>6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1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1</v>
      </c>
      <c r="H100" s="50">
        <v>1</v>
      </c>
      <c r="I100" s="50">
        <v>1</v>
      </c>
      <c r="J100" s="50">
        <v>0</v>
      </c>
      <c r="K100" s="50">
        <v>0</v>
      </c>
      <c r="L100" s="50">
        <v>1</v>
      </c>
      <c r="M100" s="50">
        <v>2</v>
      </c>
      <c r="N100" s="50">
        <v>0</v>
      </c>
      <c r="O100" s="15">
        <f t="shared" si="35"/>
        <v>4</v>
      </c>
      <c r="P100" s="15">
        <f t="shared" si="36"/>
        <v>6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2</v>
      </c>
      <c r="J101" s="50">
        <v>0</v>
      </c>
      <c r="K101" s="50">
        <v>0</v>
      </c>
      <c r="L101" s="50">
        <v>0</v>
      </c>
      <c r="M101" s="50">
        <v>4</v>
      </c>
      <c r="N101" s="50">
        <v>0</v>
      </c>
      <c r="O101" s="15">
        <f t="shared" si="35"/>
        <v>3</v>
      </c>
      <c r="P101" s="15">
        <f t="shared" si="36"/>
        <v>7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2</v>
      </c>
      <c r="J102" s="50">
        <v>0</v>
      </c>
      <c r="K102" s="50">
        <v>0</v>
      </c>
      <c r="L102" s="50">
        <v>0</v>
      </c>
      <c r="M102" s="50">
        <v>4</v>
      </c>
      <c r="N102" s="50">
        <v>0</v>
      </c>
      <c r="O102" s="15">
        <f t="shared" si="35"/>
        <v>4</v>
      </c>
      <c r="P102" s="15">
        <f t="shared" si="36"/>
        <v>8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2</v>
      </c>
      <c r="J103" s="50">
        <v>0</v>
      </c>
      <c r="K103" s="50">
        <v>0</v>
      </c>
      <c r="L103" s="50">
        <v>1</v>
      </c>
      <c r="M103" s="50">
        <v>8</v>
      </c>
      <c r="N103" s="50">
        <v>0</v>
      </c>
      <c r="O103" s="15">
        <f t="shared" si="35"/>
        <v>4</v>
      </c>
      <c r="P103" s="15">
        <f t="shared" si="36"/>
        <v>12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3</v>
      </c>
      <c r="J104" s="50">
        <v>0</v>
      </c>
      <c r="K104" s="50">
        <v>0</v>
      </c>
      <c r="L104" s="50">
        <v>0</v>
      </c>
      <c r="M104" s="50">
        <v>9</v>
      </c>
      <c r="N104" s="50">
        <v>0</v>
      </c>
      <c r="O104" s="15">
        <f t="shared" si="35"/>
        <v>5</v>
      </c>
      <c r="P104" s="15">
        <f t="shared" si="36"/>
        <v>14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4</v>
      </c>
      <c r="J105" s="50">
        <v>1</v>
      </c>
      <c r="K105" s="50">
        <v>0</v>
      </c>
      <c r="L105" s="50">
        <v>6</v>
      </c>
      <c r="M105" s="50">
        <v>14</v>
      </c>
      <c r="N105" s="50">
        <v>0</v>
      </c>
      <c r="O105" s="15">
        <f t="shared" si="35"/>
        <v>13</v>
      </c>
      <c r="P105" s="15">
        <f t="shared" si="36"/>
        <v>27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85</v>
      </c>
      <c r="D106" s="16">
        <f t="shared" ref="D106:P106" si="37">SUM(D10:D105)</f>
        <v>9</v>
      </c>
      <c r="E106" s="16">
        <f t="shared" si="37"/>
        <v>41</v>
      </c>
      <c r="F106" s="16">
        <f t="shared" si="37"/>
        <v>28</v>
      </c>
      <c r="G106" s="16">
        <f t="shared" si="37"/>
        <v>3</v>
      </c>
      <c r="H106" s="16">
        <f t="shared" si="37"/>
        <v>5</v>
      </c>
      <c r="I106" s="16">
        <f t="shared" si="37"/>
        <v>61</v>
      </c>
      <c r="J106" s="16">
        <f t="shared" si="37"/>
        <v>2</v>
      </c>
      <c r="K106" s="16">
        <f t="shared" si="37"/>
        <v>2</v>
      </c>
      <c r="L106" s="16">
        <f t="shared" si="37"/>
        <v>38</v>
      </c>
      <c r="M106" s="16">
        <f t="shared" si="37"/>
        <v>843</v>
      </c>
      <c r="N106" s="16">
        <f t="shared" si="37"/>
        <v>0</v>
      </c>
      <c r="O106" s="16">
        <f t="shared" si="37"/>
        <v>274</v>
      </c>
      <c r="P106" s="16">
        <f t="shared" si="37"/>
        <v>1117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7.6096687555953446E-2</v>
      </c>
      <c r="D107" s="43">
        <f t="shared" si="38"/>
        <v>8.057296329453895E-3</v>
      </c>
      <c r="E107" s="43">
        <f t="shared" si="38"/>
        <v>3.6705461056401073E-2</v>
      </c>
      <c r="F107" s="43">
        <f t="shared" si="38"/>
        <v>2.5067144136078783E-2</v>
      </c>
      <c r="G107" s="43">
        <f t="shared" si="38"/>
        <v>2.6857654431512983E-3</v>
      </c>
      <c r="H107" s="43">
        <f t="shared" si="38"/>
        <v>4.4762757385854966E-3</v>
      </c>
      <c r="I107" s="43">
        <f t="shared" si="38"/>
        <v>5.461056401074306E-2</v>
      </c>
      <c r="J107" s="43">
        <f t="shared" si="38"/>
        <v>1.7905102954341987E-3</v>
      </c>
      <c r="K107" s="43">
        <f t="shared" si="38"/>
        <v>1.7905102954341987E-3</v>
      </c>
      <c r="L107" s="43">
        <f t="shared" si="38"/>
        <v>3.4019695613249773E-2</v>
      </c>
      <c r="M107" s="43">
        <f t="shared" si="38"/>
        <v>0.75470008952551482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0.31021897810218979</v>
      </c>
      <c r="D108" s="44">
        <f t="shared" ref="D108:N108" si="39">D106/$O$106</f>
        <v>3.2846715328467155E-2</v>
      </c>
      <c r="E108" s="44">
        <f t="shared" si="39"/>
        <v>0.14963503649635038</v>
      </c>
      <c r="F108" s="44">
        <f t="shared" si="39"/>
        <v>0.10218978102189781</v>
      </c>
      <c r="G108" s="44">
        <f t="shared" si="39"/>
        <v>1.0948905109489052E-2</v>
      </c>
      <c r="H108" s="44">
        <f t="shared" si="39"/>
        <v>1.824817518248175E-2</v>
      </c>
      <c r="I108" s="44">
        <f t="shared" si="39"/>
        <v>0.22262773722627738</v>
      </c>
      <c r="J108" s="44">
        <f t="shared" si="39"/>
        <v>7.2992700729927005E-3</v>
      </c>
      <c r="K108" s="44">
        <f t="shared" si="39"/>
        <v>7.2992700729927005E-3</v>
      </c>
      <c r="L108" s="44">
        <f t="shared" si="39"/>
        <v>0.13868613138686131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249977111117893"/>
  </sheetPr>
  <dimension ref="B1:AF174"/>
  <sheetViews>
    <sheetView view="pageBreakPreview" zoomScale="60" workbookViewId="0">
      <selection activeCell="L100" sqref="L10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Goli-Nebbi'!C3:G3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Goli-Nebbi-24h'!D5</f>
        <v>02.08.19</v>
      </c>
      <c r="E5" s="3"/>
      <c r="F5" s="41" t="s">
        <v>1</v>
      </c>
      <c r="G5" s="65" t="str">
        <f>'02.08 Goli-Nebbi-24h'!G5:H5</f>
        <v>Goli</v>
      </c>
      <c r="H5" s="66"/>
      <c r="I5" s="14"/>
      <c r="J5" s="2" t="s">
        <v>5</v>
      </c>
      <c r="K5" s="65" t="str">
        <f>'02.08 Goli-Nebbi-24h'!K5:L5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'31.07 Nebbi-Goli'!D6:E6</f>
        <v>Nebbi</v>
      </c>
      <c r="E6" s="66"/>
      <c r="F6" s="2" t="s">
        <v>2</v>
      </c>
      <c r="G6" s="65" t="str">
        <f>'01.08 Nebbi-Goli'!G6:H6</f>
        <v>Goli</v>
      </c>
      <c r="H6" s="66"/>
      <c r="J6" s="2" t="s">
        <v>21</v>
      </c>
      <c r="K6" s="65" t="str">
        <f>'02.08 Goli-Nebbi-24h'!K6:L6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73" si="0">SUM(C10:L10,N10)</f>
        <v>3</v>
      </c>
      <c r="P10" s="15">
        <f t="shared" ref="P10:P73" si="1">SUM(C10:N10)</f>
        <v>7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1</v>
      </c>
      <c r="X10" s="17">
        <f t="shared" si="2"/>
        <v>1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35</v>
      </c>
      <c r="AD10" s="17">
        <f t="shared" si="2"/>
        <v>0</v>
      </c>
      <c r="AE10" s="31">
        <f t="shared" si="2"/>
        <v>6</v>
      </c>
      <c r="AF10" s="31">
        <f t="shared" si="2"/>
        <v>41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11</v>
      </c>
      <c r="N11" s="50">
        <v>0</v>
      </c>
      <c r="O11" s="15">
        <f t="shared" si="0"/>
        <v>0</v>
      </c>
      <c r="P11" s="15">
        <f t="shared" si="1"/>
        <v>11</v>
      </c>
      <c r="R11" s="1" t="s">
        <v>7</v>
      </c>
      <c r="S11" s="17">
        <f t="shared" ref="S11:AF11" si="3">SUM(C14:C17)</f>
        <v>7</v>
      </c>
      <c r="T11" s="17">
        <f t="shared" si="3"/>
        <v>1</v>
      </c>
      <c r="U11" s="17">
        <f t="shared" si="3"/>
        <v>3</v>
      </c>
      <c r="V11" s="17">
        <f t="shared" si="3"/>
        <v>6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49</v>
      </c>
      <c r="AD11" s="17">
        <f t="shared" si="3"/>
        <v>0</v>
      </c>
      <c r="AE11" s="31">
        <f t="shared" si="3"/>
        <v>20</v>
      </c>
      <c r="AF11" s="31">
        <f t="shared" si="3"/>
        <v>69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1</v>
      </c>
      <c r="P12" s="15">
        <f t="shared" si="1"/>
        <v>9</v>
      </c>
      <c r="R12" s="1" t="s">
        <v>8</v>
      </c>
      <c r="S12" s="17">
        <f t="shared" ref="S12:AF12" si="4">SUM(C18:C21)</f>
        <v>3</v>
      </c>
      <c r="T12" s="17">
        <f t="shared" si="4"/>
        <v>0</v>
      </c>
      <c r="U12" s="17">
        <f t="shared" si="4"/>
        <v>1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34</v>
      </c>
      <c r="AD12" s="17">
        <f t="shared" si="4"/>
        <v>0</v>
      </c>
      <c r="AE12" s="31">
        <f t="shared" si="4"/>
        <v>8</v>
      </c>
      <c r="AF12" s="31">
        <f t="shared" si="4"/>
        <v>42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1</v>
      </c>
      <c r="I13" s="50">
        <v>1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2</v>
      </c>
      <c r="P13" s="15">
        <f t="shared" si="1"/>
        <v>14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5</v>
      </c>
      <c r="AC13" s="17">
        <f t="shared" si="5"/>
        <v>38</v>
      </c>
      <c r="AD13" s="17">
        <f t="shared" si="5"/>
        <v>0</v>
      </c>
      <c r="AE13" s="31">
        <f t="shared" si="5"/>
        <v>12</v>
      </c>
      <c r="AF13" s="31">
        <f t="shared" si="5"/>
        <v>50</v>
      </c>
    </row>
    <row r="14" spans="2:32" ht="23.1" customHeight="1" x14ac:dyDescent="0.25">
      <c r="B14" s="45" t="s">
        <v>41</v>
      </c>
      <c r="C14" s="50">
        <v>3</v>
      </c>
      <c r="D14" s="50">
        <v>0</v>
      </c>
      <c r="E14" s="50">
        <v>0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13</v>
      </c>
      <c r="N14" s="50">
        <v>0</v>
      </c>
      <c r="O14" s="15">
        <f t="shared" si="0"/>
        <v>6</v>
      </c>
      <c r="P14" s="15">
        <f t="shared" si="1"/>
        <v>19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3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3</v>
      </c>
      <c r="AC14" s="17">
        <f t="shared" si="6"/>
        <v>49</v>
      </c>
      <c r="AD14" s="17">
        <f t="shared" si="6"/>
        <v>0</v>
      </c>
      <c r="AE14" s="31">
        <f t="shared" si="6"/>
        <v>10</v>
      </c>
      <c r="AF14" s="31">
        <f t="shared" si="6"/>
        <v>59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17</v>
      </c>
      <c r="N15" s="50">
        <v>0</v>
      </c>
      <c r="O15" s="15">
        <f t="shared" si="0"/>
        <v>2</v>
      </c>
      <c r="P15" s="15">
        <f t="shared" si="1"/>
        <v>19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1</v>
      </c>
      <c r="V15" s="17">
        <f t="shared" si="7"/>
        <v>14</v>
      </c>
      <c r="W15" s="17">
        <f t="shared" si="7"/>
        <v>0</v>
      </c>
      <c r="X15" s="17">
        <f t="shared" si="7"/>
        <v>1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28</v>
      </c>
      <c r="AD15" s="17">
        <f t="shared" si="7"/>
        <v>0</v>
      </c>
      <c r="AE15" s="31">
        <f t="shared" si="7"/>
        <v>20</v>
      </c>
      <c r="AF15" s="31">
        <f t="shared" si="7"/>
        <v>48</v>
      </c>
    </row>
    <row r="16" spans="2:32" ht="23.1" customHeight="1" x14ac:dyDescent="0.25">
      <c r="B16" s="45" t="s">
        <v>43</v>
      </c>
      <c r="C16" s="50">
        <v>3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4</v>
      </c>
      <c r="P16" s="15">
        <f t="shared" si="1"/>
        <v>13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1</v>
      </c>
      <c r="AA16" s="17">
        <f t="shared" si="8"/>
        <v>1</v>
      </c>
      <c r="AB16" s="17">
        <f t="shared" si="8"/>
        <v>1</v>
      </c>
      <c r="AC16" s="17">
        <f t="shared" si="8"/>
        <v>31</v>
      </c>
      <c r="AD16" s="17">
        <f t="shared" si="8"/>
        <v>0</v>
      </c>
      <c r="AE16" s="31">
        <f t="shared" si="8"/>
        <v>6</v>
      </c>
      <c r="AF16" s="31">
        <f t="shared" si="8"/>
        <v>37</v>
      </c>
    </row>
    <row r="17" spans="2:32" ht="23.1" customHeight="1" x14ac:dyDescent="0.25">
      <c r="B17" s="45" t="s">
        <v>44</v>
      </c>
      <c r="C17" s="50">
        <v>0</v>
      </c>
      <c r="D17" s="50">
        <v>1</v>
      </c>
      <c r="E17" s="50">
        <v>2</v>
      </c>
      <c r="F17" s="50">
        <v>2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8</v>
      </c>
      <c r="P17" s="15">
        <f t="shared" si="1"/>
        <v>18</v>
      </c>
      <c r="R17" s="1" t="s">
        <v>13</v>
      </c>
      <c r="S17" s="17">
        <f t="shared" ref="S17:AF17" si="9">SUM(C38:C41)</f>
        <v>2</v>
      </c>
      <c r="T17" s="17">
        <f t="shared" si="9"/>
        <v>1</v>
      </c>
      <c r="U17" s="17">
        <f t="shared" si="9"/>
        <v>2</v>
      </c>
      <c r="V17" s="17">
        <f t="shared" si="9"/>
        <v>3</v>
      </c>
      <c r="W17" s="17">
        <f t="shared" si="9"/>
        <v>1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3</v>
      </c>
      <c r="AC17" s="17">
        <f t="shared" si="9"/>
        <v>35</v>
      </c>
      <c r="AD17" s="17">
        <f t="shared" si="9"/>
        <v>0</v>
      </c>
      <c r="AE17" s="31">
        <f t="shared" si="9"/>
        <v>13</v>
      </c>
      <c r="AF17" s="31">
        <f t="shared" si="9"/>
        <v>48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1</v>
      </c>
      <c r="P18" s="15">
        <f t="shared" si="1"/>
        <v>8</v>
      </c>
      <c r="R18" s="1" t="s">
        <v>14</v>
      </c>
      <c r="S18" s="17">
        <f t="shared" ref="S18:AF18" si="10">SUM(C42:C45)</f>
        <v>6</v>
      </c>
      <c r="T18" s="17">
        <f t="shared" si="10"/>
        <v>0</v>
      </c>
      <c r="U18" s="17">
        <f t="shared" si="10"/>
        <v>0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3</v>
      </c>
      <c r="AC18" s="17">
        <f t="shared" si="10"/>
        <v>42</v>
      </c>
      <c r="AD18" s="17">
        <f t="shared" si="10"/>
        <v>0</v>
      </c>
      <c r="AE18" s="31">
        <f t="shared" si="10"/>
        <v>15</v>
      </c>
      <c r="AF18" s="31">
        <f t="shared" si="10"/>
        <v>57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5</v>
      </c>
      <c r="P19" s="15">
        <f t="shared" si="1"/>
        <v>15</v>
      </c>
      <c r="R19" s="1" t="s">
        <v>15</v>
      </c>
      <c r="S19" s="17">
        <f t="shared" ref="S19:AF19" si="11">SUM(C46:C49)</f>
        <v>5</v>
      </c>
      <c r="T19" s="17">
        <f t="shared" si="11"/>
        <v>0</v>
      </c>
      <c r="U19" s="17">
        <f t="shared" si="11"/>
        <v>4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1</v>
      </c>
      <c r="AB19" s="17">
        <f t="shared" si="11"/>
        <v>2</v>
      </c>
      <c r="AC19" s="17">
        <f t="shared" si="11"/>
        <v>45</v>
      </c>
      <c r="AD19" s="17">
        <f t="shared" si="11"/>
        <v>0</v>
      </c>
      <c r="AE19" s="31">
        <f t="shared" si="11"/>
        <v>17</v>
      </c>
      <c r="AF19" s="31">
        <f t="shared" si="11"/>
        <v>62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11</v>
      </c>
      <c r="N20" s="50">
        <v>0</v>
      </c>
      <c r="O20" s="15">
        <f t="shared" si="0"/>
        <v>1</v>
      </c>
      <c r="P20" s="15">
        <f t="shared" si="1"/>
        <v>12</v>
      </c>
      <c r="R20" s="1" t="s">
        <v>16</v>
      </c>
      <c r="S20" s="17">
        <f t="shared" ref="S20:AF20" si="12">SUM(C50:C53)</f>
        <v>3</v>
      </c>
      <c r="T20" s="17">
        <f t="shared" si="12"/>
        <v>1</v>
      </c>
      <c r="U20" s="17">
        <f t="shared" si="12"/>
        <v>4</v>
      </c>
      <c r="V20" s="17">
        <f t="shared" si="12"/>
        <v>5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2</v>
      </c>
      <c r="AB20" s="17">
        <f t="shared" si="12"/>
        <v>1</v>
      </c>
      <c r="AC20" s="17">
        <f t="shared" si="12"/>
        <v>32</v>
      </c>
      <c r="AD20" s="17">
        <f t="shared" si="12"/>
        <v>0</v>
      </c>
      <c r="AE20" s="31">
        <f t="shared" si="12"/>
        <v>21</v>
      </c>
      <c r="AF20" s="31">
        <f t="shared" si="12"/>
        <v>53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1</v>
      </c>
      <c r="P21" s="15">
        <f t="shared" si="1"/>
        <v>7</v>
      </c>
      <c r="R21" s="36" t="s">
        <v>20</v>
      </c>
      <c r="S21" s="34">
        <f t="shared" ref="S21:AF21" si="13">SUM(C54:C57)</f>
        <v>6</v>
      </c>
      <c r="T21" s="17">
        <f t="shared" si="13"/>
        <v>2</v>
      </c>
      <c r="U21" s="17">
        <f t="shared" si="13"/>
        <v>5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1</v>
      </c>
      <c r="AB21" s="17">
        <f t="shared" si="13"/>
        <v>4</v>
      </c>
      <c r="AC21" s="17">
        <f t="shared" si="13"/>
        <v>53</v>
      </c>
      <c r="AD21" s="17">
        <f t="shared" si="13"/>
        <v>0</v>
      </c>
      <c r="AE21" s="31">
        <f t="shared" si="13"/>
        <v>21</v>
      </c>
      <c r="AF21" s="31">
        <f t="shared" si="13"/>
        <v>74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1</v>
      </c>
      <c r="M22" s="50">
        <v>4</v>
      </c>
      <c r="N22" s="50">
        <v>0</v>
      </c>
      <c r="O22" s="15">
        <f t="shared" si="0"/>
        <v>3</v>
      </c>
      <c r="P22" s="15">
        <f t="shared" si="1"/>
        <v>7</v>
      </c>
      <c r="R22" s="36" t="s">
        <v>146</v>
      </c>
      <c r="S22" s="34">
        <f>SUM(C58:C61)</f>
        <v>2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0</v>
      </c>
      <c r="AA22" s="34">
        <f t="shared" si="14"/>
        <v>0</v>
      </c>
      <c r="AB22" s="34">
        <f t="shared" si="14"/>
        <v>4</v>
      </c>
      <c r="AC22" s="34">
        <f t="shared" si="14"/>
        <v>78</v>
      </c>
      <c r="AD22" s="34">
        <f t="shared" si="14"/>
        <v>0</v>
      </c>
      <c r="AE22" s="31">
        <f t="shared" si="14"/>
        <v>11</v>
      </c>
      <c r="AF22" s="31">
        <f t="shared" si="14"/>
        <v>89</v>
      </c>
    </row>
    <row r="23" spans="2:32" ht="23.1" customHeight="1" x14ac:dyDescent="0.25">
      <c r="B23" s="45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10</v>
      </c>
      <c r="N23" s="50">
        <v>0</v>
      </c>
      <c r="O23" s="15">
        <f t="shared" si="0"/>
        <v>1</v>
      </c>
      <c r="P23" s="15">
        <f t="shared" si="1"/>
        <v>11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2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1</v>
      </c>
      <c r="AA23" s="34">
        <f t="shared" si="15"/>
        <v>0</v>
      </c>
      <c r="AB23" s="34">
        <f t="shared" si="15"/>
        <v>2</v>
      </c>
      <c r="AC23" s="34">
        <f t="shared" si="15"/>
        <v>52</v>
      </c>
      <c r="AD23" s="34">
        <f t="shared" si="15"/>
        <v>0</v>
      </c>
      <c r="AE23" s="31">
        <f t="shared" si="15"/>
        <v>9</v>
      </c>
      <c r="AF23" s="31">
        <f t="shared" si="15"/>
        <v>61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4</v>
      </c>
      <c r="M24" s="50">
        <v>10</v>
      </c>
      <c r="N24" s="50">
        <v>0</v>
      </c>
      <c r="O24" s="15">
        <f t="shared" si="0"/>
        <v>4</v>
      </c>
      <c r="P24" s="15">
        <f t="shared" si="1"/>
        <v>14</v>
      </c>
      <c r="R24" s="36" t="s">
        <v>148</v>
      </c>
      <c r="S24" s="34">
        <f>SUM(C66:C69)</f>
        <v>1</v>
      </c>
      <c r="T24" s="34">
        <f t="shared" ref="T24:AF24" si="16">SUM(D66:D69)</f>
        <v>1</v>
      </c>
      <c r="U24" s="34">
        <f t="shared" si="16"/>
        <v>3</v>
      </c>
      <c r="V24" s="34">
        <f t="shared" si="16"/>
        <v>0</v>
      </c>
      <c r="W24" s="34">
        <f t="shared" si="16"/>
        <v>0</v>
      </c>
      <c r="X24" s="34">
        <f t="shared" si="16"/>
        <v>2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11</v>
      </c>
      <c r="AD24" s="34">
        <f t="shared" si="16"/>
        <v>0</v>
      </c>
      <c r="AE24" s="31">
        <f t="shared" si="16"/>
        <v>8</v>
      </c>
      <c r="AF24" s="31">
        <f t="shared" si="16"/>
        <v>19</v>
      </c>
    </row>
    <row r="25" spans="2:32" ht="23.1" customHeight="1" x14ac:dyDescent="0.25">
      <c r="B25" s="45" t="s">
        <v>52</v>
      </c>
      <c r="C25" s="50">
        <v>2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4</v>
      </c>
      <c r="P25" s="15">
        <f t="shared" si="1"/>
        <v>18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1</v>
      </c>
      <c r="AA25" s="34">
        <f t="shared" si="17"/>
        <v>0</v>
      </c>
      <c r="AB25" s="34">
        <f t="shared" si="17"/>
        <v>1</v>
      </c>
      <c r="AC25" s="34">
        <f t="shared" si="17"/>
        <v>11</v>
      </c>
      <c r="AD25" s="34">
        <f t="shared" si="17"/>
        <v>0</v>
      </c>
      <c r="AE25" s="31">
        <f t="shared" si="17"/>
        <v>8</v>
      </c>
      <c r="AF25" s="31">
        <f t="shared" si="17"/>
        <v>19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2</v>
      </c>
      <c r="P26" s="15">
        <f t="shared" si="1"/>
        <v>15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3</v>
      </c>
      <c r="AD26" s="34">
        <f t="shared" si="18"/>
        <v>0</v>
      </c>
      <c r="AE26" s="31">
        <f t="shared" si="18"/>
        <v>0</v>
      </c>
      <c r="AF26" s="31">
        <f t="shared" si="18"/>
        <v>3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2</v>
      </c>
      <c r="M27" s="50">
        <v>19</v>
      </c>
      <c r="N27" s="50">
        <v>0</v>
      </c>
      <c r="O27" s="15">
        <f t="shared" si="0"/>
        <v>4</v>
      </c>
      <c r="P27" s="15">
        <f t="shared" si="1"/>
        <v>23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0</v>
      </c>
      <c r="AF27" s="31">
        <f t="shared" si="19"/>
        <v>2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0</v>
      </c>
      <c r="P28" s="15">
        <f t="shared" si="1"/>
        <v>7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0</v>
      </c>
      <c r="AF28" s="31">
        <f t="shared" si="20"/>
        <v>2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1</v>
      </c>
      <c r="M29" s="50">
        <v>10</v>
      </c>
      <c r="N29" s="50">
        <v>0</v>
      </c>
      <c r="O29" s="15">
        <f t="shared" si="0"/>
        <v>4</v>
      </c>
      <c r="P29" s="15">
        <f t="shared" si="1"/>
        <v>14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1</v>
      </c>
      <c r="AF29" s="31">
        <f t="shared" si="21"/>
        <v>2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0</v>
      </c>
      <c r="F30" s="50">
        <v>4</v>
      </c>
      <c r="G30" s="50">
        <v>0</v>
      </c>
      <c r="H30" s="50">
        <v>1</v>
      </c>
      <c r="I30" s="50">
        <v>0</v>
      </c>
      <c r="J30" s="50">
        <v>0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6</v>
      </c>
      <c r="P30" s="15">
        <f t="shared" si="1"/>
        <v>13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</v>
      </c>
      <c r="AD30" s="34">
        <f t="shared" si="22"/>
        <v>0</v>
      </c>
      <c r="AE30" s="31">
        <f t="shared" si="22"/>
        <v>1</v>
      </c>
      <c r="AF30" s="31">
        <f t="shared" si="22"/>
        <v>4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1</v>
      </c>
      <c r="P31" s="15">
        <f t="shared" si="1"/>
        <v>10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1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6</v>
      </c>
      <c r="AD31" s="34">
        <f t="shared" si="23"/>
        <v>0</v>
      </c>
      <c r="AE31" s="31">
        <f t="shared" si="23"/>
        <v>3</v>
      </c>
      <c r="AF31" s="31">
        <f t="shared" si="23"/>
        <v>9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8</v>
      </c>
      <c r="N32" s="50">
        <v>0</v>
      </c>
      <c r="O32" s="15">
        <f t="shared" si="0"/>
        <v>4</v>
      </c>
      <c r="P32" s="15">
        <f t="shared" si="1"/>
        <v>12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9</v>
      </c>
      <c r="AD32" s="34">
        <f t="shared" si="24"/>
        <v>0</v>
      </c>
      <c r="AE32" s="31">
        <f t="shared" si="24"/>
        <v>1</v>
      </c>
      <c r="AF32" s="31">
        <f t="shared" si="24"/>
        <v>10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9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4</v>
      </c>
      <c r="N33" s="50">
        <v>0</v>
      </c>
      <c r="O33" s="15">
        <f t="shared" si="0"/>
        <v>9</v>
      </c>
      <c r="P33" s="15">
        <f t="shared" si="1"/>
        <v>13</v>
      </c>
      <c r="R33" s="33" t="s">
        <v>157</v>
      </c>
      <c r="S33" s="34">
        <f>SUM(C102:C105)</f>
        <v>3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20</v>
      </c>
      <c r="AD33" s="34">
        <f t="shared" si="25"/>
        <v>0</v>
      </c>
      <c r="AE33" s="31">
        <f t="shared" si="25"/>
        <v>4</v>
      </c>
      <c r="AF33" s="31">
        <f t="shared" si="25"/>
        <v>24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1</v>
      </c>
      <c r="M34" s="50">
        <v>10</v>
      </c>
      <c r="N34" s="50">
        <v>0</v>
      </c>
      <c r="O34" s="15">
        <f t="shared" si="0"/>
        <v>2</v>
      </c>
      <c r="P34" s="15">
        <f t="shared" si="1"/>
        <v>12</v>
      </c>
      <c r="R34" s="38" t="s">
        <v>90</v>
      </c>
      <c r="S34" s="39">
        <f t="shared" ref="S34:AF34" si="26">MAX(S10:S12)</f>
        <v>7</v>
      </c>
      <c r="T34" s="39">
        <f t="shared" si="26"/>
        <v>1</v>
      </c>
      <c r="U34" s="39">
        <f t="shared" si="26"/>
        <v>3</v>
      </c>
      <c r="V34" s="39">
        <f t="shared" si="26"/>
        <v>6</v>
      </c>
      <c r="W34" s="39">
        <f t="shared" si="26"/>
        <v>1</v>
      </c>
      <c r="X34" s="39">
        <f t="shared" si="26"/>
        <v>1</v>
      </c>
      <c r="Y34" s="39">
        <f t="shared" si="26"/>
        <v>3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49</v>
      </c>
      <c r="AD34" s="39">
        <f t="shared" si="26"/>
        <v>0</v>
      </c>
      <c r="AE34" s="40">
        <f t="shared" si="26"/>
        <v>20</v>
      </c>
      <c r="AF34" s="40">
        <f t="shared" si="26"/>
        <v>69</v>
      </c>
    </row>
    <row r="35" spans="2:32" ht="23.1" customHeight="1" x14ac:dyDescent="0.25">
      <c r="B35" s="46" t="s">
        <v>62</v>
      </c>
      <c r="C35" s="50">
        <v>2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3</v>
      </c>
      <c r="N35" s="50">
        <v>0</v>
      </c>
      <c r="O35" s="15">
        <f t="shared" si="0"/>
        <v>3</v>
      </c>
      <c r="P35" s="15">
        <f t="shared" si="1"/>
        <v>6</v>
      </c>
      <c r="R35" s="38" t="s">
        <v>91</v>
      </c>
      <c r="S35" s="39">
        <f t="shared" ref="S35:AF35" si="27">MAX(S13:S18)</f>
        <v>6</v>
      </c>
      <c r="T35" s="39">
        <f t="shared" si="27"/>
        <v>1</v>
      </c>
      <c r="U35" s="39">
        <f t="shared" si="27"/>
        <v>3</v>
      </c>
      <c r="V35" s="39">
        <f t="shared" si="27"/>
        <v>14</v>
      </c>
      <c r="W35" s="39">
        <f t="shared" si="27"/>
        <v>1</v>
      </c>
      <c r="X35" s="39">
        <f t="shared" si="27"/>
        <v>1</v>
      </c>
      <c r="Y35" s="39">
        <f t="shared" si="27"/>
        <v>3</v>
      </c>
      <c r="Z35" s="39">
        <f t="shared" si="27"/>
        <v>1</v>
      </c>
      <c r="AA35" s="39">
        <f t="shared" si="27"/>
        <v>1</v>
      </c>
      <c r="AB35" s="39">
        <f t="shared" si="27"/>
        <v>5</v>
      </c>
      <c r="AC35" s="39">
        <f t="shared" si="27"/>
        <v>49</v>
      </c>
      <c r="AD35" s="39">
        <f t="shared" si="27"/>
        <v>0</v>
      </c>
      <c r="AE35" s="40">
        <f t="shared" si="27"/>
        <v>20</v>
      </c>
      <c r="AF35" s="40">
        <f t="shared" si="27"/>
        <v>59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0</v>
      </c>
      <c r="P36" s="15">
        <f t="shared" si="1"/>
        <v>10</v>
      </c>
      <c r="R36" s="38" t="s">
        <v>92</v>
      </c>
      <c r="S36" s="39">
        <f t="shared" ref="S36:AF36" si="28">MAX(S19:S21)</f>
        <v>6</v>
      </c>
      <c r="T36" s="39">
        <f t="shared" si="28"/>
        <v>2</v>
      </c>
      <c r="U36" s="39">
        <f t="shared" si="28"/>
        <v>5</v>
      </c>
      <c r="V36" s="39">
        <f t="shared" si="28"/>
        <v>5</v>
      </c>
      <c r="W36" s="39">
        <f t="shared" si="28"/>
        <v>0</v>
      </c>
      <c r="X36" s="39">
        <f t="shared" si="28"/>
        <v>0</v>
      </c>
      <c r="Y36" s="39">
        <f t="shared" si="28"/>
        <v>5</v>
      </c>
      <c r="Z36" s="39">
        <f t="shared" si="28"/>
        <v>0</v>
      </c>
      <c r="AA36" s="39">
        <f t="shared" si="28"/>
        <v>2</v>
      </c>
      <c r="AB36" s="39">
        <f t="shared" si="28"/>
        <v>4</v>
      </c>
      <c r="AC36" s="39">
        <f t="shared" si="28"/>
        <v>53</v>
      </c>
      <c r="AD36" s="39">
        <f t="shared" si="28"/>
        <v>0</v>
      </c>
      <c r="AE36" s="40">
        <f t="shared" si="28"/>
        <v>21</v>
      </c>
      <c r="AF36" s="40">
        <f t="shared" si="28"/>
        <v>74</v>
      </c>
    </row>
    <row r="37" spans="2:32" ht="23.1" customHeight="1" x14ac:dyDescent="0.25">
      <c r="B37" s="45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1</v>
      </c>
      <c r="P37" s="15">
        <f t="shared" si="1"/>
        <v>9</v>
      </c>
      <c r="R37" s="37" t="s">
        <v>85</v>
      </c>
      <c r="S37" s="35">
        <f t="shared" ref="S37:AF37" si="29">SUM(S10:S12)</f>
        <v>11</v>
      </c>
      <c r="T37" s="16">
        <f t="shared" si="29"/>
        <v>1</v>
      </c>
      <c r="U37" s="16">
        <f t="shared" si="29"/>
        <v>5</v>
      </c>
      <c r="V37" s="16">
        <f t="shared" si="29"/>
        <v>7</v>
      </c>
      <c r="W37" s="16">
        <f t="shared" si="29"/>
        <v>1</v>
      </c>
      <c r="X37" s="16">
        <f t="shared" si="29"/>
        <v>1</v>
      </c>
      <c r="Y37" s="16">
        <f t="shared" si="29"/>
        <v>8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118</v>
      </c>
      <c r="AD37" s="16">
        <f t="shared" si="29"/>
        <v>0</v>
      </c>
      <c r="AE37" s="32">
        <f t="shared" si="29"/>
        <v>34</v>
      </c>
      <c r="AF37" s="32">
        <f t="shared" si="29"/>
        <v>152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2</v>
      </c>
      <c r="M38" s="50">
        <v>11</v>
      </c>
      <c r="N38" s="50">
        <v>0</v>
      </c>
      <c r="O38" s="15">
        <f t="shared" si="0"/>
        <v>3</v>
      </c>
      <c r="P38" s="15">
        <f t="shared" si="1"/>
        <v>14</v>
      </c>
      <c r="R38" s="28" t="s">
        <v>86</v>
      </c>
      <c r="S38" s="16">
        <f t="shared" ref="S38:AF38" si="30">SUM(S13:S18)</f>
        <v>19</v>
      </c>
      <c r="T38" s="16">
        <f t="shared" si="30"/>
        <v>1</v>
      </c>
      <c r="U38" s="16">
        <f t="shared" si="30"/>
        <v>6</v>
      </c>
      <c r="V38" s="16">
        <f t="shared" si="30"/>
        <v>21</v>
      </c>
      <c r="W38" s="16">
        <f t="shared" si="30"/>
        <v>1</v>
      </c>
      <c r="X38" s="16">
        <f t="shared" si="30"/>
        <v>1</v>
      </c>
      <c r="Y38" s="16">
        <f t="shared" si="30"/>
        <v>10</v>
      </c>
      <c r="Z38" s="16">
        <f t="shared" si="30"/>
        <v>1</v>
      </c>
      <c r="AA38" s="16">
        <f t="shared" si="30"/>
        <v>1</v>
      </c>
      <c r="AB38" s="16">
        <f t="shared" si="30"/>
        <v>15</v>
      </c>
      <c r="AC38" s="16">
        <f t="shared" si="30"/>
        <v>223</v>
      </c>
      <c r="AD38" s="16">
        <f t="shared" si="30"/>
        <v>0</v>
      </c>
      <c r="AE38" s="32">
        <f t="shared" si="30"/>
        <v>76</v>
      </c>
      <c r="AF38" s="32">
        <f t="shared" si="30"/>
        <v>299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1</v>
      </c>
      <c r="H39" s="50">
        <v>0</v>
      </c>
      <c r="I39" s="50">
        <v>0</v>
      </c>
      <c r="J39" s="50">
        <v>0</v>
      </c>
      <c r="K39" s="50">
        <v>0</v>
      </c>
      <c r="L39" s="50">
        <v>1</v>
      </c>
      <c r="M39" s="50">
        <v>9</v>
      </c>
      <c r="N39" s="50">
        <v>0</v>
      </c>
      <c r="O39" s="15">
        <f t="shared" si="0"/>
        <v>3</v>
      </c>
      <c r="P39" s="15">
        <f t="shared" si="1"/>
        <v>12</v>
      </c>
      <c r="R39" s="29" t="s">
        <v>87</v>
      </c>
      <c r="S39" s="16">
        <f t="shared" ref="S39:AF39" si="31">SUM(S19:S21)</f>
        <v>14</v>
      </c>
      <c r="T39" s="16">
        <f t="shared" si="31"/>
        <v>3</v>
      </c>
      <c r="U39" s="16">
        <f t="shared" si="31"/>
        <v>13</v>
      </c>
      <c r="V39" s="16">
        <f t="shared" si="31"/>
        <v>7</v>
      </c>
      <c r="W39" s="16">
        <f t="shared" si="31"/>
        <v>0</v>
      </c>
      <c r="X39" s="16">
        <f t="shared" si="31"/>
        <v>0</v>
      </c>
      <c r="Y39" s="16">
        <f t="shared" si="31"/>
        <v>11</v>
      </c>
      <c r="Z39" s="16">
        <f t="shared" si="31"/>
        <v>0</v>
      </c>
      <c r="AA39" s="16">
        <f t="shared" si="31"/>
        <v>4</v>
      </c>
      <c r="AB39" s="16">
        <f t="shared" si="31"/>
        <v>7</v>
      </c>
      <c r="AC39" s="16">
        <f t="shared" si="31"/>
        <v>130</v>
      </c>
      <c r="AD39" s="16">
        <f t="shared" si="31"/>
        <v>0</v>
      </c>
      <c r="AE39" s="32">
        <f t="shared" si="31"/>
        <v>59</v>
      </c>
      <c r="AF39" s="32">
        <f t="shared" si="31"/>
        <v>189</v>
      </c>
    </row>
    <row r="40" spans="2:32" ht="23.1" customHeight="1" x14ac:dyDescent="0.25">
      <c r="B40" s="46" t="s">
        <v>67</v>
      </c>
      <c r="C40" s="50">
        <v>2</v>
      </c>
      <c r="D40" s="50">
        <v>1</v>
      </c>
      <c r="E40" s="50">
        <v>2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6</v>
      </c>
      <c r="P40" s="15">
        <f t="shared" si="1"/>
        <v>13</v>
      </c>
      <c r="R40" s="5" t="s">
        <v>17</v>
      </c>
      <c r="S40" s="16">
        <f t="shared" ref="S40:AF40" si="32">SUM(S10:S21)</f>
        <v>44</v>
      </c>
      <c r="T40" s="16">
        <f t="shared" si="32"/>
        <v>5</v>
      </c>
      <c r="U40" s="16">
        <f t="shared" si="32"/>
        <v>24</v>
      </c>
      <c r="V40" s="16">
        <f t="shared" si="32"/>
        <v>35</v>
      </c>
      <c r="W40" s="16">
        <f t="shared" si="32"/>
        <v>2</v>
      </c>
      <c r="X40" s="16">
        <f t="shared" si="32"/>
        <v>2</v>
      </c>
      <c r="Y40" s="16">
        <f t="shared" si="32"/>
        <v>29</v>
      </c>
      <c r="Z40" s="16">
        <f t="shared" si="32"/>
        <v>1</v>
      </c>
      <c r="AA40" s="16">
        <f t="shared" si="32"/>
        <v>5</v>
      </c>
      <c r="AB40" s="16">
        <f t="shared" si="32"/>
        <v>22</v>
      </c>
      <c r="AC40" s="16">
        <f t="shared" si="32"/>
        <v>471</v>
      </c>
      <c r="AD40" s="16">
        <f t="shared" si="32"/>
        <v>0</v>
      </c>
      <c r="AE40" s="32">
        <f t="shared" si="32"/>
        <v>169</v>
      </c>
      <c r="AF40" s="32">
        <f t="shared" si="32"/>
        <v>640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8</v>
      </c>
      <c r="N41" s="50">
        <v>0</v>
      </c>
      <c r="O41" s="15">
        <f t="shared" si="0"/>
        <v>1</v>
      </c>
      <c r="P41" s="15">
        <f t="shared" si="1"/>
        <v>9</v>
      </c>
      <c r="R41" s="5" t="s">
        <v>159</v>
      </c>
      <c r="S41" s="16">
        <f>SUM(S10:S33)</f>
        <v>52</v>
      </c>
      <c r="T41" s="16">
        <f t="shared" ref="T41:AF41" si="33">SUM(T10:T33)</f>
        <v>6</v>
      </c>
      <c r="U41" s="16">
        <f t="shared" si="33"/>
        <v>33</v>
      </c>
      <c r="V41" s="16">
        <f t="shared" si="33"/>
        <v>38</v>
      </c>
      <c r="W41" s="16">
        <f t="shared" si="33"/>
        <v>3</v>
      </c>
      <c r="X41" s="16">
        <f t="shared" si="33"/>
        <v>4</v>
      </c>
      <c r="Y41" s="16">
        <f t="shared" si="33"/>
        <v>42</v>
      </c>
      <c r="Z41" s="16">
        <f t="shared" si="33"/>
        <v>3</v>
      </c>
      <c r="AA41" s="16">
        <f t="shared" si="33"/>
        <v>5</v>
      </c>
      <c r="AB41" s="16">
        <f t="shared" si="33"/>
        <v>29</v>
      </c>
      <c r="AC41" s="16">
        <f t="shared" si="33"/>
        <v>669</v>
      </c>
      <c r="AD41" s="16">
        <f t="shared" si="33"/>
        <v>0</v>
      </c>
      <c r="AE41" s="32">
        <f t="shared" si="33"/>
        <v>215</v>
      </c>
      <c r="AF41" s="32">
        <f t="shared" si="33"/>
        <v>884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1</v>
      </c>
      <c r="P42" s="15">
        <f t="shared" si="1"/>
        <v>16</v>
      </c>
      <c r="R42" s="5" t="s">
        <v>160</v>
      </c>
      <c r="S42" s="48">
        <f>S41/S40</f>
        <v>1.1818181818181819</v>
      </c>
      <c r="T42" s="48">
        <f t="shared" ref="T42:AF42" si="34">T41/T40</f>
        <v>1.2</v>
      </c>
      <c r="U42" s="48">
        <f t="shared" si="34"/>
        <v>1.375</v>
      </c>
      <c r="V42" s="48">
        <f t="shared" si="34"/>
        <v>1.0857142857142856</v>
      </c>
      <c r="W42" s="48">
        <f t="shared" si="34"/>
        <v>1.5</v>
      </c>
      <c r="X42" s="48">
        <f t="shared" si="34"/>
        <v>2</v>
      </c>
      <c r="Y42" s="48">
        <f t="shared" si="34"/>
        <v>1.4482758620689655</v>
      </c>
      <c r="Z42" s="48">
        <f t="shared" si="34"/>
        <v>3</v>
      </c>
      <c r="AA42" s="48">
        <f t="shared" si="34"/>
        <v>1</v>
      </c>
      <c r="AB42" s="48">
        <f t="shared" si="34"/>
        <v>1.3181818181818181</v>
      </c>
      <c r="AC42" s="48">
        <f t="shared" si="34"/>
        <v>1.4203821656050954</v>
      </c>
      <c r="AD42" s="48" t="e">
        <f t="shared" si="34"/>
        <v>#DIV/0!</v>
      </c>
      <c r="AE42" s="48">
        <f t="shared" si="34"/>
        <v>1.2721893491124261</v>
      </c>
      <c r="AF42" s="48">
        <f t="shared" si="34"/>
        <v>1.3812500000000001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1</v>
      </c>
      <c r="M43" s="50">
        <v>7</v>
      </c>
      <c r="N43" s="50">
        <v>0</v>
      </c>
      <c r="O43" s="15">
        <f t="shared" si="0"/>
        <v>4</v>
      </c>
      <c r="P43" s="15">
        <f t="shared" si="1"/>
        <v>11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1</v>
      </c>
      <c r="M44" s="50">
        <v>13</v>
      </c>
      <c r="N44" s="50">
        <v>0</v>
      </c>
      <c r="O44" s="15">
        <f t="shared" si="0"/>
        <v>4</v>
      </c>
      <c r="P44" s="15">
        <f t="shared" si="1"/>
        <v>17</v>
      </c>
    </row>
    <row r="45" spans="2:32" ht="23.1" customHeight="1" x14ac:dyDescent="0.25">
      <c r="B45" s="45" t="s">
        <v>72</v>
      </c>
      <c r="C45" s="50">
        <v>3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1</v>
      </c>
      <c r="M45" s="50">
        <v>7</v>
      </c>
      <c r="N45" s="50">
        <v>0</v>
      </c>
      <c r="O45" s="15">
        <f t="shared" si="0"/>
        <v>6</v>
      </c>
      <c r="P45" s="15">
        <f t="shared" si="1"/>
        <v>13</v>
      </c>
    </row>
    <row r="46" spans="2:32" ht="23.1" customHeight="1" x14ac:dyDescent="0.25">
      <c r="B46" s="46" t="s">
        <v>73</v>
      </c>
      <c r="C46" s="50">
        <v>3</v>
      </c>
      <c r="D46" s="50">
        <v>0</v>
      </c>
      <c r="E46" s="50">
        <v>1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5">
        <f t="shared" si="0"/>
        <v>6</v>
      </c>
      <c r="P46" s="15">
        <f t="shared" si="1"/>
        <v>18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1</v>
      </c>
      <c r="L47" s="50">
        <v>0</v>
      </c>
      <c r="M47" s="50">
        <v>12</v>
      </c>
      <c r="N47" s="50">
        <v>0</v>
      </c>
      <c r="O47" s="15">
        <f t="shared" si="0"/>
        <v>4</v>
      </c>
      <c r="P47" s="15">
        <f t="shared" si="1"/>
        <v>16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1</v>
      </c>
      <c r="M48" s="50">
        <v>12</v>
      </c>
      <c r="N48" s="50">
        <v>0</v>
      </c>
      <c r="O48" s="15">
        <f t="shared" si="0"/>
        <v>3</v>
      </c>
      <c r="P48" s="15">
        <f t="shared" si="1"/>
        <v>15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1</v>
      </c>
      <c r="M49" s="50">
        <v>9</v>
      </c>
      <c r="N49" s="50">
        <v>0</v>
      </c>
      <c r="O49" s="15">
        <f t="shared" si="0"/>
        <v>4</v>
      </c>
      <c r="P49" s="15">
        <f t="shared" si="1"/>
        <v>13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8</v>
      </c>
      <c r="N50" s="50">
        <v>0</v>
      </c>
      <c r="O50" s="15">
        <f t="shared" si="0"/>
        <v>4</v>
      </c>
      <c r="P50" s="15">
        <f t="shared" si="1"/>
        <v>12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0</v>
      </c>
      <c r="E51" s="50">
        <v>1</v>
      </c>
      <c r="F51" s="50">
        <v>2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5</v>
      </c>
      <c r="P51" s="15">
        <f t="shared" si="1"/>
        <v>13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1</v>
      </c>
      <c r="E52" s="50">
        <v>2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1</v>
      </c>
      <c r="L52" s="50">
        <v>0</v>
      </c>
      <c r="M52" s="50">
        <v>6</v>
      </c>
      <c r="N52" s="50">
        <v>0</v>
      </c>
      <c r="O52" s="15">
        <f t="shared" si="0"/>
        <v>6</v>
      </c>
      <c r="P52" s="15">
        <f t="shared" si="1"/>
        <v>12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1</v>
      </c>
      <c r="M53" s="50">
        <v>10</v>
      </c>
      <c r="N53" s="50">
        <v>0</v>
      </c>
      <c r="O53" s="15">
        <f t="shared" si="0"/>
        <v>6</v>
      </c>
      <c r="P53" s="15">
        <f t="shared" si="1"/>
        <v>16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1</v>
      </c>
      <c r="E54" s="50">
        <v>2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1</v>
      </c>
      <c r="L54" s="50">
        <v>0</v>
      </c>
      <c r="M54" s="50">
        <v>10</v>
      </c>
      <c r="N54" s="50">
        <v>0</v>
      </c>
      <c r="O54" s="15">
        <f t="shared" si="0"/>
        <v>5</v>
      </c>
      <c r="P54" s="15">
        <f t="shared" si="1"/>
        <v>15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14</v>
      </c>
      <c r="N55" s="50">
        <v>0</v>
      </c>
      <c r="O55" s="15">
        <f t="shared" si="0"/>
        <v>2</v>
      </c>
      <c r="P55" s="15">
        <f t="shared" si="1"/>
        <v>16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1</v>
      </c>
      <c r="E56" s="50">
        <v>2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4</v>
      </c>
      <c r="M56" s="50">
        <v>17</v>
      </c>
      <c r="N56" s="50">
        <v>0</v>
      </c>
      <c r="O56" s="15">
        <f t="shared" si="0"/>
        <v>10</v>
      </c>
      <c r="P56" s="15">
        <f t="shared" si="1"/>
        <v>27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4</v>
      </c>
      <c r="P57" s="15">
        <f t="shared" si="1"/>
        <v>16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22</v>
      </c>
      <c r="N58" s="50">
        <v>0</v>
      </c>
      <c r="O58" s="15">
        <f t="shared" si="0"/>
        <v>1</v>
      </c>
      <c r="P58" s="15">
        <f t="shared" si="1"/>
        <v>23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1</v>
      </c>
      <c r="M59" s="50">
        <v>33</v>
      </c>
      <c r="N59" s="50">
        <v>0</v>
      </c>
      <c r="O59" s="15">
        <f t="shared" si="0"/>
        <v>2</v>
      </c>
      <c r="P59" s="15">
        <f t="shared" si="1"/>
        <v>35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4</v>
      </c>
      <c r="J60" s="50">
        <v>0</v>
      </c>
      <c r="K60" s="50">
        <v>0</v>
      </c>
      <c r="L60" s="50">
        <v>3</v>
      </c>
      <c r="M60" s="50">
        <v>12</v>
      </c>
      <c r="N60" s="50">
        <v>0</v>
      </c>
      <c r="O60" s="15">
        <f t="shared" si="0"/>
        <v>8</v>
      </c>
      <c r="P60" s="15">
        <f t="shared" si="1"/>
        <v>20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11</v>
      </c>
      <c r="N61" s="50">
        <v>0</v>
      </c>
      <c r="O61" s="15">
        <f t="shared" si="0"/>
        <v>0</v>
      </c>
      <c r="P61" s="15">
        <f t="shared" si="1"/>
        <v>11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2</v>
      </c>
      <c r="J62" s="50">
        <v>0</v>
      </c>
      <c r="K62" s="50">
        <v>0</v>
      </c>
      <c r="L62" s="50">
        <v>0</v>
      </c>
      <c r="M62" s="50">
        <v>16</v>
      </c>
      <c r="N62" s="50">
        <v>0</v>
      </c>
      <c r="O62" s="15">
        <f t="shared" si="0"/>
        <v>2</v>
      </c>
      <c r="P62" s="15">
        <f t="shared" si="1"/>
        <v>18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9</v>
      </c>
      <c r="N63" s="50">
        <v>0</v>
      </c>
      <c r="O63" s="15">
        <f t="shared" si="0"/>
        <v>1</v>
      </c>
      <c r="P63" s="15">
        <f t="shared" si="1"/>
        <v>10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1</v>
      </c>
      <c r="J64" s="50">
        <v>1</v>
      </c>
      <c r="K64" s="50">
        <v>0</v>
      </c>
      <c r="L64" s="50">
        <v>1</v>
      </c>
      <c r="M64" s="50">
        <v>18</v>
      </c>
      <c r="N64" s="50">
        <v>0</v>
      </c>
      <c r="O64" s="15">
        <f t="shared" si="0"/>
        <v>4</v>
      </c>
      <c r="P64" s="15">
        <f t="shared" si="1"/>
        <v>22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1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1</v>
      </c>
      <c r="M65" s="50">
        <v>9</v>
      </c>
      <c r="N65" s="50">
        <v>0</v>
      </c>
      <c r="O65" s="15">
        <f t="shared" si="0"/>
        <v>2</v>
      </c>
      <c r="P65" s="15">
        <f t="shared" si="1"/>
        <v>11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1</v>
      </c>
      <c r="E66" s="50">
        <v>2</v>
      </c>
      <c r="F66" s="50">
        <v>0</v>
      </c>
      <c r="G66" s="50">
        <v>0</v>
      </c>
      <c r="H66" s="50">
        <v>1</v>
      </c>
      <c r="I66" s="50">
        <v>0</v>
      </c>
      <c r="J66" s="50">
        <v>0</v>
      </c>
      <c r="K66" s="50">
        <v>0</v>
      </c>
      <c r="L66" s="50">
        <v>0</v>
      </c>
      <c r="M66" s="50">
        <v>6</v>
      </c>
      <c r="N66" s="50">
        <v>0</v>
      </c>
      <c r="O66" s="15">
        <f t="shared" si="0"/>
        <v>4</v>
      </c>
      <c r="P66" s="15">
        <f t="shared" si="1"/>
        <v>10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2</v>
      </c>
      <c r="N67" s="50">
        <v>0</v>
      </c>
      <c r="O67" s="15">
        <f t="shared" si="0"/>
        <v>1</v>
      </c>
      <c r="P67" s="15">
        <f t="shared" si="1"/>
        <v>3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0"/>
        <v>1</v>
      </c>
      <c r="P68" s="15">
        <f t="shared" si="1"/>
        <v>2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1</v>
      </c>
      <c r="F69" s="50">
        <v>0</v>
      </c>
      <c r="G69" s="50">
        <v>0</v>
      </c>
      <c r="H69" s="50">
        <v>1</v>
      </c>
      <c r="I69" s="50">
        <v>0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2</v>
      </c>
      <c r="P69" s="15">
        <f t="shared" si="1"/>
        <v>4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1</v>
      </c>
      <c r="G70" s="50">
        <v>0</v>
      </c>
      <c r="H70" s="50">
        <v>0</v>
      </c>
      <c r="I70" s="50">
        <v>1</v>
      </c>
      <c r="J70" s="50">
        <v>1</v>
      </c>
      <c r="K70" s="50">
        <v>0</v>
      </c>
      <c r="L70" s="50">
        <v>0</v>
      </c>
      <c r="M70" s="50">
        <v>3</v>
      </c>
      <c r="N70" s="50">
        <v>0</v>
      </c>
      <c r="O70" s="15">
        <f t="shared" si="0"/>
        <v>4</v>
      </c>
      <c r="P70" s="15">
        <f t="shared" si="1"/>
        <v>7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3</v>
      </c>
      <c r="N71" s="50">
        <v>0</v>
      </c>
      <c r="O71" s="15">
        <f t="shared" si="0"/>
        <v>1</v>
      </c>
      <c r="P71" s="15">
        <f t="shared" si="1"/>
        <v>4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0"/>
        <v>1</v>
      </c>
      <c r="P72" s="15">
        <f t="shared" si="1"/>
        <v>4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1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1</v>
      </c>
      <c r="M73" s="50">
        <v>2</v>
      </c>
      <c r="N73" s="50">
        <v>0</v>
      </c>
      <c r="O73" s="15">
        <f t="shared" si="0"/>
        <v>2</v>
      </c>
      <c r="P73" s="15">
        <f t="shared" si="1"/>
        <v>4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3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3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0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</v>
      </c>
      <c r="N86" s="50">
        <v>0</v>
      </c>
      <c r="O86" s="15">
        <f t="shared" si="35"/>
        <v>0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0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1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1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1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1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0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1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1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0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0</v>
      </c>
      <c r="P100" s="15">
        <f t="shared" si="36"/>
        <v>2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4</v>
      </c>
      <c r="N101" s="50">
        <v>0</v>
      </c>
      <c r="O101" s="15">
        <f t="shared" si="35"/>
        <v>0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1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1</v>
      </c>
      <c r="P102" s="15">
        <f t="shared" si="36"/>
        <v>2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5"/>
        <v>2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10</v>
      </c>
      <c r="N104" s="50">
        <v>0</v>
      </c>
      <c r="O104" s="15">
        <f t="shared" si="35"/>
        <v>0</v>
      </c>
      <c r="P104" s="15">
        <f t="shared" si="36"/>
        <v>10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6</v>
      </c>
      <c r="N105" s="50">
        <v>0</v>
      </c>
      <c r="O105" s="15">
        <f t="shared" si="35"/>
        <v>1</v>
      </c>
      <c r="P105" s="15">
        <f t="shared" si="36"/>
        <v>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52</v>
      </c>
      <c r="D106" s="16">
        <f t="shared" ref="D106:P106" si="37">SUM(D10:D105)</f>
        <v>6</v>
      </c>
      <c r="E106" s="16">
        <f t="shared" si="37"/>
        <v>33</v>
      </c>
      <c r="F106" s="16">
        <f t="shared" si="37"/>
        <v>38</v>
      </c>
      <c r="G106" s="16">
        <f t="shared" si="37"/>
        <v>3</v>
      </c>
      <c r="H106" s="16">
        <f t="shared" si="37"/>
        <v>4</v>
      </c>
      <c r="I106" s="16">
        <f t="shared" si="37"/>
        <v>42</v>
      </c>
      <c r="J106" s="16">
        <f t="shared" si="37"/>
        <v>3</v>
      </c>
      <c r="K106" s="16">
        <f t="shared" si="37"/>
        <v>5</v>
      </c>
      <c r="L106" s="16">
        <f t="shared" si="37"/>
        <v>29</v>
      </c>
      <c r="M106" s="16">
        <f t="shared" si="37"/>
        <v>669</v>
      </c>
      <c r="N106" s="16">
        <f t="shared" si="37"/>
        <v>0</v>
      </c>
      <c r="O106" s="16">
        <f t="shared" si="37"/>
        <v>215</v>
      </c>
      <c r="P106" s="16">
        <f t="shared" si="37"/>
        <v>884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5.8823529411764705E-2</v>
      </c>
      <c r="D107" s="43">
        <f t="shared" si="38"/>
        <v>6.7873303167420816E-3</v>
      </c>
      <c r="E107" s="43">
        <f t="shared" si="38"/>
        <v>3.7330316742081447E-2</v>
      </c>
      <c r="F107" s="43">
        <f t="shared" si="38"/>
        <v>4.2986425339366516E-2</v>
      </c>
      <c r="G107" s="43">
        <f t="shared" si="38"/>
        <v>3.3936651583710408E-3</v>
      </c>
      <c r="H107" s="43">
        <f t="shared" si="38"/>
        <v>4.5248868778280547E-3</v>
      </c>
      <c r="I107" s="43">
        <f t="shared" si="38"/>
        <v>4.7511312217194568E-2</v>
      </c>
      <c r="J107" s="43">
        <f t="shared" si="38"/>
        <v>3.3936651583710408E-3</v>
      </c>
      <c r="K107" s="43">
        <f t="shared" si="38"/>
        <v>5.6561085972850677E-3</v>
      </c>
      <c r="L107" s="43">
        <f t="shared" si="38"/>
        <v>3.2805429864253395E-2</v>
      </c>
      <c r="M107" s="43">
        <f t="shared" si="38"/>
        <v>0.75678733031674206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0.24186046511627907</v>
      </c>
      <c r="D108" s="44">
        <f t="shared" ref="D108:N108" si="39">D106/$O$106</f>
        <v>2.7906976744186046E-2</v>
      </c>
      <c r="E108" s="44">
        <f t="shared" si="39"/>
        <v>0.15348837209302327</v>
      </c>
      <c r="F108" s="44">
        <f t="shared" si="39"/>
        <v>0.17674418604651163</v>
      </c>
      <c r="G108" s="44">
        <f t="shared" si="39"/>
        <v>1.3953488372093023E-2</v>
      </c>
      <c r="H108" s="44">
        <f t="shared" si="39"/>
        <v>1.8604651162790697E-2</v>
      </c>
      <c r="I108" s="44">
        <f t="shared" si="39"/>
        <v>0.19534883720930232</v>
      </c>
      <c r="J108" s="44">
        <f t="shared" si="39"/>
        <v>1.3953488372093023E-2</v>
      </c>
      <c r="K108" s="44">
        <f t="shared" si="39"/>
        <v>2.3255813953488372E-2</v>
      </c>
      <c r="L108" s="44">
        <f t="shared" si="39"/>
        <v>0.13488372093023257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zoomScale="60" workbookViewId="0">
      <selection activeCell="L104" sqref="L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Goli-Nebbi'!C3:G3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5" t="str">
        <f>'02.08 Nebbi-Goli-24h'!G5:H5</f>
        <v>Goli</v>
      </c>
      <c r="H5" s="66"/>
      <c r="I5" s="14"/>
      <c r="J5" s="2" t="s">
        <v>5</v>
      </c>
      <c r="K5" s="65" t="str">
        <f>'02.08 Nebbi-Goli-24h'!K5:L5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'31.07 Goli-Nebbi'!D6:E6</f>
        <v>Goli</v>
      </c>
      <c r="E6" s="66"/>
      <c r="F6" s="2" t="s">
        <v>2</v>
      </c>
      <c r="G6" s="65" t="str">
        <f>'31.07 Goli-Nebbi'!G6:H6</f>
        <v>Nebbi</v>
      </c>
      <c r="H6" s="66"/>
      <c r="J6" s="2" t="s">
        <v>21</v>
      </c>
      <c r="K6" s="65" t="str">
        <f>'02.08 Nebbi-Goli-24h'!K6:L6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1</v>
      </c>
      <c r="F10" s="50">
        <v>2</v>
      </c>
      <c r="G10" s="50">
        <v>0</v>
      </c>
      <c r="H10" s="50">
        <v>0</v>
      </c>
      <c r="I10" s="50">
        <v>4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73" si="0">SUM(C10:L10,N10)</f>
        <v>8</v>
      </c>
      <c r="P10" s="15">
        <f t="shared" ref="P10:P73" si="1">SUM(C10:N10)</f>
        <v>23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3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1</v>
      </c>
      <c r="AC10" s="17">
        <f t="shared" si="2"/>
        <v>53</v>
      </c>
      <c r="AD10" s="17">
        <f t="shared" si="2"/>
        <v>0</v>
      </c>
      <c r="AE10" s="31">
        <f t="shared" si="2"/>
        <v>16</v>
      </c>
      <c r="AF10" s="31">
        <f t="shared" si="2"/>
        <v>69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12</v>
      </c>
      <c r="N11" s="50">
        <v>0</v>
      </c>
      <c r="O11" s="15">
        <f t="shared" si="0"/>
        <v>3</v>
      </c>
      <c r="P11" s="15">
        <f t="shared" si="1"/>
        <v>15</v>
      </c>
      <c r="R11" s="1" t="s">
        <v>7</v>
      </c>
      <c r="S11" s="17">
        <f t="shared" ref="S11:AF11" si="3">SUM(C14:C17)</f>
        <v>4</v>
      </c>
      <c r="T11" s="17">
        <f t="shared" si="3"/>
        <v>2</v>
      </c>
      <c r="U11" s="17">
        <f t="shared" si="3"/>
        <v>5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5</v>
      </c>
      <c r="AC11" s="17">
        <f t="shared" si="3"/>
        <v>52</v>
      </c>
      <c r="AD11" s="17">
        <f t="shared" si="3"/>
        <v>0</v>
      </c>
      <c r="AE11" s="31">
        <f t="shared" si="3"/>
        <v>21</v>
      </c>
      <c r="AF11" s="31">
        <f t="shared" si="3"/>
        <v>73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15</v>
      </c>
      <c r="N12" s="50">
        <v>0</v>
      </c>
      <c r="O12" s="15">
        <f t="shared" si="0"/>
        <v>0</v>
      </c>
      <c r="P12" s="15">
        <f t="shared" si="1"/>
        <v>15</v>
      </c>
      <c r="R12" s="1" t="s">
        <v>8</v>
      </c>
      <c r="S12" s="17">
        <f t="shared" ref="S12:AF12" si="4">SUM(C18:C21)</f>
        <v>3</v>
      </c>
      <c r="T12" s="17">
        <f t="shared" si="4"/>
        <v>0</v>
      </c>
      <c r="U12" s="17">
        <f t="shared" si="4"/>
        <v>3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1</v>
      </c>
      <c r="AB12" s="17">
        <f t="shared" si="4"/>
        <v>3</v>
      </c>
      <c r="AC12" s="17">
        <f t="shared" si="4"/>
        <v>50</v>
      </c>
      <c r="AD12" s="17">
        <f t="shared" si="4"/>
        <v>0</v>
      </c>
      <c r="AE12" s="31">
        <f t="shared" si="4"/>
        <v>20</v>
      </c>
      <c r="AF12" s="31">
        <f t="shared" si="4"/>
        <v>70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11</v>
      </c>
      <c r="N13" s="50">
        <v>0</v>
      </c>
      <c r="O13" s="15">
        <f t="shared" si="0"/>
        <v>5</v>
      </c>
      <c r="P13" s="15">
        <f t="shared" si="1"/>
        <v>16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1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1</v>
      </c>
      <c r="AB13" s="17">
        <f t="shared" si="5"/>
        <v>1</v>
      </c>
      <c r="AC13" s="17">
        <f t="shared" si="5"/>
        <v>55</v>
      </c>
      <c r="AD13" s="17">
        <f t="shared" si="5"/>
        <v>0</v>
      </c>
      <c r="AE13" s="31">
        <f t="shared" si="5"/>
        <v>13</v>
      </c>
      <c r="AF13" s="31">
        <f t="shared" si="5"/>
        <v>68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1</v>
      </c>
      <c r="M14" s="50">
        <v>17</v>
      </c>
      <c r="N14" s="50">
        <v>0</v>
      </c>
      <c r="O14" s="15">
        <f t="shared" si="0"/>
        <v>5</v>
      </c>
      <c r="P14" s="15">
        <f t="shared" si="1"/>
        <v>22</v>
      </c>
      <c r="R14" s="1" t="s">
        <v>10</v>
      </c>
      <c r="S14" s="17">
        <f t="shared" ref="S14:AF14" si="6">SUM(C26:C29)</f>
        <v>5</v>
      </c>
      <c r="T14" s="17">
        <f t="shared" si="6"/>
        <v>1</v>
      </c>
      <c r="U14" s="17">
        <f t="shared" si="6"/>
        <v>4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1</v>
      </c>
      <c r="AA14" s="17">
        <f t="shared" si="6"/>
        <v>1</v>
      </c>
      <c r="AB14" s="17">
        <f t="shared" si="6"/>
        <v>1</v>
      </c>
      <c r="AC14" s="17">
        <f t="shared" si="6"/>
        <v>76</v>
      </c>
      <c r="AD14" s="17">
        <f t="shared" si="6"/>
        <v>0</v>
      </c>
      <c r="AE14" s="31">
        <f t="shared" si="6"/>
        <v>22</v>
      </c>
      <c r="AF14" s="31">
        <f t="shared" si="6"/>
        <v>98</v>
      </c>
    </row>
    <row r="15" spans="2:32" ht="23.1" customHeight="1" x14ac:dyDescent="0.25">
      <c r="B15" s="45" t="s">
        <v>42</v>
      </c>
      <c r="C15" s="50">
        <v>1</v>
      </c>
      <c r="D15" s="50">
        <v>1</v>
      </c>
      <c r="E15" s="50">
        <v>2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1</v>
      </c>
      <c r="M15" s="50">
        <v>7</v>
      </c>
      <c r="N15" s="50">
        <v>0</v>
      </c>
      <c r="O15" s="15">
        <f t="shared" si="0"/>
        <v>6</v>
      </c>
      <c r="P15" s="15">
        <f t="shared" si="1"/>
        <v>13</v>
      </c>
      <c r="R15" s="1" t="s">
        <v>11</v>
      </c>
      <c r="S15" s="17">
        <f t="shared" ref="S15:AF15" si="7">SUM(C30:C33)</f>
        <v>3</v>
      </c>
      <c r="T15" s="17">
        <f t="shared" si="7"/>
        <v>1</v>
      </c>
      <c r="U15" s="17">
        <f t="shared" si="7"/>
        <v>3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1</v>
      </c>
      <c r="AC15" s="17">
        <f t="shared" si="7"/>
        <v>46</v>
      </c>
      <c r="AD15" s="17">
        <f t="shared" si="7"/>
        <v>0</v>
      </c>
      <c r="AE15" s="31">
        <f t="shared" si="7"/>
        <v>10</v>
      </c>
      <c r="AF15" s="31">
        <f t="shared" si="7"/>
        <v>56</v>
      </c>
    </row>
    <row r="16" spans="2:32" ht="23.1" customHeight="1" x14ac:dyDescent="0.25">
      <c r="B16" s="45" t="s">
        <v>43</v>
      </c>
      <c r="C16" s="50">
        <v>1</v>
      </c>
      <c r="D16" s="50">
        <v>1</v>
      </c>
      <c r="E16" s="50">
        <v>2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2</v>
      </c>
      <c r="M16" s="50">
        <v>10</v>
      </c>
      <c r="N16" s="50">
        <v>0</v>
      </c>
      <c r="O16" s="15">
        <f t="shared" si="0"/>
        <v>7</v>
      </c>
      <c r="P16" s="15">
        <f t="shared" si="1"/>
        <v>17</v>
      </c>
      <c r="R16" s="1" t="s">
        <v>12</v>
      </c>
      <c r="S16" s="17">
        <f t="shared" ref="S16:AF16" si="8">SUM(C34:C37)</f>
        <v>3</v>
      </c>
      <c r="T16" s="17">
        <f t="shared" si="8"/>
        <v>1</v>
      </c>
      <c r="U16" s="17">
        <f t="shared" si="8"/>
        <v>4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1</v>
      </c>
      <c r="AC16" s="17">
        <f t="shared" si="8"/>
        <v>58</v>
      </c>
      <c r="AD16" s="17">
        <f t="shared" si="8"/>
        <v>0</v>
      </c>
      <c r="AE16" s="31">
        <f t="shared" si="8"/>
        <v>17</v>
      </c>
      <c r="AF16" s="31">
        <f t="shared" si="8"/>
        <v>75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1</v>
      </c>
      <c r="M17" s="50">
        <v>18</v>
      </c>
      <c r="N17" s="50">
        <v>0</v>
      </c>
      <c r="O17" s="15">
        <f t="shared" si="0"/>
        <v>3</v>
      </c>
      <c r="P17" s="15">
        <f t="shared" si="1"/>
        <v>21</v>
      </c>
      <c r="R17" s="1" t="s">
        <v>13</v>
      </c>
      <c r="S17" s="17">
        <f t="shared" ref="S17:AF17" si="9">SUM(C38:C41)</f>
        <v>7</v>
      </c>
      <c r="T17" s="17">
        <f t="shared" si="9"/>
        <v>2</v>
      </c>
      <c r="U17" s="17">
        <f t="shared" si="9"/>
        <v>4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2</v>
      </c>
      <c r="AC17" s="17">
        <f t="shared" si="9"/>
        <v>37</v>
      </c>
      <c r="AD17" s="17">
        <f t="shared" si="9"/>
        <v>0</v>
      </c>
      <c r="AE17" s="31">
        <f t="shared" si="9"/>
        <v>23</v>
      </c>
      <c r="AF17" s="31">
        <f t="shared" si="9"/>
        <v>60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1</v>
      </c>
      <c r="P18" s="15">
        <f t="shared" si="1"/>
        <v>12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37</v>
      </c>
      <c r="AD18" s="17">
        <f t="shared" si="10"/>
        <v>0</v>
      </c>
      <c r="AE18" s="31">
        <f t="shared" si="10"/>
        <v>9</v>
      </c>
      <c r="AF18" s="31">
        <f t="shared" si="10"/>
        <v>46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1</v>
      </c>
      <c r="F19" s="50">
        <v>3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7</v>
      </c>
      <c r="P19" s="15">
        <f t="shared" si="1"/>
        <v>22</v>
      </c>
      <c r="R19" s="1" t="s">
        <v>15</v>
      </c>
      <c r="S19" s="17">
        <f t="shared" ref="S19:AF19" si="11">SUM(C46:C49)</f>
        <v>6</v>
      </c>
      <c r="T19" s="17">
        <f t="shared" si="11"/>
        <v>0</v>
      </c>
      <c r="U19" s="17">
        <f t="shared" si="11"/>
        <v>3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49</v>
      </c>
      <c r="AD19" s="17">
        <f t="shared" si="11"/>
        <v>0</v>
      </c>
      <c r="AE19" s="31">
        <f t="shared" si="11"/>
        <v>14</v>
      </c>
      <c r="AF19" s="31">
        <f t="shared" si="11"/>
        <v>63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1</v>
      </c>
      <c r="M20" s="50">
        <v>13</v>
      </c>
      <c r="N20" s="50">
        <v>0</v>
      </c>
      <c r="O20" s="15">
        <f t="shared" si="0"/>
        <v>4</v>
      </c>
      <c r="P20" s="15">
        <f t="shared" si="1"/>
        <v>17</v>
      </c>
      <c r="R20" s="1" t="s">
        <v>16</v>
      </c>
      <c r="S20" s="17">
        <f t="shared" ref="S20:AF20" si="12">SUM(C50:C53)</f>
        <v>11</v>
      </c>
      <c r="T20" s="17">
        <f t="shared" si="12"/>
        <v>0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2</v>
      </c>
      <c r="AC20" s="17">
        <f t="shared" si="12"/>
        <v>55</v>
      </c>
      <c r="AD20" s="17">
        <f t="shared" si="12"/>
        <v>0</v>
      </c>
      <c r="AE20" s="31">
        <f t="shared" si="12"/>
        <v>17</v>
      </c>
      <c r="AF20" s="31">
        <f t="shared" si="12"/>
        <v>72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3</v>
      </c>
      <c r="J21" s="50">
        <v>0</v>
      </c>
      <c r="K21" s="50">
        <v>1</v>
      </c>
      <c r="L21" s="50">
        <v>2</v>
      </c>
      <c r="M21" s="50">
        <v>11</v>
      </c>
      <c r="N21" s="50">
        <v>0</v>
      </c>
      <c r="O21" s="15">
        <f t="shared" si="0"/>
        <v>8</v>
      </c>
      <c r="P21" s="15">
        <f t="shared" si="1"/>
        <v>19</v>
      </c>
      <c r="R21" s="36" t="s">
        <v>20</v>
      </c>
      <c r="S21" s="34">
        <f t="shared" ref="S21:AF21" si="13">SUM(C54:C57)</f>
        <v>8</v>
      </c>
      <c r="T21" s="17">
        <f t="shared" si="13"/>
        <v>1</v>
      </c>
      <c r="U21" s="17">
        <f t="shared" si="13"/>
        <v>3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2</v>
      </c>
      <c r="AB21" s="17">
        <f t="shared" si="13"/>
        <v>2</v>
      </c>
      <c r="AC21" s="17">
        <f t="shared" si="13"/>
        <v>56</v>
      </c>
      <c r="AD21" s="17">
        <f t="shared" si="13"/>
        <v>0</v>
      </c>
      <c r="AE21" s="31">
        <f t="shared" si="13"/>
        <v>20</v>
      </c>
      <c r="AF21" s="31">
        <f t="shared" si="13"/>
        <v>76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1</v>
      </c>
      <c r="L22" s="50">
        <v>0</v>
      </c>
      <c r="M22" s="50">
        <v>13</v>
      </c>
      <c r="N22" s="50">
        <v>0</v>
      </c>
      <c r="O22" s="15">
        <f t="shared" si="0"/>
        <v>4</v>
      </c>
      <c r="P22" s="15">
        <f t="shared" si="1"/>
        <v>17</v>
      </c>
      <c r="R22" s="36" t="s">
        <v>146</v>
      </c>
      <c r="S22" s="34">
        <f>SUM(C58:C61)</f>
        <v>5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2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1</v>
      </c>
      <c r="AC22" s="34">
        <f t="shared" si="14"/>
        <v>33</v>
      </c>
      <c r="AD22" s="34">
        <f t="shared" si="14"/>
        <v>0</v>
      </c>
      <c r="AE22" s="31">
        <f t="shared" si="14"/>
        <v>9</v>
      </c>
      <c r="AF22" s="31">
        <f t="shared" si="14"/>
        <v>42</v>
      </c>
    </row>
    <row r="23" spans="2:32" ht="23.1" customHeight="1" x14ac:dyDescent="0.25">
      <c r="B23" s="45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15</v>
      </c>
      <c r="N23" s="50">
        <v>0</v>
      </c>
      <c r="O23" s="15">
        <f t="shared" si="0"/>
        <v>3</v>
      </c>
      <c r="P23" s="15">
        <f t="shared" si="1"/>
        <v>18</v>
      </c>
      <c r="R23" s="36" t="s">
        <v>147</v>
      </c>
      <c r="S23" s="34">
        <f>SUM(C62:C65)</f>
        <v>4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2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0</v>
      </c>
      <c r="AB23" s="34">
        <f t="shared" si="15"/>
        <v>3</v>
      </c>
      <c r="AC23" s="34">
        <f t="shared" si="15"/>
        <v>34</v>
      </c>
      <c r="AD23" s="34">
        <f t="shared" si="15"/>
        <v>0</v>
      </c>
      <c r="AE23" s="31">
        <f t="shared" si="15"/>
        <v>10</v>
      </c>
      <c r="AF23" s="31">
        <f t="shared" si="15"/>
        <v>44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1</v>
      </c>
      <c r="M24" s="50">
        <v>7</v>
      </c>
      <c r="N24" s="50">
        <v>0</v>
      </c>
      <c r="O24" s="15">
        <f t="shared" si="0"/>
        <v>3</v>
      </c>
      <c r="P24" s="15">
        <f t="shared" si="1"/>
        <v>10</v>
      </c>
      <c r="R24" s="36" t="s">
        <v>148</v>
      </c>
      <c r="S24" s="34">
        <f>SUM(C66:C69)</f>
        <v>8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1</v>
      </c>
      <c r="AB24" s="34">
        <f t="shared" si="16"/>
        <v>1</v>
      </c>
      <c r="AC24" s="34">
        <f t="shared" si="16"/>
        <v>50</v>
      </c>
      <c r="AD24" s="34">
        <f t="shared" si="16"/>
        <v>0</v>
      </c>
      <c r="AE24" s="31">
        <f t="shared" si="16"/>
        <v>13</v>
      </c>
      <c r="AF24" s="31">
        <f t="shared" si="16"/>
        <v>63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20</v>
      </c>
      <c r="N25" s="50">
        <v>0</v>
      </c>
      <c r="O25" s="15">
        <f t="shared" si="0"/>
        <v>3</v>
      </c>
      <c r="P25" s="15">
        <f t="shared" si="1"/>
        <v>23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1</v>
      </c>
      <c r="W25" s="34">
        <f t="shared" si="17"/>
        <v>0</v>
      </c>
      <c r="X25" s="34">
        <f t="shared" si="17"/>
        <v>1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1</v>
      </c>
      <c r="AC25" s="34">
        <f t="shared" si="17"/>
        <v>25</v>
      </c>
      <c r="AD25" s="34">
        <f t="shared" si="17"/>
        <v>0</v>
      </c>
      <c r="AE25" s="31">
        <f t="shared" si="17"/>
        <v>6</v>
      </c>
      <c r="AF25" s="31">
        <f t="shared" si="17"/>
        <v>31</v>
      </c>
    </row>
    <row r="26" spans="2:32" ht="23.1" customHeight="1" x14ac:dyDescent="0.25">
      <c r="B26" s="45" t="s">
        <v>53</v>
      </c>
      <c r="C26" s="50">
        <v>2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0</v>
      </c>
      <c r="M26" s="50">
        <v>27</v>
      </c>
      <c r="N26" s="50">
        <v>0</v>
      </c>
      <c r="O26" s="15">
        <f t="shared" si="0"/>
        <v>6</v>
      </c>
      <c r="P26" s="15">
        <f t="shared" si="1"/>
        <v>33</v>
      </c>
      <c r="R26" s="36" t="s">
        <v>150</v>
      </c>
      <c r="S26" s="34">
        <f>SUM(C74:C77)</f>
        <v>6</v>
      </c>
      <c r="T26" s="34">
        <f t="shared" ref="T26:AF26" si="18">SUM(D74:D77)</f>
        <v>0</v>
      </c>
      <c r="U26" s="34">
        <f t="shared" si="18"/>
        <v>2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1</v>
      </c>
      <c r="AC26" s="34">
        <f t="shared" si="18"/>
        <v>10</v>
      </c>
      <c r="AD26" s="34">
        <f t="shared" si="18"/>
        <v>0</v>
      </c>
      <c r="AE26" s="31">
        <f t="shared" si="18"/>
        <v>9</v>
      </c>
      <c r="AF26" s="31">
        <f t="shared" si="18"/>
        <v>19</v>
      </c>
    </row>
    <row r="27" spans="2:32" ht="23.1" customHeight="1" x14ac:dyDescent="0.25">
      <c r="B27" s="45" t="s">
        <v>54</v>
      </c>
      <c r="C27" s="50">
        <v>2</v>
      </c>
      <c r="D27" s="50">
        <v>1</v>
      </c>
      <c r="E27" s="50">
        <v>2</v>
      </c>
      <c r="F27" s="50">
        <v>0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8</v>
      </c>
      <c r="P27" s="15">
        <f t="shared" si="1"/>
        <v>18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2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</v>
      </c>
      <c r="AD27" s="34">
        <f t="shared" si="19"/>
        <v>0</v>
      </c>
      <c r="AE27" s="31">
        <f t="shared" si="19"/>
        <v>3</v>
      </c>
      <c r="AF27" s="31">
        <f t="shared" si="19"/>
        <v>10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17</v>
      </c>
      <c r="N28" s="50">
        <v>0</v>
      </c>
      <c r="O28" s="15">
        <f t="shared" si="0"/>
        <v>4</v>
      </c>
      <c r="P28" s="15">
        <f t="shared" si="1"/>
        <v>21</v>
      </c>
      <c r="R28" s="36" t="s">
        <v>152</v>
      </c>
      <c r="S28" s="34">
        <f>SUM(C82:C85)</f>
        <v>4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1</v>
      </c>
      <c r="AC28" s="34">
        <f t="shared" si="20"/>
        <v>1</v>
      </c>
      <c r="AD28" s="34">
        <f t="shared" si="20"/>
        <v>0</v>
      </c>
      <c r="AE28" s="31">
        <f t="shared" si="20"/>
        <v>6</v>
      </c>
      <c r="AF28" s="31">
        <f t="shared" si="20"/>
        <v>7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1</v>
      </c>
      <c r="M29" s="50">
        <v>22</v>
      </c>
      <c r="N29" s="50">
        <v>0</v>
      </c>
      <c r="O29" s="15">
        <f t="shared" si="0"/>
        <v>4</v>
      </c>
      <c r="P29" s="15">
        <f t="shared" si="1"/>
        <v>26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2</v>
      </c>
      <c r="AA29" s="34">
        <f t="shared" si="21"/>
        <v>0</v>
      </c>
      <c r="AB29" s="34">
        <f t="shared" si="21"/>
        <v>1</v>
      </c>
      <c r="AC29" s="34">
        <f t="shared" si="21"/>
        <v>2</v>
      </c>
      <c r="AD29" s="34">
        <f t="shared" si="21"/>
        <v>0</v>
      </c>
      <c r="AE29" s="31">
        <f t="shared" si="21"/>
        <v>3</v>
      </c>
      <c r="AF29" s="31">
        <f t="shared" si="21"/>
        <v>5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1</v>
      </c>
      <c r="M30" s="50">
        <v>13</v>
      </c>
      <c r="N30" s="50">
        <v>0</v>
      </c>
      <c r="O30" s="15">
        <f t="shared" si="0"/>
        <v>1</v>
      </c>
      <c r="P30" s="15">
        <f t="shared" si="1"/>
        <v>14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1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2</v>
      </c>
      <c r="AC30" s="34">
        <f t="shared" si="22"/>
        <v>2</v>
      </c>
      <c r="AD30" s="34">
        <f t="shared" si="22"/>
        <v>0</v>
      </c>
      <c r="AE30" s="31">
        <f t="shared" si="22"/>
        <v>3</v>
      </c>
      <c r="AF30" s="31">
        <f t="shared" si="22"/>
        <v>5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2</v>
      </c>
      <c r="P31" s="15">
        <f t="shared" si="1"/>
        <v>16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2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2</v>
      </c>
      <c r="AC31" s="34">
        <f t="shared" si="23"/>
        <v>3</v>
      </c>
      <c r="AD31" s="34">
        <f t="shared" si="23"/>
        <v>0</v>
      </c>
      <c r="AE31" s="31">
        <f t="shared" si="23"/>
        <v>5</v>
      </c>
      <c r="AF31" s="31">
        <f t="shared" si="23"/>
        <v>8</v>
      </c>
    </row>
    <row r="32" spans="2:32" ht="23.1" customHeight="1" x14ac:dyDescent="0.25">
      <c r="B32" s="46" t="s">
        <v>59</v>
      </c>
      <c r="C32" s="50">
        <v>0</v>
      </c>
      <c r="D32" s="50">
        <v>1</v>
      </c>
      <c r="E32" s="50">
        <v>3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5</v>
      </c>
      <c r="P32" s="15">
        <f t="shared" si="1"/>
        <v>15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2</v>
      </c>
      <c r="AC32" s="34">
        <f t="shared" si="24"/>
        <v>1</v>
      </c>
      <c r="AD32" s="34">
        <f t="shared" si="24"/>
        <v>0</v>
      </c>
      <c r="AE32" s="31">
        <f t="shared" si="24"/>
        <v>3</v>
      </c>
      <c r="AF32" s="31">
        <f t="shared" si="24"/>
        <v>4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9</v>
      </c>
      <c r="N33" s="50">
        <v>0</v>
      </c>
      <c r="O33" s="15">
        <f t="shared" si="0"/>
        <v>2</v>
      </c>
      <c r="P33" s="15">
        <f t="shared" si="1"/>
        <v>11</v>
      </c>
      <c r="R33" s="33" t="s">
        <v>157</v>
      </c>
      <c r="S33" s="34">
        <f>SUM(C102:C105)</f>
        <v>4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2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1</v>
      </c>
      <c r="AC33" s="34">
        <f t="shared" si="25"/>
        <v>7</v>
      </c>
      <c r="AD33" s="34">
        <f t="shared" si="25"/>
        <v>0</v>
      </c>
      <c r="AE33" s="31">
        <f t="shared" si="25"/>
        <v>7</v>
      </c>
      <c r="AF33" s="31">
        <f t="shared" si="25"/>
        <v>14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1</v>
      </c>
      <c r="M34" s="50">
        <v>22</v>
      </c>
      <c r="N34" s="50">
        <v>0</v>
      </c>
      <c r="O34" s="15">
        <f t="shared" si="0"/>
        <v>5</v>
      </c>
      <c r="P34" s="15">
        <f t="shared" si="1"/>
        <v>27</v>
      </c>
      <c r="R34" s="38" t="s">
        <v>90</v>
      </c>
      <c r="S34" s="39">
        <f t="shared" ref="S34:AF34" si="26">MAX(S10:S12)</f>
        <v>4</v>
      </c>
      <c r="T34" s="39">
        <f t="shared" si="26"/>
        <v>2</v>
      </c>
      <c r="U34" s="39">
        <f t="shared" si="26"/>
        <v>5</v>
      </c>
      <c r="V34" s="39">
        <f t="shared" si="26"/>
        <v>4</v>
      </c>
      <c r="W34" s="39">
        <f t="shared" si="26"/>
        <v>0</v>
      </c>
      <c r="X34" s="39">
        <f t="shared" si="26"/>
        <v>0</v>
      </c>
      <c r="Y34" s="39">
        <f t="shared" si="26"/>
        <v>6</v>
      </c>
      <c r="Z34" s="39">
        <f t="shared" si="26"/>
        <v>0</v>
      </c>
      <c r="AA34" s="39">
        <f t="shared" si="26"/>
        <v>1</v>
      </c>
      <c r="AB34" s="39">
        <f t="shared" si="26"/>
        <v>5</v>
      </c>
      <c r="AC34" s="39">
        <f t="shared" si="26"/>
        <v>53</v>
      </c>
      <c r="AD34" s="39">
        <f t="shared" si="26"/>
        <v>0</v>
      </c>
      <c r="AE34" s="40">
        <f t="shared" si="26"/>
        <v>21</v>
      </c>
      <c r="AF34" s="40">
        <f t="shared" si="26"/>
        <v>73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12</v>
      </c>
      <c r="N35" s="50">
        <v>0</v>
      </c>
      <c r="O35" s="15">
        <f t="shared" si="0"/>
        <v>1</v>
      </c>
      <c r="P35" s="15">
        <f t="shared" si="1"/>
        <v>13</v>
      </c>
      <c r="R35" s="38" t="s">
        <v>91</v>
      </c>
      <c r="S35" s="39">
        <f t="shared" ref="S35:AF35" si="27">MAX(S13:S18)</f>
        <v>7</v>
      </c>
      <c r="T35" s="39">
        <f t="shared" si="27"/>
        <v>2</v>
      </c>
      <c r="U35" s="39">
        <f t="shared" si="27"/>
        <v>4</v>
      </c>
      <c r="V35" s="39">
        <f t="shared" si="27"/>
        <v>5</v>
      </c>
      <c r="W35" s="39">
        <f t="shared" si="27"/>
        <v>0</v>
      </c>
      <c r="X35" s="39">
        <f t="shared" si="27"/>
        <v>0</v>
      </c>
      <c r="Y35" s="39">
        <f t="shared" si="27"/>
        <v>9</v>
      </c>
      <c r="Z35" s="39">
        <f t="shared" si="27"/>
        <v>1</v>
      </c>
      <c r="AA35" s="39">
        <f t="shared" si="27"/>
        <v>1</v>
      </c>
      <c r="AB35" s="39">
        <f t="shared" si="27"/>
        <v>2</v>
      </c>
      <c r="AC35" s="39">
        <f t="shared" si="27"/>
        <v>76</v>
      </c>
      <c r="AD35" s="39">
        <f t="shared" si="27"/>
        <v>0</v>
      </c>
      <c r="AE35" s="40">
        <f t="shared" si="27"/>
        <v>23</v>
      </c>
      <c r="AF35" s="40">
        <f t="shared" si="27"/>
        <v>98</v>
      </c>
    </row>
    <row r="36" spans="2:32" ht="23.1" customHeight="1" x14ac:dyDescent="0.25">
      <c r="B36" s="46" t="s">
        <v>63</v>
      </c>
      <c r="C36" s="50">
        <v>1</v>
      </c>
      <c r="D36" s="50">
        <v>1</v>
      </c>
      <c r="E36" s="50">
        <v>2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6</v>
      </c>
      <c r="P36" s="15">
        <f t="shared" si="1"/>
        <v>20</v>
      </c>
      <c r="R36" s="38" t="s">
        <v>92</v>
      </c>
      <c r="S36" s="39">
        <f t="shared" ref="S36:AF36" si="28">MAX(S19:S21)</f>
        <v>11</v>
      </c>
      <c r="T36" s="39">
        <f t="shared" si="28"/>
        <v>1</v>
      </c>
      <c r="U36" s="39">
        <f t="shared" si="28"/>
        <v>3</v>
      </c>
      <c r="V36" s="39">
        <f t="shared" si="28"/>
        <v>2</v>
      </c>
      <c r="W36" s="39">
        <f t="shared" si="28"/>
        <v>0</v>
      </c>
      <c r="X36" s="39">
        <f t="shared" si="28"/>
        <v>0</v>
      </c>
      <c r="Y36" s="39">
        <f t="shared" si="28"/>
        <v>3</v>
      </c>
      <c r="Z36" s="39">
        <f t="shared" si="28"/>
        <v>0</v>
      </c>
      <c r="AA36" s="39">
        <f t="shared" si="28"/>
        <v>2</v>
      </c>
      <c r="AB36" s="39">
        <f t="shared" si="28"/>
        <v>2</v>
      </c>
      <c r="AC36" s="39">
        <f t="shared" si="28"/>
        <v>56</v>
      </c>
      <c r="AD36" s="39">
        <f t="shared" si="28"/>
        <v>0</v>
      </c>
      <c r="AE36" s="40">
        <f t="shared" si="28"/>
        <v>20</v>
      </c>
      <c r="AF36" s="40">
        <f t="shared" si="28"/>
        <v>76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1</v>
      </c>
      <c r="F37" s="50">
        <v>2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5</v>
      </c>
      <c r="P37" s="15">
        <f t="shared" si="1"/>
        <v>15</v>
      </c>
      <c r="R37" s="37" t="s">
        <v>85</v>
      </c>
      <c r="S37" s="35">
        <f t="shared" ref="S37:AF37" si="29">SUM(S10:S12)</f>
        <v>11</v>
      </c>
      <c r="T37" s="16">
        <f t="shared" si="29"/>
        <v>2</v>
      </c>
      <c r="U37" s="16">
        <f t="shared" si="29"/>
        <v>11</v>
      </c>
      <c r="V37" s="16">
        <f t="shared" si="29"/>
        <v>9</v>
      </c>
      <c r="W37" s="16">
        <f t="shared" si="29"/>
        <v>0</v>
      </c>
      <c r="X37" s="16">
        <f t="shared" si="29"/>
        <v>0</v>
      </c>
      <c r="Y37" s="16">
        <f t="shared" si="29"/>
        <v>14</v>
      </c>
      <c r="Z37" s="16">
        <f t="shared" si="29"/>
        <v>0</v>
      </c>
      <c r="AA37" s="16">
        <f t="shared" si="29"/>
        <v>1</v>
      </c>
      <c r="AB37" s="16">
        <f t="shared" si="29"/>
        <v>9</v>
      </c>
      <c r="AC37" s="16">
        <f t="shared" si="29"/>
        <v>155</v>
      </c>
      <c r="AD37" s="16">
        <f t="shared" si="29"/>
        <v>0</v>
      </c>
      <c r="AE37" s="32">
        <f t="shared" si="29"/>
        <v>57</v>
      </c>
      <c r="AF37" s="32">
        <f t="shared" si="29"/>
        <v>212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3</v>
      </c>
      <c r="P38" s="15">
        <f t="shared" si="1"/>
        <v>16</v>
      </c>
      <c r="R38" s="28" t="s">
        <v>86</v>
      </c>
      <c r="S38" s="16">
        <f t="shared" ref="S38:AF38" si="30">SUM(S13:S18)</f>
        <v>26</v>
      </c>
      <c r="T38" s="16">
        <f t="shared" si="30"/>
        <v>5</v>
      </c>
      <c r="U38" s="16">
        <f t="shared" si="30"/>
        <v>17</v>
      </c>
      <c r="V38" s="16">
        <f t="shared" si="30"/>
        <v>11</v>
      </c>
      <c r="W38" s="16">
        <f t="shared" si="30"/>
        <v>0</v>
      </c>
      <c r="X38" s="16">
        <f t="shared" si="30"/>
        <v>0</v>
      </c>
      <c r="Y38" s="16">
        <f t="shared" si="30"/>
        <v>25</v>
      </c>
      <c r="Z38" s="16">
        <f t="shared" si="30"/>
        <v>1</v>
      </c>
      <c r="AA38" s="16">
        <f t="shared" si="30"/>
        <v>2</v>
      </c>
      <c r="AB38" s="16">
        <f t="shared" si="30"/>
        <v>7</v>
      </c>
      <c r="AC38" s="16">
        <f t="shared" si="30"/>
        <v>309</v>
      </c>
      <c r="AD38" s="16">
        <f t="shared" si="30"/>
        <v>0</v>
      </c>
      <c r="AE38" s="32">
        <f t="shared" si="30"/>
        <v>94</v>
      </c>
      <c r="AF38" s="32">
        <f t="shared" si="30"/>
        <v>403</v>
      </c>
    </row>
    <row r="39" spans="2:32" ht="23.1" customHeight="1" x14ac:dyDescent="0.25">
      <c r="B39" s="46" t="s">
        <v>66</v>
      </c>
      <c r="C39" s="50">
        <v>1</v>
      </c>
      <c r="D39" s="50">
        <v>1</v>
      </c>
      <c r="E39" s="50">
        <v>2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5</v>
      </c>
      <c r="P39" s="15">
        <f t="shared" si="1"/>
        <v>15</v>
      </c>
      <c r="R39" s="29" t="s">
        <v>87</v>
      </c>
      <c r="S39" s="16">
        <f t="shared" ref="S39:AF39" si="31">SUM(S19:S21)</f>
        <v>25</v>
      </c>
      <c r="T39" s="16">
        <f t="shared" si="31"/>
        <v>1</v>
      </c>
      <c r="U39" s="16">
        <f t="shared" si="31"/>
        <v>7</v>
      </c>
      <c r="V39" s="16">
        <f t="shared" si="31"/>
        <v>4</v>
      </c>
      <c r="W39" s="16">
        <f t="shared" si="31"/>
        <v>0</v>
      </c>
      <c r="X39" s="16">
        <f t="shared" si="31"/>
        <v>0</v>
      </c>
      <c r="Y39" s="16">
        <f t="shared" si="31"/>
        <v>7</v>
      </c>
      <c r="Z39" s="16">
        <f t="shared" si="31"/>
        <v>0</v>
      </c>
      <c r="AA39" s="16">
        <f t="shared" si="31"/>
        <v>2</v>
      </c>
      <c r="AB39" s="16">
        <f t="shared" si="31"/>
        <v>5</v>
      </c>
      <c r="AC39" s="16">
        <f t="shared" si="31"/>
        <v>160</v>
      </c>
      <c r="AD39" s="16">
        <f t="shared" si="31"/>
        <v>0</v>
      </c>
      <c r="AE39" s="32">
        <f t="shared" si="31"/>
        <v>51</v>
      </c>
      <c r="AF39" s="32">
        <f t="shared" si="31"/>
        <v>211</v>
      </c>
    </row>
    <row r="40" spans="2:32" ht="23.1" customHeight="1" x14ac:dyDescent="0.25">
      <c r="B40" s="46" t="s">
        <v>67</v>
      </c>
      <c r="C40" s="50">
        <v>5</v>
      </c>
      <c r="D40" s="50">
        <v>1</v>
      </c>
      <c r="E40" s="50">
        <v>2</v>
      </c>
      <c r="F40" s="50">
        <v>1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12</v>
      </c>
      <c r="P40" s="15">
        <f t="shared" si="1"/>
        <v>21</v>
      </c>
      <c r="R40" s="5" t="s">
        <v>17</v>
      </c>
      <c r="S40" s="16">
        <f t="shared" ref="S40:AF40" si="32">SUM(S10:S21)</f>
        <v>62</v>
      </c>
      <c r="T40" s="16">
        <f t="shared" si="32"/>
        <v>8</v>
      </c>
      <c r="U40" s="16">
        <f t="shared" si="32"/>
        <v>35</v>
      </c>
      <c r="V40" s="16">
        <f t="shared" si="32"/>
        <v>24</v>
      </c>
      <c r="W40" s="16">
        <f t="shared" si="32"/>
        <v>0</v>
      </c>
      <c r="X40" s="16">
        <f t="shared" si="32"/>
        <v>0</v>
      </c>
      <c r="Y40" s="16">
        <f t="shared" si="32"/>
        <v>46</v>
      </c>
      <c r="Z40" s="16">
        <f t="shared" si="32"/>
        <v>1</v>
      </c>
      <c r="AA40" s="16">
        <f t="shared" si="32"/>
        <v>5</v>
      </c>
      <c r="AB40" s="16">
        <f t="shared" si="32"/>
        <v>21</v>
      </c>
      <c r="AC40" s="16">
        <f t="shared" si="32"/>
        <v>624</v>
      </c>
      <c r="AD40" s="16">
        <f t="shared" si="32"/>
        <v>0</v>
      </c>
      <c r="AE40" s="32">
        <f t="shared" si="32"/>
        <v>202</v>
      </c>
      <c r="AF40" s="32">
        <f t="shared" si="32"/>
        <v>826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2</v>
      </c>
      <c r="M41" s="50">
        <v>5</v>
      </c>
      <c r="N41" s="50">
        <v>0</v>
      </c>
      <c r="O41" s="15">
        <f t="shared" si="0"/>
        <v>3</v>
      </c>
      <c r="P41" s="15">
        <f t="shared" si="1"/>
        <v>8</v>
      </c>
      <c r="R41" s="5" t="s">
        <v>159</v>
      </c>
      <c r="S41" s="16">
        <f>SUM(S10:S33)</f>
        <v>94</v>
      </c>
      <c r="T41" s="16">
        <f t="shared" ref="T41:AF41" si="33">SUM(T10:T33)</f>
        <v>8</v>
      </c>
      <c r="U41" s="16">
        <f t="shared" si="33"/>
        <v>42</v>
      </c>
      <c r="V41" s="16">
        <f t="shared" si="33"/>
        <v>26</v>
      </c>
      <c r="W41" s="16">
        <f t="shared" si="33"/>
        <v>3</v>
      </c>
      <c r="X41" s="16">
        <f t="shared" si="33"/>
        <v>7</v>
      </c>
      <c r="Y41" s="16">
        <f t="shared" si="33"/>
        <v>53</v>
      </c>
      <c r="Z41" s="16">
        <f t="shared" si="33"/>
        <v>3</v>
      </c>
      <c r="AA41" s="16">
        <f t="shared" si="33"/>
        <v>6</v>
      </c>
      <c r="AB41" s="16">
        <f t="shared" si="33"/>
        <v>37</v>
      </c>
      <c r="AC41" s="16">
        <f t="shared" si="33"/>
        <v>799</v>
      </c>
      <c r="AD41" s="16">
        <f t="shared" si="33"/>
        <v>0</v>
      </c>
      <c r="AE41" s="32">
        <f t="shared" si="33"/>
        <v>279</v>
      </c>
      <c r="AF41" s="32">
        <f t="shared" si="33"/>
        <v>1078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16</v>
      </c>
      <c r="N42" s="50">
        <v>0</v>
      </c>
      <c r="O42" s="15">
        <f t="shared" si="0"/>
        <v>2</v>
      </c>
      <c r="P42" s="15">
        <f t="shared" si="1"/>
        <v>18</v>
      </c>
      <c r="R42" s="5" t="s">
        <v>160</v>
      </c>
      <c r="S42" s="48">
        <f>S41/S40</f>
        <v>1.5161290322580645</v>
      </c>
      <c r="T42" s="48">
        <f t="shared" ref="T42:AF42" si="34">T41/T40</f>
        <v>1</v>
      </c>
      <c r="U42" s="48">
        <f t="shared" si="34"/>
        <v>1.2</v>
      </c>
      <c r="V42" s="48">
        <f t="shared" si="34"/>
        <v>1.0833333333333333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1.1521739130434783</v>
      </c>
      <c r="Z42" s="48">
        <f t="shared" si="34"/>
        <v>3</v>
      </c>
      <c r="AA42" s="48">
        <f t="shared" si="34"/>
        <v>1.2</v>
      </c>
      <c r="AB42" s="48">
        <f t="shared" si="34"/>
        <v>1.7619047619047619</v>
      </c>
      <c r="AC42" s="48">
        <f t="shared" si="34"/>
        <v>1.2804487179487178</v>
      </c>
      <c r="AD42" s="48" t="e">
        <f t="shared" si="34"/>
        <v>#DIV/0!</v>
      </c>
      <c r="AE42" s="48">
        <f t="shared" si="34"/>
        <v>1.3811881188118811</v>
      </c>
      <c r="AF42" s="48">
        <f t="shared" si="34"/>
        <v>1.3050847457627119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3</v>
      </c>
      <c r="P43" s="15">
        <f t="shared" si="1"/>
        <v>8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2</v>
      </c>
      <c r="P44" s="15">
        <f t="shared" si="1"/>
        <v>12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1</v>
      </c>
      <c r="M45" s="50">
        <v>6</v>
      </c>
      <c r="N45" s="50">
        <v>0</v>
      </c>
      <c r="O45" s="15">
        <f t="shared" si="0"/>
        <v>2</v>
      </c>
      <c r="P45" s="15">
        <f t="shared" si="1"/>
        <v>8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1</v>
      </c>
      <c r="M46" s="50">
        <v>16</v>
      </c>
      <c r="N46" s="50">
        <v>0</v>
      </c>
      <c r="O46" s="15">
        <f t="shared" si="0"/>
        <v>4</v>
      </c>
      <c r="P46" s="15">
        <f t="shared" si="1"/>
        <v>20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v>0</v>
      </c>
      <c r="E47" s="50">
        <v>1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7</v>
      </c>
      <c r="P47" s="15">
        <f t="shared" si="1"/>
        <v>16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3</v>
      </c>
      <c r="P48" s="15">
        <f t="shared" si="1"/>
        <v>16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0</v>
      </c>
      <c r="P49" s="15">
        <f t="shared" si="1"/>
        <v>11</v>
      </c>
      <c r="R49" s="8"/>
      <c r="T49"/>
    </row>
    <row r="50" spans="2:20" ht="23.1" customHeight="1" x14ac:dyDescent="0.25">
      <c r="B50" s="46" t="s">
        <v>77</v>
      </c>
      <c r="C50" s="50">
        <v>5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17</v>
      </c>
      <c r="N50" s="50">
        <v>0</v>
      </c>
      <c r="O50" s="15">
        <f t="shared" si="0"/>
        <v>5</v>
      </c>
      <c r="P50" s="15">
        <f t="shared" si="1"/>
        <v>22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1</v>
      </c>
      <c r="M51" s="50">
        <v>9</v>
      </c>
      <c r="N51" s="50">
        <v>0</v>
      </c>
      <c r="O51" s="15">
        <f t="shared" si="0"/>
        <v>3</v>
      </c>
      <c r="P51" s="15">
        <f t="shared" si="1"/>
        <v>12</v>
      </c>
      <c r="R51" s="8"/>
      <c r="T51"/>
    </row>
    <row r="52" spans="2:20" ht="23.1" customHeight="1" x14ac:dyDescent="0.25">
      <c r="B52" s="46" t="s">
        <v>79</v>
      </c>
      <c r="C52" s="50">
        <v>5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6</v>
      </c>
      <c r="P52" s="15">
        <f t="shared" si="1"/>
        <v>18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1</v>
      </c>
      <c r="M53" s="50">
        <v>17</v>
      </c>
      <c r="N53" s="50">
        <v>0</v>
      </c>
      <c r="O53" s="15">
        <f t="shared" si="0"/>
        <v>3</v>
      </c>
      <c r="P53" s="15">
        <f t="shared" si="1"/>
        <v>20</v>
      </c>
      <c r="R53" s="8"/>
      <c r="T53"/>
    </row>
    <row r="54" spans="2:20" ht="23.1" customHeight="1" x14ac:dyDescent="0.25">
      <c r="B54" s="45" t="s">
        <v>81</v>
      </c>
      <c r="C54" s="50">
        <v>4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6</v>
      </c>
      <c r="P54" s="15">
        <f t="shared" si="1"/>
        <v>15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1</v>
      </c>
      <c r="M55" s="50">
        <v>14</v>
      </c>
      <c r="N55" s="50">
        <v>0</v>
      </c>
      <c r="O55" s="15">
        <f t="shared" si="0"/>
        <v>3</v>
      </c>
      <c r="P55" s="15">
        <f t="shared" si="1"/>
        <v>17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1</v>
      </c>
      <c r="E56" s="50">
        <v>2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1</v>
      </c>
      <c r="L56" s="50">
        <v>1</v>
      </c>
      <c r="M56" s="50">
        <v>15</v>
      </c>
      <c r="N56" s="50">
        <v>0</v>
      </c>
      <c r="O56" s="15">
        <f t="shared" si="0"/>
        <v>9</v>
      </c>
      <c r="P56" s="15">
        <f t="shared" si="1"/>
        <v>24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0</v>
      </c>
      <c r="M57" s="50">
        <v>18</v>
      </c>
      <c r="N57" s="50">
        <v>0</v>
      </c>
      <c r="O57" s="15">
        <f t="shared" si="0"/>
        <v>2</v>
      </c>
      <c r="P57" s="15">
        <f t="shared" si="1"/>
        <v>20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10</v>
      </c>
      <c r="N58" s="50">
        <v>0</v>
      </c>
      <c r="O58" s="15">
        <f t="shared" si="0"/>
        <v>1</v>
      </c>
      <c r="P58" s="15">
        <f t="shared" si="1"/>
        <v>11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1</v>
      </c>
      <c r="M59" s="50">
        <v>13</v>
      </c>
      <c r="N59" s="50">
        <v>0</v>
      </c>
      <c r="O59" s="15">
        <f t="shared" si="0"/>
        <v>1</v>
      </c>
      <c r="P59" s="15">
        <f t="shared" si="1"/>
        <v>14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0</v>
      </c>
      <c r="F60" s="50">
        <v>0</v>
      </c>
      <c r="G60" s="50">
        <v>0</v>
      </c>
      <c r="H60" s="50">
        <v>1</v>
      </c>
      <c r="I60" s="50">
        <v>0</v>
      </c>
      <c r="J60" s="50">
        <v>0</v>
      </c>
      <c r="K60" s="50">
        <v>0</v>
      </c>
      <c r="L60" s="50">
        <f>ROUNDDOWN((0.4*E60),0)</f>
        <v>0</v>
      </c>
      <c r="M60" s="50">
        <v>5</v>
      </c>
      <c r="N60" s="50">
        <v>0</v>
      </c>
      <c r="O60" s="15">
        <f t="shared" si="0"/>
        <v>3</v>
      </c>
      <c r="P60" s="15">
        <f t="shared" si="1"/>
        <v>8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0</v>
      </c>
      <c r="E61" s="50">
        <v>0</v>
      </c>
      <c r="F61" s="50">
        <v>0</v>
      </c>
      <c r="G61" s="50">
        <v>0</v>
      </c>
      <c r="H61" s="50">
        <v>1</v>
      </c>
      <c r="I61" s="50">
        <v>0</v>
      </c>
      <c r="J61" s="50">
        <v>0</v>
      </c>
      <c r="K61" s="50">
        <v>0</v>
      </c>
      <c r="L61" s="50">
        <v>0</v>
      </c>
      <c r="M61" s="50">
        <v>5</v>
      </c>
      <c r="N61" s="50">
        <v>0</v>
      </c>
      <c r="O61" s="15">
        <f t="shared" si="0"/>
        <v>4</v>
      </c>
      <c r="P61" s="15">
        <f t="shared" si="1"/>
        <v>9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1</v>
      </c>
      <c r="M62" s="50">
        <v>7</v>
      </c>
      <c r="N62" s="50">
        <v>0</v>
      </c>
      <c r="O62" s="15">
        <f t="shared" si="0"/>
        <v>2</v>
      </c>
      <c r="P62" s="15">
        <f t="shared" si="1"/>
        <v>9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8</v>
      </c>
      <c r="N63" s="50">
        <v>0</v>
      </c>
      <c r="O63" s="15">
        <f t="shared" si="0"/>
        <v>0</v>
      </c>
      <c r="P63" s="15">
        <f t="shared" si="1"/>
        <v>8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0</v>
      </c>
      <c r="E64" s="50">
        <v>0</v>
      </c>
      <c r="F64" s="50">
        <v>0</v>
      </c>
      <c r="G64" s="50">
        <v>2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9</v>
      </c>
      <c r="N64" s="50">
        <v>0</v>
      </c>
      <c r="O64" s="15">
        <f t="shared" si="0"/>
        <v>4</v>
      </c>
      <c r="P64" s="15">
        <f t="shared" si="1"/>
        <v>13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2</v>
      </c>
      <c r="M65" s="50">
        <v>10</v>
      </c>
      <c r="N65" s="50">
        <v>0</v>
      </c>
      <c r="O65" s="15">
        <f t="shared" si="0"/>
        <v>4</v>
      </c>
      <c r="P65" s="15">
        <f t="shared" si="1"/>
        <v>14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7</v>
      </c>
      <c r="N66" s="50">
        <v>0</v>
      </c>
      <c r="O66" s="15">
        <f t="shared" si="0"/>
        <v>1</v>
      </c>
      <c r="P66" s="15">
        <f t="shared" si="1"/>
        <v>8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2</v>
      </c>
      <c r="J67" s="50">
        <v>0</v>
      </c>
      <c r="K67" s="50">
        <v>1</v>
      </c>
      <c r="L67" s="50">
        <v>0</v>
      </c>
      <c r="M67" s="50">
        <v>12</v>
      </c>
      <c r="N67" s="50">
        <v>0</v>
      </c>
      <c r="O67" s="15">
        <f t="shared" si="0"/>
        <v>6</v>
      </c>
      <c r="P67" s="15">
        <f t="shared" si="1"/>
        <v>18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23</v>
      </c>
      <c r="N68" s="50">
        <v>0</v>
      </c>
      <c r="O68" s="15">
        <f t="shared" si="0"/>
        <v>2</v>
      </c>
      <c r="P68" s="15">
        <f t="shared" si="1"/>
        <v>25</v>
      </c>
      <c r="R68" s="8"/>
      <c r="T68"/>
    </row>
    <row r="69" spans="2:20" ht="23.1" customHeight="1" x14ac:dyDescent="0.25">
      <c r="B69" s="45" t="s">
        <v>106</v>
      </c>
      <c r="C69" s="50">
        <v>3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1</v>
      </c>
      <c r="M69" s="50">
        <v>8</v>
      </c>
      <c r="N69" s="50">
        <v>0</v>
      </c>
      <c r="O69" s="15">
        <f t="shared" si="0"/>
        <v>4</v>
      </c>
      <c r="P69" s="15">
        <f t="shared" si="1"/>
        <v>12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1</v>
      </c>
      <c r="I70" s="50">
        <v>1</v>
      </c>
      <c r="J70" s="50">
        <v>0</v>
      </c>
      <c r="K70" s="50">
        <v>0</v>
      </c>
      <c r="L70" s="50">
        <v>0</v>
      </c>
      <c r="M70" s="50">
        <v>3</v>
      </c>
      <c r="N70" s="50">
        <v>0</v>
      </c>
      <c r="O70" s="15">
        <f t="shared" si="0"/>
        <v>3</v>
      </c>
      <c r="P70" s="15">
        <f t="shared" si="1"/>
        <v>6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5</v>
      </c>
      <c r="N71" s="50">
        <v>0</v>
      </c>
      <c r="O71" s="15">
        <f t="shared" si="0"/>
        <v>0</v>
      </c>
      <c r="P71" s="15">
        <f t="shared" si="1"/>
        <v>5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1</v>
      </c>
      <c r="M72" s="50">
        <v>14</v>
      </c>
      <c r="N72" s="50">
        <v>0</v>
      </c>
      <c r="O72" s="15">
        <f t="shared" si="0"/>
        <v>3</v>
      </c>
      <c r="P72" s="15">
        <f t="shared" si="1"/>
        <v>17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5">
        <f t="shared" si="0"/>
        <v>0</v>
      </c>
      <c r="P73" s="15">
        <f t="shared" si="1"/>
        <v>3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1</v>
      </c>
      <c r="M74" s="50">
        <v>5</v>
      </c>
      <c r="N74" s="50">
        <v>0</v>
      </c>
      <c r="O74" s="15">
        <f t="shared" ref="O74:O105" si="35">SUM(C74:L74,N74)</f>
        <v>2</v>
      </c>
      <c r="P74" s="15">
        <f t="shared" ref="P74:P105" si="36">SUM(C74:N74)</f>
        <v>7</v>
      </c>
      <c r="R74" s="8"/>
      <c r="T74"/>
    </row>
    <row r="75" spans="2:20" ht="23.1" customHeight="1" x14ac:dyDescent="0.25">
      <c r="B75" s="45" t="s">
        <v>115</v>
      </c>
      <c r="C75" s="50">
        <v>3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3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5</v>
      </c>
      <c r="N76" s="50">
        <v>0</v>
      </c>
      <c r="O76" s="15">
        <f t="shared" si="35"/>
        <v>2</v>
      </c>
      <c r="P76" s="15">
        <f t="shared" si="36"/>
        <v>7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1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2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3</v>
      </c>
      <c r="N78" s="50">
        <v>0</v>
      </c>
      <c r="O78" s="15">
        <f t="shared" si="35"/>
        <v>1</v>
      </c>
      <c r="P78" s="15">
        <f t="shared" si="36"/>
        <v>4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1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1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1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4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4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</v>
      </c>
      <c r="N86" s="50">
        <v>0</v>
      </c>
      <c r="O86" s="15">
        <f t="shared" si="35"/>
        <v>0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1</v>
      </c>
      <c r="M87" s="50">
        <v>1</v>
      </c>
      <c r="N87" s="50">
        <v>0</v>
      </c>
      <c r="O87" s="15">
        <f t="shared" si="35"/>
        <v>1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2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2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0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2</v>
      </c>
      <c r="M91" s="50">
        <v>0</v>
      </c>
      <c r="N91" s="50"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1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1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1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1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1</v>
      </c>
      <c r="M95" s="50">
        <v>2</v>
      </c>
      <c r="N95" s="50">
        <v>0</v>
      </c>
      <c r="O95" s="15">
        <f t="shared" si="35"/>
        <v>1</v>
      </c>
      <c r="P95" s="15">
        <f t="shared" si="36"/>
        <v>3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1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1</v>
      </c>
      <c r="M97" s="50">
        <v>0</v>
      </c>
      <c r="N97" s="50">
        <v>0</v>
      </c>
      <c r="O97" s="15">
        <f t="shared" si="35"/>
        <v>2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1</v>
      </c>
      <c r="M98" s="50">
        <v>0</v>
      </c>
      <c r="N98" s="50">
        <v>0</v>
      </c>
      <c r="O98" s="15">
        <f t="shared" si="35"/>
        <v>1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1</v>
      </c>
      <c r="M101" s="50">
        <v>0</v>
      </c>
      <c r="N101" s="50">
        <v>0</v>
      </c>
      <c r="O101" s="15">
        <f t="shared" si="35"/>
        <v>1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0</v>
      </c>
      <c r="P102" s="15">
        <f t="shared" si="36"/>
        <v>3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1</v>
      </c>
      <c r="P104" s="15">
        <f t="shared" si="36"/>
        <v>2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0</v>
      </c>
      <c r="E105" s="50">
        <v>0</v>
      </c>
      <c r="F105" s="50">
        <v>0</v>
      </c>
      <c r="G105" s="50">
        <v>0</v>
      </c>
      <c r="H105" s="50">
        <v>2</v>
      </c>
      <c r="I105" s="50">
        <v>0</v>
      </c>
      <c r="J105" s="50">
        <v>0</v>
      </c>
      <c r="K105" s="50">
        <v>0</v>
      </c>
      <c r="L105" s="50">
        <v>1</v>
      </c>
      <c r="M105" s="50">
        <v>3</v>
      </c>
      <c r="N105" s="50">
        <v>0</v>
      </c>
      <c r="O105" s="15">
        <f t="shared" si="35"/>
        <v>6</v>
      </c>
      <c r="P105" s="15">
        <f t="shared" si="36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94</v>
      </c>
      <c r="D106" s="16">
        <f t="shared" ref="D106:P106" si="37">SUM(D10:D105)</f>
        <v>8</v>
      </c>
      <c r="E106" s="16">
        <f t="shared" si="37"/>
        <v>42</v>
      </c>
      <c r="F106" s="16">
        <f t="shared" si="37"/>
        <v>26</v>
      </c>
      <c r="G106" s="16">
        <f t="shared" si="37"/>
        <v>3</v>
      </c>
      <c r="H106" s="16">
        <f t="shared" si="37"/>
        <v>7</v>
      </c>
      <c r="I106" s="16">
        <f t="shared" si="37"/>
        <v>53</v>
      </c>
      <c r="J106" s="16">
        <f t="shared" si="37"/>
        <v>3</v>
      </c>
      <c r="K106" s="16">
        <f t="shared" si="37"/>
        <v>6</v>
      </c>
      <c r="L106" s="16">
        <f t="shared" si="37"/>
        <v>37</v>
      </c>
      <c r="M106" s="16">
        <f t="shared" si="37"/>
        <v>799</v>
      </c>
      <c r="N106" s="16">
        <f t="shared" si="37"/>
        <v>0</v>
      </c>
      <c r="O106" s="16">
        <f t="shared" si="37"/>
        <v>279</v>
      </c>
      <c r="P106" s="16">
        <f t="shared" si="37"/>
        <v>1078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8.7198515769944335E-2</v>
      </c>
      <c r="D107" s="43">
        <f t="shared" si="38"/>
        <v>7.4211502782931356E-3</v>
      </c>
      <c r="E107" s="43">
        <f t="shared" si="38"/>
        <v>3.896103896103896E-2</v>
      </c>
      <c r="F107" s="43">
        <f t="shared" si="38"/>
        <v>2.4118738404452691E-2</v>
      </c>
      <c r="G107" s="43">
        <f t="shared" si="38"/>
        <v>2.7829313543599257E-3</v>
      </c>
      <c r="H107" s="43">
        <f t="shared" si="38"/>
        <v>6.4935064935064939E-3</v>
      </c>
      <c r="I107" s="43">
        <f t="shared" si="38"/>
        <v>4.9165120593692019E-2</v>
      </c>
      <c r="J107" s="43">
        <f t="shared" si="38"/>
        <v>2.7829313543599257E-3</v>
      </c>
      <c r="K107" s="43">
        <f t="shared" si="38"/>
        <v>5.5658627087198514E-3</v>
      </c>
      <c r="L107" s="43">
        <f t="shared" si="38"/>
        <v>3.4322820037105753E-2</v>
      </c>
      <c r="M107" s="43">
        <f t="shared" si="38"/>
        <v>0.74118738404452689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0.33691756272401435</v>
      </c>
      <c r="D108" s="44">
        <f t="shared" ref="D108:N108" si="39">D106/$O$106</f>
        <v>2.8673835125448029E-2</v>
      </c>
      <c r="E108" s="44">
        <f t="shared" si="39"/>
        <v>0.15053763440860216</v>
      </c>
      <c r="F108" s="44">
        <f t="shared" si="39"/>
        <v>9.3189964157706098E-2</v>
      </c>
      <c r="G108" s="44">
        <f t="shared" si="39"/>
        <v>1.0752688172043012E-2</v>
      </c>
      <c r="H108" s="44">
        <f t="shared" si="39"/>
        <v>2.5089605734767026E-2</v>
      </c>
      <c r="I108" s="44">
        <f t="shared" si="39"/>
        <v>0.18996415770609318</v>
      </c>
      <c r="J108" s="44">
        <f t="shared" si="39"/>
        <v>1.0752688172043012E-2</v>
      </c>
      <c r="K108" s="44">
        <f t="shared" si="39"/>
        <v>2.1505376344086023E-2</v>
      </c>
      <c r="L108" s="44">
        <f t="shared" si="39"/>
        <v>0.13261648745519714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zoomScale="60" workbookViewId="0">
      <selection activeCell="L100" sqref="L10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Goli-Nebbi'!C3:G3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Goli-Nebbi-24h'!D5</f>
        <v>03.08.19</v>
      </c>
      <c r="E5" s="3"/>
      <c r="F5" s="41" t="s">
        <v>1</v>
      </c>
      <c r="G5" s="65" t="str">
        <f>'03.08 Goli-Nebbi-24h'!G5:H5</f>
        <v>Goli</v>
      </c>
      <c r="H5" s="66"/>
      <c r="I5" s="14"/>
      <c r="J5" s="2" t="s">
        <v>5</v>
      </c>
      <c r="K5" s="65" t="str">
        <f>'03.08 Goli-Nebbi-24h'!K5:L5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'31.07 Nebbi-Goli'!D6:E6</f>
        <v>Nebbi</v>
      </c>
      <c r="E6" s="66"/>
      <c r="F6" s="2" t="s">
        <v>2</v>
      </c>
      <c r="G6" s="65" t="str">
        <f>'31.07 Nebbi-Goli'!G6:H6</f>
        <v>Goli</v>
      </c>
      <c r="H6" s="66"/>
      <c r="J6" s="2" t="s">
        <v>21</v>
      </c>
      <c r="K6" s="65" t="str">
        <f>'03.08 Goli-Nebbi-24h'!K6:L6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11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2</v>
      </c>
      <c r="V10" s="17">
        <f t="shared" si="2"/>
        <v>1</v>
      </c>
      <c r="W10" s="17">
        <f t="shared" si="2"/>
        <v>1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1</v>
      </c>
      <c r="AC10" s="17">
        <f t="shared" si="2"/>
        <v>48</v>
      </c>
      <c r="AD10" s="17">
        <f t="shared" si="2"/>
        <v>0</v>
      </c>
      <c r="AE10" s="31">
        <f t="shared" si="2"/>
        <v>10</v>
      </c>
      <c r="AF10" s="31">
        <f t="shared" si="2"/>
        <v>58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1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14</v>
      </c>
      <c r="N11" s="50">
        <v>0</v>
      </c>
      <c r="O11" s="15">
        <f t="shared" si="0"/>
        <v>2</v>
      </c>
      <c r="P11" s="15">
        <f t="shared" si="1"/>
        <v>16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4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5</v>
      </c>
      <c r="AC11" s="17">
        <f t="shared" si="3"/>
        <v>43</v>
      </c>
      <c r="AD11" s="17">
        <f t="shared" si="3"/>
        <v>0</v>
      </c>
      <c r="AE11" s="31">
        <f t="shared" si="3"/>
        <v>15</v>
      </c>
      <c r="AF11" s="31">
        <f t="shared" si="3"/>
        <v>58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1</v>
      </c>
      <c r="I12" s="50">
        <v>1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3</v>
      </c>
      <c r="P12" s="15">
        <f t="shared" si="1"/>
        <v>16</v>
      </c>
      <c r="R12" s="1" t="s">
        <v>8</v>
      </c>
      <c r="S12" s="17">
        <f t="shared" ref="S12:AF12" si="4">SUM(C18:C21)</f>
        <v>3</v>
      </c>
      <c r="T12" s="17">
        <f t="shared" si="4"/>
        <v>1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3</v>
      </c>
      <c r="AC12" s="17">
        <f t="shared" si="4"/>
        <v>50</v>
      </c>
      <c r="AD12" s="17">
        <f t="shared" si="4"/>
        <v>0</v>
      </c>
      <c r="AE12" s="31">
        <f t="shared" si="4"/>
        <v>14</v>
      </c>
      <c r="AF12" s="31">
        <f t="shared" si="4"/>
        <v>64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1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3</v>
      </c>
      <c r="P13" s="15">
        <f t="shared" si="1"/>
        <v>15</v>
      </c>
      <c r="R13" s="1" t="s">
        <v>9</v>
      </c>
      <c r="S13" s="17">
        <f t="shared" ref="S13:AF13" si="5">SUM(C22:C25)</f>
        <v>3</v>
      </c>
      <c r="T13" s="17">
        <f t="shared" si="5"/>
        <v>2</v>
      </c>
      <c r="U13" s="17">
        <f t="shared" si="5"/>
        <v>4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1</v>
      </c>
      <c r="AC13" s="17">
        <f t="shared" si="5"/>
        <v>42</v>
      </c>
      <c r="AD13" s="17">
        <f t="shared" si="5"/>
        <v>0</v>
      </c>
      <c r="AE13" s="31">
        <f t="shared" si="5"/>
        <v>15</v>
      </c>
      <c r="AF13" s="31">
        <f t="shared" si="5"/>
        <v>57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1</v>
      </c>
      <c r="M14" s="50">
        <v>15</v>
      </c>
      <c r="N14" s="50">
        <v>0</v>
      </c>
      <c r="O14" s="15">
        <f t="shared" si="0"/>
        <v>3</v>
      </c>
      <c r="P14" s="15">
        <f t="shared" si="1"/>
        <v>18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58</v>
      </c>
      <c r="AD14" s="17">
        <f t="shared" si="6"/>
        <v>0</v>
      </c>
      <c r="AE14" s="31">
        <f t="shared" si="6"/>
        <v>10</v>
      </c>
      <c r="AF14" s="31">
        <f t="shared" si="6"/>
        <v>68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1</v>
      </c>
      <c r="M15" s="50">
        <v>7</v>
      </c>
      <c r="N15" s="50">
        <v>0</v>
      </c>
      <c r="O15" s="15">
        <f t="shared" si="0"/>
        <v>2</v>
      </c>
      <c r="P15" s="15">
        <f t="shared" si="1"/>
        <v>9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2</v>
      </c>
      <c r="V15" s="17">
        <f t="shared" si="7"/>
        <v>2</v>
      </c>
      <c r="W15" s="17">
        <f t="shared" si="7"/>
        <v>0</v>
      </c>
      <c r="X15" s="17">
        <f t="shared" si="7"/>
        <v>1</v>
      </c>
      <c r="Y15" s="17">
        <f t="shared" si="7"/>
        <v>4</v>
      </c>
      <c r="Z15" s="17">
        <f t="shared" si="7"/>
        <v>0</v>
      </c>
      <c r="AA15" s="17">
        <f t="shared" si="7"/>
        <v>0</v>
      </c>
      <c r="AB15" s="17">
        <f t="shared" si="7"/>
        <v>1</v>
      </c>
      <c r="AC15" s="17">
        <f t="shared" si="7"/>
        <v>50</v>
      </c>
      <c r="AD15" s="17">
        <f t="shared" si="7"/>
        <v>0</v>
      </c>
      <c r="AE15" s="31">
        <f t="shared" si="7"/>
        <v>14</v>
      </c>
      <c r="AF15" s="31">
        <f t="shared" si="7"/>
        <v>64</v>
      </c>
    </row>
    <row r="16" spans="2:32" ht="23.1" customHeight="1" x14ac:dyDescent="0.25">
      <c r="B16" s="45" t="s">
        <v>43</v>
      </c>
      <c r="C16" s="50">
        <v>0</v>
      </c>
      <c r="D16" s="50">
        <v>1</v>
      </c>
      <c r="E16" s="50">
        <v>2</v>
      </c>
      <c r="F16" s="50">
        <v>1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2</v>
      </c>
      <c r="M16" s="50">
        <v>13</v>
      </c>
      <c r="N16" s="50">
        <v>0</v>
      </c>
      <c r="O16" s="15">
        <f t="shared" si="0"/>
        <v>8</v>
      </c>
      <c r="P16" s="15">
        <f t="shared" si="1"/>
        <v>21</v>
      </c>
      <c r="R16" s="1" t="s">
        <v>12</v>
      </c>
      <c r="S16" s="17">
        <f t="shared" ref="S16:AF16" si="8">SUM(C34:C37)</f>
        <v>3</v>
      </c>
      <c r="T16" s="17">
        <f t="shared" si="8"/>
        <v>2</v>
      </c>
      <c r="U16" s="17">
        <f t="shared" si="8"/>
        <v>7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1</v>
      </c>
      <c r="AC16" s="17">
        <f t="shared" si="8"/>
        <v>46</v>
      </c>
      <c r="AD16" s="17">
        <f t="shared" si="8"/>
        <v>0</v>
      </c>
      <c r="AE16" s="31">
        <f t="shared" si="8"/>
        <v>22</v>
      </c>
      <c r="AF16" s="31">
        <f t="shared" si="8"/>
        <v>68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1</v>
      </c>
      <c r="M17" s="50">
        <v>8</v>
      </c>
      <c r="N17" s="50">
        <v>0</v>
      </c>
      <c r="O17" s="15">
        <f t="shared" si="0"/>
        <v>2</v>
      </c>
      <c r="P17" s="15">
        <f t="shared" si="1"/>
        <v>10</v>
      </c>
      <c r="R17" s="1" t="s">
        <v>13</v>
      </c>
      <c r="S17" s="17">
        <f t="shared" ref="S17:AF17" si="9">SUM(C38:C41)</f>
        <v>5</v>
      </c>
      <c r="T17" s="17">
        <f t="shared" si="9"/>
        <v>0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0</v>
      </c>
      <c r="AA17" s="17">
        <f t="shared" si="9"/>
        <v>0</v>
      </c>
      <c r="AB17" s="17">
        <f t="shared" si="9"/>
        <v>5</v>
      </c>
      <c r="AC17" s="17">
        <f t="shared" si="9"/>
        <v>41</v>
      </c>
      <c r="AD17" s="17">
        <f t="shared" si="9"/>
        <v>0</v>
      </c>
      <c r="AE17" s="31">
        <f t="shared" si="9"/>
        <v>24</v>
      </c>
      <c r="AF17" s="31">
        <f t="shared" si="9"/>
        <v>65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8</v>
      </c>
      <c r="N18" s="50">
        <v>0</v>
      </c>
      <c r="O18" s="15">
        <f t="shared" si="0"/>
        <v>4</v>
      </c>
      <c r="P18" s="15">
        <f t="shared" si="1"/>
        <v>12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4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38</v>
      </c>
      <c r="AD18" s="17">
        <f t="shared" si="10"/>
        <v>0</v>
      </c>
      <c r="AE18" s="31">
        <f t="shared" si="10"/>
        <v>11</v>
      </c>
      <c r="AF18" s="31">
        <f t="shared" si="10"/>
        <v>49</v>
      </c>
    </row>
    <row r="19" spans="2:32" ht="23.1" customHeight="1" x14ac:dyDescent="0.25">
      <c r="B19" s="45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14</v>
      </c>
      <c r="N19" s="50">
        <v>0</v>
      </c>
      <c r="O19" s="15">
        <f t="shared" si="0"/>
        <v>3</v>
      </c>
      <c r="P19" s="15">
        <f t="shared" si="1"/>
        <v>17</v>
      </c>
      <c r="R19" s="1" t="s">
        <v>15</v>
      </c>
      <c r="S19" s="17">
        <f t="shared" ref="S19:AF19" si="11">SUM(C46:C49)</f>
        <v>7</v>
      </c>
      <c r="T19" s="17">
        <f t="shared" si="11"/>
        <v>0</v>
      </c>
      <c r="U19" s="17">
        <f t="shared" si="11"/>
        <v>0</v>
      </c>
      <c r="V19" s="17">
        <f t="shared" si="11"/>
        <v>4</v>
      </c>
      <c r="W19" s="17">
        <f t="shared" si="11"/>
        <v>0</v>
      </c>
      <c r="X19" s="17">
        <f t="shared" si="11"/>
        <v>1</v>
      </c>
      <c r="Y19" s="17">
        <f t="shared" si="11"/>
        <v>7</v>
      </c>
      <c r="Z19" s="17">
        <f t="shared" si="11"/>
        <v>0</v>
      </c>
      <c r="AA19" s="17">
        <f t="shared" si="11"/>
        <v>2</v>
      </c>
      <c r="AB19" s="17">
        <f t="shared" si="11"/>
        <v>1</v>
      </c>
      <c r="AC19" s="17">
        <f t="shared" si="11"/>
        <v>40</v>
      </c>
      <c r="AD19" s="17">
        <f t="shared" si="11"/>
        <v>0</v>
      </c>
      <c r="AE19" s="31">
        <f t="shared" si="11"/>
        <v>22</v>
      </c>
      <c r="AF19" s="31">
        <f t="shared" si="11"/>
        <v>62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1</v>
      </c>
      <c r="M20" s="50">
        <v>11</v>
      </c>
      <c r="N20" s="50">
        <v>0</v>
      </c>
      <c r="O20" s="15">
        <f t="shared" si="0"/>
        <v>2</v>
      </c>
      <c r="P20" s="15">
        <f t="shared" si="1"/>
        <v>13</v>
      </c>
      <c r="R20" s="1" t="s">
        <v>16</v>
      </c>
      <c r="S20" s="17">
        <f t="shared" ref="S20:AF20" si="12">SUM(C50:C53)</f>
        <v>3</v>
      </c>
      <c r="T20" s="17">
        <f t="shared" si="12"/>
        <v>1</v>
      </c>
      <c r="U20" s="17">
        <f t="shared" si="12"/>
        <v>3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2</v>
      </c>
      <c r="AC20" s="17">
        <f t="shared" si="12"/>
        <v>33</v>
      </c>
      <c r="AD20" s="17">
        <f t="shared" si="12"/>
        <v>0</v>
      </c>
      <c r="AE20" s="31">
        <f t="shared" si="12"/>
        <v>15</v>
      </c>
      <c r="AF20" s="31">
        <f t="shared" si="12"/>
        <v>48</v>
      </c>
    </row>
    <row r="21" spans="2:32" ht="23.1" customHeight="1" x14ac:dyDescent="0.25">
      <c r="B21" s="45" t="s">
        <v>48</v>
      </c>
      <c r="C21" s="50">
        <v>0</v>
      </c>
      <c r="D21" s="50">
        <v>1</v>
      </c>
      <c r="E21" s="50">
        <v>2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2</v>
      </c>
      <c r="M21" s="50">
        <v>17</v>
      </c>
      <c r="N21" s="50">
        <v>0</v>
      </c>
      <c r="O21" s="15">
        <f t="shared" si="0"/>
        <v>5</v>
      </c>
      <c r="P21" s="15">
        <f t="shared" si="1"/>
        <v>22</v>
      </c>
      <c r="R21" s="36" t="s">
        <v>20</v>
      </c>
      <c r="S21" s="34">
        <f t="shared" ref="S21:AF21" si="13">SUM(C54:C57)</f>
        <v>2</v>
      </c>
      <c r="T21" s="17">
        <f t="shared" si="13"/>
        <v>2</v>
      </c>
      <c r="U21" s="17">
        <f t="shared" si="13"/>
        <v>4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1</v>
      </c>
      <c r="AA21" s="17">
        <f t="shared" si="13"/>
        <v>1</v>
      </c>
      <c r="AB21" s="17">
        <f t="shared" si="13"/>
        <v>2</v>
      </c>
      <c r="AC21" s="17">
        <f t="shared" si="13"/>
        <v>50</v>
      </c>
      <c r="AD21" s="17">
        <f t="shared" si="13"/>
        <v>0</v>
      </c>
      <c r="AE21" s="31">
        <f t="shared" si="13"/>
        <v>18</v>
      </c>
      <c r="AF21" s="31">
        <f t="shared" si="13"/>
        <v>68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7</v>
      </c>
      <c r="N22" s="50">
        <v>0</v>
      </c>
      <c r="O22" s="15">
        <f t="shared" si="0"/>
        <v>2</v>
      </c>
      <c r="P22" s="15">
        <f t="shared" si="1"/>
        <v>9</v>
      </c>
      <c r="R22" s="36" t="s">
        <v>146</v>
      </c>
      <c r="S22" s="34">
        <f>SUM(C58:C61)</f>
        <v>4</v>
      </c>
      <c r="T22" s="34">
        <f t="shared" ref="T22:AF22" si="14">SUM(D58:D61)</f>
        <v>1</v>
      </c>
      <c r="U22" s="34">
        <f t="shared" si="14"/>
        <v>3</v>
      </c>
      <c r="V22" s="34">
        <f t="shared" si="14"/>
        <v>0</v>
      </c>
      <c r="W22" s="34">
        <f t="shared" si="14"/>
        <v>0</v>
      </c>
      <c r="X22" s="34">
        <f t="shared" si="14"/>
        <v>1</v>
      </c>
      <c r="Y22" s="34">
        <f t="shared" si="14"/>
        <v>0</v>
      </c>
      <c r="Z22" s="34">
        <f t="shared" si="14"/>
        <v>2</v>
      </c>
      <c r="AA22" s="34">
        <f t="shared" si="14"/>
        <v>1</v>
      </c>
      <c r="AB22" s="34">
        <f t="shared" si="14"/>
        <v>0</v>
      </c>
      <c r="AC22" s="34">
        <f t="shared" si="14"/>
        <v>28</v>
      </c>
      <c r="AD22" s="34">
        <f t="shared" si="14"/>
        <v>0</v>
      </c>
      <c r="AE22" s="31">
        <f t="shared" si="14"/>
        <v>12</v>
      </c>
      <c r="AF22" s="31">
        <f t="shared" si="14"/>
        <v>40</v>
      </c>
    </row>
    <row r="23" spans="2:32" ht="23.1" customHeight="1" x14ac:dyDescent="0.25">
      <c r="B23" s="45" t="s">
        <v>50</v>
      </c>
      <c r="C23" s="50">
        <v>1</v>
      </c>
      <c r="D23" s="50">
        <v>1</v>
      </c>
      <c r="E23" s="50">
        <v>2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5</v>
      </c>
      <c r="P23" s="15">
        <f t="shared" si="1"/>
        <v>14</v>
      </c>
      <c r="R23" s="36" t="s">
        <v>147</v>
      </c>
      <c r="S23" s="34">
        <f>SUM(C62:C65)</f>
        <v>5</v>
      </c>
      <c r="T23" s="34">
        <f t="shared" ref="T23:AF23" si="15">SUM(D62:D65)</f>
        <v>1</v>
      </c>
      <c r="U23" s="34">
        <f t="shared" si="15"/>
        <v>4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30</v>
      </c>
      <c r="AD23" s="34">
        <f t="shared" si="15"/>
        <v>0</v>
      </c>
      <c r="AE23" s="31">
        <f t="shared" si="15"/>
        <v>14</v>
      </c>
      <c r="AF23" s="31">
        <f t="shared" si="15"/>
        <v>44</v>
      </c>
    </row>
    <row r="24" spans="2:32" ht="23.1" customHeight="1" x14ac:dyDescent="0.25">
      <c r="B24" s="45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1</v>
      </c>
      <c r="M24" s="50">
        <v>14</v>
      </c>
      <c r="N24" s="50">
        <v>0</v>
      </c>
      <c r="O24" s="15">
        <f t="shared" si="0"/>
        <v>4</v>
      </c>
      <c r="P24" s="15">
        <f t="shared" si="1"/>
        <v>18</v>
      </c>
      <c r="R24" s="36" t="s">
        <v>148</v>
      </c>
      <c r="S24" s="34">
        <f>SUM(C66:C69)</f>
        <v>3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3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2</v>
      </c>
      <c r="AC24" s="34">
        <f t="shared" si="16"/>
        <v>16</v>
      </c>
      <c r="AD24" s="34">
        <f t="shared" si="16"/>
        <v>0</v>
      </c>
      <c r="AE24" s="31">
        <f t="shared" si="16"/>
        <v>11</v>
      </c>
      <c r="AF24" s="31">
        <f t="shared" si="16"/>
        <v>27</v>
      </c>
    </row>
    <row r="25" spans="2:32" ht="23.1" customHeight="1" x14ac:dyDescent="0.25">
      <c r="B25" s="45" t="s">
        <v>52</v>
      </c>
      <c r="C25" s="50">
        <v>0</v>
      </c>
      <c r="D25" s="50">
        <v>1</v>
      </c>
      <c r="E25" s="50">
        <v>2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4</v>
      </c>
      <c r="P25" s="15">
        <f t="shared" si="1"/>
        <v>16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1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17</v>
      </c>
      <c r="AD25" s="34">
        <f t="shared" si="17"/>
        <v>0</v>
      </c>
      <c r="AE25" s="31">
        <f t="shared" si="17"/>
        <v>4</v>
      </c>
      <c r="AF25" s="31">
        <f t="shared" si="17"/>
        <v>21</v>
      </c>
    </row>
    <row r="26" spans="2:32" ht="23.1" customHeight="1" x14ac:dyDescent="0.25">
      <c r="B26" s="45" t="s">
        <v>53</v>
      </c>
      <c r="C26" s="50">
        <v>2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3</v>
      </c>
      <c r="P26" s="15">
        <f t="shared" si="1"/>
        <v>14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2</v>
      </c>
      <c r="AC26" s="34">
        <f t="shared" si="18"/>
        <v>8</v>
      </c>
      <c r="AD26" s="34">
        <f t="shared" si="18"/>
        <v>0</v>
      </c>
      <c r="AE26" s="31">
        <f t="shared" si="18"/>
        <v>3</v>
      </c>
      <c r="AF26" s="31">
        <f t="shared" si="18"/>
        <v>11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16</v>
      </c>
      <c r="N27" s="50">
        <v>0</v>
      </c>
      <c r="O27" s="15">
        <f t="shared" si="0"/>
        <v>2</v>
      </c>
      <c r="P27" s="15">
        <f t="shared" si="1"/>
        <v>18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</v>
      </c>
      <c r="AD27" s="34">
        <f t="shared" si="19"/>
        <v>0</v>
      </c>
      <c r="AE27" s="31">
        <f t="shared" si="19"/>
        <v>2</v>
      </c>
      <c r="AF27" s="31">
        <f t="shared" si="19"/>
        <v>9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3</v>
      </c>
      <c r="P28" s="15">
        <f t="shared" si="1"/>
        <v>19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2</v>
      </c>
      <c r="AC28" s="34">
        <f t="shared" si="20"/>
        <v>0</v>
      </c>
      <c r="AD28" s="34">
        <f t="shared" si="20"/>
        <v>0</v>
      </c>
      <c r="AE28" s="31">
        <f t="shared" si="20"/>
        <v>5</v>
      </c>
      <c r="AF28" s="31">
        <f t="shared" si="20"/>
        <v>5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2</v>
      </c>
      <c r="P29" s="15">
        <f t="shared" si="1"/>
        <v>17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0</v>
      </c>
      <c r="AF29" s="31">
        <f t="shared" si="21"/>
        <v>2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1</v>
      </c>
      <c r="F30" s="50">
        <v>0</v>
      </c>
      <c r="G30" s="50">
        <v>0</v>
      </c>
      <c r="H30" s="50">
        <v>1</v>
      </c>
      <c r="I30" s="50">
        <v>0</v>
      </c>
      <c r="J30" s="50">
        <v>0</v>
      </c>
      <c r="K30" s="50">
        <v>0</v>
      </c>
      <c r="L30" s="50">
        <v>1</v>
      </c>
      <c r="M30" s="50">
        <v>11</v>
      </c>
      <c r="N30" s="50">
        <v>0</v>
      </c>
      <c r="O30" s="15">
        <f t="shared" si="0"/>
        <v>6</v>
      </c>
      <c r="P30" s="15">
        <f t="shared" si="1"/>
        <v>17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1</v>
      </c>
      <c r="AC30" s="34">
        <f t="shared" si="22"/>
        <v>1</v>
      </c>
      <c r="AD30" s="34">
        <f t="shared" si="22"/>
        <v>0</v>
      </c>
      <c r="AE30" s="31">
        <f t="shared" si="22"/>
        <v>1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12</v>
      </c>
      <c r="N31" s="50">
        <v>0</v>
      </c>
      <c r="O31" s="15">
        <f t="shared" si="0"/>
        <v>4</v>
      </c>
      <c r="P31" s="15">
        <f t="shared" si="1"/>
        <v>16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2</v>
      </c>
      <c r="AC31" s="34">
        <f t="shared" si="23"/>
        <v>2</v>
      </c>
      <c r="AD31" s="34">
        <f t="shared" si="23"/>
        <v>0</v>
      </c>
      <c r="AE31" s="31">
        <f t="shared" si="23"/>
        <v>2</v>
      </c>
      <c r="AF31" s="31">
        <f t="shared" si="23"/>
        <v>4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14</v>
      </c>
      <c r="N32" s="50">
        <v>0</v>
      </c>
      <c r="O32" s="15">
        <f t="shared" si="0"/>
        <v>2</v>
      </c>
      <c r="P32" s="15">
        <f t="shared" si="1"/>
        <v>16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1</v>
      </c>
      <c r="AD32" s="34">
        <f t="shared" si="24"/>
        <v>0</v>
      </c>
      <c r="AE32" s="31">
        <f t="shared" si="24"/>
        <v>1</v>
      </c>
      <c r="AF32" s="31">
        <f t="shared" si="24"/>
        <v>2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2</v>
      </c>
      <c r="P33" s="15">
        <f t="shared" si="1"/>
        <v>15</v>
      </c>
      <c r="R33" s="33" t="s">
        <v>157</v>
      </c>
      <c r="S33" s="34">
        <f>SUM(C102:C105)</f>
        <v>1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1</v>
      </c>
      <c r="AC33" s="34">
        <f t="shared" si="25"/>
        <v>12</v>
      </c>
      <c r="AD33" s="34">
        <f t="shared" si="25"/>
        <v>0</v>
      </c>
      <c r="AE33" s="31">
        <f t="shared" si="25"/>
        <v>4</v>
      </c>
      <c r="AF33" s="31">
        <f t="shared" si="25"/>
        <v>16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1</v>
      </c>
      <c r="M34" s="50">
        <v>11</v>
      </c>
      <c r="N34" s="50">
        <v>0</v>
      </c>
      <c r="O34" s="15">
        <f t="shared" si="0"/>
        <v>5</v>
      </c>
      <c r="P34" s="15">
        <f t="shared" si="1"/>
        <v>16</v>
      </c>
      <c r="R34" s="38" t="s">
        <v>90</v>
      </c>
      <c r="S34" s="39">
        <f t="shared" ref="S34:AF34" si="26">MAX(S10:S12)</f>
        <v>3</v>
      </c>
      <c r="T34" s="39">
        <f t="shared" si="26"/>
        <v>1</v>
      </c>
      <c r="U34" s="39">
        <f t="shared" si="26"/>
        <v>4</v>
      </c>
      <c r="V34" s="39">
        <f t="shared" si="26"/>
        <v>1</v>
      </c>
      <c r="W34" s="39">
        <f t="shared" si="26"/>
        <v>1</v>
      </c>
      <c r="X34" s="39">
        <f t="shared" si="26"/>
        <v>1</v>
      </c>
      <c r="Y34" s="39">
        <f t="shared" si="26"/>
        <v>4</v>
      </c>
      <c r="Z34" s="39">
        <f t="shared" si="26"/>
        <v>0</v>
      </c>
      <c r="AA34" s="39">
        <f t="shared" si="26"/>
        <v>0</v>
      </c>
      <c r="AB34" s="39">
        <f t="shared" si="26"/>
        <v>5</v>
      </c>
      <c r="AC34" s="39">
        <f t="shared" si="26"/>
        <v>50</v>
      </c>
      <c r="AD34" s="39">
        <f t="shared" si="26"/>
        <v>0</v>
      </c>
      <c r="AE34" s="40">
        <f t="shared" si="26"/>
        <v>15</v>
      </c>
      <c r="AF34" s="40">
        <f t="shared" si="26"/>
        <v>64</v>
      </c>
    </row>
    <row r="35" spans="2:32" ht="23.1" customHeight="1" x14ac:dyDescent="0.25">
      <c r="B35" s="46" t="s">
        <v>62</v>
      </c>
      <c r="C35" s="50">
        <v>2</v>
      </c>
      <c r="D35" s="50">
        <v>1</v>
      </c>
      <c r="E35" s="50">
        <v>3</v>
      </c>
      <c r="F35" s="50">
        <v>1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9</v>
      </c>
      <c r="P35" s="15">
        <f t="shared" si="1"/>
        <v>19</v>
      </c>
      <c r="R35" s="38" t="s">
        <v>91</v>
      </c>
      <c r="S35" s="39">
        <f t="shared" ref="S35:AF35" si="27">MAX(S13:S18)</f>
        <v>5</v>
      </c>
      <c r="T35" s="39">
        <f t="shared" si="27"/>
        <v>2</v>
      </c>
      <c r="U35" s="39">
        <f t="shared" si="27"/>
        <v>7</v>
      </c>
      <c r="V35" s="39">
        <f t="shared" si="27"/>
        <v>5</v>
      </c>
      <c r="W35" s="39">
        <f t="shared" si="27"/>
        <v>0</v>
      </c>
      <c r="X35" s="39">
        <f t="shared" si="27"/>
        <v>1</v>
      </c>
      <c r="Y35" s="39">
        <f t="shared" si="27"/>
        <v>10</v>
      </c>
      <c r="Z35" s="39">
        <f t="shared" si="27"/>
        <v>0</v>
      </c>
      <c r="AA35" s="39">
        <f t="shared" si="27"/>
        <v>0</v>
      </c>
      <c r="AB35" s="39">
        <f t="shared" si="27"/>
        <v>5</v>
      </c>
      <c r="AC35" s="39">
        <f t="shared" si="27"/>
        <v>58</v>
      </c>
      <c r="AD35" s="39">
        <f t="shared" si="27"/>
        <v>0</v>
      </c>
      <c r="AE35" s="40">
        <f t="shared" si="27"/>
        <v>24</v>
      </c>
      <c r="AF35" s="40">
        <f t="shared" si="27"/>
        <v>68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1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2</v>
      </c>
      <c r="P36" s="15">
        <f t="shared" si="1"/>
        <v>14</v>
      </c>
      <c r="R36" s="38" t="s">
        <v>92</v>
      </c>
      <c r="S36" s="39">
        <f t="shared" ref="S36:AF36" si="28">MAX(S19:S21)</f>
        <v>7</v>
      </c>
      <c r="T36" s="39">
        <f t="shared" si="28"/>
        <v>2</v>
      </c>
      <c r="U36" s="39">
        <f t="shared" si="28"/>
        <v>4</v>
      </c>
      <c r="V36" s="39">
        <f t="shared" si="28"/>
        <v>4</v>
      </c>
      <c r="W36" s="39">
        <f t="shared" si="28"/>
        <v>0</v>
      </c>
      <c r="X36" s="39">
        <f t="shared" si="28"/>
        <v>1</v>
      </c>
      <c r="Y36" s="39">
        <f t="shared" si="28"/>
        <v>7</v>
      </c>
      <c r="Z36" s="39">
        <f t="shared" si="28"/>
        <v>1</v>
      </c>
      <c r="AA36" s="39">
        <f t="shared" si="28"/>
        <v>2</v>
      </c>
      <c r="AB36" s="39">
        <f t="shared" si="28"/>
        <v>2</v>
      </c>
      <c r="AC36" s="39">
        <f t="shared" si="28"/>
        <v>50</v>
      </c>
      <c r="AD36" s="39">
        <f t="shared" si="28"/>
        <v>0</v>
      </c>
      <c r="AE36" s="40">
        <f t="shared" si="28"/>
        <v>22</v>
      </c>
      <c r="AF36" s="40">
        <f t="shared" si="28"/>
        <v>68</v>
      </c>
    </row>
    <row r="37" spans="2:32" ht="23.1" customHeight="1" x14ac:dyDescent="0.25">
      <c r="B37" s="45" t="s">
        <v>64</v>
      </c>
      <c r="C37" s="50">
        <v>0</v>
      </c>
      <c r="D37" s="50">
        <v>1</v>
      </c>
      <c r="E37" s="50">
        <v>2</v>
      </c>
      <c r="F37" s="50">
        <v>2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6</v>
      </c>
      <c r="P37" s="15">
        <f t="shared" si="1"/>
        <v>19</v>
      </c>
      <c r="R37" s="37" t="s">
        <v>85</v>
      </c>
      <c r="S37" s="35">
        <f t="shared" ref="S37:AF37" si="29">SUM(S10:S12)</f>
        <v>6</v>
      </c>
      <c r="T37" s="16">
        <f t="shared" si="29"/>
        <v>2</v>
      </c>
      <c r="U37" s="16">
        <f t="shared" si="29"/>
        <v>9</v>
      </c>
      <c r="V37" s="16">
        <f t="shared" si="29"/>
        <v>2</v>
      </c>
      <c r="W37" s="16">
        <f t="shared" si="29"/>
        <v>1</v>
      </c>
      <c r="X37" s="16">
        <f t="shared" si="29"/>
        <v>1</v>
      </c>
      <c r="Y37" s="16">
        <f t="shared" si="29"/>
        <v>9</v>
      </c>
      <c r="Z37" s="16">
        <f t="shared" si="29"/>
        <v>0</v>
      </c>
      <c r="AA37" s="16">
        <f t="shared" si="29"/>
        <v>0</v>
      </c>
      <c r="AB37" s="16">
        <f t="shared" si="29"/>
        <v>9</v>
      </c>
      <c r="AC37" s="16">
        <f t="shared" si="29"/>
        <v>141</v>
      </c>
      <c r="AD37" s="16">
        <f t="shared" si="29"/>
        <v>0</v>
      </c>
      <c r="AE37" s="32">
        <f t="shared" si="29"/>
        <v>39</v>
      </c>
      <c r="AF37" s="32">
        <f t="shared" si="29"/>
        <v>180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6</v>
      </c>
      <c r="P38" s="15">
        <f t="shared" si="1"/>
        <v>18</v>
      </c>
      <c r="R38" s="28" t="s">
        <v>86</v>
      </c>
      <c r="S38" s="16">
        <f t="shared" ref="S38:AF38" si="30">SUM(S13:S18)</f>
        <v>19</v>
      </c>
      <c r="T38" s="16">
        <f t="shared" si="30"/>
        <v>5</v>
      </c>
      <c r="U38" s="16">
        <f t="shared" si="30"/>
        <v>21</v>
      </c>
      <c r="V38" s="16">
        <f t="shared" si="30"/>
        <v>11</v>
      </c>
      <c r="W38" s="16">
        <f t="shared" si="30"/>
        <v>0</v>
      </c>
      <c r="X38" s="16">
        <f t="shared" si="30"/>
        <v>1</v>
      </c>
      <c r="Y38" s="16">
        <f t="shared" si="30"/>
        <v>30</v>
      </c>
      <c r="Z38" s="16">
        <f t="shared" si="30"/>
        <v>0</v>
      </c>
      <c r="AA38" s="16">
        <f t="shared" si="30"/>
        <v>0</v>
      </c>
      <c r="AB38" s="16">
        <f t="shared" si="30"/>
        <v>9</v>
      </c>
      <c r="AC38" s="16">
        <f t="shared" si="30"/>
        <v>275</v>
      </c>
      <c r="AD38" s="16">
        <f t="shared" si="30"/>
        <v>0</v>
      </c>
      <c r="AE38" s="32">
        <f t="shared" si="30"/>
        <v>96</v>
      </c>
      <c r="AF38" s="32">
        <f t="shared" si="30"/>
        <v>371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5</v>
      </c>
      <c r="N39" s="50">
        <v>0</v>
      </c>
      <c r="O39" s="15">
        <f t="shared" si="0"/>
        <v>6</v>
      </c>
      <c r="P39" s="15">
        <f t="shared" si="1"/>
        <v>11</v>
      </c>
      <c r="R39" s="29" t="s">
        <v>87</v>
      </c>
      <c r="S39" s="16">
        <f t="shared" ref="S39:AF39" si="31">SUM(S19:S21)</f>
        <v>12</v>
      </c>
      <c r="T39" s="16">
        <f t="shared" si="31"/>
        <v>3</v>
      </c>
      <c r="U39" s="16">
        <f t="shared" si="31"/>
        <v>7</v>
      </c>
      <c r="V39" s="16">
        <f t="shared" si="31"/>
        <v>7</v>
      </c>
      <c r="W39" s="16">
        <f t="shared" si="31"/>
        <v>0</v>
      </c>
      <c r="X39" s="16">
        <f t="shared" si="31"/>
        <v>1</v>
      </c>
      <c r="Y39" s="16">
        <f t="shared" si="31"/>
        <v>16</v>
      </c>
      <c r="Z39" s="16">
        <f t="shared" si="31"/>
        <v>1</v>
      </c>
      <c r="AA39" s="16">
        <f t="shared" si="31"/>
        <v>3</v>
      </c>
      <c r="AB39" s="16">
        <f t="shared" si="31"/>
        <v>5</v>
      </c>
      <c r="AC39" s="16">
        <f t="shared" si="31"/>
        <v>123</v>
      </c>
      <c r="AD39" s="16">
        <f t="shared" si="31"/>
        <v>0</v>
      </c>
      <c r="AE39" s="32">
        <f t="shared" si="31"/>
        <v>55</v>
      </c>
      <c r="AF39" s="32">
        <f t="shared" si="31"/>
        <v>178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5</v>
      </c>
      <c r="P40" s="15">
        <f t="shared" si="1"/>
        <v>17</v>
      </c>
      <c r="R40" s="5" t="s">
        <v>17</v>
      </c>
      <c r="S40" s="16">
        <f t="shared" ref="S40:AF40" si="32">SUM(S10:S21)</f>
        <v>37</v>
      </c>
      <c r="T40" s="16">
        <f t="shared" si="32"/>
        <v>10</v>
      </c>
      <c r="U40" s="16">
        <f t="shared" si="32"/>
        <v>37</v>
      </c>
      <c r="V40" s="16">
        <f t="shared" si="32"/>
        <v>20</v>
      </c>
      <c r="W40" s="16">
        <f t="shared" si="32"/>
        <v>1</v>
      </c>
      <c r="X40" s="16">
        <f t="shared" si="32"/>
        <v>3</v>
      </c>
      <c r="Y40" s="16">
        <f t="shared" si="32"/>
        <v>55</v>
      </c>
      <c r="Z40" s="16">
        <f t="shared" si="32"/>
        <v>1</v>
      </c>
      <c r="AA40" s="16">
        <f t="shared" si="32"/>
        <v>3</v>
      </c>
      <c r="AB40" s="16">
        <f t="shared" si="32"/>
        <v>23</v>
      </c>
      <c r="AC40" s="16">
        <f t="shared" si="32"/>
        <v>539</v>
      </c>
      <c r="AD40" s="16">
        <f t="shared" si="32"/>
        <v>0</v>
      </c>
      <c r="AE40" s="32">
        <f t="shared" si="32"/>
        <v>190</v>
      </c>
      <c r="AF40" s="32">
        <f t="shared" si="32"/>
        <v>729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5</v>
      </c>
      <c r="M41" s="50">
        <v>12</v>
      </c>
      <c r="N41" s="50">
        <v>0</v>
      </c>
      <c r="O41" s="15">
        <f t="shared" si="0"/>
        <v>7</v>
      </c>
      <c r="P41" s="15">
        <f t="shared" si="1"/>
        <v>19</v>
      </c>
      <c r="R41" s="5" t="s">
        <v>159</v>
      </c>
      <c r="S41" s="16">
        <f>SUM(S10:S33)</f>
        <v>53</v>
      </c>
      <c r="T41" s="16">
        <f t="shared" ref="T41:AF41" si="33">SUM(T10:T33)</f>
        <v>12</v>
      </c>
      <c r="U41" s="16">
        <f t="shared" si="33"/>
        <v>49</v>
      </c>
      <c r="V41" s="16">
        <f t="shared" si="33"/>
        <v>20</v>
      </c>
      <c r="W41" s="16">
        <f t="shared" si="33"/>
        <v>1</v>
      </c>
      <c r="X41" s="16">
        <f t="shared" si="33"/>
        <v>8</v>
      </c>
      <c r="Y41" s="16">
        <f t="shared" si="33"/>
        <v>64</v>
      </c>
      <c r="Z41" s="16">
        <f t="shared" si="33"/>
        <v>4</v>
      </c>
      <c r="AA41" s="16">
        <f t="shared" si="33"/>
        <v>4</v>
      </c>
      <c r="AB41" s="16">
        <f t="shared" si="33"/>
        <v>34</v>
      </c>
      <c r="AC41" s="16">
        <f t="shared" si="33"/>
        <v>663</v>
      </c>
      <c r="AD41" s="16">
        <f t="shared" si="33"/>
        <v>0</v>
      </c>
      <c r="AE41" s="32">
        <f t="shared" si="33"/>
        <v>249</v>
      </c>
      <c r="AF41" s="32">
        <f t="shared" si="33"/>
        <v>912</v>
      </c>
    </row>
    <row r="42" spans="2:32" ht="23.1" customHeight="1" x14ac:dyDescent="0.25">
      <c r="B42" s="46" t="s">
        <v>69</v>
      </c>
      <c r="C42" s="50">
        <v>0</v>
      </c>
      <c r="D42" s="50">
        <v>1</v>
      </c>
      <c r="E42" s="50">
        <v>2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5</v>
      </c>
      <c r="P42" s="15">
        <f t="shared" si="1"/>
        <v>19</v>
      </c>
      <c r="R42" s="5" t="s">
        <v>160</v>
      </c>
      <c r="S42" s="48">
        <f>S41/S40</f>
        <v>1.4324324324324325</v>
      </c>
      <c r="T42" s="48">
        <f t="shared" ref="T42:AF42" si="34">T41/T40</f>
        <v>1.2</v>
      </c>
      <c r="U42" s="48">
        <f t="shared" si="34"/>
        <v>1.3243243243243243</v>
      </c>
      <c r="V42" s="48">
        <f t="shared" si="34"/>
        <v>1</v>
      </c>
      <c r="W42" s="48">
        <f t="shared" si="34"/>
        <v>1</v>
      </c>
      <c r="X42" s="48">
        <f t="shared" si="34"/>
        <v>2.6666666666666665</v>
      </c>
      <c r="Y42" s="48">
        <f t="shared" si="34"/>
        <v>1.1636363636363636</v>
      </c>
      <c r="Z42" s="48">
        <f t="shared" si="34"/>
        <v>4</v>
      </c>
      <c r="AA42" s="48">
        <f t="shared" si="34"/>
        <v>1.3333333333333333</v>
      </c>
      <c r="AB42" s="48">
        <f t="shared" si="34"/>
        <v>1.4782608695652173</v>
      </c>
      <c r="AC42" s="48">
        <f t="shared" si="34"/>
        <v>1.2300556586270872</v>
      </c>
      <c r="AD42" s="48" t="e">
        <f t="shared" si="34"/>
        <v>#DIV/0!</v>
      </c>
      <c r="AE42" s="48">
        <f t="shared" si="34"/>
        <v>1.3105263157894738</v>
      </c>
      <c r="AF42" s="48">
        <f t="shared" si="34"/>
        <v>1.2510288065843622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2</v>
      </c>
      <c r="P43" s="15">
        <f t="shared" si="1"/>
        <v>10</v>
      </c>
    </row>
    <row r="44" spans="2:32" ht="23.1" customHeight="1" x14ac:dyDescent="0.25">
      <c r="B44" s="47" t="s">
        <v>71</v>
      </c>
      <c r="C44" s="50">
        <v>2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3</v>
      </c>
      <c r="P44" s="15">
        <f t="shared" si="1"/>
        <v>10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1</v>
      </c>
      <c r="M45" s="50">
        <v>9</v>
      </c>
      <c r="N45" s="50">
        <v>0</v>
      </c>
      <c r="O45" s="15">
        <f t="shared" si="0"/>
        <v>1</v>
      </c>
      <c r="P45" s="15">
        <f t="shared" si="1"/>
        <v>10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1</v>
      </c>
      <c r="L46" s="50">
        <v>1</v>
      </c>
      <c r="M46" s="50">
        <v>9</v>
      </c>
      <c r="N46" s="50">
        <v>0</v>
      </c>
      <c r="O46" s="15">
        <f t="shared" si="0"/>
        <v>5</v>
      </c>
      <c r="P46" s="15">
        <f t="shared" si="1"/>
        <v>14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5</v>
      </c>
      <c r="P47" s="15">
        <f t="shared" si="1"/>
        <v>17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5</v>
      </c>
      <c r="N48" s="50">
        <v>0</v>
      </c>
      <c r="O48" s="15">
        <f t="shared" si="0"/>
        <v>4</v>
      </c>
      <c r="P48" s="15">
        <f t="shared" si="1"/>
        <v>9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0</v>
      </c>
      <c r="F49" s="50">
        <v>2</v>
      </c>
      <c r="G49" s="50">
        <v>0</v>
      </c>
      <c r="H49" s="50">
        <v>1</v>
      </c>
      <c r="I49" s="50">
        <v>3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8</v>
      </c>
      <c r="P49" s="15">
        <f t="shared" si="1"/>
        <v>22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1</v>
      </c>
      <c r="E50" s="50">
        <v>2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4</v>
      </c>
      <c r="P50" s="15">
        <f t="shared" si="1"/>
        <v>15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1</v>
      </c>
      <c r="M51" s="50">
        <v>10</v>
      </c>
      <c r="N51" s="50">
        <v>0</v>
      </c>
      <c r="O51" s="15">
        <f t="shared" si="0"/>
        <v>5</v>
      </c>
      <c r="P51" s="15">
        <f t="shared" si="1"/>
        <v>15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4</v>
      </c>
      <c r="P52" s="15">
        <f t="shared" si="1"/>
        <v>9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1</v>
      </c>
      <c r="M53" s="50">
        <v>7</v>
      </c>
      <c r="N53" s="50">
        <v>0</v>
      </c>
      <c r="O53" s="15">
        <f t="shared" si="0"/>
        <v>2</v>
      </c>
      <c r="P53" s="15">
        <f t="shared" si="1"/>
        <v>9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10</v>
      </c>
      <c r="N54" s="50">
        <v>0</v>
      </c>
      <c r="O54" s="15">
        <f t="shared" si="0"/>
        <v>1</v>
      </c>
      <c r="P54" s="15">
        <f t="shared" si="1"/>
        <v>11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1</v>
      </c>
      <c r="M55" s="50">
        <v>14</v>
      </c>
      <c r="N55" s="50">
        <v>0</v>
      </c>
      <c r="O55" s="15">
        <f t="shared" si="0"/>
        <v>2</v>
      </c>
      <c r="P55" s="15">
        <f t="shared" si="1"/>
        <v>16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1</v>
      </c>
      <c r="E56" s="50">
        <v>2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1</v>
      </c>
      <c r="L56" s="50">
        <v>1</v>
      </c>
      <c r="M56" s="50">
        <v>12</v>
      </c>
      <c r="N56" s="50">
        <v>0</v>
      </c>
      <c r="O56" s="15">
        <f t="shared" si="0"/>
        <v>7</v>
      </c>
      <c r="P56" s="15">
        <f t="shared" si="1"/>
        <v>19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1</v>
      </c>
      <c r="E57" s="50">
        <v>2</v>
      </c>
      <c r="F57" s="50">
        <v>2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14</v>
      </c>
      <c r="N57" s="50">
        <v>0</v>
      </c>
      <c r="O57" s="15">
        <f t="shared" si="0"/>
        <v>8</v>
      </c>
      <c r="P57" s="15">
        <f t="shared" si="1"/>
        <v>22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1</v>
      </c>
      <c r="E58" s="50">
        <v>2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1</v>
      </c>
      <c r="L58" s="50">
        <f>ROUNDDOWN((0.4*E58),0)</f>
        <v>0</v>
      </c>
      <c r="M58" s="50">
        <v>3</v>
      </c>
      <c r="N58" s="50">
        <v>0</v>
      </c>
      <c r="O58" s="15">
        <f t="shared" si="0"/>
        <v>7</v>
      </c>
      <c r="P58" s="15">
        <f t="shared" si="1"/>
        <v>10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2</v>
      </c>
      <c r="K59" s="50">
        <v>0</v>
      </c>
      <c r="L59" s="50">
        <v>0</v>
      </c>
      <c r="M59" s="50">
        <v>10</v>
      </c>
      <c r="N59" s="50">
        <v>0</v>
      </c>
      <c r="O59" s="15">
        <f t="shared" si="0"/>
        <v>3</v>
      </c>
      <c r="P59" s="15">
        <f t="shared" si="1"/>
        <v>13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11</v>
      </c>
      <c r="N60" s="50">
        <v>0</v>
      </c>
      <c r="O60" s="15">
        <f t="shared" si="0"/>
        <v>1</v>
      </c>
      <c r="P60" s="15">
        <f t="shared" si="1"/>
        <v>12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1</v>
      </c>
      <c r="I61" s="50">
        <v>0</v>
      </c>
      <c r="J61" s="50">
        <v>0</v>
      </c>
      <c r="K61" s="50">
        <v>0</v>
      </c>
      <c r="L61" s="50">
        <v>0</v>
      </c>
      <c r="M61" s="50">
        <v>4</v>
      </c>
      <c r="N61" s="50">
        <v>0</v>
      </c>
      <c r="O61" s="15">
        <f t="shared" si="0"/>
        <v>1</v>
      </c>
      <c r="P61" s="15">
        <f t="shared" si="1"/>
        <v>5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1</v>
      </c>
      <c r="E62" s="50">
        <v>3</v>
      </c>
      <c r="F62" s="50">
        <v>0</v>
      </c>
      <c r="G62" s="50">
        <v>0</v>
      </c>
      <c r="H62" s="50">
        <v>0</v>
      </c>
      <c r="I62" s="50">
        <v>2</v>
      </c>
      <c r="J62" s="50">
        <v>0</v>
      </c>
      <c r="K62" s="50">
        <v>0</v>
      </c>
      <c r="L62" s="50">
        <v>0</v>
      </c>
      <c r="M62" s="50">
        <v>15</v>
      </c>
      <c r="N62" s="50">
        <v>0</v>
      </c>
      <c r="O62" s="15">
        <f t="shared" si="0"/>
        <v>8</v>
      </c>
      <c r="P62" s="15">
        <f t="shared" si="1"/>
        <v>23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10</v>
      </c>
      <c r="N63" s="50">
        <v>0</v>
      </c>
      <c r="O63" s="15">
        <f t="shared" si="0"/>
        <v>3</v>
      </c>
      <c r="P63" s="15">
        <f t="shared" si="1"/>
        <v>13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3</v>
      </c>
      <c r="N64" s="50">
        <v>0</v>
      </c>
      <c r="O64" s="15">
        <f t="shared" si="0"/>
        <v>2</v>
      </c>
      <c r="P64" s="15">
        <f t="shared" si="1"/>
        <v>5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2</v>
      </c>
      <c r="N65" s="50">
        <v>0</v>
      </c>
      <c r="O65" s="15">
        <f t="shared" si="0"/>
        <v>1</v>
      </c>
      <c r="P65" s="15">
        <f t="shared" si="1"/>
        <v>3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1</v>
      </c>
      <c r="M66" s="50">
        <v>2</v>
      </c>
      <c r="N66" s="50">
        <v>0</v>
      </c>
      <c r="O66" s="15">
        <f t="shared" si="0"/>
        <v>2</v>
      </c>
      <c r="P66" s="15">
        <f t="shared" si="1"/>
        <v>4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0</v>
      </c>
      <c r="G67" s="50">
        <v>0</v>
      </c>
      <c r="H67" s="50">
        <v>1</v>
      </c>
      <c r="I67" s="50">
        <v>0</v>
      </c>
      <c r="J67" s="50">
        <v>0</v>
      </c>
      <c r="K67" s="50">
        <v>0</v>
      </c>
      <c r="L67" s="50">
        <v>1</v>
      </c>
      <c r="M67" s="50">
        <v>1</v>
      </c>
      <c r="N67" s="50">
        <v>0</v>
      </c>
      <c r="O67" s="15">
        <f t="shared" si="0"/>
        <v>3</v>
      </c>
      <c r="P67" s="15">
        <f t="shared" si="1"/>
        <v>4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2</v>
      </c>
      <c r="I68" s="50">
        <v>0</v>
      </c>
      <c r="J68" s="50">
        <v>0</v>
      </c>
      <c r="K68" s="50">
        <v>0</v>
      </c>
      <c r="L68" s="50">
        <v>0</v>
      </c>
      <c r="M68" s="50">
        <v>10</v>
      </c>
      <c r="N68" s="50">
        <v>0</v>
      </c>
      <c r="O68" s="15">
        <f t="shared" si="0"/>
        <v>2</v>
      </c>
      <c r="P68" s="15">
        <f t="shared" si="1"/>
        <v>12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0</v>
      </c>
      <c r="E69" s="50">
        <v>1</v>
      </c>
      <c r="F69" s="50">
        <v>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3</v>
      </c>
      <c r="N69" s="50">
        <v>0</v>
      </c>
      <c r="O69" s="15">
        <f t="shared" si="0"/>
        <v>4</v>
      </c>
      <c r="P69" s="15">
        <f t="shared" si="1"/>
        <v>7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1</v>
      </c>
      <c r="I70" s="50">
        <v>1</v>
      </c>
      <c r="J70" s="50">
        <v>0</v>
      </c>
      <c r="K70" s="50">
        <v>0</v>
      </c>
      <c r="L70" s="50">
        <v>0</v>
      </c>
      <c r="M70" s="50">
        <v>6</v>
      </c>
      <c r="N70" s="50">
        <v>0</v>
      </c>
      <c r="O70" s="15">
        <f t="shared" si="0"/>
        <v>3</v>
      </c>
      <c r="P70" s="15">
        <f t="shared" si="1"/>
        <v>9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0</v>
      </c>
      <c r="P71" s="15">
        <f t="shared" si="1"/>
        <v>2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4</v>
      </c>
      <c r="N72" s="50">
        <v>0</v>
      </c>
      <c r="O72" s="15">
        <f t="shared" si="0"/>
        <v>0</v>
      </c>
      <c r="P72" s="15">
        <f t="shared" si="1"/>
        <v>4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5</v>
      </c>
      <c r="N73" s="50">
        <v>0</v>
      </c>
      <c r="O73" s="15">
        <f t="shared" si="0"/>
        <v>1</v>
      </c>
      <c r="P73" s="15">
        <f t="shared" si="1"/>
        <v>6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4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</v>
      </c>
      <c r="N76" s="50">
        <v>0</v>
      </c>
      <c r="O76" s="15">
        <f t="shared" si="35"/>
        <v>1</v>
      </c>
      <c r="P76" s="15">
        <f t="shared" si="36"/>
        <v>4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2</v>
      </c>
      <c r="M77" s="50">
        <v>1</v>
      </c>
      <c r="N77" s="50">
        <v>0</v>
      </c>
      <c r="O77" s="15">
        <f t="shared" si="35"/>
        <v>2</v>
      </c>
      <c r="P77" s="15">
        <f t="shared" si="36"/>
        <v>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</v>
      </c>
      <c r="N78" s="50">
        <v>0</v>
      </c>
      <c r="O78" s="15">
        <f t="shared" si="35"/>
        <v>0</v>
      </c>
      <c r="P78" s="15">
        <f t="shared" si="36"/>
        <v>3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1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1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</v>
      </c>
      <c r="M82" s="50">
        <v>0</v>
      </c>
      <c r="N82" s="50"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1</v>
      </c>
      <c r="M85" s="50">
        <v>0</v>
      </c>
      <c r="N85" s="50">
        <v>0</v>
      </c>
      <c r="O85" s="15">
        <f t="shared" si="35"/>
        <v>4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0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</v>
      </c>
      <c r="N89" s="50">
        <v>0</v>
      </c>
      <c r="O89" s="15">
        <f t="shared" si="35"/>
        <v>0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1</v>
      </c>
      <c r="M93" s="50">
        <v>1</v>
      </c>
      <c r="N93" s="50">
        <v>0</v>
      </c>
      <c r="O93" s="15">
        <f t="shared" si="35"/>
        <v>1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1</v>
      </c>
      <c r="M95" s="50">
        <v>1</v>
      </c>
      <c r="N95" s="50">
        <v>0</v>
      </c>
      <c r="O95" s="15">
        <f t="shared" si="35"/>
        <v>1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1</v>
      </c>
      <c r="M96" s="50">
        <v>0</v>
      </c>
      <c r="N96" s="50"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1</v>
      </c>
      <c r="M99" s="50">
        <v>1</v>
      </c>
      <c r="N99" s="50"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0</v>
      </c>
      <c r="P102" s="15">
        <f t="shared" si="36"/>
        <v>2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2</v>
      </c>
      <c r="P104" s="15">
        <f t="shared" si="36"/>
        <v>5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1</v>
      </c>
      <c r="M105" s="50">
        <v>7</v>
      </c>
      <c r="N105" s="50">
        <v>0</v>
      </c>
      <c r="O105" s="15">
        <f t="shared" si="35"/>
        <v>2</v>
      </c>
      <c r="P105" s="15">
        <f t="shared" si="36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53</v>
      </c>
      <c r="D106" s="16">
        <f t="shared" ref="D106:P106" si="37">SUM(D10:D105)</f>
        <v>12</v>
      </c>
      <c r="E106" s="16">
        <f t="shared" si="37"/>
        <v>49</v>
      </c>
      <c r="F106" s="16">
        <f t="shared" si="37"/>
        <v>20</v>
      </c>
      <c r="G106" s="16">
        <f t="shared" si="37"/>
        <v>1</v>
      </c>
      <c r="H106" s="16">
        <f t="shared" si="37"/>
        <v>8</v>
      </c>
      <c r="I106" s="16">
        <f t="shared" si="37"/>
        <v>64</v>
      </c>
      <c r="J106" s="16">
        <f t="shared" si="37"/>
        <v>4</v>
      </c>
      <c r="K106" s="16">
        <f t="shared" si="37"/>
        <v>4</v>
      </c>
      <c r="L106" s="16">
        <f t="shared" si="37"/>
        <v>34</v>
      </c>
      <c r="M106" s="16">
        <f t="shared" si="37"/>
        <v>663</v>
      </c>
      <c r="N106" s="16">
        <f t="shared" si="37"/>
        <v>0</v>
      </c>
      <c r="O106" s="16">
        <f t="shared" si="37"/>
        <v>249</v>
      </c>
      <c r="P106" s="16">
        <f t="shared" si="37"/>
        <v>912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5.8114035087719298E-2</v>
      </c>
      <c r="D107" s="43">
        <f t="shared" si="38"/>
        <v>1.3157894736842105E-2</v>
      </c>
      <c r="E107" s="43">
        <f t="shared" si="38"/>
        <v>5.3728070175438597E-2</v>
      </c>
      <c r="F107" s="43">
        <f t="shared" si="38"/>
        <v>2.1929824561403508E-2</v>
      </c>
      <c r="G107" s="43">
        <f t="shared" si="38"/>
        <v>1.0964912280701754E-3</v>
      </c>
      <c r="H107" s="43">
        <f t="shared" si="38"/>
        <v>8.771929824561403E-3</v>
      </c>
      <c r="I107" s="43">
        <f t="shared" si="38"/>
        <v>7.0175438596491224E-2</v>
      </c>
      <c r="J107" s="43">
        <f t="shared" si="38"/>
        <v>4.3859649122807015E-3</v>
      </c>
      <c r="K107" s="43">
        <f t="shared" si="38"/>
        <v>4.3859649122807015E-3</v>
      </c>
      <c r="L107" s="43">
        <f t="shared" si="38"/>
        <v>3.7280701754385963E-2</v>
      </c>
      <c r="M107" s="43">
        <f t="shared" si="38"/>
        <v>0.72697368421052633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0.21285140562248997</v>
      </c>
      <c r="D108" s="44">
        <f t="shared" ref="D108:N108" si="39">D106/$O$106</f>
        <v>4.8192771084337352E-2</v>
      </c>
      <c r="E108" s="44">
        <f t="shared" si="39"/>
        <v>0.19678714859437751</v>
      </c>
      <c r="F108" s="44">
        <f t="shared" si="39"/>
        <v>8.0321285140562249E-2</v>
      </c>
      <c r="G108" s="44">
        <f t="shared" si="39"/>
        <v>4.0160642570281121E-3</v>
      </c>
      <c r="H108" s="44">
        <f t="shared" si="39"/>
        <v>3.2128514056224897E-2</v>
      </c>
      <c r="I108" s="44">
        <f t="shared" si="39"/>
        <v>0.25702811244979917</v>
      </c>
      <c r="J108" s="44">
        <f t="shared" si="39"/>
        <v>1.6064257028112448E-2</v>
      </c>
      <c r="K108" s="44">
        <f t="shared" si="39"/>
        <v>1.6064257028112448E-2</v>
      </c>
      <c r="L108" s="44">
        <f t="shared" si="39"/>
        <v>0.13654618473895583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topLeftCell="A46" zoomScale="60" workbookViewId="0">
      <selection activeCell="M55" sqref="M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Goli-Nebbi'!C3:G3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5" t="str">
        <f>'31.07 Goli-Nebbi'!G5:H5</f>
        <v>Goli</v>
      </c>
      <c r="H5" s="66"/>
      <c r="I5" s="14"/>
      <c r="J5" s="2" t="s">
        <v>5</v>
      </c>
      <c r="K5" s="65" t="str">
        <f>'31.07 Goli-Nebbi'!K5:L5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'31.07 Goli-Nebbi'!D6:E6</f>
        <v>Goli</v>
      </c>
      <c r="E6" s="66"/>
      <c r="F6" s="2" t="s">
        <v>2</v>
      </c>
      <c r="G6" s="65" t="str">
        <f>'31.07 Goli-Nebbi'!G6:H6</f>
        <v>Nebbi</v>
      </c>
      <c r="H6" s="66"/>
      <c r="J6" s="2" t="s">
        <v>21</v>
      </c>
      <c r="K6" s="65" t="str">
        <f>'31.07 Goli-Nebbi'!K6:L6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f>ROUNDDOWN((0.4*E10),0)</f>
        <v>0</v>
      </c>
      <c r="M10" s="50">
        <v>4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4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24</v>
      </c>
      <c r="AD10" s="17">
        <f t="shared" si="2"/>
        <v>0</v>
      </c>
      <c r="AE10" s="31">
        <f t="shared" si="2"/>
        <v>13</v>
      </c>
      <c r="AF10" s="31">
        <f t="shared" si="2"/>
        <v>37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4</v>
      </c>
      <c r="P11" s="15">
        <f t="shared" si="1"/>
        <v>6</v>
      </c>
      <c r="R11" s="1" t="s">
        <v>7</v>
      </c>
      <c r="S11" s="17">
        <f t="shared" ref="S11:AF11" si="3">SUM(C14:C17)</f>
        <v>3</v>
      </c>
      <c r="T11" s="17">
        <f t="shared" si="3"/>
        <v>2</v>
      </c>
      <c r="U11" s="17">
        <f t="shared" si="3"/>
        <v>5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27</v>
      </c>
      <c r="AD11" s="17">
        <f t="shared" si="3"/>
        <v>0</v>
      </c>
      <c r="AE11" s="31">
        <f t="shared" si="3"/>
        <v>12</v>
      </c>
      <c r="AF11" s="31">
        <f t="shared" si="3"/>
        <v>39</v>
      </c>
    </row>
    <row r="12" spans="2:32" ht="23.1" customHeight="1" x14ac:dyDescent="0.25">
      <c r="B12" s="23" t="s">
        <v>39</v>
      </c>
      <c r="C12" s="50">
        <v>1</v>
      </c>
      <c r="D12" s="50">
        <v>1</v>
      </c>
      <c r="E12" s="50">
        <v>3</v>
      </c>
      <c r="F12" s="50">
        <v>0</v>
      </c>
      <c r="G12" s="50">
        <v>0</v>
      </c>
      <c r="H12" s="50">
        <v>0</v>
      </c>
      <c r="I12" s="50">
        <v>0</v>
      </c>
      <c r="J12" s="50">
        <v>3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8</v>
      </c>
      <c r="P12" s="15">
        <f t="shared" si="1"/>
        <v>16</v>
      </c>
      <c r="R12" s="1" t="s">
        <v>8</v>
      </c>
      <c r="S12" s="17">
        <f t="shared" ref="S12:AF12" si="4">SUM(C18:C21)</f>
        <v>8</v>
      </c>
      <c r="T12" s="17">
        <f t="shared" si="4"/>
        <v>1</v>
      </c>
      <c r="U12" s="17">
        <f t="shared" si="4"/>
        <v>4</v>
      </c>
      <c r="V12" s="17">
        <f t="shared" si="4"/>
        <v>0</v>
      </c>
      <c r="W12" s="17">
        <f t="shared" si="4"/>
        <v>1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1</v>
      </c>
      <c r="AB12" s="17">
        <f t="shared" si="4"/>
        <v>4</v>
      </c>
      <c r="AC12" s="17">
        <f t="shared" si="4"/>
        <v>49</v>
      </c>
      <c r="AD12" s="17">
        <f t="shared" si="4"/>
        <v>0</v>
      </c>
      <c r="AE12" s="31">
        <f t="shared" si="4"/>
        <v>22</v>
      </c>
      <c r="AF12" s="31">
        <f t="shared" si="4"/>
        <v>71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10</v>
      </c>
      <c r="N13" s="50">
        <v>0</v>
      </c>
      <c r="O13" s="15">
        <f t="shared" si="0"/>
        <v>0</v>
      </c>
      <c r="P13" s="15">
        <f t="shared" si="1"/>
        <v>10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0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58</v>
      </c>
      <c r="AD13" s="17">
        <f t="shared" si="5"/>
        <v>0</v>
      </c>
      <c r="AE13" s="31">
        <f t="shared" si="5"/>
        <v>13</v>
      </c>
      <c r="AF13" s="31">
        <f t="shared" si="5"/>
        <v>71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4</v>
      </c>
      <c r="P14" s="15">
        <f t="shared" si="1"/>
        <v>10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4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2</v>
      </c>
      <c r="AB14" s="17">
        <f t="shared" si="6"/>
        <v>2</v>
      </c>
      <c r="AC14" s="17">
        <f t="shared" si="6"/>
        <v>57</v>
      </c>
      <c r="AD14" s="17">
        <f t="shared" si="6"/>
        <v>0</v>
      </c>
      <c r="AE14" s="31">
        <f t="shared" si="6"/>
        <v>14</v>
      </c>
      <c r="AF14" s="31">
        <f t="shared" si="6"/>
        <v>71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1</v>
      </c>
      <c r="P15" s="15">
        <f t="shared" si="1"/>
        <v>5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0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58</v>
      </c>
      <c r="AD15" s="17">
        <f t="shared" si="7"/>
        <v>0</v>
      </c>
      <c r="AE15" s="31">
        <f t="shared" si="7"/>
        <v>8</v>
      </c>
      <c r="AF15" s="31">
        <f t="shared" si="7"/>
        <v>66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1</v>
      </c>
      <c r="P16" s="15">
        <f t="shared" si="1"/>
        <v>9</v>
      </c>
      <c r="R16" s="1" t="s">
        <v>12</v>
      </c>
      <c r="S16" s="17">
        <f t="shared" ref="S16:AF16" si="8">SUM(C34:C37)</f>
        <v>3</v>
      </c>
      <c r="T16" s="17">
        <f t="shared" si="8"/>
        <v>1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2</v>
      </c>
      <c r="AC16" s="17">
        <f t="shared" si="8"/>
        <v>48</v>
      </c>
      <c r="AD16" s="17">
        <f t="shared" si="8"/>
        <v>0</v>
      </c>
      <c r="AE16" s="31">
        <f t="shared" si="8"/>
        <v>10</v>
      </c>
      <c r="AF16" s="31">
        <f t="shared" si="8"/>
        <v>58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2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6</v>
      </c>
      <c r="P17" s="15">
        <f t="shared" si="1"/>
        <v>15</v>
      </c>
      <c r="R17" s="1" t="s">
        <v>13</v>
      </c>
      <c r="S17" s="17">
        <f t="shared" ref="S17:AF17" si="9">SUM(C38:C41)</f>
        <v>1</v>
      </c>
      <c r="T17" s="17">
        <f t="shared" si="9"/>
        <v>1</v>
      </c>
      <c r="U17" s="17">
        <f t="shared" si="9"/>
        <v>3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49</v>
      </c>
      <c r="AD17" s="17">
        <f t="shared" si="9"/>
        <v>0</v>
      </c>
      <c r="AE17" s="31">
        <f t="shared" si="9"/>
        <v>10</v>
      </c>
      <c r="AF17" s="31">
        <f t="shared" si="9"/>
        <v>59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1</v>
      </c>
      <c r="H18" s="50">
        <v>0</v>
      </c>
      <c r="I18" s="50">
        <v>1</v>
      </c>
      <c r="J18" s="50">
        <v>0</v>
      </c>
      <c r="K18" s="50">
        <v>0</v>
      </c>
      <c r="L18" s="50">
        <v>3</v>
      </c>
      <c r="M18" s="50">
        <v>6</v>
      </c>
      <c r="N18" s="50">
        <v>0</v>
      </c>
      <c r="O18" s="15">
        <f t="shared" si="0"/>
        <v>6</v>
      </c>
      <c r="P18" s="15">
        <f t="shared" si="1"/>
        <v>12</v>
      </c>
      <c r="R18" s="1" t="s">
        <v>14</v>
      </c>
      <c r="S18" s="17">
        <f t="shared" ref="S18:AF18" si="10">SUM(C42:C45)</f>
        <v>1</v>
      </c>
      <c r="T18" s="17">
        <f t="shared" si="10"/>
        <v>1</v>
      </c>
      <c r="U18" s="17">
        <f t="shared" si="10"/>
        <v>3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52</v>
      </c>
      <c r="AD18" s="17">
        <f t="shared" si="10"/>
        <v>0</v>
      </c>
      <c r="AE18" s="31">
        <f t="shared" si="10"/>
        <v>9</v>
      </c>
      <c r="AF18" s="31">
        <f t="shared" si="10"/>
        <v>61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1</v>
      </c>
      <c r="M19" s="50">
        <v>15</v>
      </c>
      <c r="N19" s="50">
        <v>0</v>
      </c>
      <c r="O19" s="15">
        <f t="shared" si="0"/>
        <v>4</v>
      </c>
      <c r="P19" s="15">
        <f t="shared" si="1"/>
        <v>19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1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2</v>
      </c>
      <c r="AC19" s="17">
        <f t="shared" si="11"/>
        <v>47</v>
      </c>
      <c r="AD19" s="17">
        <f t="shared" si="11"/>
        <v>0</v>
      </c>
      <c r="AE19" s="31">
        <f t="shared" si="11"/>
        <v>12</v>
      </c>
      <c r="AF19" s="31">
        <f t="shared" si="11"/>
        <v>59</v>
      </c>
    </row>
    <row r="20" spans="2:32" ht="23.1" customHeight="1" x14ac:dyDescent="0.25">
      <c r="B20" s="23" t="s">
        <v>47</v>
      </c>
      <c r="C20" s="50">
        <v>3</v>
      </c>
      <c r="D20" s="50">
        <v>1</v>
      </c>
      <c r="E20" s="50">
        <v>2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12</v>
      </c>
      <c r="N20" s="50">
        <v>0</v>
      </c>
      <c r="O20" s="15">
        <f t="shared" si="0"/>
        <v>7</v>
      </c>
      <c r="P20" s="15">
        <f t="shared" si="1"/>
        <v>19</v>
      </c>
      <c r="R20" s="1" t="s">
        <v>16</v>
      </c>
      <c r="S20" s="17">
        <f t="shared" ref="S20:AF20" si="12">SUM(C50:C53)</f>
        <v>7</v>
      </c>
      <c r="T20" s="17">
        <f t="shared" si="12"/>
        <v>1</v>
      </c>
      <c r="U20" s="17">
        <f t="shared" si="12"/>
        <v>4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1</v>
      </c>
      <c r="AC20" s="17">
        <f t="shared" si="12"/>
        <v>35</v>
      </c>
      <c r="AD20" s="17">
        <f t="shared" si="12"/>
        <v>0</v>
      </c>
      <c r="AE20" s="31">
        <f t="shared" si="12"/>
        <v>16</v>
      </c>
      <c r="AF20" s="31">
        <f t="shared" si="12"/>
        <v>51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16</v>
      </c>
      <c r="N21" s="50">
        <v>0</v>
      </c>
      <c r="O21" s="15">
        <f t="shared" si="0"/>
        <v>5</v>
      </c>
      <c r="P21" s="15">
        <f t="shared" si="1"/>
        <v>21</v>
      </c>
      <c r="R21" s="36" t="s">
        <v>20</v>
      </c>
      <c r="S21" s="34">
        <f t="shared" ref="S21:AF21" si="13">SUM(C54:C57)</f>
        <v>4</v>
      </c>
      <c r="T21" s="17">
        <f t="shared" si="13"/>
        <v>2</v>
      </c>
      <c r="U21" s="17">
        <f t="shared" si="13"/>
        <v>4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0</v>
      </c>
      <c r="AB21" s="17">
        <f t="shared" si="13"/>
        <v>1</v>
      </c>
      <c r="AC21" s="17">
        <f t="shared" si="13"/>
        <v>31</v>
      </c>
      <c r="AD21" s="17">
        <f t="shared" si="13"/>
        <v>0</v>
      </c>
      <c r="AE21" s="31">
        <f t="shared" si="13"/>
        <v>17</v>
      </c>
      <c r="AF21" s="31">
        <f t="shared" si="13"/>
        <v>48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8</v>
      </c>
      <c r="N22" s="50">
        <v>0</v>
      </c>
      <c r="O22" s="15">
        <f t="shared" si="0"/>
        <v>2</v>
      </c>
      <c r="P22" s="15">
        <f t="shared" si="1"/>
        <v>10</v>
      </c>
      <c r="R22" s="38" t="s">
        <v>90</v>
      </c>
      <c r="S22" s="39">
        <f>MAX(S10:S12)</f>
        <v>8</v>
      </c>
      <c r="T22" s="39">
        <f t="shared" ref="T22:AF22" si="14">MAX(T10:T12)</f>
        <v>2</v>
      </c>
      <c r="U22" s="39">
        <f t="shared" si="14"/>
        <v>5</v>
      </c>
      <c r="V22" s="39">
        <f t="shared" si="14"/>
        <v>1</v>
      </c>
      <c r="W22" s="39">
        <f t="shared" si="14"/>
        <v>1</v>
      </c>
      <c r="X22" s="39">
        <f t="shared" si="14"/>
        <v>0</v>
      </c>
      <c r="Y22" s="39">
        <f t="shared" si="14"/>
        <v>3</v>
      </c>
      <c r="Z22" s="39">
        <f t="shared" si="14"/>
        <v>3</v>
      </c>
      <c r="AA22" s="39">
        <f t="shared" si="14"/>
        <v>1</v>
      </c>
      <c r="AB22" s="39">
        <f t="shared" si="14"/>
        <v>4</v>
      </c>
      <c r="AC22" s="39">
        <f t="shared" si="14"/>
        <v>49</v>
      </c>
      <c r="AD22" s="39">
        <f t="shared" si="14"/>
        <v>0</v>
      </c>
      <c r="AE22" s="40">
        <f t="shared" si="14"/>
        <v>22</v>
      </c>
      <c r="AF22" s="40">
        <f t="shared" si="14"/>
        <v>71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19</v>
      </c>
      <c r="N23" s="50">
        <v>0</v>
      </c>
      <c r="O23" s="15">
        <f t="shared" si="0"/>
        <v>4</v>
      </c>
      <c r="P23" s="15">
        <f t="shared" si="1"/>
        <v>23</v>
      </c>
      <c r="R23" s="38" t="s">
        <v>91</v>
      </c>
      <c r="S23" s="39">
        <f>MAX(S13:S18)</f>
        <v>5</v>
      </c>
      <c r="T23" s="39">
        <f t="shared" ref="T23:AF23" si="15">MAX(T13:T18)</f>
        <v>1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1</v>
      </c>
      <c r="AA23" s="39">
        <f t="shared" si="15"/>
        <v>2</v>
      </c>
      <c r="AB23" s="39">
        <f t="shared" si="15"/>
        <v>2</v>
      </c>
      <c r="AC23" s="39">
        <f t="shared" si="15"/>
        <v>58</v>
      </c>
      <c r="AD23" s="39">
        <f t="shared" si="15"/>
        <v>0</v>
      </c>
      <c r="AE23" s="40">
        <f t="shared" si="15"/>
        <v>14</v>
      </c>
      <c r="AF23" s="40">
        <f t="shared" si="15"/>
        <v>71</v>
      </c>
    </row>
    <row r="24" spans="2:32" ht="23.1" customHeight="1" x14ac:dyDescent="0.25">
      <c r="B24" s="23" t="s">
        <v>51</v>
      </c>
      <c r="C24" s="50">
        <v>3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12</v>
      </c>
      <c r="N24" s="50">
        <v>0</v>
      </c>
      <c r="O24" s="15">
        <f t="shared" si="0"/>
        <v>5</v>
      </c>
      <c r="P24" s="15">
        <f t="shared" si="1"/>
        <v>17</v>
      </c>
      <c r="R24" s="38" t="s">
        <v>92</v>
      </c>
      <c r="S24" s="39">
        <f>MAX(S19:S21)</f>
        <v>7</v>
      </c>
      <c r="T24" s="39">
        <f t="shared" ref="T24:AF24" si="16">MAX(T19:T21)</f>
        <v>2</v>
      </c>
      <c r="U24" s="39">
        <f t="shared" si="16"/>
        <v>4</v>
      </c>
      <c r="V24" s="39">
        <f t="shared" si="16"/>
        <v>4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1</v>
      </c>
      <c r="AA24" s="39">
        <f t="shared" si="16"/>
        <v>0</v>
      </c>
      <c r="AB24" s="39">
        <f t="shared" si="16"/>
        <v>2</v>
      </c>
      <c r="AC24" s="39">
        <f t="shared" si="16"/>
        <v>47</v>
      </c>
      <c r="AD24" s="39">
        <f t="shared" si="16"/>
        <v>0</v>
      </c>
      <c r="AE24" s="40">
        <f t="shared" si="16"/>
        <v>17</v>
      </c>
      <c r="AF24" s="40">
        <f t="shared" si="16"/>
        <v>59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19</v>
      </c>
      <c r="N25" s="50">
        <v>0</v>
      </c>
      <c r="O25" s="15">
        <f t="shared" si="0"/>
        <v>2</v>
      </c>
      <c r="P25" s="15">
        <f t="shared" si="1"/>
        <v>21</v>
      </c>
      <c r="R25" s="37" t="s">
        <v>85</v>
      </c>
      <c r="S25" s="35">
        <f t="shared" ref="S25:AF25" si="17">SUM(S10:S12)</f>
        <v>14</v>
      </c>
      <c r="T25" s="16">
        <f t="shared" si="17"/>
        <v>4</v>
      </c>
      <c r="U25" s="16">
        <f t="shared" si="17"/>
        <v>13</v>
      </c>
      <c r="V25" s="16">
        <f t="shared" si="17"/>
        <v>1</v>
      </c>
      <c r="W25" s="16">
        <f t="shared" si="17"/>
        <v>1</v>
      </c>
      <c r="X25" s="16">
        <f t="shared" si="17"/>
        <v>0</v>
      </c>
      <c r="Y25" s="16">
        <f t="shared" si="17"/>
        <v>5</v>
      </c>
      <c r="Z25" s="16">
        <f t="shared" si="17"/>
        <v>3</v>
      </c>
      <c r="AA25" s="16">
        <f t="shared" si="17"/>
        <v>2</v>
      </c>
      <c r="AB25" s="16">
        <f t="shared" si="17"/>
        <v>4</v>
      </c>
      <c r="AC25" s="16">
        <f t="shared" si="17"/>
        <v>100</v>
      </c>
      <c r="AD25" s="16">
        <f t="shared" si="17"/>
        <v>0</v>
      </c>
      <c r="AE25" s="32">
        <f t="shared" si="17"/>
        <v>47</v>
      </c>
      <c r="AF25" s="32">
        <f t="shared" si="17"/>
        <v>147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2</v>
      </c>
      <c r="P26" s="15">
        <f t="shared" si="1"/>
        <v>15</v>
      </c>
      <c r="R26" s="28" t="s">
        <v>86</v>
      </c>
      <c r="S26" s="16">
        <f t="shared" ref="S26:AF26" si="18">SUM(S13:S18)</f>
        <v>14</v>
      </c>
      <c r="T26" s="16">
        <f t="shared" si="18"/>
        <v>4</v>
      </c>
      <c r="U26" s="16">
        <f t="shared" si="18"/>
        <v>12</v>
      </c>
      <c r="V26" s="16">
        <f t="shared" si="18"/>
        <v>14</v>
      </c>
      <c r="W26" s="16">
        <f t="shared" si="18"/>
        <v>0</v>
      </c>
      <c r="X26" s="16">
        <f t="shared" si="18"/>
        <v>0</v>
      </c>
      <c r="Y26" s="16">
        <f t="shared" si="18"/>
        <v>12</v>
      </c>
      <c r="Z26" s="16">
        <f t="shared" si="18"/>
        <v>1</v>
      </c>
      <c r="AA26" s="16">
        <f t="shared" si="18"/>
        <v>2</v>
      </c>
      <c r="AB26" s="16">
        <f t="shared" si="18"/>
        <v>5</v>
      </c>
      <c r="AC26" s="16">
        <f t="shared" si="18"/>
        <v>322</v>
      </c>
      <c r="AD26" s="16">
        <f t="shared" si="18"/>
        <v>0</v>
      </c>
      <c r="AE26" s="32">
        <f t="shared" si="18"/>
        <v>64</v>
      </c>
      <c r="AF26" s="32">
        <f t="shared" si="18"/>
        <v>386</v>
      </c>
    </row>
    <row r="27" spans="2:32" ht="23.1" customHeight="1" x14ac:dyDescent="0.25">
      <c r="B27" s="23" t="s">
        <v>54</v>
      </c>
      <c r="C27" s="50">
        <v>0</v>
      </c>
      <c r="D27" s="50">
        <v>1</v>
      </c>
      <c r="E27" s="50">
        <v>2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16</v>
      </c>
      <c r="N27" s="50">
        <v>0</v>
      </c>
      <c r="O27" s="15">
        <f t="shared" si="0"/>
        <v>5</v>
      </c>
      <c r="P27" s="15">
        <f t="shared" si="1"/>
        <v>21</v>
      </c>
      <c r="R27" s="29" t="s">
        <v>87</v>
      </c>
      <c r="S27" s="16">
        <f t="shared" ref="S27:AF27" si="19">SUM(S19:S21)</f>
        <v>15</v>
      </c>
      <c r="T27" s="16">
        <f t="shared" si="19"/>
        <v>3</v>
      </c>
      <c r="U27" s="16">
        <f t="shared" si="19"/>
        <v>9</v>
      </c>
      <c r="V27" s="16">
        <f t="shared" si="19"/>
        <v>9</v>
      </c>
      <c r="W27" s="16">
        <f t="shared" si="19"/>
        <v>0</v>
      </c>
      <c r="X27" s="16">
        <f t="shared" si="19"/>
        <v>0</v>
      </c>
      <c r="Y27" s="16">
        <f t="shared" si="19"/>
        <v>3</v>
      </c>
      <c r="Z27" s="16">
        <f t="shared" si="19"/>
        <v>2</v>
      </c>
      <c r="AA27" s="16">
        <f t="shared" si="19"/>
        <v>0</v>
      </c>
      <c r="AB27" s="16">
        <f t="shared" si="19"/>
        <v>4</v>
      </c>
      <c r="AC27" s="16">
        <f t="shared" si="19"/>
        <v>113</v>
      </c>
      <c r="AD27" s="16">
        <f t="shared" si="19"/>
        <v>0</v>
      </c>
      <c r="AE27" s="32">
        <f t="shared" si="19"/>
        <v>45</v>
      </c>
      <c r="AF27" s="32">
        <f t="shared" si="19"/>
        <v>158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0</v>
      </c>
      <c r="M28" s="50">
        <v>15</v>
      </c>
      <c r="N28" s="50">
        <v>0</v>
      </c>
      <c r="O28" s="15">
        <f t="shared" si="0"/>
        <v>3</v>
      </c>
      <c r="P28" s="15">
        <f t="shared" si="1"/>
        <v>18</v>
      </c>
      <c r="R28" s="5" t="s">
        <v>17</v>
      </c>
      <c r="S28" s="16">
        <f t="shared" ref="S28:AF28" si="20">SUM(S10:S21)</f>
        <v>43</v>
      </c>
      <c r="T28" s="16">
        <f t="shared" si="20"/>
        <v>11</v>
      </c>
      <c r="U28" s="16">
        <f t="shared" si="20"/>
        <v>34</v>
      </c>
      <c r="V28" s="16">
        <f t="shared" si="20"/>
        <v>24</v>
      </c>
      <c r="W28" s="16">
        <f t="shared" si="20"/>
        <v>1</v>
      </c>
      <c r="X28" s="16">
        <f t="shared" si="20"/>
        <v>0</v>
      </c>
      <c r="Y28" s="16">
        <f t="shared" si="20"/>
        <v>20</v>
      </c>
      <c r="Z28" s="16">
        <f t="shared" si="20"/>
        <v>6</v>
      </c>
      <c r="AA28" s="16">
        <f t="shared" si="20"/>
        <v>4</v>
      </c>
      <c r="AB28" s="16">
        <f t="shared" si="20"/>
        <v>13</v>
      </c>
      <c r="AC28" s="16">
        <f t="shared" si="20"/>
        <v>535</v>
      </c>
      <c r="AD28" s="16">
        <f t="shared" si="20"/>
        <v>0</v>
      </c>
      <c r="AE28" s="32">
        <f t="shared" si="20"/>
        <v>156</v>
      </c>
      <c r="AF28" s="32">
        <f t="shared" si="20"/>
        <v>691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1</v>
      </c>
      <c r="L29" s="50">
        <v>2</v>
      </c>
      <c r="M29" s="50">
        <v>13</v>
      </c>
      <c r="N29" s="50">
        <v>0</v>
      </c>
      <c r="O29" s="15">
        <f t="shared" si="0"/>
        <v>4</v>
      </c>
      <c r="P29" s="15">
        <f t="shared" si="1"/>
        <v>17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12</v>
      </c>
      <c r="N30" s="50">
        <v>0</v>
      </c>
      <c r="O30" s="15">
        <f t="shared" si="0"/>
        <v>3</v>
      </c>
      <c r="P30" s="15">
        <f t="shared" si="1"/>
        <v>15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16</v>
      </c>
      <c r="N31" s="50">
        <v>0</v>
      </c>
      <c r="O31" s="15">
        <f t="shared" si="0"/>
        <v>1</v>
      </c>
      <c r="P31" s="15">
        <f t="shared" si="1"/>
        <v>17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2</v>
      </c>
      <c r="P32" s="15">
        <f t="shared" si="1"/>
        <v>18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14</v>
      </c>
      <c r="N33" s="50">
        <v>0</v>
      </c>
      <c r="O33" s="15">
        <f t="shared" si="0"/>
        <v>2</v>
      </c>
      <c r="P33" s="15">
        <f t="shared" si="1"/>
        <v>16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1</v>
      </c>
      <c r="M34" s="50">
        <v>10</v>
      </c>
      <c r="N34" s="50">
        <v>0</v>
      </c>
      <c r="O34" s="15">
        <f t="shared" si="0"/>
        <v>1</v>
      </c>
      <c r="P34" s="15">
        <f t="shared" si="1"/>
        <v>11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19</v>
      </c>
      <c r="N35" s="50">
        <v>0</v>
      </c>
      <c r="O35" s="15">
        <f t="shared" si="0"/>
        <v>2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1</v>
      </c>
      <c r="D36" s="50">
        <v>1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4</v>
      </c>
      <c r="P36" s="15">
        <f t="shared" si="1"/>
        <v>14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1</v>
      </c>
      <c r="M37" s="50">
        <v>9</v>
      </c>
      <c r="N37" s="50">
        <v>0</v>
      </c>
      <c r="O37" s="15">
        <f t="shared" si="0"/>
        <v>3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1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2</v>
      </c>
      <c r="P39" s="15">
        <f t="shared" si="1"/>
        <v>11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3</v>
      </c>
      <c r="P40" s="15">
        <f t="shared" si="1"/>
        <v>16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2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13</v>
      </c>
      <c r="N41" s="50">
        <v>0</v>
      </c>
      <c r="O41" s="15">
        <f t="shared" si="0"/>
        <v>4</v>
      </c>
      <c r="P41" s="15">
        <f t="shared" si="1"/>
        <v>17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1</v>
      </c>
      <c r="P42" s="15">
        <f t="shared" si="1"/>
        <v>16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2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18</v>
      </c>
      <c r="N43" s="50">
        <v>0</v>
      </c>
      <c r="O43" s="15">
        <f t="shared" si="0"/>
        <v>3</v>
      </c>
      <c r="P43" s="15">
        <f t="shared" si="1"/>
        <v>21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2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3</v>
      </c>
      <c r="P44" s="15">
        <f t="shared" si="1"/>
        <v>14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1</v>
      </c>
      <c r="M45" s="50">
        <v>8</v>
      </c>
      <c r="N45" s="50">
        <v>0</v>
      </c>
      <c r="O45" s="15">
        <f t="shared" si="0"/>
        <v>2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14</v>
      </c>
      <c r="N46" s="50">
        <v>0</v>
      </c>
      <c r="O46" s="15">
        <f t="shared" si="0"/>
        <v>4</v>
      </c>
      <c r="P46" s="15">
        <f t="shared" si="1"/>
        <v>18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1</v>
      </c>
      <c r="M47" s="50">
        <v>5</v>
      </c>
      <c r="N47" s="50">
        <v>0</v>
      </c>
      <c r="O47" s="15">
        <f t="shared" si="0"/>
        <v>2</v>
      </c>
      <c r="P47" s="15">
        <f t="shared" si="1"/>
        <v>7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1</v>
      </c>
      <c r="M48" s="50">
        <v>10</v>
      </c>
      <c r="N48" s="50">
        <v>0</v>
      </c>
      <c r="O48" s="15">
        <f t="shared" si="0"/>
        <v>2</v>
      </c>
      <c r="P48" s="15">
        <f t="shared" si="1"/>
        <v>12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18</v>
      </c>
      <c r="N49" s="50">
        <v>0</v>
      </c>
      <c r="O49" s="15">
        <f t="shared" si="0"/>
        <v>4</v>
      </c>
      <c r="P49" s="15">
        <f t="shared" si="1"/>
        <v>22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3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12</v>
      </c>
      <c r="N50" s="50">
        <v>0</v>
      </c>
      <c r="O50" s="15">
        <f t="shared" si="0"/>
        <v>9</v>
      </c>
      <c r="P50" s="15">
        <f t="shared" si="1"/>
        <v>21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1</v>
      </c>
      <c r="M51" s="50">
        <v>6</v>
      </c>
      <c r="N51" s="50">
        <v>0</v>
      </c>
      <c r="O51" s="15">
        <f t="shared" si="0"/>
        <v>4</v>
      </c>
      <c r="P51" s="15">
        <f t="shared" si="1"/>
        <v>10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9</v>
      </c>
      <c r="N52" s="50">
        <v>0</v>
      </c>
      <c r="O52" s="15">
        <f t="shared" si="0"/>
        <v>1</v>
      </c>
      <c r="P52" s="15">
        <f t="shared" si="1"/>
        <v>10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2</v>
      </c>
      <c r="P53" s="15">
        <f t="shared" si="1"/>
        <v>10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5</v>
      </c>
      <c r="N54" s="50">
        <v>0</v>
      </c>
      <c r="O54" s="15">
        <f t="shared" si="0"/>
        <v>2</v>
      </c>
      <c r="P54" s="15">
        <f t="shared" si="1"/>
        <v>7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1</v>
      </c>
      <c r="E55" s="50">
        <v>2</v>
      </c>
      <c r="F55" s="50">
        <v>2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14</v>
      </c>
      <c r="N55" s="50">
        <v>0</v>
      </c>
      <c r="O55" s="15">
        <f t="shared" si="0"/>
        <v>8</v>
      </c>
      <c r="P55" s="15">
        <f t="shared" si="1"/>
        <v>22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4</v>
      </c>
      <c r="N56" s="50">
        <v>0</v>
      </c>
      <c r="O56" s="15">
        <f t="shared" si="0"/>
        <v>2</v>
      </c>
      <c r="P56" s="15">
        <f t="shared" si="1"/>
        <v>6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1</v>
      </c>
      <c r="E57" s="50">
        <v>2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1</v>
      </c>
      <c r="M57" s="50">
        <v>8</v>
      </c>
      <c r="N57" s="50">
        <v>0</v>
      </c>
      <c r="O57" s="15">
        <f t="shared" si="0"/>
        <v>5</v>
      </c>
      <c r="P57" s="15">
        <f t="shared" si="1"/>
        <v>13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43</v>
      </c>
      <c r="D58" s="16">
        <f t="shared" si="21"/>
        <v>11</v>
      </c>
      <c r="E58" s="16">
        <f t="shared" si="21"/>
        <v>34</v>
      </c>
      <c r="F58" s="16">
        <f t="shared" si="21"/>
        <v>24</v>
      </c>
      <c r="G58" s="16">
        <f t="shared" si="21"/>
        <v>1</v>
      </c>
      <c r="H58" s="16">
        <f t="shared" si="21"/>
        <v>0</v>
      </c>
      <c r="I58" s="16">
        <f t="shared" si="21"/>
        <v>20</v>
      </c>
      <c r="J58" s="16">
        <f t="shared" si="21"/>
        <v>6</v>
      </c>
      <c r="K58" s="16">
        <f t="shared" si="21"/>
        <v>4</v>
      </c>
      <c r="L58" s="16">
        <f t="shared" si="21"/>
        <v>13</v>
      </c>
      <c r="M58" s="16">
        <f t="shared" si="21"/>
        <v>535</v>
      </c>
      <c r="N58" s="16">
        <f t="shared" si="21"/>
        <v>0</v>
      </c>
      <c r="O58" s="16">
        <f t="shared" si="21"/>
        <v>156</v>
      </c>
      <c r="P58" s="16">
        <f t="shared" si="21"/>
        <v>691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6.2228654124457307E-2</v>
      </c>
      <c r="D59" s="43">
        <f t="shared" si="22"/>
        <v>1.5918958031837915E-2</v>
      </c>
      <c r="E59" s="43">
        <f t="shared" si="22"/>
        <v>4.9204052098408106E-2</v>
      </c>
      <c r="F59" s="43">
        <f t="shared" si="22"/>
        <v>3.4732272069464547E-2</v>
      </c>
      <c r="G59" s="43">
        <f t="shared" si="22"/>
        <v>1.4471780028943559E-3</v>
      </c>
      <c r="H59" s="43">
        <f t="shared" si="22"/>
        <v>0</v>
      </c>
      <c r="I59" s="43">
        <f t="shared" si="22"/>
        <v>2.8943560057887119E-2</v>
      </c>
      <c r="J59" s="43">
        <f t="shared" si="22"/>
        <v>8.6830680173661367E-3</v>
      </c>
      <c r="K59" s="43">
        <f t="shared" si="22"/>
        <v>5.7887120115774236E-3</v>
      </c>
      <c r="L59" s="43">
        <f t="shared" si="22"/>
        <v>1.8813314037626629E-2</v>
      </c>
      <c r="M59" s="43">
        <f t="shared" si="22"/>
        <v>0.77424023154848043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0.27564102564102566</v>
      </c>
      <c r="D60" s="44">
        <f t="shared" ref="D60:N60" si="23">D58/$O$58</f>
        <v>7.0512820512820512E-2</v>
      </c>
      <c r="E60" s="44">
        <f t="shared" si="23"/>
        <v>0.21794871794871795</v>
      </c>
      <c r="F60" s="44">
        <f t="shared" si="23"/>
        <v>0.15384615384615385</v>
      </c>
      <c r="G60" s="44">
        <f t="shared" si="23"/>
        <v>6.41025641025641E-3</v>
      </c>
      <c r="H60" s="44">
        <f t="shared" si="23"/>
        <v>0</v>
      </c>
      <c r="I60" s="44">
        <f t="shared" si="23"/>
        <v>0.12820512820512819</v>
      </c>
      <c r="J60" s="44">
        <f t="shared" si="23"/>
        <v>3.8461538461538464E-2</v>
      </c>
      <c r="K60" s="44">
        <f t="shared" si="23"/>
        <v>2.564102564102564E-2</v>
      </c>
      <c r="L60" s="44">
        <f t="shared" si="23"/>
        <v>8.3333333333333329E-2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topLeftCell="A43" zoomScale="60" workbookViewId="0">
      <selection activeCell="G19" sqref="G1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Nebbi-Goli'!C3:G3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Goli-Nebbi'!D5</f>
        <v>04.08.19</v>
      </c>
      <c r="E5" s="3"/>
      <c r="F5" s="41" t="s">
        <v>1</v>
      </c>
      <c r="G5" s="65" t="str">
        <f>'31.07 Goli-Nebbi'!G5:H5</f>
        <v>Goli</v>
      </c>
      <c r="H5" s="66"/>
      <c r="I5" s="14"/>
      <c r="J5" s="2" t="s">
        <v>5</v>
      </c>
      <c r="K5" s="65" t="str">
        <f>'31.07 Goli-Nebbi'!K5:L5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'31.07 Nebbi-Goli'!D6:E6</f>
        <v>Nebbi</v>
      </c>
      <c r="E6" s="66"/>
      <c r="F6" s="2" t="s">
        <v>2</v>
      </c>
      <c r="G6" s="65" t="str">
        <f>'31.07 Nebbi-Goli'!G6:H6</f>
        <v>Goli</v>
      </c>
      <c r="H6" s="66"/>
      <c r="J6" s="2" t="s">
        <v>21</v>
      </c>
      <c r="K6" s="65" t="str">
        <f>'31.07 Goli-Nebbi'!K6:L6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1</v>
      </c>
      <c r="I10" s="50">
        <v>0</v>
      </c>
      <c r="J10" s="50">
        <v>0</v>
      </c>
      <c r="K10" s="50">
        <v>0</v>
      </c>
      <c r="L10" s="50">
        <f>SUM('[1]RD4 MCC'!R850:U850)</f>
        <v>0</v>
      </c>
      <c r="M10" s="50">
        <v>2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2</v>
      </c>
      <c r="T10" s="17">
        <f t="shared" si="2"/>
        <v>1</v>
      </c>
      <c r="U10" s="17">
        <f t="shared" si="2"/>
        <v>3</v>
      </c>
      <c r="V10" s="17">
        <f t="shared" si="2"/>
        <v>5</v>
      </c>
      <c r="W10" s="17">
        <f t="shared" si="2"/>
        <v>1</v>
      </c>
      <c r="X10" s="17">
        <f t="shared" si="2"/>
        <v>1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3</v>
      </c>
      <c r="AC10" s="17">
        <f t="shared" si="2"/>
        <v>25</v>
      </c>
      <c r="AD10" s="17">
        <f t="shared" si="2"/>
        <v>0</v>
      </c>
      <c r="AE10" s="31">
        <f t="shared" si="2"/>
        <v>18</v>
      </c>
      <c r="AF10" s="31">
        <f t="shared" si="2"/>
        <v>43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7</v>
      </c>
      <c r="N11" s="50">
        <v>0</v>
      </c>
      <c r="O11" s="15">
        <f t="shared" si="0"/>
        <v>4</v>
      </c>
      <c r="P11" s="15">
        <f t="shared" si="1"/>
        <v>11</v>
      </c>
      <c r="R11" s="1" t="s">
        <v>7</v>
      </c>
      <c r="S11" s="17">
        <f t="shared" ref="S11:AF11" si="3">SUM(C14:C17)</f>
        <v>3</v>
      </c>
      <c r="T11" s="17">
        <f t="shared" si="3"/>
        <v>2</v>
      </c>
      <c r="U11" s="17">
        <f t="shared" si="3"/>
        <v>5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1</v>
      </c>
      <c r="AC11" s="17">
        <f t="shared" si="3"/>
        <v>26</v>
      </c>
      <c r="AD11" s="17">
        <f t="shared" si="3"/>
        <v>0</v>
      </c>
      <c r="AE11" s="31">
        <f t="shared" si="3"/>
        <v>16</v>
      </c>
      <c r="AF11" s="31">
        <f t="shared" si="3"/>
        <v>42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2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2</v>
      </c>
      <c r="M12" s="50">
        <v>3</v>
      </c>
      <c r="N12" s="50">
        <v>0</v>
      </c>
      <c r="O12" s="15">
        <f t="shared" si="0"/>
        <v>8</v>
      </c>
      <c r="P12" s="15">
        <f t="shared" si="1"/>
        <v>11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1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40</v>
      </c>
      <c r="AD12" s="17">
        <f t="shared" si="4"/>
        <v>0</v>
      </c>
      <c r="AE12" s="31">
        <f t="shared" si="4"/>
        <v>4</v>
      </c>
      <c r="AF12" s="31">
        <f t="shared" si="4"/>
        <v>44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2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f>SUM('[1]RD4 MCC'!R853:U853)</f>
        <v>0</v>
      </c>
      <c r="M13" s="50">
        <v>13</v>
      </c>
      <c r="N13" s="50">
        <v>0</v>
      </c>
      <c r="O13" s="15">
        <f t="shared" si="0"/>
        <v>4</v>
      </c>
      <c r="P13" s="15">
        <f t="shared" si="1"/>
        <v>17</v>
      </c>
      <c r="R13" s="1" t="s">
        <v>9</v>
      </c>
      <c r="S13" s="17">
        <f t="shared" ref="S13:AF13" si="5">SUM(C22:C25)</f>
        <v>2</v>
      </c>
      <c r="T13" s="17">
        <f t="shared" si="5"/>
        <v>1</v>
      </c>
      <c r="U13" s="17">
        <f t="shared" si="5"/>
        <v>3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4</v>
      </c>
      <c r="AC13" s="17">
        <f t="shared" si="5"/>
        <v>58</v>
      </c>
      <c r="AD13" s="17">
        <f t="shared" si="5"/>
        <v>0</v>
      </c>
      <c r="AE13" s="31">
        <f t="shared" si="5"/>
        <v>15</v>
      </c>
      <c r="AF13" s="31">
        <f t="shared" si="5"/>
        <v>73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2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1</v>
      </c>
      <c r="M14" s="50">
        <v>5</v>
      </c>
      <c r="N14" s="50">
        <v>0</v>
      </c>
      <c r="O14" s="15">
        <f t="shared" si="0"/>
        <v>6</v>
      </c>
      <c r="P14" s="15">
        <f t="shared" si="1"/>
        <v>11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2</v>
      </c>
      <c r="AC14" s="17">
        <f t="shared" si="6"/>
        <v>39</v>
      </c>
      <c r="AD14" s="17">
        <f t="shared" si="6"/>
        <v>0</v>
      </c>
      <c r="AE14" s="31">
        <f t="shared" si="6"/>
        <v>8</v>
      </c>
      <c r="AF14" s="31">
        <f t="shared" si="6"/>
        <v>47</v>
      </c>
    </row>
    <row r="15" spans="2:32" ht="23.1" customHeight="1" x14ac:dyDescent="0.25">
      <c r="B15" s="23" t="s">
        <v>42</v>
      </c>
      <c r="C15" s="50">
        <v>2</v>
      </c>
      <c r="D15" s="50">
        <v>1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f>SUM('[1]RD4 MCC'!R855:U855)</f>
        <v>0</v>
      </c>
      <c r="M15" s="50">
        <v>2</v>
      </c>
      <c r="N15" s="50">
        <v>0</v>
      </c>
      <c r="O15" s="15">
        <f t="shared" si="0"/>
        <v>5</v>
      </c>
      <c r="P15" s="15">
        <f t="shared" si="1"/>
        <v>7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0</v>
      </c>
      <c r="V15" s="17">
        <f t="shared" si="7"/>
        <v>2</v>
      </c>
      <c r="W15" s="17">
        <f t="shared" si="7"/>
        <v>0</v>
      </c>
      <c r="X15" s="17">
        <f t="shared" si="7"/>
        <v>1</v>
      </c>
      <c r="Y15" s="17">
        <f t="shared" si="7"/>
        <v>1</v>
      </c>
      <c r="Z15" s="17">
        <f t="shared" si="7"/>
        <v>1</v>
      </c>
      <c r="AA15" s="17">
        <f t="shared" si="7"/>
        <v>1</v>
      </c>
      <c r="AB15" s="17">
        <f t="shared" si="7"/>
        <v>4</v>
      </c>
      <c r="AC15" s="17">
        <f t="shared" si="7"/>
        <v>45</v>
      </c>
      <c r="AD15" s="17">
        <f t="shared" si="7"/>
        <v>0</v>
      </c>
      <c r="AE15" s="31">
        <f t="shared" si="7"/>
        <v>13</v>
      </c>
      <c r="AF15" s="31">
        <f t="shared" si="7"/>
        <v>58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3</v>
      </c>
      <c r="P16" s="15">
        <f t="shared" si="1"/>
        <v>12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3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1</v>
      </c>
      <c r="AA16" s="17">
        <f t="shared" si="8"/>
        <v>1</v>
      </c>
      <c r="AB16" s="17">
        <f t="shared" si="8"/>
        <v>1</v>
      </c>
      <c r="AC16" s="17">
        <f t="shared" si="8"/>
        <v>59</v>
      </c>
      <c r="AD16" s="17">
        <f t="shared" si="8"/>
        <v>0</v>
      </c>
      <c r="AE16" s="31">
        <f t="shared" si="8"/>
        <v>13</v>
      </c>
      <c r="AF16" s="31">
        <f t="shared" si="8"/>
        <v>72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f>SUM('[1]RD4 MCC'!R857:U857)</f>
        <v>0</v>
      </c>
      <c r="M17" s="50">
        <v>10</v>
      </c>
      <c r="N17" s="50">
        <v>0</v>
      </c>
      <c r="O17" s="15">
        <f t="shared" si="0"/>
        <v>2</v>
      </c>
      <c r="P17" s="15">
        <f t="shared" si="1"/>
        <v>12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1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1</v>
      </c>
      <c r="AB17" s="17">
        <f t="shared" si="9"/>
        <v>2</v>
      </c>
      <c r="AC17" s="17">
        <f t="shared" si="9"/>
        <v>38</v>
      </c>
      <c r="AD17" s="17">
        <f t="shared" si="9"/>
        <v>0</v>
      </c>
      <c r="AE17" s="31">
        <f t="shared" si="9"/>
        <v>8</v>
      </c>
      <c r="AF17" s="31">
        <f t="shared" si="9"/>
        <v>46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f>SUM('[1]RD4 MCC'!R858:U858)</f>
        <v>0</v>
      </c>
      <c r="M18" s="50">
        <v>5</v>
      </c>
      <c r="N18" s="50">
        <v>0</v>
      </c>
      <c r="O18" s="15">
        <f t="shared" si="0"/>
        <v>2</v>
      </c>
      <c r="P18" s="15">
        <f t="shared" si="1"/>
        <v>7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3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39</v>
      </c>
      <c r="AD18" s="17">
        <f t="shared" si="10"/>
        <v>0</v>
      </c>
      <c r="AE18" s="31">
        <f t="shared" si="10"/>
        <v>15</v>
      </c>
      <c r="AF18" s="31">
        <f t="shared" si="10"/>
        <v>54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16</v>
      </c>
      <c r="N19" s="50">
        <v>0</v>
      </c>
      <c r="O19" s="15">
        <f t="shared" si="0"/>
        <v>1</v>
      </c>
      <c r="P19" s="15">
        <f t="shared" si="1"/>
        <v>17</v>
      </c>
      <c r="R19" s="1" t="s">
        <v>15</v>
      </c>
      <c r="S19" s="17">
        <f t="shared" ref="S19:AF19" si="11">SUM(C46:C49)</f>
        <v>2</v>
      </c>
      <c r="T19" s="17">
        <f t="shared" si="11"/>
        <v>2</v>
      </c>
      <c r="U19" s="17">
        <f t="shared" si="11"/>
        <v>5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3</v>
      </c>
      <c r="AC19" s="17">
        <f t="shared" si="11"/>
        <v>47</v>
      </c>
      <c r="AD19" s="17">
        <f t="shared" si="11"/>
        <v>0</v>
      </c>
      <c r="AE19" s="31">
        <f t="shared" si="11"/>
        <v>18</v>
      </c>
      <c r="AF19" s="31">
        <f t="shared" si="11"/>
        <v>65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f>SUM('[1]RD4 MCC'!R860:U860)</f>
        <v>0</v>
      </c>
      <c r="M20" s="50">
        <v>9</v>
      </c>
      <c r="N20" s="50">
        <v>0</v>
      </c>
      <c r="O20" s="15">
        <f t="shared" si="0"/>
        <v>1</v>
      </c>
      <c r="P20" s="15">
        <f t="shared" si="1"/>
        <v>10</v>
      </c>
      <c r="R20" s="1" t="s">
        <v>16</v>
      </c>
      <c r="S20" s="17">
        <f t="shared" ref="S20:AF20" si="12">SUM(C50:C53)</f>
        <v>3</v>
      </c>
      <c r="T20" s="17">
        <f t="shared" si="12"/>
        <v>1</v>
      </c>
      <c r="U20" s="17">
        <f t="shared" si="12"/>
        <v>2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3</v>
      </c>
      <c r="AC20" s="17">
        <f t="shared" si="12"/>
        <v>38</v>
      </c>
      <c r="AD20" s="17">
        <f t="shared" si="12"/>
        <v>0</v>
      </c>
      <c r="AE20" s="31">
        <f t="shared" si="12"/>
        <v>12</v>
      </c>
      <c r="AF20" s="31">
        <f t="shared" si="12"/>
        <v>50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f>SUM('[1]RD4 MCC'!R861:U861)</f>
        <v>0</v>
      </c>
      <c r="M21" s="50">
        <v>10</v>
      </c>
      <c r="N21" s="50">
        <v>0</v>
      </c>
      <c r="O21" s="15">
        <f t="shared" si="0"/>
        <v>0</v>
      </c>
      <c r="P21" s="15">
        <f t="shared" si="1"/>
        <v>10</v>
      </c>
      <c r="R21" s="36" t="s">
        <v>20</v>
      </c>
      <c r="S21" s="34">
        <f t="shared" ref="S21:AF21" si="13">SUM(C54:C57)</f>
        <v>4</v>
      </c>
      <c r="T21" s="17">
        <f t="shared" si="13"/>
        <v>0</v>
      </c>
      <c r="U21" s="17">
        <f t="shared" si="13"/>
        <v>2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2</v>
      </c>
      <c r="AC21" s="17">
        <f t="shared" si="13"/>
        <v>31</v>
      </c>
      <c r="AD21" s="17">
        <f t="shared" si="13"/>
        <v>0</v>
      </c>
      <c r="AE21" s="31">
        <f t="shared" si="13"/>
        <v>13</v>
      </c>
      <c r="AF21" s="31">
        <f t="shared" si="13"/>
        <v>44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f>SUM('[1]RD4 MCC'!R862:U862)</f>
        <v>1</v>
      </c>
      <c r="M22" s="50">
        <v>17</v>
      </c>
      <c r="N22" s="50">
        <v>0</v>
      </c>
      <c r="O22" s="15">
        <f t="shared" si="0"/>
        <v>3</v>
      </c>
      <c r="P22" s="15">
        <f t="shared" si="1"/>
        <v>20</v>
      </c>
      <c r="R22" s="38" t="s">
        <v>90</v>
      </c>
      <c r="S22" s="39">
        <f>MAX(S10:S12)</f>
        <v>3</v>
      </c>
      <c r="T22" s="39">
        <f t="shared" ref="T22:AF22" si="14">MAX(T10:T12)</f>
        <v>2</v>
      </c>
      <c r="U22" s="39">
        <f t="shared" si="14"/>
        <v>5</v>
      </c>
      <c r="V22" s="39">
        <f t="shared" si="14"/>
        <v>5</v>
      </c>
      <c r="W22" s="39">
        <f t="shared" si="14"/>
        <v>1</v>
      </c>
      <c r="X22" s="39">
        <f t="shared" si="14"/>
        <v>1</v>
      </c>
      <c r="Y22" s="39">
        <f t="shared" si="14"/>
        <v>2</v>
      </c>
      <c r="Z22" s="39">
        <f t="shared" si="14"/>
        <v>0</v>
      </c>
      <c r="AA22" s="39">
        <f t="shared" si="14"/>
        <v>0</v>
      </c>
      <c r="AB22" s="39">
        <f t="shared" si="14"/>
        <v>3</v>
      </c>
      <c r="AC22" s="39">
        <f t="shared" si="14"/>
        <v>40</v>
      </c>
      <c r="AD22" s="39">
        <f t="shared" si="14"/>
        <v>0</v>
      </c>
      <c r="AE22" s="40">
        <f t="shared" si="14"/>
        <v>18</v>
      </c>
      <c r="AF22" s="40">
        <f t="shared" si="14"/>
        <v>44</v>
      </c>
    </row>
    <row r="23" spans="2:32" ht="23.1" customHeight="1" x14ac:dyDescent="0.25">
      <c r="B23" s="23" t="s">
        <v>50</v>
      </c>
      <c r="C23" s="50">
        <v>1</v>
      </c>
      <c r="D23" s="50">
        <v>1</v>
      </c>
      <c r="E23" s="50">
        <v>2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f>SUM('[1]RD4 MCC'!R863:U863)</f>
        <v>0</v>
      </c>
      <c r="M23" s="50">
        <v>21</v>
      </c>
      <c r="N23" s="50">
        <v>0</v>
      </c>
      <c r="O23" s="15">
        <f t="shared" si="0"/>
        <v>5</v>
      </c>
      <c r="P23" s="15">
        <f t="shared" si="1"/>
        <v>26</v>
      </c>
      <c r="R23" s="38" t="s">
        <v>91</v>
      </c>
      <c r="S23" s="39">
        <f>MAX(S13:S18)</f>
        <v>4</v>
      </c>
      <c r="T23" s="39">
        <f t="shared" ref="T23:AF23" si="15">MAX(T13:T18)</f>
        <v>1</v>
      </c>
      <c r="U23" s="39">
        <f t="shared" si="15"/>
        <v>3</v>
      </c>
      <c r="V23" s="39">
        <f t="shared" si="15"/>
        <v>2</v>
      </c>
      <c r="W23" s="39">
        <f t="shared" si="15"/>
        <v>0</v>
      </c>
      <c r="X23" s="39">
        <f t="shared" si="15"/>
        <v>1</v>
      </c>
      <c r="Y23" s="39">
        <f t="shared" si="15"/>
        <v>5</v>
      </c>
      <c r="Z23" s="39">
        <f t="shared" si="15"/>
        <v>1</v>
      </c>
      <c r="AA23" s="39">
        <f t="shared" si="15"/>
        <v>1</v>
      </c>
      <c r="AB23" s="39">
        <f t="shared" si="15"/>
        <v>4</v>
      </c>
      <c r="AC23" s="39">
        <f t="shared" si="15"/>
        <v>59</v>
      </c>
      <c r="AD23" s="39">
        <f t="shared" si="15"/>
        <v>0</v>
      </c>
      <c r="AE23" s="40">
        <f t="shared" si="15"/>
        <v>15</v>
      </c>
      <c r="AF23" s="40">
        <f t="shared" si="15"/>
        <v>73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f>SUM('[1]RD4 MCC'!R864:U864)</f>
        <v>1</v>
      </c>
      <c r="M24" s="50">
        <v>12</v>
      </c>
      <c r="N24" s="50">
        <v>0</v>
      </c>
      <c r="O24" s="15">
        <f t="shared" si="0"/>
        <v>2</v>
      </c>
      <c r="P24" s="15">
        <f t="shared" si="1"/>
        <v>14</v>
      </c>
      <c r="R24" s="38" t="s">
        <v>92</v>
      </c>
      <c r="S24" s="39">
        <f>MAX(S19:S21)</f>
        <v>4</v>
      </c>
      <c r="T24" s="39">
        <f t="shared" ref="T24:AF24" si="16">MAX(T19:T21)</f>
        <v>2</v>
      </c>
      <c r="U24" s="39">
        <f t="shared" si="16"/>
        <v>5</v>
      </c>
      <c r="V24" s="39">
        <f t="shared" si="16"/>
        <v>3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0</v>
      </c>
      <c r="AA24" s="39">
        <f t="shared" si="16"/>
        <v>0</v>
      </c>
      <c r="AB24" s="39">
        <f t="shared" si="16"/>
        <v>3</v>
      </c>
      <c r="AC24" s="39">
        <f t="shared" si="16"/>
        <v>47</v>
      </c>
      <c r="AD24" s="39">
        <f t="shared" si="16"/>
        <v>0</v>
      </c>
      <c r="AE24" s="40">
        <f t="shared" si="16"/>
        <v>18</v>
      </c>
      <c r="AF24" s="40">
        <f t="shared" si="16"/>
        <v>65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f>SUM('[1]RD4 MCC'!R865:U865)</f>
        <v>2</v>
      </c>
      <c r="M25" s="50">
        <v>8</v>
      </c>
      <c r="N25" s="50">
        <v>0</v>
      </c>
      <c r="O25" s="15">
        <f t="shared" si="0"/>
        <v>5</v>
      </c>
      <c r="P25" s="15">
        <f t="shared" si="1"/>
        <v>13</v>
      </c>
      <c r="R25" s="37" t="s">
        <v>85</v>
      </c>
      <c r="S25" s="35">
        <f t="shared" ref="S25:AF25" si="17">SUM(S10:S12)</f>
        <v>6</v>
      </c>
      <c r="T25" s="16">
        <f t="shared" si="17"/>
        <v>3</v>
      </c>
      <c r="U25" s="16">
        <f t="shared" si="17"/>
        <v>9</v>
      </c>
      <c r="V25" s="16">
        <f t="shared" si="17"/>
        <v>10</v>
      </c>
      <c r="W25" s="16">
        <f t="shared" si="17"/>
        <v>1</v>
      </c>
      <c r="X25" s="16">
        <f t="shared" si="17"/>
        <v>1</v>
      </c>
      <c r="Y25" s="16">
        <f t="shared" si="17"/>
        <v>4</v>
      </c>
      <c r="Z25" s="16">
        <f t="shared" si="17"/>
        <v>0</v>
      </c>
      <c r="AA25" s="16">
        <f t="shared" si="17"/>
        <v>0</v>
      </c>
      <c r="AB25" s="16">
        <f t="shared" si="17"/>
        <v>4</v>
      </c>
      <c r="AC25" s="16">
        <f t="shared" si="17"/>
        <v>91</v>
      </c>
      <c r="AD25" s="16">
        <f t="shared" si="17"/>
        <v>0</v>
      </c>
      <c r="AE25" s="32">
        <f t="shared" si="17"/>
        <v>38</v>
      </c>
      <c r="AF25" s="32">
        <f t="shared" si="17"/>
        <v>129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f>SUM('[1]RD4 MCC'!R866:U866)</f>
        <v>1</v>
      </c>
      <c r="M26" s="50">
        <v>7</v>
      </c>
      <c r="N26" s="50">
        <v>0</v>
      </c>
      <c r="O26" s="15">
        <f t="shared" si="0"/>
        <v>2</v>
      </c>
      <c r="P26" s="15">
        <f t="shared" si="1"/>
        <v>9</v>
      </c>
      <c r="R26" s="28" t="s">
        <v>86</v>
      </c>
      <c r="S26" s="16">
        <f t="shared" ref="S26:AF26" si="18">SUM(S13:S18)</f>
        <v>16</v>
      </c>
      <c r="T26" s="16">
        <f t="shared" si="18"/>
        <v>2</v>
      </c>
      <c r="U26" s="16">
        <f t="shared" si="18"/>
        <v>11</v>
      </c>
      <c r="V26" s="16">
        <f t="shared" si="18"/>
        <v>11</v>
      </c>
      <c r="W26" s="16">
        <f t="shared" si="18"/>
        <v>0</v>
      </c>
      <c r="X26" s="16">
        <f t="shared" si="18"/>
        <v>1</v>
      </c>
      <c r="Y26" s="16">
        <f t="shared" si="18"/>
        <v>12</v>
      </c>
      <c r="Z26" s="16">
        <f t="shared" si="18"/>
        <v>3</v>
      </c>
      <c r="AA26" s="16">
        <f t="shared" si="18"/>
        <v>3</v>
      </c>
      <c r="AB26" s="16">
        <f t="shared" si="18"/>
        <v>13</v>
      </c>
      <c r="AC26" s="16">
        <f t="shared" si="18"/>
        <v>278</v>
      </c>
      <c r="AD26" s="16">
        <f t="shared" si="18"/>
        <v>0</v>
      </c>
      <c r="AE26" s="32">
        <f t="shared" si="18"/>
        <v>72</v>
      </c>
      <c r="AF26" s="32">
        <f t="shared" si="18"/>
        <v>350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f>SUM('[1]RD4 MCC'!R867:U867)</f>
        <v>0</v>
      </c>
      <c r="M27" s="50">
        <v>10</v>
      </c>
      <c r="N27" s="50">
        <v>0</v>
      </c>
      <c r="O27" s="15">
        <f t="shared" si="0"/>
        <v>4</v>
      </c>
      <c r="P27" s="15">
        <f t="shared" si="1"/>
        <v>14</v>
      </c>
      <c r="R27" s="29" t="s">
        <v>87</v>
      </c>
      <c r="S27" s="16">
        <f t="shared" ref="S27:AF27" si="19">SUM(S19:S21)</f>
        <v>9</v>
      </c>
      <c r="T27" s="16">
        <f t="shared" si="19"/>
        <v>3</v>
      </c>
      <c r="U27" s="16">
        <f t="shared" si="19"/>
        <v>9</v>
      </c>
      <c r="V27" s="16">
        <f t="shared" si="19"/>
        <v>7</v>
      </c>
      <c r="W27" s="16">
        <f t="shared" si="19"/>
        <v>0</v>
      </c>
      <c r="X27" s="16">
        <f t="shared" si="19"/>
        <v>0</v>
      </c>
      <c r="Y27" s="16">
        <f t="shared" si="19"/>
        <v>7</v>
      </c>
      <c r="Z27" s="16">
        <f t="shared" si="19"/>
        <v>0</v>
      </c>
      <c r="AA27" s="16">
        <f t="shared" si="19"/>
        <v>0</v>
      </c>
      <c r="AB27" s="16">
        <f t="shared" si="19"/>
        <v>8</v>
      </c>
      <c r="AC27" s="16">
        <f t="shared" si="19"/>
        <v>116</v>
      </c>
      <c r="AD27" s="16">
        <f t="shared" si="19"/>
        <v>0</v>
      </c>
      <c r="AE27" s="32">
        <f t="shared" si="19"/>
        <v>43</v>
      </c>
      <c r="AF27" s="32">
        <f t="shared" si="19"/>
        <v>159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f>SUM('[1]RD4 MCC'!R868:U868)</f>
        <v>1</v>
      </c>
      <c r="M28" s="50">
        <v>10</v>
      </c>
      <c r="N28" s="50">
        <v>0</v>
      </c>
      <c r="O28" s="15">
        <f t="shared" si="0"/>
        <v>2</v>
      </c>
      <c r="P28" s="15">
        <f t="shared" si="1"/>
        <v>12</v>
      </c>
      <c r="R28" s="5" t="s">
        <v>17</v>
      </c>
      <c r="S28" s="16">
        <f t="shared" ref="S28:AF28" si="20">SUM(S10:S21)</f>
        <v>31</v>
      </c>
      <c r="T28" s="16">
        <f t="shared" si="20"/>
        <v>8</v>
      </c>
      <c r="U28" s="16">
        <f t="shared" si="20"/>
        <v>29</v>
      </c>
      <c r="V28" s="16">
        <f t="shared" si="20"/>
        <v>28</v>
      </c>
      <c r="W28" s="16">
        <f t="shared" si="20"/>
        <v>1</v>
      </c>
      <c r="X28" s="16">
        <f t="shared" si="20"/>
        <v>2</v>
      </c>
      <c r="Y28" s="16">
        <f t="shared" si="20"/>
        <v>23</v>
      </c>
      <c r="Z28" s="16">
        <f t="shared" si="20"/>
        <v>3</v>
      </c>
      <c r="AA28" s="16">
        <f t="shared" si="20"/>
        <v>3</v>
      </c>
      <c r="AB28" s="16">
        <f t="shared" si="20"/>
        <v>25</v>
      </c>
      <c r="AC28" s="16">
        <f t="shared" si="20"/>
        <v>485</v>
      </c>
      <c r="AD28" s="16">
        <f t="shared" si="20"/>
        <v>0</v>
      </c>
      <c r="AE28" s="32">
        <f t="shared" si="20"/>
        <v>153</v>
      </c>
      <c r="AF28" s="32">
        <f t="shared" si="20"/>
        <v>638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f>SUM('[1]RD4 MCC'!R869:U869)</f>
        <v>0</v>
      </c>
      <c r="M29" s="50">
        <v>12</v>
      </c>
      <c r="N29" s="50">
        <v>0</v>
      </c>
      <c r="O29" s="15">
        <f t="shared" si="0"/>
        <v>0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1</v>
      </c>
      <c r="I30" s="50">
        <v>0</v>
      </c>
      <c r="J30" s="50">
        <v>0</v>
      </c>
      <c r="K30" s="50">
        <v>0</v>
      </c>
      <c r="L30" s="50">
        <f>SUM('[1]RD4 MCC'!R870:U870)</f>
        <v>3</v>
      </c>
      <c r="M30" s="50">
        <v>8</v>
      </c>
      <c r="N30" s="50">
        <v>0</v>
      </c>
      <c r="O30" s="15">
        <f t="shared" si="0"/>
        <v>4</v>
      </c>
      <c r="P30" s="15">
        <f t="shared" si="1"/>
        <v>12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f>SUM('[1]RD4 MCC'!R871:U871)</f>
        <v>0</v>
      </c>
      <c r="M31" s="50">
        <v>20</v>
      </c>
      <c r="N31" s="50">
        <v>0</v>
      </c>
      <c r="O31" s="15">
        <f t="shared" si="0"/>
        <v>2</v>
      </c>
      <c r="P31" s="15">
        <f t="shared" si="1"/>
        <v>22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f>SUM('[1]RD4 MCC'!R872:U872)</f>
        <v>1</v>
      </c>
      <c r="M32" s="50">
        <v>8</v>
      </c>
      <c r="N32" s="50">
        <v>0</v>
      </c>
      <c r="O32" s="15">
        <f t="shared" si="0"/>
        <v>3</v>
      </c>
      <c r="P32" s="15">
        <f t="shared" si="1"/>
        <v>11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1</v>
      </c>
      <c r="L33" s="50">
        <f>SUM('[1]RD4 MCC'!R873:U873)</f>
        <v>0</v>
      </c>
      <c r="M33" s="50">
        <v>9</v>
      </c>
      <c r="N33" s="50">
        <v>0</v>
      </c>
      <c r="O33" s="15">
        <f t="shared" si="0"/>
        <v>4</v>
      </c>
      <c r="P33" s="15">
        <f t="shared" si="1"/>
        <v>13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f>SUM('[1]RD4 MCC'!R874:U874)</f>
        <v>1</v>
      </c>
      <c r="M34" s="50">
        <v>17</v>
      </c>
      <c r="N34" s="50">
        <v>0</v>
      </c>
      <c r="O34" s="15">
        <f t="shared" si="0"/>
        <v>2</v>
      </c>
      <c r="P34" s="15">
        <f t="shared" si="1"/>
        <v>19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f>SUM('[1]RD4 MCC'!R875:U875)</f>
        <v>0</v>
      </c>
      <c r="M35" s="50">
        <v>16</v>
      </c>
      <c r="N35" s="50">
        <v>0</v>
      </c>
      <c r="O35" s="15">
        <f t="shared" si="0"/>
        <v>5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f>SUM('[1]RD4 MCC'!R876:U876)</f>
        <v>0</v>
      </c>
      <c r="M36" s="50">
        <v>13</v>
      </c>
      <c r="N36" s="50">
        <v>0</v>
      </c>
      <c r="O36" s="15">
        <f t="shared" si="0"/>
        <v>1</v>
      </c>
      <c r="P36" s="15">
        <f t="shared" si="1"/>
        <v>14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1</v>
      </c>
      <c r="K37" s="50">
        <v>1</v>
      </c>
      <c r="L37" s="50">
        <f>SUM('[1]RD4 MCC'!R877:U877)</f>
        <v>0</v>
      </c>
      <c r="M37" s="50">
        <v>13</v>
      </c>
      <c r="N37" s="50">
        <v>0</v>
      </c>
      <c r="O37" s="15">
        <f t="shared" si="0"/>
        <v>5</v>
      </c>
      <c r="P37" s="15">
        <f t="shared" si="1"/>
        <v>18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f>SUM('[1]RD4 MCC'!R878:U878)</f>
        <v>2</v>
      </c>
      <c r="M38" s="50">
        <v>10</v>
      </c>
      <c r="N38" s="50">
        <v>0</v>
      </c>
      <c r="O38" s="15">
        <f t="shared" si="0"/>
        <v>4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f>SUM('[1]RD4 MCC'!R879:U879)</f>
        <v>0</v>
      </c>
      <c r="M39" s="50">
        <v>8</v>
      </c>
      <c r="N39" s="50">
        <v>0</v>
      </c>
      <c r="O39" s="15">
        <f t="shared" si="0"/>
        <v>1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f>SUM('[1]RD4 MCC'!R880:U880)</f>
        <v>0</v>
      </c>
      <c r="M40" s="50">
        <v>10</v>
      </c>
      <c r="N40" s="50">
        <v>0</v>
      </c>
      <c r="O40" s="15">
        <f t="shared" si="0"/>
        <v>3</v>
      </c>
      <c r="P40" s="15">
        <f t="shared" si="1"/>
        <v>13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f>SUM('[1]RD4 MCC'!R881:U881)</f>
        <v>0</v>
      </c>
      <c r="M41" s="50">
        <v>10</v>
      </c>
      <c r="N41" s="50">
        <v>0</v>
      </c>
      <c r="O41" s="15">
        <f t="shared" si="0"/>
        <v>0</v>
      </c>
      <c r="P41" s="15">
        <f t="shared" si="1"/>
        <v>10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f>SUM('[1]RD4 MCC'!R882:U882)</f>
        <v>0</v>
      </c>
      <c r="M42" s="50">
        <v>12</v>
      </c>
      <c r="N42" s="50">
        <v>0</v>
      </c>
      <c r="O42" s="15">
        <f t="shared" si="0"/>
        <v>2</v>
      </c>
      <c r="P42" s="15">
        <f t="shared" si="1"/>
        <v>14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2</v>
      </c>
      <c r="F43" s="50">
        <v>2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f>SUM('[1]RD4 MCC'!R883:U883)</f>
        <v>0</v>
      </c>
      <c r="M43" s="50">
        <v>12</v>
      </c>
      <c r="N43" s="50">
        <v>0</v>
      </c>
      <c r="O43" s="15">
        <f t="shared" si="0"/>
        <v>6</v>
      </c>
      <c r="P43" s="15">
        <f t="shared" si="1"/>
        <v>18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f>SUM('[1]RD4 MCC'!R884:U884)</f>
        <v>0</v>
      </c>
      <c r="M44" s="50">
        <v>8</v>
      </c>
      <c r="N44" s="50">
        <v>0</v>
      </c>
      <c r="O44" s="15">
        <f t="shared" si="0"/>
        <v>5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f>SUM('[1]RD4 MCC'!R885:U885)</f>
        <v>0</v>
      </c>
      <c r="M45" s="50">
        <v>7</v>
      </c>
      <c r="N45" s="50">
        <v>0</v>
      </c>
      <c r="O45" s="15">
        <f t="shared" si="0"/>
        <v>2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f>SUM('[1]RD4 MCC'!R886:U886)</f>
        <v>2</v>
      </c>
      <c r="M46" s="50">
        <v>8</v>
      </c>
      <c r="N46" s="50">
        <v>0</v>
      </c>
      <c r="O46" s="15">
        <f t="shared" si="0"/>
        <v>2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1</v>
      </c>
      <c r="F47" s="50">
        <v>1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f>SUM('[1]RD4 MCC'!R887:U887)</f>
        <v>1</v>
      </c>
      <c r="M47" s="50">
        <v>18</v>
      </c>
      <c r="N47" s="50">
        <v>0</v>
      </c>
      <c r="O47" s="15">
        <f t="shared" si="0"/>
        <v>8</v>
      </c>
      <c r="P47" s="15">
        <f t="shared" si="1"/>
        <v>26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2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f>SUM('[1]RD4 MCC'!R888:U888)</f>
        <v>0</v>
      </c>
      <c r="M48" s="50">
        <v>9</v>
      </c>
      <c r="N48" s="50">
        <v>0</v>
      </c>
      <c r="O48" s="15">
        <f t="shared" si="0"/>
        <v>5</v>
      </c>
      <c r="P48" s="15">
        <f t="shared" si="1"/>
        <v>14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2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f>SUM('[1]RD4 MCC'!R889:U889)</f>
        <v>0</v>
      </c>
      <c r="M49" s="50">
        <v>12</v>
      </c>
      <c r="N49" s="50">
        <v>0</v>
      </c>
      <c r="O49" s="15">
        <f t="shared" si="0"/>
        <v>3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f>SUM('[1]RD4 MCC'!R890:U890)</f>
        <v>0</v>
      </c>
      <c r="M50" s="50">
        <v>11</v>
      </c>
      <c r="N50" s="50">
        <v>0</v>
      </c>
      <c r="O50" s="15">
        <f t="shared" si="0"/>
        <v>3</v>
      </c>
      <c r="P50" s="15">
        <f t="shared" si="1"/>
        <v>14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f>SUM('[1]RD4 MCC'!R891:U891)</f>
        <v>2</v>
      </c>
      <c r="M51" s="50">
        <v>10</v>
      </c>
      <c r="N51" s="50">
        <v>0</v>
      </c>
      <c r="O51" s="15">
        <f t="shared" si="0"/>
        <v>6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f>SUM('[1]RD4 MCC'!R892:U892)</f>
        <v>1</v>
      </c>
      <c r="M52" s="50">
        <v>12</v>
      </c>
      <c r="N52" s="50">
        <v>0</v>
      </c>
      <c r="O52" s="15">
        <f t="shared" si="0"/>
        <v>3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f>SUM('[1]RD4 MCC'!R893:U893)</f>
        <v>0</v>
      </c>
      <c r="M53" s="50">
        <v>5</v>
      </c>
      <c r="N53" s="50">
        <v>0</v>
      </c>
      <c r="O53" s="15">
        <f t="shared" si="0"/>
        <v>0</v>
      </c>
      <c r="P53" s="15">
        <f t="shared" si="1"/>
        <v>5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f>SUM('[1]RD4 MCC'!R894:U894)</f>
        <v>0</v>
      </c>
      <c r="M54" s="50">
        <v>4</v>
      </c>
      <c r="N54" s="50">
        <v>0</v>
      </c>
      <c r="O54" s="15">
        <f t="shared" si="0"/>
        <v>6</v>
      </c>
      <c r="P54" s="15">
        <f t="shared" si="1"/>
        <v>10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f>SUM('[1]RD4 MCC'!R895:U895)</f>
        <v>0</v>
      </c>
      <c r="M55" s="50">
        <v>2</v>
      </c>
      <c r="N55" s="50">
        <v>0</v>
      </c>
      <c r="O55" s="15">
        <f t="shared" si="0"/>
        <v>1</v>
      </c>
      <c r="P55" s="15">
        <f t="shared" si="1"/>
        <v>3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1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f>SUM('[1]RD4 MCC'!R896:U896)</f>
        <v>0</v>
      </c>
      <c r="M56" s="50">
        <v>10</v>
      </c>
      <c r="N56" s="50">
        <v>0</v>
      </c>
      <c r="O56" s="15">
        <f t="shared" si="0"/>
        <v>4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f>SUM('[1]RD4 MCC'!R897:U897)</f>
        <v>2</v>
      </c>
      <c r="M57" s="50">
        <v>15</v>
      </c>
      <c r="N57" s="50">
        <v>0</v>
      </c>
      <c r="O57" s="15">
        <f t="shared" si="0"/>
        <v>2</v>
      </c>
      <c r="P57" s="15">
        <f t="shared" si="1"/>
        <v>17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31</v>
      </c>
      <c r="D58" s="16">
        <f t="shared" si="21"/>
        <v>8</v>
      </c>
      <c r="E58" s="16">
        <f t="shared" si="21"/>
        <v>29</v>
      </c>
      <c r="F58" s="16">
        <f t="shared" si="21"/>
        <v>28</v>
      </c>
      <c r="G58" s="16">
        <f t="shared" si="21"/>
        <v>1</v>
      </c>
      <c r="H58" s="16">
        <f t="shared" si="21"/>
        <v>2</v>
      </c>
      <c r="I58" s="16">
        <f t="shared" si="21"/>
        <v>23</v>
      </c>
      <c r="J58" s="16">
        <f t="shared" si="21"/>
        <v>3</v>
      </c>
      <c r="K58" s="16">
        <f t="shared" si="21"/>
        <v>3</v>
      </c>
      <c r="L58" s="16">
        <f t="shared" si="21"/>
        <v>25</v>
      </c>
      <c r="M58" s="16">
        <f t="shared" si="21"/>
        <v>485</v>
      </c>
      <c r="N58" s="16">
        <f t="shared" si="21"/>
        <v>0</v>
      </c>
      <c r="O58" s="16">
        <f t="shared" si="21"/>
        <v>153</v>
      </c>
      <c r="P58" s="16">
        <f t="shared" si="21"/>
        <v>638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4.8589341692789965E-2</v>
      </c>
      <c r="D59" s="43">
        <f t="shared" si="22"/>
        <v>1.2539184952978056E-2</v>
      </c>
      <c r="E59" s="43">
        <f t="shared" si="22"/>
        <v>4.5454545454545456E-2</v>
      </c>
      <c r="F59" s="43">
        <f t="shared" si="22"/>
        <v>4.3887147335423198E-2</v>
      </c>
      <c r="G59" s="43">
        <f t="shared" si="22"/>
        <v>1.567398119122257E-3</v>
      </c>
      <c r="H59" s="43">
        <f t="shared" si="22"/>
        <v>3.134796238244514E-3</v>
      </c>
      <c r="I59" s="43">
        <f t="shared" si="22"/>
        <v>3.6050156739811913E-2</v>
      </c>
      <c r="J59" s="43">
        <f t="shared" si="22"/>
        <v>4.7021943573667714E-3</v>
      </c>
      <c r="K59" s="43">
        <f t="shared" si="22"/>
        <v>4.7021943573667714E-3</v>
      </c>
      <c r="L59" s="43">
        <f t="shared" si="22"/>
        <v>3.918495297805643E-2</v>
      </c>
      <c r="M59" s="43">
        <f t="shared" si="22"/>
        <v>0.7601880877742947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0.20261437908496732</v>
      </c>
      <c r="D60" s="44">
        <f t="shared" ref="D60:N60" si="23">D58/$O$58</f>
        <v>5.2287581699346407E-2</v>
      </c>
      <c r="E60" s="44">
        <f t="shared" si="23"/>
        <v>0.18954248366013071</v>
      </c>
      <c r="F60" s="44">
        <f t="shared" si="23"/>
        <v>0.18300653594771241</v>
      </c>
      <c r="G60" s="44">
        <f t="shared" si="23"/>
        <v>6.5359477124183009E-3</v>
      </c>
      <c r="H60" s="44">
        <f t="shared" si="23"/>
        <v>1.3071895424836602E-2</v>
      </c>
      <c r="I60" s="44">
        <f t="shared" si="23"/>
        <v>0.15032679738562091</v>
      </c>
      <c r="J60" s="44">
        <f t="shared" si="23"/>
        <v>1.9607843137254902E-2</v>
      </c>
      <c r="K60" s="44">
        <f t="shared" si="23"/>
        <v>1.9607843137254902E-2</v>
      </c>
      <c r="L60" s="44">
        <f t="shared" si="23"/>
        <v>0.16339869281045752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topLeftCell="A44" zoomScale="60" workbookViewId="0">
      <selection activeCell="F52" sqref="F5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Goli-Nebbi'!C3:G3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5" t="str">
        <f>'04.08 Nebbi-Goli'!G5:H5</f>
        <v>Goli</v>
      </c>
      <c r="H5" s="66"/>
      <c r="I5" s="14"/>
      <c r="J5" s="2" t="s">
        <v>5</v>
      </c>
      <c r="K5" s="65" t="str">
        <f>'04.08 Nebbi-Goli'!K5:L5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'31.07 Goli-Nebbi'!D6:E6</f>
        <v>Goli</v>
      </c>
      <c r="E6" s="66"/>
      <c r="F6" s="2" t="s">
        <v>2</v>
      </c>
      <c r="G6" s="65" t="str">
        <f>'31.07 Goli-Nebbi'!G6:H6</f>
        <v>Nebbi</v>
      </c>
      <c r="H6" s="66"/>
      <c r="J6" s="2" t="s">
        <v>21</v>
      </c>
      <c r="K6" s="65" t="str">
        <f>'04.08 Nebbi-Goli'!K6:L6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2</v>
      </c>
      <c r="M10" s="50">
        <v>8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2</v>
      </c>
      <c r="AC10" s="17">
        <f t="shared" si="2"/>
        <v>36</v>
      </c>
      <c r="AD10" s="17">
        <f t="shared" si="2"/>
        <v>0</v>
      </c>
      <c r="AE10" s="31">
        <f t="shared" si="2"/>
        <v>6</v>
      </c>
      <c r="AF10" s="31">
        <f t="shared" si="2"/>
        <v>42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f>SUM('[1]RD4 MCC'!R851:U851)</f>
        <v>0</v>
      </c>
      <c r="M11" s="50">
        <v>11</v>
      </c>
      <c r="N11" s="50">
        <v>0</v>
      </c>
      <c r="O11" s="15">
        <f t="shared" si="0"/>
        <v>1</v>
      </c>
      <c r="P11" s="15">
        <f t="shared" si="1"/>
        <v>12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2</v>
      </c>
      <c r="V11" s="17">
        <f t="shared" si="3"/>
        <v>0</v>
      </c>
      <c r="W11" s="17">
        <f t="shared" si="3"/>
        <v>1</v>
      </c>
      <c r="X11" s="17">
        <f t="shared" si="3"/>
        <v>1</v>
      </c>
      <c r="Y11" s="17">
        <f t="shared" si="3"/>
        <v>4</v>
      </c>
      <c r="Z11" s="17">
        <f t="shared" si="3"/>
        <v>0</v>
      </c>
      <c r="AA11" s="17">
        <f t="shared" si="3"/>
        <v>2</v>
      </c>
      <c r="AB11" s="17">
        <f t="shared" si="3"/>
        <v>3</v>
      </c>
      <c r="AC11" s="17">
        <f t="shared" si="3"/>
        <v>69</v>
      </c>
      <c r="AD11" s="17">
        <f t="shared" si="3"/>
        <v>0</v>
      </c>
      <c r="AE11" s="31">
        <f t="shared" si="3"/>
        <v>13</v>
      </c>
      <c r="AF11" s="31">
        <f t="shared" si="3"/>
        <v>82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f>SUM('[1]RD4 MCC'!R852:U852)</f>
        <v>0</v>
      </c>
      <c r="M12" s="50">
        <v>8</v>
      </c>
      <c r="N12" s="50">
        <v>0</v>
      </c>
      <c r="O12" s="15">
        <f t="shared" si="0"/>
        <v>1</v>
      </c>
      <c r="P12" s="15">
        <f t="shared" si="1"/>
        <v>9</v>
      </c>
      <c r="R12" s="1" t="s">
        <v>8</v>
      </c>
      <c r="S12" s="17">
        <f t="shared" ref="S12:AF12" si="4">SUM(C18:C21)</f>
        <v>3</v>
      </c>
      <c r="T12" s="17">
        <f t="shared" si="4"/>
        <v>1</v>
      </c>
      <c r="U12" s="17">
        <f t="shared" si="4"/>
        <v>5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2</v>
      </c>
      <c r="AC12" s="17">
        <f t="shared" si="4"/>
        <v>58</v>
      </c>
      <c r="AD12" s="17">
        <f t="shared" si="4"/>
        <v>0</v>
      </c>
      <c r="AE12" s="31">
        <f t="shared" si="4"/>
        <v>13</v>
      </c>
      <c r="AF12" s="31">
        <f t="shared" si="4"/>
        <v>71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f>SUM('[1]RD4 MCC'!R853:U853)</f>
        <v>0</v>
      </c>
      <c r="M13" s="50">
        <v>9</v>
      </c>
      <c r="N13" s="50">
        <v>0</v>
      </c>
      <c r="O13" s="15">
        <f t="shared" si="0"/>
        <v>1</v>
      </c>
      <c r="P13" s="15">
        <f t="shared" si="1"/>
        <v>10</v>
      </c>
      <c r="R13" s="1" t="s">
        <v>9</v>
      </c>
      <c r="S13" s="17">
        <f t="shared" ref="S13:AF13" si="5">SUM(C22:C25)</f>
        <v>6</v>
      </c>
      <c r="T13" s="17">
        <f t="shared" si="5"/>
        <v>1</v>
      </c>
      <c r="U13" s="17">
        <f t="shared" si="5"/>
        <v>4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0</v>
      </c>
      <c r="AA13" s="17">
        <f t="shared" si="5"/>
        <v>0</v>
      </c>
      <c r="AB13" s="17">
        <f t="shared" si="5"/>
        <v>4</v>
      </c>
      <c r="AC13" s="17">
        <f t="shared" si="5"/>
        <v>40</v>
      </c>
      <c r="AD13" s="17">
        <f t="shared" si="5"/>
        <v>0</v>
      </c>
      <c r="AE13" s="31">
        <f t="shared" si="5"/>
        <v>23</v>
      </c>
      <c r="AF13" s="31">
        <f t="shared" si="5"/>
        <v>63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2</v>
      </c>
      <c r="J14" s="50">
        <v>0</v>
      </c>
      <c r="K14" s="50">
        <v>2</v>
      </c>
      <c r="L14" s="50">
        <f>SUM('[1]RD4 MCC'!R854:U854)</f>
        <v>0</v>
      </c>
      <c r="M14" s="50">
        <v>9</v>
      </c>
      <c r="N14" s="50">
        <v>0</v>
      </c>
      <c r="O14" s="15">
        <f t="shared" si="0"/>
        <v>4</v>
      </c>
      <c r="P14" s="15">
        <f t="shared" si="1"/>
        <v>13</v>
      </c>
      <c r="R14" s="1" t="s">
        <v>10</v>
      </c>
      <c r="S14" s="17">
        <f t="shared" ref="S14:AF14" si="6">SUM(C26:C29)</f>
        <v>5</v>
      </c>
      <c r="T14" s="17">
        <f t="shared" si="6"/>
        <v>0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2</v>
      </c>
      <c r="AC14" s="17">
        <f t="shared" si="6"/>
        <v>57</v>
      </c>
      <c r="AD14" s="17">
        <f t="shared" si="6"/>
        <v>0</v>
      </c>
      <c r="AE14" s="31">
        <f t="shared" si="6"/>
        <v>12</v>
      </c>
      <c r="AF14" s="31">
        <f t="shared" si="6"/>
        <v>69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1</v>
      </c>
      <c r="H15" s="50">
        <v>0</v>
      </c>
      <c r="I15" s="50">
        <v>0</v>
      </c>
      <c r="J15" s="50">
        <v>0</v>
      </c>
      <c r="K15" s="50">
        <v>0</v>
      </c>
      <c r="L15" s="50">
        <v>3</v>
      </c>
      <c r="M15" s="50">
        <v>17</v>
      </c>
      <c r="N15" s="50">
        <v>0</v>
      </c>
      <c r="O15" s="15">
        <f t="shared" si="0"/>
        <v>5</v>
      </c>
      <c r="P15" s="15">
        <f t="shared" si="1"/>
        <v>22</v>
      </c>
      <c r="R15" s="1" t="s">
        <v>11</v>
      </c>
      <c r="S15" s="17">
        <f t="shared" ref="S15:AF15" si="7">SUM(C30:C33)</f>
        <v>3</v>
      </c>
      <c r="T15" s="17">
        <f t="shared" si="7"/>
        <v>1</v>
      </c>
      <c r="U15" s="17">
        <f t="shared" si="7"/>
        <v>6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4</v>
      </c>
      <c r="AC15" s="17">
        <f t="shared" si="7"/>
        <v>47</v>
      </c>
      <c r="AD15" s="17">
        <f t="shared" si="7"/>
        <v>0</v>
      </c>
      <c r="AE15" s="31">
        <f t="shared" si="7"/>
        <v>20</v>
      </c>
      <c r="AF15" s="31">
        <f t="shared" si="7"/>
        <v>67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1</v>
      </c>
      <c r="I16" s="50">
        <v>0</v>
      </c>
      <c r="J16" s="50">
        <v>0</v>
      </c>
      <c r="K16" s="50">
        <v>0</v>
      </c>
      <c r="L16" s="50">
        <f>SUM('[1]RD4 MCC'!R856:U856)</f>
        <v>0</v>
      </c>
      <c r="M16" s="50">
        <v>22</v>
      </c>
      <c r="N16" s="50">
        <v>0</v>
      </c>
      <c r="O16" s="15">
        <f t="shared" si="0"/>
        <v>2</v>
      </c>
      <c r="P16" s="15">
        <f t="shared" si="1"/>
        <v>24</v>
      </c>
      <c r="R16" s="1" t="s">
        <v>12</v>
      </c>
      <c r="S16" s="17">
        <f t="shared" ref="S16:AF16" si="8">SUM(C34:C37)</f>
        <v>3</v>
      </c>
      <c r="T16" s="17">
        <f t="shared" si="8"/>
        <v>1</v>
      </c>
      <c r="U16" s="17">
        <f t="shared" si="8"/>
        <v>5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1</v>
      </c>
      <c r="AC16" s="17">
        <f t="shared" si="8"/>
        <v>49</v>
      </c>
      <c r="AD16" s="17">
        <f t="shared" si="8"/>
        <v>1</v>
      </c>
      <c r="AE16" s="31">
        <f t="shared" si="8"/>
        <v>14</v>
      </c>
      <c r="AF16" s="31">
        <f t="shared" si="8"/>
        <v>63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f>SUM('[1]RD4 MCC'!R857:U857)</f>
        <v>0</v>
      </c>
      <c r="M17" s="50">
        <v>21</v>
      </c>
      <c r="N17" s="50">
        <v>0</v>
      </c>
      <c r="O17" s="15">
        <f t="shared" si="0"/>
        <v>2</v>
      </c>
      <c r="P17" s="15">
        <f t="shared" si="1"/>
        <v>23</v>
      </c>
      <c r="R17" s="1" t="s">
        <v>13</v>
      </c>
      <c r="S17" s="17">
        <f t="shared" ref="S17:AF17" si="9">SUM(C38:C41)</f>
        <v>5</v>
      </c>
      <c r="T17" s="17">
        <f t="shared" si="9"/>
        <v>0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2</v>
      </c>
      <c r="AA17" s="17">
        <f t="shared" si="9"/>
        <v>0</v>
      </c>
      <c r="AB17" s="17">
        <f t="shared" si="9"/>
        <v>2</v>
      </c>
      <c r="AC17" s="17">
        <f t="shared" si="9"/>
        <v>46</v>
      </c>
      <c r="AD17" s="17">
        <f t="shared" si="9"/>
        <v>0</v>
      </c>
      <c r="AE17" s="31">
        <f t="shared" si="9"/>
        <v>13</v>
      </c>
      <c r="AF17" s="31">
        <f t="shared" si="9"/>
        <v>59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f>SUM('[1]RD4 MCC'!R858:U858)</f>
        <v>0</v>
      </c>
      <c r="M18" s="50">
        <v>11</v>
      </c>
      <c r="N18" s="50">
        <v>0</v>
      </c>
      <c r="O18" s="15">
        <f t="shared" si="0"/>
        <v>3</v>
      </c>
      <c r="P18" s="15">
        <f t="shared" si="1"/>
        <v>14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4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28</v>
      </c>
      <c r="AD18" s="17">
        <f t="shared" si="10"/>
        <v>0</v>
      </c>
      <c r="AE18" s="31">
        <f t="shared" si="10"/>
        <v>14</v>
      </c>
      <c r="AF18" s="31">
        <f t="shared" si="10"/>
        <v>42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3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1</v>
      </c>
      <c r="M19" s="50">
        <v>20</v>
      </c>
      <c r="N19" s="50">
        <v>0</v>
      </c>
      <c r="O19" s="15">
        <f t="shared" si="0"/>
        <v>7</v>
      </c>
      <c r="P19" s="15">
        <f t="shared" si="1"/>
        <v>27</v>
      </c>
      <c r="R19" s="1" t="s">
        <v>15</v>
      </c>
      <c r="S19" s="17">
        <f t="shared" ref="S19:AF19" si="11">SUM(C46:C49)</f>
        <v>2</v>
      </c>
      <c r="T19" s="17">
        <f t="shared" si="11"/>
        <v>0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3</v>
      </c>
      <c r="AC19" s="17">
        <f t="shared" si="11"/>
        <v>54</v>
      </c>
      <c r="AD19" s="17">
        <f t="shared" si="11"/>
        <v>0</v>
      </c>
      <c r="AE19" s="31">
        <f t="shared" si="11"/>
        <v>9</v>
      </c>
      <c r="AF19" s="31">
        <f t="shared" si="11"/>
        <v>63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f>SUM('[1]RD4 MCC'!R860:U860)</f>
        <v>0</v>
      </c>
      <c r="M20" s="50">
        <v>9</v>
      </c>
      <c r="N20" s="50">
        <v>0</v>
      </c>
      <c r="O20" s="15">
        <f t="shared" si="0"/>
        <v>2</v>
      </c>
      <c r="P20" s="15">
        <f t="shared" si="1"/>
        <v>11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3</v>
      </c>
      <c r="V20" s="17">
        <f t="shared" si="12"/>
        <v>4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3</v>
      </c>
      <c r="AC20" s="17">
        <f t="shared" si="12"/>
        <v>60</v>
      </c>
      <c r="AD20" s="17">
        <f t="shared" si="12"/>
        <v>0</v>
      </c>
      <c r="AE20" s="31">
        <f t="shared" si="12"/>
        <v>18</v>
      </c>
      <c r="AF20" s="31">
        <f t="shared" si="12"/>
        <v>78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18</v>
      </c>
      <c r="N21" s="50">
        <v>0</v>
      </c>
      <c r="O21" s="15">
        <f t="shared" si="0"/>
        <v>1</v>
      </c>
      <c r="P21" s="15">
        <f t="shared" si="1"/>
        <v>19</v>
      </c>
      <c r="R21" s="36" t="s">
        <v>20</v>
      </c>
      <c r="S21" s="34">
        <f t="shared" ref="S21:AF21" si="13">SUM(C54:C57)</f>
        <v>4</v>
      </c>
      <c r="T21" s="17">
        <f t="shared" si="13"/>
        <v>1</v>
      </c>
      <c r="U21" s="17">
        <f t="shared" si="13"/>
        <v>4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1</v>
      </c>
      <c r="AB21" s="17">
        <f t="shared" si="13"/>
        <v>2</v>
      </c>
      <c r="AC21" s="17">
        <f t="shared" si="13"/>
        <v>35</v>
      </c>
      <c r="AD21" s="17">
        <f t="shared" si="13"/>
        <v>0</v>
      </c>
      <c r="AE21" s="31">
        <f t="shared" si="13"/>
        <v>17</v>
      </c>
      <c r="AF21" s="31">
        <f t="shared" si="13"/>
        <v>52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f>SUM('[1]RD4 MCC'!R862:U862)</f>
        <v>1</v>
      </c>
      <c r="M22" s="50">
        <v>7</v>
      </c>
      <c r="N22" s="50">
        <v>0</v>
      </c>
      <c r="O22" s="15">
        <f t="shared" si="0"/>
        <v>6</v>
      </c>
      <c r="P22" s="15">
        <f t="shared" si="1"/>
        <v>13</v>
      </c>
      <c r="R22" s="38" t="s">
        <v>90</v>
      </c>
      <c r="S22" s="39">
        <f>MAX(S10:S12)</f>
        <v>3</v>
      </c>
      <c r="T22" s="39">
        <f t="shared" ref="T22:AF22" si="14">MAX(T10:T12)</f>
        <v>1</v>
      </c>
      <c r="U22" s="39">
        <f t="shared" si="14"/>
        <v>5</v>
      </c>
      <c r="V22" s="39">
        <f t="shared" si="14"/>
        <v>1</v>
      </c>
      <c r="W22" s="39">
        <f t="shared" si="14"/>
        <v>1</v>
      </c>
      <c r="X22" s="39">
        <f t="shared" si="14"/>
        <v>1</v>
      </c>
      <c r="Y22" s="39">
        <f t="shared" si="14"/>
        <v>4</v>
      </c>
      <c r="Z22" s="39">
        <f t="shared" si="14"/>
        <v>0</v>
      </c>
      <c r="AA22" s="39">
        <f t="shared" si="14"/>
        <v>2</v>
      </c>
      <c r="AB22" s="39">
        <f t="shared" si="14"/>
        <v>3</v>
      </c>
      <c r="AC22" s="39">
        <f t="shared" si="14"/>
        <v>69</v>
      </c>
      <c r="AD22" s="39">
        <f t="shared" si="14"/>
        <v>0</v>
      </c>
      <c r="AE22" s="40">
        <f t="shared" si="14"/>
        <v>13</v>
      </c>
      <c r="AF22" s="40">
        <f t="shared" si="14"/>
        <v>82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f>SUM('[1]RD4 MCC'!R863:U863)</f>
        <v>0</v>
      </c>
      <c r="M23" s="50">
        <v>12</v>
      </c>
      <c r="N23" s="50">
        <v>0</v>
      </c>
      <c r="O23" s="15">
        <f t="shared" si="0"/>
        <v>2</v>
      </c>
      <c r="P23" s="15">
        <f t="shared" si="1"/>
        <v>14</v>
      </c>
      <c r="R23" s="38" t="s">
        <v>91</v>
      </c>
      <c r="S23" s="39">
        <f>MAX(S13:S18)</f>
        <v>6</v>
      </c>
      <c r="T23" s="39">
        <f t="shared" ref="T23:AF23" si="15">MAX(T13:T18)</f>
        <v>1</v>
      </c>
      <c r="U23" s="39">
        <f t="shared" si="15"/>
        <v>6</v>
      </c>
      <c r="V23" s="39">
        <f t="shared" si="15"/>
        <v>5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2</v>
      </c>
      <c r="AA23" s="39">
        <f t="shared" si="15"/>
        <v>0</v>
      </c>
      <c r="AB23" s="39">
        <f t="shared" si="15"/>
        <v>4</v>
      </c>
      <c r="AC23" s="39">
        <f t="shared" si="15"/>
        <v>57</v>
      </c>
      <c r="AD23" s="39">
        <f t="shared" si="15"/>
        <v>1</v>
      </c>
      <c r="AE23" s="40">
        <f t="shared" si="15"/>
        <v>23</v>
      </c>
      <c r="AF23" s="40">
        <f t="shared" si="15"/>
        <v>69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f>SUM('[1]RD4 MCC'!R864:U864)</f>
        <v>1</v>
      </c>
      <c r="M24" s="50">
        <v>12</v>
      </c>
      <c r="N24" s="50">
        <v>0</v>
      </c>
      <c r="O24" s="15">
        <f t="shared" si="0"/>
        <v>5</v>
      </c>
      <c r="P24" s="15">
        <f t="shared" si="1"/>
        <v>17</v>
      </c>
      <c r="R24" s="38" t="s">
        <v>92</v>
      </c>
      <c r="S24" s="39">
        <f>MAX(S19:S21)</f>
        <v>4</v>
      </c>
      <c r="T24" s="39">
        <f t="shared" ref="T24:AF24" si="16">MAX(T19:T21)</f>
        <v>1</v>
      </c>
      <c r="U24" s="39">
        <f t="shared" si="16"/>
        <v>4</v>
      </c>
      <c r="V24" s="39">
        <f t="shared" si="16"/>
        <v>4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0</v>
      </c>
      <c r="AA24" s="39">
        <f t="shared" si="16"/>
        <v>1</v>
      </c>
      <c r="AB24" s="39">
        <f t="shared" si="16"/>
        <v>3</v>
      </c>
      <c r="AC24" s="39">
        <f t="shared" si="16"/>
        <v>60</v>
      </c>
      <c r="AD24" s="39">
        <f t="shared" si="16"/>
        <v>0</v>
      </c>
      <c r="AE24" s="40">
        <f t="shared" si="16"/>
        <v>18</v>
      </c>
      <c r="AF24" s="40">
        <f t="shared" si="16"/>
        <v>78</v>
      </c>
    </row>
    <row r="25" spans="2:32" ht="23.1" customHeight="1" x14ac:dyDescent="0.25">
      <c r="B25" s="23" t="s">
        <v>52</v>
      </c>
      <c r="C25" s="50">
        <v>2</v>
      </c>
      <c r="D25" s="50">
        <v>1</v>
      </c>
      <c r="E25" s="50">
        <v>3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f>SUM('[1]RD4 MCC'!R865:U865)</f>
        <v>2</v>
      </c>
      <c r="M25" s="50">
        <v>9</v>
      </c>
      <c r="N25" s="50">
        <v>0</v>
      </c>
      <c r="O25" s="15">
        <f t="shared" si="0"/>
        <v>10</v>
      </c>
      <c r="P25" s="15">
        <f t="shared" si="1"/>
        <v>19</v>
      </c>
      <c r="R25" s="37" t="s">
        <v>85</v>
      </c>
      <c r="S25" s="35">
        <f t="shared" ref="S25:AF25" si="17">SUM(S10:S12)</f>
        <v>5</v>
      </c>
      <c r="T25" s="16">
        <f t="shared" si="17"/>
        <v>1</v>
      </c>
      <c r="U25" s="16">
        <f t="shared" si="17"/>
        <v>8</v>
      </c>
      <c r="V25" s="16">
        <f t="shared" si="17"/>
        <v>1</v>
      </c>
      <c r="W25" s="16">
        <f t="shared" si="17"/>
        <v>1</v>
      </c>
      <c r="X25" s="16">
        <f t="shared" si="17"/>
        <v>1</v>
      </c>
      <c r="Y25" s="16">
        <f t="shared" si="17"/>
        <v>6</v>
      </c>
      <c r="Z25" s="16">
        <f t="shared" si="17"/>
        <v>0</v>
      </c>
      <c r="AA25" s="16">
        <f t="shared" si="17"/>
        <v>2</v>
      </c>
      <c r="AB25" s="16">
        <f t="shared" si="17"/>
        <v>7</v>
      </c>
      <c r="AC25" s="16">
        <f t="shared" si="17"/>
        <v>163</v>
      </c>
      <c r="AD25" s="16">
        <f t="shared" si="17"/>
        <v>0</v>
      </c>
      <c r="AE25" s="32">
        <f t="shared" si="17"/>
        <v>32</v>
      </c>
      <c r="AF25" s="32">
        <f t="shared" si="17"/>
        <v>195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f>SUM('[1]RD4 MCC'!R866:U866)</f>
        <v>1</v>
      </c>
      <c r="M26" s="50">
        <v>13</v>
      </c>
      <c r="N26" s="50">
        <v>0</v>
      </c>
      <c r="O26" s="15">
        <f t="shared" si="0"/>
        <v>2</v>
      </c>
      <c r="P26" s="15">
        <f t="shared" si="1"/>
        <v>15</v>
      </c>
      <c r="R26" s="28" t="s">
        <v>86</v>
      </c>
      <c r="S26" s="16">
        <f t="shared" ref="S26:AF26" si="18">SUM(S13:S18)</f>
        <v>23</v>
      </c>
      <c r="T26" s="16">
        <f t="shared" si="18"/>
        <v>3</v>
      </c>
      <c r="U26" s="16">
        <f t="shared" si="18"/>
        <v>23</v>
      </c>
      <c r="V26" s="16">
        <f t="shared" si="18"/>
        <v>14</v>
      </c>
      <c r="W26" s="16">
        <f t="shared" si="18"/>
        <v>0</v>
      </c>
      <c r="X26" s="16">
        <f t="shared" si="18"/>
        <v>0</v>
      </c>
      <c r="Y26" s="16">
        <f t="shared" si="18"/>
        <v>17</v>
      </c>
      <c r="Z26" s="16">
        <f t="shared" si="18"/>
        <v>2</v>
      </c>
      <c r="AA26" s="16">
        <f t="shared" si="18"/>
        <v>0</v>
      </c>
      <c r="AB26" s="16">
        <f t="shared" si="18"/>
        <v>13</v>
      </c>
      <c r="AC26" s="16">
        <f t="shared" si="18"/>
        <v>267</v>
      </c>
      <c r="AD26" s="16">
        <f t="shared" si="18"/>
        <v>1</v>
      </c>
      <c r="AE26" s="32">
        <f t="shared" si="18"/>
        <v>96</v>
      </c>
      <c r="AF26" s="32">
        <f t="shared" si="18"/>
        <v>363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f>SUM('[1]RD4 MCC'!R867:U867)</f>
        <v>0</v>
      </c>
      <c r="M27" s="50">
        <v>13</v>
      </c>
      <c r="N27" s="50">
        <v>0</v>
      </c>
      <c r="O27" s="15">
        <f t="shared" si="0"/>
        <v>1</v>
      </c>
      <c r="P27" s="15">
        <f t="shared" si="1"/>
        <v>14</v>
      </c>
      <c r="R27" s="29" t="s">
        <v>87</v>
      </c>
      <c r="S27" s="16">
        <f t="shared" ref="S27:AF27" si="19">SUM(S19:S21)</f>
        <v>9</v>
      </c>
      <c r="T27" s="16">
        <f t="shared" si="19"/>
        <v>1</v>
      </c>
      <c r="U27" s="16">
        <f t="shared" si="19"/>
        <v>9</v>
      </c>
      <c r="V27" s="16">
        <f t="shared" si="19"/>
        <v>5</v>
      </c>
      <c r="W27" s="16">
        <f t="shared" si="19"/>
        <v>0</v>
      </c>
      <c r="X27" s="16">
        <f t="shared" si="19"/>
        <v>0</v>
      </c>
      <c r="Y27" s="16">
        <f t="shared" si="19"/>
        <v>11</v>
      </c>
      <c r="Z27" s="16">
        <f t="shared" si="19"/>
        <v>0</v>
      </c>
      <c r="AA27" s="16">
        <f t="shared" si="19"/>
        <v>1</v>
      </c>
      <c r="AB27" s="16">
        <f t="shared" si="19"/>
        <v>8</v>
      </c>
      <c r="AC27" s="16">
        <f t="shared" si="19"/>
        <v>149</v>
      </c>
      <c r="AD27" s="16">
        <f t="shared" si="19"/>
        <v>0</v>
      </c>
      <c r="AE27" s="32">
        <f t="shared" si="19"/>
        <v>44</v>
      </c>
      <c r="AF27" s="32">
        <f t="shared" si="19"/>
        <v>193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f>SUM('[1]RD4 MCC'!R868:U868)</f>
        <v>1</v>
      </c>
      <c r="M28" s="50">
        <v>16</v>
      </c>
      <c r="N28" s="50">
        <v>0</v>
      </c>
      <c r="O28" s="15">
        <f t="shared" si="0"/>
        <v>5</v>
      </c>
      <c r="P28" s="15">
        <f t="shared" si="1"/>
        <v>21</v>
      </c>
      <c r="R28" s="5" t="s">
        <v>17</v>
      </c>
      <c r="S28" s="16">
        <f t="shared" ref="S28:AF28" si="20">SUM(S10:S21)</f>
        <v>37</v>
      </c>
      <c r="T28" s="16">
        <f t="shared" si="20"/>
        <v>5</v>
      </c>
      <c r="U28" s="16">
        <f t="shared" si="20"/>
        <v>40</v>
      </c>
      <c r="V28" s="16">
        <f t="shared" si="20"/>
        <v>20</v>
      </c>
      <c r="W28" s="16">
        <f t="shared" si="20"/>
        <v>1</v>
      </c>
      <c r="X28" s="16">
        <f t="shared" si="20"/>
        <v>1</v>
      </c>
      <c r="Y28" s="16">
        <f t="shared" si="20"/>
        <v>34</v>
      </c>
      <c r="Z28" s="16">
        <f t="shared" si="20"/>
        <v>2</v>
      </c>
      <c r="AA28" s="16">
        <f t="shared" si="20"/>
        <v>3</v>
      </c>
      <c r="AB28" s="16">
        <f t="shared" si="20"/>
        <v>28</v>
      </c>
      <c r="AC28" s="16">
        <f t="shared" si="20"/>
        <v>579</v>
      </c>
      <c r="AD28" s="16">
        <f t="shared" si="20"/>
        <v>1</v>
      </c>
      <c r="AE28" s="32">
        <f t="shared" si="20"/>
        <v>172</v>
      </c>
      <c r="AF28" s="32">
        <f t="shared" si="20"/>
        <v>751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f>SUM('[1]RD4 MCC'!R869:U869)</f>
        <v>0</v>
      </c>
      <c r="M29" s="50">
        <v>15</v>
      </c>
      <c r="N29" s="50">
        <v>0</v>
      </c>
      <c r="O29" s="15">
        <f t="shared" si="0"/>
        <v>4</v>
      </c>
      <c r="P29" s="15">
        <f t="shared" si="1"/>
        <v>19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3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f>SUM('[1]RD4 MCC'!R870:U870)</f>
        <v>3</v>
      </c>
      <c r="M30" s="50">
        <v>12</v>
      </c>
      <c r="N30" s="50">
        <v>0</v>
      </c>
      <c r="O30" s="15">
        <f t="shared" si="0"/>
        <v>9</v>
      </c>
      <c r="P30" s="15">
        <f t="shared" si="1"/>
        <v>21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f>SUM('[1]RD4 MCC'!R871:U871)</f>
        <v>0</v>
      </c>
      <c r="M31" s="50">
        <v>11</v>
      </c>
      <c r="N31" s="50">
        <v>0</v>
      </c>
      <c r="O31" s="15">
        <f t="shared" si="0"/>
        <v>3</v>
      </c>
      <c r="P31" s="15">
        <f t="shared" si="1"/>
        <v>14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f>SUM('[1]RD4 MCC'!R872:U872)</f>
        <v>1</v>
      </c>
      <c r="M32" s="50">
        <v>13</v>
      </c>
      <c r="N32" s="50">
        <v>0</v>
      </c>
      <c r="O32" s="15">
        <f t="shared" si="0"/>
        <v>3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2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f>SUM('[1]RD4 MCC'!R873:U873)</f>
        <v>0</v>
      </c>
      <c r="M33" s="50">
        <v>11</v>
      </c>
      <c r="N33" s="50">
        <v>0</v>
      </c>
      <c r="O33" s="15">
        <f t="shared" si="0"/>
        <v>5</v>
      </c>
      <c r="P33" s="15">
        <f t="shared" si="1"/>
        <v>16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2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f>SUM('[1]RD4 MCC'!R874:U874)</f>
        <v>1</v>
      </c>
      <c r="M34" s="50">
        <v>15</v>
      </c>
      <c r="N34" s="50">
        <v>0</v>
      </c>
      <c r="O34" s="15">
        <f t="shared" si="0"/>
        <v>5</v>
      </c>
      <c r="P34" s="15">
        <f t="shared" si="1"/>
        <v>20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f>SUM('[1]RD4 MCC'!R875:U875)</f>
        <v>0</v>
      </c>
      <c r="M35" s="50">
        <v>9</v>
      </c>
      <c r="N35" s="50">
        <v>0</v>
      </c>
      <c r="O35" s="15">
        <f t="shared" si="0"/>
        <v>2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0</v>
      </c>
      <c r="D36" s="50">
        <v>1</v>
      </c>
      <c r="E36" s="50">
        <v>3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f>SUM('[1]RD4 MCC'!R876:U876)</f>
        <v>0</v>
      </c>
      <c r="M36" s="50">
        <v>13</v>
      </c>
      <c r="N36" s="50">
        <v>0</v>
      </c>
      <c r="O36" s="15">
        <f t="shared" si="0"/>
        <v>5</v>
      </c>
      <c r="P36" s="15">
        <f t="shared" si="1"/>
        <v>18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f>SUM('[1]RD4 MCC'!R877:U877)</f>
        <v>0</v>
      </c>
      <c r="M37" s="50">
        <v>12</v>
      </c>
      <c r="N37" s="50">
        <v>1</v>
      </c>
      <c r="O37" s="15">
        <f t="shared" si="0"/>
        <v>2</v>
      </c>
      <c r="P37" s="15">
        <f t="shared" si="1"/>
        <v>14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f>SUM('[1]RD4 MCC'!R878:U878)</f>
        <v>2</v>
      </c>
      <c r="M38" s="50">
        <v>10</v>
      </c>
      <c r="N38" s="50">
        <v>0</v>
      </c>
      <c r="O38" s="15">
        <f t="shared" si="0"/>
        <v>5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f>SUM('[1]RD4 MCC'!R879:U879)</f>
        <v>0</v>
      </c>
      <c r="M39" s="50">
        <v>12</v>
      </c>
      <c r="N39" s="50">
        <v>0</v>
      </c>
      <c r="O39" s="15">
        <f t="shared" si="0"/>
        <v>0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f>SUM('[1]RD4 MCC'!R880:U880)</f>
        <v>0</v>
      </c>
      <c r="M40" s="50">
        <v>15</v>
      </c>
      <c r="N40" s="50">
        <v>0</v>
      </c>
      <c r="O40" s="15">
        <f t="shared" si="0"/>
        <v>4</v>
      </c>
      <c r="P40" s="15">
        <f t="shared" si="1"/>
        <v>19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2</v>
      </c>
      <c r="K41" s="50">
        <v>0</v>
      </c>
      <c r="L41" s="50">
        <f>SUM('[1]RD4 MCC'!R881:U881)</f>
        <v>0</v>
      </c>
      <c r="M41" s="50">
        <v>9</v>
      </c>
      <c r="N41" s="50">
        <v>0</v>
      </c>
      <c r="O41" s="15">
        <f t="shared" si="0"/>
        <v>4</v>
      </c>
      <c r="P41" s="15">
        <f t="shared" si="1"/>
        <v>13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f>SUM('[1]RD4 MCC'!R882:U882)</f>
        <v>0</v>
      </c>
      <c r="M42" s="50">
        <v>9</v>
      </c>
      <c r="N42" s="50">
        <v>0</v>
      </c>
      <c r="O42" s="15">
        <f t="shared" si="0"/>
        <v>2</v>
      </c>
      <c r="P42" s="15">
        <f t="shared" si="1"/>
        <v>11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f>SUM('[1]RD4 MCC'!R883:U883)</f>
        <v>0</v>
      </c>
      <c r="M43" s="50">
        <v>5</v>
      </c>
      <c r="N43" s="50">
        <v>0</v>
      </c>
      <c r="O43" s="15">
        <f t="shared" si="0"/>
        <v>2</v>
      </c>
      <c r="P43" s="15">
        <f t="shared" si="1"/>
        <v>7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1</v>
      </c>
      <c r="F44" s="50">
        <v>4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f>SUM('[1]RD4 MCC'!R884:U884)</f>
        <v>0</v>
      </c>
      <c r="M44" s="50">
        <v>6</v>
      </c>
      <c r="N44" s="50">
        <v>0</v>
      </c>
      <c r="O44" s="15">
        <f t="shared" si="0"/>
        <v>5</v>
      </c>
      <c r="P44" s="15">
        <f t="shared" si="1"/>
        <v>11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f>SUM('[1]RD4 MCC'!R885:U885)</f>
        <v>0</v>
      </c>
      <c r="M45" s="50">
        <v>8</v>
      </c>
      <c r="N45" s="50">
        <v>0</v>
      </c>
      <c r="O45" s="15">
        <f t="shared" si="0"/>
        <v>5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f>SUM('[1]RD4 MCC'!R886:U886)</f>
        <v>2</v>
      </c>
      <c r="M46" s="50">
        <v>22</v>
      </c>
      <c r="N46" s="50">
        <v>0</v>
      </c>
      <c r="O46" s="15">
        <f t="shared" si="0"/>
        <v>4</v>
      </c>
      <c r="P46" s="15">
        <f t="shared" si="1"/>
        <v>26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f>SUM('[1]RD4 MCC'!R887:U887)</f>
        <v>1</v>
      </c>
      <c r="M47" s="50">
        <v>12</v>
      </c>
      <c r="N47" s="50">
        <v>0</v>
      </c>
      <c r="O47" s="15">
        <f t="shared" si="0"/>
        <v>1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f>SUM('[1]RD4 MCC'!R888:U888)</f>
        <v>0</v>
      </c>
      <c r="M48" s="50">
        <v>10</v>
      </c>
      <c r="N48" s="50">
        <v>0</v>
      </c>
      <c r="O48" s="15">
        <f t="shared" si="0"/>
        <v>0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f>SUM('[1]RD4 MCC'!R889:U889)</f>
        <v>0</v>
      </c>
      <c r="M49" s="50">
        <v>10</v>
      </c>
      <c r="N49" s="50">
        <v>0</v>
      </c>
      <c r="O49" s="15">
        <f t="shared" si="0"/>
        <v>4</v>
      </c>
      <c r="P49" s="15">
        <f t="shared" si="1"/>
        <v>14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f>SUM('[1]RD4 MCC'!R890:U890)</f>
        <v>0</v>
      </c>
      <c r="M50" s="50">
        <v>5</v>
      </c>
      <c r="N50" s="50">
        <v>0</v>
      </c>
      <c r="O50" s="15">
        <f t="shared" si="0"/>
        <v>4</v>
      </c>
      <c r="P50" s="15">
        <f t="shared" si="1"/>
        <v>9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f>SUM('[1]RD4 MCC'!R891:U891)</f>
        <v>2</v>
      </c>
      <c r="M51" s="50">
        <v>13</v>
      </c>
      <c r="N51" s="50">
        <v>0</v>
      </c>
      <c r="O51" s="15">
        <f t="shared" si="0"/>
        <v>5</v>
      </c>
      <c r="P51" s="15">
        <f t="shared" si="1"/>
        <v>18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f>SUM('[1]RD4 MCC'!R892:U892)</f>
        <v>1</v>
      </c>
      <c r="M52" s="50">
        <v>16</v>
      </c>
      <c r="N52" s="50">
        <v>0</v>
      </c>
      <c r="O52" s="15">
        <f t="shared" si="0"/>
        <v>4</v>
      </c>
      <c r="P52" s="15">
        <f t="shared" si="1"/>
        <v>20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f>SUM('[1]RD4 MCC'!R893:U893)</f>
        <v>0</v>
      </c>
      <c r="M53" s="50">
        <v>26</v>
      </c>
      <c r="N53" s="50">
        <v>0</v>
      </c>
      <c r="O53" s="15">
        <f t="shared" si="0"/>
        <v>5</v>
      </c>
      <c r="P53" s="15">
        <f t="shared" si="1"/>
        <v>31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f>SUM('[1]RD4 MCC'!R894:U894)</f>
        <v>0</v>
      </c>
      <c r="M54" s="50">
        <v>11</v>
      </c>
      <c r="N54" s="50">
        <v>0</v>
      </c>
      <c r="O54" s="15">
        <f t="shared" si="0"/>
        <v>2</v>
      </c>
      <c r="P54" s="15">
        <f t="shared" si="1"/>
        <v>13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1</v>
      </c>
      <c r="E55" s="50">
        <v>3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f>SUM('[1]RD4 MCC'!R895:U895)</f>
        <v>0</v>
      </c>
      <c r="M55" s="50">
        <v>9</v>
      </c>
      <c r="N55" s="50">
        <v>0</v>
      </c>
      <c r="O55" s="15">
        <f t="shared" si="0"/>
        <v>7</v>
      </c>
      <c r="P55" s="15">
        <f t="shared" si="1"/>
        <v>16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1</v>
      </c>
      <c r="L56" s="50">
        <f>SUM('[1]RD4 MCC'!R896:U896)</f>
        <v>0</v>
      </c>
      <c r="M56" s="50">
        <v>15</v>
      </c>
      <c r="N56" s="50">
        <v>0</v>
      </c>
      <c r="O56" s="15">
        <f t="shared" si="0"/>
        <v>6</v>
      </c>
      <c r="P56" s="15">
        <f t="shared" si="1"/>
        <v>21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f>SUM('[1]RD4 MCC'!R897:U897)</f>
        <v>2</v>
      </c>
      <c r="M57" s="50">
        <v>0</v>
      </c>
      <c r="N57" s="50">
        <v>0</v>
      </c>
      <c r="O57" s="15">
        <f t="shared" si="0"/>
        <v>2</v>
      </c>
      <c r="P57" s="15">
        <f t="shared" si="1"/>
        <v>2</v>
      </c>
      <c r="R57" s="8"/>
      <c r="T57"/>
    </row>
    <row r="58" spans="2:20" ht="23.1" customHeight="1" x14ac:dyDescent="0.25">
      <c r="B58" s="26" t="s">
        <v>18</v>
      </c>
      <c r="C58" s="16">
        <v>0</v>
      </c>
      <c r="D58" s="16">
        <f t="shared" ref="D58:P58" si="21">SUM(D10:D57)</f>
        <v>5</v>
      </c>
      <c r="E58" s="16">
        <f t="shared" si="21"/>
        <v>40</v>
      </c>
      <c r="F58" s="16">
        <f t="shared" si="21"/>
        <v>20</v>
      </c>
      <c r="G58" s="16">
        <f t="shared" si="21"/>
        <v>1</v>
      </c>
      <c r="H58" s="16">
        <f t="shared" si="21"/>
        <v>1</v>
      </c>
      <c r="I58" s="16">
        <f t="shared" si="21"/>
        <v>34</v>
      </c>
      <c r="J58" s="16">
        <f t="shared" si="21"/>
        <v>2</v>
      </c>
      <c r="K58" s="16">
        <f t="shared" si="21"/>
        <v>3</v>
      </c>
      <c r="L58" s="16">
        <f t="shared" si="21"/>
        <v>28</v>
      </c>
      <c r="M58" s="16">
        <f t="shared" si="21"/>
        <v>579</v>
      </c>
      <c r="N58" s="16">
        <f t="shared" si="21"/>
        <v>1</v>
      </c>
      <c r="O58" s="16">
        <f t="shared" si="21"/>
        <v>172</v>
      </c>
      <c r="P58" s="16">
        <f t="shared" si="21"/>
        <v>751</v>
      </c>
      <c r="R58" s="8"/>
      <c r="T58"/>
    </row>
    <row r="59" spans="2:20" ht="23.1" customHeight="1" x14ac:dyDescent="0.25">
      <c r="B59" s="26" t="s">
        <v>93</v>
      </c>
      <c r="C59" s="43">
        <v>0</v>
      </c>
      <c r="D59" s="43">
        <f t="shared" ref="D59:N59" si="22">D58/$P$58</f>
        <v>6.6577896138482022E-3</v>
      </c>
      <c r="E59" s="43">
        <f t="shared" si="22"/>
        <v>5.3262316910785618E-2</v>
      </c>
      <c r="F59" s="43">
        <f t="shared" si="22"/>
        <v>2.6631158455392809E-2</v>
      </c>
      <c r="G59" s="43">
        <f t="shared" si="22"/>
        <v>1.3315579227696406E-3</v>
      </c>
      <c r="H59" s="43">
        <f t="shared" si="22"/>
        <v>1.3315579227696406E-3</v>
      </c>
      <c r="I59" s="43">
        <f t="shared" si="22"/>
        <v>4.5272969374167776E-2</v>
      </c>
      <c r="J59" s="43">
        <f t="shared" si="22"/>
        <v>2.6631158455392811E-3</v>
      </c>
      <c r="K59" s="43">
        <f t="shared" si="22"/>
        <v>3.9946737683089215E-3</v>
      </c>
      <c r="L59" s="43">
        <f t="shared" si="22"/>
        <v>3.7283621837549935E-2</v>
      </c>
      <c r="M59" s="43">
        <f t="shared" si="22"/>
        <v>0.77097203728362185</v>
      </c>
      <c r="N59" s="43">
        <f t="shared" si="22"/>
        <v>1.3315579227696406E-3</v>
      </c>
      <c r="R59" s="8"/>
      <c r="T59"/>
    </row>
    <row r="60" spans="2:20" ht="23.1" customHeight="1" x14ac:dyDescent="0.25">
      <c r="B60" s="42" t="s">
        <v>94</v>
      </c>
      <c r="C60" s="44">
        <v>0</v>
      </c>
      <c r="D60" s="44">
        <f t="shared" ref="D60:N60" si="23">D58/$O$58</f>
        <v>2.9069767441860465E-2</v>
      </c>
      <c r="E60" s="44">
        <f t="shared" si="23"/>
        <v>0.23255813953488372</v>
      </c>
      <c r="F60" s="44">
        <f t="shared" si="23"/>
        <v>0.11627906976744186</v>
      </c>
      <c r="G60" s="44">
        <f t="shared" si="23"/>
        <v>5.8139534883720929E-3</v>
      </c>
      <c r="H60" s="44">
        <f t="shared" si="23"/>
        <v>5.8139534883720929E-3</v>
      </c>
      <c r="I60" s="44">
        <f t="shared" si="23"/>
        <v>0.19767441860465115</v>
      </c>
      <c r="J60" s="44">
        <f t="shared" si="23"/>
        <v>1.1627906976744186E-2</v>
      </c>
      <c r="K60" s="44">
        <f t="shared" si="23"/>
        <v>1.7441860465116279E-2</v>
      </c>
      <c r="L60" s="44">
        <f t="shared" si="23"/>
        <v>0.16279069767441862</v>
      </c>
      <c r="M60" s="44"/>
      <c r="N60" s="44">
        <f t="shared" si="23"/>
        <v>5.8139534883720929E-3</v>
      </c>
      <c r="Q60" s="7"/>
      <c r="R60" s="8"/>
      <c r="T60"/>
    </row>
    <row r="61" spans="2:20" ht="20.100000000000001" customHeight="1" x14ac:dyDescent="0.25">
      <c r="B61" s="3"/>
      <c r="C61" s="18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topLeftCell="A37" zoomScale="60" workbookViewId="0">
      <selection activeCell="I27" sqref="I2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Nebbi-Goli'!C3:G3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'05.08 Goli-Nebbi'!D5</f>
        <v>05.08.19</v>
      </c>
      <c r="E5" s="3"/>
      <c r="F5" s="41" t="s">
        <v>1</v>
      </c>
      <c r="G5" s="65" t="str">
        <f>'05.08 Goli-Nebbi'!G5:H5</f>
        <v>Goli</v>
      </c>
      <c r="H5" s="66"/>
      <c r="I5" s="14"/>
      <c r="J5" s="2" t="s">
        <v>5</v>
      </c>
      <c r="K5" s="65" t="str">
        <f>'05.08 Goli-Nebbi'!K5:L5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'31.07 Nebbi-Goli'!D6:E6</f>
        <v>Nebbi</v>
      </c>
      <c r="E6" s="66"/>
      <c r="F6" s="2" t="s">
        <v>2</v>
      </c>
      <c r="G6" s="65" t="str">
        <f>'31.07 Nebbi-Goli'!G6:H6</f>
        <v>Goli</v>
      </c>
      <c r="H6" s="66"/>
      <c r="J6" s="2" t="s">
        <v>21</v>
      </c>
      <c r="K6" s="65" t="str">
        <f>'05.08 Goli-Nebbi'!K6:L6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2</v>
      </c>
      <c r="M10" s="50">
        <v>4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1</v>
      </c>
      <c r="V10" s="17">
        <f t="shared" si="2"/>
        <v>3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3</v>
      </c>
      <c r="AC10" s="17">
        <f t="shared" si="2"/>
        <v>36</v>
      </c>
      <c r="AD10" s="17">
        <f t="shared" si="2"/>
        <v>0</v>
      </c>
      <c r="AE10" s="31">
        <f t="shared" si="2"/>
        <v>11</v>
      </c>
      <c r="AF10" s="31">
        <f t="shared" si="2"/>
        <v>47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f>SUM('[1]RD4 MCC'!R851:U851)</f>
        <v>0</v>
      </c>
      <c r="M11" s="50">
        <v>7</v>
      </c>
      <c r="N11" s="50">
        <v>0</v>
      </c>
      <c r="O11" s="15">
        <f t="shared" si="0"/>
        <v>0</v>
      </c>
      <c r="P11" s="15">
        <f t="shared" si="1"/>
        <v>7</v>
      </c>
      <c r="R11" s="1" t="s">
        <v>7</v>
      </c>
      <c r="S11" s="17">
        <f t="shared" ref="S11:AF11" si="3">SUM(C14:C17)</f>
        <v>4</v>
      </c>
      <c r="T11" s="17">
        <f t="shared" si="3"/>
        <v>1</v>
      </c>
      <c r="U11" s="17">
        <f t="shared" si="3"/>
        <v>2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1</v>
      </c>
      <c r="AC11" s="17">
        <f t="shared" si="3"/>
        <v>60</v>
      </c>
      <c r="AD11" s="17">
        <f t="shared" si="3"/>
        <v>0</v>
      </c>
      <c r="AE11" s="31">
        <f t="shared" si="3"/>
        <v>15</v>
      </c>
      <c r="AF11" s="31">
        <f t="shared" si="3"/>
        <v>75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1</v>
      </c>
      <c r="I12" s="50">
        <v>1</v>
      </c>
      <c r="J12" s="50">
        <v>0</v>
      </c>
      <c r="K12" s="50">
        <v>0</v>
      </c>
      <c r="L12" s="50">
        <v>1</v>
      </c>
      <c r="M12" s="50">
        <v>16</v>
      </c>
      <c r="N12" s="50">
        <v>0</v>
      </c>
      <c r="O12" s="15">
        <f t="shared" si="0"/>
        <v>3</v>
      </c>
      <c r="P12" s="15">
        <f t="shared" si="1"/>
        <v>19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3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1</v>
      </c>
      <c r="AC12" s="17">
        <f t="shared" si="4"/>
        <v>50</v>
      </c>
      <c r="AD12" s="17">
        <f t="shared" si="4"/>
        <v>0</v>
      </c>
      <c r="AE12" s="31">
        <f t="shared" si="4"/>
        <v>10</v>
      </c>
      <c r="AF12" s="31">
        <f t="shared" si="4"/>
        <v>60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f>SUM('[1]RD4 MCC'!R853:U853)</f>
        <v>0</v>
      </c>
      <c r="M13" s="50">
        <v>9</v>
      </c>
      <c r="N13" s="50">
        <v>0</v>
      </c>
      <c r="O13" s="15">
        <f t="shared" si="0"/>
        <v>3</v>
      </c>
      <c r="P13" s="15">
        <f t="shared" si="1"/>
        <v>12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4</v>
      </c>
      <c r="AC13" s="17">
        <f t="shared" si="5"/>
        <v>50</v>
      </c>
      <c r="AD13" s="17">
        <f t="shared" si="5"/>
        <v>1</v>
      </c>
      <c r="AE13" s="31">
        <f t="shared" si="5"/>
        <v>11</v>
      </c>
      <c r="AF13" s="31">
        <f t="shared" si="5"/>
        <v>61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f>SUM('[1]RD4 MCC'!R854:U854)</f>
        <v>0</v>
      </c>
      <c r="M14" s="50">
        <v>11</v>
      </c>
      <c r="N14" s="50">
        <v>0</v>
      </c>
      <c r="O14" s="15">
        <f t="shared" si="0"/>
        <v>1</v>
      </c>
      <c r="P14" s="15">
        <f t="shared" si="1"/>
        <v>12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3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2</v>
      </c>
      <c r="AC14" s="17">
        <f t="shared" si="6"/>
        <v>44</v>
      </c>
      <c r="AD14" s="17">
        <f t="shared" si="6"/>
        <v>0</v>
      </c>
      <c r="AE14" s="31">
        <f t="shared" si="6"/>
        <v>8</v>
      </c>
      <c r="AF14" s="31">
        <f t="shared" si="6"/>
        <v>52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3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f>SUM('[1]RD4 MCC'!R855:U855)</f>
        <v>0</v>
      </c>
      <c r="M15" s="50">
        <v>25</v>
      </c>
      <c r="N15" s="50">
        <v>0</v>
      </c>
      <c r="O15" s="15">
        <f t="shared" si="0"/>
        <v>6</v>
      </c>
      <c r="P15" s="15">
        <f t="shared" si="1"/>
        <v>31</v>
      </c>
      <c r="R15" s="1" t="s">
        <v>11</v>
      </c>
      <c r="S15" s="17">
        <f t="shared" ref="S15:AF15" si="7">SUM(C30:C33)</f>
        <v>8</v>
      </c>
      <c r="T15" s="17">
        <f t="shared" si="7"/>
        <v>1</v>
      </c>
      <c r="U15" s="17">
        <f t="shared" si="7"/>
        <v>4</v>
      </c>
      <c r="V15" s="17">
        <f t="shared" si="7"/>
        <v>1</v>
      </c>
      <c r="W15" s="17">
        <f t="shared" si="7"/>
        <v>0</v>
      </c>
      <c r="X15" s="17">
        <f t="shared" si="7"/>
        <v>1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4</v>
      </c>
      <c r="AC15" s="17">
        <f t="shared" si="7"/>
        <v>42</v>
      </c>
      <c r="AD15" s="17">
        <f t="shared" si="7"/>
        <v>0</v>
      </c>
      <c r="AE15" s="31">
        <f t="shared" si="7"/>
        <v>22</v>
      </c>
      <c r="AF15" s="31">
        <f t="shared" si="7"/>
        <v>64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1</v>
      </c>
      <c r="M16" s="50">
        <v>15</v>
      </c>
      <c r="N16" s="50">
        <v>0</v>
      </c>
      <c r="O16" s="15">
        <f t="shared" si="0"/>
        <v>3</v>
      </c>
      <c r="P16" s="15">
        <f t="shared" si="1"/>
        <v>18</v>
      </c>
      <c r="R16" s="1" t="s">
        <v>12</v>
      </c>
      <c r="S16" s="17">
        <f t="shared" ref="S16:AF16" si="8">SUM(C34:C37)</f>
        <v>1</v>
      </c>
      <c r="T16" s="17">
        <f t="shared" si="8"/>
        <v>1</v>
      </c>
      <c r="U16" s="17">
        <f t="shared" si="8"/>
        <v>4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1</v>
      </c>
      <c r="AC16" s="17">
        <f t="shared" si="8"/>
        <v>50</v>
      </c>
      <c r="AD16" s="17">
        <f t="shared" si="8"/>
        <v>0</v>
      </c>
      <c r="AE16" s="31">
        <f t="shared" si="8"/>
        <v>11</v>
      </c>
      <c r="AF16" s="31">
        <f t="shared" si="8"/>
        <v>61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2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f>SUM('[1]RD4 MCC'!R857:U857)</f>
        <v>0</v>
      </c>
      <c r="M17" s="50">
        <v>9</v>
      </c>
      <c r="N17" s="50">
        <v>0</v>
      </c>
      <c r="O17" s="15">
        <f t="shared" si="0"/>
        <v>5</v>
      </c>
      <c r="P17" s="15">
        <f t="shared" si="1"/>
        <v>14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2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2</v>
      </c>
      <c r="AC17" s="17">
        <f t="shared" si="9"/>
        <v>32</v>
      </c>
      <c r="AD17" s="17">
        <f t="shared" si="9"/>
        <v>0</v>
      </c>
      <c r="AE17" s="31">
        <f t="shared" si="9"/>
        <v>12</v>
      </c>
      <c r="AF17" s="31">
        <f t="shared" si="9"/>
        <v>44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f>SUM('[1]RD4 MCC'!R858:U858)</f>
        <v>0</v>
      </c>
      <c r="M18" s="50">
        <v>15</v>
      </c>
      <c r="N18" s="50">
        <v>0</v>
      </c>
      <c r="O18" s="15">
        <f t="shared" si="0"/>
        <v>2</v>
      </c>
      <c r="P18" s="15">
        <f t="shared" si="1"/>
        <v>17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1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39</v>
      </c>
      <c r="AD18" s="17">
        <f t="shared" si="10"/>
        <v>0</v>
      </c>
      <c r="AE18" s="31">
        <f t="shared" si="10"/>
        <v>7</v>
      </c>
      <c r="AF18" s="31">
        <f t="shared" si="10"/>
        <v>46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f>SUM('[1]RD4 MCC'!R859:U859)</f>
        <v>0</v>
      </c>
      <c r="M19" s="50">
        <v>13</v>
      </c>
      <c r="N19" s="50">
        <v>0</v>
      </c>
      <c r="O19" s="15">
        <f t="shared" si="0"/>
        <v>1</v>
      </c>
      <c r="P19" s="15">
        <f t="shared" si="1"/>
        <v>14</v>
      </c>
      <c r="R19" s="1" t="s">
        <v>15</v>
      </c>
      <c r="S19" s="17">
        <f t="shared" ref="S19:AF19" si="11">SUM(C46:C49)</f>
        <v>4</v>
      </c>
      <c r="T19" s="17">
        <f t="shared" si="11"/>
        <v>1</v>
      </c>
      <c r="U19" s="17">
        <f t="shared" si="11"/>
        <v>4</v>
      </c>
      <c r="V19" s="17">
        <f t="shared" si="11"/>
        <v>1</v>
      </c>
      <c r="W19" s="17">
        <f t="shared" si="11"/>
        <v>1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1</v>
      </c>
      <c r="AB19" s="17">
        <f t="shared" si="11"/>
        <v>3</v>
      </c>
      <c r="AC19" s="17">
        <f t="shared" si="11"/>
        <v>40</v>
      </c>
      <c r="AD19" s="17">
        <f t="shared" si="11"/>
        <v>0</v>
      </c>
      <c r="AE19" s="31">
        <f t="shared" si="11"/>
        <v>18</v>
      </c>
      <c r="AF19" s="31">
        <f t="shared" si="11"/>
        <v>58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f>SUM('[1]RD4 MCC'!R860:U860)</f>
        <v>0</v>
      </c>
      <c r="M20" s="50">
        <v>17</v>
      </c>
      <c r="N20" s="50">
        <v>0</v>
      </c>
      <c r="O20" s="15">
        <f t="shared" si="0"/>
        <v>4</v>
      </c>
      <c r="P20" s="15">
        <f t="shared" si="1"/>
        <v>21</v>
      </c>
      <c r="R20" s="1" t="s">
        <v>16</v>
      </c>
      <c r="S20" s="17">
        <f t="shared" ref="S20:AF20" si="12">SUM(C50:C53)</f>
        <v>1</v>
      </c>
      <c r="T20" s="17">
        <f t="shared" si="12"/>
        <v>2</v>
      </c>
      <c r="U20" s="17">
        <f t="shared" si="12"/>
        <v>7</v>
      </c>
      <c r="V20" s="17">
        <f t="shared" si="12"/>
        <v>4</v>
      </c>
      <c r="W20" s="17">
        <f t="shared" si="12"/>
        <v>1</v>
      </c>
      <c r="X20" s="17">
        <f t="shared" si="12"/>
        <v>1</v>
      </c>
      <c r="Y20" s="17">
        <f t="shared" si="12"/>
        <v>3</v>
      </c>
      <c r="Z20" s="17">
        <f t="shared" si="12"/>
        <v>1</v>
      </c>
      <c r="AA20" s="17">
        <f t="shared" si="12"/>
        <v>0</v>
      </c>
      <c r="AB20" s="17">
        <f t="shared" si="12"/>
        <v>3</v>
      </c>
      <c r="AC20" s="17">
        <f t="shared" si="12"/>
        <v>51</v>
      </c>
      <c r="AD20" s="17">
        <f t="shared" si="12"/>
        <v>0</v>
      </c>
      <c r="AE20" s="31">
        <f t="shared" si="12"/>
        <v>23</v>
      </c>
      <c r="AF20" s="31">
        <f t="shared" si="12"/>
        <v>74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5</v>
      </c>
      <c r="N21" s="50">
        <v>0</v>
      </c>
      <c r="O21" s="15">
        <f t="shared" si="0"/>
        <v>3</v>
      </c>
      <c r="P21" s="15">
        <f t="shared" si="1"/>
        <v>8</v>
      </c>
      <c r="R21" s="36" t="s">
        <v>20</v>
      </c>
      <c r="S21" s="34">
        <f t="shared" ref="S21:AF21" si="13">SUM(C54:C57)</f>
        <v>4</v>
      </c>
      <c r="T21" s="17">
        <f t="shared" si="13"/>
        <v>1</v>
      </c>
      <c r="U21" s="17">
        <f t="shared" si="13"/>
        <v>3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2</v>
      </c>
      <c r="AC21" s="17">
        <f t="shared" si="13"/>
        <v>59</v>
      </c>
      <c r="AD21" s="17">
        <f t="shared" si="13"/>
        <v>0</v>
      </c>
      <c r="AE21" s="31">
        <f t="shared" si="13"/>
        <v>16</v>
      </c>
      <c r="AF21" s="31">
        <f t="shared" si="13"/>
        <v>75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f>SUM('[1]RD4 MCC'!R862:U862)</f>
        <v>1</v>
      </c>
      <c r="M22" s="50">
        <v>13</v>
      </c>
      <c r="N22" s="50">
        <v>1</v>
      </c>
      <c r="O22" s="15">
        <f t="shared" si="0"/>
        <v>4</v>
      </c>
      <c r="P22" s="15">
        <f t="shared" si="1"/>
        <v>17</v>
      </c>
      <c r="R22" s="38" t="s">
        <v>90</v>
      </c>
      <c r="S22" s="39">
        <f>MAX(S10:S12)</f>
        <v>4</v>
      </c>
      <c r="T22" s="39">
        <f t="shared" ref="T22:AF22" si="14">MAX(T10:T12)</f>
        <v>1</v>
      </c>
      <c r="U22" s="39">
        <f t="shared" si="14"/>
        <v>3</v>
      </c>
      <c r="V22" s="39">
        <f t="shared" si="14"/>
        <v>3</v>
      </c>
      <c r="W22" s="39">
        <f t="shared" si="14"/>
        <v>0</v>
      </c>
      <c r="X22" s="39">
        <f t="shared" si="14"/>
        <v>1</v>
      </c>
      <c r="Y22" s="39">
        <f t="shared" si="14"/>
        <v>4</v>
      </c>
      <c r="Z22" s="39">
        <f t="shared" si="14"/>
        <v>0</v>
      </c>
      <c r="AA22" s="39">
        <f t="shared" si="14"/>
        <v>0</v>
      </c>
      <c r="AB22" s="39">
        <f t="shared" si="14"/>
        <v>3</v>
      </c>
      <c r="AC22" s="39">
        <f t="shared" si="14"/>
        <v>60</v>
      </c>
      <c r="AD22" s="39">
        <f t="shared" si="14"/>
        <v>0</v>
      </c>
      <c r="AE22" s="40">
        <f t="shared" si="14"/>
        <v>15</v>
      </c>
      <c r="AF22" s="40">
        <f t="shared" si="14"/>
        <v>75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f>SUM('[1]RD4 MCC'!R863:U863)</f>
        <v>0</v>
      </c>
      <c r="M23" s="50">
        <v>15</v>
      </c>
      <c r="N23" s="50">
        <v>0</v>
      </c>
      <c r="O23" s="15">
        <f t="shared" si="0"/>
        <v>1</v>
      </c>
      <c r="P23" s="15">
        <f t="shared" si="1"/>
        <v>16</v>
      </c>
      <c r="R23" s="38" t="s">
        <v>91</v>
      </c>
      <c r="S23" s="39">
        <f>MAX(S13:S18)</f>
        <v>8</v>
      </c>
      <c r="T23" s="39">
        <f t="shared" ref="T23:AF23" si="15">MAX(T13:T18)</f>
        <v>1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1</v>
      </c>
      <c r="Y23" s="39">
        <f t="shared" si="15"/>
        <v>3</v>
      </c>
      <c r="Z23" s="39">
        <f t="shared" si="15"/>
        <v>1</v>
      </c>
      <c r="AA23" s="39">
        <f t="shared" si="15"/>
        <v>0</v>
      </c>
      <c r="AB23" s="39">
        <f t="shared" si="15"/>
        <v>4</v>
      </c>
      <c r="AC23" s="39">
        <f t="shared" si="15"/>
        <v>50</v>
      </c>
      <c r="AD23" s="39">
        <f t="shared" si="15"/>
        <v>1</v>
      </c>
      <c r="AE23" s="40">
        <f t="shared" si="15"/>
        <v>22</v>
      </c>
      <c r="AF23" s="40">
        <f t="shared" si="15"/>
        <v>64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f>SUM('[1]RD4 MCC'!R864:U864)</f>
        <v>1</v>
      </c>
      <c r="M24" s="50">
        <v>14</v>
      </c>
      <c r="N24" s="50">
        <v>0</v>
      </c>
      <c r="O24" s="15">
        <f t="shared" si="0"/>
        <v>3</v>
      </c>
      <c r="P24" s="15">
        <f t="shared" si="1"/>
        <v>17</v>
      </c>
      <c r="R24" s="38" t="s">
        <v>92</v>
      </c>
      <c r="S24" s="39">
        <f>MAX(S19:S21)</f>
        <v>4</v>
      </c>
      <c r="T24" s="39">
        <f t="shared" ref="T24:AF24" si="16">MAX(T19:T21)</f>
        <v>2</v>
      </c>
      <c r="U24" s="39">
        <f t="shared" si="16"/>
        <v>7</v>
      </c>
      <c r="V24" s="39">
        <f t="shared" si="16"/>
        <v>4</v>
      </c>
      <c r="W24" s="39">
        <f t="shared" si="16"/>
        <v>1</v>
      </c>
      <c r="X24" s="39">
        <f t="shared" si="16"/>
        <v>1</v>
      </c>
      <c r="Y24" s="39">
        <f t="shared" si="16"/>
        <v>4</v>
      </c>
      <c r="Z24" s="39">
        <f t="shared" si="16"/>
        <v>1</v>
      </c>
      <c r="AA24" s="39">
        <f t="shared" si="16"/>
        <v>1</v>
      </c>
      <c r="AB24" s="39">
        <f t="shared" si="16"/>
        <v>3</v>
      </c>
      <c r="AC24" s="39">
        <f t="shared" si="16"/>
        <v>59</v>
      </c>
      <c r="AD24" s="39">
        <f t="shared" si="16"/>
        <v>0</v>
      </c>
      <c r="AE24" s="40">
        <f t="shared" si="16"/>
        <v>23</v>
      </c>
      <c r="AF24" s="40">
        <f t="shared" si="16"/>
        <v>75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f>SUM('[1]RD4 MCC'!R865:U865)</f>
        <v>2</v>
      </c>
      <c r="M25" s="50">
        <v>8</v>
      </c>
      <c r="N25" s="50">
        <v>0</v>
      </c>
      <c r="O25" s="15">
        <f t="shared" si="0"/>
        <v>3</v>
      </c>
      <c r="P25" s="15">
        <f t="shared" si="1"/>
        <v>11</v>
      </c>
      <c r="R25" s="37" t="s">
        <v>85</v>
      </c>
      <c r="S25" s="35">
        <f t="shared" ref="S25:AF25" si="17">SUM(S10:S12)</f>
        <v>8</v>
      </c>
      <c r="T25" s="16">
        <f t="shared" si="17"/>
        <v>1</v>
      </c>
      <c r="U25" s="16">
        <f t="shared" si="17"/>
        <v>6</v>
      </c>
      <c r="V25" s="16">
        <f t="shared" si="17"/>
        <v>8</v>
      </c>
      <c r="W25" s="16">
        <f t="shared" si="17"/>
        <v>0</v>
      </c>
      <c r="X25" s="16">
        <f t="shared" si="17"/>
        <v>1</v>
      </c>
      <c r="Y25" s="16">
        <f t="shared" si="17"/>
        <v>7</v>
      </c>
      <c r="Z25" s="16">
        <f t="shared" si="17"/>
        <v>0</v>
      </c>
      <c r="AA25" s="16">
        <f t="shared" si="17"/>
        <v>0</v>
      </c>
      <c r="AB25" s="16">
        <f t="shared" si="17"/>
        <v>5</v>
      </c>
      <c r="AC25" s="16">
        <f t="shared" si="17"/>
        <v>146</v>
      </c>
      <c r="AD25" s="16">
        <f t="shared" si="17"/>
        <v>0</v>
      </c>
      <c r="AE25" s="32">
        <f t="shared" si="17"/>
        <v>36</v>
      </c>
      <c r="AF25" s="32">
        <f t="shared" si="17"/>
        <v>182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f>SUM('[1]RD4 MCC'!R866:U866)</f>
        <v>1</v>
      </c>
      <c r="M26" s="50">
        <v>13</v>
      </c>
      <c r="N26" s="50">
        <v>0</v>
      </c>
      <c r="O26" s="15">
        <f t="shared" si="0"/>
        <v>1</v>
      </c>
      <c r="P26" s="15">
        <f t="shared" si="1"/>
        <v>14</v>
      </c>
      <c r="R26" s="28" t="s">
        <v>86</v>
      </c>
      <c r="S26" s="16">
        <f t="shared" ref="S26:AF26" si="18">SUM(S13:S18)</f>
        <v>16</v>
      </c>
      <c r="T26" s="16">
        <f t="shared" si="18"/>
        <v>3</v>
      </c>
      <c r="U26" s="16">
        <f t="shared" si="18"/>
        <v>16</v>
      </c>
      <c r="V26" s="16">
        <f t="shared" si="18"/>
        <v>12</v>
      </c>
      <c r="W26" s="16">
        <f t="shared" si="18"/>
        <v>0</v>
      </c>
      <c r="X26" s="16">
        <f t="shared" si="18"/>
        <v>1</v>
      </c>
      <c r="Y26" s="16">
        <f t="shared" si="18"/>
        <v>8</v>
      </c>
      <c r="Z26" s="16">
        <f t="shared" si="18"/>
        <v>1</v>
      </c>
      <c r="AA26" s="16">
        <f t="shared" si="18"/>
        <v>0</v>
      </c>
      <c r="AB26" s="16">
        <f t="shared" si="18"/>
        <v>13</v>
      </c>
      <c r="AC26" s="16">
        <f t="shared" si="18"/>
        <v>257</v>
      </c>
      <c r="AD26" s="16">
        <f t="shared" si="18"/>
        <v>1</v>
      </c>
      <c r="AE26" s="32">
        <f t="shared" si="18"/>
        <v>71</v>
      </c>
      <c r="AF26" s="32">
        <f t="shared" si="18"/>
        <v>328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f>SUM('[1]RD4 MCC'!R867:U867)</f>
        <v>0</v>
      </c>
      <c r="M27" s="50">
        <v>7</v>
      </c>
      <c r="N27" s="50">
        <v>0</v>
      </c>
      <c r="O27" s="15">
        <f t="shared" si="0"/>
        <v>0</v>
      </c>
      <c r="P27" s="15">
        <f t="shared" si="1"/>
        <v>7</v>
      </c>
      <c r="R27" s="29" t="s">
        <v>87</v>
      </c>
      <c r="S27" s="16">
        <f t="shared" ref="S27:AF27" si="19">SUM(S19:S21)</f>
        <v>9</v>
      </c>
      <c r="T27" s="16">
        <f t="shared" si="19"/>
        <v>4</v>
      </c>
      <c r="U27" s="16">
        <f t="shared" si="19"/>
        <v>14</v>
      </c>
      <c r="V27" s="16">
        <f t="shared" si="19"/>
        <v>7</v>
      </c>
      <c r="W27" s="16">
        <f t="shared" si="19"/>
        <v>2</v>
      </c>
      <c r="X27" s="16">
        <f t="shared" si="19"/>
        <v>1</v>
      </c>
      <c r="Y27" s="16">
        <f t="shared" si="19"/>
        <v>10</v>
      </c>
      <c r="Z27" s="16">
        <f t="shared" si="19"/>
        <v>1</v>
      </c>
      <c r="AA27" s="16">
        <f t="shared" si="19"/>
        <v>1</v>
      </c>
      <c r="AB27" s="16">
        <f t="shared" si="19"/>
        <v>8</v>
      </c>
      <c r="AC27" s="16">
        <f t="shared" si="19"/>
        <v>150</v>
      </c>
      <c r="AD27" s="16">
        <f t="shared" si="19"/>
        <v>0</v>
      </c>
      <c r="AE27" s="32">
        <f t="shared" si="19"/>
        <v>57</v>
      </c>
      <c r="AF27" s="32">
        <f t="shared" si="19"/>
        <v>207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2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f>SUM('[1]RD4 MCC'!R868:U868)</f>
        <v>1</v>
      </c>
      <c r="M28" s="50">
        <v>15</v>
      </c>
      <c r="N28" s="50">
        <v>0</v>
      </c>
      <c r="O28" s="15">
        <f t="shared" si="0"/>
        <v>5</v>
      </c>
      <c r="P28" s="15">
        <f t="shared" si="1"/>
        <v>20</v>
      </c>
      <c r="R28" s="5" t="s">
        <v>17</v>
      </c>
      <c r="S28" s="16">
        <f t="shared" ref="S28:AF28" si="20">SUM(S10:S21)</f>
        <v>33</v>
      </c>
      <c r="T28" s="16">
        <f t="shared" si="20"/>
        <v>8</v>
      </c>
      <c r="U28" s="16">
        <f t="shared" si="20"/>
        <v>36</v>
      </c>
      <c r="V28" s="16">
        <f t="shared" si="20"/>
        <v>27</v>
      </c>
      <c r="W28" s="16">
        <f t="shared" si="20"/>
        <v>2</v>
      </c>
      <c r="X28" s="16">
        <f t="shared" si="20"/>
        <v>3</v>
      </c>
      <c r="Y28" s="16">
        <f t="shared" si="20"/>
        <v>25</v>
      </c>
      <c r="Z28" s="16">
        <f t="shared" si="20"/>
        <v>2</v>
      </c>
      <c r="AA28" s="16">
        <f t="shared" si="20"/>
        <v>1</v>
      </c>
      <c r="AB28" s="16">
        <f t="shared" si="20"/>
        <v>26</v>
      </c>
      <c r="AC28" s="16">
        <f t="shared" si="20"/>
        <v>553</v>
      </c>
      <c r="AD28" s="16">
        <f t="shared" si="20"/>
        <v>1</v>
      </c>
      <c r="AE28" s="32">
        <f t="shared" si="20"/>
        <v>164</v>
      </c>
      <c r="AF28" s="32">
        <f t="shared" si="20"/>
        <v>717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f>SUM('[1]RD4 MCC'!R869:U869)</f>
        <v>0</v>
      </c>
      <c r="M29" s="50">
        <v>9</v>
      </c>
      <c r="N29" s="50">
        <v>0</v>
      </c>
      <c r="O29" s="15">
        <f t="shared" si="0"/>
        <v>2</v>
      </c>
      <c r="P29" s="15">
        <f t="shared" si="1"/>
        <v>11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1</v>
      </c>
      <c r="F30" s="50">
        <v>1</v>
      </c>
      <c r="G30" s="50">
        <v>0</v>
      </c>
      <c r="H30" s="50">
        <v>1</v>
      </c>
      <c r="I30" s="50">
        <v>1</v>
      </c>
      <c r="J30" s="50">
        <v>0</v>
      </c>
      <c r="K30" s="50">
        <v>0</v>
      </c>
      <c r="L30" s="50">
        <f>SUM('[1]RD4 MCC'!R870:U870)</f>
        <v>3</v>
      </c>
      <c r="M30" s="50">
        <v>14</v>
      </c>
      <c r="N30" s="50">
        <v>0</v>
      </c>
      <c r="O30" s="15">
        <f t="shared" si="0"/>
        <v>8</v>
      </c>
      <c r="P30" s="15">
        <f t="shared" si="1"/>
        <v>22</v>
      </c>
    </row>
    <row r="31" spans="2:32" ht="23.1" customHeight="1" x14ac:dyDescent="0.25">
      <c r="B31" s="24" t="s">
        <v>58</v>
      </c>
      <c r="C31" s="50">
        <v>4</v>
      </c>
      <c r="D31" s="50">
        <v>1</v>
      </c>
      <c r="E31" s="50">
        <v>3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f>SUM('[1]RD4 MCC'!R871:U871)</f>
        <v>0</v>
      </c>
      <c r="M31" s="50">
        <v>8</v>
      </c>
      <c r="N31" s="50">
        <v>0</v>
      </c>
      <c r="O31" s="15">
        <f t="shared" si="0"/>
        <v>9</v>
      </c>
      <c r="P31" s="15">
        <f t="shared" si="1"/>
        <v>17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f>SUM('[1]RD4 MCC'!R872:U872)</f>
        <v>1</v>
      </c>
      <c r="M32" s="50">
        <v>9</v>
      </c>
      <c r="N32" s="50">
        <v>0</v>
      </c>
      <c r="O32" s="15">
        <f t="shared" si="0"/>
        <v>4</v>
      </c>
      <c r="P32" s="15">
        <f t="shared" si="1"/>
        <v>13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f>SUM('[1]RD4 MCC'!R873:U873)</f>
        <v>0</v>
      </c>
      <c r="M33" s="50">
        <v>11</v>
      </c>
      <c r="N33" s="50">
        <v>0</v>
      </c>
      <c r="O33" s="15">
        <f t="shared" si="0"/>
        <v>1</v>
      </c>
      <c r="P33" s="15">
        <f t="shared" si="1"/>
        <v>12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f>SUM('[1]RD4 MCC'!R874:U874)</f>
        <v>1</v>
      </c>
      <c r="M34" s="50">
        <v>7</v>
      </c>
      <c r="N34" s="50">
        <v>0</v>
      </c>
      <c r="O34" s="15">
        <f t="shared" si="0"/>
        <v>3</v>
      </c>
      <c r="P34" s="15">
        <f t="shared" si="1"/>
        <v>10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f>SUM('[1]RD4 MCC'!R875:U875)</f>
        <v>0</v>
      </c>
      <c r="M35" s="50">
        <v>11</v>
      </c>
      <c r="N35" s="50">
        <v>0</v>
      </c>
      <c r="O35" s="15">
        <f t="shared" si="0"/>
        <v>2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f>SUM('[1]RD4 MCC'!R876:U876)</f>
        <v>0</v>
      </c>
      <c r="M36" s="50">
        <v>15</v>
      </c>
      <c r="N36" s="50">
        <v>0</v>
      </c>
      <c r="O36" s="15">
        <f t="shared" si="0"/>
        <v>3</v>
      </c>
      <c r="P36" s="15">
        <f t="shared" si="1"/>
        <v>18</v>
      </c>
    </row>
    <row r="37" spans="2:20" ht="23.1" customHeight="1" x14ac:dyDescent="0.25">
      <c r="B37" s="23" t="s">
        <v>64</v>
      </c>
      <c r="C37" s="50">
        <v>0</v>
      </c>
      <c r="D37" s="50">
        <v>1</v>
      </c>
      <c r="E37" s="50">
        <v>2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f>SUM('[1]RD4 MCC'!R877:U877)</f>
        <v>0</v>
      </c>
      <c r="M37" s="50">
        <v>17</v>
      </c>
      <c r="N37" s="50">
        <v>0</v>
      </c>
      <c r="O37" s="15">
        <f t="shared" si="0"/>
        <v>3</v>
      </c>
      <c r="P37" s="15">
        <f t="shared" si="1"/>
        <v>20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f>SUM('[1]RD4 MCC'!R878:U878)</f>
        <v>2</v>
      </c>
      <c r="M38" s="50">
        <v>13</v>
      </c>
      <c r="N38" s="50">
        <v>0</v>
      </c>
      <c r="O38" s="15">
        <f t="shared" si="0"/>
        <v>5</v>
      </c>
      <c r="P38" s="15">
        <f t="shared" si="1"/>
        <v>18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f>SUM('[1]RD4 MCC'!R879:U879)</f>
        <v>0</v>
      </c>
      <c r="M39" s="50">
        <v>8</v>
      </c>
      <c r="N39" s="50">
        <v>0</v>
      </c>
      <c r="O39" s="15">
        <f t="shared" si="0"/>
        <v>3</v>
      </c>
      <c r="P39" s="15">
        <f t="shared" si="1"/>
        <v>11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f>SUM('[1]RD4 MCC'!R880:U880)</f>
        <v>0</v>
      </c>
      <c r="M40" s="50">
        <v>11</v>
      </c>
      <c r="N40" s="50">
        <v>0</v>
      </c>
      <c r="O40" s="15">
        <f t="shared" si="0"/>
        <v>2</v>
      </c>
      <c r="P40" s="15">
        <f t="shared" si="1"/>
        <v>13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f>SUM('[1]RD4 MCC'!R881:U881)</f>
        <v>0</v>
      </c>
      <c r="M41" s="50">
        <v>0</v>
      </c>
      <c r="N41" s="50">
        <v>0</v>
      </c>
      <c r="O41" s="15">
        <f t="shared" si="0"/>
        <v>2</v>
      </c>
      <c r="P41" s="15">
        <f t="shared" si="1"/>
        <v>2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f>SUM('[1]RD4 MCC'!R882:U882)</f>
        <v>0</v>
      </c>
      <c r="M42" s="50">
        <v>7</v>
      </c>
      <c r="N42" s="50">
        <v>0</v>
      </c>
      <c r="O42" s="15">
        <f t="shared" si="0"/>
        <v>1</v>
      </c>
      <c r="P42" s="15">
        <f t="shared" si="1"/>
        <v>8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f>SUM('[1]RD4 MCC'!R883:U883)</f>
        <v>0</v>
      </c>
      <c r="M43" s="50">
        <v>11</v>
      </c>
      <c r="N43" s="50">
        <v>0</v>
      </c>
      <c r="O43" s="15">
        <f t="shared" si="0"/>
        <v>1</v>
      </c>
      <c r="P43" s="15">
        <f t="shared" si="1"/>
        <v>12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2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f>SUM('[1]RD4 MCC'!R884:U884)</f>
        <v>0</v>
      </c>
      <c r="M44" s="50">
        <v>11</v>
      </c>
      <c r="N44" s="50">
        <v>0</v>
      </c>
      <c r="O44" s="15">
        <f t="shared" si="0"/>
        <v>5</v>
      </c>
      <c r="P44" s="15">
        <f t="shared" si="1"/>
        <v>16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f>SUM('[1]RD4 MCC'!R885:U885)</f>
        <v>0</v>
      </c>
      <c r="M45" s="50">
        <v>10</v>
      </c>
      <c r="N45" s="50">
        <v>0</v>
      </c>
      <c r="O45" s="15">
        <f t="shared" si="0"/>
        <v>0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2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f>SUM('[1]RD4 MCC'!R886:U886)</f>
        <v>2</v>
      </c>
      <c r="M46" s="50">
        <v>6</v>
      </c>
      <c r="N46" s="50">
        <v>0</v>
      </c>
      <c r="O46" s="15">
        <f t="shared" si="0"/>
        <v>8</v>
      </c>
      <c r="P46" s="15">
        <f t="shared" si="1"/>
        <v>14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1</v>
      </c>
      <c r="H47" s="50">
        <v>0</v>
      </c>
      <c r="I47" s="50">
        <v>0</v>
      </c>
      <c r="J47" s="50">
        <v>0</v>
      </c>
      <c r="K47" s="50">
        <v>0</v>
      </c>
      <c r="L47" s="50">
        <f>SUM('[1]RD4 MCC'!R887:U887)</f>
        <v>1</v>
      </c>
      <c r="M47" s="50">
        <v>8</v>
      </c>
      <c r="N47" s="50">
        <v>0</v>
      </c>
      <c r="O47" s="15">
        <f t="shared" si="0"/>
        <v>3</v>
      </c>
      <c r="P47" s="15">
        <f t="shared" si="1"/>
        <v>11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f>SUM('[1]RD4 MCC'!R888:U888)</f>
        <v>0</v>
      </c>
      <c r="M48" s="50">
        <v>12</v>
      </c>
      <c r="N48" s="50">
        <v>0</v>
      </c>
      <c r="O48" s="15">
        <f t="shared" si="0"/>
        <v>7</v>
      </c>
      <c r="P48" s="15">
        <f t="shared" si="1"/>
        <v>19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f>SUM('[1]RD4 MCC'!R889:U889)</f>
        <v>0</v>
      </c>
      <c r="M49" s="50">
        <v>14</v>
      </c>
      <c r="N49" s="50">
        <v>0</v>
      </c>
      <c r="O49" s="15">
        <f t="shared" si="0"/>
        <v>0</v>
      </c>
      <c r="P49" s="15">
        <f t="shared" si="1"/>
        <v>14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2</v>
      </c>
      <c r="F50" s="50">
        <v>1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f>SUM('[1]RD4 MCC'!R890:U890)</f>
        <v>0</v>
      </c>
      <c r="M50" s="50">
        <v>12</v>
      </c>
      <c r="N50" s="50">
        <v>0</v>
      </c>
      <c r="O50" s="15">
        <f t="shared" si="0"/>
        <v>7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1</v>
      </c>
      <c r="E51" s="50">
        <v>3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f>SUM('[1]RD4 MCC'!R891:U891)</f>
        <v>2</v>
      </c>
      <c r="M51" s="50">
        <v>15</v>
      </c>
      <c r="N51" s="50">
        <v>0</v>
      </c>
      <c r="O51" s="15">
        <f t="shared" si="0"/>
        <v>7</v>
      </c>
      <c r="P51" s="15">
        <f t="shared" si="1"/>
        <v>22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f>SUM('[1]RD4 MCC'!R892:U892)</f>
        <v>1</v>
      </c>
      <c r="M52" s="50">
        <v>10</v>
      </c>
      <c r="N52" s="50">
        <v>0</v>
      </c>
      <c r="O52" s="15">
        <f t="shared" si="0"/>
        <v>3</v>
      </c>
      <c r="P52" s="15">
        <f t="shared" si="1"/>
        <v>13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1</v>
      </c>
      <c r="F53" s="50">
        <v>1</v>
      </c>
      <c r="G53" s="50">
        <v>1</v>
      </c>
      <c r="H53" s="50">
        <v>1</v>
      </c>
      <c r="I53" s="50">
        <v>0</v>
      </c>
      <c r="J53" s="50">
        <v>1</v>
      </c>
      <c r="K53" s="50">
        <v>0</v>
      </c>
      <c r="L53" s="50">
        <f>SUM('[1]RD4 MCC'!R893:U893)</f>
        <v>0</v>
      </c>
      <c r="M53" s="50">
        <v>14</v>
      </c>
      <c r="N53" s="50">
        <v>0</v>
      </c>
      <c r="O53" s="15">
        <f t="shared" si="0"/>
        <v>6</v>
      </c>
      <c r="P53" s="15">
        <f t="shared" si="1"/>
        <v>20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f>SUM('[1]RD4 MCC'!R894:U894)</f>
        <v>0</v>
      </c>
      <c r="M54" s="50">
        <v>15</v>
      </c>
      <c r="N54" s="50">
        <v>0</v>
      </c>
      <c r="O54" s="15">
        <f t="shared" si="0"/>
        <v>2</v>
      </c>
      <c r="P54" s="15">
        <f t="shared" si="1"/>
        <v>17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f>SUM('[1]RD4 MCC'!R895:U895)</f>
        <v>0</v>
      </c>
      <c r="M55" s="50">
        <v>13</v>
      </c>
      <c r="N55" s="50">
        <v>0</v>
      </c>
      <c r="O55" s="15">
        <f t="shared" si="0"/>
        <v>1</v>
      </c>
      <c r="P55" s="15">
        <f t="shared" si="1"/>
        <v>14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f>SUM('[1]RD4 MCC'!R896:U896)</f>
        <v>0</v>
      </c>
      <c r="M56" s="50">
        <v>20</v>
      </c>
      <c r="N56" s="50">
        <v>0</v>
      </c>
      <c r="O56" s="15">
        <f t="shared" si="0"/>
        <v>4</v>
      </c>
      <c r="P56" s="15">
        <f t="shared" si="1"/>
        <v>24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2</v>
      </c>
      <c r="F57" s="50">
        <v>1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f>SUM('[1]RD4 MCC'!R897:U897)</f>
        <v>2</v>
      </c>
      <c r="M57" s="50">
        <v>11</v>
      </c>
      <c r="N57" s="50">
        <v>0</v>
      </c>
      <c r="O57" s="15">
        <f t="shared" si="0"/>
        <v>9</v>
      </c>
      <c r="P57" s="15">
        <f t="shared" si="1"/>
        <v>20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</v>
      </c>
      <c r="D58" s="16">
        <f t="shared" si="21"/>
        <v>8</v>
      </c>
      <c r="E58" s="16">
        <f t="shared" si="21"/>
        <v>36</v>
      </c>
      <c r="F58" s="16">
        <f t="shared" si="21"/>
        <v>27</v>
      </c>
      <c r="G58" s="16">
        <f t="shared" si="21"/>
        <v>2</v>
      </c>
      <c r="H58" s="16">
        <f t="shared" si="21"/>
        <v>3</v>
      </c>
      <c r="I58" s="16">
        <f t="shared" si="21"/>
        <v>25</v>
      </c>
      <c r="J58" s="16">
        <f t="shared" si="21"/>
        <v>2</v>
      </c>
      <c r="K58" s="16">
        <f t="shared" si="21"/>
        <v>1</v>
      </c>
      <c r="L58" s="16">
        <f t="shared" si="21"/>
        <v>26</v>
      </c>
      <c r="M58" s="16">
        <f t="shared" si="21"/>
        <v>553</v>
      </c>
      <c r="N58" s="16">
        <f t="shared" si="21"/>
        <v>1</v>
      </c>
      <c r="O58" s="16">
        <f t="shared" si="21"/>
        <v>164</v>
      </c>
      <c r="P58" s="16">
        <f t="shared" si="21"/>
        <v>717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4.6025104602510462E-2</v>
      </c>
      <c r="D59" s="43">
        <f t="shared" si="22"/>
        <v>1.1157601115760111E-2</v>
      </c>
      <c r="E59" s="43">
        <f t="shared" si="22"/>
        <v>5.0209205020920501E-2</v>
      </c>
      <c r="F59" s="43">
        <f t="shared" si="22"/>
        <v>3.7656903765690378E-2</v>
      </c>
      <c r="G59" s="43">
        <f t="shared" si="22"/>
        <v>2.7894002789400278E-3</v>
      </c>
      <c r="H59" s="43">
        <f t="shared" si="22"/>
        <v>4.1841004184100415E-3</v>
      </c>
      <c r="I59" s="43">
        <f t="shared" si="22"/>
        <v>3.4867503486750349E-2</v>
      </c>
      <c r="J59" s="43">
        <f t="shared" si="22"/>
        <v>2.7894002789400278E-3</v>
      </c>
      <c r="K59" s="43">
        <f t="shared" si="22"/>
        <v>1.3947001394700139E-3</v>
      </c>
      <c r="L59" s="43">
        <f t="shared" si="22"/>
        <v>3.626220362622036E-2</v>
      </c>
      <c r="M59" s="43">
        <f t="shared" si="22"/>
        <v>0.77126917712691767</v>
      </c>
      <c r="N59" s="43">
        <f t="shared" si="22"/>
        <v>1.3947001394700139E-3</v>
      </c>
      <c r="R59" s="8"/>
      <c r="T59"/>
    </row>
    <row r="60" spans="2:20" ht="23.1" customHeight="1" x14ac:dyDescent="0.25">
      <c r="B60" s="42" t="s">
        <v>94</v>
      </c>
      <c r="C60" s="44">
        <f>C58/$O$58</f>
        <v>0.20121951219512196</v>
      </c>
      <c r="D60" s="44">
        <f t="shared" ref="D60:N60" si="23">D58/$O$58</f>
        <v>4.878048780487805E-2</v>
      </c>
      <c r="E60" s="44">
        <f t="shared" si="23"/>
        <v>0.21951219512195122</v>
      </c>
      <c r="F60" s="44">
        <f t="shared" si="23"/>
        <v>0.16463414634146342</v>
      </c>
      <c r="G60" s="44">
        <f t="shared" si="23"/>
        <v>1.2195121951219513E-2</v>
      </c>
      <c r="H60" s="44">
        <f t="shared" si="23"/>
        <v>1.8292682926829267E-2</v>
      </c>
      <c r="I60" s="44">
        <f t="shared" si="23"/>
        <v>0.1524390243902439</v>
      </c>
      <c r="J60" s="44">
        <f t="shared" si="23"/>
        <v>1.2195121951219513E-2</v>
      </c>
      <c r="K60" s="44">
        <f t="shared" si="23"/>
        <v>6.0975609756097563E-3</v>
      </c>
      <c r="L60" s="44">
        <f t="shared" si="23"/>
        <v>0.15853658536585366</v>
      </c>
      <c r="M60" s="44"/>
      <c r="N60" s="44">
        <f t="shared" si="23"/>
        <v>6.0975609756097563E-3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40" zoomScale="60" workbookViewId="0">
      <selection activeCell="G17" sqref="G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Goli-Nebbi'!C3:G3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5" t="str">
        <f>'03.08 Nebbi-Goli-24h'!G5:H5</f>
        <v>Goli</v>
      </c>
      <c r="H5" s="66"/>
      <c r="I5" s="14"/>
      <c r="J5" s="2" t="s">
        <v>5</v>
      </c>
      <c r="K5" s="65" t="str">
        <f>'03.08 Nebbi-Goli-24h'!K5:L5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'31.07 Goli-Nebbi'!D6:E6</f>
        <v>Goli</v>
      </c>
      <c r="E6" s="66"/>
      <c r="F6" s="2" t="s">
        <v>2</v>
      </c>
      <c r="G6" s="65" t="str">
        <f>'31.07 Goli-Nebbi'!G6:H6</f>
        <v>Nebbi</v>
      </c>
      <c r="H6" s="66"/>
      <c r="J6" s="2" t="s">
        <v>21</v>
      </c>
      <c r="K6" s="65" t="str">
        <f>'03.08 Nebbi-Goli-24h'!K6:L6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1</v>
      </c>
      <c r="E10" s="50">
        <v>3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1</v>
      </c>
      <c r="M10" s="50">
        <v>2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3</v>
      </c>
      <c r="T10" s="17">
        <f t="shared" si="2"/>
        <v>2</v>
      </c>
      <c r="U10" s="17">
        <f t="shared" si="2"/>
        <v>7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1</v>
      </c>
      <c r="AC10" s="17">
        <f t="shared" si="2"/>
        <v>27</v>
      </c>
      <c r="AD10" s="17">
        <f t="shared" si="2"/>
        <v>0</v>
      </c>
      <c r="AE10" s="31">
        <f t="shared" si="2"/>
        <v>15</v>
      </c>
      <c r="AF10" s="31">
        <f t="shared" si="2"/>
        <v>42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f>SUM('[1]RD4 MCC'!R803:U803)</f>
        <v>0</v>
      </c>
      <c r="M11" s="50">
        <v>12</v>
      </c>
      <c r="N11" s="50">
        <v>0</v>
      </c>
      <c r="O11" s="15">
        <f t="shared" si="0"/>
        <v>0</v>
      </c>
      <c r="P11" s="15">
        <f t="shared" si="1"/>
        <v>12</v>
      </c>
      <c r="R11" s="1" t="s">
        <v>7</v>
      </c>
      <c r="S11" s="17">
        <f t="shared" ref="S11:AF11" si="3">SUM(C14:C17)</f>
        <v>4</v>
      </c>
      <c r="T11" s="17">
        <f t="shared" si="3"/>
        <v>1</v>
      </c>
      <c r="U11" s="17">
        <f t="shared" si="3"/>
        <v>4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2</v>
      </c>
      <c r="AC11" s="17">
        <f t="shared" si="3"/>
        <v>31</v>
      </c>
      <c r="AD11" s="17">
        <f t="shared" si="3"/>
        <v>1</v>
      </c>
      <c r="AE11" s="31">
        <f t="shared" si="3"/>
        <v>16</v>
      </c>
      <c r="AF11" s="31">
        <f t="shared" si="3"/>
        <v>47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3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f>SUM('[1]RD4 MCC'!R804:U804)</f>
        <v>0</v>
      </c>
      <c r="M12" s="50">
        <v>9</v>
      </c>
      <c r="N12" s="50">
        <v>0</v>
      </c>
      <c r="O12" s="15">
        <f t="shared" si="0"/>
        <v>5</v>
      </c>
      <c r="P12" s="15">
        <f t="shared" si="1"/>
        <v>14</v>
      </c>
      <c r="R12" s="1" t="s">
        <v>8</v>
      </c>
      <c r="S12" s="17">
        <f t="shared" ref="S12:AF12" si="4">SUM(C18:C21)</f>
        <v>2</v>
      </c>
      <c r="T12" s="17">
        <f t="shared" si="4"/>
        <v>2</v>
      </c>
      <c r="U12" s="17">
        <f t="shared" si="4"/>
        <v>6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1</v>
      </c>
      <c r="AC12" s="17">
        <f t="shared" si="4"/>
        <v>38</v>
      </c>
      <c r="AD12" s="17">
        <f t="shared" si="4"/>
        <v>1</v>
      </c>
      <c r="AE12" s="31">
        <f t="shared" si="4"/>
        <v>20</v>
      </c>
      <c r="AF12" s="31">
        <f t="shared" si="4"/>
        <v>58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f>SUM('[1]RD4 MCC'!R805:U805)</f>
        <v>0</v>
      </c>
      <c r="M13" s="50">
        <v>4</v>
      </c>
      <c r="N13" s="50">
        <v>0</v>
      </c>
      <c r="O13" s="15">
        <f t="shared" si="0"/>
        <v>3</v>
      </c>
      <c r="P13" s="15">
        <f t="shared" si="1"/>
        <v>7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2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0</v>
      </c>
      <c r="AB13" s="17">
        <f t="shared" si="5"/>
        <v>3</v>
      </c>
      <c r="AC13" s="17">
        <f t="shared" si="5"/>
        <v>58</v>
      </c>
      <c r="AD13" s="17">
        <f t="shared" si="5"/>
        <v>0</v>
      </c>
      <c r="AE13" s="31">
        <f t="shared" si="5"/>
        <v>16</v>
      </c>
      <c r="AF13" s="31">
        <f t="shared" si="5"/>
        <v>74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2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f>SUM('[1]RD4 MCC'!R806:U806)</f>
        <v>2</v>
      </c>
      <c r="M14" s="50">
        <v>10</v>
      </c>
      <c r="N14" s="50">
        <v>0</v>
      </c>
      <c r="O14" s="15">
        <f t="shared" si="0"/>
        <v>7</v>
      </c>
      <c r="P14" s="15">
        <f t="shared" si="1"/>
        <v>17</v>
      </c>
      <c r="R14" s="1" t="s">
        <v>10</v>
      </c>
      <c r="S14" s="17">
        <f t="shared" ref="S14:AF14" si="6">SUM(C26:C29)</f>
        <v>0</v>
      </c>
      <c r="T14" s="17">
        <f t="shared" si="6"/>
        <v>2</v>
      </c>
      <c r="U14" s="17">
        <f t="shared" si="6"/>
        <v>7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2</v>
      </c>
      <c r="AC14" s="17">
        <f t="shared" si="6"/>
        <v>36</v>
      </c>
      <c r="AD14" s="17">
        <f t="shared" si="6"/>
        <v>0</v>
      </c>
      <c r="AE14" s="31">
        <f t="shared" si="6"/>
        <v>17</v>
      </c>
      <c r="AF14" s="31">
        <f t="shared" si="6"/>
        <v>53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f>SUM('[1]RD4 MCC'!R807:U807)</f>
        <v>0</v>
      </c>
      <c r="M15" s="50">
        <v>10</v>
      </c>
      <c r="N15" s="50">
        <v>1</v>
      </c>
      <c r="O15" s="15">
        <f t="shared" si="0"/>
        <v>2</v>
      </c>
      <c r="P15" s="15">
        <f t="shared" si="1"/>
        <v>12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3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1</v>
      </c>
      <c r="AB15" s="17">
        <f t="shared" si="7"/>
        <v>5</v>
      </c>
      <c r="AC15" s="17">
        <f t="shared" si="7"/>
        <v>60</v>
      </c>
      <c r="AD15" s="17">
        <f t="shared" si="7"/>
        <v>0</v>
      </c>
      <c r="AE15" s="31">
        <f t="shared" si="7"/>
        <v>12</v>
      </c>
      <c r="AF15" s="31">
        <f t="shared" si="7"/>
        <v>72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f>SUM('[1]RD4 MCC'!R808:U808)</f>
        <v>0</v>
      </c>
      <c r="M16" s="50">
        <v>11</v>
      </c>
      <c r="N16" s="50">
        <v>0</v>
      </c>
      <c r="O16" s="15">
        <f t="shared" si="0"/>
        <v>5</v>
      </c>
      <c r="P16" s="15">
        <f t="shared" si="1"/>
        <v>16</v>
      </c>
      <c r="R16" s="1" t="s">
        <v>12</v>
      </c>
      <c r="S16" s="17">
        <f t="shared" ref="S16:AF16" si="8">SUM(C34:C37)</f>
        <v>4</v>
      </c>
      <c r="T16" s="17">
        <f t="shared" si="8"/>
        <v>0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3</v>
      </c>
      <c r="AC16" s="17">
        <f t="shared" si="8"/>
        <v>36</v>
      </c>
      <c r="AD16" s="17">
        <f t="shared" si="8"/>
        <v>0</v>
      </c>
      <c r="AE16" s="31">
        <f t="shared" si="8"/>
        <v>12</v>
      </c>
      <c r="AF16" s="31">
        <f t="shared" si="8"/>
        <v>48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f>SUM('[1]RD4 MCC'!R809:U809)</f>
        <v>0</v>
      </c>
      <c r="M17" s="50">
        <v>0</v>
      </c>
      <c r="N17" s="50">
        <v>0</v>
      </c>
      <c r="O17" s="15">
        <f t="shared" si="0"/>
        <v>2</v>
      </c>
      <c r="P17" s="15">
        <f t="shared" si="1"/>
        <v>2</v>
      </c>
      <c r="R17" s="1" t="s">
        <v>13</v>
      </c>
      <c r="S17" s="17">
        <f t="shared" ref="S17:AF17" si="9">SUM(C38:C41)</f>
        <v>4</v>
      </c>
      <c r="T17" s="17">
        <f t="shared" si="9"/>
        <v>1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3</v>
      </c>
      <c r="AC17" s="17">
        <f t="shared" si="9"/>
        <v>44</v>
      </c>
      <c r="AD17" s="17">
        <f t="shared" si="9"/>
        <v>0</v>
      </c>
      <c r="AE17" s="31">
        <f t="shared" si="9"/>
        <v>14</v>
      </c>
      <c r="AF17" s="31">
        <f t="shared" si="9"/>
        <v>58</v>
      </c>
    </row>
    <row r="18" spans="2:32" ht="23.1" customHeight="1" x14ac:dyDescent="0.25">
      <c r="B18" s="23" t="s">
        <v>45</v>
      </c>
      <c r="C18" s="50">
        <v>0</v>
      </c>
      <c r="D18" s="50">
        <v>1</v>
      </c>
      <c r="E18" s="50">
        <v>2</v>
      </c>
      <c r="F18" s="50">
        <v>1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f>SUM('[1]RD4 MCC'!R810:U810)</f>
        <v>0</v>
      </c>
      <c r="M18" s="50">
        <v>7</v>
      </c>
      <c r="N18" s="50">
        <v>0</v>
      </c>
      <c r="O18" s="15">
        <f t="shared" si="0"/>
        <v>6</v>
      </c>
      <c r="P18" s="15">
        <f t="shared" si="1"/>
        <v>13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2</v>
      </c>
      <c r="V18" s="17">
        <f t="shared" si="10"/>
        <v>1</v>
      </c>
      <c r="W18" s="17">
        <f t="shared" si="10"/>
        <v>1</v>
      </c>
      <c r="X18" s="17">
        <f t="shared" si="10"/>
        <v>1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45</v>
      </c>
      <c r="AD18" s="17">
        <f t="shared" si="10"/>
        <v>0</v>
      </c>
      <c r="AE18" s="31">
        <f t="shared" si="10"/>
        <v>11</v>
      </c>
      <c r="AF18" s="31">
        <f t="shared" si="10"/>
        <v>56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2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f>SUM('[1]RD4 MCC'!R811:U811)</f>
        <v>0</v>
      </c>
      <c r="M19" s="50">
        <v>10</v>
      </c>
      <c r="N19" s="50">
        <v>0</v>
      </c>
      <c r="O19" s="15">
        <f t="shared" si="0"/>
        <v>4</v>
      </c>
      <c r="P19" s="15">
        <f t="shared" si="1"/>
        <v>14</v>
      </c>
      <c r="R19" s="1" t="s">
        <v>15</v>
      </c>
      <c r="S19" s="17">
        <f t="shared" ref="S19:AF19" si="11">SUM(C46:C49)</f>
        <v>2</v>
      </c>
      <c r="T19" s="17">
        <f t="shared" si="11"/>
        <v>1</v>
      </c>
      <c r="U19" s="17">
        <f t="shared" si="11"/>
        <v>2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41</v>
      </c>
      <c r="AD19" s="17">
        <f t="shared" si="11"/>
        <v>0</v>
      </c>
      <c r="AE19" s="31">
        <f t="shared" si="11"/>
        <v>11</v>
      </c>
      <c r="AF19" s="31">
        <f t="shared" si="11"/>
        <v>52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2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f>SUM('[1]RD4 MCC'!R812:U812)</f>
        <v>0</v>
      </c>
      <c r="M20" s="50">
        <v>8</v>
      </c>
      <c r="N20" s="50">
        <v>1</v>
      </c>
      <c r="O20" s="15">
        <f t="shared" si="0"/>
        <v>6</v>
      </c>
      <c r="P20" s="15">
        <f t="shared" si="1"/>
        <v>14</v>
      </c>
      <c r="R20" s="1" t="s">
        <v>16</v>
      </c>
      <c r="S20" s="17">
        <f t="shared" ref="S20:AF20" si="12">SUM(C50:C53)</f>
        <v>1</v>
      </c>
      <c r="T20" s="17">
        <f t="shared" si="12"/>
        <v>1</v>
      </c>
      <c r="U20" s="17">
        <f t="shared" si="12"/>
        <v>4</v>
      </c>
      <c r="V20" s="17">
        <f t="shared" si="12"/>
        <v>4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0</v>
      </c>
      <c r="AB20" s="17">
        <f t="shared" si="12"/>
        <v>1</v>
      </c>
      <c r="AC20" s="17">
        <f t="shared" si="12"/>
        <v>43</v>
      </c>
      <c r="AD20" s="17">
        <f t="shared" si="12"/>
        <v>0</v>
      </c>
      <c r="AE20" s="31">
        <f t="shared" si="12"/>
        <v>14</v>
      </c>
      <c r="AF20" s="31">
        <f t="shared" si="12"/>
        <v>57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f>SUM('[1]RD4 MCC'!R813:U813)</f>
        <v>1</v>
      </c>
      <c r="M21" s="50">
        <v>13</v>
      </c>
      <c r="N21" s="50">
        <v>0</v>
      </c>
      <c r="O21" s="15">
        <f t="shared" si="0"/>
        <v>4</v>
      </c>
      <c r="P21" s="15">
        <f t="shared" si="1"/>
        <v>17</v>
      </c>
      <c r="R21" s="36" t="s">
        <v>20</v>
      </c>
      <c r="S21" s="34">
        <f t="shared" ref="S21:AF21" si="13">SUM(C54:C57)</f>
        <v>3</v>
      </c>
      <c r="T21" s="17">
        <f t="shared" si="13"/>
        <v>2</v>
      </c>
      <c r="U21" s="17">
        <f t="shared" si="13"/>
        <v>6</v>
      </c>
      <c r="V21" s="17">
        <f t="shared" si="13"/>
        <v>1</v>
      </c>
      <c r="W21" s="17">
        <f t="shared" si="13"/>
        <v>0</v>
      </c>
      <c r="X21" s="17">
        <f t="shared" si="13"/>
        <v>1</v>
      </c>
      <c r="Y21" s="17">
        <f t="shared" si="13"/>
        <v>1</v>
      </c>
      <c r="Z21" s="17">
        <f t="shared" si="13"/>
        <v>1</v>
      </c>
      <c r="AA21" s="17">
        <f t="shared" si="13"/>
        <v>0</v>
      </c>
      <c r="AB21" s="17">
        <f t="shared" si="13"/>
        <v>1</v>
      </c>
      <c r="AC21" s="17">
        <f t="shared" si="13"/>
        <v>47</v>
      </c>
      <c r="AD21" s="17">
        <f t="shared" si="13"/>
        <v>0</v>
      </c>
      <c r="AE21" s="31">
        <f t="shared" si="13"/>
        <v>16</v>
      </c>
      <c r="AF21" s="31">
        <f t="shared" si="13"/>
        <v>63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f>SUM('[1]RD4 MCC'!R814:U814)</f>
        <v>0</v>
      </c>
      <c r="M22" s="50">
        <v>13</v>
      </c>
      <c r="N22" s="50">
        <v>0</v>
      </c>
      <c r="O22" s="15">
        <f t="shared" si="0"/>
        <v>4</v>
      </c>
      <c r="P22" s="15">
        <f t="shared" si="1"/>
        <v>17</v>
      </c>
      <c r="R22" s="38" t="s">
        <v>90</v>
      </c>
      <c r="S22" s="39">
        <f>MAX(S10:S12)</f>
        <v>4</v>
      </c>
      <c r="T22" s="39">
        <f t="shared" ref="T22:AF22" si="14">MAX(T10:T12)</f>
        <v>2</v>
      </c>
      <c r="U22" s="39">
        <f t="shared" si="14"/>
        <v>7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5</v>
      </c>
      <c r="Z22" s="39">
        <f t="shared" si="14"/>
        <v>0</v>
      </c>
      <c r="AA22" s="39">
        <f t="shared" si="14"/>
        <v>0</v>
      </c>
      <c r="AB22" s="39">
        <f t="shared" si="14"/>
        <v>2</v>
      </c>
      <c r="AC22" s="39">
        <f t="shared" si="14"/>
        <v>38</v>
      </c>
      <c r="AD22" s="39">
        <f t="shared" si="14"/>
        <v>1</v>
      </c>
      <c r="AE22" s="40">
        <f t="shared" si="14"/>
        <v>20</v>
      </c>
      <c r="AF22" s="40">
        <f t="shared" si="14"/>
        <v>58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f>SUM('[1]RD4 MCC'!R815:U815)</f>
        <v>1</v>
      </c>
      <c r="M23" s="50">
        <v>14</v>
      </c>
      <c r="N23" s="50">
        <v>0</v>
      </c>
      <c r="O23" s="15">
        <f t="shared" si="0"/>
        <v>5</v>
      </c>
      <c r="P23" s="15">
        <f t="shared" si="1"/>
        <v>19</v>
      </c>
      <c r="R23" s="38" t="s">
        <v>91</v>
      </c>
      <c r="S23" s="39">
        <f>MAX(S13:S18)</f>
        <v>4</v>
      </c>
      <c r="T23" s="39">
        <f t="shared" ref="T23:AF23" si="15">MAX(T13:T18)</f>
        <v>2</v>
      </c>
      <c r="U23" s="39">
        <f t="shared" si="15"/>
        <v>7</v>
      </c>
      <c r="V23" s="39">
        <f t="shared" si="15"/>
        <v>2</v>
      </c>
      <c r="W23" s="39">
        <f t="shared" si="15"/>
        <v>1</v>
      </c>
      <c r="X23" s="39">
        <f t="shared" si="15"/>
        <v>1</v>
      </c>
      <c r="Y23" s="39">
        <f t="shared" si="15"/>
        <v>7</v>
      </c>
      <c r="Z23" s="39">
        <f t="shared" si="15"/>
        <v>0</v>
      </c>
      <c r="AA23" s="39">
        <f t="shared" si="15"/>
        <v>1</v>
      </c>
      <c r="AB23" s="39">
        <f t="shared" si="15"/>
        <v>5</v>
      </c>
      <c r="AC23" s="39">
        <f t="shared" si="15"/>
        <v>60</v>
      </c>
      <c r="AD23" s="39">
        <f t="shared" si="15"/>
        <v>0</v>
      </c>
      <c r="AE23" s="40">
        <f t="shared" si="15"/>
        <v>17</v>
      </c>
      <c r="AF23" s="40">
        <f t="shared" si="15"/>
        <v>74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f>SUM('[1]RD4 MCC'!R816:U816)</f>
        <v>2</v>
      </c>
      <c r="M24" s="50">
        <v>18</v>
      </c>
      <c r="N24" s="50">
        <v>0</v>
      </c>
      <c r="O24" s="15">
        <f t="shared" si="0"/>
        <v>6</v>
      </c>
      <c r="P24" s="15">
        <f t="shared" si="1"/>
        <v>24</v>
      </c>
      <c r="R24" s="38" t="s">
        <v>92</v>
      </c>
      <c r="S24" s="39">
        <f>MAX(S19:S21)</f>
        <v>3</v>
      </c>
      <c r="T24" s="39">
        <f t="shared" ref="T24:AF24" si="16">MAX(T19:T21)</f>
        <v>2</v>
      </c>
      <c r="U24" s="39">
        <f t="shared" si="16"/>
        <v>6</v>
      </c>
      <c r="V24" s="39">
        <f t="shared" si="16"/>
        <v>4</v>
      </c>
      <c r="W24" s="39">
        <f t="shared" si="16"/>
        <v>0</v>
      </c>
      <c r="X24" s="39">
        <f t="shared" si="16"/>
        <v>1</v>
      </c>
      <c r="Y24" s="39">
        <f t="shared" si="16"/>
        <v>3</v>
      </c>
      <c r="Z24" s="39">
        <f t="shared" si="16"/>
        <v>1</v>
      </c>
      <c r="AA24" s="39">
        <f t="shared" si="16"/>
        <v>0</v>
      </c>
      <c r="AB24" s="39">
        <f t="shared" si="16"/>
        <v>1</v>
      </c>
      <c r="AC24" s="39">
        <f t="shared" si="16"/>
        <v>47</v>
      </c>
      <c r="AD24" s="39">
        <f t="shared" si="16"/>
        <v>0</v>
      </c>
      <c r="AE24" s="40">
        <f t="shared" si="16"/>
        <v>16</v>
      </c>
      <c r="AF24" s="40">
        <f t="shared" si="16"/>
        <v>63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f>SUM('[1]RD4 MCC'!R817:U817)</f>
        <v>0</v>
      </c>
      <c r="M25" s="50">
        <v>13</v>
      </c>
      <c r="N25" s="50">
        <v>0</v>
      </c>
      <c r="O25" s="15">
        <f t="shared" si="0"/>
        <v>1</v>
      </c>
      <c r="P25" s="15">
        <f t="shared" si="1"/>
        <v>14</v>
      </c>
      <c r="R25" s="37" t="s">
        <v>85</v>
      </c>
      <c r="S25" s="35">
        <f t="shared" ref="S25:AF25" si="17">SUM(S10:S12)</f>
        <v>9</v>
      </c>
      <c r="T25" s="16">
        <f t="shared" si="17"/>
        <v>5</v>
      </c>
      <c r="U25" s="16">
        <f t="shared" si="17"/>
        <v>17</v>
      </c>
      <c r="V25" s="16">
        <f t="shared" si="17"/>
        <v>4</v>
      </c>
      <c r="W25" s="16">
        <f t="shared" si="17"/>
        <v>0</v>
      </c>
      <c r="X25" s="16">
        <f t="shared" si="17"/>
        <v>0</v>
      </c>
      <c r="Y25" s="16">
        <f t="shared" si="17"/>
        <v>10</v>
      </c>
      <c r="Z25" s="16">
        <f t="shared" si="17"/>
        <v>0</v>
      </c>
      <c r="AA25" s="16">
        <f t="shared" si="17"/>
        <v>0</v>
      </c>
      <c r="AB25" s="16">
        <f t="shared" si="17"/>
        <v>4</v>
      </c>
      <c r="AC25" s="16">
        <f t="shared" si="17"/>
        <v>96</v>
      </c>
      <c r="AD25" s="16">
        <f t="shared" si="17"/>
        <v>2</v>
      </c>
      <c r="AE25" s="32">
        <f t="shared" si="17"/>
        <v>51</v>
      </c>
      <c r="AF25" s="32">
        <f t="shared" si="17"/>
        <v>147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f>SUM('[1]RD4 MCC'!R818:U818)</f>
        <v>1</v>
      </c>
      <c r="M26" s="50">
        <v>14</v>
      </c>
      <c r="N26" s="50">
        <v>0</v>
      </c>
      <c r="O26" s="15">
        <f t="shared" si="0"/>
        <v>4</v>
      </c>
      <c r="P26" s="15">
        <f t="shared" si="1"/>
        <v>18</v>
      </c>
      <c r="R26" s="28" t="s">
        <v>86</v>
      </c>
      <c r="S26" s="16">
        <f t="shared" ref="S26:AF26" si="18">SUM(S13:S18)</f>
        <v>17</v>
      </c>
      <c r="T26" s="16">
        <f t="shared" si="18"/>
        <v>3</v>
      </c>
      <c r="U26" s="16">
        <f t="shared" si="18"/>
        <v>18</v>
      </c>
      <c r="V26" s="16">
        <f t="shared" si="18"/>
        <v>6</v>
      </c>
      <c r="W26" s="16">
        <f t="shared" si="18"/>
        <v>1</v>
      </c>
      <c r="X26" s="16">
        <f t="shared" si="18"/>
        <v>1</v>
      </c>
      <c r="Y26" s="16">
        <f t="shared" si="18"/>
        <v>19</v>
      </c>
      <c r="Z26" s="16">
        <f t="shared" si="18"/>
        <v>0</v>
      </c>
      <c r="AA26" s="16">
        <f t="shared" si="18"/>
        <v>1</v>
      </c>
      <c r="AB26" s="16">
        <f t="shared" si="18"/>
        <v>16</v>
      </c>
      <c r="AC26" s="16">
        <f t="shared" si="18"/>
        <v>279</v>
      </c>
      <c r="AD26" s="16">
        <f t="shared" si="18"/>
        <v>0</v>
      </c>
      <c r="AE26" s="32">
        <f t="shared" si="18"/>
        <v>82</v>
      </c>
      <c r="AF26" s="32">
        <f t="shared" si="18"/>
        <v>361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f>SUM('[1]RD4 MCC'!R819:U819)</f>
        <v>0</v>
      </c>
      <c r="M27" s="50">
        <v>12</v>
      </c>
      <c r="N27" s="50">
        <v>0</v>
      </c>
      <c r="O27" s="15">
        <f t="shared" si="0"/>
        <v>1</v>
      </c>
      <c r="P27" s="15">
        <f t="shared" si="1"/>
        <v>13</v>
      </c>
      <c r="R27" s="29" t="s">
        <v>87</v>
      </c>
      <c r="S27" s="16">
        <f t="shared" ref="S27:AF27" si="19">SUM(S19:S21)</f>
        <v>6</v>
      </c>
      <c r="T27" s="16">
        <f t="shared" si="19"/>
        <v>4</v>
      </c>
      <c r="U27" s="16">
        <f t="shared" si="19"/>
        <v>12</v>
      </c>
      <c r="V27" s="16">
        <f t="shared" si="19"/>
        <v>7</v>
      </c>
      <c r="W27" s="16">
        <f t="shared" si="19"/>
        <v>0</v>
      </c>
      <c r="X27" s="16">
        <f t="shared" si="19"/>
        <v>1</v>
      </c>
      <c r="Y27" s="16">
        <f t="shared" si="19"/>
        <v>7</v>
      </c>
      <c r="Z27" s="16">
        <f t="shared" si="19"/>
        <v>1</v>
      </c>
      <c r="AA27" s="16">
        <f t="shared" si="19"/>
        <v>0</v>
      </c>
      <c r="AB27" s="16">
        <f t="shared" si="19"/>
        <v>3</v>
      </c>
      <c r="AC27" s="16">
        <f t="shared" si="19"/>
        <v>131</v>
      </c>
      <c r="AD27" s="16">
        <f t="shared" si="19"/>
        <v>0</v>
      </c>
      <c r="AE27" s="32">
        <f t="shared" si="19"/>
        <v>41</v>
      </c>
      <c r="AF27" s="32">
        <f t="shared" si="19"/>
        <v>172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2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f>SUM('[1]RD4 MCC'!R820:U820)</f>
        <v>0</v>
      </c>
      <c r="M28" s="50">
        <v>6</v>
      </c>
      <c r="N28" s="50">
        <v>0</v>
      </c>
      <c r="O28" s="15">
        <f t="shared" si="0"/>
        <v>5</v>
      </c>
      <c r="P28" s="15">
        <f t="shared" si="1"/>
        <v>11</v>
      </c>
      <c r="R28" s="5" t="s">
        <v>17</v>
      </c>
      <c r="S28" s="16">
        <f t="shared" ref="S28:AF28" si="20">SUM(S10:S21)</f>
        <v>32</v>
      </c>
      <c r="T28" s="16">
        <f t="shared" si="20"/>
        <v>12</v>
      </c>
      <c r="U28" s="16">
        <f t="shared" si="20"/>
        <v>47</v>
      </c>
      <c r="V28" s="16">
        <f t="shared" si="20"/>
        <v>17</v>
      </c>
      <c r="W28" s="16">
        <f t="shared" si="20"/>
        <v>1</v>
      </c>
      <c r="X28" s="16">
        <f t="shared" si="20"/>
        <v>2</v>
      </c>
      <c r="Y28" s="16">
        <f t="shared" si="20"/>
        <v>36</v>
      </c>
      <c r="Z28" s="16">
        <f t="shared" si="20"/>
        <v>1</v>
      </c>
      <c r="AA28" s="16">
        <f t="shared" si="20"/>
        <v>1</v>
      </c>
      <c r="AB28" s="16">
        <f t="shared" si="20"/>
        <v>23</v>
      </c>
      <c r="AC28" s="16">
        <f t="shared" si="20"/>
        <v>506</v>
      </c>
      <c r="AD28" s="16">
        <f t="shared" si="20"/>
        <v>2</v>
      </c>
      <c r="AE28" s="32">
        <f t="shared" si="20"/>
        <v>174</v>
      </c>
      <c r="AF28" s="32">
        <f t="shared" si="20"/>
        <v>680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3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f>SUM('[1]RD4 MCC'!R821:U821)</f>
        <v>1</v>
      </c>
      <c r="M29" s="50">
        <v>4</v>
      </c>
      <c r="N29" s="50">
        <v>0</v>
      </c>
      <c r="O29" s="15">
        <f t="shared" si="0"/>
        <v>7</v>
      </c>
      <c r="P29" s="15">
        <f t="shared" si="1"/>
        <v>11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f>SUM('[1]RD4 MCC'!R822:U822)</f>
        <v>1</v>
      </c>
      <c r="M30" s="50">
        <v>15</v>
      </c>
      <c r="N30" s="50">
        <v>0</v>
      </c>
      <c r="O30" s="15">
        <f t="shared" si="0"/>
        <v>2</v>
      </c>
      <c r="P30" s="15">
        <f t="shared" si="1"/>
        <v>17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f>SUM('[1]RD4 MCC'!R823:U823)</f>
        <v>1</v>
      </c>
      <c r="M31" s="50">
        <v>23</v>
      </c>
      <c r="N31" s="50">
        <v>0</v>
      </c>
      <c r="O31" s="15">
        <f t="shared" si="0"/>
        <v>3</v>
      </c>
      <c r="P31" s="15">
        <f t="shared" si="1"/>
        <v>26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1</v>
      </c>
      <c r="L32" s="50">
        <f>SUM('[1]RD4 MCC'!R824:U824)</f>
        <v>3</v>
      </c>
      <c r="M32" s="50">
        <v>14</v>
      </c>
      <c r="N32" s="50">
        <v>0</v>
      </c>
      <c r="O32" s="15">
        <f t="shared" si="0"/>
        <v>5</v>
      </c>
      <c r="P32" s="15">
        <f t="shared" si="1"/>
        <v>19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f>SUM('[1]RD4 MCC'!R825:U825)</f>
        <v>0</v>
      </c>
      <c r="M33" s="50">
        <v>8</v>
      </c>
      <c r="N33" s="50">
        <v>0</v>
      </c>
      <c r="O33" s="15">
        <f t="shared" si="0"/>
        <v>2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f>SUM('[1]RD4 MCC'!R826:U826)</f>
        <v>1</v>
      </c>
      <c r="M34" s="50">
        <v>12</v>
      </c>
      <c r="N34" s="50">
        <v>0</v>
      </c>
      <c r="O34" s="15">
        <f t="shared" si="0"/>
        <v>1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f>SUM('[1]RD4 MCC'!R827:U827)</f>
        <v>0</v>
      </c>
      <c r="M35" s="50">
        <v>9</v>
      </c>
      <c r="N35" s="50">
        <v>0</v>
      </c>
      <c r="O35" s="15">
        <f t="shared" si="0"/>
        <v>1</v>
      </c>
      <c r="P35" s="15">
        <f t="shared" si="1"/>
        <v>10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f>SUM('[1]RD4 MCC'!R828:U828)</f>
        <v>1</v>
      </c>
      <c r="M36" s="50">
        <v>6</v>
      </c>
      <c r="N36" s="50">
        <v>0</v>
      </c>
      <c r="O36" s="15">
        <f t="shared" si="0"/>
        <v>6</v>
      </c>
      <c r="P36" s="15">
        <f t="shared" si="1"/>
        <v>12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f>SUM('[1]RD4 MCC'!R829:U829)</f>
        <v>1</v>
      </c>
      <c r="M37" s="50">
        <v>9</v>
      </c>
      <c r="N37" s="50">
        <v>0</v>
      </c>
      <c r="O37" s="15">
        <f t="shared" si="0"/>
        <v>4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f>SUM('[1]RD4 MCC'!R830:U830)</f>
        <v>0</v>
      </c>
      <c r="M38" s="50">
        <v>12</v>
      </c>
      <c r="N38" s="50">
        <v>0</v>
      </c>
      <c r="O38" s="15">
        <f t="shared" si="0"/>
        <v>1</v>
      </c>
      <c r="P38" s="15">
        <f t="shared" si="1"/>
        <v>13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f>SUM('[1]RD4 MCC'!R831:U831)</f>
        <v>2</v>
      </c>
      <c r="M39" s="50">
        <v>15</v>
      </c>
      <c r="N39" s="50">
        <v>0</v>
      </c>
      <c r="O39" s="15">
        <f t="shared" si="0"/>
        <v>4</v>
      </c>
      <c r="P39" s="15">
        <f t="shared" si="1"/>
        <v>19</v>
      </c>
    </row>
    <row r="40" spans="2:20" ht="23.1" customHeight="1" x14ac:dyDescent="0.25">
      <c r="B40" s="24" t="s">
        <v>67</v>
      </c>
      <c r="C40" s="50">
        <v>2</v>
      </c>
      <c r="D40" s="50">
        <v>1</v>
      </c>
      <c r="E40" s="50">
        <v>2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f>SUM('[1]RD4 MCC'!R832:U832)</f>
        <v>0</v>
      </c>
      <c r="M40" s="50">
        <v>5</v>
      </c>
      <c r="N40" s="50">
        <v>0</v>
      </c>
      <c r="O40" s="15">
        <f t="shared" si="0"/>
        <v>7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f>SUM('[1]RD4 MCC'!R833:U833)</f>
        <v>1</v>
      </c>
      <c r="M41" s="50">
        <v>12</v>
      </c>
      <c r="N41" s="50">
        <v>0</v>
      </c>
      <c r="O41" s="15">
        <f t="shared" si="0"/>
        <v>2</v>
      </c>
      <c r="P41" s="15">
        <f t="shared" si="1"/>
        <v>14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f>SUM('[1]RD4 MCC'!R834:U834)</f>
        <v>0</v>
      </c>
      <c r="M42" s="50">
        <v>9</v>
      </c>
      <c r="N42" s="50">
        <v>0</v>
      </c>
      <c r="O42" s="15">
        <f t="shared" si="0"/>
        <v>3</v>
      </c>
      <c r="P42" s="15">
        <f t="shared" si="1"/>
        <v>12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1</v>
      </c>
      <c r="H43" s="50">
        <v>0</v>
      </c>
      <c r="I43" s="50">
        <v>1</v>
      </c>
      <c r="J43" s="50">
        <v>0</v>
      </c>
      <c r="K43" s="50">
        <v>0</v>
      </c>
      <c r="L43" s="50">
        <f>SUM('[1]RD4 MCC'!R835:U835)</f>
        <v>0</v>
      </c>
      <c r="M43" s="50">
        <v>12</v>
      </c>
      <c r="N43" s="50">
        <v>0</v>
      </c>
      <c r="O43" s="15">
        <f t="shared" si="0"/>
        <v>2</v>
      </c>
      <c r="P43" s="15">
        <f t="shared" si="1"/>
        <v>14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f>SUM('[1]RD4 MCC'!R836:U836)</f>
        <v>0</v>
      </c>
      <c r="M44" s="50">
        <v>7</v>
      </c>
      <c r="N44" s="50">
        <v>0</v>
      </c>
      <c r="O44" s="15">
        <f t="shared" si="0"/>
        <v>3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1</v>
      </c>
      <c r="I45" s="50">
        <v>1</v>
      </c>
      <c r="J45" s="50">
        <v>0</v>
      </c>
      <c r="K45" s="50">
        <v>0</v>
      </c>
      <c r="L45" s="50">
        <f>SUM('[1]RD4 MCC'!R837:U837)</f>
        <v>0</v>
      </c>
      <c r="M45" s="50">
        <v>17</v>
      </c>
      <c r="N45" s="50">
        <v>0</v>
      </c>
      <c r="O45" s="15">
        <f t="shared" si="0"/>
        <v>3</v>
      </c>
      <c r="P45" s="15">
        <f t="shared" si="1"/>
        <v>20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f>SUM('[1]RD4 MCC'!R838:U838)</f>
        <v>1</v>
      </c>
      <c r="M46" s="50">
        <v>6</v>
      </c>
      <c r="N46" s="50">
        <v>0</v>
      </c>
      <c r="O46" s="15">
        <f t="shared" si="0"/>
        <v>4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f>SUM('[1]RD4 MCC'!R839:U839)</f>
        <v>0</v>
      </c>
      <c r="M47" s="50">
        <v>14</v>
      </c>
      <c r="N47" s="50">
        <v>0</v>
      </c>
      <c r="O47" s="15">
        <f t="shared" si="0"/>
        <v>0</v>
      </c>
      <c r="P47" s="15">
        <f t="shared" si="1"/>
        <v>14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f>SUM('[1]RD4 MCC'!R840:U840)</f>
        <v>0</v>
      </c>
      <c r="M48" s="50">
        <v>11</v>
      </c>
      <c r="N48" s="50">
        <v>0</v>
      </c>
      <c r="O48" s="15">
        <f t="shared" si="0"/>
        <v>2</v>
      </c>
      <c r="P48" s="15">
        <f t="shared" si="1"/>
        <v>13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2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f>SUM('[1]RD4 MCC'!R841:U841)</f>
        <v>0</v>
      </c>
      <c r="M49" s="50">
        <v>10</v>
      </c>
      <c r="N49" s="50">
        <v>0</v>
      </c>
      <c r="O49" s="15">
        <f t="shared" si="0"/>
        <v>5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1</v>
      </c>
      <c r="F50" s="50">
        <v>2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f>SUM('[1]RD4 MCC'!R842:U842)</f>
        <v>0</v>
      </c>
      <c r="M50" s="50">
        <v>15</v>
      </c>
      <c r="N50" s="50">
        <v>0</v>
      </c>
      <c r="O50" s="15">
        <f t="shared" si="0"/>
        <v>4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f>SUM('[1]RD4 MCC'!R843:U843)</f>
        <v>0</v>
      </c>
      <c r="M51" s="50">
        <v>5</v>
      </c>
      <c r="N51" s="50">
        <v>0</v>
      </c>
      <c r="O51" s="15">
        <f t="shared" si="0"/>
        <v>2</v>
      </c>
      <c r="P51" s="15">
        <f t="shared" si="1"/>
        <v>7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f>SUM('[1]RD4 MCC'!R844:U844)</f>
        <v>0</v>
      </c>
      <c r="M52" s="50">
        <v>10</v>
      </c>
      <c r="N52" s="50">
        <v>0</v>
      </c>
      <c r="O52" s="15">
        <f t="shared" si="0"/>
        <v>2</v>
      </c>
      <c r="P52" s="15">
        <f t="shared" si="1"/>
        <v>12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2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f>SUM('[1]RD4 MCC'!R845:U845)</f>
        <v>1</v>
      </c>
      <c r="M53" s="50">
        <v>13</v>
      </c>
      <c r="N53" s="50">
        <v>0</v>
      </c>
      <c r="O53" s="15">
        <f t="shared" si="0"/>
        <v>6</v>
      </c>
      <c r="P53" s="15">
        <f t="shared" si="1"/>
        <v>19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f>SUM('[1]RD4 MCC'!R846:U846)</f>
        <v>0</v>
      </c>
      <c r="M54" s="50">
        <v>15</v>
      </c>
      <c r="N54" s="50">
        <v>0</v>
      </c>
      <c r="O54" s="15">
        <f t="shared" si="0"/>
        <v>5</v>
      </c>
      <c r="P54" s="15">
        <f t="shared" si="1"/>
        <v>20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1</v>
      </c>
      <c r="E55" s="50">
        <v>3</v>
      </c>
      <c r="F55" s="50">
        <v>0</v>
      </c>
      <c r="G55" s="50">
        <v>0</v>
      </c>
      <c r="H55" s="50">
        <v>1</v>
      </c>
      <c r="I55" s="50">
        <v>0</v>
      </c>
      <c r="J55" s="50">
        <v>0</v>
      </c>
      <c r="K55" s="50">
        <v>0</v>
      </c>
      <c r="L55" s="50">
        <f>SUM('[1]RD4 MCC'!R847:U847)</f>
        <v>0</v>
      </c>
      <c r="M55" s="50">
        <v>16</v>
      </c>
      <c r="N55" s="50">
        <v>0</v>
      </c>
      <c r="O55" s="15">
        <f t="shared" si="0"/>
        <v>5</v>
      </c>
      <c r="P55" s="15">
        <f t="shared" si="1"/>
        <v>21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2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f>SUM('[1]RD4 MCC'!R848:U848)</f>
        <v>0</v>
      </c>
      <c r="M56" s="50">
        <v>7</v>
      </c>
      <c r="N56" s="50">
        <v>0</v>
      </c>
      <c r="O56" s="15">
        <f t="shared" si="0"/>
        <v>4</v>
      </c>
      <c r="P56" s="15">
        <f t="shared" si="1"/>
        <v>11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f>SUM('[1]RD4 MCC'!R849:U849)</f>
        <v>1</v>
      </c>
      <c r="M57" s="50">
        <v>9</v>
      </c>
      <c r="N57" s="50">
        <v>0</v>
      </c>
      <c r="O57" s="15">
        <f t="shared" si="0"/>
        <v>2</v>
      </c>
      <c r="P57" s="15">
        <f t="shared" si="1"/>
        <v>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32</v>
      </c>
      <c r="D58" s="16">
        <f t="shared" si="21"/>
        <v>12</v>
      </c>
      <c r="E58" s="16">
        <f t="shared" si="21"/>
        <v>47</v>
      </c>
      <c r="F58" s="16">
        <f t="shared" si="21"/>
        <v>17</v>
      </c>
      <c r="G58" s="16">
        <f t="shared" si="21"/>
        <v>1</v>
      </c>
      <c r="H58" s="16">
        <f t="shared" si="21"/>
        <v>2</v>
      </c>
      <c r="I58" s="16">
        <f t="shared" si="21"/>
        <v>36</v>
      </c>
      <c r="J58" s="16">
        <f t="shared" si="21"/>
        <v>1</v>
      </c>
      <c r="K58" s="16">
        <f t="shared" si="21"/>
        <v>1</v>
      </c>
      <c r="L58" s="16">
        <f t="shared" si="21"/>
        <v>23</v>
      </c>
      <c r="M58" s="16">
        <f t="shared" si="21"/>
        <v>506</v>
      </c>
      <c r="N58" s="16">
        <f t="shared" si="21"/>
        <v>2</v>
      </c>
      <c r="O58" s="16">
        <f t="shared" si="21"/>
        <v>174</v>
      </c>
      <c r="P58" s="16">
        <f t="shared" si="21"/>
        <v>680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4.7058823529411764E-2</v>
      </c>
      <c r="D59" s="43">
        <f t="shared" si="22"/>
        <v>1.7647058823529412E-2</v>
      </c>
      <c r="E59" s="43">
        <f t="shared" si="22"/>
        <v>6.9117647058823534E-2</v>
      </c>
      <c r="F59" s="43">
        <f t="shared" si="22"/>
        <v>2.5000000000000001E-2</v>
      </c>
      <c r="G59" s="43">
        <f t="shared" si="22"/>
        <v>1.4705882352941176E-3</v>
      </c>
      <c r="H59" s="43">
        <f t="shared" si="22"/>
        <v>2.9411764705882353E-3</v>
      </c>
      <c r="I59" s="43">
        <f t="shared" si="22"/>
        <v>5.2941176470588235E-2</v>
      </c>
      <c r="J59" s="43">
        <f t="shared" si="22"/>
        <v>1.4705882352941176E-3</v>
      </c>
      <c r="K59" s="43">
        <f t="shared" si="22"/>
        <v>1.4705882352941176E-3</v>
      </c>
      <c r="L59" s="43">
        <f t="shared" si="22"/>
        <v>3.3823529411764704E-2</v>
      </c>
      <c r="M59" s="43">
        <f t="shared" si="22"/>
        <v>0.74411764705882355</v>
      </c>
      <c r="N59" s="43">
        <f t="shared" si="22"/>
        <v>2.9411764705882353E-3</v>
      </c>
      <c r="R59" s="8"/>
      <c r="T59"/>
    </row>
    <row r="60" spans="2:20" ht="23.1" customHeight="1" x14ac:dyDescent="0.25">
      <c r="B60" s="42" t="s">
        <v>94</v>
      </c>
      <c r="C60" s="44">
        <f>C58/$O$58</f>
        <v>0.18390804597701149</v>
      </c>
      <c r="D60" s="44">
        <f t="shared" ref="D60:N60" si="23">D58/$O$58</f>
        <v>6.8965517241379309E-2</v>
      </c>
      <c r="E60" s="44">
        <f t="shared" si="23"/>
        <v>0.27011494252873564</v>
      </c>
      <c r="F60" s="44">
        <f t="shared" si="23"/>
        <v>9.7701149425287362E-2</v>
      </c>
      <c r="G60" s="44">
        <f t="shared" si="23"/>
        <v>5.7471264367816091E-3</v>
      </c>
      <c r="H60" s="44">
        <f t="shared" si="23"/>
        <v>1.1494252873563218E-2</v>
      </c>
      <c r="I60" s="44">
        <f t="shared" si="23"/>
        <v>0.20689655172413793</v>
      </c>
      <c r="J60" s="44">
        <f t="shared" si="23"/>
        <v>5.7471264367816091E-3</v>
      </c>
      <c r="K60" s="44">
        <f t="shared" si="23"/>
        <v>5.7471264367816091E-3</v>
      </c>
      <c r="L60" s="44">
        <f t="shared" si="23"/>
        <v>0.13218390804597702</v>
      </c>
      <c r="M60" s="44"/>
      <c r="N60" s="44">
        <f t="shared" si="23"/>
        <v>1.1494252873563218E-2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A19" zoomScale="60" workbookViewId="0">
      <selection activeCell="G15" sqref="G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'31.07 Nebbi-Goli'!C3:G3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'06.08 Goli-Nebbi'!D5</f>
        <v>06.08.19</v>
      </c>
      <c r="E5" s="3"/>
      <c r="F5" s="41" t="s">
        <v>1</v>
      </c>
      <c r="G5" s="65" t="str">
        <f>'06.08 Goli-Nebbi'!G5:H5</f>
        <v>Goli</v>
      </c>
      <c r="H5" s="66"/>
      <c r="I5" s="14"/>
      <c r="J5" s="2" t="s">
        <v>5</v>
      </c>
      <c r="K5" s="65" t="str">
        <f>'06.08 Goli-Nebbi'!K5:L5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'31.07 Nebbi-Goli'!D6:E6</f>
        <v>Nebbi</v>
      </c>
      <c r="E6" s="66"/>
      <c r="F6" s="2" t="s">
        <v>2</v>
      </c>
      <c r="G6" s="65" t="str">
        <f>'31.07 Nebbi-Goli'!G6:H6</f>
        <v>Goli</v>
      </c>
      <c r="H6" s="66"/>
      <c r="J6" s="2" t="s">
        <v>21</v>
      </c>
      <c r="K6" s="65" t="str">
        <f>'06.08 Goli-Nebbi'!K6:L6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f>SUM('[1]RD4 MCC'!R850:U850)</f>
        <v>0</v>
      </c>
      <c r="M10" s="50">
        <v>9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12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3</v>
      </c>
      <c r="V10" s="17">
        <f t="shared" si="2"/>
        <v>2</v>
      </c>
      <c r="W10" s="17">
        <f t="shared" si="2"/>
        <v>0</v>
      </c>
      <c r="X10" s="17">
        <f t="shared" si="2"/>
        <v>2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1</v>
      </c>
      <c r="AC10" s="17">
        <f t="shared" si="2"/>
        <v>34</v>
      </c>
      <c r="AD10" s="17">
        <f t="shared" si="2"/>
        <v>0</v>
      </c>
      <c r="AE10" s="31">
        <f t="shared" si="2"/>
        <v>13</v>
      </c>
      <c r="AF10" s="31">
        <f t="shared" si="2"/>
        <v>47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1</v>
      </c>
      <c r="I11" s="50">
        <v>0</v>
      </c>
      <c r="J11" s="50">
        <v>0</v>
      </c>
      <c r="K11" s="50">
        <v>0</v>
      </c>
      <c r="L11" s="50">
        <v>1</v>
      </c>
      <c r="M11" s="50">
        <v>6</v>
      </c>
      <c r="N11" s="50">
        <v>0</v>
      </c>
      <c r="O11" s="15">
        <f t="shared" si="0"/>
        <v>2</v>
      </c>
      <c r="P11" s="15">
        <f t="shared" si="1"/>
        <v>8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2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49</v>
      </c>
      <c r="AD11" s="17">
        <f t="shared" si="3"/>
        <v>1</v>
      </c>
      <c r="AE11" s="31">
        <f t="shared" si="3"/>
        <v>8</v>
      </c>
      <c r="AF11" s="31">
        <f t="shared" si="3"/>
        <v>57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f>SUM('[1]RD4 MCC'!R852:U852)</f>
        <v>0</v>
      </c>
      <c r="M12" s="50">
        <v>12</v>
      </c>
      <c r="N12" s="50">
        <v>0</v>
      </c>
      <c r="O12" s="15">
        <f t="shared" si="0"/>
        <v>3</v>
      </c>
      <c r="P12" s="15">
        <f t="shared" si="1"/>
        <v>15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2</v>
      </c>
      <c r="AC12" s="17">
        <f t="shared" si="4"/>
        <v>44</v>
      </c>
      <c r="AD12" s="17">
        <f t="shared" si="4"/>
        <v>0</v>
      </c>
      <c r="AE12" s="31">
        <f t="shared" si="4"/>
        <v>8</v>
      </c>
      <c r="AF12" s="31">
        <f t="shared" si="4"/>
        <v>52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2</v>
      </c>
      <c r="F13" s="50">
        <v>0</v>
      </c>
      <c r="G13" s="50">
        <v>0</v>
      </c>
      <c r="H13" s="50">
        <v>1</v>
      </c>
      <c r="I13" s="50">
        <v>0</v>
      </c>
      <c r="J13" s="50">
        <v>0</v>
      </c>
      <c r="K13" s="50">
        <v>0</v>
      </c>
      <c r="L13" s="50">
        <f>SUM('[1]RD4 MCC'!R853:U853)</f>
        <v>0</v>
      </c>
      <c r="M13" s="50">
        <v>7</v>
      </c>
      <c r="N13" s="50">
        <v>0</v>
      </c>
      <c r="O13" s="15">
        <f t="shared" si="0"/>
        <v>5</v>
      </c>
      <c r="P13" s="15">
        <f t="shared" si="1"/>
        <v>12</v>
      </c>
      <c r="R13" s="1" t="s">
        <v>9</v>
      </c>
      <c r="S13" s="17">
        <f t="shared" ref="S13:AF13" si="5">SUM(C22:C25)</f>
        <v>2</v>
      </c>
      <c r="T13" s="17">
        <f t="shared" si="5"/>
        <v>1</v>
      </c>
      <c r="U13" s="17">
        <f t="shared" si="5"/>
        <v>4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1</v>
      </c>
      <c r="AA13" s="17">
        <f t="shared" si="5"/>
        <v>1</v>
      </c>
      <c r="AB13" s="17">
        <f t="shared" si="5"/>
        <v>4</v>
      </c>
      <c r="AC13" s="17">
        <f t="shared" si="5"/>
        <v>54</v>
      </c>
      <c r="AD13" s="17">
        <f t="shared" si="5"/>
        <v>0</v>
      </c>
      <c r="AE13" s="31">
        <f t="shared" si="5"/>
        <v>18</v>
      </c>
      <c r="AF13" s="31">
        <f t="shared" si="5"/>
        <v>72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f>SUM('[1]RD4 MCC'!R854:U854)</f>
        <v>0</v>
      </c>
      <c r="M14" s="50">
        <v>13</v>
      </c>
      <c r="N14" s="50">
        <v>0</v>
      </c>
      <c r="O14" s="15">
        <f t="shared" si="0"/>
        <v>2</v>
      </c>
      <c r="P14" s="15">
        <f t="shared" si="1"/>
        <v>15</v>
      </c>
      <c r="R14" s="1" t="s">
        <v>10</v>
      </c>
      <c r="S14" s="17">
        <f t="shared" ref="S14:AF14" si="6">SUM(C26:C29)</f>
        <v>1</v>
      </c>
      <c r="T14" s="17">
        <f t="shared" si="6"/>
        <v>3</v>
      </c>
      <c r="U14" s="17">
        <f t="shared" si="6"/>
        <v>7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2</v>
      </c>
      <c r="AC14" s="17">
        <f t="shared" si="6"/>
        <v>49</v>
      </c>
      <c r="AD14" s="17">
        <f t="shared" si="6"/>
        <v>0</v>
      </c>
      <c r="AE14" s="31">
        <f t="shared" si="6"/>
        <v>18</v>
      </c>
      <c r="AF14" s="31">
        <f t="shared" si="6"/>
        <v>67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f>SUM('[1]RD4 MCC'!R855:U855)</f>
        <v>0</v>
      </c>
      <c r="M15" s="50">
        <v>8</v>
      </c>
      <c r="N15" s="50">
        <v>0</v>
      </c>
      <c r="O15" s="15">
        <f t="shared" si="0"/>
        <v>0</v>
      </c>
      <c r="P15" s="15">
        <f t="shared" si="1"/>
        <v>8</v>
      </c>
      <c r="R15" s="1" t="s">
        <v>11</v>
      </c>
      <c r="S15" s="17">
        <f t="shared" ref="S15:AF15" si="7">SUM(C30:C33)</f>
        <v>2</v>
      </c>
      <c r="T15" s="17">
        <f t="shared" si="7"/>
        <v>1</v>
      </c>
      <c r="U15" s="17">
        <f t="shared" si="7"/>
        <v>4</v>
      </c>
      <c r="V15" s="17">
        <f t="shared" si="7"/>
        <v>2</v>
      </c>
      <c r="W15" s="17">
        <f t="shared" si="7"/>
        <v>0</v>
      </c>
      <c r="X15" s="17">
        <f t="shared" si="7"/>
        <v>1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4</v>
      </c>
      <c r="AC15" s="17">
        <f t="shared" si="7"/>
        <v>49</v>
      </c>
      <c r="AD15" s="17">
        <f t="shared" si="7"/>
        <v>0</v>
      </c>
      <c r="AE15" s="31">
        <f t="shared" si="7"/>
        <v>16</v>
      </c>
      <c r="AF15" s="31">
        <f t="shared" si="7"/>
        <v>65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f>SUM('[1]RD4 MCC'!R856:U856)</f>
        <v>0</v>
      </c>
      <c r="M16" s="50">
        <v>16</v>
      </c>
      <c r="N16" s="50">
        <v>1</v>
      </c>
      <c r="O16" s="15">
        <f t="shared" si="0"/>
        <v>3</v>
      </c>
      <c r="P16" s="15">
        <f t="shared" si="1"/>
        <v>19</v>
      </c>
      <c r="R16" s="1" t="s">
        <v>12</v>
      </c>
      <c r="S16" s="17">
        <f t="shared" ref="S16:AF16" si="8">SUM(C34:C37)</f>
        <v>5</v>
      </c>
      <c r="T16" s="17">
        <f t="shared" si="8"/>
        <v>1</v>
      </c>
      <c r="U16" s="17">
        <f t="shared" si="8"/>
        <v>3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1</v>
      </c>
      <c r="AC16" s="17">
        <f t="shared" si="8"/>
        <v>26</v>
      </c>
      <c r="AD16" s="17">
        <f t="shared" si="8"/>
        <v>0</v>
      </c>
      <c r="AE16" s="31">
        <f t="shared" si="8"/>
        <v>12</v>
      </c>
      <c r="AF16" s="31">
        <f t="shared" si="8"/>
        <v>38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f>SUM('[1]RD4 MCC'!R857:U857)</f>
        <v>0</v>
      </c>
      <c r="M17" s="50">
        <v>12</v>
      </c>
      <c r="N17" s="50">
        <v>0</v>
      </c>
      <c r="O17" s="15">
        <f t="shared" si="0"/>
        <v>3</v>
      </c>
      <c r="P17" s="15">
        <f t="shared" si="1"/>
        <v>15</v>
      </c>
      <c r="R17" s="1" t="s">
        <v>13</v>
      </c>
      <c r="S17" s="17">
        <f t="shared" ref="S17:AF17" si="9">SUM(C38:C41)</f>
        <v>4</v>
      </c>
      <c r="T17" s="17">
        <f t="shared" si="9"/>
        <v>1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2</v>
      </c>
      <c r="AC17" s="17">
        <f t="shared" si="9"/>
        <v>32</v>
      </c>
      <c r="AD17" s="17">
        <f t="shared" si="9"/>
        <v>0</v>
      </c>
      <c r="AE17" s="31">
        <f t="shared" si="9"/>
        <v>16</v>
      </c>
      <c r="AF17" s="31">
        <f t="shared" si="9"/>
        <v>48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f>SUM('[1]RD4 MCC'!R858:U858)</f>
        <v>0</v>
      </c>
      <c r="M18" s="50">
        <v>10</v>
      </c>
      <c r="N18" s="50">
        <v>0</v>
      </c>
      <c r="O18" s="15">
        <f t="shared" si="0"/>
        <v>2</v>
      </c>
      <c r="P18" s="15">
        <f t="shared" si="1"/>
        <v>12</v>
      </c>
      <c r="R18" s="1" t="s">
        <v>14</v>
      </c>
      <c r="S18" s="17">
        <f t="shared" ref="S18:AF18" si="10">SUM(C42:C45)</f>
        <v>4</v>
      </c>
      <c r="T18" s="17">
        <f t="shared" si="10"/>
        <v>2</v>
      </c>
      <c r="U18" s="17">
        <f t="shared" si="10"/>
        <v>6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36</v>
      </c>
      <c r="AD18" s="17">
        <f t="shared" si="10"/>
        <v>0</v>
      </c>
      <c r="AE18" s="31">
        <f t="shared" si="10"/>
        <v>20</v>
      </c>
      <c r="AF18" s="31">
        <f t="shared" si="10"/>
        <v>56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f>SUM('[1]RD4 MCC'!R859:U859)</f>
        <v>0</v>
      </c>
      <c r="M19" s="50">
        <v>8</v>
      </c>
      <c r="N19" s="50">
        <v>0</v>
      </c>
      <c r="O19" s="15">
        <f t="shared" si="0"/>
        <v>1</v>
      </c>
      <c r="P19" s="15">
        <f t="shared" si="1"/>
        <v>9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3</v>
      </c>
      <c r="AC19" s="17">
        <f t="shared" si="11"/>
        <v>47</v>
      </c>
      <c r="AD19" s="17">
        <f t="shared" si="11"/>
        <v>0</v>
      </c>
      <c r="AE19" s="31">
        <f t="shared" si="11"/>
        <v>14</v>
      </c>
      <c r="AF19" s="31">
        <f t="shared" si="11"/>
        <v>61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2</v>
      </c>
      <c r="M20" s="50">
        <v>15</v>
      </c>
      <c r="N20" s="50">
        <v>0</v>
      </c>
      <c r="O20" s="15">
        <f t="shared" si="0"/>
        <v>2</v>
      </c>
      <c r="P20" s="15">
        <f t="shared" si="1"/>
        <v>17</v>
      </c>
      <c r="R20" s="1" t="s">
        <v>16</v>
      </c>
      <c r="S20" s="17">
        <f t="shared" ref="S20:AF20" si="12">SUM(C50:C53)</f>
        <v>7</v>
      </c>
      <c r="T20" s="17">
        <f t="shared" si="12"/>
        <v>2</v>
      </c>
      <c r="U20" s="17">
        <f t="shared" si="12"/>
        <v>8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1</v>
      </c>
      <c r="AB20" s="17">
        <f t="shared" si="12"/>
        <v>3</v>
      </c>
      <c r="AC20" s="17">
        <f t="shared" si="12"/>
        <v>42</v>
      </c>
      <c r="AD20" s="17">
        <f t="shared" si="12"/>
        <v>0</v>
      </c>
      <c r="AE20" s="31">
        <f t="shared" si="12"/>
        <v>26</v>
      </c>
      <c r="AF20" s="31">
        <f t="shared" si="12"/>
        <v>68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f>SUM('[1]RD4 MCC'!R861:U861)</f>
        <v>0</v>
      </c>
      <c r="M21" s="50">
        <v>11</v>
      </c>
      <c r="N21" s="50">
        <v>0</v>
      </c>
      <c r="O21" s="15">
        <f t="shared" si="0"/>
        <v>3</v>
      </c>
      <c r="P21" s="15">
        <f t="shared" si="1"/>
        <v>14</v>
      </c>
      <c r="R21" s="36" t="s">
        <v>20</v>
      </c>
      <c r="S21" s="34">
        <f t="shared" ref="S21:AF21" si="13">SUM(C54:C57)</f>
        <v>4</v>
      </c>
      <c r="T21" s="17">
        <f t="shared" si="13"/>
        <v>0</v>
      </c>
      <c r="U21" s="17">
        <f t="shared" si="13"/>
        <v>3</v>
      </c>
      <c r="V21" s="17">
        <f t="shared" si="13"/>
        <v>2</v>
      </c>
      <c r="W21" s="17">
        <f t="shared" si="13"/>
        <v>1</v>
      </c>
      <c r="X21" s="17">
        <f t="shared" si="13"/>
        <v>1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2</v>
      </c>
      <c r="AC21" s="17">
        <f t="shared" si="13"/>
        <v>41</v>
      </c>
      <c r="AD21" s="17">
        <f t="shared" si="13"/>
        <v>0</v>
      </c>
      <c r="AE21" s="31">
        <f t="shared" si="13"/>
        <v>14</v>
      </c>
      <c r="AF21" s="31">
        <f t="shared" si="13"/>
        <v>55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f>SUM('[1]RD4 MCC'!R862:U862)</f>
        <v>1</v>
      </c>
      <c r="M22" s="50">
        <v>12</v>
      </c>
      <c r="N22" s="50">
        <v>0</v>
      </c>
      <c r="O22" s="15">
        <f t="shared" si="0"/>
        <v>3</v>
      </c>
      <c r="P22" s="15">
        <f t="shared" si="1"/>
        <v>15</v>
      </c>
      <c r="R22" s="38" t="s">
        <v>90</v>
      </c>
      <c r="S22" s="39">
        <f>MAX(S10:S12)</f>
        <v>3</v>
      </c>
      <c r="T22" s="39">
        <f t="shared" ref="T22:AF22" si="14">MAX(T10:T12)</f>
        <v>1</v>
      </c>
      <c r="U22" s="39">
        <f t="shared" si="14"/>
        <v>3</v>
      </c>
      <c r="V22" s="39">
        <f t="shared" si="14"/>
        <v>2</v>
      </c>
      <c r="W22" s="39">
        <f t="shared" si="14"/>
        <v>0</v>
      </c>
      <c r="X22" s="39">
        <f t="shared" si="14"/>
        <v>2</v>
      </c>
      <c r="Y22" s="39">
        <f t="shared" si="14"/>
        <v>2</v>
      </c>
      <c r="Z22" s="39">
        <f t="shared" si="14"/>
        <v>0</v>
      </c>
      <c r="AA22" s="39">
        <f t="shared" si="14"/>
        <v>0</v>
      </c>
      <c r="AB22" s="39">
        <f t="shared" si="14"/>
        <v>2</v>
      </c>
      <c r="AC22" s="39">
        <f t="shared" si="14"/>
        <v>49</v>
      </c>
      <c r="AD22" s="39">
        <f t="shared" si="14"/>
        <v>1</v>
      </c>
      <c r="AE22" s="40">
        <f t="shared" si="14"/>
        <v>13</v>
      </c>
      <c r="AF22" s="40">
        <f t="shared" si="14"/>
        <v>57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f>SUM('[1]RD4 MCC'!R863:U863)</f>
        <v>0</v>
      </c>
      <c r="M23" s="50">
        <v>17</v>
      </c>
      <c r="N23" s="50">
        <v>0</v>
      </c>
      <c r="O23" s="15">
        <f t="shared" si="0"/>
        <v>4</v>
      </c>
      <c r="P23" s="15">
        <f t="shared" si="1"/>
        <v>21</v>
      </c>
      <c r="R23" s="38" t="s">
        <v>91</v>
      </c>
      <c r="S23" s="39">
        <f>MAX(S13:S18)</f>
        <v>5</v>
      </c>
      <c r="T23" s="39">
        <f t="shared" ref="T23:AF23" si="15">MAX(T13:T18)</f>
        <v>3</v>
      </c>
      <c r="U23" s="39">
        <f t="shared" si="15"/>
        <v>7</v>
      </c>
      <c r="V23" s="39">
        <f t="shared" si="15"/>
        <v>3</v>
      </c>
      <c r="W23" s="39">
        <f t="shared" si="15"/>
        <v>0</v>
      </c>
      <c r="X23" s="39">
        <f t="shared" si="15"/>
        <v>1</v>
      </c>
      <c r="Y23" s="39">
        <f t="shared" si="15"/>
        <v>5</v>
      </c>
      <c r="Z23" s="39">
        <f t="shared" si="15"/>
        <v>1</v>
      </c>
      <c r="AA23" s="39">
        <f t="shared" si="15"/>
        <v>1</v>
      </c>
      <c r="AB23" s="39">
        <f t="shared" si="15"/>
        <v>4</v>
      </c>
      <c r="AC23" s="39">
        <f t="shared" si="15"/>
        <v>54</v>
      </c>
      <c r="AD23" s="39">
        <f t="shared" si="15"/>
        <v>0</v>
      </c>
      <c r="AE23" s="40">
        <f t="shared" si="15"/>
        <v>20</v>
      </c>
      <c r="AF23" s="40">
        <f t="shared" si="15"/>
        <v>72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f>SUM('[1]RD4 MCC'!R864:U864)</f>
        <v>1</v>
      </c>
      <c r="M24" s="50">
        <v>16</v>
      </c>
      <c r="N24" s="50">
        <v>0</v>
      </c>
      <c r="O24" s="15">
        <f t="shared" si="0"/>
        <v>4</v>
      </c>
      <c r="P24" s="15">
        <f t="shared" si="1"/>
        <v>20</v>
      </c>
      <c r="R24" s="38" t="s">
        <v>92</v>
      </c>
      <c r="S24" s="39">
        <f>MAX(S19:S21)</f>
        <v>7</v>
      </c>
      <c r="T24" s="39">
        <f t="shared" ref="T24:AF24" si="16">MAX(T19:T21)</f>
        <v>2</v>
      </c>
      <c r="U24" s="39">
        <f t="shared" si="16"/>
        <v>8</v>
      </c>
      <c r="V24" s="39">
        <f t="shared" si="16"/>
        <v>2</v>
      </c>
      <c r="W24" s="39">
        <f t="shared" si="16"/>
        <v>1</v>
      </c>
      <c r="X24" s="39">
        <f t="shared" si="16"/>
        <v>1</v>
      </c>
      <c r="Y24" s="39">
        <f t="shared" si="16"/>
        <v>5</v>
      </c>
      <c r="Z24" s="39">
        <f t="shared" si="16"/>
        <v>0</v>
      </c>
      <c r="AA24" s="39">
        <f t="shared" si="16"/>
        <v>1</v>
      </c>
      <c r="AB24" s="39">
        <f t="shared" si="16"/>
        <v>3</v>
      </c>
      <c r="AC24" s="39">
        <f t="shared" si="16"/>
        <v>47</v>
      </c>
      <c r="AD24" s="39">
        <f t="shared" si="16"/>
        <v>0</v>
      </c>
      <c r="AE24" s="40">
        <f t="shared" si="16"/>
        <v>26</v>
      </c>
      <c r="AF24" s="40">
        <f t="shared" si="16"/>
        <v>68</v>
      </c>
    </row>
    <row r="25" spans="2:32" ht="23.1" customHeight="1" x14ac:dyDescent="0.25">
      <c r="B25" s="23" t="s">
        <v>52</v>
      </c>
      <c r="C25" s="50">
        <v>1</v>
      </c>
      <c r="D25" s="50">
        <v>1</v>
      </c>
      <c r="E25" s="50">
        <v>2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f>SUM('[1]RD4 MCC'!R865:U865)</f>
        <v>2</v>
      </c>
      <c r="M25" s="50">
        <v>9</v>
      </c>
      <c r="N25" s="50">
        <v>0</v>
      </c>
      <c r="O25" s="15">
        <f t="shared" si="0"/>
        <v>7</v>
      </c>
      <c r="P25" s="15">
        <f t="shared" si="1"/>
        <v>16</v>
      </c>
      <c r="R25" s="37" t="s">
        <v>85</v>
      </c>
      <c r="S25" s="35">
        <f t="shared" ref="S25:AF25" si="17">SUM(S10:S12)</f>
        <v>8</v>
      </c>
      <c r="T25" s="16">
        <f t="shared" si="17"/>
        <v>1</v>
      </c>
      <c r="U25" s="16">
        <f t="shared" si="17"/>
        <v>7</v>
      </c>
      <c r="V25" s="16">
        <f t="shared" si="17"/>
        <v>3</v>
      </c>
      <c r="W25" s="16">
        <f t="shared" si="17"/>
        <v>0</v>
      </c>
      <c r="X25" s="16">
        <f t="shared" si="17"/>
        <v>2</v>
      </c>
      <c r="Y25" s="16">
        <f t="shared" si="17"/>
        <v>4</v>
      </c>
      <c r="Z25" s="16">
        <f t="shared" si="17"/>
        <v>0</v>
      </c>
      <c r="AA25" s="16">
        <f t="shared" si="17"/>
        <v>0</v>
      </c>
      <c r="AB25" s="16">
        <f t="shared" si="17"/>
        <v>3</v>
      </c>
      <c r="AC25" s="16">
        <f t="shared" si="17"/>
        <v>127</v>
      </c>
      <c r="AD25" s="16">
        <f t="shared" si="17"/>
        <v>1</v>
      </c>
      <c r="AE25" s="32">
        <f t="shared" si="17"/>
        <v>29</v>
      </c>
      <c r="AF25" s="32">
        <f t="shared" si="17"/>
        <v>156</v>
      </c>
    </row>
    <row r="26" spans="2:32" ht="23.1" customHeight="1" x14ac:dyDescent="0.25">
      <c r="B26" s="23" t="s">
        <v>53</v>
      </c>
      <c r="C26" s="50">
        <v>0</v>
      </c>
      <c r="D26" s="50">
        <v>2</v>
      </c>
      <c r="E26" s="50">
        <v>4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f>SUM('[1]RD4 MCC'!R866:U866)</f>
        <v>1</v>
      </c>
      <c r="M26" s="50">
        <v>8</v>
      </c>
      <c r="N26" s="50">
        <v>0</v>
      </c>
      <c r="O26" s="15">
        <f t="shared" si="0"/>
        <v>7</v>
      </c>
      <c r="P26" s="15">
        <f t="shared" si="1"/>
        <v>15</v>
      </c>
      <c r="R26" s="28" t="s">
        <v>86</v>
      </c>
      <c r="S26" s="16">
        <f t="shared" ref="S26:AF26" si="18">SUM(S13:S18)</f>
        <v>18</v>
      </c>
      <c r="T26" s="16">
        <f t="shared" si="18"/>
        <v>9</v>
      </c>
      <c r="U26" s="16">
        <f t="shared" si="18"/>
        <v>27</v>
      </c>
      <c r="V26" s="16">
        <f t="shared" si="18"/>
        <v>13</v>
      </c>
      <c r="W26" s="16">
        <f t="shared" si="18"/>
        <v>0</v>
      </c>
      <c r="X26" s="16">
        <f t="shared" si="18"/>
        <v>1</v>
      </c>
      <c r="Y26" s="16">
        <f t="shared" si="18"/>
        <v>16</v>
      </c>
      <c r="Z26" s="16">
        <f t="shared" si="18"/>
        <v>2</v>
      </c>
      <c r="AA26" s="16">
        <f t="shared" si="18"/>
        <v>1</v>
      </c>
      <c r="AB26" s="16">
        <f t="shared" si="18"/>
        <v>13</v>
      </c>
      <c r="AC26" s="16">
        <f t="shared" si="18"/>
        <v>246</v>
      </c>
      <c r="AD26" s="16">
        <f t="shared" si="18"/>
        <v>0</v>
      </c>
      <c r="AE26" s="32">
        <f t="shared" si="18"/>
        <v>100</v>
      </c>
      <c r="AF26" s="32">
        <f t="shared" si="18"/>
        <v>346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2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f>SUM('[1]RD4 MCC'!R867:U867)</f>
        <v>0</v>
      </c>
      <c r="M27" s="50">
        <v>14</v>
      </c>
      <c r="N27" s="50">
        <v>0</v>
      </c>
      <c r="O27" s="15">
        <f t="shared" si="0"/>
        <v>4</v>
      </c>
      <c r="P27" s="15">
        <f t="shared" si="1"/>
        <v>18</v>
      </c>
      <c r="R27" s="29" t="s">
        <v>87</v>
      </c>
      <c r="S27" s="16">
        <f t="shared" ref="S27:AF27" si="19">SUM(S19:S21)</f>
        <v>15</v>
      </c>
      <c r="T27" s="16">
        <f t="shared" si="19"/>
        <v>2</v>
      </c>
      <c r="U27" s="16">
        <f t="shared" si="19"/>
        <v>12</v>
      </c>
      <c r="V27" s="16">
        <f t="shared" si="19"/>
        <v>4</v>
      </c>
      <c r="W27" s="16">
        <f t="shared" si="19"/>
        <v>1</v>
      </c>
      <c r="X27" s="16">
        <f t="shared" si="19"/>
        <v>1</v>
      </c>
      <c r="Y27" s="16">
        <f t="shared" si="19"/>
        <v>10</v>
      </c>
      <c r="Z27" s="16">
        <f t="shared" si="19"/>
        <v>0</v>
      </c>
      <c r="AA27" s="16">
        <f t="shared" si="19"/>
        <v>1</v>
      </c>
      <c r="AB27" s="16">
        <f t="shared" si="19"/>
        <v>8</v>
      </c>
      <c r="AC27" s="16">
        <f t="shared" si="19"/>
        <v>130</v>
      </c>
      <c r="AD27" s="16">
        <f t="shared" si="19"/>
        <v>0</v>
      </c>
      <c r="AE27" s="32">
        <f t="shared" si="19"/>
        <v>54</v>
      </c>
      <c r="AF27" s="32">
        <f t="shared" si="19"/>
        <v>184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f>SUM('[1]RD4 MCC'!R868:U868)</f>
        <v>1</v>
      </c>
      <c r="M28" s="50">
        <v>11</v>
      </c>
      <c r="N28" s="50">
        <v>0</v>
      </c>
      <c r="O28" s="15">
        <f t="shared" si="0"/>
        <v>3</v>
      </c>
      <c r="P28" s="15">
        <f t="shared" si="1"/>
        <v>14</v>
      </c>
      <c r="R28" s="5" t="s">
        <v>17</v>
      </c>
      <c r="S28" s="16">
        <f t="shared" ref="S28:AF28" si="20">SUM(S10:S21)</f>
        <v>41</v>
      </c>
      <c r="T28" s="16">
        <f t="shared" si="20"/>
        <v>12</v>
      </c>
      <c r="U28" s="16">
        <f t="shared" si="20"/>
        <v>46</v>
      </c>
      <c r="V28" s="16">
        <f t="shared" si="20"/>
        <v>20</v>
      </c>
      <c r="W28" s="16">
        <f t="shared" si="20"/>
        <v>1</v>
      </c>
      <c r="X28" s="16">
        <f t="shared" si="20"/>
        <v>4</v>
      </c>
      <c r="Y28" s="16">
        <f t="shared" si="20"/>
        <v>30</v>
      </c>
      <c r="Z28" s="16">
        <f t="shared" si="20"/>
        <v>2</v>
      </c>
      <c r="AA28" s="16">
        <f t="shared" si="20"/>
        <v>2</v>
      </c>
      <c r="AB28" s="16">
        <f t="shared" si="20"/>
        <v>24</v>
      </c>
      <c r="AC28" s="16">
        <f t="shared" si="20"/>
        <v>503</v>
      </c>
      <c r="AD28" s="16">
        <f t="shared" si="20"/>
        <v>1</v>
      </c>
      <c r="AE28" s="32">
        <f t="shared" si="20"/>
        <v>183</v>
      </c>
      <c r="AF28" s="32">
        <f t="shared" si="20"/>
        <v>686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2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f>SUM('[1]RD4 MCC'!R869:U869)</f>
        <v>0</v>
      </c>
      <c r="M29" s="50">
        <v>16</v>
      </c>
      <c r="N29" s="50">
        <v>0</v>
      </c>
      <c r="O29" s="15">
        <f t="shared" si="0"/>
        <v>4</v>
      </c>
      <c r="P29" s="15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1</v>
      </c>
      <c r="F30" s="50">
        <v>0</v>
      </c>
      <c r="G30" s="50">
        <v>0</v>
      </c>
      <c r="H30" s="50">
        <v>1</v>
      </c>
      <c r="I30" s="50">
        <v>1</v>
      </c>
      <c r="J30" s="50">
        <v>0</v>
      </c>
      <c r="K30" s="50">
        <v>0</v>
      </c>
      <c r="L30" s="50">
        <f>SUM('[1]RD4 MCC'!R870:U870)</f>
        <v>3</v>
      </c>
      <c r="M30" s="50">
        <v>11</v>
      </c>
      <c r="N30" s="50">
        <v>0</v>
      </c>
      <c r="O30" s="15">
        <f t="shared" si="0"/>
        <v>7</v>
      </c>
      <c r="P30" s="15">
        <f t="shared" si="1"/>
        <v>18</v>
      </c>
    </row>
    <row r="31" spans="2:32" ht="23.1" customHeight="1" x14ac:dyDescent="0.25">
      <c r="B31" s="24" t="s">
        <v>58</v>
      </c>
      <c r="C31" s="50">
        <v>1</v>
      </c>
      <c r="D31" s="50">
        <v>1</v>
      </c>
      <c r="E31" s="50">
        <v>2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f>SUM('[1]RD4 MCC'!R871:U871)</f>
        <v>0</v>
      </c>
      <c r="M31" s="50">
        <v>18</v>
      </c>
      <c r="N31" s="50">
        <v>0</v>
      </c>
      <c r="O31" s="15">
        <f t="shared" si="0"/>
        <v>5</v>
      </c>
      <c r="P31" s="15">
        <f t="shared" si="1"/>
        <v>23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f>SUM('[1]RD4 MCC'!R872:U872)</f>
        <v>1</v>
      </c>
      <c r="M32" s="50">
        <v>6</v>
      </c>
      <c r="N32" s="50">
        <v>0</v>
      </c>
      <c r="O32" s="15">
        <f t="shared" si="0"/>
        <v>2</v>
      </c>
      <c r="P32" s="15">
        <f t="shared" si="1"/>
        <v>8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f>SUM('[1]RD4 MCC'!R873:U873)</f>
        <v>0</v>
      </c>
      <c r="M33" s="50">
        <v>14</v>
      </c>
      <c r="N33" s="50">
        <v>0</v>
      </c>
      <c r="O33" s="15">
        <f t="shared" si="0"/>
        <v>2</v>
      </c>
      <c r="P33" s="15">
        <f t="shared" si="1"/>
        <v>16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f>SUM('[1]RD4 MCC'!R874:U874)</f>
        <v>1</v>
      </c>
      <c r="M34" s="50">
        <v>11</v>
      </c>
      <c r="N34" s="50">
        <v>0</v>
      </c>
      <c r="O34" s="15">
        <f t="shared" si="0"/>
        <v>3</v>
      </c>
      <c r="P34" s="15">
        <f t="shared" si="1"/>
        <v>14</v>
      </c>
    </row>
    <row r="35" spans="2:20" ht="23.1" customHeight="1" x14ac:dyDescent="0.25">
      <c r="B35" s="24" t="s">
        <v>62</v>
      </c>
      <c r="C35" s="50">
        <v>1</v>
      </c>
      <c r="D35" s="50">
        <v>1</v>
      </c>
      <c r="E35" s="50">
        <v>3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f>SUM('[1]RD4 MCC'!R875:U875)</f>
        <v>0</v>
      </c>
      <c r="M35" s="50">
        <v>3</v>
      </c>
      <c r="N35" s="50">
        <v>0</v>
      </c>
      <c r="O35" s="15">
        <f t="shared" si="0"/>
        <v>6</v>
      </c>
      <c r="P35" s="15">
        <f t="shared" si="1"/>
        <v>9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f>SUM('[1]RD4 MCC'!R876:U876)</f>
        <v>0</v>
      </c>
      <c r="M36" s="50">
        <v>4</v>
      </c>
      <c r="N36" s="50">
        <v>0</v>
      </c>
      <c r="O36" s="15">
        <f t="shared" si="0"/>
        <v>1</v>
      </c>
      <c r="P36" s="15">
        <f t="shared" si="1"/>
        <v>5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f>SUM('[1]RD4 MCC'!R877:U877)</f>
        <v>0</v>
      </c>
      <c r="M37" s="50">
        <v>8</v>
      </c>
      <c r="N37" s="50">
        <v>0</v>
      </c>
      <c r="O37" s="15">
        <f t="shared" si="0"/>
        <v>2</v>
      </c>
      <c r="P37" s="15">
        <f t="shared" si="1"/>
        <v>10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f>SUM('[1]RD4 MCC'!R878:U878)</f>
        <v>2</v>
      </c>
      <c r="M38" s="50">
        <v>5</v>
      </c>
      <c r="N38" s="50">
        <v>0</v>
      </c>
      <c r="O38" s="15">
        <f t="shared" si="0"/>
        <v>4</v>
      </c>
      <c r="P38" s="15">
        <f t="shared" si="1"/>
        <v>9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f>SUM('[1]RD4 MCC'!R879:U879)</f>
        <v>0</v>
      </c>
      <c r="M39" s="50">
        <v>11</v>
      </c>
      <c r="N39" s="50">
        <v>0</v>
      </c>
      <c r="O39" s="15">
        <f t="shared" si="0"/>
        <v>2</v>
      </c>
      <c r="P39" s="15">
        <f t="shared" si="1"/>
        <v>13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f>SUM('[1]RD4 MCC'!R880:U880)</f>
        <v>0</v>
      </c>
      <c r="M40" s="50">
        <v>8</v>
      </c>
      <c r="N40" s="50">
        <v>0</v>
      </c>
      <c r="O40" s="15">
        <f t="shared" si="0"/>
        <v>2</v>
      </c>
      <c r="P40" s="15">
        <f t="shared" si="1"/>
        <v>10</v>
      </c>
    </row>
    <row r="41" spans="2:20" ht="23.1" customHeight="1" x14ac:dyDescent="0.25">
      <c r="B41" s="23" t="s">
        <v>68</v>
      </c>
      <c r="C41" s="50">
        <v>2</v>
      </c>
      <c r="D41" s="50">
        <v>1</v>
      </c>
      <c r="E41" s="50">
        <v>3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f>SUM('[1]RD4 MCC'!R881:U881)</f>
        <v>0</v>
      </c>
      <c r="M41" s="50">
        <v>8</v>
      </c>
      <c r="N41" s="50">
        <v>0</v>
      </c>
      <c r="O41" s="15">
        <f t="shared" si="0"/>
        <v>8</v>
      </c>
      <c r="P41" s="15">
        <f t="shared" si="1"/>
        <v>16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f>SUM('[1]RD4 MCC'!R882:U882)</f>
        <v>0</v>
      </c>
      <c r="M42" s="50">
        <v>10</v>
      </c>
      <c r="N42" s="50">
        <v>0</v>
      </c>
      <c r="O42" s="15">
        <f t="shared" si="0"/>
        <v>4</v>
      </c>
      <c r="P42" s="15">
        <f t="shared" si="1"/>
        <v>14</v>
      </c>
    </row>
    <row r="43" spans="2:20" ht="23.1" customHeight="1" x14ac:dyDescent="0.25">
      <c r="B43" s="23" t="s">
        <v>70</v>
      </c>
      <c r="C43" s="50">
        <v>1</v>
      </c>
      <c r="D43" s="50">
        <v>1</v>
      </c>
      <c r="E43" s="50">
        <v>2</v>
      </c>
      <c r="F43" s="50">
        <v>1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f>SUM('[1]RD4 MCC'!R883:U883)</f>
        <v>0</v>
      </c>
      <c r="M43" s="50">
        <v>9</v>
      </c>
      <c r="N43" s="50">
        <v>0</v>
      </c>
      <c r="O43" s="15">
        <f t="shared" si="0"/>
        <v>7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f>SUM('[1]RD4 MCC'!R884:U884)</f>
        <v>0</v>
      </c>
      <c r="M44" s="50">
        <v>7</v>
      </c>
      <c r="N44" s="50">
        <v>0</v>
      </c>
      <c r="O44" s="15">
        <f t="shared" si="0"/>
        <v>0</v>
      </c>
      <c r="P44" s="15">
        <f t="shared" si="1"/>
        <v>7</v>
      </c>
    </row>
    <row r="45" spans="2:20" ht="23.1" customHeight="1" x14ac:dyDescent="0.25">
      <c r="B45" s="23" t="s">
        <v>72</v>
      </c>
      <c r="C45" s="50">
        <v>3</v>
      </c>
      <c r="D45" s="50">
        <v>1</v>
      </c>
      <c r="E45" s="50">
        <v>3</v>
      </c>
      <c r="F45" s="50">
        <v>1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f>SUM('[1]RD4 MCC'!R885:U885)</f>
        <v>0</v>
      </c>
      <c r="M45" s="50">
        <v>10</v>
      </c>
      <c r="N45" s="50">
        <v>0</v>
      </c>
      <c r="O45" s="15">
        <f t="shared" si="0"/>
        <v>9</v>
      </c>
      <c r="P45" s="15">
        <f t="shared" si="1"/>
        <v>19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f>SUM('[1]RD4 MCC'!R886:U886)</f>
        <v>2</v>
      </c>
      <c r="M46" s="50">
        <v>13</v>
      </c>
      <c r="N46" s="50">
        <v>0</v>
      </c>
      <c r="O46" s="15">
        <f t="shared" si="0"/>
        <v>3</v>
      </c>
      <c r="P46" s="15">
        <f t="shared" si="1"/>
        <v>16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f>SUM('[1]RD4 MCC'!R887:U887)</f>
        <v>1</v>
      </c>
      <c r="M47" s="50">
        <v>10</v>
      </c>
      <c r="N47" s="50">
        <v>0</v>
      </c>
      <c r="O47" s="15">
        <f t="shared" si="0"/>
        <v>5</v>
      </c>
      <c r="P47" s="15">
        <f t="shared" si="1"/>
        <v>15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f>SUM('[1]RD4 MCC'!R888:U888)</f>
        <v>0</v>
      </c>
      <c r="M48" s="50">
        <v>11</v>
      </c>
      <c r="N48" s="50">
        <v>0</v>
      </c>
      <c r="O48" s="15">
        <f t="shared" si="0"/>
        <v>2</v>
      </c>
      <c r="P48" s="15">
        <f t="shared" si="1"/>
        <v>13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f>SUM('[1]RD4 MCC'!R889:U889)</f>
        <v>0</v>
      </c>
      <c r="M49" s="50">
        <v>13</v>
      </c>
      <c r="N49" s="50">
        <v>0</v>
      </c>
      <c r="O49" s="15">
        <f t="shared" si="0"/>
        <v>4</v>
      </c>
      <c r="P49" s="15">
        <f t="shared" si="1"/>
        <v>17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f>SUM('[1]RD4 MCC'!R890:U890)</f>
        <v>0</v>
      </c>
      <c r="M50" s="50">
        <v>17</v>
      </c>
      <c r="N50" s="50">
        <v>0</v>
      </c>
      <c r="O50" s="15">
        <f t="shared" si="0"/>
        <v>5</v>
      </c>
      <c r="P50" s="15">
        <f t="shared" si="1"/>
        <v>22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3</v>
      </c>
      <c r="F51" s="50">
        <v>0</v>
      </c>
      <c r="G51" s="50">
        <v>0</v>
      </c>
      <c r="H51" s="50">
        <v>0</v>
      </c>
      <c r="I51" s="50">
        <v>4</v>
      </c>
      <c r="J51" s="50">
        <v>0</v>
      </c>
      <c r="K51" s="50">
        <v>1</v>
      </c>
      <c r="L51" s="50">
        <f>SUM('[1]RD4 MCC'!R891:U891)</f>
        <v>2</v>
      </c>
      <c r="M51" s="50">
        <v>7</v>
      </c>
      <c r="N51" s="50">
        <v>0</v>
      </c>
      <c r="O51" s="15">
        <f t="shared" si="0"/>
        <v>12</v>
      </c>
      <c r="P51" s="15">
        <f t="shared" si="1"/>
        <v>19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f>SUM('[1]RD4 MCC'!R892:U892)</f>
        <v>1</v>
      </c>
      <c r="M52" s="50">
        <v>9</v>
      </c>
      <c r="N52" s="50">
        <v>0</v>
      </c>
      <c r="O52" s="15">
        <f t="shared" si="0"/>
        <v>4</v>
      </c>
      <c r="P52" s="15">
        <f t="shared" si="1"/>
        <v>13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1</v>
      </c>
      <c r="E53" s="50">
        <v>3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f>SUM('[1]RD4 MCC'!R893:U893)</f>
        <v>0</v>
      </c>
      <c r="M53" s="50">
        <v>9</v>
      </c>
      <c r="N53" s="50">
        <v>0</v>
      </c>
      <c r="O53" s="15">
        <f t="shared" si="0"/>
        <v>5</v>
      </c>
      <c r="P53" s="15">
        <f t="shared" si="1"/>
        <v>14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1</v>
      </c>
      <c r="G54" s="50">
        <v>1</v>
      </c>
      <c r="H54" s="50">
        <v>1</v>
      </c>
      <c r="I54" s="50">
        <v>0</v>
      </c>
      <c r="J54" s="50">
        <v>0</v>
      </c>
      <c r="K54" s="50">
        <v>0</v>
      </c>
      <c r="L54" s="50">
        <f>SUM('[1]RD4 MCC'!R894:U894)</f>
        <v>0</v>
      </c>
      <c r="M54" s="50">
        <v>6</v>
      </c>
      <c r="N54" s="50">
        <v>0</v>
      </c>
      <c r="O54" s="15">
        <f t="shared" si="0"/>
        <v>4</v>
      </c>
      <c r="P54" s="15">
        <f t="shared" si="1"/>
        <v>10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f>SUM('[1]RD4 MCC'!R895:U895)</f>
        <v>0</v>
      </c>
      <c r="M55" s="50">
        <v>11</v>
      </c>
      <c r="N55" s="50">
        <v>0</v>
      </c>
      <c r="O55" s="15">
        <f t="shared" si="0"/>
        <v>2</v>
      </c>
      <c r="P55" s="15">
        <f t="shared" si="1"/>
        <v>13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f>SUM('[1]RD4 MCC'!R896:U896)</f>
        <v>0</v>
      </c>
      <c r="M56" s="50">
        <v>13</v>
      </c>
      <c r="N56" s="50">
        <v>0</v>
      </c>
      <c r="O56" s="15">
        <f t="shared" si="0"/>
        <v>1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1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f>SUM('[1]RD4 MCC'!R897:U897)</f>
        <v>2</v>
      </c>
      <c r="M57" s="50">
        <v>11</v>
      </c>
      <c r="N57" s="50">
        <v>0</v>
      </c>
      <c r="O57" s="15">
        <f t="shared" si="0"/>
        <v>7</v>
      </c>
      <c r="P57" s="15">
        <f t="shared" si="1"/>
        <v>18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41</v>
      </c>
      <c r="D58" s="16">
        <f t="shared" si="21"/>
        <v>12</v>
      </c>
      <c r="E58" s="16">
        <f t="shared" si="21"/>
        <v>46</v>
      </c>
      <c r="F58" s="16">
        <f t="shared" si="21"/>
        <v>20</v>
      </c>
      <c r="G58" s="16">
        <f t="shared" si="21"/>
        <v>1</v>
      </c>
      <c r="H58" s="16">
        <f t="shared" si="21"/>
        <v>4</v>
      </c>
      <c r="I58" s="16">
        <f t="shared" si="21"/>
        <v>30</v>
      </c>
      <c r="J58" s="16">
        <f t="shared" si="21"/>
        <v>2</v>
      </c>
      <c r="K58" s="16">
        <f t="shared" si="21"/>
        <v>2</v>
      </c>
      <c r="L58" s="16">
        <f t="shared" si="21"/>
        <v>24</v>
      </c>
      <c r="M58" s="16">
        <f t="shared" si="21"/>
        <v>503</v>
      </c>
      <c r="N58" s="16">
        <f t="shared" si="21"/>
        <v>1</v>
      </c>
      <c r="O58" s="16">
        <f t="shared" si="21"/>
        <v>183</v>
      </c>
      <c r="P58" s="16">
        <f t="shared" si="21"/>
        <v>686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5.9766763848396499E-2</v>
      </c>
      <c r="D59" s="43">
        <f t="shared" si="22"/>
        <v>1.7492711370262391E-2</v>
      </c>
      <c r="E59" s="43">
        <f t="shared" si="22"/>
        <v>6.7055393586005832E-2</v>
      </c>
      <c r="F59" s="43">
        <f t="shared" si="22"/>
        <v>2.9154518950437316E-2</v>
      </c>
      <c r="G59" s="43">
        <f t="shared" si="22"/>
        <v>1.4577259475218659E-3</v>
      </c>
      <c r="H59" s="43">
        <f t="shared" si="22"/>
        <v>5.8309037900874635E-3</v>
      </c>
      <c r="I59" s="43">
        <f t="shared" si="22"/>
        <v>4.3731778425655975E-2</v>
      </c>
      <c r="J59" s="43">
        <f t="shared" si="22"/>
        <v>2.9154518950437317E-3</v>
      </c>
      <c r="K59" s="43">
        <f t="shared" si="22"/>
        <v>2.9154518950437317E-3</v>
      </c>
      <c r="L59" s="43">
        <f t="shared" si="22"/>
        <v>3.4985422740524783E-2</v>
      </c>
      <c r="M59" s="43">
        <f t="shared" si="22"/>
        <v>0.73323615160349853</v>
      </c>
      <c r="N59" s="43">
        <f t="shared" si="22"/>
        <v>1.4577259475218659E-3</v>
      </c>
      <c r="R59" s="8"/>
      <c r="T59"/>
    </row>
    <row r="60" spans="2:20" ht="23.1" customHeight="1" x14ac:dyDescent="0.25">
      <c r="B60" s="42" t="s">
        <v>94</v>
      </c>
      <c r="C60" s="44">
        <f>C58/$O$58</f>
        <v>0.22404371584699453</v>
      </c>
      <c r="D60" s="44">
        <f t="shared" ref="D60:N60" si="23">D58/$O$58</f>
        <v>6.5573770491803282E-2</v>
      </c>
      <c r="E60" s="44">
        <f t="shared" si="23"/>
        <v>0.25136612021857924</v>
      </c>
      <c r="F60" s="44">
        <f t="shared" si="23"/>
        <v>0.10928961748633879</v>
      </c>
      <c r="G60" s="44">
        <f t="shared" si="23"/>
        <v>5.4644808743169399E-3</v>
      </c>
      <c r="H60" s="44">
        <f t="shared" si="23"/>
        <v>2.185792349726776E-2</v>
      </c>
      <c r="I60" s="44">
        <f t="shared" si="23"/>
        <v>0.16393442622950818</v>
      </c>
      <c r="J60" s="44">
        <f t="shared" si="23"/>
        <v>1.092896174863388E-2</v>
      </c>
      <c r="K60" s="44">
        <f t="shared" si="23"/>
        <v>1.092896174863388E-2</v>
      </c>
      <c r="L60" s="44">
        <f t="shared" si="23"/>
        <v>0.13114754098360656</v>
      </c>
      <c r="M60" s="44"/>
      <c r="N60" s="44">
        <f t="shared" si="23"/>
        <v>5.4644808743169399E-3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zoomScale="60" workbookViewId="0">
      <selection activeCell="AA78" sqref="AA7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'06.08 Nebbi-Goli'!C3:G3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'06.08 Goli-Nebbi'!G5:H5</f>
        <v>Goli</v>
      </c>
      <c r="H5" s="66"/>
      <c r="I5" s="14"/>
      <c r="J5" s="2" t="s">
        <v>5</v>
      </c>
      <c r="K5" s="65" t="str">
        <f>'06.08 Goli-Nebbi'!K5:L5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'06.08 Goli-Nebbi'!D6:E6</f>
        <v>Goli</v>
      </c>
      <c r="E6" s="66"/>
      <c r="F6" s="2" t="s">
        <v>2</v>
      </c>
      <c r="G6" s="65" t="str">
        <f>'06.08 Goli-Nebbi'!G6:H6</f>
        <v>Nebbi</v>
      </c>
      <c r="H6" s="66"/>
      <c r="J6" s="2" t="s">
        <v>21</v>
      </c>
      <c r="K6" s="65" t="str">
        <f>'06.08 Goli-Nebbi'!K6:L6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AVERAGE('31.07 Goli-Nebbi'!C10,'01.08 Goli-Nebbi'!C10,'04.08 Goli-Nebbi'!C10,'05.08 Goli-Nebbi'!C10,'02.08 Goli-Nebbi-24h'!C10,'03.08 Goli-Nebbi-24h'!C10,'06.08 Goli-Nebbi'!C10)</f>
        <v>1.2857142857142858</v>
      </c>
      <c r="D10" s="49">
        <f>AVERAGE('31.07 Goli-Nebbi'!D10,'01.08 Goli-Nebbi'!D10,'04.08 Goli-Nebbi'!D10,'05.08 Goli-Nebbi'!D10,'02.08 Goli-Nebbi-24h'!D10,'03.08 Goli-Nebbi-24h'!D10,'06.08 Goli-Nebbi'!D10)</f>
        <v>0.14285714285714285</v>
      </c>
      <c r="E10" s="49">
        <f>AVERAGE('31.07 Goli-Nebbi'!E10,'01.08 Goli-Nebbi'!E10,'04.08 Goli-Nebbi'!E10,'05.08 Goli-Nebbi'!E10,'02.08 Goli-Nebbi-24h'!E10,'03.08 Goli-Nebbi-24h'!E10,'06.08 Goli-Nebbi'!E10)</f>
        <v>0.5714285714285714</v>
      </c>
      <c r="F10" s="49">
        <f>AVERAGE('31.07 Goli-Nebbi'!F10,'01.08 Goli-Nebbi'!F10,'04.08 Goli-Nebbi'!F10,'05.08 Goli-Nebbi'!F10,'02.08 Goli-Nebbi-24h'!F10,'03.08 Goli-Nebbi-24h'!F10,'06.08 Goli-Nebbi'!F10)</f>
        <v>0.42857142857142855</v>
      </c>
      <c r="G10" s="49">
        <f>AVERAGE('31.07 Goli-Nebbi'!G10,'01.08 Goli-Nebbi'!G10,'04.08 Goli-Nebbi'!G10,'05.08 Goli-Nebbi'!G10,'02.08 Goli-Nebbi-24h'!G10,'03.08 Goli-Nebbi-24h'!G10,'06.08 Goli-Nebbi'!G10)</f>
        <v>0</v>
      </c>
      <c r="H10" s="49">
        <f>AVERAGE('31.07 Goli-Nebbi'!H10,'01.08 Goli-Nebbi'!H10,'04.08 Goli-Nebbi'!H10,'05.08 Goli-Nebbi'!H10,'02.08 Goli-Nebbi-24h'!H10,'03.08 Goli-Nebbi-24h'!H10,'06.08 Goli-Nebbi'!H10)</f>
        <v>0</v>
      </c>
      <c r="I10" s="49">
        <f>AVERAGE('31.07 Goli-Nebbi'!I10,'01.08 Goli-Nebbi'!I10,'04.08 Goli-Nebbi'!I10,'05.08 Goli-Nebbi'!I10,'02.08 Goli-Nebbi-24h'!I10,'03.08 Goli-Nebbi-24h'!I10,'06.08 Goli-Nebbi'!I10)</f>
        <v>0.7142857142857143</v>
      </c>
      <c r="J10" s="49">
        <f>AVERAGE('31.07 Goli-Nebbi'!J10,'01.08 Goli-Nebbi'!J10,'04.08 Goli-Nebbi'!J10,'05.08 Goli-Nebbi'!J10,'02.08 Goli-Nebbi-24h'!J10,'03.08 Goli-Nebbi-24h'!J10,'06.08 Goli-Nebbi'!J10)</f>
        <v>0.42857142857142855</v>
      </c>
      <c r="K10" s="49">
        <f>AVERAGE('31.07 Goli-Nebbi'!K10,'01.08 Goli-Nebbi'!K10,'04.08 Goli-Nebbi'!K10,'05.08 Goli-Nebbi'!K10,'02.08 Goli-Nebbi-24h'!K10,'03.08 Goli-Nebbi-24h'!K10,'06.08 Goli-Nebbi'!K10)</f>
        <v>0.14285714285714285</v>
      </c>
      <c r="L10" s="49">
        <f>AVERAGE('31.07 Goli-Nebbi'!L10,'01.08 Goli-Nebbi'!L10,'04.08 Goli-Nebbi'!L10,'05.08 Goli-Nebbi'!L10,'02.08 Goli-Nebbi-24h'!L10,'03.08 Goli-Nebbi-24h'!L10,'06.08 Goli-Nebbi'!L10)</f>
        <v>0.5714285714285714</v>
      </c>
      <c r="M10" s="49">
        <f>AVERAGE('31.07 Goli-Nebbi'!M10,'01.08 Goli-Nebbi'!M10,'04.08 Goli-Nebbi'!M10,'05.08 Goli-Nebbi'!M10,'02.08 Goli-Nebbi-24h'!M10,'03.08 Goli-Nebbi-24h'!M10,'06.08 Goli-Nebbi'!M10)</f>
        <v>9.4285714285714288</v>
      </c>
      <c r="N10" s="49">
        <f>AVERAGE('31.07 Goli-Nebbi'!N10,'01.08 Goli-Nebbi'!N10,'04.08 Goli-Nebbi'!N10,'05.08 Goli-Nebbi'!N10,'02.08 Goli-Nebbi-24h'!N10,'03.08 Goli-Nebbi-24h'!N10,'06.08 Goli-Nebbi'!N10)</f>
        <v>0</v>
      </c>
      <c r="O10" s="15">
        <f t="shared" ref="O10:O73" si="0">SUM(C10:L10,N10)</f>
        <v>4.2857142857142856</v>
      </c>
      <c r="P10" s="15">
        <f t="shared" ref="P10:P73" si="1">SUM(C10:N10)</f>
        <v>13.714285714285715</v>
      </c>
      <c r="R10" s="1" t="s">
        <v>6</v>
      </c>
      <c r="S10" s="17">
        <f t="shared" ref="S10:AF10" si="2">SUM(C10:C13)</f>
        <v>4</v>
      </c>
      <c r="T10" s="17">
        <f t="shared" si="2"/>
        <v>0.5714285714285714</v>
      </c>
      <c r="U10" s="17">
        <f t="shared" si="2"/>
        <v>2.7142857142857144</v>
      </c>
      <c r="V10" s="17">
        <f t="shared" si="2"/>
        <v>0.71428571428571419</v>
      </c>
      <c r="W10" s="17">
        <f t="shared" si="2"/>
        <v>0</v>
      </c>
      <c r="X10" s="17">
        <f t="shared" si="2"/>
        <v>0</v>
      </c>
      <c r="Y10" s="17">
        <f t="shared" si="2"/>
        <v>2.5714285714285712</v>
      </c>
      <c r="Z10" s="17">
        <f t="shared" si="2"/>
        <v>1</v>
      </c>
      <c r="AA10" s="17">
        <f t="shared" si="2"/>
        <v>0.5714285714285714</v>
      </c>
      <c r="AB10" s="17">
        <f t="shared" si="2"/>
        <v>1.2857142857142856</v>
      </c>
      <c r="AC10" s="17">
        <f t="shared" si="2"/>
        <v>37.285714285714285</v>
      </c>
      <c r="AD10" s="17">
        <f t="shared" si="2"/>
        <v>0</v>
      </c>
      <c r="AE10" s="31">
        <f t="shared" si="2"/>
        <v>13.428571428571429</v>
      </c>
      <c r="AF10" s="31">
        <f t="shared" si="2"/>
        <v>50.714285714285715</v>
      </c>
    </row>
    <row r="11" spans="2:32" s="6" customFormat="1" ht="23.1" customHeight="1" x14ac:dyDescent="0.25">
      <c r="B11" s="23" t="s">
        <v>38</v>
      </c>
      <c r="C11" s="49">
        <f>AVERAGE('31.07 Goli-Nebbi'!C11,'01.08 Goli-Nebbi'!C11,'04.08 Goli-Nebbi'!C11,'05.08 Goli-Nebbi'!C11,'02.08 Goli-Nebbi-24h'!C11,'03.08 Goli-Nebbi-24h'!C11,'06.08 Goli-Nebbi'!C11)</f>
        <v>1</v>
      </c>
      <c r="D11" s="49">
        <f>AVERAGE('31.07 Goli-Nebbi'!D11,'01.08 Goli-Nebbi'!D11,'04.08 Goli-Nebbi'!D11,'05.08 Goli-Nebbi'!D11,'02.08 Goli-Nebbi-24h'!D11,'03.08 Goli-Nebbi-24h'!D11,'06.08 Goli-Nebbi'!D11)</f>
        <v>0</v>
      </c>
      <c r="E11" s="49">
        <f>AVERAGE('31.07 Goli-Nebbi'!E11,'01.08 Goli-Nebbi'!E11,'04.08 Goli-Nebbi'!E11,'05.08 Goli-Nebbi'!E11,'02.08 Goli-Nebbi-24h'!E11,'03.08 Goli-Nebbi-24h'!E11,'06.08 Goli-Nebbi'!E11)</f>
        <v>0.42857142857142855</v>
      </c>
      <c r="F11" s="49">
        <f>AVERAGE('31.07 Goli-Nebbi'!F11,'01.08 Goli-Nebbi'!F11,'04.08 Goli-Nebbi'!F11,'05.08 Goli-Nebbi'!F11,'02.08 Goli-Nebbi-24h'!F11,'03.08 Goli-Nebbi-24h'!F11,'06.08 Goli-Nebbi'!F11)</f>
        <v>0</v>
      </c>
      <c r="G11" s="49">
        <f>AVERAGE('31.07 Goli-Nebbi'!G11,'01.08 Goli-Nebbi'!G11,'04.08 Goli-Nebbi'!G11,'05.08 Goli-Nebbi'!G11,'02.08 Goli-Nebbi-24h'!G11,'03.08 Goli-Nebbi-24h'!G11,'06.08 Goli-Nebbi'!G11)</f>
        <v>0</v>
      </c>
      <c r="H11" s="49">
        <f>AVERAGE('31.07 Goli-Nebbi'!H11,'01.08 Goli-Nebbi'!H11,'04.08 Goli-Nebbi'!H11,'05.08 Goli-Nebbi'!H11,'02.08 Goli-Nebbi-24h'!H11,'03.08 Goli-Nebbi-24h'!H11,'06.08 Goli-Nebbi'!H11)</f>
        <v>0</v>
      </c>
      <c r="I11" s="49">
        <f>AVERAGE('31.07 Goli-Nebbi'!I11,'01.08 Goli-Nebbi'!I11,'04.08 Goli-Nebbi'!I11,'05.08 Goli-Nebbi'!I11,'02.08 Goli-Nebbi-24h'!I11,'03.08 Goli-Nebbi-24h'!I11,'06.08 Goli-Nebbi'!I11)</f>
        <v>0.5714285714285714</v>
      </c>
      <c r="J11" s="49">
        <f>AVERAGE('31.07 Goli-Nebbi'!J11,'01.08 Goli-Nebbi'!J11,'04.08 Goli-Nebbi'!J11,'05.08 Goli-Nebbi'!J11,'02.08 Goli-Nebbi-24h'!J11,'03.08 Goli-Nebbi-24h'!J11,'06.08 Goli-Nebbi'!J11)</f>
        <v>0</v>
      </c>
      <c r="K11" s="49">
        <f>AVERAGE('31.07 Goli-Nebbi'!K11,'01.08 Goli-Nebbi'!K11,'04.08 Goli-Nebbi'!K11,'05.08 Goli-Nebbi'!K11,'02.08 Goli-Nebbi-24h'!K11,'03.08 Goli-Nebbi-24h'!K11,'06.08 Goli-Nebbi'!K11)</f>
        <v>0</v>
      </c>
      <c r="L11" s="49">
        <f>AVERAGE('31.07 Goli-Nebbi'!L11,'01.08 Goli-Nebbi'!L11,'04.08 Goli-Nebbi'!L11,'05.08 Goli-Nebbi'!L11,'02.08 Goli-Nebbi-24h'!L11,'03.08 Goli-Nebbi-24h'!L11,'06.08 Goli-Nebbi'!L11)</f>
        <v>0.2857142857142857</v>
      </c>
      <c r="M11" s="49">
        <f>AVERAGE('31.07 Goli-Nebbi'!M11,'01.08 Goli-Nebbi'!M11,'04.08 Goli-Nebbi'!M11,'05.08 Goli-Nebbi'!M11,'02.08 Goli-Nebbi-24h'!M11,'03.08 Goli-Nebbi-24h'!M11,'06.08 Goli-Nebbi'!M11)</f>
        <v>8.7142857142857135</v>
      </c>
      <c r="N11" s="49">
        <f>AVERAGE('31.07 Goli-Nebbi'!N11,'01.08 Goli-Nebbi'!N11,'04.08 Goli-Nebbi'!N11,'05.08 Goli-Nebbi'!N11,'02.08 Goli-Nebbi-24h'!N11,'03.08 Goli-Nebbi-24h'!N11,'06.08 Goli-Nebbi'!N11)</f>
        <v>0</v>
      </c>
      <c r="O11" s="15">
        <f t="shared" si="0"/>
        <v>2.2857142857142856</v>
      </c>
      <c r="P11" s="15">
        <f t="shared" si="1"/>
        <v>11</v>
      </c>
      <c r="R11" s="1" t="s">
        <v>7</v>
      </c>
      <c r="S11" s="17">
        <f t="shared" ref="S11:AF11" si="3">SUM(C14:C17)</f>
        <v>3.2857142857142856</v>
      </c>
      <c r="T11" s="17">
        <f t="shared" si="3"/>
        <v>0.99999999999999978</v>
      </c>
      <c r="U11" s="17">
        <f t="shared" si="3"/>
        <v>3.285714285714286</v>
      </c>
      <c r="V11" s="17">
        <f t="shared" si="3"/>
        <v>0.8571428571428571</v>
      </c>
      <c r="W11" s="17">
        <f t="shared" si="3"/>
        <v>0.14285714285714285</v>
      </c>
      <c r="X11" s="17">
        <f t="shared" si="3"/>
        <v>0.14285714285714285</v>
      </c>
      <c r="Y11" s="17">
        <f t="shared" si="3"/>
        <v>3.4285714285714288</v>
      </c>
      <c r="Z11" s="17">
        <f t="shared" si="3"/>
        <v>0.2857142857142857</v>
      </c>
      <c r="AA11" s="17">
        <f t="shared" si="3"/>
        <v>0.42857142857142855</v>
      </c>
      <c r="AB11" s="17">
        <f t="shared" si="3"/>
        <v>2.5714285714285712</v>
      </c>
      <c r="AC11" s="17">
        <f t="shared" si="3"/>
        <v>45.428571428571423</v>
      </c>
      <c r="AD11" s="17">
        <f t="shared" si="3"/>
        <v>0.14285714285714285</v>
      </c>
      <c r="AE11" s="31">
        <f t="shared" si="3"/>
        <v>15.571428571428569</v>
      </c>
      <c r="AF11" s="31">
        <f t="shared" si="3"/>
        <v>61</v>
      </c>
    </row>
    <row r="12" spans="2:32" ht="23.1" customHeight="1" x14ac:dyDescent="0.25">
      <c r="B12" s="23" t="s">
        <v>39</v>
      </c>
      <c r="C12" s="49">
        <f>AVERAGE('31.07 Goli-Nebbi'!C12,'01.08 Goli-Nebbi'!C12,'04.08 Goli-Nebbi'!C12,'05.08 Goli-Nebbi'!C12,'02.08 Goli-Nebbi-24h'!C12,'03.08 Goli-Nebbi-24h'!C12,'06.08 Goli-Nebbi'!C12)</f>
        <v>0.7142857142857143</v>
      </c>
      <c r="D12" s="49">
        <f>AVERAGE('31.07 Goli-Nebbi'!D12,'01.08 Goli-Nebbi'!D12,'04.08 Goli-Nebbi'!D12,'05.08 Goli-Nebbi'!D12,'02.08 Goli-Nebbi-24h'!D12,'03.08 Goli-Nebbi-24h'!D12,'06.08 Goli-Nebbi'!D12)</f>
        <v>0.2857142857142857</v>
      </c>
      <c r="E12" s="49">
        <f>AVERAGE('31.07 Goli-Nebbi'!E12,'01.08 Goli-Nebbi'!E12,'04.08 Goli-Nebbi'!E12,'05.08 Goli-Nebbi'!E12,'02.08 Goli-Nebbi-24h'!E12,'03.08 Goli-Nebbi-24h'!E12,'06.08 Goli-Nebbi'!E12)</f>
        <v>0.8571428571428571</v>
      </c>
      <c r="F12" s="49">
        <f>AVERAGE('31.07 Goli-Nebbi'!F12,'01.08 Goli-Nebbi'!F12,'04.08 Goli-Nebbi'!F12,'05.08 Goli-Nebbi'!F12,'02.08 Goli-Nebbi-24h'!F12,'03.08 Goli-Nebbi-24h'!F12,'06.08 Goli-Nebbi'!F12)</f>
        <v>0.2857142857142857</v>
      </c>
      <c r="G12" s="49">
        <f>AVERAGE('31.07 Goli-Nebbi'!G12,'01.08 Goli-Nebbi'!G12,'04.08 Goli-Nebbi'!G12,'05.08 Goli-Nebbi'!G12,'02.08 Goli-Nebbi-24h'!G12,'03.08 Goli-Nebbi-24h'!G12,'06.08 Goli-Nebbi'!G12)</f>
        <v>0</v>
      </c>
      <c r="H12" s="49">
        <f>AVERAGE('31.07 Goli-Nebbi'!H12,'01.08 Goli-Nebbi'!H12,'04.08 Goli-Nebbi'!H12,'05.08 Goli-Nebbi'!H12,'02.08 Goli-Nebbi-24h'!H12,'03.08 Goli-Nebbi-24h'!H12,'06.08 Goli-Nebbi'!H12)</f>
        <v>0</v>
      </c>
      <c r="I12" s="49">
        <f>AVERAGE('31.07 Goli-Nebbi'!I12,'01.08 Goli-Nebbi'!I12,'04.08 Goli-Nebbi'!I12,'05.08 Goli-Nebbi'!I12,'02.08 Goli-Nebbi-24h'!I12,'03.08 Goli-Nebbi-24h'!I12,'06.08 Goli-Nebbi'!I12)</f>
        <v>0.5714285714285714</v>
      </c>
      <c r="J12" s="49">
        <f>AVERAGE('31.07 Goli-Nebbi'!J12,'01.08 Goli-Nebbi'!J12,'04.08 Goli-Nebbi'!J12,'05.08 Goli-Nebbi'!J12,'02.08 Goli-Nebbi-24h'!J12,'03.08 Goli-Nebbi-24h'!J12,'06.08 Goli-Nebbi'!J12)</f>
        <v>0.42857142857142855</v>
      </c>
      <c r="K12" s="49">
        <f>AVERAGE('31.07 Goli-Nebbi'!K12,'01.08 Goli-Nebbi'!K12,'04.08 Goli-Nebbi'!K12,'05.08 Goli-Nebbi'!K12,'02.08 Goli-Nebbi-24h'!K12,'03.08 Goli-Nebbi-24h'!K12,'06.08 Goli-Nebbi'!K12)</f>
        <v>0</v>
      </c>
      <c r="L12" s="49">
        <f>AVERAGE('31.07 Goli-Nebbi'!L12,'01.08 Goli-Nebbi'!L12,'04.08 Goli-Nebbi'!L12,'05.08 Goli-Nebbi'!L12,'02.08 Goli-Nebbi-24h'!L12,'03.08 Goli-Nebbi-24h'!L12,'06.08 Goli-Nebbi'!L12)</f>
        <v>0.2857142857142857</v>
      </c>
      <c r="M12" s="49">
        <f>AVERAGE('31.07 Goli-Nebbi'!M12,'01.08 Goli-Nebbi'!M12,'04.08 Goli-Nebbi'!M12,'05.08 Goli-Nebbi'!M12,'02.08 Goli-Nebbi-24h'!M12,'03.08 Goli-Nebbi-24h'!M12,'06.08 Goli-Nebbi'!M12)</f>
        <v>10</v>
      </c>
      <c r="N12" s="49">
        <f>AVERAGE('31.07 Goli-Nebbi'!N12,'01.08 Goli-Nebbi'!N12,'04.08 Goli-Nebbi'!N12,'05.08 Goli-Nebbi'!N12,'02.08 Goli-Nebbi-24h'!N12,'03.08 Goli-Nebbi-24h'!N12,'06.08 Goli-Nebbi'!N12)</f>
        <v>0</v>
      </c>
      <c r="O12" s="15">
        <f t="shared" si="0"/>
        <v>3.4285714285714284</v>
      </c>
      <c r="P12" s="15">
        <f t="shared" si="1"/>
        <v>13.428571428571429</v>
      </c>
      <c r="R12" s="1" t="s">
        <v>8</v>
      </c>
      <c r="S12" s="17">
        <f t="shared" ref="S12:AF12" si="4">SUM(C18:C21)</f>
        <v>4.8571428571428577</v>
      </c>
      <c r="T12" s="17">
        <f t="shared" si="4"/>
        <v>1.2857142857142856</v>
      </c>
      <c r="U12" s="17">
        <f t="shared" si="4"/>
        <v>4.5714285714285712</v>
      </c>
      <c r="V12" s="17">
        <f t="shared" si="4"/>
        <v>2.7142857142857144</v>
      </c>
      <c r="W12" s="17">
        <f t="shared" si="4"/>
        <v>0.14285714285714285</v>
      </c>
      <c r="X12" s="17">
        <f t="shared" si="4"/>
        <v>0</v>
      </c>
      <c r="Y12" s="17">
        <f t="shared" si="4"/>
        <v>2.8571428571428568</v>
      </c>
      <c r="Z12" s="17">
        <f t="shared" si="4"/>
        <v>0.14285714285714285</v>
      </c>
      <c r="AA12" s="17">
        <f t="shared" si="4"/>
        <v>0.71428571428571419</v>
      </c>
      <c r="AB12" s="17">
        <f t="shared" si="4"/>
        <v>2.5714285714285712</v>
      </c>
      <c r="AC12" s="17">
        <f t="shared" si="4"/>
        <v>51.714285714285715</v>
      </c>
      <c r="AD12" s="17">
        <f t="shared" si="4"/>
        <v>0.14285714285714285</v>
      </c>
      <c r="AE12" s="31">
        <f t="shared" si="4"/>
        <v>20</v>
      </c>
      <c r="AF12" s="31">
        <f t="shared" si="4"/>
        <v>71.714285714285708</v>
      </c>
    </row>
    <row r="13" spans="2:32" ht="23.1" customHeight="1" x14ac:dyDescent="0.25">
      <c r="B13" s="23" t="s">
        <v>40</v>
      </c>
      <c r="C13" s="49">
        <f>AVERAGE('31.07 Goli-Nebbi'!C13,'01.08 Goli-Nebbi'!C13,'04.08 Goli-Nebbi'!C13,'05.08 Goli-Nebbi'!C13,'02.08 Goli-Nebbi-24h'!C13,'03.08 Goli-Nebbi-24h'!C13,'06.08 Goli-Nebbi'!C13)</f>
        <v>1</v>
      </c>
      <c r="D13" s="49">
        <f>AVERAGE('31.07 Goli-Nebbi'!D13,'01.08 Goli-Nebbi'!D13,'04.08 Goli-Nebbi'!D13,'05.08 Goli-Nebbi'!D13,'02.08 Goli-Nebbi-24h'!D13,'03.08 Goli-Nebbi-24h'!D13,'06.08 Goli-Nebbi'!D13)</f>
        <v>0.14285714285714285</v>
      </c>
      <c r="E13" s="49">
        <f>AVERAGE('31.07 Goli-Nebbi'!E13,'01.08 Goli-Nebbi'!E13,'04.08 Goli-Nebbi'!E13,'05.08 Goli-Nebbi'!E13,'02.08 Goli-Nebbi-24h'!E13,'03.08 Goli-Nebbi-24h'!E13,'06.08 Goli-Nebbi'!E13)</f>
        <v>0.8571428571428571</v>
      </c>
      <c r="F13" s="49">
        <f>AVERAGE('31.07 Goli-Nebbi'!F13,'01.08 Goli-Nebbi'!F13,'04.08 Goli-Nebbi'!F13,'05.08 Goli-Nebbi'!F13,'02.08 Goli-Nebbi-24h'!F13,'03.08 Goli-Nebbi-24h'!F13,'06.08 Goli-Nebbi'!F13)</f>
        <v>0</v>
      </c>
      <c r="G13" s="49">
        <f>AVERAGE('31.07 Goli-Nebbi'!G13,'01.08 Goli-Nebbi'!G13,'04.08 Goli-Nebbi'!G13,'05.08 Goli-Nebbi'!G13,'02.08 Goli-Nebbi-24h'!G13,'03.08 Goli-Nebbi-24h'!G13,'06.08 Goli-Nebbi'!G13)</f>
        <v>0</v>
      </c>
      <c r="H13" s="49">
        <f>AVERAGE('31.07 Goli-Nebbi'!H13,'01.08 Goli-Nebbi'!H13,'04.08 Goli-Nebbi'!H13,'05.08 Goli-Nebbi'!H13,'02.08 Goli-Nebbi-24h'!H13,'03.08 Goli-Nebbi-24h'!H13,'06.08 Goli-Nebbi'!H13)</f>
        <v>0</v>
      </c>
      <c r="I13" s="49">
        <f>AVERAGE('31.07 Goli-Nebbi'!I13,'01.08 Goli-Nebbi'!I13,'04.08 Goli-Nebbi'!I13,'05.08 Goli-Nebbi'!I13,'02.08 Goli-Nebbi-24h'!I13,'03.08 Goli-Nebbi-24h'!I13,'06.08 Goli-Nebbi'!I13)</f>
        <v>0.7142857142857143</v>
      </c>
      <c r="J13" s="49">
        <f>AVERAGE('31.07 Goli-Nebbi'!J13,'01.08 Goli-Nebbi'!J13,'04.08 Goli-Nebbi'!J13,'05.08 Goli-Nebbi'!J13,'02.08 Goli-Nebbi-24h'!J13,'03.08 Goli-Nebbi-24h'!J13,'06.08 Goli-Nebbi'!J13)</f>
        <v>0.14285714285714285</v>
      </c>
      <c r="K13" s="49">
        <f>AVERAGE('31.07 Goli-Nebbi'!K13,'01.08 Goli-Nebbi'!K13,'04.08 Goli-Nebbi'!K13,'05.08 Goli-Nebbi'!K13,'02.08 Goli-Nebbi-24h'!K13,'03.08 Goli-Nebbi-24h'!K13,'06.08 Goli-Nebbi'!K13)</f>
        <v>0.42857142857142855</v>
      </c>
      <c r="L13" s="49">
        <f>AVERAGE('31.07 Goli-Nebbi'!L13,'01.08 Goli-Nebbi'!L13,'04.08 Goli-Nebbi'!L13,'05.08 Goli-Nebbi'!L13,'02.08 Goli-Nebbi-24h'!L13,'03.08 Goli-Nebbi-24h'!L13,'06.08 Goli-Nebbi'!L13)</f>
        <v>0.14285714285714285</v>
      </c>
      <c r="M13" s="49">
        <f>AVERAGE('31.07 Goli-Nebbi'!M13,'01.08 Goli-Nebbi'!M13,'04.08 Goli-Nebbi'!M13,'05.08 Goli-Nebbi'!M13,'02.08 Goli-Nebbi-24h'!M13,'03.08 Goli-Nebbi-24h'!M13,'06.08 Goli-Nebbi'!M13)</f>
        <v>9.1428571428571423</v>
      </c>
      <c r="N13" s="49">
        <f>AVERAGE('31.07 Goli-Nebbi'!N13,'01.08 Goli-Nebbi'!N13,'04.08 Goli-Nebbi'!N13,'05.08 Goli-Nebbi'!N13,'02.08 Goli-Nebbi-24h'!N13,'03.08 Goli-Nebbi-24h'!N13,'06.08 Goli-Nebbi'!N13)</f>
        <v>0</v>
      </c>
      <c r="O13" s="15">
        <f t="shared" si="0"/>
        <v>3.4285714285714284</v>
      </c>
      <c r="P13" s="15">
        <f t="shared" si="1"/>
        <v>12.571428571428571</v>
      </c>
      <c r="R13" s="1" t="s">
        <v>9</v>
      </c>
      <c r="S13" s="17">
        <f t="shared" ref="S13:AF13" si="5">SUM(C22:C25)</f>
        <v>4.2857142857142856</v>
      </c>
      <c r="T13" s="17">
        <f t="shared" si="5"/>
        <v>0.2857142857142857</v>
      </c>
      <c r="U13" s="17">
        <f t="shared" si="5"/>
        <v>1.7142857142857144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4.1428571428571423</v>
      </c>
      <c r="Z13" s="17">
        <f t="shared" si="5"/>
        <v>0.71428571428571419</v>
      </c>
      <c r="AA13" s="17">
        <f t="shared" si="5"/>
        <v>0.14285714285714285</v>
      </c>
      <c r="AB13" s="17">
        <f t="shared" si="5"/>
        <v>1.857142857142857</v>
      </c>
      <c r="AC13" s="17">
        <f t="shared" si="5"/>
        <v>53.857142857142861</v>
      </c>
      <c r="AD13" s="17">
        <f t="shared" si="5"/>
        <v>0</v>
      </c>
      <c r="AE13" s="31">
        <f t="shared" si="5"/>
        <v>15.142857142857142</v>
      </c>
      <c r="AF13" s="31">
        <f t="shared" si="5"/>
        <v>69</v>
      </c>
    </row>
    <row r="14" spans="2:32" ht="23.1" customHeight="1" x14ac:dyDescent="0.25">
      <c r="B14" s="23" t="s">
        <v>41</v>
      </c>
      <c r="C14" s="49">
        <f>AVERAGE('31.07 Goli-Nebbi'!C14,'01.08 Goli-Nebbi'!C14,'04.08 Goli-Nebbi'!C14,'05.08 Goli-Nebbi'!C14,'02.08 Goli-Nebbi-24h'!C14,'03.08 Goli-Nebbi-24h'!C14,'06.08 Goli-Nebbi'!C14)</f>
        <v>1</v>
      </c>
      <c r="D14" s="49">
        <f>AVERAGE('31.07 Goli-Nebbi'!D14,'01.08 Goli-Nebbi'!D14,'04.08 Goli-Nebbi'!D14,'05.08 Goli-Nebbi'!D14,'02.08 Goli-Nebbi-24h'!D14,'03.08 Goli-Nebbi-24h'!D14,'06.08 Goli-Nebbi'!D14)</f>
        <v>0.2857142857142857</v>
      </c>
      <c r="E14" s="49">
        <f>AVERAGE('31.07 Goli-Nebbi'!E14,'01.08 Goli-Nebbi'!E14,'04.08 Goli-Nebbi'!E14,'05.08 Goli-Nebbi'!E14,'02.08 Goli-Nebbi-24h'!E14,'03.08 Goli-Nebbi-24h'!E14,'06.08 Goli-Nebbi'!E14)</f>
        <v>0.8571428571428571</v>
      </c>
      <c r="F14" s="49">
        <f>AVERAGE('31.07 Goli-Nebbi'!F14,'01.08 Goli-Nebbi'!F14,'04.08 Goli-Nebbi'!F14,'05.08 Goli-Nebbi'!F14,'02.08 Goli-Nebbi-24h'!F14,'03.08 Goli-Nebbi-24h'!F14,'06.08 Goli-Nebbi'!F14)</f>
        <v>0.2857142857142857</v>
      </c>
      <c r="G14" s="49">
        <f>AVERAGE('31.07 Goli-Nebbi'!G14,'01.08 Goli-Nebbi'!G14,'04.08 Goli-Nebbi'!G14,'05.08 Goli-Nebbi'!G14,'02.08 Goli-Nebbi-24h'!G14,'03.08 Goli-Nebbi-24h'!G14,'06.08 Goli-Nebbi'!G14)</f>
        <v>0</v>
      </c>
      <c r="H14" s="49">
        <f>AVERAGE('31.07 Goli-Nebbi'!H14,'01.08 Goli-Nebbi'!H14,'04.08 Goli-Nebbi'!H14,'05.08 Goli-Nebbi'!H14,'02.08 Goli-Nebbi-24h'!H14,'03.08 Goli-Nebbi-24h'!H14,'06.08 Goli-Nebbi'!H14)</f>
        <v>0</v>
      </c>
      <c r="I14" s="49">
        <f>AVERAGE('31.07 Goli-Nebbi'!I14,'01.08 Goli-Nebbi'!I14,'04.08 Goli-Nebbi'!I14,'05.08 Goli-Nebbi'!I14,'02.08 Goli-Nebbi-24h'!I14,'03.08 Goli-Nebbi-24h'!I14,'06.08 Goli-Nebbi'!I14)</f>
        <v>1.4285714285714286</v>
      </c>
      <c r="J14" s="49">
        <f>AVERAGE('31.07 Goli-Nebbi'!J14,'01.08 Goli-Nebbi'!J14,'04.08 Goli-Nebbi'!J14,'05.08 Goli-Nebbi'!J14,'02.08 Goli-Nebbi-24h'!J14,'03.08 Goli-Nebbi-24h'!J14,'06.08 Goli-Nebbi'!J14)</f>
        <v>0.14285714285714285</v>
      </c>
      <c r="K14" s="49">
        <f>AVERAGE('31.07 Goli-Nebbi'!K14,'01.08 Goli-Nebbi'!K14,'04.08 Goli-Nebbi'!K14,'05.08 Goli-Nebbi'!K14,'02.08 Goli-Nebbi-24h'!K14,'03.08 Goli-Nebbi-24h'!K14,'06.08 Goli-Nebbi'!K14)</f>
        <v>0.2857142857142857</v>
      </c>
      <c r="L14" s="49">
        <f>AVERAGE('31.07 Goli-Nebbi'!L14,'01.08 Goli-Nebbi'!L14,'04.08 Goli-Nebbi'!L14,'05.08 Goli-Nebbi'!L14,'02.08 Goli-Nebbi-24h'!L14,'03.08 Goli-Nebbi-24h'!L14,'06.08 Goli-Nebbi'!L14)</f>
        <v>0.7142857142857143</v>
      </c>
      <c r="M14" s="49">
        <f>AVERAGE('31.07 Goli-Nebbi'!M14,'01.08 Goli-Nebbi'!M14,'04.08 Goli-Nebbi'!M14,'05.08 Goli-Nebbi'!M14,'02.08 Goli-Nebbi-24h'!M14,'03.08 Goli-Nebbi-24h'!M14,'06.08 Goli-Nebbi'!M14)</f>
        <v>9.5714285714285712</v>
      </c>
      <c r="N14" s="49">
        <f>AVERAGE('31.07 Goli-Nebbi'!N14,'01.08 Goli-Nebbi'!N14,'04.08 Goli-Nebbi'!N14,'05.08 Goli-Nebbi'!N14,'02.08 Goli-Nebbi-24h'!N14,'03.08 Goli-Nebbi-24h'!N14,'06.08 Goli-Nebbi'!N14)</f>
        <v>0</v>
      </c>
      <c r="O14" s="15">
        <f t="shared" si="0"/>
        <v>5</v>
      </c>
      <c r="P14" s="15">
        <f t="shared" si="1"/>
        <v>14.571428571428571</v>
      </c>
      <c r="R14" s="1" t="s">
        <v>10</v>
      </c>
      <c r="S14" s="17">
        <f t="shared" ref="S14:AF14" si="6">SUM(C26:C29)</f>
        <v>2.7142857142857144</v>
      </c>
      <c r="T14" s="17">
        <f t="shared" si="6"/>
        <v>0.99999999999999989</v>
      </c>
      <c r="U14" s="17">
        <f t="shared" si="6"/>
        <v>3.8571428571428572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3.2857142857142856</v>
      </c>
      <c r="Z14" s="17">
        <f t="shared" si="6"/>
        <v>0.14285714285714285</v>
      </c>
      <c r="AA14" s="17">
        <f t="shared" si="6"/>
        <v>0.42857142857142855</v>
      </c>
      <c r="AB14" s="17">
        <f t="shared" si="6"/>
        <v>2</v>
      </c>
      <c r="AC14" s="17">
        <f t="shared" si="6"/>
        <v>55.142857142857139</v>
      </c>
      <c r="AD14" s="17">
        <f t="shared" si="6"/>
        <v>0</v>
      </c>
      <c r="AE14" s="31">
        <f t="shared" si="6"/>
        <v>14.428571428571429</v>
      </c>
      <c r="AF14" s="31">
        <f t="shared" si="6"/>
        <v>69.571428571428569</v>
      </c>
    </row>
    <row r="15" spans="2:32" ht="23.1" customHeight="1" x14ac:dyDescent="0.25">
      <c r="B15" s="23" t="s">
        <v>42</v>
      </c>
      <c r="C15" s="49">
        <f>AVERAGE('31.07 Goli-Nebbi'!C15,'01.08 Goli-Nebbi'!C15,'04.08 Goli-Nebbi'!C15,'05.08 Goli-Nebbi'!C15,'02.08 Goli-Nebbi-24h'!C15,'03.08 Goli-Nebbi-24h'!C15,'06.08 Goli-Nebbi'!C15)</f>
        <v>0.5714285714285714</v>
      </c>
      <c r="D15" s="49">
        <f>AVERAGE('31.07 Goli-Nebbi'!D15,'01.08 Goli-Nebbi'!D15,'04.08 Goli-Nebbi'!D15,'05.08 Goli-Nebbi'!D15,'02.08 Goli-Nebbi-24h'!D15,'03.08 Goli-Nebbi-24h'!D15,'06.08 Goli-Nebbi'!D15)</f>
        <v>0.42857142857142855</v>
      </c>
      <c r="E15" s="49">
        <f>AVERAGE('31.07 Goli-Nebbi'!E15,'01.08 Goli-Nebbi'!E15,'04.08 Goli-Nebbi'!E15,'05.08 Goli-Nebbi'!E15,'02.08 Goli-Nebbi-24h'!E15,'03.08 Goli-Nebbi-24h'!E15,'06.08 Goli-Nebbi'!E15)</f>
        <v>1</v>
      </c>
      <c r="F15" s="49">
        <f>AVERAGE('31.07 Goli-Nebbi'!F15,'01.08 Goli-Nebbi'!F15,'04.08 Goli-Nebbi'!F15,'05.08 Goli-Nebbi'!F15,'02.08 Goli-Nebbi-24h'!F15,'03.08 Goli-Nebbi-24h'!F15,'06.08 Goli-Nebbi'!F15)</f>
        <v>0.14285714285714285</v>
      </c>
      <c r="G15" s="49">
        <f>AVERAGE('31.07 Goli-Nebbi'!G15,'01.08 Goli-Nebbi'!G15,'04.08 Goli-Nebbi'!G15,'05.08 Goli-Nebbi'!G15,'02.08 Goli-Nebbi-24h'!G15,'03.08 Goli-Nebbi-24h'!G15,'06.08 Goli-Nebbi'!G15)</f>
        <v>0.14285714285714285</v>
      </c>
      <c r="H15" s="49">
        <f>AVERAGE('31.07 Goli-Nebbi'!H15,'01.08 Goli-Nebbi'!H15,'04.08 Goli-Nebbi'!H15,'05.08 Goli-Nebbi'!H15,'02.08 Goli-Nebbi-24h'!H15,'03.08 Goli-Nebbi-24h'!H15,'06.08 Goli-Nebbi'!H15)</f>
        <v>0</v>
      </c>
      <c r="I15" s="49">
        <f>AVERAGE('31.07 Goli-Nebbi'!I15,'01.08 Goli-Nebbi'!I15,'04.08 Goli-Nebbi'!I15,'05.08 Goli-Nebbi'!I15,'02.08 Goli-Nebbi-24h'!I15,'03.08 Goli-Nebbi-24h'!I15,'06.08 Goli-Nebbi'!I15)</f>
        <v>0.7142857142857143</v>
      </c>
      <c r="J15" s="49">
        <f>AVERAGE('31.07 Goli-Nebbi'!J15,'01.08 Goli-Nebbi'!J15,'04.08 Goli-Nebbi'!J15,'05.08 Goli-Nebbi'!J15,'02.08 Goli-Nebbi-24h'!J15,'03.08 Goli-Nebbi-24h'!J15,'06.08 Goli-Nebbi'!J15)</f>
        <v>0</v>
      </c>
      <c r="K15" s="49">
        <f>AVERAGE('31.07 Goli-Nebbi'!K15,'01.08 Goli-Nebbi'!K15,'04.08 Goli-Nebbi'!K15,'05.08 Goli-Nebbi'!K15,'02.08 Goli-Nebbi-24h'!K15,'03.08 Goli-Nebbi-24h'!K15,'06.08 Goli-Nebbi'!K15)</f>
        <v>0</v>
      </c>
      <c r="L15" s="49">
        <f>AVERAGE('31.07 Goli-Nebbi'!L15,'01.08 Goli-Nebbi'!L15,'04.08 Goli-Nebbi'!L15,'05.08 Goli-Nebbi'!L15,'02.08 Goli-Nebbi-24h'!L15,'03.08 Goli-Nebbi-24h'!L15,'06.08 Goli-Nebbi'!L15)</f>
        <v>0.8571428571428571</v>
      </c>
      <c r="M15" s="49">
        <f>AVERAGE('31.07 Goli-Nebbi'!M15,'01.08 Goli-Nebbi'!M15,'04.08 Goli-Nebbi'!M15,'05.08 Goli-Nebbi'!M15,'02.08 Goli-Nebbi-24h'!M15,'03.08 Goli-Nebbi-24h'!M15,'06.08 Goli-Nebbi'!M15)</f>
        <v>10</v>
      </c>
      <c r="N15" s="49">
        <f>AVERAGE('31.07 Goli-Nebbi'!N15,'01.08 Goli-Nebbi'!N15,'04.08 Goli-Nebbi'!N15,'05.08 Goli-Nebbi'!N15,'02.08 Goli-Nebbi-24h'!N15,'03.08 Goli-Nebbi-24h'!N15,'06.08 Goli-Nebbi'!N15)</f>
        <v>0.14285714285714285</v>
      </c>
      <c r="O15" s="15">
        <f t="shared" si="0"/>
        <v>4</v>
      </c>
      <c r="P15" s="15">
        <f t="shared" si="1"/>
        <v>14</v>
      </c>
      <c r="R15" s="1" t="s">
        <v>11</v>
      </c>
      <c r="S15" s="17">
        <f t="shared" ref="S15:AF15" si="7">SUM(C30:C33)</f>
        <v>4.2857142857142856</v>
      </c>
      <c r="T15" s="17">
        <f t="shared" si="7"/>
        <v>0.5714285714285714</v>
      </c>
      <c r="U15" s="17">
        <f t="shared" si="7"/>
        <v>2.8571428571428568</v>
      </c>
      <c r="V15" s="17">
        <f t="shared" si="7"/>
        <v>1.1428571428571428</v>
      </c>
      <c r="W15" s="17">
        <f t="shared" si="7"/>
        <v>0.2857142857142857</v>
      </c>
      <c r="X15" s="17">
        <f t="shared" si="7"/>
        <v>0</v>
      </c>
      <c r="Y15" s="17">
        <f t="shared" si="7"/>
        <v>1.7142857142857144</v>
      </c>
      <c r="Z15" s="17">
        <f t="shared" si="7"/>
        <v>0.2857142857142857</v>
      </c>
      <c r="AA15" s="17">
        <f t="shared" si="7"/>
        <v>0.42857142857142855</v>
      </c>
      <c r="AB15" s="17">
        <f t="shared" si="7"/>
        <v>2</v>
      </c>
      <c r="AC15" s="17">
        <f t="shared" si="7"/>
        <v>51.571428571428577</v>
      </c>
      <c r="AD15" s="17">
        <f t="shared" si="7"/>
        <v>0</v>
      </c>
      <c r="AE15" s="31">
        <f t="shared" si="7"/>
        <v>13.571428571428569</v>
      </c>
      <c r="AF15" s="31">
        <f t="shared" si="7"/>
        <v>65.142857142857139</v>
      </c>
    </row>
    <row r="16" spans="2:32" ht="23.1" customHeight="1" x14ac:dyDescent="0.25">
      <c r="B16" s="23" t="s">
        <v>43</v>
      </c>
      <c r="C16" s="49">
        <f>AVERAGE('31.07 Goli-Nebbi'!C16,'01.08 Goli-Nebbi'!C16,'04.08 Goli-Nebbi'!C16,'05.08 Goli-Nebbi'!C16,'02.08 Goli-Nebbi-24h'!C16,'03.08 Goli-Nebbi-24h'!C16,'06.08 Goli-Nebbi'!C16)</f>
        <v>0.8571428571428571</v>
      </c>
      <c r="D16" s="49">
        <f>AVERAGE('31.07 Goli-Nebbi'!D16,'01.08 Goli-Nebbi'!D16,'04.08 Goli-Nebbi'!D16,'05.08 Goli-Nebbi'!D16,'02.08 Goli-Nebbi-24h'!D16,'03.08 Goli-Nebbi-24h'!D16,'06.08 Goli-Nebbi'!D16)</f>
        <v>0.14285714285714285</v>
      </c>
      <c r="E16" s="49">
        <f>AVERAGE('31.07 Goli-Nebbi'!E16,'01.08 Goli-Nebbi'!E16,'04.08 Goli-Nebbi'!E16,'05.08 Goli-Nebbi'!E16,'02.08 Goli-Nebbi-24h'!E16,'03.08 Goli-Nebbi-24h'!E16,'06.08 Goli-Nebbi'!E16)</f>
        <v>0.7142857142857143</v>
      </c>
      <c r="F16" s="49">
        <f>AVERAGE('31.07 Goli-Nebbi'!F16,'01.08 Goli-Nebbi'!F16,'04.08 Goli-Nebbi'!F16,'05.08 Goli-Nebbi'!F16,'02.08 Goli-Nebbi-24h'!F16,'03.08 Goli-Nebbi-24h'!F16,'06.08 Goli-Nebbi'!F16)</f>
        <v>0.14285714285714285</v>
      </c>
      <c r="G16" s="49">
        <f>AVERAGE('31.07 Goli-Nebbi'!G16,'01.08 Goli-Nebbi'!G16,'04.08 Goli-Nebbi'!G16,'05.08 Goli-Nebbi'!G16,'02.08 Goli-Nebbi-24h'!G16,'03.08 Goli-Nebbi-24h'!G16,'06.08 Goli-Nebbi'!G16)</f>
        <v>0</v>
      </c>
      <c r="H16" s="49">
        <f>AVERAGE('31.07 Goli-Nebbi'!H16,'01.08 Goli-Nebbi'!H16,'04.08 Goli-Nebbi'!H16,'05.08 Goli-Nebbi'!H16,'02.08 Goli-Nebbi-24h'!H16,'03.08 Goli-Nebbi-24h'!H16,'06.08 Goli-Nebbi'!H16)</f>
        <v>0.14285714285714285</v>
      </c>
      <c r="I16" s="49">
        <f>AVERAGE('31.07 Goli-Nebbi'!I16,'01.08 Goli-Nebbi'!I16,'04.08 Goli-Nebbi'!I16,'05.08 Goli-Nebbi'!I16,'02.08 Goli-Nebbi-24h'!I16,'03.08 Goli-Nebbi-24h'!I16,'06.08 Goli-Nebbi'!I16)</f>
        <v>0.5714285714285714</v>
      </c>
      <c r="J16" s="49">
        <f>AVERAGE('31.07 Goli-Nebbi'!J16,'01.08 Goli-Nebbi'!J16,'04.08 Goli-Nebbi'!J16,'05.08 Goli-Nebbi'!J16,'02.08 Goli-Nebbi-24h'!J16,'03.08 Goli-Nebbi-24h'!J16,'06.08 Goli-Nebbi'!J16)</f>
        <v>0.14285714285714285</v>
      </c>
      <c r="K16" s="49">
        <f>AVERAGE('31.07 Goli-Nebbi'!K16,'01.08 Goli-Nebbi'!K16,'04.08 Goli-Nebbi'!K16,'05.08 Goli-Nebbi'!K16,'02.08 Goli-Nebbi-24h'!K16,'03.08 Goli-Nebbi-24h'!K16,'06.08 Goli-Nebbi'!K16)</f>
        <v>0.14285714285714285</v>
      </c>
      <c r="L16" s="49">
        <f>AVERAGE('31.07 Goli-Nebbi'!L16,'01.08 Goli-Nebbi'!L16,'04.08 Goli-Nebbi'!L16,'05.08 Goli-Nebbi'!L16,'02.08 Goli-Nebbi-24h'!L16,'03.08 Goli-Nebbi-24h'!L16,'06.08 Goli-Nebbi'!L16)</f>
        <v>0.5714285714285714</v>
      </c>
      <c r="M16" s="49">
        <f>AVERAGE('31.07 Goli-Nebbi'!M16,'01.08 Goli-Nebbi'!M16,'04.08 Goli-Nebbi'!M16,'05.08 Goli-Nebbi'!M16,'02.08 Goli-Nebbi-24h'!M16,'03.08 Goli-Nebbi-24h'!M16,'06.08 Goli-Nebbi'!M16)</f>
        <v>12.571428571428571</v>
      </c>
      <c r="N16" s="49">
        <f>AVERAGE('31.07 Goli-Nebbi'!N16,'01.08 Goli-Nebbi'!N16,'04.08 Goli-Nebbi'!N16,'05.08 Goli-Nebbi'!N16,'02.08 Goli-Nebbi-24h'!N16,'03.08 Goli-Nebbi-24h'!N16,'06.08 Goli-Nebbi'!N16)</f>
        <v>0</v>
      </c>
      <c r="O16" s="15">
        <f t="shared" si="0"/>
        <v>3.4285714285714279</v>
      </c>
      <c r="P16" s="15">
        <f t="shared" si="1"/>
        <v>16</v>
      </c>
      <c r="R16" s="1" t="s">
        <v>12</v>
      </c>
      <c r="S16" s="17">
        <f t="shared" ref="S16:AF16" si="8">SUM(C34:C37)</f>
        <v>4</v>
      </c>
      <c r="T16" s="17">
        <f t="shared" si="8"/>
        <v>1</v>
      </c>
      <c r="U16" s="17">
        <f t="shared" si="8"/>
        <v>3.2857142857142856</v>
      </c>
      <c r="V16" s="17">
        <f t="shared" si="8"/>
        <v>1.857142857142857</v>
      </c>
      <c r="W16" s="17">
        <f t="shared" si="8"/>
        <v>0</v>
      </c>
      <c r="X16" s="17">
        <f t="shared" si="8"/>
        <v>0</v>
      </c>
      <c r="Y16" s="17">
        <f t="shared" si="8"/>
        <v>2.1428571428571428</v>
      </c>
      <c r="Z16" s="17">
        <f t="shared" si="8"/>
        <v>0</v>
      </c>
      <c r="AA16" s="17">
        <f t="shared" si="8"/>
        <v>0</v>
      </c>
      <c r="AB16" s="17">
        <f t="shared" si="8"/>
        <v>1.5714285714285714</v>
      </c>
      <c r="AC16" s="17">
        <f t="shared" si="8"/>
        <v>47.714285714285715</v>
      </c>
      <c r="AD16" s="17">
        <f t="shared" si="8"/>
        <v>0.14285714285714285</v>
      </c>
      <c r="AE16" s="31">
        <f t="shared" si="8"/>
        <v>13.999999999999998</v>
      </c>
      <c r="AF16" s="31">
        <f t="shared" si="8"/>
        <v>61.714285714285715</v>
      </c>
    </row>
    <row r="17" spans="2:32" ht="23.1" customHeight="1" x14ac:dyDescent="0.25">
      <c r="B17" s="23" t="s">
        <v>44</v>
      </c>
      <c r="C17" s="49">
        <f>AVERAGE('31.07 Goli-Nebbi'!C17,'01.08 Goli-Nebbi'!C17,'04.08 Goli-Nebbi'!C17,'05.08 Goli-Nebbi'!C17,'02.08 Goli-Nebbi-24h'!C17,'03.08 Goli-Nebbi-24h'!C17,'06.08 Goli-Nebbi'!C17)</f>
        <v>0.8571428571428571</v>
      </c>
      <c r="D17" s="49">
        <f>AVERAGE('31.07 Goli-Nebbi'!D17,'01.08 Goli-Nebbi'!D17,'04.08 Goli-Nebbi'!D17,'05.08 Goli-Nebbi'!D17,'02.08 Goli-Nebbi-24h'!D17,'03.08 Goli-Nebbi-24h'!D17,'06.08 Goli-Nebbi'!D17)</f>
        <v>0.14285714285714285</v>
      </c>
      <c r="E17" s="49">
        <f>AVERAGE('31.07 Goli-Nebbi'!E17,'01.08 Goli-Nebbi'!E17,'04.08 Goli-Nebbi'!E17,'05.08 Goli-Nebbi'!E17,'02.08 Goli-Nebbi-24h'!E17,'03.08 Goli-Nebbi-24h'!E17,'06.08 Goli-Nebbi'!E17)</f>
        <v>0.7142857142857143</v>
      </c>
      <c r="F17" s="49">
        <f>AVERAGE('31.07 Goli-Nebbi'!F17,'01.08 Goli-Nebbi'!F17,'04.08 Goli-Nebbi'!F17,'05.08 Goli-Nebbi'!F17,'02.08 Goli-Nebbi-24h'!F17,'03.08 Goli-Nebbi-24h'!F17,'06.08 Goli-Nebbi'!F17)</f>
        <v>0.2857142857142857</v>
      </c>
      <c r="G17" s="49">
        <f>AVERAGE('31.07 Goli-Nebbi'!G17,'01.08 Goli-Nebbi'!G17,'04.08 Goli-Nebbi'!G17,'05.08 Goli-Nebbi'!G17,'02.08 Goli-Nebbi-24h'!G17,'03.08 Goli-Nebbi-24h'!G17,'06.08 Goli-Nebbi'!G17)</f>
        <v>0</v>
      </c>
      <c r="H17" s="49">
        <f>AVERAGE('31.07 Goli-Nebbi'!H17,'01.08 Goli-Nebbi'!H17,'04.08 Goli-Nebbi'!H17,'05.08 Goli-Nebbi'!H17,'02.08 Goli-Nebbi-24h'!H17,'03.08 Goli-Nebbi-24h'!H17,'06.08 Goli-Nebbi'!H17)</f>
        <v>0</v>
      </c>
      <c r="I17" s="49">
        <f>AVERAGE('31.07 Goli-Nebbi'!I17,'01.08 Goli-Nebbi'!I17,'04.08 Goli-Nebbi'!I17,'05.08 Goli-Nebbi'!I17,'02.08 Goli-Nebbi-24h'!I17,'03.08 Goli-Nebbi-24h'!I17,'06.08 Goli-Nebbi'!I17)</f>
        <v>0.7142857142857143</v>
      </c>
      <c r="J17" s="49">
        <f>AVERAGE('31.07 Goli-Nebbi'!J17,'01.08 Goli-Nebbi'!J17,'04.08 Goli-Nebbi'!J17,'05.08 Goli-Nebbi'!J17,'02.08 Goli-Nebbi-24h'!J17,'03.08 Goli-Nebbi-24h'!J17,'06.08 Goli-Nebbi'!J17)</f>
        <v>0</v>
      </c>
      <c r="K17" s="49">
        <f>AVERAGE('31.07 Goli-Nebbi'!K17,'01.08 Goli-Nebbi'!K17,'04.08 Goli-Nebbi'!K17,'05.08 Goli-Nebbi'!K17,'02.08 Goli-Nebbi-24h'!K17,'03.08 Goli-Nebbi-24h'!K17,'06.08 Goli-Nebbi'!K17)</f>
        <v>0</v>
      </c>
      <c r="L17" s="49">
        <f>AVERAGE('31.07 Goli-Nebbi'!L17,'01.08 Goli-Nebbi'!L17,'04.08 Goli-Nebbi'!L17,'05.08 Goli-Nebbi'!L17,'02.08 Goli-Nebbi-24h'!L17,'03.08 Goli-Nebbi-24h'!L17,'06.08 Goli-Nebbi'!L17)</f>
        <v>0.42857142857142855</v>
      </c>
      <c r="M17" s="49">
        <f>AVERAGE('31.07 Goli-Nebbi'!M17,'01.08 Goli-Nebbi'!M17,'04.08 Goli-Nebbi'!M17,'05.08 Goli-Nebbi'!M17,'02.08 Goli-Nebbi-24h'!M17,'03.08 Goli-Nebbi-24h'!M17,'06.08 Goli-Nebbi'!M17)</f>
        <v>13.285714285714286</v>
      </c>
      <c r="N17" s="49">
        <f>AVERAGE('31.07 Goli-Nebbi'!N17,'01.08 Goli-Nebbi'!N17,'04.08 Goli-Nebbi'!N17,'05.08 Goli-Nebbi'!N17,'02.08 Goli-Nebbi-24h'!N17,'03.08 Goli-Nebbi-24h'!N17,'06.08 Goli-Nebbi'!N17)</f>
        <v>0</v>
      </c>
      <c r="O17" s="15">
        <f t="shared" si="0"/>
        <v>3.1428571428571428</v>
      </c>
      <c r="P17" s="15">
        <f t="shared" si="1"/>
        <v>16.428571428571431</v>
      </c>
      <c r="R17" s="1" t="s">
        <v>13</v>
      </c>
      <c r="S17" s="17">
        <f t="shared" ref="S17:AF17" si="9">SUM(C38:C41)</f>
        <v>3.8571428571428572</v>
      </c>
      <c r="T17" s="17">
        <f t="shared" si="9"/>
        <v>0.71428571428571419</v>
      </c>
      <c r="U17" s="17">
        <f t="shared" si="9"/>
        <v>2.7142857142857144</v>
      </c>
      <c r="V17" s="17">
        <f t="shared" si="9"/>
        <v>2.4285714285714284</v>
      </c>
      <c r="W17" s="17">
        <f t="shared" si="9"/>
        <v>0</v>
      </c>
      <c r="X17" s="17">
        <f t="shared" si="9"/>
        <v>0</v>
      </c>
      <c r="Y17" s="17">
        <f t="shared" si="9"/>
        <v>2.2857142857142856</v>
      </c>
      <c r="Z17" s="17">
        <f t="shared" si="9"/>
        <v>1.1428571428571428</v>
      </c>
      <c r="AA17" s="17">
        <f t="shared" si="9"/>
        <v>0</v>
      </c>
      <c r="AB17" s="17">
        <f t="shared" si="9"/>
        <v>1.1428571428571428</v>
      </c>
      <c r="AC17" s="17">
        <f t="shared" si="9"/>
        <v>44.714285714285715</v>
      </c>
      <c r="AD17" s="17">
        <f t="shared" si="9"/>
        <v>0</v>
      </c>
      <c r="AE17" s="31">
        <f t="shared" si="9"/>
        <v>14.285714285714285</v>
      </c>
      <c r="AF17" s="31">
        <f t="shared" si="9"/>
        <v>59</v>
      </c>
    </row>
    <row r="18" spans="2:32" ht="23.1" customHeight="1" x14ac:dyDescent="0.25">
      <c r="B18" s="23" t="s">
        <v>45</v>
      </c>
      <c r="C18" s="49">
        <f>AVERAGE('31.07 Goli-Nebbi'!C18,'01.08 Goli-Nebbi'!C18,'04.08 Goli-Nebbi'!C18,'05.08 Goli-Nebbi'!C18,'02.08 Goli-Nebbi-24h'!C18,'03.08 Goli-Nebbi-24h'!C18,'06.08 Goli-Nebbi'!C18)</f>
        <v>0.7142857142857143</v>
      </c>
      <c r="D18" s="49">
        <f>AVERAGE('31.07 Goli-Nebbi'!D18,'01.08 Goli-Nebbi'!D18,'04.08 Goli-Nebbi'!D18,'05.08 Goli-Nebbi'!D18,'02.08 Goli-Nebbi-24h'!D18,'03.08 Goli-Nebbi-24h'!D18,'06.08 Goli-Nebbi'!D18)</f>
        <v>0.2857142857142857</v>
      </c>
      <c r="E18" s="49">
        <f>AVERAGE('31.07 Goli-Nebbi'!E18,'01.08 Goli-Nebbi'!E18,'04.08 Goli-Nebbi'!E18,'05.08 Goli-Nebbi'!E18,'02.08 Goli-Nebbi-24h'!E18,'03.08 Goli-Nebbi-24h'!E18,'06.08 Goli-Nebbi'!E18)</f>
        <v>0.7142857142857143</v>
      </c>
      <c r="F18" s="49">
        <f>AVERAGE('31.07 Goli-Nebbi'!F18,'01.08 Goli-Nebbi'!F18,'04.08 Goli-Nebbi'!F18,'05.08 Goli-Nebbi'!F18,'02.08 Goli-Nebbi-24h'!F18,'03.08 Goli-Nebbi-24h'!F18,'06.08 Goli-Nebbi'!F18)</f>
        <v>0.8571428571428571</v>
      </c>
      <c r="G18" s="49">
        <f>AVERAGE('31.07 Goli-Nebbi'!G18,'01.08 Goli-Nebbi'!G18,'04.08 Goli-Nebbi'!G18,'05.08 Goli-Nebbi'!G18,'02.08 Goli-Nebbi-24h'!G18,'03.08 Goli-Nebbi-24h'!G18,'06.08 Goli-Nebbi'!G18)</f>
        <v>0.14285714285714285</v>
      </c>
      <c r="H18" s="49">
        <f>AVERAGE('31.07 Goli-Nebbi'!H18,'01.08 Goli-Nebbi'!H18,'04.08 Goli-Nebbi'!H18,'05.08 Goli-Nebbi'!H18,'02.08 Goli-Nebbi-24h'!H18,'03.08 Goli-Nebbi-24h'!H18,'06.08 Goli-Nebbi'!H18)</f>
        <v>0</v>
      </c>
      <c r="I18" s="49">
        <f>AVERAGE('31.07 Goli-Nebbi'!I18,'01.08 Goli-Nebbi'!I18,'04.08 Goli-Nebbi'!I18,'05.08 Goli-Nebbi'!I18,'02.08 Goli-Nebbi-24h'!I18,'03.08 Goli-Nebbi-24h'!I18,'06.08 Goli-Nebbi'!I18)</f>
        <v>0.7142857142857143</v>
      </c>
      <c r="J18" s="49">
        <f>AVERAGE('31.07 Goli-Nebbi'!J18,'01.08 Goli-Nebbi'!J18,'04.08 Goli-Nebbi'!J18,'05.08 Goli-Nebbi'!J18,'02.08 Goli-Nebbi-24h'!J18,'03.08 Goli-Nebbi-24h'!J18,'06.08 Goli-Nebbi'!J18)</f>
        <v>0</v>
      </c>
      <c r="K18" s="49">
        <f>AVERAGE('31.07 Goli-Nebbi'!K18,'01.08 Goli-Nebbi'!K18,'04.08 Goli-Nebbi'!K18,'05.08 Goli-Nebbi'!K18,'02.08 Goli-Nebbi-24h'!K18,'03.08 Goli-Nebbi-24h'!K18,'06.08 Goli-Nebbi'!K18)</f>
        <v>0</v>
      </c>
      <c r="L18" s="49">
        <f>AVERAGE('31.07 Goli-Nebbi'!L18,'01.08 Goli-Nebbi'!L18,'04.08 Goli-Nebbi'!L18,'05.08 Goli-Nebbi'!L18,'02.08 Goli-Nebbi-24h'!L18,'03.08 Goli-Nebbi-24h'!L18,'06.08 Goli-Nebbi'!L18)</f>
        <v>1</v>
      </c>
      <c r="M18" s="49">
        <f>AVERAGE('31.07 Goli-Nebbi'!M18,'01.08 Goli-Nebbi'!M18,'04.08 Goli-Nebbi'!M18,'05.08 Goli-Nebbi'!M18,'02.08 Goli-Nebbi-24h'!M18,'03.08 Goli-Nebbi-24h'!M18,'06.08 Goli-Nebbi'!M18)</f>
        <v>8.5714285714285712</v>
      </c>
      <c r="N18" s="49">
        <f>AVERAGE('31.07 Goli-Nebbi'!N18,'01.08 Goli-Nebbi'!N18,'04.08 Goli-Nebbi'!N18,'05.08 Goli-Nebbi'!N18,'02.08 Goli-Nebbi-24h'!N18,'03.08 Goli-Nebbi-24h'!N18,'06.08 Goli-Nebbi'!N18)</f>
        <v>0</v>
      </c>
      <c r="O18" s="15">
        <f t="shared" si="0"/>
        <v>4.4285714285714288</v>
      </c>
      <c r="P18" s="15">
        <f t="shared" si="1"/>
        <v>13</v>
      </c>
      <c r="R18" s="1" t="s">
        <v>14</v>
      </c>
      <c r="S18" s="17">
        <f t="shared" ref="S18:AF18" si="10">SUM(C42:C45)</f>
        <v>3.5714285714285716</v>
      </c>
      <c r="T18" s="17">
        <f t="shared" si="10"/>
        <v>0.14285714285714285</v>
      </c>
      <c r="U18" s="17">
        <f t="shared" si="10"/>
        <v>2.1428571428571423</v>
      </c>
      <c r="V18" s="17">
        <f t="shared" si="10"/>
        <v>2.1428571428571428</v>
      </c>
      <c r="W18" s="17">
        <f t="shared" si="10"/>
        <v>0.2857142857142857</v>
      </c>
      <c r="X18" s="17">
        <f t="shared" si="10"/>
        <v>0.14285714285714285</v>
      </c>
      <c r="Y18" s="17">
        <f t="shared" si="10"/>
        <v>3.1428571428571428</v>
      </c>
      <c r="Z18" s="17">
        <f t="shared" si="10"/>
        <v>0</v>
      </c>
      <c r="AA18" s="17">
        <f t="shared" si="10"/>
        <v>0.14285714285714285</v>
      </c>
      <c r="AB18" s="17">
        <f t="shared" si="10"/>
        <v>0.5714285714285714</v>
      </c>
      <c r="AC18" s="17">
        <f t="shared" si="10"/>
        <v>44.142857142857139</v>
      </c>
      <c r="AD18" s="17">
        <f t="shared" si="10"/>
        <v>0</v>
      </c>
      <c r="AE18" s="31">
        <f t="shared" si="10"/>
        <v>12.285714285714285</v>
      </c>
      <c r="AF18" s="31">
        <f t="shared" si="10"/>
        <v>56.428571428571423</v>
      </c>
    </row>
    <row r="19" spans="2:32" ht="23.1" customHeight="1" x14ac:dyDescent="0.25">
      <c r="B19" s="23" t="s">
        <v>46</v>
      </c>
      <c r="C19" s="49">
        <f>AVERAGE('31.07 Goli-Nebbi'!C19,'01.08 Goli-Nebbi'!C19,'04.08 Goli-Nebbi'!C19,'05.08 Goli-Nebbi'!C19,'02.08 Goli-Nebbi-24h'!C19,'03.08 Goli-Nebbi-24h'!C19,'06.08 Goli-Nebbi'!C19)</f>
        <v>1.2857142857142858</v>
      </c>
      <c r="D19" s="49">
        <f>AVERAGE('31.07 Goli-Nebbi'!D19,'01.08 Goli-Nebbi'!D19,'04.08 Goli-Nebbi'!D19,'05.08 Goli-Nebbi'!D19,'02.08 Goli-Nebbi-24h'!D19,'03.08 Goli-Nebbi-24h'!D19,'06.08 Goli-Nebbi'!D19)</f>
        <v>0.42857142857142855</v>
      </c>
      <c r="E19" s="49">
        <f>AVERAGE('31.07 Goli-Nebbi'!E19,'01.08 Goli-Nebbi'!E19,'04.08 Goli-Nebbi'!E19,'05.08 Goli-Nebbi'!E19,'02.08 Goli-Nebbi-24h'!E19,'03.08 Goli-Nebbi-24h'!E19,'06.08 Goli-Nebbi'!E19)</f>
        <v>1.5714285714285714</v>
      </c>
      <c r="F19" s="49">
        <f>AVERAGE('31.07 Goli-Nebbi'!F19,'01.08 Goli-Nebbi'!F19,'04.08 Goli-Nebbi'!F19,'05.08 Goli-Nebbi'!F19,'02.08 Goli-Nebbi-24h'!F19,'03.08 Goli-Nebbi-24h'!F19,'06.08 Goli-Nebbi'!F19)</f>
        <v>1</v>
      </c>
      <c r="G19" s="49">
        <f>AVERAGE('31.07 Goli-Nebbi'!G19,'01.08 Goli-Nebbi'!G19,'04.08 Goli-Nebbi'!G19,'05.08 Goli-Nebbi'!G19,'02.08 Goli-Nebbi-24h'!G19,'03.08 Goli-Nebbi-24h'!G19,'06.08 Goli-Nebbi'!G19)</f>
        <v>0</v>
      </c>
      <c r="H19" s="49">
        <f>AVERAGE('31.07 Goli-Nebbi'!H19,'01.08 Goli-Nebbi'!H19,'04.08 Goli-Nebbi'!H19,'05.08 Goli-Nebbi'!H19,'02.08 Goli-Nebbi-24h'!H19,'03.08 Goli-Nebbi-24h'!H19,'06.08 Goli-Nebbi'!H19)</f>
        <v>0</v>
      </c>
      <c r="I19" s="49">
        <f>AVERAGE('31.07 Goli-Nebbi'!I19,'01.08 Goli-Nebbi'!I19,'04.08 Goli-Nebbi'!I19,'05.08 Goli-Nebbi'!I19,'02.08 Goli-Nebbi-24h'!I19,'03.08 Goli-Nebbi-24h'!I19,'06.08 Goli-Nebbi'!I19)</f>
        <v>0.7142857142857143</v>
      </c>
      <c r="J19" s="49">
        <f>AVERAGE('31.07 Goli-Nebbi'!J19,'01.08 Goli-Nebbi'!J19,'04.08 Goli-Nebbi'!J19,'05.08 Goli-Nebbi'!J19,'02.08 Goli-Nebbi-24h'!J19,'03.08 Goli-Nebbi-24h'!J19,'06.08 Goli-Nebbi'!J19)</f>
        <v>0.14285714285714285</v>
      </c>
      <c r="K19" s="49">
        <f>AVERAGE('31.07 Goli-Nebbi'!K19,'01.08 Goli-Nebbi'!K19,'04.08 Goli-Nebbi'!K19,'05.08 Goli-Nebbi'!K19,'02.08 Goli-Nebbi-24h'!K19,'03.08 Goli-Nebbi-24h'!K19,'06.08 Goli-Nebbi'!K19)</f>
        <v>0.42857142857142855</v>
      </c>
      <c r="L19" s="49">
        <f>AVERAGE('31.07 Goli-Nebbi'!L19,'01.08 Goli-Nebbi'!L19,'04.08 Goli-Nebbi'!L19,'05.08 Goli-Nebbi'!L19,'02.08 Goli-Nebbi-24h'!L19,'03.08 Goli-Nebbi-24h'!L19,'06.08 Goli-Nebbi'!L19)</f>
        <v>0.5714285714285714</v>
      </c>
      <c r="M19" s="49">
        <f>AVERAGE('31.07 Goli-Nebbi'!M19,'01.08 Goli-Nebbi'!M19,'04.08 Goli-Nebbi'!M19,'05.08 Goli-Nebbi'!M19,'02.08 Goli-Nebbi-24h'!M19,'03.08 Goli-Nebbi-24h'!M19,'06.08 Goli-Nebbi'!M19)</f>
        <v>15.285714285714286</v>
      </c>
      <c r="N19" s="49">
        <f>AVERAGE('31.07 Goli-Nebbi'!N19,'01.08 Goli-Nebbi'!N19,'04.08 Goli-Nebbi'!N19,'05.08 Goli-Nebbi'!N19,'02.08 Goli-Nebbi-24h'!N19,'03.08 Goli-Nebbi-24h'!N19,'06.08 Goli-Nebbi'!N19)</f>
        <v>0</v>
      </c>
      <c r="O19" s="15">
        <f t="shared" si="0"/>
        <v>6.1428571428571432</v>
      </c>
      <c r="P19" s="15">
        <f t="shared" si="1"/>
        <v>21.428571428571431</v>
      </c>
      <c r="R19" s="1" t="s">
        <v>15</v>
      </c>
      <c r="S19" s="17">
        <f t="shared" ref="S19:AF19" si="11">SUM(C46:C49)</f>
        <v>4.8571428571428568</v>
      </c>
      <c r="T19" s="17">
        <f t="shared" si="11"/>
        <v>0.71428571428571419</v>
      </c>
      <c r="U19" s="17">
        <f t="shared" si="11"/>
        <v>2.5714285714285712</v>
      </c>
      <c r="V19" s="17">
        <f t="shared" si="11"/>
        <v>1.4285714285714284</v>
      </c>
      <c r="W19" s="17">
        <f t="shared" si="11"/>
        <v>0.14285714285714285</v>
      </c>
      <c r="X19" s="17">
        <f t="shared" si="11"/>
        <v>0</v>
      </c>
      <c r="Y19" s="17">
        <f t="shared" si="11"/>
        <v>3.4285714285714288</v>
      </c>
      <c r="Z19" s="17">
        <f t="shared" si="11"/>
        <v>0.2857142857142857</v>
      </c>
      <c r="AA19" s="17">
        <f t="shared" si="11"/>
        <v>0</v>
      </c>
      <c r="AB19" s="17">
        <f t="shared" si="11"/>
        <v>1.5714285714285714</v>
      </c>
      <c r="AC19" s="17">
        <f t="shared" si="11"/>
        <v>47.714285714285708</v>
      </c>
      <c r="AD19" s="17">
        <f t="shared" si="11"/>
        <v>0</v>
      </c>
      <c r="AE19" s="31">
        <f t="shared" si="11"/>
        <v>15</v>
      </c>
      <c r="AF19" s="31">
        <f t="shared" si="11"/>
        <v>62.714285714285708</v>
      </c>
    </row>
    <row r="20" spans="2:32" ht="23.1" customHeight="1" x14ac:dyDescent="0.25">
      <c r="B20" s="23" t="s">
        <v>47</v>
      </c>
      <c r="C20" s="49">
        <f>AVERAGE('31.07 Goli-Nebbi'!C20,'01.08 Goli-Nebbi'!C20,'04.08 Goli-Nebbi'!C20,'05.08 Goli-Nebbi'!C20,'02.08 Goli-Nebbi-24h'!C20,'03.08 Goli-Nebbi-24h'!C20,'06.08 Goli-Nebbi'!C20)</f>
        <v>1.7142857142857142</v>
      </c>
      <c r="D20" s="49">
        <f>AVERAGE('31.07 Goli-Nebbi'!D20,'01.08 Goli-Nebbi'!D20,'04.08 Goli-Nebbi'!D20,'05.08 Goli-Nebbi'!D20,'02.08 Goli-Nebbi-24h'!D20,'03.08 Goli-Nebbi-24h'!D20,'06.08 Goli-Nebbi'!D20)</f>
        <v>0.2857142857142857</v>
      </c>
      <c r="E20" s="49">
        <f>AVERAGE('31.07 Goli-Nebbi'!E20,'01.08 Goli-Nebbi'!E20,'04.08 Goli-Nebbi'!E20,'05.08 Goli-Nebbi'!E20,'02.08 Goli-Nebbi-24h'!E20,'03.08 Goli-Nebbi-24h'!E20,'06.08 Goli-Nebbi'!E20)</f>
        <v>1.2857142857142858</v>
      </c>
      <c r="F20" s="49">
        <f>AVERAGE('31.07 Goli-Nebbi'!F20,'01.08 Goli-Nebbi'!F20,'04.08 Goli-Nebbi'!F20,'05.08 Goli-Nebbi'!F20,'02.08 Goli-Nebbi-24h'!F20,'03.08 Goli-Nebbi-24h'!F20,'06.08 Goli-Nebbi'!F20)</f>
        <v>0.8571428571428571</v>
      </c>
      <c r="G20" s="49">
        <f>AVERAGE('31.07 Goli-Nebbi'!G20,'01.08 Goli-Nebbi'!G20,'04.08 Goli-Nebbi'!G20,'05.08 Goli-Nebbi'!G20,'02.08 Goli-Nebbi-24h'!G20,'03.08 Goli-Nebbi-24h'!G20,'06.08 Goli-Nebbi'!G20)</f>
        <v>0</v>
      </c>
      <c r="H20" s="49">
        <f>AVERAGE('31.07 Goli-Nebbi'!H20,'01.08 Goli-Nebbi'!H20,'04.08 Goli-Nebbi'!H20,'05.08 Goli-Nebbi'!H20,'02.08 Goli-Nebbi-24h'!H20,'03.08 Goli-Nebbi-24h'!H20,'06.08 Goli-Nebbi'!H20)</f>
        <v>0</v>
      </c>
      <c r="I20" s="49">
        <f>AVERAGE('31.07 Goli-Nebbi'!I20,'01.08 Goli-Nebbi'!I20,'04.08 Goli-Nebbi'!I20,'05.08 Goli-Nebbi'!I20,'02.08 Goli-Nebbi-24h'!I20,'03.08 Goli-Nebbi-24h'!I20,'06.08 Goli-Nebbi'!I20)</f>
        <v>0.8571428571428571</v>
      </c>
      <c r="J20" s="49">
        <f>AVERAGE('31.07 Goli-Nebbi'!J20,'01.08 Goli-Nebbi'!J20,'04.08 Goli-Nebbi'!J20,'05.08 Goli-Nebbi'!J20,'02.08 Goli-Nebbi-24h'!J20,'03.08 Goli-Nebbi-24h'!J20,'06.08 Goli-Nebbi'!J20)</f>
        <v>0</v>
      </c>
      <c r="K20" s="49">
        <f>AVERAGE('31.07 Goli-Nebbi'!K20,'01.08 Goli-Nebbi'!K20,'04.08 Goli-Nebbi'!K20,'05.08 Goli-Nebbi'!K20,'02.08 Goli-Nebbi-24h'!K20,'03.08 Goli-Nebbi-24h'!K20,'06.08 Goli-Nebbi'!K20)</f>
        <v>0</v>
      </c>
      <c r="L20" s="49">
        <f>AVERAGE('31.07 Goli-Nebbi'!L20,'01.08 Goli-Nebbi'!L20,'04.08 Goli-Nebbi'!L20,'05.08 Goli-Nebbi'!L20,'02.08 Goli-Nebbi-24h'!L20,'03.08 Goli-Nebbi-24h'!L20,'06.08 Goli-Nebbi'!L20)</f>
        <v>0.14285714285714285</v>
      </c>
      <c r="M20" s="49">
        <f>AVERAGE('31.07 Goli-Nebbi'!M20,'01.08 Goli-Nebbi'!M20,'04.08 Goli-Nebbi'!M20,'05.08 Goli-Nebbi'!M20,'02.08 Goli-Nebbi-24h'!M20,'03.08 Goli-Nebbi-24h'!M20,'06.08 Goli-Nebbi'!M20)</f>
        <v>12.857142857142858</v>
      </c>
      <c r="N20" s="49">
        <f>AVERAGE('31.07 Goli-Nebbi'!N20,'01.08 Goli-Nebbi'!N20,'04.08 Goli-Nebbi'!N20,'05.08 Goli-Nebbi'!N20,'02.08 Goli-Nebbi-24h'!N20,'03.08 Goli-Nebbi-24h'!N20,'06.08 Goli-Nebbi'!N20)</f>
        <v>0.14285714285714285</v>
      </c>
      <c r="O20" s="15">
        <f t="shared" si="0"/>
        <v>5.2857142857142856</v>
      </c>
      <c r="P20" s="15">
        <f t="shared" si="1"/>
        <v>18.142857142857142</v>
      </c>
      <c r="R20" s="1" t="s">
        <v>16</v>
      </c>
      <c r="S20" s="17">
        <f t="shared" ref="S20:AF20" si="12">SUM(C50:C53)</f>
        <v>5.4285714285714288</v>
      </c>
      <c r="T20" s="17">
        <f t="shared" si="12"/>
        <v>0.71428571428571419</v>
      </c>
      <c r="U20" s="17">
        <f t="shared" si="12"/>
        <v>3.1428571428571428</v>
      </c>
      <c r="V20" s="17">
        <f t="shared" si="12"/>
        <v>2.1428571428571428</v>
      </c>
      <c r="W20" s="17">
        <f t="shared" si="12"/>
        <v>0</v>
      </c>
      <c r="X20" s="17">
        <f t="shared" si="12"/>
        <v>0</v>
      </c>
      <c r="Y20" s="17">
        <f t="shared" si="12"/>
        <v>2.8571428571428572</v>
      </c>
      <c r="Z20" s="17">
        <f t="shared" si="12"/>
        <v>0.14285714285714285</v>
      </c>
      <c r="AA20" s="17">
        <f t="shared" si="12"/>
        <v>0.14285714285714285</v>
      </c>
      <c r="AB20" s="17">
        <f t="shared" si="12"/>
        <v>1.4285714285714286</v>
      </c>
      <c r="AC20" s="17">
        <f t="shared" si="12"/>
        <v>52.142857142857139</v>
      </c>
      <c r="AD20" s="17">
        <f t="shared" si="12"/>
        <v>0</v>
      </c>
      <c r="AE20" s="31">
        <f t="shared" si="12"/>
        <v>16</v>
      </c>
      <c r="AF20" s="31">
        <f t="shared" si="12"/>
        <v>68.142857142857139</v>
      </c>
    </row>
    <row r="21" spans="2:32" ht="23.1" customHeight="1" x14ac:dyDescent="0.25">
      <c r="B21" s="23" t="s">
        <v>48</v>
      </c>
      <c r="C21" s="49">
        <f>AVERAGE('31.07 Goli-Nebbi'!C21,'01.08 Goli-Nebbi'!C21,'04.08 Goli-Nebbi'!C21,'05.08 Goli-Nebbi'!C21,'02.08 Goli-Nebbi-24h'!C21,'03.08 Goli-Nebbi-24h'!C21,'06.08 Goli-Nebbi'!C21)</f>
        <v>1.1428571428571428</v>
      </c>
      <c r="D21" s="49">
        <f>AVERAGE('31.07 Goli-Nebbi'!D21,'01.08 Goli-Nebbi'!D21,'04.08 Goli-Nebbi'!D21,'05.08 Goli-Nebbi'!D21,'02.08 Goli-Nebbi-24h'!D21,'03.08 Goli-Nebbi-24h'!D21,'06.08 Goli-Nebbi'!D21)</f>
        <v>0.2857142857142857</v>
      </c>
      <c r="E21" s="49">
        <f>AVERAGE('31.07 Goli-Nebbi'!E21,'01.08 Goli-Nebbi'!E21,'04.08 Goli-Nebbi'!E21,'05.08 Goli-Nebbi'!E21,'02.08 Goli-Nebbi-24h'!E21,'03.08 Goli-Nebbi-24h'!E21,'06.08 Goli-Nebbi'!E21)</f>
        <v>1</v>
      </c>
      <c r="F21" s="49">
        <f>AVERAGE('31.07 Goli-Nebbi'!F21,'01.08 Goli-Nebbi'!F21,'04.08 Goli-Nebbi'!F21,'05.08 Goli-Nebbi'!F21,'02.08 Goli-Nebbi-24h'!F21,'03.08 Goli-Nebbi-24h'!F21,'06.08 Goli-Nebbi'!F21)</f>
        <v>0</v>
      </c>
      <c r="G21" s="49">
        <f>AVERAGE('31.07 Goli-Nebbi'!G21,'01.08 Goli-Nebbi'!G21,'04.08 Goli-Nebbi'!G21,'05.08 Goli-Nebbi'!G21,'02.08 Goli-Nebbi-24h'!G21,'03.08 Goli-Nebbi-24h'!G21,'06.08 Goli-Nebbi'!G21)</f>
        <v>0</v>
      </c>
      <c r="H21" s="49">
        <f>AVERAGE('31.07 Goli-Nebbi'!H21,'01.08 Goli-Nebbi'!H21,'04.08 Goli-Nebbi'!H21,'05.08 Goli-Nebbi'!H21,'02.08 Goli-Nebbi-24h'!H21,'03.08 Goli-Nebbi-24h'!H21,'06.08 Goli-Nebbi'!H21)</f>
        <v>0</v>
      </c>
      <c r="I21" s="49">
        <f>AVERAGE('31.07 Goli-Nebbi'!I21,'01.08 Goli-Nebbi'!I21,'04.08 Goli-Nebbi'!I21,'05.08 Goli-Nebbi'!I21,'02.08 Goli-Nebbi-24h'!I21,'03.08 Goli-Nebbi-24h'!I21,'06.08 Goli-Nebbi'!I21)</f>
        <v>0.5714285714285714</v>
      </c>
      <c r="J21" s="49">
        <f>AVERAGE('31.07 Goli-Nebbi'!J21,'01.08 Goli-Nebbi'!J21,'04.08 Goli-Nebbi'!J21,'05.08 Goli-Nebbi'!J21,'02.08 Goli-Nebbi-24h'!J21,'03.08 Goli-Nebbi-24h'!J21,'06.08 Goli-Nebbi'!J21)</f>
        <v>0</v>
      </c>
      <c r="K21" s="49">
        <f>AVERAGE('31.07 Goli-Nebbi'!K21,'01.08 Goli-Nebbi'!K21,'04.08 Goli-Nebbi'!K21,'05.08 Goli-Nebbi'!K21,'02.08 Goli-Nebbi-24h'!K21,'03.08 Goli-Nebbi-24h'!K21,'06.08 Goli-Nebbi'!K21)</f>
        <v>0.2857142857142857</v>
      </c>
      <c r="L21" s="49">
        <f>AVERAGE('31.07 Goli-Nebbi'!L21,'01.08 Goli-Nebbi'!L21,'04.08 Goli-Nebbi'!L21,'05.08 Goli-Nebbi'!L21,'02.08 Goli-Nebbi-24h'!L21,'03.08 Goli-Nebbi-24h'!L21,'06.08 Goli-Nebbi'!L21)</f>
        <v>0.8571428571428571</v>
      </c>
      <c r="M21" s="49">
        <f>AVERAGE('31.07 Goli-Nebbi'!M21,'01.08 Goli-Nebbi'!M21,'04.08 Goli-Nebbi'!M21,'05.08 Goli-Nebbi'!M21,'02.08 Goli-Nebbi-24h'!M21,'03.08 Goli-Nebbi-24h'!M21,'06.08 Goli-Nebbi'!M21)</f>
        <v>15</v>
      </c>
      <c r="N21" s="49">
        <f>AVERAGE('31.07 Goli-Nebbi'!N21,'01.08 Goli-Nebbi'!N21,'04.08 Goli-Nebbi'!N21,'05.08 Goli-Nebbi'!N21,'02.08 Goli-Nebbi-24h'!N21,'03.08 Goli-Nebbi-24h'!N21,'06.08 Goli-Nebbi'!N21)</f>
        <v>0</v>
      </c>
      <c r="O21" s="15">
        <f t="shared" si="0"/>
        <v>4.1428571428571423</v>
      </c>
      <c r="P21" s="15">
        <f t="shared" si="1"/>
        <v>19.142857142857142</v>
      </c>
      <c r="R21" s="36" t="s">
        <v>20</v>
      </c>
      <c r="S21" s="34">
        <f t="shared" ref="S21:AF21" si="13">SUM(C54:C57)</f>
        <v>5</v>
      </c>
      <c r="T21" s="17">
        <f t="shared" si="13"/>
        <v>1.2857142857142856</v>
      </c>
      <c r="U21" s="17">
        <f t="shared" si="13"/>
        <v>3.5714285714285712</v>
      </c>
      <c r="V21" s="17">
        <f t="shared" si="13"/>
        <v>1.9999999999999998</v>
      </c>
      <c r="W21" s="17">
        <f t="shared" si="13"/>
        <v>0.2857142857142857</v>
      </c>
      <c r="X21" s="17">
        <f t="shared" si="13"/>
        <v>0.2857142857142857</v>
      </c>
      <c r="Y21" s="17">
        <f t="shared" si="13"/>
        <v>2.2857142857142856</v>
      </c>
      <c r="Z21" s="17">
        <f t="shared" si="13"/>
        <v>0.2857142857142857</v>
      </c>
      <c r="AA21" s="17">
        <f t="shared" si="13"/>
        <v>0.42857142857142855</v>
      </c>
      <c r="AB21" s="17">
        <f t="shared" si="13"/>
        <v>2</v>
      </c>
      <c r="AC21" s="17">
        <f t="shared" si="13"/>
        <v>52</v>
      </c>
      <c r="AD21" s="17">
        <f t="shared" si="13"/>
        <v>0</v>
      </c>
      <c r="AE21" s="31">
        <f t="shared" si="13"/>
        <v>17.428571428571427</v>
      </c>
      <c r="AF21" s="31">
        <f t="shared" si="13"/>
        <v>69.428571428571431</v>
      </c>
    </row>
    <row r="22" spans="2:32" ht="23.1" customHeight="1" x14ac:dyDescent="0.25">
      <c r="B22" s="23" t="s">
        <v>49</v>
      </c>
      <c r="C22" s="49">
        <f>AVERAGE('31.07 Goli-Nebbi'!C22,'01.08 Goli-Nebbi'!C22,'04.08 Goli-Nebbi'!C22,'05.08 Goli-Nebbi'!C22,'02.08 Goli-Nebbi-24h'!C22,'03.08 Goli-Nebbi-24h'!C22,'06.08 Goli-Nebbi'!C22)</f>
        <v>0.5714285714285714</v>
      </c>
      <c r="D22" s="49">
        <f>AVERAGE('31.07 Goli-Nebbi'!D22,'01.08 Goli-Nebbi'!D22,'04.08 Goli-Nebbi'!D22,'05.08 Goli-Nebbi'!D22,'02.08 Goli-Nebbi-24h'!D22,'03.08 Goli-Nebbi-24h'!D22,'06.08 Goli-Nebbi'!D22)</f>
        <v>0</v>
      </c>
      <c r="E22" s="49">
        <f>AVERAGE('31.07 Goli-Nebbi'!E22,'01.08 Goli-Nebbi'!E22,'04.08 Goli-Nebbi'!E22,'05.08 Goli-Nebbi'!E22,'02.08 Goli-Nebbi-24h'!E22,'03.08 Goli-Nebbi-24h'!E22,'06.08 Goli-Nebbi'!E22)</f>
        <v>0.2857142857142857</v>
      </c>
      <c r="F22" s="49">
        <f>AVERAGE('31.07 Goli-Nebbi'!F22,'01.08 Goli-Nebbi'!F22,'04.08 Goli-Nebbi'!F22,'05.08 Goli-Nebbi'!F22,'02.08 Goli-Nebbi-24h'!F22,'03.08 Goli-Nebbi-24h'!F22,'06.08 Goli-Nebbi'!F22)</f>
        <v>0.5714285714285714</v>
      </c>
      <c r="G22" s="49">
        <f>AVERAGE('31.07 Goli-Nebbi'!G22,'01.08 Goli-Nebbi'!G22,'04.08 Goli-Nebbi'!G22,'05.08 Goli-Nebbi'!G22,'02.08 Goli-Nebbi-24h'!G22,'03.08 Goli-Nebbi-24h'!G22,'06.08 Goli-Nebbi'!G22)</f>
        <v>0</v>
      </c>
      <c r="H22" s="49">
        <f>AVERAGE('31.07 Goli-Nebbi'!H22,'01.08 Goli-Nebbi'!H22,'04.08 Goli-Nebbi'!H22,'05.08 Goli-Nebbi'!H22,'02.08 Goli-Nebbi-24h'!H22,'03.08 Goli-Nebbi-24h'!H22,'06.08 Goli-Nebbi'!H22)</f>
        <v>0</v>
      </c>
      <c r="I22" s="49">
        <f>AVERAGE('31.07 Goli-Nebbi'!I22,'01.08 Goli-Nebbi'!I22,'04.08 Goli-Nebbi'!I22,'05.08 Goli-Nebbi'!I22,'02.08 Goli-Nebbi-24h'!I22,'03.08 Goli-Nebbi-24h'!I22,'06.08 Goli-Nebbi'!I22)</f>
        <v>1.4285714285714286</v>
      </c>
      <c r="J22" s="49">
        <f>AVERAGE('31.07 Goli-Nebbi'!J22,'01.08 Goli-Nebbi'!J22,'04.08 Goli-Nebbi'!J22,'05.08 Goli-Nebbi'!J22,'02.08 Goli-Nebbi-24h'!J22,'03.08 Goli-Nebbi-24h'!J22,'06.08 Goli-Nebbi'!J22)</f>
        <v>0.14285714285714285</v>
      </c>
      <c r="K22" s="49">
        <f>AVERAGE('31.07 Goli-Nebbi'!K22,'01.08 Goli-Nebbi'!K22,'04.08 Goli-Nebbi'!K22,'05.08 Goli-Nebbi'!K22,'02.08 Goli-Nebbi-24h'!K22,'03.08 Goli-Nebbi-24h'!K22,'06.08 Goli-Nebbi'!K22)</f>
        <v>0.14285714285714285</v>
      </c>
      <c r="L22" s="49">
        <f>AVERAGE('31.07 Goli-Nebbi'!L22,'01.08 Goli-Nebbi'!L22,'04.08 Goli-Nebbi'!L22,'05.08 Goli-Nebbi'!L22,'02.08 Goli-Nebbi-24h'!L22,'03.08 Goli-Nebbi-24h'!L22,'06.08 Goli-Nebbi'!L22)</f>
        <v>0.14285714285714285</v>
      </c>
      <c r="M22" s="49">
        <f>AVERAGE('31.07 Goli-Nebbi'!M22,'01.08 Goli-Nebbi'!M22,'04.08 Goli-Nebbi'!M22,'05.08 Goli-Nebbi'!M22,'02.08 Goli-Nebbi-24h'!M22,'03.08 Goli-Nebbi-24h'!M22,'06.08 Goli-Nebbi'!M22)</f>
        <v>11.142857142857142</v>
      </c>
      <c r="N22" s="49">
        <f>AVERAGE('31.07 Goli-Nebbi'!N22,'01.08 Goli-Nebbi'!N22,'04.08 Goli-Nebbi'!N22,'05.08 Goli-Nebbi'!N22,'02.08 Goli-Nebbi-24h'!N22,'03.08 Goli-Nebbi-24h'!N22,'06.08 Goli-Nebbi'!N22)</f>
        <v>0</v>
      </c>
      <c r="O22" s="15">
        <f t="shared" si="0"/>
        <v>3.2857142857142851</v>
      </c>
      <c r="P22" s="15">
        <f t="shared" si="1"/>
        <v>14.428571428571427</v>
      </c>
      <c r="R22" s="1" t="s">
        <v>146</v>
      </c>
      <c r="S22" s="34">
        <f>SUM(C58:C61)</f>
        <v>2.6666666666666665</v>
      </c>
      <c r="T22" s="34">
        <f t="shared" ref="T22:AF22" si="14">SUM(D58:D61)</f>
        <v>0</v>
      </c>
      <c r="U22" s="34">
        <f t="shared" si="14"/>
        <v>0.33333333333333331</v>
      </c>
      <c r="V22" s="34">
        <f t="shared" si="14"/>
        <v>1.3333333333333333</v>
      </c>
      <c r="W22" s="34">
        <f t="shared" si="14"/>
        <v>0.33333333333333331</v>
      </c>
      <c r="X22" s="34">
        <f t="shared" si="14"/>
        <v>1.3333333333333333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0.66666666666666663</v>
      </c>
      <c r="AC22" s="34">
        <f t="shared" si="14"/>
        <v>47.000000000000007</v>
      </c>
      <c r="AD22" s="34">
        <f t="shared" si="14"/>
        <v>0</v>
      </c>
      <c r="AE22" s="31">
        <f t="shared" si="14"/>
        <v>7.6666666666666661</v>
      </c>
      <c r="AF22" s="31">
        <f t="shared" si="14"/>
        <v>54.666666666666664</v>
      </c>
    </row>
    <row r="23" spans="2:32" ht="23.1" customHeight="1" x14ac:dyDescent="0.25">
      <c r="B23" s="23" t="s">
        <v>50</v>
      </c>
      <c r="C23" s="49">
        <f>AVERAGE('31.07 Goli-Nebbi'!C23,'01.08 Goli-Nebbi'!C23,'04.08 Goli-Nebbi'!C23,'05.08 Goli-Nebbi'!C23,'02.08 Goli-Nebbi-24h'!C23,'03.08 Goli-Nebbi-24h'!C23,'06.08 Goli-Nebbi'!C23)</f>
        <v>1.4285714285714286</v>
      </c>
      <c r="D23" s="49">
        <f>AVERAGE('31.07 Goli-Nebbi'!D23,'01.08 Goli-Nebbi'!D23,'04.08 Goli-Nebbi'!D23,'05.08 Goli-Nebbi'!D23,'02.08 Goli-Nebbi-24h'!D23,'03.08 Goli-Nebbi-24h'!D23,'06.08 Goli-Nebbi'!D23)</f>
        <v>0</v>
      </c>
      <c r="E23" s="49">
        <f>AVERAGE('31.07 Goli-Nebbi'!E23,'01.08 Goli-Nebbi'!E23,'04.08 Goli-Nebbi'!E23,'05.08 Goli-Nebbi'!E23,'02.08 Goli-Nebbi-24h'!E23,'03.08 Goli-Nebbi-24h'!E23,'06.08 Goli-Nebbi'!E23)</f>
        <v>0.2857142857142857</v>
      </c>
      <c r="F23" s="49">
        <f>AVERAGE('31.07 Goli-Nebbi'!F23,'01.08 Goli-Nebbi'!F23,'04.08 Goli-Nebbi'!F23,'05.08 Goli-Nebbi'!F23,'02.08 Goli-Nebbi-24h'!F23,'03.08 Goli-Nebbi-24h'!F23,'06.08 Goli-Nebbi'!F23)</f>
        <v>0.42857142857142855</v>
      </c>
      <c r="G23" s="49">
        <f>AVERAGE('31.07 Goli-Nebbi'!G23,'01.08 Goli-Nebbi'!G23,'04.08 Goli-Nebbi'!G23,'05.08 Goli-Nebbi'!G23,'02.08 Goli-Nebbi-24h'!G23,'03.08 Goli-Nebbi-24h'!G23,'06.08 Goli-Nebbi'!G23)</f>
        <v>0</v>
      </c>
      <c r="H23" s="49">
        <f>AVERAGE('31.07 Goli-Nebbi'!H23,'01.08 Goli-Nebbi'!H23,'04.08 Goli-Nebbi'!H23,'05.08 Goli-Nebbi'!H23,'02.08 Goli-Nebbi-24h'!H23,'03.08 Goli-Nebbi-24h'!H23,'06.08 Goli-Nebbi'!H23)</f>
        <v>0</v>
      </c>
      <c r="I23" s="49">
        <f>AVERAGE('31.07 Goli-Nebbi'!I23,'01.08 Goli-Nebbi'!I23,'04.08 Goli-Nebbi'!I23,'05.08 Goli-Nebbi'!I23,'02.08 Goli-Nebbi-24h'!I23,'03.08 Goli-Nebbi-24h'!I23,'06.08 Goli-Nebbi'!I23)</f>
        <v>0.7142857142857143</v>
      </c>
      <c r="J23" s="49">
        <f>AVERAGE('31.07 Goli-Nebbi'!J23,'01.08 Goli-Nebbi'!J23,'04.08 Goli-Nebbi'!J23,'05.08 Goli-Nebbi'!J23,'02.08 Goli-Nebbi-24h'!J23,'03.08 Goli-Nebbi-24h'!J23,'06.08 Goli-Nebbi'!J23)</f>
        <v>0.14285714285714285</v>
      </c>
      <c r="K23" s="49">
        <f>AVERAGE('31.07 Goli-Nebbi'!K23,'01.08 Goli-Nebbi'!K23,'04.08 Goli-Nebbi'!K23,'05.08 Goli-Nebbi'!K23,'02.08 Goli-Nebbi-24h'!K23,'03.08 Goli-Nebbi-24h'!K23,'06.08 Goli-Nebbi'!K23)</f>
        <v>0</v>
      </c>
      <c r="L23" s="49">
        <f>AVERAGE('31.07 Goli-Nebbi'!L23,'01.08 Goli-Nebbi'!L23,'04.08 Goli-Nebbi'!L23,'05.08 Goli-Nebbi'!L23,'02.08 Goli-Nebbi-24h'!L23,'03.08 Goli-Nebbi-24h'!L23,'06.08 Goli-Nebbi'!L23)</f>
        <v>0.42857142857142855</v>
      </c>
      <c r="M23" s="49">
        <f>AVERAGE('31.07 Goli-Nebbi'!M23,'01.08 Goli-Nebbi'!M23,'04.08 Goli-Nebbi'!M23,'05.08 Goli-Nebbi'!M23,'02.08 Goli-Nebbi-24h'!M23,'03.08 Goli-Nebbi-24h'!M23,'06.08 Goli-Nebbi'!M23)</f>
        <v>13.857142857142858</v>
      </c>
      <c r="N23" s="49">
        <f>AVERAGE('31.07 Goli-Nebbi'!N23,'01.08 Goli-Nebbi'!N23,'04.08 Goli-Nebbi'!N23,'05.08 Goli-Nebbi'!N23,'02.08 Goli-Nebbi-24h'!N23,'03.08 Goli-Nebbi-24h'!N23,'06.08 Goli-Nebbi'!N23)</f>
        <v>0</v>
      </c>
      <c r="O23" s="15">
        <f t="shared" si="0"/>
        <v>3.4285714285714284</v>
      </c>
      <c r="P23" s="15">
        <f t="shared" si="1"/>
        <v>17.285714285714285</v>
      </c>
      <c r="R23" s="1" t="s">
        <v>147</v>
      </c>
      <c r="S23" s="34">
        <f>SUM(C62:C65)</f>
        <v>2.6666666666666665</v>
      </c>
      <c r="T23" s="34">
        <f t="shared" ref="T23:AF23" si="15">SUM(D62:D65)</f>
        <v>0</v>
      </c>
      <c r="U23" s="34">
        <f t="shared" si="15"/>
        <v>0.33333333333333331</v>
      </c>
      <c r="V23" s="34">
        <f t="shared" si="15"/>
        <v>0</v>
      </c>
      <c r="W23" s="34">
        <f t="shared" si="15"/>
        <v>0.66666666666666663</v>
      </c>
      <c r="X23" s="34">
        <f t="shared" si="15"/>
        <v>0</v>
      </c>
      <c r="Y23" s="34">
        <f t="shared" si="15"/>
        <v>0.66666666666666663</v>
      </c>
      <c r="Z23" s="34">
        <f t="shared" si="15"/>
        <v>0</v>
      </c>
      <c r="AA23" s="34">
        <f t="shared" si="15"/>
        <v>0</v>
      </c>
      <c r="AB23" s="34">
        <f t="shared" si="15"/>
        <v>1.3333333333333333</v>
      </c>
      <c r="AC23" s="34">
        <f t="shared" si="15"/>
        <v>23.333333333333336</v>
      </c>
      <c r="AD23" s="34">
        <f t="shared" si="15"/>
        <v>0</v>
      </c>
      <c r="AE23" s="31">
        <f t="shared" si="15"/>
        <v>5.6666666666666661</v>
      </c>
      <c r="AF23" s="31">
        <f t="shared" si="15"/>
        <v>29</v>
      </c>
    </row>
    <row r="24" spans="2:32" ht="23.1" customHeight="1" x14ac:dyDescent="0.25">
      <c r="B24" s="23" t="s">
        <v>51</v>
      </c>
      <c r="C24" s="49">
        <f>AVERAGE('31.07 Goli-Nebbi'!C24,'01.08 Goli-Nebbi'!C24,'04.08 Goli-Nebbi'!C24,'05.08 Goli-Nebbi'!C24,'02.08 Goli-Nebbi-24h'!C24,'03.08 Goli-Nebbi-24h'!C24,'06.08 Goli-Nebbi'!C24)</f>
        <v>1.5714285714285714</v>
      </c>
      <c r="D24" s="49">
        <f>AVERAGE('31.07 Goli-Nebbi'!D24,'01.08 Goli-Nebbi'!D24,'04.08 Goli-Nebbi'!D24,'05.08 Goli-Nebbi'!D24,'02.08 Goli-Nebbi-24h'!D24,'03.08 Goli-Nebbi-24h'!D24,'06.08 Goli-Nebbi'!D24)</f>
        <v>0</v>
      </c>
      <c r="E24" s="49">
        <f>AVERAGE('31.07 Goli-Nebbi'!E24,'01.08 Goli-Nebbi'!E24,'04.08 Goli-Nebbi'!E24,'05.08 Goli-Nebbi'!E24,'02.08 Goli-Nebbi-24h'!E24,'03.08 Goli-Nebbi-24h'!E24,'06.08 Goli-Nebbi'!E24)</f>
        <v>0.42857142857142855</v>
      </c>
      <c r="F24" s="49">
        <f>AVERAGE('31.07 Goli-Nebbi'!F24,'01.08 Goli-Nebbi'!F24,'04.08 Goli-Nebbi'!F24,'05.08 Goli-Nebbi'!F24,'02.08 Goli-Nebbi-24h'!F24,'03.08 Goli-Nebbi-24h'!F24,'06.08 Goli-Nebbi'!F24)</f>
        <v>0.8571428571428571</v>
      </c>
      <c r="G24" s="49">
        <f>AVERAGE('31.07 Goli-Nebbi'!G24,'01.08 Goli-Nebbi'!G24,'04.08 Goli-Nebbi'!G24,'05.08 Goli-Nebbi'!G24,'02.08 Goli-Nebbi-24h'!G24,'03.08 Goli-Nebbi-24h'!G24,'06.08 Goli-Nebbi'!G24)</f>
        <v>0</v>
      </c>
      <c r="H24" s="49">
        <f>AVERAGE('31.07 Goli-Nebbi'!H24,'01.08 Goli-Nebbi'!H24,'04.08 Goli-Nebbi'!H24,'05.08 Goli-Nebbi'!H24,'02.08 Goli-Nebbi-24h'!H24,'03.08 Goli-Nebbi-24h'!H24,'06.08 Goli-Nebbi'!H24)</f>
        <v>0</v>
      </c>
      <c r="I24" s="49">
        <f>AVERAGE('31.07 Goli-Nebbi'!I24,'01.08 Goli-Nebbi'!I24,'04.08 Goli-Nebbi'!I24,'05.08 Goli-Nebbi'!I24,'02.08 Goli-Nebbi-24h'!I24,'03.08 Goli-Nebbi-24h'!I24,'06.08 Goli-Nebbi'!I24)</f>
        <v>1</v>
      </c>
      <c r="J24" s="49">
        <f>AVERAGE('31.07 Goli-Nebbi'!J24,'01.08 Goli-Nebbi'!J24,'04.08 Goli-Nebbi'!J24,'05.08 Goli-Nebbi'!J24,'02.08 Goli-Nebbi-24h'!J24,'03.08 Goli-Nebbi-24h'!J24,'06.08 Goli-Nebbi'!J24)</f>
        <v>0.42857142857142855</v>
      </c>
      <c r="K24" s="49">
        <f>AVERAGE('31.07 Goli-Nebbi'!K24,'01.08 Goli-Nebbi'!K24,'04.08 Goli-Nebbi'!K24,'05.08 Goli-Nebbi'!K24,'02.08 Goli-Nebbi-24h'!K24,'03.08 Goli-Nebbi-24h'!K24,'06.08 Goli-Nebbi'!K24)</f>
        <v>0</v>
      </c>
      <c r="L24" s="49">
        <f>AVERAGE('31.07 Goli-Nebbi'!L24,'01.08 Goli-Nebbi'!L24,'04.08 Goli-Nebbi'!L24,'05.08 Goli-Nebbi'!L24,'02.08 Goli-Nebbi-24h'!L24,'03.08 Goli-Nebbi-24h'!L24,'06.08 Goli-Nebbi'!L24)</f>
        <v>0.7142857142857143</v>
      </c>
      <c r="M24" s="49">
        <f>AVERAGE('31.07 Goli-Nebbi'!M24,'01.08 Goli-Nebbi'!M24,'04.08 Goli-Nebbi'!M24,'05.08 Goli-Nebbi'!M24,'02.08 Goli-Nebbi-24h'!M24,'03.08 Goli-Nebbi-24h'!M24,'06.08 Goli-Nebbi'!M24)</f>
        <v>13.857142857142858</v>
      </c>
      <c r="N24" s="49">
        <f>AVERAGE('31.07 Goli-Nebbi'!N24,'01.08 Goli-Nebbi'!N24,'04.08 Goli-Nebbi'!N24,'05.08 Goli-Nebbi'!N24,'02.08 Goli-Nebbi-24h'!N24,'03.08 Goli-Nebbi-24h'!N24,'06.08 Goli-Nebbi'!N24)</f>
        <v>0</v>
      </c>
      <c r="O24" s="15">
        <f t="shared" si="0"/>
        <v>5</v>
      </c>
      <c r="P24" s="15">
        <f t="shared" si="1"/>
        <v>18.857142857142858</v>
      </c>
      <c r="R24" s="1" t="s">
        <v>148</v>
      </c>
      <c r="S24" s="34">
        <f>SUM(C66:C69)</f>
        <v>3.6666666666666665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0.66666666666666663</v>
      </c>
      <c r="W24" s="34">
        <f t="shared" si="16"/>
        <v>0</v>
      </c>
      <c r="X24" s="34">
        <f t="shared" si="16"/>
        <v>0</v>
      </c>
      <c r="Y24" s="34">
        <f t="shared" si="16"/>
        <v>1.3333333333333333</v>
      </c>
      <c r="Z24" s="34">
        <f t="shared" si="16"/>
        <v>0</v>
      </c>
      <c r="AA24" s="34">
        <f t="shared" si="16"/>
        <v>0.33333333333333331</v>
      </c>
      <c r="AB24" s="34">
        <f t="shared" si="16"/>
        <v>0.66666666666666663</v>
      </c>
      <c r="AC24" s="34">
        <f t="shared" si="16"/>
        <v>24.333333333333336</v>
      </c>
      <c r="AD24" s="34">
        <f t="shared" si="16"/>
        <v>0</v>
      </c>
      <c r="AE24" s="31">
        <f t="shared" si="16"/>
        <v>6.6666666666666661</v>
      </c>
      <c r="AF24" s="31">
        <f t="shared" si="16"/>
        <v>31</v>
      </c>
    </row>
    <row r="25" spans="2:32" ht="23.1" customHeight="1" x14ac:dyDescent="0.25">
      <c r="B25" s="23" t="s">
        <v>52</v>
      </c>
      <c r="C25" s="49">
        <f>AVERAGE('31.07 Goli-Nebbi'!C25,'01.08 Goli-Nebbi'!C25,'04.08 Goli-Nebbi'!C25,'05.08 Goli-Nebbi'!C25,'02.08 Goli-Nebbi-24h'!C25,'03.08 Goli-Nebbi-24h'!C25,'06.08 Goli-Nebbi'!C25)</f>
        <v>0.7142857142857143</v>
      </c>
      <c r="D25" s="49">
        <f>AVERAGE('31.07 Goli-Nebbi'!D25,'01.08 Goli-Nebbi'!D25,'04.08 Goli-Nebbi'!D25,'05.08 Goli-Nebbi'!D25,'02.08 Goli-Nebbi-24h'!D25,'03.08 Goli-Nebbi-24h'!D25,'06.08 Goli-Nebbi'!D25)</f>
        <v>0.2857142857142857</v>
      </c>
      <c r="E25" s="49">
        <f>AVERAGE('31.07 Goli-Nebbi'!E25,'01.08 Goli-Nebbi'!E25,'04.08 Goli-Nebbi'!E25,'05.08 Goli-Nebbi'!E25,'02.08 Goli-Nebbi-24h'!E25,'03.08 Goli-Nebbi-24h'!E25,'06.08 Goli-Nebbi'!E25)</f>
        <v>0.7142857142857143</v>
      </c>
      <c r="F25" s="49">
        <f>AVERAGE('31.07 Goli-Nebbi'!F25,'01.08 Goli-Nebbi'!F25,'04.08 Goli-Nebbi'!F25,'05.08 Goli-Nebbi'!F25,'02.08 Goli-Nebbi-24h'!F25,'03.08 Goli-Nebbi-24h'!F25,'06.08 Goli-Nebbi'!F25)</f>
        <v>0.14285714285714285</v>
      </c>
      <c r="G25" s="49">
        <f>AVERAGE('31.07 Goli-Nebbi'!G25,'01.08 Goli-Nebbi'!G25,'04.08 Goli-Nebbi'!G25,'05.08 Goli-Nebbi'!G25,'02.08 Goli-Nebbi-24h'!G25,'03.08 Goli-Nebbi-24h'!G25,'06.08 Goli-Nebbi'!G25)</f>
        <v>0</v>
      </c>
      <c r="H25" s="49">
        <f>AVERAGE('31.07 Goli-Nebbi'!H25,'01.08 Goli-Nebbi'!H25,'04.08 Goli-Nebbi'!H25,'05.08 Goli-Nebbi'!H25,'02.08 Goli-Nebbi-24h'!H25,'03.08 Goli-Nebbi-24h'!H25,'06.08 Goli-Nebbi'!H25)</f>
        <v>0</v>
      </c>
      <c r="I25" s="49">
        <f>AVERAGE('31.07 Goli-Nebbi'!I25,'01.08 Goli-Nebbi'!I25,'04.08 Goli-Nebbi'!I25,'05.08 Goli-Nebbi'!I25,'02.08 Goli-Nebbi-24h'!I25,'03.08 Goli-Nebbi-24h'!I25,'06.08 Goli-Nebbi'!I25)</f>
        <v>1</v>
      </c>
      <c r="J25" s="49">
        <f>AVERAGE('31.07 Goli-Nebbi'!J25,'01.08 Goli-Nebbi'!J25,'04.08 Goli-Nebbi'!J25,'05.08 Goli-Nebbi'!J25,'02.08 Goli-Nebbi-24h'!J25,'03.08 Goli-Nebbi-24h'!J25,'06.08 Goli-Nebbi'!J25)</f>
        <v>0</v>
      </c>
      <c r="K25" s="49">
        <f>AVERAGE('31.07 Goli-Nebbi'!K25,'01.08 Goli-Nebbi'!K25,'04.08 Goli-Nebbi'!K25,'05.08 Goli-Nebbi'!K25,'02.08 Goli-Nebbi-24h'!K25,'03.08 Goli-Nebbi-24h'!K25,'06.08 Goli-Nebbi'!K25)</f>
        <v>0</v>
      </c>
      <c r="L25" s="49">
        <f>AVERAGE('31.07 Goli-Nebbi'!L25,'01.08 Goli-Nebbi'!L25,'04.08 Goli-Nebbi'!L25,'05.08 Goli-Nebbi'!L25,'02.08 Goli-Nebbi-24h'!L25,'03.08 Goli-Nebbi-24h'!L25,'06.08 Goli-Nebbi'!L25)</f>
        <v>0.5714285714285714</v>
      </c>
      <c r="M25" s="49">
        <f>AVERAGE('31.07 Goli-Nebbi'!M25,'01.08 Goli-Nebbi'!M25,'04.08 Goli-Nebbi'!M25,'05.08 Goli-Nebbi'!M25,'02.08 Goli-Nebbi-24h'!M25,'03.08 Goli-Nebbi-24h'!M25,'06.08 Goli-Nebbi'!M25)</f>
        <v>15</v>
      </c>
      <c r="N25" s="49">
        <f>AVERAGE('31.07 Goli-Nebbi'!N25,'01.08 Goli-Nebbi'!N25,'04.08 Goli-Nebbi'!N25,'05.08 Goli-Nebbi'!N25,'02.08 Goli-Nebbi-24h'!N25,'03.08 Goli-Nebbi-24h'!N25,'06.08 Goli-Nebbi'!N25)</f>
        <v>0</v>
      </c>
      <c r="O25" s="15">
        <f t="shared" si="0"/>
        <v>3.4285714285714288</v>
      </c>
      <c r="P25" s="15">
        <f t="shared" si="1"/>
        <v>18.428571428571431</v>
      </c>
      <c r="R25" s="1" t="s">
        <v>149</v>
      </c>
      <c r="S25" s="34">
        <f>SUM(C70:C73)</f>
        <v>0.33333333333333331</v>
      </c>
      <c r="T25" s="34">
        <f t="shared" ref="T25:AF25" si="17">SUM(D70:D73)</f>
        <v>0</v>
      </c>
      <c r="U25" s="34">
        <f t="shared" si="17"/>
        <v>0.66666666666666663</v>
      </c>
      <c r="V25" s="34">
        <f t="shared" si="17"/>
        <v>0.33333333333333331</v>
      </c>
      <c r="W25" s="34">
        <f t="shared" si="17"/>
        <v>0</v>
      </c>
      <c r="X25" s="34">
        <f t="shared" si="17"/>
        <v>0.33333333333333331</v>
      </c>
      <c r="Y25" s="34">
        <f t="shared" si="17"/>
        <v>0.66666666666666663</v>
      </c>
      <c r="Z25" s="34">
        <f t="shared" si="17"/>
        <v>0</v>
      </c>
      <c r="AA25" s="34">
        <f t="shared" si="17"/>
        <v>0</v>
      </c>
      <c r="AB25" s="34">
        <f t="shared" si="17"/>
        <v>0.33333333333333331</v>
      </c>
      <c r="AC25" s="34">
        <f t="shared" si="17"/>
        <v>13.000000000000002</v>
      </c>
      <c r="AD25" s="34">
        <f t="shared" si="17"/>
        <v>0</v>
      </c>
      <c r="AE25" s="31">
        <f t="shared" si="17"/>
        <v>2.6666666666666665</v>
      </c>
      <c r="AF25" s="31">
        <f t="shared" si="17"/>
        <v>15.666666666666668</v>
      </c>
    </row>
    <row r="26" spans="2:32" ht="23.1" customHeight="1" x14ac:dyDescent="0.25">
      <c r="B26" s="23" t="s">
        <v>53</v>
      </c>
      <c r="C26" s="49">
        <f>AVERAGE('31.07 Goli-Nebbi'!C26,'01.08 Goli-Nebbi'!C26,'04.08 Goli-Nebbi'!C26,'05.08 Goli-Nebbi'!C26,'02.08 Goli-Nebbi-24h'!C26,'03.08 Goli-Nebbi-24h'!C26,'06.08 Goli-Nebbi'!C26)</f>
        <v>0.5714285714285714</v>
      </c>
      <c r="D26" s="49">
        <f>AVERAGE('31.07 Goli-Nebbi'!D26,'01.08 Goli-Nebbi'!D26,'04.08 Goli-Nebbi'!D26,'05.08 Goli-Nebbi'!D26,'02.08 Goli-Nebbi-24h'!D26,'03.08 Goli-Nebbi-24h'!D26,'06.08 Goli-Nebbi'!D26)</f>
        <v>0.2857142857142857</v>
      </c>
      <c r="E26" s="49">
        <f>AVERAGE('31.07 Goli-Nebbi'!E26,'01.08 Goli-Nebbi'!E26,'04.08 Goli-Nebbi'!E26,'05.08 Goli-Nebbi'!E26,'02.08 Goli-Nebbi-24h'!E26,'03.08 Goli-Nebbi-24h'!E26,'06.08 Goli-Nebbi'!E26)</f>
        <v>0.8571428571428571</v>
      </c>
      <c r="F26" s="49">
        <f>AVERAGE('31.07 Goli-Nebbi'!F26,'01.08 Goli-Nebbi'!F26,'04.08 Goli-Nebbi'!F26,'05.08 Goli-Nebbi'!F26,'02.08 Goli-Nebbi-24h'!F26,'03.08 Goli-Nebbi-24h'!F26,'06.08 Goli-Nebbi'!F26)</f>
        <v>0.2857142857142857</v>
      </c>
      <c r="G26" s="49">
        <f>AVERAGE('31.07 Goli-Nebbi'!G26,'01.08 Goli-Nebbi'!G26,'04.08 Goli-Nebbi'!G26,'05.08 Goli-Nebbi'!G26,'02.08 Goli-Nebbi-24h'!G26,'03.08 Goli-Nebbi-24h'!G26,'06.08 Goli-Nebbi'!G26)</f>
        <v>0</v>
      </c>
      <c r="H26" s="49">
        <f>AVERAGE('31.07 Goli-Nebbi'!H26,'01.08 Goli-Nebbi'!H26,'04.08 Goli-Nebbi'!H26,'05.08 Goli-Nebbi'!H26,'02.08 Goli-Nebbi-24h'!H26,'03.08 Goli-Nebbi-24h'!H26,'06.08 Goli-Nebbi'!H26)</f>
        <v>0</v>
      </c>
      <c r="I26" s="49">
        <f>AVERAGE('31.07 Goli-Nebbi'!I26,'01.08 Goli-Nebbi'!I26,'04.08 Goli-Nebbi'!I26,'05.08 Goli-Nebbi'!I26,'02.08 Goli-Nebbi-24h'!I26,'03.08 Goli-Nebbi-24h'!I26,'06.08 Goli-Nebbi'!I26)</f>
        <v>0.7142857142857143</v>
      </c>
      <c r="J26" s="49">
        <f>AVERAGE('31.07 Goli-Nebbi'!J26,'01.08 Goli-Nebbi'!J26,'04.08 Goli-Nebbi'!J26,'05.08 Goli-Nebbi'!J26,'02.08 Goli-Nebbi-24h'!J26,'03.08 Goli-Nebbi-24h'!J26,'06.08 Goli-Nebbi'!J26)</f>
        <v>0</v>
      </c>
      <c r="K26" s="49">
        <f>AVERAGE('31.07 Goli-Nebbi'!K26,'01.08 Goli-Nebbi'!K26,'04.08 Goli-Nebbi'!K26,'05.08 Goli-Nebbi'!K26,'02.08 Goli-Nebbi-24h'!K26,'03.08 Goli-Nebbi-24h'!K26,'06.08 Goli-Nebbi'!K26)</f>
        <v>0.14285714285714285</v>
      </c>
      <c r="L26" s="49">
        <f>AVERAGE('31.07 Goli-Nebbi'!L26,'01.08 Goli-Nebbi'!L26,'04.08 Goli-Nebbi'!L26,'05.08 Goli-Nebbi'!L26,'02.08 Goli-Nebbi-24h'!L26,'03.08 Goli-Nebbi-24h'!L26,'06.08 Goli-Nebbi'!L26)</f>
        <v>0.2857142857142857</v>
      </c>
      <c r="M26" s="49">
        <f>AVERAGE('31.07 Goli-Nebbi'!M26,'01.08 Goli-Nebbi'!M26,'04.08 Goli-Nebbi'!M26,'05.08 Goli-Nebbi'!M26,'02.08 Goli-Nebbi-24h'!M26,'03.08 Goli-Nebbi-24h'!M26,'06.08 Goli-Nebbi'!M26)</f>
        <v>14.714285714285714</v>
      </c>
      <c r="N26" s="49">
        <f>AVERAGE('31.07 Goli-Nebbi'!N26,'01.08 Goli-Nebbi'!N26,'04.08 Goli-Nebbi'!N26,'05.08 Goli-Nebbi'!N26,'02.08 Goli-Nebbi-24h'!N26,'03.08 Goli-Nebbi-24h'!N26,'06.08 Goli-Nebbi'!N26)</f>
        <v>0</v>
      </c>
      <c r="O26" s="15">
        <f t="shared" si="0"/>
        <v>3.1428571428571428</v>
      </c>
      <c r="P26" s="15">
        <f t="shared" si="1"/>
        <v>17.857142857142858</v>
      </c>
      <c r="R26" s="1" t="s">
        <v>150</v>
      </c>
      <c r="S26" s="34">
        <f>SUM(C74:C77)</f>
        <v>2.333333333333333</v>
      </c>
      <c r="T26" s="34">
        <f t="shared" ref="T26:AF26" si="18">SUM(D74:D77)</f>
        <v>0</v>
      </c>
      <c r="U26" s="34">
        <f t="shared" si="18"/>
        <v>0.66666666666666663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0.66666666666666663</v>
      </c>
      <c r="AC26" s="34">
        <f t="shared" si="18"/>
        <v>6.0000000000000009</v>
      </c>
      <c r="AD26" s="34">
        <f t="shared" si="18"/>
        <v>0</v>
      </c>
      <c r="AE26" s="31">
        <f t="shared" si="18"/>
        <v>3.6666666666666661</v>
      </c>
      <c r="AF26" s="31">
        <f t="shared" si="18"/>
        <v>9.6666666666666661</v>
      </c>
    </row>
    <row r="27" spans="2:32" ht="23.1" customHeight="1" x14ac:dyDescent="0.25">
      <c r="B27" s="23" t="s">
        <v>54</v>
      </c>
      <c r="C27" s="49">
        <f>AVERAGE('31.07 Goli-Nebbi'!C27,'01.08 Goli-Nebbi'!C27,'04.08 Goli-Nebbi'!C27,'05.08 Goli-Nebbi'!C27,'02.08 Goli-Nebbi-24h'!C27,'03.08 Goli-Nebbi-24h'!C27,'06.08 Goli-Nebbi'!C27)</f>
        <v>0.2857142857142857</v>
      </c>
      <c r="D27" s="49">
        <f>AVERAGE('31.07 Goli-Nebbi'!D27,'01.08 Goli-Nebbi'!D27,'04.08 Goli-Nebbi'!D27,'05.08 Goli-Nebbi'!D27,'02.08 Goli-Nebbi-24h'!D27,'03.08 Goli-Nebbi-24h'!D27,'06.08 Goli-Nebbi'!D27)</f>
        <v>0.2857142857142857</v>
      </c>
      <c r="E27" s="49">
        <f>AVERAGE('31.07 Goli-Nebbi'!E27,'01.08 Goli-Nebbi'!E27,'04.08 Goli-Nebbi'!E27,'05.08 Goli-Nebbi'!E27,'02.08 Goli-Nebbi-24h'!E27,'03.08 Goli-Nebbi-24h'!E27,'06.08 Goli-Nebbi'!E27)</f>
        <v>1.1428571428571428</v>
      </c>
      <c r="F27" s="49">
        <f>AVERAGE('31.07 Goli-Nebbi'!F27,'01.08 Goli-Nebbi'!F27,'04.08 Goli-Nebbi'!F27,'05.08 Goli-Nebbi'!F27,'02.08 Goli-Nebbi-24h'!F27,'03.08 Goli-Nebbi-24h'!F27,'06.08 Goli-Nebbi'!F27)</f>
        <v>0.2857142857142857</v>
      </c>
      <c r="G27" s="49">
        <f>AVERAGE('31.07 Goli-Nebbi'!G27,'01.08 Goli-Nebbi'!G27,'04.08 Goli-Nebbi'!G27,'05.08 Goli-Nebbi'!G27,'02.08 Goli-Nebbi-24h'!G27,'03.08 Goli-Nebbi-24h'!G27,'06.08 Goli-Nebbi'!G27)</f>
        <v>0</v>
      </c>
      <c r="H27" s="49">
        <f>AVERAGE('31.07 Goli-Nebbi'!H27,'01.08 Goli-Nebbi'!H27,'04.08 Goli-Nebbi'!H27,'05.08 Goli-Nebbi'!H27,'02.08 Goli-Nebbi-24h'!H27,'03.08 Goli-Nebbi-24h'!H27,'06.08 Goli-Nebbi'!H27)</f>
        <v>0</v>
      </c>
      <c r="I27" s="49">
        <f>AVERAGE('31.07 Goli-Nebbi'!I27,'01.08 Goli-Nebbi'!I27,'04.08 Goli-Nebbi'!I27,'05.08 Goli-Nebbi'!I27,'02.08 Goli-Nebbi-24h'!I27,'03.08 Goli-Nebbi-24h'!I27,'06.08 Goli-Nebbi'!I27)</f>
        <v>0.8571428571428571</v>
      </c>
      <c r="J27" s="49">
        <f>AVERAGE('31.07 Goli-Nebbi'!J27,'01.08 Goli-Nebbi'!J27,'04.08 Goli-Nebbi'!J27,'05.08 Goli-Nebbi'!J27,'02.08 Goli-Nebbi-24h'!J27,'03.08 Goli-Nebbi-24h'!J27,'06.08 Goli-Nebbi'!J27)</f>
        <v>0</v>
      </c>
      <c r="K27" s="49">
        <f>AVERAGE('31.07 Goli-Nebbi'!K27,'01.08 Goli-Nebbi'!K27,'04.08 Goli-Nebbi'!K27,'05.08 Goli-Nebbi'!K27,'02.08 Goli-Nebbi-24h'!K27,'03.08 Goli-Nebbi-24h'!K27,'06.08 Goli-Nebbi'!K27)</f>
        <v>0</v>
      </c>
      <c r="L27" s="49">
        <f>AVERAGE('31.07 Goli-Nebbi'!L27,'01.08 Goli-Nebbi'!L27,'04.08 Goli-Nebbi'!L27,'05.08 Goli-Nebbi'!L27,'02.08 Goli-Nebbi-24h'!L27,'03.08 Goli-Nebbi-24h'!L27,'06.08 Goli-Nebbi'!L27)</f>
        <v>0.2857142857142857</v>
      </c>
      <c r="M27" s="49">
        <f>AVERAGE('31.07 Goli-Nebbi'!M27,'01.08 Goli-Nebbi'!M27,'04.08 Goli-Nebbi'!M27,'05.08 Goli-Nebbi'!M27,'02.08 Goli-Nebbi-24h'!M27,'03.08 Goli-Nebbi-24h'!M27,'06.08 Goli-Nebbi'!M27)</f>
        <v>13.428571428571429</v>
      </c>
      <c r="N27" s="49">
        <f>AVERAGE('31.07 Goli-Nebbi'!N27,'01.08 Goli-Nebbi'!N27,'04.08 Goli-Nebbi'!N27,'05.08 Goli-Nebbi'!N27,'02.08 Goli-Nebbi-24h'!N27,'03.08 Goli-Nebbi-24h'!N27,'06.08 Goli-Nebbi'!N27)</f>
        <v>0</v>
      </c>
      <c r="O27" s="15">
        <f t="shared" si="0"/>
        <v>3.1428571428571428</v>
      </c>
      <c r="P27" s="15">
        <f t="shared" si="1"/>
        <v>16.571428571428573</v>
      </c>
      <c r="R27" s="1" t="s">
        <v>151</v>
      </c>
      <c r="S27" s="34">
        <f>SUM(C78:C81)</f>
        <v>0.66666666666666663</v>
      </c>
      <c r="T27" s="34">
        <f t="shared" ref="T27:AF27" si="19">SUM(D78:D81)</f>
        <v>0</v>
      </c>
      <c r="U27" s="34">
        <f t="shared" si="19"/>
        <v>0.66666666666666663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0.33333333333333331</v>
      </c>
      <c r="Z27" s="34">
        <f t="shared" si="19"/>
        <v>0</v>
      </c>
      <c r="AA27" s="34">
        <f t="shared" si="19"/>
        <v>0</v>
      </c>
      <c r="AB27" s="34">
        <f t="shared" si="19"/>
        <v>0.33333333333333331</v>
      </c>
      <c r="AC27" s="34">
        <f t="shared" si="19"/>
        <v>2.9999999999999996</v>
      </c>
      <c r="AD27" s="34">
        <f t="shared" si="19"/>
        <v>0</v>
      </c>
      <c r="AE27" s="31">
        <f t="shared" si="19"/>
        <v>2</v>
      </c>
      <c r="AF27" s="31">
        <f t="shared" si="19"/>
        <v>5</v>
      </c>
    </row>
    <row r="28" spans="2:32" ht="23.1" customHeight="1" x14ac:dyDescent="0.25">
      <c r="B28" s="23" t="s">
        <v>55</v>
      </c>
      <c r="C28" s="49">
        <f>AVERAGE('31.07 Goli-Nebbi'!C28,'01.08 Goli-Nebbi'!C28,'04.08 Goli-Nebbi'!C28,'05.08 Goli-Nebbi'!C28,'02.08 Goli-Nebbi-24h'!C28,'03.08 Goli-Nebbi-24h'!C28,'06.08 Goli-Nebbi'!C28)</f>
        <v>1.1428571428571428</v>
      </c>
      <c r="D28" s="49">
        <f>AVERAGE('31.07 Goli-Nebbi'!D28,'01.08 Goli-Nebbi'!D28,'04.08 Goli-Nebbi'!D28,'05.08 Goli-Nebbi'!D28,'02.08 Goli-Nebbi-24h'!D28,'03.08 Goli-Nebbi-24h'!D28,'06.08 Goli-Nebbi'!D28)</f>
        <v>0.14285714285714285</v>
      </c>
      <c r="E28" s="49">
        <f>AVERAGE('31.07 Goli-Nebbi'!E28,'01.08 Goli-Nebbi'!E28,'04.08 Goli-Nebbi'!E28,'05.08 Goli-Nebbi'!E28,'02.08 Goli-Nebbi-24h'!E28,'03.08 Goli-Nebbi-24h'!E28,'06.08 Goli-Nebbi'!E28)</f>
        <v>1</v>
      </c>
      <c r="F28" s="49">
        <f>AVERAGE('31.07 Goli-Nebbi'!F28,'01.08 Goli-Nebbi'!F28,'04.08 Goli-Nebbi'!F28,'05.08 Goli-Nebbi'!F28,'02.08 Goli-Nebbi-24h'!F28,'03.08 Goli-Nebbi-24h'!F28,'06.08 Goli-Nebbi'!F28)</f>
        <v>0.2857142857142857</v>
      </c>
      <c r="G28" s="49">
        <f>AVERAGE('31.07 Goli-Nebbi'!G28,'01.08 Goli-Nebbi'!G28,'04.08 Goli-Nebbi'!G28,'05.08 Goli-Nebbi'!G28,'02.08 Goli-Nebbi-24h'!G28,'03.08 Goli-Nebbi-24h'!G28,'06.08 Goli-Nebbi'!G28)</f>
        <v>0</v>
      </c>
      <c r="H28" s="49">
        <f>AVERAGE('31.07 Goli-Nebbi'!H28,'01.08 Goli-Nebbi'!H28,'04.08 Goli-Nebbi'!H28,'05.08 Goli-Nebbi'!H28,'02.08 Goli-Nebbi-24h'!H28,'03.08 Goli-Nebbi-24h'!H28,'06.08 Goli-Nebbi'!H28)</f>
        <v>0</v>
      </c>
      <c r="I28" s="49">
        <f>AVERAGE('31.07 Goli-Nebbi'!I28,'01.08 Goli-Nebbi'!I28,'04.08 Goli-Nebbi'!I28,'05.08 Goli-Nebbi'!I28,'02.08 Goli-Nebbi-24h'!I28,'03.08 Goli-Nebbi-24h'!I28,'06.08 Goli-Nebbi'!I28)</f>
        <v>0.7142857142857143</v>
      </c>
      <c r="J28" s="49">
        <f>AVERAGE('31.07 Goli-Nebbi'!J28,'01.08 Goli-Nebbi'!J28,'04.08 Goli-Nebbi'!J28,'05.08 Goli-Nebbi'!J28,'02.08 Goli-Nebbi-24h'!J28,'03.08 Goli-Nebbi-24h'!J28,'06.08 Goli-Nebbi'!J28)</f>
        <v>0</v>
      </c>
      <c r="K28" s="49">
        <f>AVERAGE('31.07 Goli-Nebbi'!K28,'01.08 Goli-Nebbi'!K28,'04.08 Goli-Nebbi'!K28,'05.08 Goli-Nebbi'!K28,'02.08 Goli-Nebbi-24h'!K28,'03.08 Goli-Nebbi-24h'!K28,'06.08 Goli-Nebbi'!K28)</f>
        <v>0.14285714285714285</v>
      </c>
      <c r="L28" s="49">
        <f>AVERAGE('31.07 Goli-Nebbi'!L28,'01.08 Goli-Nebbi'!L28,'04.08 Goli-Nebbi'!L28,'05.08 Goli-Nebbi'!L28,'02.08 Goli-Nebbi-24h'!L28,'03.08 Goli-Nebbi-24h'!L28,'06.08 Goli-Nebbi'!L28)</f>
        <v>0.14285714285714285</v>
      </c>
      <c r="M28" s="49">
        <f>AVERAGE('31.07 Goli-Nebbi'!M28,'01.08 Goli-Nebbi'!M28,'04.08 Goli-Nebbi'!M28,'05.08 Goli-Nebbi'!M28,'02.08 Goli-Nebbi-24h'!M28,'03.08 Goli-Nebbi-24h'!M28,'06.08 Goli-Nebbi'!M28)</f>
        <v>13.428571428571429</v>
      </c>
      <c r="N28" s="49">
        <f>AVERAGE('31.07 Goli-Nebbi'!N28,'01.08 Goli-Nebbi'!N28,'04.08 Goli-Nebbi'!N28,'05.08 Goli-Nebbi'!N28,'02.08 Goli-Nebbi-24h'!N28,'03.08 Goli-Nebbi-24h'!N28,'06.08 Goli-Nebbi'!N28)</f>
        <v>0</v>
      </c>
      <c r="O28" s="15">
        <f t="shared" si="0"/>
        <v>3.5714285714285712</v>
      </c>
      <c r="P28" s="15">
        <f t="shared" si="1"/>
        <v>17</v>
      </c>
      <c r="R28" s="1" t="s">
        <v>152</v>
      </c>
      <c r="S28" s="34">
        <f>SUM(C82:C85)</f>
        <v>1.3333333333333333</v>
      </c>
      <c r="T28" s="34">
        <f t="shared" ref="T28:AF28" si="20">SUM(D82:D85)</f>
        <v>0</v>
      </c>
      <c r="U28" s="34">
        <f t="shared" si="20"/>
        <v>0.33333333333333331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0.33333333333333331</v>
      </c>
      <c r="Z28" s="34">
        <f t="shared" si="20"/>
        <v>0.33333333333333331</v>
      </c>
      <c r="AA28" s="34">
        <f t="shared" si="20"/>
        <v>0</v>
      </c>
      <c r="AB28" s="34">
        <f t="shared" si="20"/>
        <v>0.66666666666666663</v>
      </c>
      <c r="AC28" s="34">
        <f t="shared" si="20"/>
        <v>1.6666666666666665</v>
      </c>
      <c r="AD28" s="34">
        <f t="shared" si="20"/>
        <v>0</v>
      </c>
      <c r="AE28" s="31">
        <f t="shared" si="20"/>
        <v>3</v>
      </c>
      <c r="AF28" s="31">
        <f t="shared" si="20"/>
        <v>4.6666666666666661</v>
      </c>
    </row>
    <row r="29" spans="2:32" ht="23.1" customHeight="1" x14ac:dyDescent="0.25">
      <c r="B29" s="23" t="s">
        <v>56</v>
      </c>
      <c r="C29" s="49">
        <f>AVERAGE('31.07 Goli-Nebbi'!C29,'01.08 Goli-Nebbi'!C29,'04.08 Goli-Nebbi'!C29,'05.08 Goli-Nebbi'!C29,'02.08 Goli-Nebbi-24h'!C29,'03.08 Goli-Nebbi-24h'!C29,'06.08 Goli-Nebbi'!C29)</f>
        <v>0.7142857142857143</v>
      </c>
      <c r="D29" s="49">
        <f>AVERAGE('31.07 Goli-Nebbi'!D29,'01.08 Goli-Nebbi'!D29,'04.08 Goli-Nebbi'!D29,'05.08 Goli-Nebbi'!D29,'02.08 Goli-Nebbi-24h'!D29,'03.08 Goli-Nebbi-24h'!D29,'06.08 Goli-Nebbi'!D29)</f>
        <v>0.2857142857142857</v>
      </c>
      <c r="E29" s="49">
        <f>AVERAGE('31.07 Goli-Nebbi'!E29,'01.08 Goli-Nebbi'!E29,'04.08 Goli-Nebbi'!E29,'05.08 Goli-Nebbi'!E29,'02.08 Goli-Nebbi-24h'!E29,'03.08 Goli-Nebbi-24h'!E29,'06.08 Goli-Nebbi'!E29)</f>
        <v>0.8571428571428571</v>
      </c>
      <c r="F29" s="49">
        <f>AVERAGE('31.07 Goli-Nebbi'!F29,'01.08 Goli-Nebbi'!F29,'04.08 Goli-Nebbi'!F29,'05.08 Goli-Nebbi'!F29,'02.08 Goli-Nebbi-24h'!F29,'03.08 Goli-Nebbi-24h'!F29,'06.08 Goli-Nebbi'!F29)</f>
        <v>0.14285714285714285</v>
      </c>
      <c r="G29" s="49">
        <f>AVERAGE('31.07 Goli-Nebbi'!G29,'01.08 Goli-Nebbi'!G29,'04.08 Goli-Nebbi'!G29,'05.08 Goli-Nebbi'!G29,'02.08 Goli-Nebbi-24h'!G29,'03.08 Goli-Nebbi-24h'!G29,'06.08 Goli-Nebbi'!G29)</f>
        <v>0</v>
      </c>
      <c r="H29" s="49">
        <f>AVERAGE('31.07 Goli-Nebbi'!H29,'01.08 Goli-Nebbi'!H29,'04.08 Goli-Nebbi'!H29,'05.08 Goli-Nebbi'!H29,'02.08 Goli-Nebbi-24h'!H29,'03.08 Goli-Nebbi-24h'!H29,'06.08 Goli-Nebbi'!H29)</f>
        <v>0</v>
      </c>
      <c r="I29" s="49">
        <f>AVERAGE('31.07 Goli-Nebbi'!I29,'01.08 Goli-Nebbi'!I29,'04.08 Goli-Nebbi'!I29,'05.08 Goli-Nebbi'!I29,'02.08 Goli-Nebbi-24h'!I29,'03.08 Goli-Nebbi-24h'!I29,'06.08 Goli-Nebbi'!I29)</f>
        <v>1</v>
      </c>
      <c r="J29" s="49">
        <f>AVERAGE('31.07 Goli-Nebbi'!J29,'01.08 Goli-Nebbi'!J29,'04.08 Goli-Nebbi'!J29,'05.08 Goli-Nebbi'!J29,'02.08 Goli-Nebbi-24h'!J29,'03.08 Goli-Nebbi-24h'!J29,'06.08 Goli-Nebbi'!J29)</f>
        <v>0.14285714285714285</v>
      </c>
      <c r="K29" s="49">
        <f>AVERAGE('31.07 Goli-Nebbi'!K29,'01.08 Goli-Nebbi'!K29,'04.08 Goli-Nebbi'!K29,'05.08 Goli-Nebbi'!K29,'02.08 Goli-Nebbi-24h'!K29,'03.08 Goli-Nebbi-24h'!K29,'06.08 Goli-Nebbi'!K29)</f>
        <v>0.14285714285714285</v>
      </c>
      <c r="L29" s="49">
        <f>AVERAGE('31.07 Goli-Nebbi'!L29,'01.08 Goli-Nebbi'!L29,'04.08 Goli-Nebbi'!L29,'05.08 Goli-Nebbi'!L29,'02.08 Goli-Nebbi-24h'!L29,'03.08 Goli-Nebbi-24h'!L29,'06.08 Goli-Nebbi'!L29)</f>
        <v>1.2857142857142858</v>
      </c>
      <c r="M29" s="49">
        <f>AVERAGE('31.07 Goli-Nebbi'!M29,'01.08 Goli-Nebbi'!M29,'04.08 Goli-Nebbi'!M29,'05.08 Goli-Nebbi'!M29,'02.08 Goli-Nebbi-24h'!M29,'03.08 Goli-Nebbi-24h'!M29,'06.08 Goli-Nebbi'!M29)</f>
        <v>13.571428571428571</v>
      </c>
      <c r="N29" s="49">
        <f>AVERAGE('31.07 Goli-Nebbi'!N29,'01.08 Goli-Nebbi'!N29,'04.08 Goli-Nebbi'!N29,'05.08 Goli-Nebbi'!N29,'02.08 Goli-Nebbi-24h'!N29,'03.08 Goli-Nebbi-24h'!N29,'06.08 Goli-Nebbi'!N29)</f>
        <v>0</v>
      </c>
      <c r="O29" s="15">
        <f t="shared" si="0"/>
        <v>4.5714285714285712</v>
      </c>
      <c r="P29" s="15">
        <f t="shared" si="1"/>
        <v>18.142857142857142</v>
      </c>
      <c r="R29" s="1" t="s">
        <v>153</v>
      </c>
      <c r="S29" s="34">
        <f>SUM(C86:C89)</f>
        <v>0.33333333333333331</v>
      </c>
      <c r="T29" s="34">
        <f t="shared" ref="T29:AF29" si="21">SUM(D86:D89)</f>
        <v>0</v>
      </c>
      <c r="U29" s="34">
        <f t="shared" si="21"/>
        <v>0.33333333333333331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0.66666666666666663</v>
      </c>
      <c r="AA29" s="34">
        <f t="shared" si="21"/>
        <v>0</v>
      </c>
      <c r="AB29" s="34">
        <f t="shared" si="21"/>
        <v>0.33333333333333331</v>
      </c>
      <c r="AC29" s="34">
        <f t="shared" si="21"/>
        <v>1.3333333333333333</v>
      </c>
      <c r="AD29" s="34">
        <f t="shared" si="21"/>
        <v>0</v>
      </c>
      <c r="AE29" s="31">
        <f t="shared" si="21"/>
        <v>1.6666666666666665</v>
      </c>
      <c r="AF29" s="31">
        <f t="shared" si="21"/>
        <v>3</v>
      </c>
    </row>
    <row r="30" spans="2:32" ht="23.1" customHeight="1" x14ac:dyDescent="0.25">
      <c r="B30" s="23" t="s">
        <v>57</v>
      </c>
      <c r="C30" s="49">
        <f>AVERAGE('31.07 Goli-Nebbi'!C30,'01.08 Goli-Nebbi'!C30,'04.08 Goli-Nebbi'!C30,'05.08 Goli-Nebbi'!C30,'02.08 Goli-Nebbi-24h'!C30,'03.08 Goli-Nebbi-24h'!C30,'06.08 Goli-Nebbi'!C30)</f>
        <v>1</v>
      </c>
      <c r="D30" s="49">
        <f>AVERAGE('31.07 Goli-Nebbi'!D30,'01.08 Goli-Nebbi'!D30,'04.08 Goli-Nebbi'!D30,'05.08 Goli-Nebbi'!D30,'02.08 Goli-Nebbi-24h'!D30,'03.08 Goli-Nebbi-24h'!D30,'06.08 Goli-Nebbi'!D30)</f>
        <v>0.14285714285714285</v>
      </c>
      <c r="E30" s="49">
        <f>AVERAGE('31.07 Goli-Nebbi'!E30,'01.08 Goli-Nebbi'!E30,'04.08 Goli-Nebbi'!E30,'05.08 Goli-Nebbi'!E30,'02.08 Goli-Nebbi-24h'!E30,'03.08 Goli-Nebbi-24h'!E30,'06.08 Goli-Nebbi'!E30)</f>
        <v>0.7142857142857143</v>
      </c>
      <c r="F30" s="49">
        <f>AVERAGE('31.07 Goli-Nebbi'!F30,'01.08 Goli-Nebbi'!F30,'04.08 Goli-Nebbi'!F30,'05.08 Goli-Nebbi'!F30,'02.08 Goli-Nebbi-24h'!F30,'03.08 Goli-Nebbi-24h'!F30,'06.08 Goli-Nebbi'!F30)</f>
        <v>0</v>
      </c>
      <c r="G30" s="49">
        <f>AVERAGE('31.07 Goli-Nebbi'!G30,'01.08 Goli-Nebbi'!G30,'04.08 Goli-Nebbi'!G30,'05.08 Goli-Nebbi'!G30,'02.08 Goli-Nebbi-24h'!G30,'03.08 Goli-Nebbi-24h'!G30,'06.08 Goli-Nebbi'!G30)</f>
        <v>0</v>
      </c>
      <c r="H30" s="49">
        <f>AVERAGE('31.07 Goli-Nebbi'!H30,'01.08 Goli-Nebbi'!H30,'04.08 Goli-Nebbi'!H30,'05.08 Goli-Nebbi'!H30,'02.08 Goli-Nebbi-24h'!H30,'03.08 Goli-Nebbi-24h'!H30,'06.08 Goli-Nebbi'!H30)</f>
        <v>0</v>
      </c>
      <c r="I30" s="49">
        <f>AVERAGE('31.07 Goli-Nebbi'!I30,'01.08 Goli-Nebbi'!I30,'04.08 Goli-Nebbi'!I30,'05.08 Goli-Nebbi'!I30,'02.08 Goli-Nebbi-24h'!I30,'03.08 Goli-Nebbi-24h'!I30,'06.08 Goli-Nebbi'!I30)</f>
        <v>0.8571428571428571</v>
      </c>
      <c r="J30" s="49">
        <f>AVERAGE('31.07 Goli-Nebbi'!J30,'01.08 Goli-Nebbi'!J30,'04.08 Goli-Nebbi'!J30,'05.08 Goli-Nebbi'!J30,'02.08 Goli-Nebbi-24h'!J30,'03.08 Goli-Nebbi-24h'!J30,'06.08 Goli-Nebbi'!J30)</f>
        <v>0.2857142857142857</v>
      </c>
      <c r="K30" s="49">
        <f>AVERAGE('31.07 Goli-Nebbi'!K30,'01.08 Goli-Nebbi'!K30,'04.08 Goli-Nebbi'!K30,'05.08 Goli-Nebbi'!K30,'02.08 Goli-Nebbi-24h'!K30,'03.08 Goli-Nebbi-24h'!K30,'06.08 Goli-Nebbi'!K30)</f>
        <v>0.2857142857142857</v>
      </c>
      <c r="L30" s="49">
        <f>AVERAGE('31.07 Goli-Nebbi'!L30,'01.08 Goli-Nebbi'!L30,'04.08 Goli-Nebbi'!L30,'05.08 Goli-Nebbi'!L30,'02.08 Goli-Nebbi-24h'!L30,'03.08 Goli-Nebbi-24h'!L30,'06.08 Goli-Nebbi'!L30)</f>
        <v>0.7142857142857143</v>
      </c>
      <c r="M30" s="49">
        <f>AVERAGE('31.07 Goli-Nebbi'!M30,'01.08 Goli-Nebbi'!M30,'04.08 Goli-Nebbi'!M30,'05.08 Goli-Nebbi'!M30,'02.08 Goli-Nebbi-24h'!M30,'03.08 Goli-Nebbi-24h'!M30,'06.08 Goli-Nebbi'!M30)</f>
        <v>13.857142857142858</v>
      </c>
      <c r="N30" s="49">
        <f>AVERAGE('31.07 Goli-Nebbi'!N30,'01.08 Goli-Nebbi'!N30,'04.08 Goli-Nebbi'!N30,'05.08 Goli-Nebbi'!N30,'02.08 Goli-Nebbi-24h'!N30,'03.08 Goli-Nebbi-24h'!N30,'06.08 Goli-Nebbi'!N30)</f>
        <v>0</v>
      </c>
      <c r="O30" s="15">
        <f t="shared" si="0"/>
        <v>4</v>
      </c>
      <c r="P30" s="15">
        <f t="shared" si="1"/>
        <v>17.857142857142858</v>
      </c>
      <c r="R30" s="1" t="s">
        <v>154</v>
      </c>
      <c r="S30" s="34">
        <f>SUM(C90:C93)</f>
        <v>0.33333333333333331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0.33333333333333331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0.66666666666666663</v>
      </c>
      <c r="AC30" s="34">
        <f t="shared" si="22"/>
        <v>3</v>
      </c>
      <c r="AD30" s="34">
        <f t="shared" si="22"/>
        <v>0</v>
      </c>
      <c r="AE30" s="31">
        <f t="shared" si="22"/>
        <v>1.3333333333333333</v>
      </c>
      <c r="AF30" s="31">
        <f t="shared" si="22"/>
        <v>4.3333333333333339</v>
      </c>
    </row>
    <row r="31" spans="2:32" ht="23.1" customHeight="1" x14ac:dyDescent="0.25">
      <c r="B31" s="24" t="s">
        <v>58</v>
      </c>
      <c r="C31" s="49">
        <f>AVERAGE('31.07 Goli-Nebbi'!C31,'01.08 Goli-Nebbi'!C31,'04.08 Goli-Nebbi'!C31,'05.08 Goli-Nebbi'!C31,'02.08 Goli-Nebbi-24h'!C31,'03.08 Goli-Nebbi-24h'!C31,'06.08 Goli-Nebbi'!C31)</f>
        <v>1</v>
      </c>
      <c r="D31" s="49">
        <f>AVERAGE('31.07 Goli-Nebbi'!D31,'01.08 Goli-Nebbi'!D31,'04.08 Goli-Nebbi'!D31,'05.08 Goli-Nebbi'!D31,'02.08 Goli-Nebbi-24h'!D31,'03.08 Goli-Nebbi-24h'!D31,'06.08 Goli-Nebbi'!D31)</f>
        <v>0.14285714285714285</v>
      </c>
      <c r="E31" s="49">
        <f>AVERAGE('31.07 Goli-Nebbi'!E31,'01.08 Goli-Nebbi'!E31,'04.08 Goli-Nebbi'!E31,'05.08 Goli-Nebbi'!E31,'02.08 Goli-Nebbi-24h'!E31,'03.08 Goli-Nebbi-24h'!E31,'06.08 Goli-Nebbi'!E31)</f>
        <v>0.42857142857142855</v>
      </c>
      <c r="F31" s="49">
        <f>AVERAGE('31.07 Goli-Nebbi'!F31,'01.08 Goli-Nebbi'!F31,'04.08 Goli-Nebbi'!F31,'05.08 Goli-Nebbi'!F31,'02.08 Goli-Nebbi-24h'!F31,'03.08 Goli-Nebbi-24h'!F31,'06.08 Goli-Nebbi'!F31)</f>
        <v>0.42857142857142855</v>
      </c>
      <c r="G31" s="49">
        <f>AVERAGE('31.07 Goli-Nebbi'!G31,'01.08 Goli-Nebbi'!G31,'04.08 Goli-Nebbi'!G31,'05.08 Goli-Nebbi'!G31,'02.08 Goli-Nebbi-24h'!G31,'03.08 Goli-Nebbi-24h'!G31,'06.08 Goli-Nebbi'!G31)</f>
        <v>0</v>
      </c>
      <c r="H31" s="49">
        <f>AVERAGE('31.07 Goli-Nebbi'!H31,'01.08 Goli-Nebbi'!H31,'04.08 Goli-Nebbi'!H31,'05.08 Goli-Nebbi'!H31,'02.08 Goli-Nebbi-24h'!H31,'03.08 Goli-Nebbi-24h'!H31,'06.08 Goli-Nebbi'!H31)</f>
        <v>0</v>
      </c>
      <c r="I31" s="49">
        <f>AVERAGE('31.07 Goli-Nebbi'!I31,'01.08 Goli-Nebbi'!I31,'04.08 Goli-Nebbi'!I31,'05.08 Goli-Nebbi'!I31,'02.08 Goli-Nebbi-24h'!I31,'03.08 Goli-Nebbi-24h'!I31,'06.08 Goli-Nebbi'!I31)</f>
        <v>0.14285714285714285</v>
      </c>
      <c r="J31" s="49">
        <f>AVERAGE('31.07 Goli-Nebbi'!J31,'01.08 Goli-Nebbi'!J31,'04.08 Goli-Nebbi'!J31,'05.08 Goli-Nebbi'!J31,'02.08 Goli-Nebbi-24h'!J31,'03.08 Goli-Nebbi-24h'!J31,'06.08 Goli-Nebbi'!J31)</f>
        <v>0</v>
      </c>
      <c r="K31" s="49">
        <f>AVERAGE('31.07 Goli-Nebbi'!K31,'01.08 Goli-Nebbi'!K31,'04.08 Goli-Nebbi'!K31,'05.08 Goli-Nebbi'!K31,'02.08 Goli-Nebbi-24h'!K31,'03.08 Goli-Nebbi-24h'!K31,'06.08 Goli-Nebbi'!K31)</f>
        <v>0</v>
      </c>
      <c r="L31" s="49">
        <f>AVERAGE('31.07 Goli-Nebbi'!L31,'01.08 Goli-Nebbi'!L31,'04.08 Goli-Nebbi'!L31,'05.08 Goli-Nebbi'!L31,'02.08 Goli-Nebbi-24h'!L31,'03.08 Goli-Nebbi-24h'!L31,'06.08 Goli-Nebbi'!L31)</f>
        <v>0.2857142857142857</v>
      </c>
      <c r="M31" s="49">
        <f>AVERAGE('31.07 Goli-Nebbi'!M31,'01.08 Goli-Nebbi'!M31,'04.08 Goli-Nebbi'!M31,'05.08 Goli-Nebbi'!M31,'02.08 Goli-Nebbi-24h'!M31,'03.08 Goli-Nebbi-24h'!M31,'06.08 Goli-Nebbi'!M31)</f>
        <v>12.285714285714286</v>
      </c>
      <c r="N31" s="49">
        <f>AVERAGE('31.07 Goli-Nebbi'!N31,'01.08 Goli-Nebbi'!N31,'04.08 Goli-Nebbi'!N31,'05.08 Goli-Nebbi'!N31,'02.08 Goli-Nebbi-24h'!N31,'03.08 Goli-Nebbi-24h'!N31,'06.08 Goli-Nebbi'!N31)</f>
        <v>0</v>
      </c>
      <c r="O31" s="15">
        <f t="shared" si="0"/>
        <v>2.4285714285714284</v>
      </c>
      <c r="P31" s="15">
        <f t="shared" si="1"/>
        <v>14.714285714285715</v>
      </c>
      <c r="R31" s="1" t="s">
        <v>155</v>
      </c>
      <c r="S31" s="34">
        <f>SUM(C94:C97)</f>
        <v>0.66666666666666663</v>
      </c>
      <c r="T31" s="34">
        <f t="shared" ref="T31:AF31" si="23">SUM(D94:D97)</f>
        <v>0</v>
      </c>
      <c r="U31" s="34">
        <f t="shared" si="23"/>
        <v>0.66666666666666663</v>
      </c>
      <c r="V31" s="34">
        <f t="shared" si="23"/>
        <v>1</v>
      </c>
      <c r="W31" s="34">
        <f t="shared" si="23"/>
        <v>0</v>
      </c>
      <c r="X31" s="34">
        <f t="shared" si="23"/>
        <v>1.3333333333333333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0.66666666666666663</v>
      </c>
      <c r="AC31" s="34">
        <f t="shared" si="23"/>
        <v>4.333333333333333</v>
      </c>
      <c r="AD31" s="34">
        <f t="shared" si="23"/>
        <v>0</v>
      </c>
      <c r="AE31" s="31">
        <f t="shared" si="23"/>
        <v>4.333333333333333</v>
      </c>
      <c r="AF31" s="31">
        <f t="shared" si="23"/>
        <v>8.6666666666666643</v>
      </c>
    </row>
    <row r="32" spans="2:32" ht="23.1" customHeight="1" x14ac:dyDescent="0.25">
      <c r="B32" s="24" t="s">
        <v>59</v>
      </c>
      <c r="C32" s="49">
        <f>AVERAGE('31.07 Goli-Nebbi'!C32,'01.08 Goli-Nebbi'!C32,'04.08 Goli-Nebbi'!C32,'05.08 Goli-Nebbi'!C32,'02.08 Goli-Nebbi-24h'!C32,'03.08 Goli-Nebbi-24h'!C32,'06.08 Goli-Nebbi'!C32)</f>
        <v>0.7142857142857143</v>
      </c>
      <c r="D32" s="49">
        <f>AVERAGE('31.07 Goli-Nebbi'!D32,'01.08 Goli-Nebbi'!D32,'04.08 Goli-Nebbi'!D32,'05.08 Goli-Nebbi'!D32,'02.08 Goli-Nebbi-24h'!D32,'03.08 Goli-Nebbi-24h'!D32,'06.08 Goli-Nebbi'!D32)</f>
        <v>0.2857142857142857</v>
      </c>
      <c r="E32" s="49">
        <f>AVERAGE('31.07 Goli-Nebbi'!E32,'01.08 Goli-Nebbi'!E32,'04.08 Goli-Nebbi'!E32,'05.08 Goli-Nebbi'!E32,'02.08 Goli-Nebbi-24h'!E32,'03.08 Goli-Nebbi-24h'!E32,'06.08 Goli-Nebbi'!E32)</f>
        <v>1.1428571428571428</v>
      </c>
      <c r="F32" s="49">
        <f>AVERAGE('31.07 Goli-Nebbi'!F32,'01.08 Goli-Nebbi'!F32,'04.08 Goli-Nebbi'!F32,'05.08 Goli-Nebbi'!F32,'02.08 Goli-Nebbi-24h'!F32,'03.08 Goli-Nebbi-24h'!F32,'06.08 Goli-Nebbi'!F32)</f>
        <v>0.2857142857142857</v>
      </c>
      <c r="G32" s="49">
        <f>AVERAGE('31.07 Goli-Nebbi'!G32,'01.08 Goli-Nebbi'!G32,'04.08 Goli-Nebbi'!G32,'05.08 Goli-Nebbi'!G32,'02.08 Goli-Nebbi-24h'!G32,'03.08 Goli-Nebbi-24h'!G32,'06.08 Goli-Nebbi'!G32)</f>
        <v>0</v>
      </c>
      <c r="H32" s="49">
        <f>AVERAGE('31.07 Goli-Nebbi'!H32,'01.08 Goli-Nebbi'!H32,'04.08 Goli-Nebbi'!H32,'05.08 Goli-Nebbi'!H32,'02.08 Goli-Nebbi-24h'!H32,'03.08 Goli-Nebbi-24h'!H32,'06.08 Goli-Nebbi'!H32)</f>
        <v>0</v>
      </c>
      <c r="I32" s="49">
        <f>AVERAGE('31.07 Goli-Nebbi'!I32,'01.08 Goli-Nebbi'!I32,'04.08 Goli-Nebbi'!I32,'05.08 Goli-Nebbi'!I32,'02.08 Goli-Nebbi-24h'!I32,'03.08 Goli-Nebbi-24h'!I32,'06.08 Goli-Nebbi'!I32)</f>
        <v>0.42857142857142855</v>
      </c>
      <c r="J32" s="49">
        <f>AVERAGE('31.07 Goli-Nebbi'!J32,'01.08 Goli-Nebbi'!J32,'04.08 Goli-Nebbi'!J32,'05.08 Goli-Nebbi'!J32,'02.08 Goli-Nebbi-24h'!J32,'03.08 Goli-Nebbi-24h'!J32,'06.08 Goli-Nebbi'!J32)</f>
        <v>0</v>
      </c>
      <c r="K32" s="49">
        <f>AVERAGE('31.07 Goli-Nebbi'!K32,'01.08 Goli-Nebbi'!K32,'04.08 Goli-Nebbi'!K32,'05.08 Goli-Nebbi'!K32,'02.08 Goli-Nebbi-24h'!K32,'03.08 Goli-Nebbi-24h'!K32,'06.08 Goli-Nebbi'!K32)</f>
        <v>0.14285714285714285</v>
      </c>
      <c r="L32" s="49">
        <f>AVERAGE('31.07 Goli-Nebbi'!L32,'01.08 Goli-Nebbi'!L32,'04.08 Goli-Nebbi'!L32,'05.08 Goli-Nebbi'!L32,'02.08 Goli-Nebbi-24h'!L32,'03.08 Goli-Nebbi-24h'!L32,'06.08 Goli-Nebbi'!L32)</f>
        <v>0.7142857142857143</v>
      </c>
      <c r="M32" s="49">
        <f>AVERAGE('31.07 Goli-Nebbi'!M32,'01.08 Goli-Nebbi'!M32,'04.08 Goli-Nebbi'!M32,'05.08 Goli-Nebbi'!M32,'02.08 Goli-Nebbi-24h'!M32,'03.08 Goli-Nebbi-24h'!M32,'06.08 Goli-Nebbi'!M32)</f>
        <v>13.714285714285714</v>
      </c>
      <c r="N32" s="49">
        <f>AVERAGE('31.07 Goli-Nebbi'!N32,'01.08 Goli-Nebbi'!N32,'04.08 Goli-Nebbi'!N32,'05.08 Goli-Nebbi'!N32,'02.08 Goli-Nebbi-24h'!N32,'03.08 Goli-Nebbi-24h'!N32,'06.08 Goli-Nebbi'!N32)</f>
        <v>0</v>
      </c>
      <c r="O32" s="15">
        <f t="shared" si="0"/>
        <v>3.714285714285714</v>
      </c>
      <c r="P32" s="15">
        <f t="shared" si="1"/>
        <v>17.428571428571427</v>
      </c>
      <c r="R32" s="1" t="s">
        <v>156</v>
      </c>
      <c r="S32" s="34">
        <f>SUM(C98:C101)</f>
        <v>1.6666666666666665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0.33333333333333331</v>
      </c>
      <c r="X32" s="34">
        <f t="shared" si="24"/>
        <v>0.33333333333333331</v>
      </c>
      <c r="Y32" s="34">
        <f t="shared" si="24"/>
        <v>1.3333333333333333</v>
      </c>
      <c r="Z32" s="34">
        <f t="shared" si="24"/>
        <v>0</v>
      </c>
      <c r="AA32" s="34">
        <f t="shared" si="24"/>
        <v>0</v>
      </c>
      <c r="AB32" s="34">
        <f t="shared" si="24"/>
        <v>1.6666666666666665</v>
      </c>
      <c r="AC32" s="34">
        <f t="shared" si="24"/>
        <v>3.333333333333333</v>
      </c>
      <c r="AD32" s="34">
        <f t="shared" si="24"/>
        <v>0</v>
      </c>
      <c r="AE32" s="31">
        <f t="shared" si="24"/>
        <v>5.333333333333333</v>
      </c>
      <c r="AF32" s="31">
        <f t="shared" si="24"/>
        <v>8.6666666666666661</v>
      </c>
    </row>
    <row r="33" spans="2:32" ht="23.1" customHeight="1" x14ac:dyDescent="0.25">
      <c r="B33" s="23" t="s">
        <v>60</v>
      </c>
      <c r="C33" s="49">
        <f>AVERAGE('31.07 Goli-Nebbi'!C33,'01.08 Goli-Nebbi'!C33,'04.08 Goli-Nebbi'!C33,'05.08 Goli-Nebbi'!C33,'02.08 Goli-Nebbi-24h'!C33,'03.08 Goli-Nebbi-24h'!C33,'06.08 Goli-Nebbi'!C33)</f>
        <v>1.5714285714285714</v>
      </c>
      <c r="D33" s="49">
        <f>AVERAGE('31.07 Goli-Nebbi'!D33,'01.08 Goli-Nebbi'!D33,'04.08 Goli-Nebbi'!D33,'05.08 Goli-Nebbi'!D33,'02.08 Goli-Nebbi-24h'!D33,'03.08 Goli-Nebbi-24h'!D33,'06.08 Goli-Nebbi'!D33)</f>
        <v>0</v>
      </c>
      <c r="E33" s="49">
        <f>AVERAGE('31.07 Goli-Nebbi'!E33,'01.08 Goli-Nebbi'!E33,'04.08 Goli-Nebbi'!E33,'05.08 Goli-Nebbi'!E33,'02.08 Goli-Nebbi-24h'!E33,'03.08 Goli-Nebbi-24h'!E33,'06.08 Goli-Nebbi'!E33)</f>
        <v>0.5714285714285714</v>
      </c>
      <c r="F33" s="49">
        <f>AVERAGE('31.07 Goli-Nebbi'!F33,'01.08 Goli-Nebbi'!F33,'04.08 Goli-Nebbi'!F33,'05.08 Goli-Nebbi'!F33,'02.08 Goli-Nebbi-24h'!F33,'03.08 Goli-Nebbi-24h'!F33,'06.08 Goli-Nebbi'!F33)</f>
        <v>0.42857142857142855</v>
      </c>
      <c r="G33" s="49">
        <f>AVERAGE('31.07 Goli-Nebbi'!G33,'01.08 Goli-Nebbi'!G33,'04.08 Goli-Nebbi'!G33,'05.08 Goli-Nebbi'!G33,'02.08 Goli-Nebbi-24h'!G33,'03.08 Goli-Nebbi-24h'!G33,'06.08 Goli-Nebbi'!G33)</f>
        <v>0.2857142857142857</v>
      </c>
      <c r="H33" s="49">
        <f>AVERAGE('31.07 Goli-Nebbi'!H33,'01.08 Goli-Nebbi'!H33,'04.08 Goli-Nebbi'!H33,'05.08 Goli-Nebbi'!H33,'02.08 Goli-Nebbi-24h'!H33,'03.08 Goli-Nebbi-24h'!H33,'06.08 Goli-Nebbi'!H33)</f>
        <v>0</v>
      </c>
      <c r="I33" s="49">
        <f>AVERAGE('31.07 Goli-Nebbi'!I33,'01.08 Goli-Nebbi'!I33,'04.08 Goli-Nebbi'!I33,'05.08 Goli-Nebbi'!I33,'02.08 Goli-Nebbi-24h'!I33,'03.08 Goli-Nebbi-24h'!I33,'06.08 Goli-Nebbi'!I33)</f>
        <v>0.2857142857142857</v>
      </c>
      <c r="J33" s="49">
        <f>AVERAGE('31.07 Goli-Nebbi'!J33,'01.08 Goli-Nebbi'!J33,'04.08 Goli-Nebbi'!J33,'05.08 Goli-Nebbi'!J33,'02.08 Goli-Nebbi-24h'!J33,'03.08 Goli-Nebbi-24h'!J33,'06.08 Goli-Nebbi'!J33)</f>
        <v>0</v>
      </c>
      <c r="K33" s="49">
        <f>AVERAGE('31.07 Goli-Nebbi'!K33,'01.08 Goli-Nebbi'!K33,'04.08 Goli-Nebbi'!K33,'05.08 Goli-Nebbi'!K33,'02.08 Goli-Nebbi-24h'!K33,'03.08 Goli-Nebbi-24h'!K33,'06.08 Goli-Nebbi'!K33)</f>
        <v>0</v>
      </c>
      <c r="L33" s="49">
        <f>AVERAGE('31.07 Goli-Nebbi'!L33,'01.08 Goli-Nebbi'!L33,'04.08 Goli-Nebbi'!L33,'05.08 Goli-Nebbi'!L33,'02.08 Goli-Nebbi-24h'!L33,'03.08 Goli-Nebbi-24h'!L33,'06.08 Goli-Nebbi'!L33)</f>
        <v>0.2857142857142857</v>
      </c>
      <c r="M33" s="49">
        <f>AVERAGE('31.07 Goli-Nebbi'!M33,'01.08 Goli-Nebbi'!M33,'04.08 Goli-Nebbi'!M33,'05.08 Goli-Nebbi'!M33,'02.08 Goli-Nebbi-24h'!M33,'03.08 Goli-Nebbi-24h'!M33,'06.08 Goli-Nebbi'!M33)</f>
        <v>11.714285714285714</v>
      </c>
      <c r="N33" s="49">
        <f>AVERAGE('31.07 Goli-Nebbi'!N33,'01.08 Goli-Nebbi'!N33,'04.08 Goli-Nebbi'!N33,'05.08 Goli-Nebbi'!N33,'02.08 Goli-Nebbi-24h'!N33,'03.08 Goli-Nebbi-24h'!N33,'06.08 Goli-Nebbi'!N33)</f>
        <v>0</v>
      </c>
      <c r="O33" s="15">
        <f t="shared" si="0"/>
        <v>3.4285714285714279</v>
      </c>
      <c r="P33" s="15">
        <f t="shared" si="1"/>
        <v>15.142857142857142</v>
      </c>
      <c r="R33" s="1" t="s">
        <v>157</v>
      </c>
      <c r="S33" s="34">
        <f>SUM(C102:C105)</f>
        <v>3.333333333333333</v>
      </c>
      <c r="T33" s="34">
        <f t="shared" ref="T33:AF33" si="25">SUM(D102:D105)</f>
        <v>0</v>
      </c>
      <c r="U33" s="34">
        <f t="shared" si="25"/>
        <v>0.33333333333333331</v>
      </c>
      <c r="V33" s="34">
        <f t="shared" si="25"/>
        <v>0</v>
      </c>
      <c r="W33" s="34">
        <f t="shared" si="25"/>
        <v>0</v>
      </c>
      <c r="X33" s="34">
        <f t="shared" si="25"/>
        <v>0.66666666666666663</v>
      </c>
      <c r="Y33" s="34">
        <f t="shared" si="25"/>
        <v>3.6666666666666661</v>
      </c>
      <c r="Z33" s="34">
        <f t="shared" si="25"/>
        <v>0.33333333333333331</v>
      </c>
      <c r="AA33" s="34">
        <f t="shared" si="25"/>
        <v>0</v>
      </c>
      <c r="AB33" s="34">
        <f t="shared" si="25"/>
        <v>2.666666666666667</v>
      </c>
      <c r="AC33" s="34">
        <f t="shared" si="25"/>
        <v>14</v>
      </c>
      <c r="AD33" s="34">
        <f t="shared" si="25"/>
        <v>0</v>
      </c>
      <c r="AE33" s="31">
        <f t="shared" si="25"/>
        <v>11</v>
      </c>
      <c r="AF33" s="31">
        <f t="shared" si="25"/>
        <v>25</v>
      </c>
    </row>
    <row r="34" spans="2:32" ht="23.1" customHeight="1" x14ac:dyDescent="0.25">
      <c r="B34" s="24" t="s">
        <v>61</v>
      </c>
      <c r="C34" s="49">
        <f>AVERAGE('31.07 Goli-Nebbi'!C34,'01.08 Goli-Nebbi'!C34,'04.08 Goli-Nebbi'!C34,'05.08 Goli-Nebbi'!C34,'02.08 Goli-Nebbi-24h'!C34,'03.08 Goli-Nebbi-24h'!C34,'06.08 Goli-Nebbi'!C34)</f>
        <v>1</v>
      </c>
      <c r="D34" s="49">
        <f>AVERAGE('31.07 Goli-Nebbi'!D34,'01.08 Goli-Nebbi'!D34,'04.08 Goli-Nebbi'!D34,'05.08 Goli-Nebbi'!D34,'02.08 Goli-Nebbi-24h'!D34,'03.08 Goli-Nebbi-24h'!D34,'06.08 Goli-Nebbi'!D34)</f>
        <v>0</v>
      </c>
      <c r="E34" s="49">
        <f>AVERAGE('31.07 Goli-Nebbi'!E34,'01.08 Goli-Nebbi'!E34,'04.08 Goli-Nebbi'!E34,'05.08 Goli-Nebbi'!E34,'02.08 Goli-Nebbi-24h'!E34,'03.08 Goli-Nebbi-24h'!E34,'06.08 Goli-Nebbi'!E34)</f>
        <v>0.42857142857142855</v>
      </c>
      <c r="F34" s="49">
        <f>AVERAGE('31.07 Goli-Nebbi'!F34,'01.08 Goli-Nebbi'!F34,'04.08 Goli-Nebbi'!F34,'05.08 Goli-Nebbi'!F34,'02.08 Goli-Nebbi-24h'!F34,'03.08 Goli-Nebbi-24h'!F34,'06.08 Goli-Nebbi'!F34)</f>
        <v>0.5714285714285714</v>
      </c>
      <c r="G34" s="49">
        <f>AVERAGE('31.07 Goli-Nebbi'!G34,'01.08 Goli-Nebbi'!G34,'04.08 Goli-Nebbi'!G34,'05.08 Goli-Nebbi'!G34,'02.08 Goli-Nebbi-24h'!G34,'03.08 Goli-Nebbi-24h'!G34,'06.08 Goli-Nebbi'!G34)</f>
        <v>0</v>
      </c>
      <c r="H34" s="49">
        <f>AVERAGE('31.07 Goli-Nebbi'!H34,'01.08 Goli-Nebbi'!H34,'04.08 Goli-Nebbi'!H34,'05.08 Goli-Nebbi'!H34,'02.08 Goli-Nebbi-24h'!H34,'03.08 Goli-Nebbi-24h'!H34,'06.08 Goli-Nebbi'!H34)</f>
        <v>0</v>
      </c>
      <c r="I34" s="49">
        <f>AVERAGE('31.07 Goli-Nebbi'!I34,'01.08 Goli-Nebbi'!I34,'04.08 Goli-Nebbi'!I34,'05.08 Goli-Nebbi'!I34,'02.08 Goli-Nebbi-24h'!I34,'03.08 Goli-Nebbi-24h'!I34,'06.08 Goli-Nebbi'!I34)</f>
        <v>0.7142857142857143</v>
      </c>
      <c r="J34" s="49">
        <f>AVERAGE('31.07 Goli-Nebbi'!J34,'01.08 Goli-Nebbi'!J34,'04.08 Goli-Nebbi'!J34,'05.08 Goli-Nebbi'!J34,'02.08 Goli-Nebbi-24h'!J34,'03.08 Goli-Nebbi-24h'!J34,'06.08 Goli-Nebbi'!J34)</f>
        <v>0</v>
      </c>
      <c r="K34" s="49">
        <f>AVERAGE('31.07 Goli-Nebbi'!K34,'01.08 Goli-Nebbi'!K34,'04.08 Goli-Nebbi'!K34,'05.08 Goli-Nebbi'!K34,'02.08 Goli-Nebbi-24h'!K34,'03.08 Goli-Nebbi-24h'!K34,'06.08 Goli-Nebbi'!K34)</f>
        <v>0</v>
      </c>
      <c r="L34" s="49">
        <f>AVERAGE('31.07 Goli-Nebbi'!L34,'01.08 Goli-Nebbi'!L34,'04.08 Goli-Nebbi'!L34,'05.08 Goli-Nebbi'!L34,'02.08 Goli-Nebbi-24h'!L34,'03.08 Goli-Nebbi-24h'!L34,'06.08 Goli-Nebbi'!L34)</f>
        <v>0.7142857142857143</v>
      </c>
      <c r="M34" s="49">
        <f>AVERAGE('31.07 Goli-Nebbi'!M34,'01.08 Goli-Nebbi'!M34,'04.08 Goli-Nebbi'!M34,'05.08 Goli-Nebbi'!M34,'02.08 Goli-Nebbi-24h'!M34,'03.08 Goli-Nebbi-24h'!M34,'06.08 Goli-Nebbi'!M34)</f>
        <v>12.428571428571429</v>
      </c>
      <c r="N34" s="49">
        <f>AVERAGE('31.07 Goli-Nebbi'!N34,'01.08 Goli-Nebbi'!N34,'04.08 Goli-Nebbi'!N34,'05.08 Goli-Nebbi'!N34,'02.08 Goli-Nebbi-24h'!N34,'03.08 Goli-Nebbi-24h'!N34,'06.08 Goli-Nebbi'!N34)</f>
        <v>0</v>
      </c>
      <c r="O34" s="15">
        <f t="shared" si="0"/>
        <v>3.4285714285714288</v>
      </c>
      <c r="P34" s="15">
        <f t="shared" si="1"/>
        <v>15.857142857142858</v>
      </c>
      <c r="R34" s="38" t="s">
        <v>90</v>
      </c>
      <c r="S34" s="39">
        <f t="shared" ref="S34:AF34" si="26">MAX(S10:S12)</f>
        <v>4.8571428571428577</v>
      </c>
      <c r="T34" s="39">
        <f t="shared" si="26"/>
        <v>1.2857142857142856</v>
      </c>
      <c r="U34" s="39">
        <f t="shared" si="26"/>
        <v>4.5714285714285712</v>
      </c>
      <c r="V34" s="39">
        <f t="shared" si="26"/>
        <v>2.7142857142857144</v>
      </c>
      <c r="W34" s="39">
        <f t="shared" si="26"/>
        <v>0.14285714285714285</v>
      </c>
      <c r="X34" s="39">
        <f t="shared" si="26"/>
        <v>0.14285714285714285</v>
      </c>
      <c r="Y34" s="39">
        <f t="shared" si="26"/>
        <v>3.4285714285714288</v>
      </c>
      <c r="Z34" s="39">
        <f t="shared" si="26"/>
        <v>1</v>
      </c>
      <c r="AA34" s="39">
        <f t="shared" si="26"/>
        <v>0.71428571428571419</v>
      </c>
      <c r="AB34" s="39">
        <f t="shared" si="26"/>
        <v>2.5714285714285712</v>
      </c>
      <c r="AC34" s="39">
        <f t="shared" si="26"/>
        <v>51.714285714285715</v>
      </c>
      <c r="AD34" s="39">
        <f t="shared" si="26"/>
        <v>0.14285714285714285</v>
      </c>
      <c r="AE34" s="40">
        <f t="shared" si="26"/>
        <v>20</v>
      </c>
      <c r="AF34" s="40">
        <f t="shared" si="26"/>
        <v>71.714285714285708</v>
      </c>
    </row>
    <row r="35" spans="2:32" ht="23.1" customHeight="1" x14ac:dyDescent="0.25">
      <c r="B35" s="24" t="s">
        <v>62</v>
      </c>
      <c r="C35" s="49">
        <f>AVERAGE('31.07 Goli-Nebbi'!C35,'01.08 Goli-Nebbi'!C35,'04.08 Goli-Nebbi'!C35,'05.08 Goli-Nebbi'!C35,'02.08 Goli-Nebbi-24h'!C35,'03.08 Goli-Nebbi-24h'!C35,'06.08 Goli-Nebbi'!C35)</f>
        <v>0.7142857142857143</v>
      </c>
      <c r="D35" s="49">
        <f>AVERAGE('31.07 Goli-Nebbi'!D35,'01.08 Goli-Nebbi'!D35,'04.08 Goli-Nebbi'!D35,'05.08 Goli-Nebbi'!D35,'02.08 Goli-Nebbi-24h'!D35,'03.08 Goli-Nebbi-24h'!D35,'06.08 Goli-Nebbi'!D35)</f>
        <v>0.2857142857142857</v>
      </c>
      <c r="E35" s="49">
        <f>AVERAGE('31.07 Goli-Nebbi'!E35,'01.08 Goli-Nebbi'!E35,'04.08 Goli-Nebbi'!E35,'05.08 Goli-Nebbi'!E35,'02.08 Goli-Nebbi-24h'!E35,'03.08 Goli-Nebbi-24h'!E35,'06.08 Goli-Nebbi'!E35)</f>
        <v>1</v>
      </c>
      <c r="F35" s="49">
        <f>AVERAGE('31.07 Goli-Nebbi'!F35,'01.08 Goli-Nebbi'!F35,'04.08 Goli-Nebbi'!F35,'05.08 Goli-Nebbi'!F35,'02.08 Goli-Nebbi-24h'!F35,'03.08 Goli-Nebbi-24h'!F35,'06.08 Goli-Nebbi'!F35)</f>
        <v>0.2857142857142857</v>
      </c>
      <c r="G35" s="49">
        <f>AVERAGE('31.07 Goli-Nebbi'!G35,'01.08 Goli-Nebbi'!G35,'04.08 Goli-Nebbi'!G35,'05.08 Goli-Nebbi'!G35,'02.08 Goli-Nebbi-24h'!G35,'03.08 Goli-Nebbi-24h'!G35,'06.08 Goli-Nebbi'!G35)</f>
        <v>0</v>
      </c>
      <c r="H35" s="49">
        <f>AVERAGE('31.07 Goli-Nebbi'!H35,'01.08 Goli-Nebbi'!H35,'04.08 Goli-Nebbi'!H35,'05.08 Goli-Nebbi'!H35,'02.08 Goli-Nebbi-24h'!H35,'03.08 Goli-Nebbi-24h'!H35,'06.08 Goli-Nebbi'!H35)</f>
        <v>0</v>
      </c>
      <c r="I35" s="49">
        <f>AVERAGE('31.07 Goli-Nebbi'!I35,'01.08 Goli-Nebbi'!I35,'04.08 Goli-Nebbi'!I35,'05.08 Goli-Nebbi'!I35,'02.08 Goli-Nebbi-24h'!I35,'03.08 Goli-Nebbi-24h'!I35,'06.08 Goli-Nebbi'!I35)</f>
        <v>0.2857142857142857</v>
      </c>
      <c r="J35" s="49">
        <f>AVERAGE('31.07 Goli-Nebbi'!J35,'01.08 Goli-Nebbi'!J35,'04.08 Goli-Nebbi'!J35,'05.08 Goli-Nebbi'!J35,'02.08 Goli-Nebbi-24h'!J35,'03.08 Goli-Nebbi-24h'!J35,'06.08 Goli-Nebbi'!J35)</f>
        <v>0</v>
      </c>
      <c r="K35" s="49">
        <f>AVERAGE('31.07 Goli-Nebbi'!K35,'01.08 Goli-Nebbi'!K35,'04.08 Goli-Nebbi'!K35,'05.08 Goli-Nebbi'!K35,'02.08 Goli-Nebbi-24h'!K35,'03.08 Goli-Nebbi-24h'!K35,'06.08 Goli-Nebbi'!K35)</f>
        <v>0</v>
      </c>
      <c r="L35" s="49">
        <f>AVERAGE('31.07 Goli-Nebbi'!L35,'01.08 Goli-Nebbi'!L35,'04.08 Goli-Nebbi'!L35,'05.08 Goli-Nebbi'!L35,'02.08 Goli-Nebbi-24h'!L35,'03.08 Goli-Nebbi-24h'!L35,'06.08 Goli-Nebbi'!L35)</f>
        <v>0</v>
      </c>
      <c r="M35" s="49">
        <f>AVERAGE('31.07 Goli-Nebbi'!M35,'01.08 Goli-Nebbi'!M35,'04.08 Goli-Nebbi'!M35,'05.08 Goli-Nebbi'!M35,'02.08 Goli-Nebbi-24h'!M35,'03.08 Goli-Nebbi-24h'!M35,'06.08 Goli-Nebbi'!M35)</f>
        <v>14.285714285714286</v>
      </c>
      <c r="N35" s="49">
        <f>AVERAGE('31.07 Goli-Nebbi'!N35,'01.08 Goli-Nebbi'!N35,'04.08 Goli-Nebbi'!N35,'05.08 Goli-Nebbi'!N35,'02.08 Goli-Nebbi-24h'!N35,'03.08 Goli-Nebbi-24h'!N35,'06.08 Goli-Nebbi'!N35)</f>
        <v>0</v>
      </c>
      <c r="O35" s="15">
        <f t="shared" si="0"/>
        <v>2.5714285714285712</v>
      </c>
      <c r="P35" s="15">
        <f t="shared" si="1"/>
        <v>16.857142857142858</v>
      </c>
      <c r="R35" s="38" t="s">
        <v>91</v>
      </c>
      <c r="S35" s="39">
        <f t="shared" ref="S35:AF35" si="27">MAX(S13:S18)</f>
        <v>4.2857142857142856</v>
      </c>
      <c r="T35" s="39">
        <f t="shared" si="27"/>
        <v>1</v>
      </c>
      <c r="U35" s="39">
        <f t="shared" si="27"/>
        <v>3.8571428571428572</v>
      </c>
      <c r="V35" s="39">
        <f t="shared" si="27"/>
        <v>2.4285714285714284</v>
      </c>
      <c r="W35" s="39">
        <f t="shared" si="27"/>
        <v>0.2857142857142857</v>
      </c>
      <c r="X35" s="39">
        <f t="shared" si="27"/>
        <v>0.14285714285714285</v>
      </c>
      <c r="Y35" s="39">
        <f t="shared" si="27"/>
        <v>4.1428571428571423</v>
      </c>
      <c r="Z35" s="39">
        <f t="shared" si="27"/>
        <v>1.1428571428571428</v>
      </c>
      <c r="AA35" s="39">
        <f t="shared" si="27"/>
        <v>0.42857142857142855</v>
      </c>
      <c r="AB35" s="39">
        <f t="shared" si="27"/>
        <v>2</v>
      </c>
      <c r="AC35" s="39">
        <f t="shared" si="27"/>
        <v>55.142857142857139</v>
      </c>
      <c r="AD35" s="39">
        <f t="shared" si="27"/>
        <v>0.14285714285714285</v>
      </c>
      <c r="AE35" s="40">
        <f t="shared" si="27"/>
        <v>15.142857142857142</v>
      </c>
      <c r="AF35" s="40">
        <f t="shared" si="27"/>
        <v>69.571428571428569</v>
      </c>
    </row>
    <row r="36" spans="2:32" ht="23.1" customHeight="1" x14ac:dyDescent="0.25">
      <c r="B36" s="24" t="s">
        <v>63</v>
      </c>
      <c r="C36" s="49">
        <f>AVERAGE('31.07 Goli-Nebbi'!C36,'01.08 Goli-Nebbi'!C36,'04.08 Goli-Nebbi'!C36,'05.08 Goli-Nebbi'!C36,'02.08 Goli-Nebbi-24h'!C36,'03.08 Goli-Nebbi-24h'!C36,'06.08 Goli-Nebbi'!C36)</f>
        <v>1.1428571428571428</v>
      </c>
      <c r="D36" s="49">
        <f>AVERAGE('31.07 Goli-Nebbi'!D36,'01.08 Goli-Nebbi'!D36,'04.08 Goli-Nebbi'!D36,'05.08 Goli-Nebbi'!D36,'02.08 Goli-Nebbi-24h'!D36,'03.08 Goli-Nebbi-24h'!D36,'06.08 Goli-Nebbi'!D36)</f>
        <v>0.5714285714285714</v>
      </c>
      <c r="E36" s="49">
        <f>AVERAGE('31.07 Goli-Nebbi'!E36,'01.08 Goli-Nebbi'!E36,'04.08 Goli-Nebbi'!E36,'05.08 Goli-Nebbi'!E36,'02.08 Goli-Nebbi-24h'!E36,'03.08 Goli-Nebbi-24h'!E36,'06.08 Goli-Nebbi'!E36)</f>
        <v>1.2857142857142858</v>
      </c>
      <c r="F36" s="49">
        <f>AVERAGE('31.07 Goli-Nebbi'!F36,'01.08 Goli-Nebbi'!F36,'04.08 Goli-Nebbi'!F36,'05.08 Goli-Nebbi'!F36,'02.08 Goli-Nebbi-24h'!F36,'03.08 Goli-Nebbi-24h'!F36,'06.08 Goli-Nebbi'!F36)</f>
        <v>0.42857142857142855</v>
      </c>
      <c r="G36" s="49">
        <f>AVERAGE('31.07 Goli-Nebbi'!G36,'01.08 Goli-Nebbi'!G36,'04.08 Goli-Nebbi'!G36,'05.08 Goli-Nebbi'!G36,'02.08 Goli-Nebbi-24h'!G36,'03.08 Goli-Nebbi-24h'!G36,'06.08 Goli-Nebbi'!G36)</f>
        <v>0</v>
      </c>
      <c r="H36" s="49">
        <f>AVERAGE('31.07 Goli-Nebbi'!H36,'01.08 Goli-Nebbi'!H36,'04.08 Goli-Nebbi'!H36,'05.08 Goli-Nebbi'!H36,'02.08 Goli-Nebbi-24h'!H36,'03.08 Goli-Nebbi-24h'!H36,'06.08 Goli-Nebbi'!H36)</f>
        <v>0</v>
      </c>
      <c r="I36" s="49">
        <f>AVERAGE('31.07 Goli-Nebbi'!I36,'01.08 Goli-Nebbi'!I36,'04.08 Goli-Nebbi'!I36,'05.08 Goli-Nebbi'!I36,'02.08 Goli-Nebbi-24h'!I36,'03.08 Goli-Nebbi-24h'!I36,'06.08 Goli-Nebbi'!I36)</f>
        <v>0.5714285714285714</v>
      </c>
      <c r="J36" s="49">
        <f>AVERAGE('31.07 Goli-Nebbi'!J36,'01.08 Goli-Nebbi'!J36,'04.08 Goli-Nebbi'!J36,'05.08 Goli-Nebbi'!J36,'02.08 Goli-Nebbi-24h'!J36,'03.08 Goli-Nebbi-24h'!J36,'06.08 Goli-Nebbi'!J36)</f>
        <v>0</v>
      </c>
      <c r="K36" s="49">
        <f>AVERAGE('31.07 Goli-Nebbi'!K36,'01.08 Goli-Nebbi'!K36,'04.08 Goli-Nebbi'!K36,'05.08 Goli-Nebbi'!K36,'02.08 Goli-Nebbi-24h'!K36,'03.08 Goli-Nebbi-24h'!K36,'06.08 Goli-Nebbi'!K36)</f>
        <v>0</v>
      </c>
      <c r="L36" s="49">
        <f>AVERAGE('31.07 Goli-Nebbi'!L36,'01.08 Goli-Nebbi'!L36,'04.08 Goli-Nebbi'!L36,'05.08 Goli-Nebbi'!L36,'02.08 Goli-Nebbi-24h'!L36,'03.08 Goli-Nebbi-24h'!L36,'06.08 Goli-Nebbi'!L36)</f>
        <v>0.2857142857142857</v>
      </c>
      <c r="M36" s="49">
        <f>AVERAGE('31.07 Goli-Nebbi'!M36,'01.08 Goli-Nebbi'!M36,'04.08 Goli-Nebbi'!M36,'05.08 Goli-Nebbi'!M36,'02.08 Goli-Nebbi-24h'!M36,'03.08 Goli-Nebbi-24h'!M36,'06.08 Goli-Nebbi'!M36)</f>
        <v>11.428571428571429</v>
      </c>
      <c r="N36" s="49">
        <f>AVERAGE('31.07 Goli-Nebbi'!N36,'01.08 Goli-Nebbi'!N36,'04.08 Goli-Nebbi'!N36,'05.08 Goli-Nebbi'!N36,'02.08 Goli-Nebbi-24h'!N36,'03.08 Goli-Nebbi-24h'!N36,'06.08 Goli-Nebbi'!N36)</f>
        <v>0</v>
      </c>
      <c r="O36" s="15">
        <f t="shared" si="0"/>
        <v>4.2857142857142856</v>
      </c>
      <c r="P36" s="15">
        <f t="shared" si="1"/>
        <v>15.714285714285715</v>
      </c>
      <c r="R36" s="38" t="s">
        <v>92</v>
      </c>
      <c r="S36" s="39">
        <f t="shared" ref="S36:AF36" si="28">MAX(S19:S21)</f>
        <v>5.4285714285714288</v>
      </c>
      <c r="T36" s="39">
        <f t="shared" si="28"/>
        <v>1.2857142857142856</v>
      </c>
      <c r="U36" s="39">
        <f t="shared" si="28"/>
        <v>3.5714285714285712</v>
      </c>
      <c r="V36" s="39">
        <f t="shared" si="28"/>
        <v>2.1428571428571428</v>
      </c>
      <c r="W36" s="39">
        <f t="shared" si="28"/>
        <v>0.2857142857142857</v>
      </c>
      <c r="X36" s="39">
        <f t="shared" si="28"/>
        <v>0.2857142857142857</v>
      </c>
      <c r="Y36" s="39">
        <f t="shared" si="28"/>
        <v>3.4285714285714288</v>
      </c>
      <c r="Z36" s="39">
        <f t="shared" si="28"/>
        <v>0.2857142857142857</v>
      </c>
      <c r="AA36" s="39">
        <f t="shared" si="28"/>
        <v>0.42857142857142855</v>
      </c>
      <c r="AB36" s="39">
        <f t="shared" si="28"/>
        <v>2</v>
      </c>
      <c r="AC36" s="39">
        <f t="shared" si="28"/>
        <v>52.142857142857139</v>
      </c>
      <c r="AD36" s="39">
        <f t="shared" si="28"/>
        <v>0</v>
      </c>
      <c r="AE36" s="40">
        <f t="shared" si="28"/>
        <v>17.428571428571427</v>
      </c>
      <c r="AF36" s="40">
        <f t="shared" si="28"/>
        <v>69.428571428571431</v>
      </c>
    </row>
    <row r="37" spans="2:32" ht="23.1" customHeight="1" x14ac:dyDescent="0.25">
      <c r="B37" s="23" t="s">
        <v>64</v>
      </c>
      <c r="C37" s="49">
        <f>AVERAGE('31.07 Goli-Nebbi'!C37,'01.08 Goli-Nebbi'!C37,'04.08 Goli-Nebbi'!C37,'05.08 Goli-Nebbi'!C37,'02.08 Goli-Nebbi-24h'!C37,'03.08 Goli-Nebbi-24h'!C37,'06.08 Goli-Nebbi'!C37)</f>
        <v>1.1428571428571428</v>
      </c>
      <c r="D37" s="49">
        <f>AVERAGE('31.07 Goli-Nebbi'!D37,'01.08 Goli-Nebbi'!D37,'04.08 Goli-Nebbi'!D37,'05.08 Goli-Nebbi'!D37,'02.08 Goli-Nebbi-24h'!D37,'03.08 Goli-Nebbi-24h'!D37,'06.08 Goli-Nebbi'!D37)</f>
        <v>0.14285714285714285</v>
      </c>
      <c r="E37" s="49">
        <f>AVERAGE('31.07 Goli-Nebbi'!E37,'01.08 Goli-Nebbi'!E37,'04.08 Goli-Nebbi'!E37,'05.08 Goli-Nebbi'!E37,'02.08 Goli-Nebbi-24h'!E37,'03.08 Goli-Nebbi-24h'!E37,'06.08 Goli-Nebbi'!E37)</f>
        <v>0.5714285714285714</v>
      </c>
      <c r="F37" s="49">
        <f>AVERAGE('31.07 Goli-Nebbi'!F37,'01.08 Goli-Nebbi'!F37,'04.08 Goli-Nebbi'!F37,'05.08 Goli-Nebbi'!F37,'02.08 Goli-Nebbi-24h'!F37,'03.08 Goli-Nebbi-24h'!F37,'06.08 Goli-Nebbi'!F37)</f>
        <v>0.5714285714285714</v>
      </c>
      <c r="G37" s="49">
        <f>AVERAGE('31.07 Goli-Nebbi'!G37,'01.08 Goli-Nebbi'!G37,'04.08 Goli-Nebbi'!G37,'05.08 Goli-Nebbi'!G37,'02.08 Goli-Nebbi-24h'!G37,'03.08 Goli-Nebbi-24h'!G37,'06.08 Goli-Nebbi'!G37)</f>
        <v>0</v>
      </c>
      <c r="H37" s="49">
        <f>AVERAGE('31.07 Goli-Nebbi'!H37,'01.08 Goli-Nebbi'!H37,'04.08 Goli-Nebbi'!H37,'05.08 Goli-Nebbi'!H37,'02.08 Goli-Nebbi-24h'!H37,'03.08 Goli-Nebbi-24h'!H37,'06.08 Goli-Nebbi'!H37)</f>
        <v>0</v>
      </c>
      <c r="I37" s="49">
        <f>AVERAGE('31.07 Goli-Nebbi'!I37,'01.08 Goli-Nebbi'!I37,'04.08 Goli-Nebbi'!I37,'05.08 Goli-Nebbi'!I37,'02.08 Goli-Nebbi-24h'!I37,'03.08 Goli-Nebbi-24h'!I37,'06.08 Goli-Nebbi'!I37)</f>
        <v>0.5714285714285714</v>
      </c>
      <c r="J37" s="49">
        <f>AVERAGE('31.07 Goli-Nebbi'!J37,'01.08 Goli-Nebbi'!J37,'04.08 Goli-Nebbi'!J37,'05.08 Goli-Nebbi'!J37,'02.08 Goli-Nebbi-24h'!J37,'03.08 Goli-Nebbi-24h'!J37,'06.08 Goli-Nebbi'!J37)</f>
        <v>0</v>
      </c>
      <c r="K37" s="49">
        <f>AVERAGE('31.07 Goli-Nebbi'!K37,'01.08 Goli-Nebbi'!K37,'04.08 Goli-Nebbi'!K37,'05.08 Goli-Nebbi'!K37,'02.08 Goli-Nebbi-24h'!K37,'03.08 Goli-Nebbi-24h'!K37,'06.08 Goli-Nebbi'!K37)</f>
        <v>0</v>
      </c>
      <c r="L37" s="49">
        <f>AVERAGE('31.07 Goli-Nebbi'!L37,'01.08 Goli-Nebbi'!L37,'04.08 Goli-Nebbi'!L37,'05.08 Goli-Nebbi'!L37,'02.08 Goli-Nebbi-24h'!L37,'03.08 Goli-Nebbi-24h'!L37,'06.08 Goli-Nebbi'!L37)</f>
        <v>0.5714285714285714</v>
      </c>
      <c r="M37" s="49">
        <f>AVERAGE('31.07 Goli-Nebbi'!M37,'01.08 Goli-Nebbi'!M37,'04.08 Goli-Nebbi'!M37,'05.08 Goli-Nebbi'!M37,'02.08 Goli-Nebbi-24h'!M37,'03.08 Goli-Nebbi-24h'!M37,'06.08 Goli-Nebbi'!M37)</f>
        <v>9.5714285714285712</v>
      </c>
      <c r="N37" s="49">
        <f>AVERAGE('31.07 Goli-Nebbi'!N37,'01.08 Goli-Nebbi'!N37,'04.08 Goli-Nebbi'!N37,'05.08 Goli-Nebbi'!N37,'02.08 Goli-Nebbi-24h'!N37,'03.08 Goli-Nebbi-24h'!N37,'06.08 Goli-Nebbi'!N37)</f>
        <v>0.14285714285714285</v>
      </c>
      <c r="O37" s="15">
        <f t="shared" si="0"/>
        <v>3.714285714285714</v>
      </c>
      <c r="P37" s="15">
        <f t="shared" si="1"/>
        <v>13.285714285714285</v>
      </c>
      <c r="R37" s="37" t="s">
        <v>85</v>
      </c>
      <c r="S37" s="52">
        <f t="shared" ref="S37:AF37" si="29">SUM(S10:S12)</f>
        <v>12.142857142857142</v>
      </c>
      <c r="T37" s="53">
        <f t="shared" si="29"/>
        <v>2.8571428571428568</v>
      </c>
      <c r="U37" s="53">
        <f t="shared" si="29"/>
        <v>10.571428571428571</v>
      </c>
      <c r="V37" s="53">
        <f t="shared" si="29"/>
        <v>4.2857142857142856</v>
      </c>
      <c r="W37" s="53">
        <f t="shared" si="29"/>
        <v>0.2857142857142857</v>
      </c>
      <c r="X37" s="53">
        <f t="shared" si="29"/>
        <v>0.14285714285714285</v>
      </c>
      <c r="Y37" s="53">
        <f t="shared" si="29"/>
        <v>8.8571428571428577</v>
      </c>
      <c r="Z37" s="53">
        <f t="shared" si="29"/>
        <v>1.4285714285714284</v>
      </c>
      <c r="AA37" s="53">
        <f t="shared" si="29"/>
        <v>1.7142857142857142</v>
      </c>
      <c r="AB37" s="53">
        <f t="shared" si="29"/>
        <v>6.4285714285714279</v>
      </c>
      <c r="AC37" s="53">
        <f t="shared" si="29"/>
        <v>134.42857142857142</v>
      </c>
      <c r="AD37" s="53">
        <f t="shared" si="29"/>
        <v>0.2857142857142857</v>
      </c>
      <c r="AE37" s="54">
        <f t="shared" si="29"/>
        <v>49</v>
      </c>
      <c r="AF37" s="54">
        <f t="shared" si="29"/>
        <v>183.42857142857144</v>
      </c>
    </row>
    <row r="38" spans="2:32" ht="23.1" customHeight="1" x14ac:dyDescent="0.25">
      <c r="B38" s="24" t="s">
        <v>65</v>
      </c>
      <c r="C38" s="49">
        <f>AVERAGE('31.07 Goli-Nebbi'!C38,'01.08 Goli-Nebbi'!C38,'04.08 Goli-Nebbi'!C38,'05.08 Goli-Nebbi'!C38,'02.08 Goli-Nebbi-24h'!C38,'03.08 Goli-Nebbi-24h'!C38,'06.08 Goli-Nebbi'!C38)</f>
        <v>0.5714285714285714</v>
      </c>
      <c r="D38" s="49">
        <f>AVERAGE('31.07 Goli-Nebbi'!D38,'01.08 Goli-Nebbi'!D38,'04.08 Goli-Nebbi'!D38,'05.08 Goli-Nebbi'!D38,'02.08 Goli-Nebbi-24h'!D38,'03.08 Goli-Nebbi-24h'!D38,'06.08 Goli-Nebbi'!D38)</f>
        <v>0.14285714285714285</v>
      </c>
      <c r="E38" s="49">
        <f>AVERAGE('31.07 Goli-Nebbi'!E38,'01.08 Goli-Nebbi'!E38,'04.08 Goli-Nebbi'!E38,'05.08 Goli-Nebbi'!E38,'02.08 Goli-Nebbi-24h'!E38,'03.08 Goli-Nebbi-24h'!E38,'06.08 Goli-Nebbi'!E38)</f>
        <v>0.7142857142857143</v>
      </c>
      <c r="F38" s="49">
        <f>AVERAGE('31.07 Goli-Nebbi'!F38,'01.08 Goli-Nebbi'!F38,'04.08 Goli-Nebbi'!F38,'05.08 Goli-Nebbi'!F38,'02.08 Goli-Nebbi-24h'!F38,'03.08 Goli-Nebbi-24h'!F38,'06.08 Goli-Nebbi'!F38)</f>
        <v>0.2857142857142857</v>
      </c>
      <c r="G38" s="49">
        <f>AVERAGE('31.07 Goli-Nebbi'!G38,'01.08 Goli-Nebbi'!G38,'04.08 Goli-Nebbi'!G38,'05.08 Goli-Nebbi'!G38,'02.08 Goli-Nebbi-24h'!G38,'03.08 Goli-Nebbi-24h'!G38,'06.08 Goli-Nebbi'!G38)</f>
        <v>0</v>
      </c>
      <c r="H38" s="49">
        <f>AVERAGE('31.07 Goli-Nebbi'!H38,'01.08 Goli-Nebbi'!H38,'04.08 Goli-Nebbi'!H38,'05.08 Goli-Nebbi'!H38,'02.08 Goli-Nebbi-24h'!H38,'03.08 Goli-Nebbi-24h'!H38,'06.08 Goli-Nebbi'!H38)</f>
        <v>0</v>
      </c>
      <c r="I38" s="49">
        <f>AVERAGE('31.07 Goli-Nebbi'!I38,'01.08 Goli-Nebbi'!I38,'04.08 Goli-Nebbi'!I38,'05.08 Goli-Nebbi'!I38,'02.08 Goli-Nebbi-24h'!I38,'03.08 Goli-Nebbi-24h'!I38,'06.08 Goli-Nebbi'!I38)</f>
        <v>0.2857142857142857</v>
      </c>
      <c r="J38" s="49">
        <f>AVERAGE('31.07 Goli-Nebbi'!J38,'01.08 Goli-Nebbi'!J38,'04.08 Goli-Nebbi'!J38,'05.08 Goli-Nebbi'!J38,'02.08 Goli-Nebbi-24h'!J38,'03.08 Goli-Nebbi-24h'!J38,'06.08 Goli-Nebbi'!J38)</f>
        <v>0.14285714285714285</v>
      </c>
      <c r="K38" s="49">
        <f>AVERAGE('31.07 Goli-Nebbi'!K38,'01.08 Goli-Nebbi'!K38,'04.08 Goli-Nebbi'!K38,'05.08 Goli-Nebbi'!K38,'02.08 Goli-Nebbi-24h'!K38,'03.08 Goli-Nebbi-24h'!K38,'06.08 Goli-Nebbi'!K38)</f>
        <v>0</v>
      </c>
      <c r="L38" s="49">
        <f>AVERAGE('31.07 Goli-Nebbi'!L38,'01.08 Goli-Nebbi'!L38,'04.08 Goli-Nebbi'!L38,'05.08 Goli-Nebbi'!L38,'02.08 Goli-Nebbi-24h'!L38,'03.08 Goli-Nebbi-24h'!L38,'06.08 Goli-Nebbi'!L38)</f>
        <v>0.2857142857142857</v>
      </c>
      <c r="M38" s="49">
        <f>AVERAGE('31.07 Goli-Nebbi'!M38,'01.08 Goli-Nebbi'!M38,'04.08 Goli-Nebbi'!M38,'05.08 Goli-Nebbi'!M38,'02.08 Goli-Nebbi-24h'!M38,'03.08 Goli-Nebbi-24h'!M38,'06.08 Goli-Nebbi'!M38)</f>
        <v>12</v>
      </c>
      <c r="N38" s="49">
        <f>AVERAGE('31.07 Goli-Nebbi'!N38,'01.08 Goli-Nebbi'!N38,'04.08 Goli-Nebbi'!N38,'05.08 Goli-Nebbi'!N38,'02.08 Goli-Nebbi-24h'!N38,'03.08 Goli-Nebbi-24h'!N38,'06.08 Goli-Nebbi'!N38)</f>
        <v>0</v>
      </c>
      <c r="O38" s="15">
        <f t="shared" si="0"/>
        <v>2.4285714285714279</v>
      </c>
      <c r="P38" s="15">
        <f t="shared" si="1"/>
        <v>14.428571428571427</v>
      </c>
      <c r="R38" s="28" t="s">
        <v>86</v>
      </c>
      <c r="S38" s="53">
        <f t="shared" ref="S38:AF38" si="30">SUM(S13:S18)</f>
        <v>22.714285714285715</v>
      </c>
      <c r="T38" s="53">
        <f t="shared" si="30"/>
        <v>3.714285714285714</v>
      </c>
      <c r="U38" s="53">
        <f t="shared" si="30"/>
        <v>16.571428571428569</v>
      </c>
      <c r="V38" s="53">
        <f t="shared" si="30"/>
        <v>10.571428571428569</v>
      </c>
      <c r="W38" s="53">
        <f t="shared" si="30"/>
        <v>0.5714285714285714</v>
      </c>
      <c r="X38" s="53">
        <f t="shared" si="30"/>
        <v>0.14285714285714285</v>
      </c>
      <c r="Y38" s="53">
        <f t="shared" si="30"/>
        <v>16.714285714285712</v>
      </c>
      <c r="Z38" s="53">
        <f t="shared" si="30"/>
        <v>2.2857142857142856</v>
      </c>
      <c r="AA38" s="53">
        <f t="shared" si="30"/>
        <v>1.1428571428571428</v>
      </c>
      <c r="AB38" s="53">
        <f t="shared" si="30"/>
        <v>9.1428571428571423</v>
      </c>
      <c r="AC38" s="53">
        <f t="shared" si="30"/>
        <v>297.14285714285717</v>
      </c>
      <c r="AD38" s="53">
        <f t="shared" si="30"/>
        <v>0.14285714285714285</v>
      </c>
      <c r="AE38" s="54">
        <f t="shared" si="30"/>
        <v>83.714285714285694</v>
      </c>
      <c r="AF38" s="54">
        <f t="shared" si="30"/>
        <v>380.85714285714283</v>
      </c>
    </row>
    <row r="39" spans="2:32" ht="23.1" customHeight="1" x14ac:dyDescent="0.25">
      <c r="B39" s="24" t="s">
        <v>66</v>
      </c>
      <c r="C39" s="49">
        <f>AVERAGE('31.07 Goli-Nebbi'!C39,'01.08 Goli-Nebbi'!C39,'04.08 Goli-Nebbi'!C39,'05.08 Goli-Nebbi'!C39,'02.08 Goli-Nebbi-24h'!C39,'03.08 Goli-Nebbi-24h'!C39,'06.08 Goli-Nebbi'!C39)</f>
        <v>0.42857142857142855</v>
      </c>
      <c r="D39" s="49">
        <f>AVERAGE('31.07 Goli-Nebbi'!D39,'01.08 Goli-Nebbi'!D39,'04.08 Goli-Nebbi'!D39,'05.08 Goli-Nebbi'!D39,'02.08 Goli-Nebbi-24h'!D39,'03.08 Goli-Nebbi-24h'!D39,'06.08 Goli-Nebbi'!D39)</f>
        <v>0.14285714285714285</v>
      </c>
      <c r="E39" s="49">
        <f>AVERAGE('31.07 Goli-Nebbi'!E39,'01.08 Goli-Nebbi'!E39,'04.08 Goli-Nebbi'!E39,'05.08 Goli-Nebbi'!E39,'02.08 Goli-Nebbi-24h'!E39,'03.08 Goli-Nebbi-24h'!E39,'06.08 Goli-Nebbi'!E39)</f>
        <v>0.2857142857142857</v>
      </c>
      <c r="F39" s="49">
        <f>AVERAGE('31.07 Goli-Nebbi'!F39,'01.08 Goli-Nebbi'!F39,'04.08 Goli-Nebbi'!F39,'05.08 Goli-Nebbi'!F39,'02.08 Goli-Nebbi-24h'!F39,'03.08 Goli-Nebbi-24h'!F39,'06.08 Goli-Nebbi'!F39)</f>
        <v>0.7142857142857143</v>
      </c>
      <c r="G39" s="49">
        <f>AVERAGE('31.07 Goli-Nebbi'!G39,'01.08 Goli-Nebbi'!G39,'04.08 Goli-Nebbi'!G39,'05.08 Goli-Nebbi'!G39,'02.08 Goli-Nebbi-24h'!G39,'03.08 Goli-Nebbi-24h'!G39,'06.08 Goli-Nebbi'!G39)</f>
        <v>0</v>
      </c>
      <c r="H39" s="49">
        <f>AVERAGE('31.07 Goli-Nebbi'!H39,'01.08 Goli-Nebbi'!H39,'04.08 Goli-Nebbi'!H39,'05.08 Goli-Nebbi'!H39,'02.08 Goli-Nebbi-24h'!H39,'03.08 Goli-Nebbi-24h'!H39,'06.08 Goli-Nebbi'!H39)</f>
        <v>0</v>
      </c>
      <c r="I39" s="49">
        <f>AVERAGE('31.07 Goli-Nebbi'!I39,'01.08 Goli-Nebbi'!I39,'04.08 Goli-Nebbi'!I39,'05.08 Goli-Nebbi'!I39,'02.08 Goli-Nebbi-24h'!I39,'03.08 Goli-Nebbi-24h'!I39,'06.08 Goli-Nebbi'!I39)</f>
        <v>0.5714285714285714</v>
      </c>
      <c r="J39" s="49">
        <f>AVERAGE('31.07 Goli-Nebbi'!J39,'01.08 Goli-Nebbi'!J39,'04.08 Goli-Nebbi'!J39,'05.08 Goli-Nebbi'!J39,'02.08 Goli-Nebbi-24h'!J39,'03.08 Goli-Nebbi-24h'!J39,'06.08 Goli-Nebbi'!J39)</f>
        <v>0.42857142857142855</v>
      </c>
      <c r="K39" s="49">
        <f>AVERAGE('31.07 Goli-Nebbi'!K39,'01.08 Goli-Nebbi'!K39,'04.08 Goli-Nebbi'!K39,'05.08 Goli-Nebbi'!K39,'02.08 Goli-Nebbi-24h'!K39,'03.08 Goli-Nebbi-24h'!K39,'06.08 Goli-Nebbi'!K39)</f>
        <v>0</v>
      </c>
      <c r="L39" s="49">
        <f>AVERAGE('31.07 Goli-Nebbi'!L39,'01.08 Goli-Nebbi'!L39,'04.08 Goli-Nebbi'!L39,'05.08 Goli-Nebbi'!L39,'02.08 Goli-Nebbi-24h'!L39,'03.08 Goli-Nebbi-24h'!L39,'06.08 Goli-Nebbi'!L39)</f>
        <v>0.2857142857142857</v>
      </c>
      <c r="M39" s="49">
        <f>AVERAGE('31.07 Goli-Nebbi'!M39,'01.08 Goli-Nebbi'!M39,'04.08 Goli-Nebbi'!M39,'05.08 Goli-Nebbi'!M39,'02.08 Goli-Nebbi-24h'!M39,'03.08 Goli-Nebbi-24h'!M39,'06.08 Goli-Nebbi'!M39)</f>
        <v>11.285714285714286</v>
      </c>
      <c r="N39" s="49">
        <f>AVERAGE('31.07 Goli-Nebbi'!N39,'01.08 Goli-Nebbi'!N39,'04.08 Goli-Nebbi'!N39,'05.08 Goli-Nebbi'!N39,'02.08 Goli-Nebbi-24h'!N39,'03.08 Goli-Nebbi-24h'!N39,'06.08 Goli-Nebbi'!N39)</f>
        <v>0</v>
      </c>
      <c r="O39" s="15">
        <f t="shared" si="0"/>
        <v>2.8571428571428568</v>
      </c>
      <c r="P39" s="15">
        <f t="shared" si="1"/>
        <v>14.142857142857142</v>
      </c>
      <c r="R39" s="29" t="s">
        <v>87</v>
      </c>
      <c r="S39" s="53">
        <f t="shared" ref="S39:AF39" si="31">SUM(S19:S21)</f>
        <v>15.285714285714285</v>
      </c>
      <c r="T39" s="53">
        <f t="shared" si="31"/>
        <v>2.714285714285714</v>
      </c>
      <c r="U39" s="53">
        <f t="shared" si="31"/>
        <v>9.2857142857142847</v>
      </c>
      <c r="V39" s="53">
        <f t="shared" si="31"/>
        <v>5.5714285714285712</v>
      </c>
      <c r="W39" s="53">
        <f t="shared" si="31"/>
        <v>0.42857142857142855</v>
      </c>
      <c r="X39" s="53">
        <f t="shared" si="31"/>
        <v>0.2857142857142857</v>
      </c>
      <c r="Y39" s="53">
        <f t="shared" si="31"/>
        <v>8.571428571428573</v>
      </c>
      <c r="Z39" s="53">
        <f t="shared" si="31"/>
        <v>0.71428571428571419</v>
      </c>
      <c r="AA39" s="53">
        <f t="shared" si="31"/>
        <v>0.5714285714285714</v>
      </c>
      <c r="AB39" s="53">
        <f t="shared" si="31"/>
        <v>5</v>
      </c>
      <c r="AC39" s="53">
        <f t="shared" si="31"/>
        <v>151.85714285714283</v>
      </c>
      <c r="AD39" s="53">
        <f t="shared" si="31"/>
        <v>0</v>
      </c>
      <c r="AE39" s="54">
        <f t="shared" si="31"/>
        <v>48.428571428571431</v>
      </c>
      <c r="AF39" s="54">
        <f t="shared" si="31"/>
        <v>200.28571428571428</v>
      </c>
    </row>
    <row r="40" spans="2:32" ht="23.1" customHeight="1" x14ac:dyDescent="0.25">
      <c r="B40" s="24" t="s">
        <v>67</v>
      </c>
      <c r="C40" s="49">
        <f>AVERAGE('31.07 Goli-Nebbi'!C40,'01.08 Goli-Nebbi'!C40,'04.08 Goli-Nebbi'!C40,'05.08 Goli-Nebbi'!C40,'02.08 Goli-Nebbi-24h'!C40,'03.08 Goli-Nebbi-24h'!C40,'06.08 Goli-Nebbi'!C40)</f>
        <v>2.1428571428571428</v>
      </c>
      <c r="D40" s="49">
        <f>AVERAGE('31.07 Goli-Nebbi'!D40,'01.08 Goli-Nebbi'!D40,'04.08 Goli-Nebbi'!D40,'05.08 Goli-Nebbi'!D40,'02.08 Goli-Nebbi-24h'!D40,'03.08 Goli-Nebbi-24h'!D40,'06.08 Goli-Nebbi'!D40)</f>
        <v>0.2857142857142857</v>
      </c>
      <c r="E40" s="49">
        <f>AVERAGE('31.07 Goli-Nebbi'!E40,'01.08 Goli-Nebbi'!E40,'04.08 Goli-Nebbi'!E40,'05.08 Goli-Nebbi'!E40,'02.08 Goli-Nebbi-24h'!E40,'03.08 Goli-Nebbi-24h'!E40,'06.08 Goli-Nebbi'!E40)</f>
        <v>1</v>
      </c>
      <c r="F40" s="49">
        <f>AVERAGE('31.07 Goli-Nebbi'!F40,'01.08 Goli-Nebbi'!F40,'04.08 Goli-Nebbi'!F40,'05.08 Goli-Nebbi'!F40,'02.08 Goli-Nebbi-24h'!F40,'03.08 Goli-Nebbi-24h'!F40,'06.08 Goli-Nebbi'!F40)</f>
        <v>1.1428571428571428</v>
      </c>
      <c r="G40" s="49">
        <f>AVERAGE('31.07 Goli-Nebbi'!G40,'01.08 Goli-Nebbi'!G40,'04.08 Goli-Nebbi'!G40,'05.08 Goli-Nebbi'!G40,'02.08 Goli-Nebbi-24h'!G40,'03.08 Goli-Nebbi-24h'!G40,'06.08 Goli-Nebbi'!G40)</f>
        <v>0</v>
      </c>
      <c r="H40" s="49">
        <f>AVERAGE('31.07 Goli-Nebbi'!H40,'01.08 Goli-Nebbi'!H40,'04.08 Goli-Nebbi'!H40,'05.08 Goli-Nebbi'!H40,'02.08 Goli-Nebbi-24h'!H40,'03.08 Goli-Nebbi-24h'!H40,'06.08 Goli-Nebbi'!H40)</f>
        <v>0</v>
      </c>
      <c r="I40" s="49">
        <f>AVERAGE('31.07 Goli-Nebbi'!I40,'01.08 Goli-Nebbi'!I40,'04.08 Goli-Nebbi'!I40,'05.08 Goli-Nebbi'!I40,'02.08 Goli-Nebbi-24h'!I40,'03.08 Goli-Nebbi-24h'!I40,'06.08 Goli-Nebbi'!I40)</f>
        <v>1</v>
      </c>
      <c r="J40" s="49">
        <f>AVERAGE('31.07 Goli-Nebbi'!J40,'01.08 Goli-Nebbi'!J40,'04.08 Goli-Nebbi'!J40,'05.08 Goli-Nebbi'!J40,'02.08 Goli-Nebbi-24h'!J40,'03.08 Goli-Nebbi-24h'!J40,'06.08 Goli-Nebbi'!J40)</f>
        <v>0.2857142857142857</v>
      </c>
      <c r="K40" s="49">
        <f>AVERAGE('31.07 Goli-Nebbi'!K40,'01.08 Goli-Nebbi'!K40,'04.08 Goli-Nebbi'!K40,'05.08 Goli-Nebbi'!K40,'02.08 Goli-Nebbi-24h'!K40,'03.08 Goli-Nebbi-24h'!K40,'06.08 Goli-Nebbi'!K40)</f>
        <v>0</v>
      </c>
      <c r="L40" s="49">
        <f>AVERAGE('31.07 Goli-Nebbi'!L40,'01.08 Goli-Nebbi'!L40,'04.08 Goli-Nebbi'!L40,'05.08 Goli-Nebbi'!L40,'02.08 Goli-Nebbi-24h'!L40,'03.08 Goli-Nebbi-24h'!L40,'06.08 Goli-Nebbi'!L40)</f>
        <v>0.14285714285714285</v>
      </c>
      <c r="M40" s="49">
        <f>AVERAGE('31.07 Goli-Nebbi'!M40,'01.08 Goli-Nebbi'!M40,'04.08 Goli-Nebbi'!M40,'05.08 Goli-Nebbi'!M40,'02.08 Goli-Nebbi-24h'!M40,'03.08 Goli-Nebbi-24h'!M40,'06.08 Goli-Nebbi'!M40)</f>
        <v>11.428571428571429</v>
      </c>
      <c r="N40" s="49">
        <f>AVERAGE('31.07 Goli-Nebbi'!N40,'01.08 Goli-Nebbi'!N40,'04.08 Goli-Nebbi'!N40,'05.08 Goli-Nebbi'!N40,'02.08 Goli-Nebbi-24h'!N40,'03.08 Goli-Nebbi-24h'!N40,'06.08 Goli-Nebbi'!N40)</f>
        <v>0</v>
      </c>
      <c r="O40" s="15">
        <f t="shared" si="0"/>
        <v>6</v>
      </c>
      <c r="P40" s="15">
        <f t="shared" si="1"/>
        <v>17.428571428571431</v>
      </c>
      <c r="R40" s="5" t="s">
        <v>17</v>
      </c>
      <c r="S40" s="53">
        <f t="shared" ref="S40:AF40" si="32">SUM(S10:S21)</f>
        <v>50.142857142857139</v>
      </c>
      <c r="T40" s="53">
        <f t="shared" si="32"/>
        <v>9.2857142857142847</v>
      </c>
      <c r="U40" s="53">
        <f t="shared" si="32"/>
        <v>36.428571428571431</v>
      </c>
      <c r="V40" s="53">
        <f t="shared" si="32"/>
        <v>20.428571428571427</v>
      </c>
      <c r="W40" s="53">
        <f t="shared" si="32"/>
        <v>1.2857142857142856</v>
      </c>
      <c r="X40" s="53">
        <f t="shared" si="32"/>
        <v>0.5714285714285714</v>
      </c>
      <c r="Y40" s="53">
        <f t="shared" si="32"/>
        <v>34.142857142857146</v>
      </c>
      <c r="Z40" s="53">
        <f t="shared" si="32"/>
        <v>4.4285714285714279</v>
      </c>
      <c r="AA40" s="53">
        <f t="shared" si="32"/>
        <v>3.4285714285714279</v>
      </c>
      <c r="AB40" s="53">
        <f t="shared" si="32"/>
        <v>20.571428571428569</v>
      </c>
      <c r="AC40" s="53">
        <f t="shared" si="32"/>
        <v>583.42857142857144</v>
      </c>
      <c r="AD40" s="53">
        <f t="shared" si="32"/>
        <v>0.42857142857142855</v>
      </c>
      <c r="AE40" s="54">
        <f t="shared" si="32"/>
        <v>181.14285714285711</v>
      </c>
      <c r="AF40" s="54">
        <f t="shared" si="32"/>
        <v>764.57142857142844</v>
      </c>
    </row>
    <row r="41" spans="2:32" ht="23.1" customHeight="1" x14ac:dyDescent="0.25">
      <c r="B41" s="23" t="s">
        <v>68</v>
      </c>
      <c r="C41" s="49">
        <f>AVERAGE('31.07 Goli-Nebbi'!C41,'01.08 Goli-Nebbi'!C41,'04.08 Goli-Nebbi'!C41,'05.08 Goli-Nebbi'!C41,'02.08 Goli-Nebbi-24h'!C41,'03.08 Goli-Nebbi-24h'!C41,'06.08 Goli-Nebbi'!C41)</f>
        <v>0.7142857142857143</v>
      </c>
      <c r="D41" s="49">
        <f>AVERAGE('31.07 Goli-Nebbi'!D41,'01.08 Goli-Nebbi'!D41,'04.08 Goli-Nebbi'!D41,'05.08 Goli-Nebbi'!D41,'02.08 Goli-Nebbi-24h'!D41,'03.08 Goli-Nebbi-24h'!D41,'06.08 Goli-Nebbi'!D41)</f>
        <v>0.14285714285714285</v>
      </c>
      <c r="E41" s="49">
        <f>AVERAGE('31.07 Goli-Nebbi'!E41,'01.08 Goli-Nebbi'!E41,'04.08 Goli-Nebbi'!E41,'05.08 Goli-Nebbi'!E41,'02.08 Goli-Nebbi-24h'!E41,'03.08 Goli-Nebbi-24h'!E41,'06.08 Goli-Nebbi'!E41)</f>
        <v>0.7142857142857143</v>
      </c>
      <c r="F41" s="49">
        <f>AVERAGE('31.07 Goli-Nebbi'!F41,'01.08 Goli-Nebbi'!F41,'04.08 Goli-Nebbi'!F41,'05.08 Goli-Nebbi'!F41,'02.08 Goli-Nebbi-24h'!F41,'03.08 Goli-Nebbi-24h'!F41,'06.08 Goli-Nebbi'!F41)</f>
        <v>0.2857142857142857</v>
      </c>
      <c r="G41" s="49">
        <f>AVERAGE('31.07 Goli-Nebbi'!G41,'01.08 Goli-Nebbi'!G41,'04.08 Goli-Nebbi'!G41,'05.08 Goli-Nebbi'!G41,'02.08 Goli-Nebbi-24h'!G41,'03.08 Goli-Nebbi-24h'!G41,'06.08 Goli-Nebbi'!G41)</f>
        <v>0</v>
      </c>
      <c r="H41" s="49">
        <f>AVERAGE('31.07 Goli-Nebbi'!H41,'01.08 Goli-Nebbi'!H41,'04.08 Goli-Nebbi'!H41,'05.08 Goli-Nebbi'!H41,'02.08 Goli-Nebbi-24h'!H41,'03.08 Goli-Nebbi-24h'!H41,'06.08 Goli-Nebbi'!H41)</f>
        <v>0</v>
      </c>
      <c r="I41" s="49">
        <f>AVERAGE('31.07 Goli-Nebbi'!I41,'01.08 Goli-Nebbi'!I41,'04.08 Goli-Nebbi'!I41,'05.08 Goli-Nebbi'!I41,'02.08 Goli-Nebbi-24h'!I41,'03.08 Goli-Nebbi-24h'!I41,'06.08 Goli-Nebbi'!I41)</f>
        <v>0.42857142857142855</v>
      </c>
      <c r="J41" s="49">
        <f>AVERAGE('31.07 Goli-Nebbi'!J41,'01.08 Goli-Nebbi'!J41,'04.08 Goli-Nebbi'!J41,'05.08 Goli-Nebbi'!J41,'02.08 Goli-Nebbi-24h'!J41,'03.08 Goli-Nebbi-24h'!J41,'06.08 Goli-Nebbi'!J41)</f>
        <v>0.2857142857142857</v>
      </c>
      <c r="K41" s="49">
        <f>AVERAGE('31.07 Goli-Nebbi'!K41,'01.08 Goli-Nebbi'!K41,'04.08 Goli-Nebbi'!K41,'05.08 Goli-Nebbi'!K41,'02.08 Goli-Nebbi-24h'!K41,'03.08 Goli-Nebbi-24h'!K41,'06.08 Goli-Nebbi'!K41)</f>
        <v>0</v>
      </c>
      <c r="L41" s="49">
        <f>AVERAGE('31.07 Goli-Nebbi'!L41,'01.08 Goli-Nebbi'!L41,'04.08 Goli-Nebbi'!L41,'05.08 Goli-Nebbi'!L41,'02.08 Goli-Nebbi-24h'!L41,'03.08 Goli-Nebbi-24h'!L41,'06.08 Goli-Nebbi'!L41)</f>
        <v>0.42857142857142855</v>
      </c>
      <c r="M41" s="49">
        <f>AVERAGE('31.07 Goli-Nebbi'!M41,'01.08 Goli-Nebbi'!M41,'04.08 Goli-Nebbi'!M41,'05.08 Goli-Nebbi'!M41,'02.08 Goli-Nebbi-24h'!M41,'03.08 Goli-Nebbi-24h'!M41,'06.08 Goli-Nebbi'!M41)</f>
        <v>10</v>
      </c>
      <c r="N41" s="49">
        <f>AVERAGE('31.07 Goli-Nebbi'!N41,'01.08 Goli-Nebbi'!N41,'04.08 Goli-Nebbi'!N41,'05.08 Goli-Nebbi'!N41,'02.08 Goli-Nebbi-24h'!N41,'03.08 Goli-Nebbi-24h'!N41,'06.08 Goli-Nebbi'!N41)</f>
        <v>0</v>
      </c>
      <c r="O41" s="15">
        <f t="shared" si="0"/>
        <v>2.9999999999999996</v>
      </c>
      <c r="P41" s="15">
        <f t="shared" si="1"/>
        <v>13</v>
      </c>
      <c r="R41" s="5" t="s">
        <v>173</v>
      </c>
      <c r="S41" s="53">
        <f>SUM(S10:S33)</f>
        <v>70.142857142857139</v>
      </c>
      <c r="T41" s="53">
        <f t="shared" ref="T41:AD41" si="33">SUM(T10:T33)</f>
        <v>9.2857142857142847</v>
      </c>
      <c r="U41" s="53">
        <f t="shared" si="33"/>
        <v>40.761904761904766</v>
      </c>
      <c r="V41" s="53">
        <f t="shared" si="33"/>
        <v>23.761904761904759</v>
      </c>
      <c r="W41" s="53">
        <f t="shared" si="33"/>
        <v>2.9523809523809526</v>
      </c>
      <c r="X41" s="53">
        <f t="shared" si="33"/>
        <v>4.5714285714285712</v>
      </c>
      <c r="Y41" s="53">
        <f t="shared" si="33"/>
        <v>43.476190476190482</v>
      </c>
      <c r="Z41" s="53">
        <f t="shared" si="33"/>
        <v>5.761904761904761</v>
      </c>
      <c r="AA41" s="53">
        <f t="shared" si="33"/>
        <v>3.7619047619047614</v>
      </c>
      <c r="AB41" s="53">
        <f t="shared" si="33"/>
        <v>31.238095238095241</v>
      </c>
      <c r="AC41" s="53">
        <f t="shared" si="33"/>
        <v>727.76190476190493</v>
      </c>
      <c r="AD41" s="53">
        <f t="shared" si="33"/>
        <v>0.42857142857142855</v>
      </c>
      <c r="AE41" s="54">
        <f>SUM(AE10:AE33)</f>
        <v>236.14285714285708</v>
      </c>
      <c r="AF41" s="54">
        <f>SUM(AF10:AF33)</f>
        <v>963.90476190476159</v>
      </c>
    </row>
    <row r="42" spans="2:32" ht="23.1" customHeight="1" x14ac:dyDescent="0.25">
      <c r="B42" s="24" t="s">
        <v>69</v>
      </c>
      <c r="C42" s="49">
        <f>AVERAGE('31.07 Goli-Nebbi'!C42,'01.08 Goli-Nebbi'!C42,'04.08 Goli-Nebbi'!C42,'05.08 Goli-Nebbi'!C42,'02.08 Goli-Nebbi-24h'!C42,'03.08 Goli-Nebbi-24h'!C42,'06.08 Goli-Nebbi'!C42)</f>
        <v>1.1428571428571428</v>
      </c>
      <c r="D42" s="49">
        <f>AVERAGE('31.07 Goli-Nebbi'!D42,'01.08 Goli-Nebbi'!D42,'04.08 Goli-Nebbi'!D42,'05.08 Goli-Nebbi'!D42,'02.08 Goli-Nebbi-24h'!D42,'03.08 Goli-Nebbi-24h'!D42,'06.08 Goli-Nebbi'!D42)</f>
        <v>0</v>
      </c>
      <c r="E42" s="49">
        <f>AVERAGE('31.07 Goli-Nebbi'!E42,'01.08 Goli-Nebbi'!E42,'04.08 Goli-Nebbi'!E42,'05.08 Goli-Nebbi'!E42,'02.08 Goli-Nebbi-24h'!E42,'03.08 Goli-Nebbi-24h'!E42,'06.08 Goli-Nebbi'!E42)</f>
        <v>0.2857142857142857</v>
      </c>
      <c r="F42" s="49">
        <f>AVERAGE('31.07 Goli-Nebbi'!F42,'01.08 Goli-Nebbi'!F42,'04.08 Goli-Nebbi'!F42,'05.08 Goli-Nebbi'!F42,'02.08 Goli-Nebbi-24h'!F42,'03.08 Goli-Nebbi-24h'!F42,'06.08 Goli-Nebbi'!F42)</f>
        <v>0.14285714285714285</v>
      </c>
      <c r="G42" s="49">
        <f>AVERAGE('31.07 Goli-Nebbi'!G42,'01.08 Goli-Nebbi'!G42,'04.08 Goli-Nebbi'!G42,'05.08 Goli-Nebbi'!G42,'02.08 Goli-Nebbi-24h'!G42,'03.08 Goli-Nebbi-24h'!G42,'06.08 Goli-Nebbi'!G42)</f>
        <v>0</v>
      </c>
      <c r="H42" s="49">
        <f>AVERAGE('31.07 Goli-Nebbi'!H42,'01.08 Goli-Nebbi'!H42,'04.08 Goli-Nebbi'!H42,'05.08 Goli-Nebbi'!H42,'02.08 Goli-Nebbi-24h'!H42,'03.08 Goli-Nebbi-24h'!H42,'06.08 Goli-Nebbi'!H42)</f>
        <v>0</v>
      </c>
      <c r="I42" s="49">
        <f>AVERAGE('31.07 Goli-Nebbi'!I42,'01.08 Goli-Nebbi'!I42,'04.08 Goli-Nebbi'!I42,'05.08 Goli-Nebbi'!I42,'02.08 Goli-Nebbi-24h'!I42,'03.08 Goli-Nebbi-24h'!I42,'06.08 Goli-Nebbi'!I42)</f>
        <v>0.5714285714285714</v>
      </c>
      <c r="J42" s="49">
        <f>AVERAGE('31.07 Goli-Nebbi'!J42,'01.08 Goli-Nebbi'!J42,'04.08 Goli-Nebbi'!J42,'05.08 Goli-Nebbi'!J42,'02.08 Goli-Nebbi-24h'!J42,'03.08 Goli-Nebbi-24h'!J42,'06.08 Goli-Nebbi'!J42)</f>
        <v>0</v>
      </c>
      <c r="K42" s="49">
        <f>AVERAGE('31.07 Goli-Nebbi'!K42,'01.08 Goli-Nebbi'!K42,'04.08 Goli-Nebbi'!K42,'05.08 Goli-Nebbi'!K42,'02.08 Goli-Nebbi-24h'!K42,'03.08 Goli-Nebbi-24h'!K42,'06.08 Goli-Nebbi'!K42)</f>
        <v>0.14285714285714285</v>
      </c>
      <c r="L42" s="49">
        <f>AVERAGE('31.07 Goli-Nebbi'!L42,'01.08 Goli-Nebbi'!L42,'04.08 Goli-Nebbi'!L42,'05.08 Goli-Nebbi'!L42,'02.08 Goli-Nebbi-24h'!L42,'03.08 Goli-Nebbi-24h'!L42,'06.08 Goli-Nebbi'!L42)</f>
        <v>0</v>
      </c>
      <c r="M42" s="49">
        <f>AVERAGE('31.07 Goli-Nebbi'!M42,'01.08 Goli-Nebbi'!M42,'04.08 Goli-Nebbi'!M42,'05.08 Goli-Nebbi'!M42,'02.08 Goli-Nebbi-24h'!M42,'03.08 Goli-Nebbi-24h'!M42,'06.08 Goli-Nebbi'!M42)</f>
        <v>11</v>
      </c>
      <c r="N42" s="49">
        <f>AVERAGE('31.07 Goli-Nebbi'!N42,'01.08 Goli-Nebbi'!N42,'04.08 Goli-Nebbi'!N42,'05.08 Goli-Nebbi'!N42,'02.08 Goli-Nebbi-24h'!N42,'03.08 Goli-Nebbi-24h'!N42,'06.08 Goli-Nebbi'!N42)</f>
        <v>0</v>
      </c>
      <c r="O42" s="15">
        <f t="shared" si="0"/>
        <v>2.2857142857142851</v>
      </c>
      <c r="P42" s="15">
        <f t="shared" si="1"/>
        <v>13.285714285714285</v>
      </c>
      <c r="R42" s="5" t="s">
        <v>160</v>
      </c>
      <c r="S42" s="48">
        <f>S41/S40</f>
        <v>1.3988603988603989</v>
      </c>
      <c r="T42" s="48">
        <f t="shared" ref="T42:AF42" si="34">T41/T40</f>
        <v>1</v>
      </c>
      <c r="U42" s="48">
        <f t="shared" si="34"/>
        <v>1.1189542483660131</v>
      </c>
      <c r="V42" s="48">
        <f t="shared" si="34"/>
        <v>1.1631701631701632</v>
      </c>
      <c r="W42" s="48">
        <f t="shared" si="34"/>
        <v>2.2962962962962967</v>
      </c>
      <c r="X42" s="48">
        <f t="shared" si="34"/>
        <v>8</v>
      </c>
      <c r="Y42" s="48">
        <f t="shared" si="34"/>
        <v>1.2733612273361228</v>
      </c>
      <c r="Z42" s="48">
        <f t="shared" si="34"/>
        <v>1.3010752688172043</v>
      </c>
      <c r="AA42" s="48">
        <f t="shared" si="34"/>
        <v>1.0972222222222223</v>
      </c>
      <c r="AB42" s="48">
        <f t="shared" si="34"/>
        <v>1.5185185185185188</v>
      </c>
      <c r="AC42" s="48">
        <f t="shared" si="34"/>
        <v>1.2473881815213845</v>
      </c>
      <c r="AD42" s="48">
        <f t="shared" si="34"/>
        <v>1</v>
      </c>
      <c r="AE42" s="55">
        <f t="shared" si="34"/>
        <v>1.3036277602523658</v>
      </c>
      <c r="AF42" s="55">
        <f t="shared" si="34"/>
        <v>1.2607125062282012</v>
      </c>
    </row>
    <row r="43" spans="2:32" ht="23.1" customHeight="1" x14ac:dyDescent="0.25">
      <c r="B43" s="23" t="s">
        <v>70</v>
      </c>
      <c r="C43" s="49">
        <f>AVERAGE('31.07 Goli-Nebbi'!C43,'01.08 Goli-Nebbi'!C43,'04.08 Goli-Nebbi'!C43,'05.08 Goli-Nebbi'!C43,'02.08 Goli-Nebbi-24h'!C43,'03.08 Goli-Nebbi-24h'!C43,'06.08 Goli-Nebbi'!C43)</f>
        <v>0.7142857142857143</v>
      </c>
      <c r="D43" s="49">
        <f>AVERAGE('31.07 Goli-Nebbi'!D43,'01.08 Goli-Nebbi'!D43,'04.08 Goli-Nebbi'!D43,'05.08 Goli-Nebbi'!D43,'02.08 Goli-Nebbi-24h'!D43,'03.08 Goli-Nebbi-24h'!D43,'06.08 Goli-Nebbi'!D43)</f>
        <v>0</v>
      </c>
      <c r="E43" s="49">
        <f>AVERAGE('31.07 Goli-Nebbi'!E43,'01.08 Goli-Nebbi'!E43,'04.08 Goli-Nebbi'!E43,'05.08 Goli-Nebbi'!E43,'02.08 Goli-Nebbi-24h'!E43,'03.08 Goli-Nebbi-24h'!E43,'06.08 Goli-Nebbi'!E43)</f>
        <v>0.42857142857142855</v>
      </c>
      <c r="F43" s="49">
        <f>AVERAGE('31.07 Goli-Nebbi'!F43,'01.08 Goli-Nebbi'!F43,'04.08 Goli-Nebbi'!F43,'05.08 Goli-Nebbi'!F43,'02.08 Goli-Nebbi-24h'!F43,'03.08 Goli-Nebbi-24h'!F43,'06.08 Goli-Nebbi'!F43)</f>
        <v>0.7142857142857143</v>
      </c>
      <c r="G43" s="49">
        <f>AVERAGE('31.07 Goli-Nebbi'!G43,'01.08 Goli-Nebbi'!G43,'04.08 Goli-Nebbi'!G43,'05.08 Goli-Nebbi'!G43,'02.08 Goli-Nebbi-24h'!G43,'03.08 Goli-Nebbi-24h'!G43,'06.08 Goli-Nebbi'!G43)</f>
        <v>0.2857142857142857</v>
      </c>
      <c r="H43" s="49">
        <f>AVERAGE('31.07 Goli-Nebbi'!H43,'01.08 Goli-Nebbi'!H43,'04.08 Goli-Nebbi'!H43,'05.08 Goli-Nebbi'!H43,'02.08 Goli-Nebbi-24h'!H43,'03.08 Goli-Nebbi-24h'!H43,'06.08 Goli-Nebbi'!H43)</f>
        <v>0</v>
      </c>
      <c r="I43" s="49">
        <f>AVERAGE('31.07 Goli-Nebbi'!I43,'01.08 Goli-Nebbi'!I43,'04.08 Goli-Nebbi'!I43,'05.08 Goli-Nebbi'!I43,'02.08 Goli-Nebbi-24h'!I43,'03.08 Goli-Nebbi-24h'!I43,'06.08 Goli-Nebbi'!I43)</f>
        <v>0.5714285714285714</v>
      </c>
      <c r="J43" s="49">
        <f>AVERAGE('31.07 Goli-Nebbi'!J43,'01.08 Goli-Nebbi'!J43,'04.08 Goli-Nebbi'!J43,'05.08 Goli-Nebbi'!J43,'02.08 Goli-Nebbi-24h'!J43,'03.08 Goli-Nebbi-24h'!J43,'06.08 Goli-Nebbi'!J43)</f>
        <v>0</v>
      </c>
      <c r="K43" s="49">
        <f>AVERAGE('31.07 Goli-Nebbi'!K43,'01.08 Goli-Nebbi'!K43,'04.08 Goli-Nebbi'!K43,'05.08 Goli-Nebbi'!K43,'02.08 Goli-Nebbi-24h'!K43,'03.08 Goli-Nebbi-24h'!K43,'06.08 Goli-Nebbi'!K43)</f>
        <v>0</v>
      </c>
      <c r="L43" s="49">
        <f>AVERAGE('31.07 Goli-Nebbi'!L43,'01.08 Goli-Nebbi'!L43,'04.08 Goli-Nebbi'!L43,'05.08 Goli-Nebbi'!L43,'02.08 Goli-Nebbi-24h'!L43,'03.08 Goli-Nebbi-24h'!L43,'06.08 Goli-Nebbi'!L43)</f>
        <v>0</v>
      </c>
      <c r="M43" s="49">
        <f>AVERAGE('31.07 Goli-Nebbi'!M43,'01.08 Goli-Nebbi'!M43,'04.08 Goli-Nebbi'!M43,'05.08 Goli-Nebbi'!M43,'02.08 Goli-Nebbi-24h'!M43,'03.08 Goli-Nebbi-24h'!M43,'06.08 Goli-Nebbi'!M43)</f>
        <v>12.142857142857142</v>
      </c>
      <c r="N43" s="49">
        <f>AVERAGE('31.07 Goli-Nebbi'!N43,'01.08 Goli-Nebbi'!N43,'04.08 Goli-Nebbi'!N43,'05.08 Goli-Nebbi'!N43,'02.08 Goli-Nebbi-24h'!N43,'03.08 Goli-Nebbi-24h'!N43,'06.08 Goli-Nebbi'!N43)</f>
        <v>0</v>
      </c>
      <c r="O43" s="15">
        <f t="shared" si="0"/>
        <v>2.7142857142857144</v>
      </c>
      <c r="P43" s="15">
        <f t="shared" si="1"/>
        <v>14.857142857142858</v>
      </c>
    </row>
    <row r="44" spans="2:32" ht="23.1" customHeight="1" x14ac:dyDescent="0.25">
      <c r="B44" s="25" t="s">
        <v>71</v>
      </c>
      <c r="C44" s="49">
        <f>AVERAGE('31.07 Goli-Nebbi'!C44,'01.08 Goli-Nebbi'!C44,'04.08 Goli-Nebbi'!C44,'05.08 Goli-Nebbi'!C44,'02.08 Goli-Nebbi-24h'!C44,'03.08 Goli-Nebbi-24h'!C44,'06.08 Goli-Nebbi'!C44)</f>
        <v>1.2857142857142858</v>
      </c>
      <c r="D44" s="49">
        <f>AVERAGE('31.07 Goli-Nebbi'!D44,'01.08 Goli-Nebbi'!D44,'04.08 Goli-Nebbi'!D44,'05.08 Goli-Nebbi'!D44,'02.08 Goli-Nebbi-24h'!D44,'03.08 Goli-Nebbi-24h'!D44,'06.08 Goli-Nebbi'!D44)</f>
        <v>0.14285714285714285</v>
      </c>
      <c r="E44" s="49">
        <f>AVERAGE('31.07 Goli-Nebbi'!E44,'01.08 Goli-Nebbi'!E44,'04.08 Goli-Nebbi'!E44,'05.08 Goli-Nebbi'!E44,'02.08 Goli-Nebbi-24h'!E44,'03.08 Goli-Nebbi-24h'!E44,'06.08 Goli-Nebbi'!E44)</f>
        <v>0.8571428571428571</v>
      </c>
      <c r="F44" s="49">
        <f>AVERAGE('31.07 Goli-Nebbi'!F44,'01.08 Goli-Nebbi'!F44,'04.08 Goli-Nebbi'!F44,'05.08 Goli-Nebbi'!F44,'02.08 Goli-Nebbi-24h'!F44,'03.08 Goli-Nebbi-24h'!F44,'06.08 Goli-Nebbi'!F44)</f>
        <v>0.8571428571428571</v>
      </c>
      <c r="G44" s="49">
        <f>AVERAGE('31.07 Goli-Nebbi'!G44,'01.08 Goli-Nebbi'!G44,'04.08 Goli-Nebbi'!G44,'05.08 Goli-Nebbi'!G44,'02.08 Goli-Nebbi-24h'!G44,'03.08 Goli-Nebbi-24h'!G44,'06.08 Goli-Nebbi'!G44)</f>
        <v>0</v>
      </c>
      <c r="H44" s="49">
        <f>AVERAGE('31.07 Goli-Nebbi'!H44,'01.08 Goli-Nebbi'!H44,'04.08 Goli-Nebbi'!H44,'05.08 Goli-Nebbi'!H44,'02.08 Goli-Nebbi-24h'!H44,'03.08 Goli-Nebbi-24h'!H44,'06.08 Goli-Nebbi'!H44)</f>
        <v>0</v>
      </c>
      <c r="I44" s="49">
        <f>AVERAGE('31.07 Goli-Nebbi'!I44,'01.08 Goli-Nebbi'!I44,'04.08 Goli-Nebbi'!I44,'05.08 Goli-Nebbi'!I44,'02.08 Goli-Nebbi-24h'!I44,'03.08 Goli-Nebbi-24h'!I44,'06.08 Goli-Nebbi'!I44)</f>
        <v>1</v>
      </c>
      <c r="J44" s="49">
        <f>AVERAGE('31.07 Goli-Nebbi'!J44,'01.08 Goli-Nebbi'!J44,'04.08 Goli-Nebbi'!J44,'05.08 Goli-Nebbi'!J44,'02.08 Goli-Nebbi-24h'!J44,'03.08 Goli-Nebbi-24h'!J44,'06.08 Goli-Nebbi'!J44)</f>
        <v>0</v>
      </c>
      <c r="K44" s="49">
        <f>AVERAGE('31.07 Goli-Nebbi'!K44,'01.08 Goli-Nebbi'!K44,'04.08 Goli-Nebbi'!K44,'05.08 Goli-Nebbi'!K44,'02.08 Goli-Nebbi-24h'!K44,'03.08 Goli-Nebbi-24h'!K44,'06.08 Goli-Nebbi'!K44)</f>
        <v>0</v>
      </c>
      <c r="L44" s="49">
        <f>AVERAGE('31.07 Goli-Nebbi'!L44,'01.08 Goli-Nebbi'!L44,'04.08 Goli-Nebbi'!L44,'05.08 Goli-Nebbi'!L44,'02.08 Goli-Nebbi-24h'!L44,'03.08 Goli-Nebbi-24h'!L44,'06.08 Goli-Nebbi'!L44)</f>
        <v>0.14285714285714285</v>
      </c>
      <c r="M44" s="49">
        <f>AVERAGE('31.07 Goli-Nebbi'!M44,'01.08 Goli-Nebbi'!M44,'04.08 Goli-Nebbi'!M44,'05.08 Goli-Nebbi'!M44,'02.08 Goli-Nebbi-24h'!M44,'03.08 Goli-Nebbi-24h'!M44,'06.08 Goli-Nebbi'!M44)</f>
        <v>9.7142857142857135</v>
      </c>
      <c r="N44" s="49">
        <f>AVERAGE('31.07 Goli-Nebbi'!N44,'01.08 Goli-Nebbi'!N44,'04.08 Goli-Nebbi'!N44,'05.08 Goli-Nebbi'!N44,'02.08 Goli-Nebbi-24h'!N44,'03.08 Goli-Nebbi-24h'!N44,'06.08 Goli-Nebbi'!N44)</f>
        <v>0</v>
      </c>
      <c r="O44" s="15">
        <f t="shared" si="0"/>
        <v>4.2857142857142856</v>
      </c>
      <c r="P44" s="15">
        <f t="shared" si="1"/>
        <v>14</v>
      </c>
    </row>
    <row r="45" spans="2:32" ht="23.1" customHeight="1" x14ac:dyDescent="0.25">
      <c r="B45" s="23" t="s">
        <v>72</v>
      </c>
      <c r="C45" s="49">
        <f>AVERAGE('31.07 Goli-Nebbi'!C45,'01.08 Goli-Nebbi'!C45,'04.08 Goli-Nebbi'!C45,'05.08 Goli-Nebbi'!C45,'02.08 Goli-Nebbi-24h'!C45,'03.08 Goli-Nebbi-24h'!C45,'06.08 Goli-Nebbi'!C45)</f>
        <v>0.42857142857142855</v>
      </c>
      <c r="D45" s="49">
        <f>AVERAGE('31.07 Goli-Nebbi'!D45,'01.08 Goli-Nebbi'!D45,'04.08 Goli-Nebbi'!D45,'05.08 Goli-Nebbi'!D45,'02.08 Goli-Nebbi-24h'!D45,'03.08 Goli-Nebbi-24h'!D45,'06.08 Goli-Nebbi'!D45)</f>
        <v>0</v>
      </c>
      <c r="E45" s="49">
        <f>AVERAGE('31.07 Goli-Nebbi'!E45,'01.08 Goli-Nebbi'!E45,'04.08 Goli-Nebbi'!E45,'05.08 Goli-Nebbi'!E45,'02.08 Goli-Nebbi-24h'!E45,'03.08 Goli-Nebbi-24h'!E45,'06.08 Goli-Nebbi'!E45)</f>
        <v>0.5714285714285714</v>
      </c>
      <c r="F45" s="49">
        <f>AVERAGE('31.07 Goli-Nebbi'!F45,'01.08 Goli-Nebbi'!F45,'04.08 Goli-Nebbi'!F45,'05.08 Goli-Nebbi'!F45,'02.08 Goli-Nebbi-24h'!F45,'03.08 Goli-Nebbi-24h'!F45,'06.08 Goli-Nebbi'!F45)</f>
        <v>0.42857142857142855</v>
      </c>
      <c r="G45" s="49">
        <f>AVERAGE('31.07 Goli-Nebbi'!G45,'01.08 Goli-Nebbi'!G45,'04.08 Goli-Nebbi'!G45,'05.08 Goli-Nebbi'!G45,'02.08 Goli-Nebbi-24h'!G45,'03.08 Goli-Nebbi-24h'!G45,'06.08 Goli-Nebbi'!G45)</f>
        <v>0</v>
      </c>
      <c r="H45" s="49">
        <f>AVERAGE('31.07 Goli-Nebbi'!H45,'01.08 Goli-Nebbi'!H45,'04.08 Goli-Nebbi'!H45,'05.08 Goli-Nebbi'!H45,'02.08 Goli-Nebbi-24h'!H45,'03.08 Goli-Nebbi-24h'!H45,'06.08 Goli-Nebbi'!H45)</f>
        <v>0.14285714285714285</v>
      </c>
      <c r="I45" s="49">
        <f>AVERAGE('31.07 Goli-Nebbi'!I45,'01.08 Goli-Nebbi'!I45,'04.08 Goli-Nebbi'!I45,'05.08 Goli-Nebbi'!I45,'02.08 Goli-Nebbi-24h'!I45,'03.08 Goli-Nebbi-24h'!I45,'06.08 Goli-Nebbi'!I45)</f>
        <v>1</v>
      </c>
      <c r="J45" s="49">
        <f>AVERAGE('31.07 Goli-Nebbi'!J45,'01.08 Goli-Nebbi'!J45,'04.08 Goli-Nebbi'!J45,'05.08 Goli-Nebbi'!J45,'02.08 Goli-Nebbi-24h'!J45,'03.08 Goli-Nebbi-24h'!J45,'06.08 Goli-Nebbi'!J45)</f>
        <v>0</v>
      </c>
      <c r="K45" s="49">
        <f>AVERAGE('31.07 Goli-Nebbi'!K45,'01.08 Goli-Nebbi'!K45,'04.08 Goli-Nebbi'!K45,'05.08 Goli-Nebbi'!K45,'02.08 Goli-Nebbi-24h'!K45,'03.08 Goli-Nebbi-24h'!K45,'06.08 Goli-Nebbi'!K45)</f>
        <v>0</v>
      </c>
      <c r="L45" s="49">
        <f>AVERAGE('31.07 Goli-Nebbi'!L45,'01.08 Goli-Nebbi'!L45,'04.08 Goli-Nebbi'!L45,'05.08 Goli-Nebbi'!L45,'02.08 Goli-Nebbi-24h'!L45,'03.08 Goli-Nebbi-24h'!L45,'06.08 Goli-Nebbi'!L45)</f>
        <v>0.42857142857142855</v>
      </c>
      <c r="M45" s="49">
        <f>AVERAGE('31.07 Goli-Nebbi'!M45,'01.08 Goli-Nebbi'!M45,'04.08 Goli-Nebbi'!M45,'05.08 Goli-Nebbi'!M45,'02.08 Goli-Nebbi-24h'!M45,'03.08 Goli-Nebbi-24h'!M45,'06.08 Goli-Nebbi'!M45)</f>
        <v>11.285714285714286</v>
      </c>
      <c r="N45" s="49">
        <f>AVERAGE('31.07 Goli-Nebbi'!N45,'01.08 Goli-Nebbi'!N45,'04.08 Goli-Nebbi'!N45,'05.08 Goli-Nebbi'!N45,'02.08 Goli-Nebbi-24h'!N45,'03.08 Goli-Nebbi-24h'!N45,'06.08 Goli-Nebbi'!N45)</f>
        <v>0</v>
      </c>
      <c r="O45" s="15">
        <f t="shared" si="0"/>
        <v>2.9999999999999996</v>
      </c>
      <c r="P45" s="15">
        <f t="shared" si="1"/>
        <v>14.285714285714286</v>
      </c>
    </row>
    <row r="46" spans="2:32" ht="23.1" customHeight="1" x14ac:dyDescent="0.25">
      <c r="B46" s="24" t="s">
        <v>73</v>
      </c>
      <c r="C46" s="49">
        <f>AVERAGE('31.07 Goli-Nebbi'!C46,'01.08 Goli-Nebbi'!C46,'04.08 Goli-Nebbi'!C46,'05.08 Goli-Nebbi'!C46,'02.08 Goli-Nebbi-24h'!C46,'03.08 Goli-Nebbi-24h'!C46,'06.08 Goli-Nebbi'!C46)</f>
        <v>1.1428571428571428</v>
      </c>
      <c r="D46" s="49">
        <f>AVERAGE('31.07 Goli-Nebbi'!D46,'01.08 Goli-Nebbi'!D46,'04.08 Goli-Nebbi'!D46,'05.08 Goli-Nebbi'!D46,'02.08 Goli-Nebbi-24h'!D46,'03.08 Goli-Nebbi-24h'!D46,'06.08 Goli-Nebbi'!D46)</f>
        <v>0</v>
      </c>
      <c r="E46" s="49">
        <f>AVERAGE('31.07 Goli-Nebbi'!E46,'01.08 Goli-Nebbi'!E46,'04.08 Goli-Nebbi'!E46,'05.08 Goli-Nebbi'!E46,'02.08 Goli-Nebbi-24h'!E46,'03.08 Goli-Nebbi-24h'!E46,'06.08 Goli-Nebbi'!E46)</f>
        <v>0.42857142857142855</v>
      </c>
      <c r="F46" s="49">
        <f>AVERAGE('31.07 Goli-Nebbi'!F46,'01.08 Goli-Nebbi'!F46,'04.08 Goli-Nebbi'!F46,'05.08 Goli-Nebbi'!F46,'02.08 Goli-Nebbi-24h'!F46,'03.08 Goli-Nebbi-24h'!F46,'06.08 Goli-Nebbi'!F46)</f>
        <v>0.8571428571428571</v>
      </c>
      <c r="G46" s="49">
        <f>AVERAGE('31.07 Goli-Nebbi'!G46,'01.08 Goli-Nebbi'!G46,'04.08 Goli-Nebbi'!G46,'05.08 Goli-Nebbi'!G46,'02.08 Goli-Nebbi-24h'!G46,'03.08 Goli-Nebbi-24h'!G46,'06.08 Goli-Nebbi'!G46)</f>
        <v>0</v>
      </c>
      <c r="H46" s="49">
        <f>AVERAGE('31.07 Goli-Nebbi'!H46,'01.08 Goli-Nebbi'!H46,'04.08 Goli-Nebbi'!H46,'05.08 Goli-Nebbi'!H46,'02.08 Goli-Nebbi-24h'!H46,'03.08 Goli-Nebbi-24h'!H46,'06.08 Goli-Nebbi'!H46)</f>
        <v>0</v>
      </c>
      <c r="I46" s="49">
        <f>AVERAGE('31.07 Goli-Nebbi'!I46,'01.08 Goli-Nebbi'!I46,'04.08 Goli-Nebbi'!I46,'05.08 Goli-Nebbi'!I46,'02.08 Goli-Nebbi-24h'!I46,'03.08 Goli-Nebbi-24h'!I46,'06.08 Goli-Nebbi'!I46)</f>
        <v>0.7142857142857143</v>
      </c>
      <c r="J46" s="49">
        <f>AVERAGE('31.07 Goli-Nebbi'!J46,'01.08 Goli-Nebbi'!J46,'04.08 Goli-Nebbi'!J46,'05.08 Goli-Nebbi'!J46,'02.08 Goli-Nebbi-24h'!J46,'03.08 Goli-Nebbi-24h'!J46,'06.08 Goli-Nebbi'!J46)</f>
        <v>0.14285714285714285</v>
      </c>
      <c r="K46" s="49">
        <f>AVERAGE('31.07 Goli-Nebbi'!K46,'01.08 Goli-Nebbi'!K46,'04.08 Goli-Nebbi'!K46,'05.08 Goli-Nebbi'!K46,'02.08 Goli-Nebbi-24h'!K46,'03.08 Goli-Nebbi-24h'!K46,'06.08 Goli-Nebbi'!K46)</f>
        <v>0</v>
      </c>
      <c r="L46" s="49">
        <f>AVERAGE('31.07 Goli-Nebbi'!L46,'01.08 Goli-Nebbi'!L46,'04.08 Goli-Nebbi'!L46,'05.08 Goli-Nebbi'!L46,'02.08 Goli-Nebbi-24h'!L46,'03.08 Goli-Nebbi-24h'!L46,'06.08 Goli-Nebbi'!L46)</f>
        <v>0.5714285714285714</v>
      </c>
      <c r="M46" s="49">
        <f>AVERAGE('31.07 Goli-Nebbi'!M46,'01.08 Goli-Nebbi'!M46,'04.08 Goli-Nebbi'!M46,'05.08 Goli-Nebbi'!M46,'02.08 Goli-Nebbi-24h'!M46,'03.08 Goli-Nebbi-24h'!M46,'06.08 Goli-Nebbi'!M46)</f>
        <v>14.714285714285714</v>
      </c>
      <c r="N46" s="49">
        <f>AVERAGE('31.07 Goli-Nebbi'!N46,'01.08 Goli-Nebbi'!N46,'04.08 Goli-Nebbi'!N46,'05.08 Goli-Nebbi'!N46,'02.08 Goli-Nebbi-24h'!N46,'03.08 Goli-Nebbi-24h'!N46,'06.08 Goli-Nebbi'!N46)</f>
        <v>0</v>
      </c>
      <c r="O46" s="15">
        <f t="shared" si="0"/>
        <v>3.8571428571428568</v>
      </c>
      <c r="P46" s="15">
        <f t="shared" si="1"/>
        <v>18.571428571428569</v>
      </c>
      <c r="R46" s="8"/>
      <c r="T46"/>
    </row>
    <row r="47" spans="2:32" ht="23.1" customHeight="1" x14ac:dyDescent="0.25">
      <c r="B47" s="24" t="s">
        <v>74</v>
      </c>
      <c r="C47" s="49">
        <f>AVERAGE('31.07 Goli-Nebbi'!C47,'01.08 Goli-Nebbi'!C47,'04.08 Goli-Nebbi'!C47,'05.08 Goli-Nebbi'!C47,'02.08 Goli-Nebbi-24h'!C47,'03.08 Goli-Nebbi-24h'!C47,'06.08 Goli-Nebbi'!C47)</f>
        <v>1.1428571428571428</v>
      </c>
      <c r="D47" s="49">
        <f>AVERAGE('31.07 Goli-Nebbi'!D47,'01.08 Goli-Nebbi'!D47,'04.08 Goli-Nebbi'!D47,'05.08 Goli-Nebbi'!D47,'02.08 Goli-Nebbi-24h'!D47,'03.08 Goli-Nebbi-24h'!D47,'06.08 Goli-Nebbi'!D47)</f>
        <v>0.14285714285714285</v>
      </c>
      <c r="E47" s="49">
        <f>AVERAGE('31.07 Goli-Nebbi'!E47,'01.08 Goli-Nebbi'!E47,'04.08 Goli-Nebbi'!E47,'05.08 Goli-Nebbi'!E47,'02.08 Goli-Nebbi-24h'!E47,'03.08 Goli-Nebbi-24h'!E47,'06.08 Goli-Nebbi'!E47)</f>
        <v>0.7142857142857143</v>
      </c>
      <c r="F47" s="49">
        <f>AVERAGE('31.07 Goli-Nebbi'!F47,'01.08 Goli-Nebbi'!F47,'04.08 Goli-Nebbi'!F47,'05.08 Goli-Nebbi'!F47,'02.08 Goli-Nebbi-24h'!F47,'03.08 Goli-Nebbi-24h'!F47,'06.08 Goli-Nebbi'!F47)</f>
        <v>0.2857142857142857</v>
      </c>
      <c r="G47" s="49">
        <f>AVERAGE('31.07 Goli-Nebbi'!G47,'01.08 Goli-Nebbi'!G47,'04.08 Goli-Nebbi'!G47,'05.08 Goli-Nebbi'!G47,'02.08 Goli-Nebbi-24h'!G47,'03.08 Goli-Nebbi-24h'!G47,'06.08 Goli-Nebbi'!G47)</f>
        <v>0.14285714285714285</v>
      </c>
      <c r="H47" s="49">
        <f>AVERAGE('31.07 Goli-Nebbi'!H47,'01.08 Goli-Nebbi'!H47,'04.08 Goli-Nebbi'!H47,'05.08 Goli-Nebbi'!H47,'02.08 Goli-Nebbi-24h'!H47,'03.08 Goli-Nebbi-24h'!H47,'06.08 Goli-Nebbi'!H47)</f>
        <v>0</v>
      </c>
      <c r="I47" s="49">
        <f>AVERAGE('31.07 Goli-Nebbi'!I47,'01.08 Goli-Nebbi'!I47,'04.08 Goli-Nebbi'!I47,'05.08 Goli-Nebbi'!I47,'02.08 Goli-Nebbi-24h'!I47,'03.08 Goli-Nebbi-24h'!I47,'06.08 Goli-Nebbi'!I47)</f>
        <v>1.2857142857142858</v>
      </c>
      <c r="J47" s="49">
        <f>AVERAGE('31.07 Goli-Nebbi'!J47,'01.08 Goli-Nebbi'!J47,'04.08 Goli-Nebbi'!J47,'05.08 Goli-Nebbi'!J47,'02.08 Goli-Nebbi-24h'!J47,'03.08 Goli-Nebbi-24h'!J47,'06.08 Goli-Nebbi'!J47)</f>
        <v>0</v>
      </c>
      <c r="K47" s="49">
        <f>AVERAGE('31.07 Goli-Nebbi'!K47,'01.08 Goli-Nebbi'!K47,'04.08 Goli-Nebbi'!K47,'05.08 Goli-Nebbi'!K47,'02.08 Goli-Nebbi-24h'!K47,'03.08 Goli-Nebbi-24h'!K47,'06.08 Goli-Nebbi'!K47)</f>
        <v>0</v>
      </c>
      <c r="L47" s="49">
        <f>AVERAGE('31.07 Goli-Nebbi'!L47,'01.08 Goli-Nebbi'!L47,'04.08 Goli-Nebbi'!L47,'05.08 Goli-Nebbi'!L47,'02.08 Goli-Nebbi-24h'!L47,'03.08 Goli-Nebbi-24h'!L47,'06.08 Goli-Nebbi'!L47)</f>
        <v>0.42857142857142855</v>
      </c>
      <c r="M47" s="49">
        <f>AVERAGE('31.07 Goli-Nebbi'!M47,'01.08 Goli-Nebbi'!M47,'04.08 Goli-Nebbi'!M47,'05.08 Goli-Nebbi'!M47,'02.08 Goli-Nebbi-24h'!M47,'03.08 Goli-Nebbi-24h'!M47,'06.08 Goli-Nebbi'!M47)</f>
        <v>11.285714285714286</v>
      </c>
      <c r="N47" s="49">
        <f>AVERAGE('31.07 Goli-Nebbi'!N47,'01.08 Goli-Nebbi'!N47,'04.08 Goli-Nebbi'!N47,'05.08 Goli-Nebbi'!N47,'02.08 Goli-Nebbi-24h'!N47,'03.08 Goli-Nebbi-24h'!N47,'06.08 Goli-Nebbi'!N47)</f>
        <v>0</v>
      </c>
      <c r="O47" s="15">
        <f t="shared" si="0"/>
        <v>4.1428571428571432</v>
      </c>
      <c r="P47" s="15">
        <f t="shared" si="1"/>
        <v>15.428571428571431</v>
      </c>
      <c r="R47" s="8"/>
      <c r="T47"/>
    </row>
    <row r="48" spans="2:32" ht="23.1" customHeight="1" x14ac:dyDescent="0.25">
      <c r="B48" s="24" t="s">
        <v>75</v>
      </c>
      <c r="C48" s="49">
        <f>AVERAGE('31.07 Goli-Nebbi'!C48,'01.08 Goli-Nebbi'!C48,'04.08 Goli-Nebbi'!C48,'05.08 Goli-Nebbi'!C48,'02.08 Goli-Nebbi-24h'!C48,'03.08 Goli-Nebbi-24h'!C48,'06.08 Goli-Nebbi'!C48)</f>
        <v>1.7142857142857142</v>
      </c>
      <c r="D48" s="49">
        <f>AVERAGE('31.07 Goli-Nebbi'!D48,'01.08 Goli-Nebbi'!D48,'04.08 Goli-Nebbi'!D48,'05.08 Goli-Nebbi'!D48,'02.08 Goli-Nebbi-24h'!D48,'03.08 Goli-Nebbi-24h'!D48,'06.08 Goli-Nebbi'!D48)</f>
        <v>0.14285714285714285</v>
      </c>
      <c r="E48" s="49">
        <f>AVERAGE('31.07 Goli-Nebbi'!E48,'01.08 Goli-Nebbi'!E48,'04.08 Goli-Nebbi'!E48,'05.08 Goli-Nebbi'!E48,'02.08 Goli-Nebbi-24h'!E48,'03.08 Goli-Nebbi-24h'!E48,'06.08 Goli-Nebbi'!E48)</f>
        <v>0.42857142857142855</v>
      </c>
      <c r="F48" s="49">
        <f>AVERAGE('31.07 Goli-Nebbi'!F48,'01.08 Goli-Nebbi'!F48,'04.08 Goli-Nebbi'!F48,'05.08 Goli-Nebbi'!F48,'02.08 Goli-Nebbi-24h'!F48,'03.08 Goli-Nebbi-24h'!F48,'06.08 Goli-Nebbi'!F48)</f>
        <v>0</v>
      </c>
      <c r="G48" s="49">
        <f>AVERAGE('31.07 Goli-Nebbi'!G48,'01.08 Goli-Nebbi'!G48,'04.08 Goli-Nebbi'!G48,'05.08 Goli-Nebbi'!G48,'02.08 Goli-Nebbi-24h'!G48,'03.08 Goli-Nebbi-24h'!G48,'06.08 Goli-Nebbi'!G48)</f>
        <v>0</v>
      </c>
      <c r="H48" s="49">
        <f>AVERAGE('31.07 Goli-Nebbi'!H48,'01.08 Goli-Nebbi'!H48,'04.08 Goli-Nebbi'!H48,'05.08 Goli-Nebbi'!H48,'02.08 Goli-Nebbi-24h'!H48,'03.08 Goli-Nebbi-24h'!H48,'06.08 Goli-Nebbi'!H48)</f>
        <v>0</v>
      </c>
      <c r="I48" s="49">
        <f>AVERAGE('31.07 Goli-Nebbi'!I48,'01.08 Goli-Nebbi'!I48,'04.08 Goli-Nebbi'!I48,'05.08 Goli-Nebbi'!I48,'02.08 Goli-Nebbi-24h'!I48,'03.08 Goli-Nebbi-24h'!I48,'06.08 Goli-Nebbi'!I48)</f>
        <v>0.7142857142857143</v>
      </c>
      <c r="J48" s="49">
        <f>AVERAGE('31.07 Goli-Nebbi'!J48,'01.08 Goli-Nebbi'!J48,'04.08 Goli-Nebbi'!J48,'05.08 Goli-Nebbi'!J48,'02.08 Goli-Nebbi-24h'!J48,'03.08 Goli-Nebbi-24h'!J48,'06.08 Goli-Nebbi'!J48)</f>
        <v>0</v>
      </c>
      <c r="K48" s="49">
        <f>AVERAGE('31.07 Goli-Nebbi'!K48,'01.08 Goli-Nebbi'!K48,'04.08 Goli-Nebbi'!K48,'05.08 Goli-Nebbi'!K48,'02.08 Goli-Nebbi-24h'!K48,'03.08 Goli-Nebbi-24h'!K48,'06.08 Goli-Nebbi'!K48)</f>
        <v>0</v>
      </c>
      <c r="L48" s="49">
        <f>AVERAGE('31.07 Goli-Nebbi'!L48,'01.08 Goli-Nebbi'!L48,'04.08 Goli-Nebbi'!L48,'05.08 Goli-Nebbi'!L48,'02.08 Goli-Nebbi-24h'!L48,'03.08 Goli-Nebbi-24h'!L48,'06.08 Goli-Nebbi'!L48)</f>
        <v>0.5714285714285714</v>
      </c>
      <c r="M48" s="49">
        <f>AVERAGE('31.07 Goli-Nebbi'!M48,'01.08 Goli-Nebbi'!M48,'04.08 Goli-Nebbi'!M48,'05.08 Goli-Nebbi'!M48,'02.08 Goli-Nebbi-24h'!M48,'03.08 Goli-Nebbi-24h'!M48,'06.08 Goli-Nebbi'!M48)</f>
        <v>10.571428571428571</v>
      </c>
      <c r="N48" s="49">
        <f>AVERAGE('31.07 Goli-Nebbi'!N48,'01.08 Goli-Nebbi'!N48,'04.08 Goli-Nebbi'!N48,'05.08 Goli-Nebbi'!N48,'02.08 Goli-Nebbi-24h'!N48,'03.08 Goli-Nebbi-24h'!N48,'06.08 Goli-Nebbi'!N48)</f>
        <v>0</v>
      </c>
      <c r="O48" s="15">
        <f t="shared" si="0"/>
        <v>3.5714285714285712</v>
      </c>
      <c r="P48" s="15">
        <f t="shared" si="1"/>
        <v>14.142857142857142</v>
      </c>
      <c r="R48" s="8"/>
      <c r="T48"/>
    </row>
    <row r="49" spans="2:20" ht="23.1" customHeight="1" x14ac:dyDescent="0.25">
      <c r="B49" s="23" t="s">
        <v>76</v>
      </c>
      <c r="C49" s="49">
        <f>AVERAGE('31.07 Goli-Nebbi'!C49,'01.08 Goli-Nebbi'!C49,'04.08 Goli-Nebbi'!C49,'05.08 Goli-Nebbi'!C49,'02.08 Goli-Nebbi-24h'!C49,'03.08 Goli-Nebbi-24h'!C49,'06.08 Goli-Nebbi'!C49)</f>
        <v>0.8571428571428571</v>
      </c>
      <c r="D49" s="49">
        <f>AVERAGE('31.07 Goli-Nebbi'!D49,'01.08 Goli-Nebbi'!D49,'04.08 Goli-Nebbi'!D49,'05.08 Goli-Nebbi'!D49,'02.08 Goli-Nebbi-24h'!D49,'03.08 Goli-Nebbi-24h'!D49,'06.08 Goli-Nebbi'!D49)</f>
        <v>0.42857142857142855</v>
      </c>
      <c r="E49" s="49">
        <f>AVERAGE('31.07 Goli-Nebbi'!E49,'01.08 Goli-Nebbi'!E49,'04.08 Goli-Nebbi'!E49,'05.08 Goli-Nebbi'!E49,'02.08 Goli-Nebbi-24h'!E49,'03.08 Goli-Nebbi-24h'!E49,'06.08 Goli-Nebbi'!E49)</f>
        <v>1</v>
      </c>
      <c r="F49" s="49">
        <f>AVERAGE('31.07 Goli-Nebbi'!F49,'01.08 Goli-Nebbi'!F49,'04.08 Goli-Nebbi'!F49,'05.08 Goli-Nebbi'!F49,'02.08 Goli-Nebbi-24h'!F49,'03.08 Goli-Nebbi-24h'!F49,'06.08 Goli-Nebbi'!F49)</f>
        <v>0.2857142857142857</v>
      </c>
      <c r="G49" s="49">
        <f>AVERAGE('31.07 Goli-Nebbi'!G49,'01.08 Goli-Nebbi'!G49,'04.08 Goli-Nebbi'!G49,'05.08 Goli-Nebbi'!G49,'02.08 Goli-Nebbi-24h'!G49,'03.08 Goli-Nebbi-24h'!G49,'06.08 Goli-Nebbi'!G49)</f>
        <v>0</v>
      </c>
      <c r="H49" s="49">
        <f>AVERAGE('31.07 Goli-Nebbi'!H49,'01.08 Goli-Nebbi'!H49,'04.08 Goli-Nebbi'!H49,'05.08 Goli-Nebbi'!H49,'02.08 Goli-Nebbi-24h'!H49,'03.08 Goli-Nebbi-24h'!H49,'06.08 Goli-Nebbi'!H49)</f>
        <v>0</v>
      </c>
      <c r="I49" s="49">
        <f>AVERAGE('31.07 Goli-Nebbi'!I49,'01.08 Goli-Nebbi'!I49,'04.08 Goli-Nebbi'!I49,'05.08 Goli-Nebbi'!I49,'02.08 Goli-Nebbi-24h'!I49,'03.08 Goli-Nebbi-24h'!I49,'06.08 Goli-Nebbi'!I49)</f>
        <v>0.7142857142857143</v>
      </c>
      <c r="J49" s="49">
        <f>AVERAGE('31.07 Goli-Nebbi'!J49,'01.08 Goli-Nebbi'!J49,'04.08 Goli-Nebbi'!J49,'05.08 Goli-Nebbi'!J49,'02.08 Goli-Nebbi-24h'!J49,'03.08 Goli-Nebbi-24h'!J49,'06.08 Goli-Nebbi'!J49)</f>
        <v>0.14285714285714285</v>
      </c>
      <c r="K49" s="49">
        <f>AVERAGE('31.07 Goli-Nebbi'!K49,'01.08 Goli-Nebbi'!K49,'04.08 Goli-Nebbi'!K49,'05.08 Goli-Nebbi'!K49,'02.08 Goli-Nebbi-24h'!K49,'03.08 Goli-Nebbi-24h'!K49,'06.08 Goli-Nebbi'!K49)</f>
        <v>0</v>
      </c>
      <c r="L49" s="49">
        <f>AVERAGE('31.07 Goli-Nebbi'!L49,'01.08 Goli-Nebbi'!L49,'04.08 Goli-Nebbi'!L49,'05.08 Goli-Nebbi'!L49,'02.08 Goli-Nebbi-24h'!L49,'03.08 Goli-Nebbi-24h'!L49,'06.08 Goli-Nebbi'!L49)</f>
        <v>0</v>
      </c>
      <c r="M49" s="49">
        <f>AVERAGE('31.07 Goli-Nebbi'!M49,'01.08 Goli-Nebbi'!M49,'04.08 Goli-Nebbi'!M49,'05.08 Goli-Nebbi'!M49,'02.08 Goli-Nebbi-24h'!M49,'03.08 Goli-Nebbi-24h'!M49,'06.08 Goli-Nebbi'!M49)</f>
        <v>11.142857142857142</v>
      </c>
      <c r="N49" s="49">
        <f>AVERAGE('31.07 Goli-Nebbi'!N49,'01.08 Goli-Nebbi'!N49,'04.08 Goli-Nebbi'!N49,'05.08 Goli-Nebbi'!N49,'02.08 Goli-Nebbi-24h'!N49,'03.08 Goli-Nebbi-24h'!N49,'06.08 Goli-Nebbi'!N49)</f>
        <v>0</v>
      </c>
      <c r="O49" s="15">
        <f t="shared" si="0"/>
        <v>3.4285714285714284</v>
      </c>
      <c r="P49" s="15">
        <f t="shared" si="1"/>
        <v>14.571428571428571</v>
      </c>
      <c r="R49" s="8"/>
      <c r="T49"/>
    </row>
    <row r="50" spans="2:20" ht="23.1" customHeight="1" x14ac:dyDescent="0.25">
      <c r="B50" s="24" t="s">
        <v>77</v>
      </c>
      <c r="C50" s="49">
        <f>AVERAGE('31.07 Goli-Nebbi'!C50,'01.08 Goli-Nebbi'!C50,'04.08 Goli-Nebbi'!C50,'05.08 Goli-Nebbi'!C50,'02.08 Goli-Nebbi-24h'!C50,'03.08 Goli-Nebbi-24h'!C50,'06.08 Goli-Nebbi'!C50)</f>
        <v>2.1428571428571428</v>
      </c>
      <c r="D50" s="49">
        <f>AVERAGE('31.07 Goli-Nebbi'!D50,'01.08 Goli-Nebbi'!D50,'04.08 Goli-Nebbi'!D50,'05.08 Goli-Nebbi'!D50,'02.08 Goli-Nebbi-24h'!D50,'03.08 Goli-Nebbi-24h'!D50,'06.08 Goli-Nebbi'!D50)</f>
        <v>0.14285714285714285</v>
      </c>
      <c r="E50" s="49">
        <f>AVERAGE('31.07 Goli-Nebbi'!E50,'01.08 Goli-Nebbi'!E50,'04.08 Goli-Nebbi'!E50,'05.08 Goli-Nebbi'!E50,'02.08 Goli-Nebbi-24h'!E50,'03.08 Goli-Nebbi-24h'!E50,'06.08 Goli-Nebbi'!E50)</f>
        <v>1.1428571428571428</v>
      </c>
      <c r="F50" s="49">
        <f>AVERAGE('31.07 Goli-Nebbi'!F50,'01.08 Goli-Nebbi'!F50,'04.08 Goli-Nebbi'!F50,'05.08 Goli-Nebbi'!F50,'02.08 Goli-Nebbi-24h'!F50,'03.08 Goli-Nebbi-24h'!F50,'06.08 Goli-Nebbi'!F50)</f>
        <v>0.8571428571428571</v>
      </c>
      <c r="G50" s="49">
        <f>AVERAGE('31.07 Goli-Nebbi'!G50,'01.08 Goli-Nebbi'!G50,'04.08 Goli-Nebbi'!G50,'05.08 Goli-Nebbi'!G50,'02.08 Goli-Nebbi-24h'!G50,'03.08 Goli-Nebbi-24h'!G50,'06.08 Goli-Nebbi'!G50)</f>
        <v>0</v>
      </c>
      <c r="H50" s="49">
        <f>AVERAGE('31.07 Goli-Nebbi'!H50,'01.08 Goli-Nebbi'!H50,'04.08 Goli-Nebbi'!H50,'05.08 Goli-Nebbi'!H50,'02.08 Goli-Nebbi-24h'!H50,'03.08 Goli-Nebbi-24h'!H50,'06.08 Goli-Nebbi'!H50)</f>
        <v>0</v>
      </c>
      <c r="I50" s="49">
        <f>AVERAGE('31.07 Goli-Nebbi'!I50,'01.08 Goli-Nebbi'!I50,'04.08 Goli-Nebbi'!I50,'05.08 Goli-Nebbi'!I50,'02.08 Goli-Nebbi-24h'!I50,'03.08 Goli-Nebbi-24h'!I50,'06.08 Goli-Nebbi'!I50)</f>
        <v>1</v>
      </c>
      <c r="J50" s="49">
        <f>AVERAGE('31.07 Goli-Nebbi'!J50,'01.08 Goli-Nebbi'!J50,'04.08 Goli-Nebbi'!J50,'05.08 Goli-Nebbi'!J50,'02.08 Goli-Nebbi-24h'!J50,'03.08 Goli-Nebbi-24h'!J50,'06.08 Goli-Nebbi'!J50)</f>
        <v>0.14285714285714285</v>
      </c>
      <c r="K50" s="49">
        <f>AVERAGE('31.07 Goli-Nebbi'!K50,'01.08 Goli-Nebbi'!K50,'04.08 Goli-Nebbi'!K50,'05.08 Goli-Nebbi'!K50,'02.08 Goli-Nebbi-24h'!K50,'03.08 Goli-Nebbi-24h'!K50,'06.08 Goli-Nebbi'!K50)</f>
        <v>0.14285714285714285</v>
      </c>
      <c r="L50" s="49">
        <f>AVERAGE('31.07 Goli-Nebbi'!L50,'01.08 Goli-Nebbi'!L50,'04.08 Goli-Nebbi'!L50,'05.08 Goli-Nebbi'!L50,'02.08 Goli-Nebbi-24h'!L50,'03.08 Goli-Nebbi-24h'!L50,'06.08 Goli-Nebbi'!L50)</f>
        <v>0</v>
      </c>
      <c r="M50" s="49">
        <f>AVERAGE('31.07 Goli-Nebbi'!M50,'01.08 Goli-Nebbi'!M50,'04.08 Goli-Nebbi'!M50,'05.08 Goli-Nebbi'!M50,'02.08 Goli-Nebbi-24h'!M50,'03.08 Goli-Nebbi-24h'!M50,'06.08 Goli-Nebbi'!M50)</f>
        <v>12.714285714285714</v>
      </c>
      <c r="N50" s="49">
        <f>AVERAGE('31.07 Goli-Nebbi'!N50,'01.08 Goli-Nebbi'!N50,'04.08 Goli-Nebbi'!N50,'05.08 Goli-Nebbi'!N50,'02.08 Goli-Nebbi-24h'!N50,'03.08 Goli-Nebbi-24h'!N50,'06.08 Goli-Nebbi'!N50)</f>
        <v>0</v>
      </c>
      <c r="O50" s="15">
        <f t="shared" si="0"/>
        <v>5.5714285714285721</v>
      </c>
      <c r="P50" s="15">
        <f t="shared" si="1"/>
        <v>18.285714285714285</v>
      </c>
      <c r="R50" s="8"/>
      <c r="T50"/>
    </row>
    <row r="51" spans="2:20" ht="23.1" customHeight="1" x14ac:dyDescent="0.25">
      <c r="B51" s="24" t="s">
        <v>78</v>
      </c>
      <c r="C51" s="49">
        <f>AVERAGE('31.07 Goli-Nebbi'!C51,'01.08 Goli-Nebbi'!C51,'04.08 Goli-Nebbi'!C51,'05.08 Goli-Nebbi'!C51,'02.08 Goli-Nebbi-24h'!C51,'03.08 Goli-Nebbi-24h'!C51,'06.08 Goli-Nebbi'!C51)</f>
        <v>0.7142857142857143</v>
      </c>
      <c r="D51" s="49">
        <f>AVERAGE('31.07 Goli-Nebbi'!D51,'01.08 Goli-Nebbi'!D51,'04.08 Goli-Nebbi'!D51,'05.08 Goli-Nebbi'!D51,'02.08 Goli-Nebbi-24h'!D51,'03.08 Goli-Nebbi-24h'!D51,'06.08 Goli-Nebbi'!D51)</f>
        <v>0</v>
      </c>
      <c r="E51" s="49">
        <f>AVERAGE('31.07 Goli-Nebbi'!E51,'01.08 Goli-Nebbi'!E51,'04.08 Goli-Nebbi'!E51,'05.08 Goli-Nebbi'!E51,'02.08 Goli-Nebbi-24h'!E51,'03.08 Goli-Nebbi-24h'!E51,'06.08 Goli-Nebbi'!E51)</f>
        <v>0.7142857142857143</v>
      </c>
      <c r="F51" s="49">
        <f>AVERAGE('31.07 Goli-Nebbi'!F51,'01.08 Goli-Nebbi'!F51,'04.08 Goli-Nebbi'!F51,'05.08 Goli-Nebbi'!F51,'02.08 Goli-Nebbi-24h'!F51,'03.08 Goli-Nebbi-24h'!F51,'06.08 Goli-Nebbi'!F51)</f>
        <v>0.42857142857142855</v>
      </c>
      <c r="G51" s="49">
        <f>AVERAGE('31.07 Goli-Nebbi'!G51,'01.08 Goli-Nebbi'!G51,'04.08 Goli-Nebbi'!G51,'05.08 Goli-Nebbi'!G51,'02.08 Goli-Nebbi-24h'!G51,'03.08 Goli-Nebbi-24h'!G51,'06.08 Goli-Nebbi'!G51)</f>
        <v>0</v>
      </c>
      <c r="H51" s="49">
        <f>AVERAGE('31.07 Goli-Nebbi'!H51,'01.08 Goli-Nebbi'!H51,'04.08 Goli-Nebbi'!H51,'05.08 Goli-Nebbi'!H51,'02.08 Goli-Nebbi-24h'!H51,'03.08 Goli-Nebbi-24h'!H51,'06.08 Goli-Nebbi'!H51)</f>
        <v>0</v>
      </c>
      <c r="I51" s="49">
        <f>AVERAGE('31.07 Goli-Nebbi'!I51,'01.08 Goli-Nebbi'!I51,'04.08 Goli-Nebbi'!I51,'05.08 Goli-Nebbi'!I51,'02.08 Goli-Nebbi-24h'!I51,'03.08 Goli-Nebbi-24h'!I51,'06.08 Goli-Nebbi'!I51)</f>
        <v>0.2857142857142857</v>
      </c>
      <c r="J51" s="49">
        <f>AVERAGE('31.07 Goli-Nebbi'!J51,'01.08 Goli-Nebbi'!J51,'04.08 Goli-Nebbi'!J51,'05.08 Goli-Nebbi'!J51,'02.08 Goli-Nebbi-24h'!J51,'03.08 Goli-Nebbi-24h'!J51,'06.08 Goli-Nebbi'!J51)</f>
        <v>0</v>
      </c>
      <c r="K51" s="49">
        <f>AVERAGE('31.07 Goli-Nebbi'!K51,'01.08 Goli-Nebbi'!K51,'04.08 Goli-Nebbi'!K51,'05.08 Goli-Nebbi'!K51,'02.08 Goli-Nebbi-24h'!K51,'03.08 Goli-Nebbi-24h'!K51,'06.08 Goli-Nebbi'!K51)</f>
        <v>0</v>
      </c>
      <c r="L51" s="49">
        <f>AVERAGE('31.07 Goli-Nebbi'!L51,'01.08 Goli-Nebbi'!L51,'04.08 Goli-Nebbi'!L51,'05.08 Goli-Nebbi'!L51,'02.08 Goli-Nebbi-24h'!L51,'03.08 Goli-Nebbi-24h'!L51,'06.08 Goli-Nebbi'!L51)</f>
        <v>0.8571428571428571</v>
      </c>
      <c r="M51" s="49">
        <f>AVERAGE('31.07 Goli-Nebbi'!M51,'01.08 Goli-Nebbi'!M51,'04.08 Goli-Nebbi'!M51,'05.08 Goli-Nebbi'!M51,'02.08 Goli-Nebbi-24h'!M51,'03.08 Goli-Nebbi-24h'!M51,'06.08 Goli-Nebbi'!M51)</f>
        <v>9.5714285714285712</v>
      </c>
      <c r="N51" s="49">
        <f>AVERAGE('31.07 Goli-Nebbi'!N51,'01.08 Goli-Nebbi'!N51,'04.08 Goli-Nebbi'!N51,'05.08 Goli-Nebbi'!N51,'02.08 Goli-Nebbi-24h'!N51,'03.08 Goli-Nebbi-24h'!N51,'06.08 Goli-Nebbi'!N51)</f>
        <v>0</v>
      </c>
      <c r="O51" s="15">
        <f t="shared" si="0"/>
        <v>3</v>
      </c>
      <c r="P51" s="15">
        <f t="shared" si="1"/>
        <v>12.571428571428571</v>
      </c>
      <c r="R51" s="8"/>
      <c r="T51"/>
    </row>
    <row r="52" spans="2:20" ht="23.1" customHeight="1" x14ac:dyDescent="0.25">
      <c r="B52" s="24" t="s">
        <v>79</v>
      </c>
      <c r="C52" s="49">
        <f>AVERAGE('31.07 Goli-Nebbi'!C52,'01.08 Goli-Nebbi'!C52,'04.08 Goli-Nebbi'!C52,'05.08 Goli-Nebbi'!C52,'02.08 Goli-Nebbi-24h'!C52,'03.08 Goli-Nebbi-24h'!C52,'06.08 Goli-Nebbi'!C52)</f>
        <v>1.4285714285714286</v>
      </c>
      <c r="D52" s="49">
        <f>AVERAGE('31.07 Goli-Nebbi'!D52,'01.08 Goli-Nebbi'!D52,'04.08 Goli-Nebbi'!D52,'05.08 Goli-Nebbi'!D52,'02.08 Goli-Nebbi-24h'!D52,'03.08 Goli-Nebbi-24h'!D52,'06.08 Goli-Nebbi'!D52)</f>
        <v>0.42857142857142855</v>
      </c>
      <c r="E52" s="49">
        <f>AVERAGE('31.07 Goli-Nebbi'!E52,'01.08 Goli-Nebbi'!E52,'04.08 Goli-Nebbi'!E52,'05.08 Goli-Nebbi'!E52,'02.08 Goli-Nebbi-24h'!E52,'03.08 Goli-Nebbi-24h'!E52,'06.08 Goli-Nebbi'!E52)</f>
        <v>0.8571428571428571</v>
      </c>
      <c r="F52" s="49">
        <f>AVERAGE('31.07 Goli-Nebbi'!F52,'01.08 Goli-Nebbi'!F52,'04.08 Goli-Nebbi'!F52,'05.08 Goli-Nebbi'!F52,'02.08 Goli-Nebbi-24h'!F52,'03.08 Goli-Nebbi-24h'!F52,'06.08 Goli-Nebbi'!F52)</f>
        <v>0.5714285714285714</v>
      </c>
      <c r="G52" s="49">
        <f>AVERAGE('31.07 Goli-Nebbi'!G52,'01.08 Goli-Nebbi'!G52,'04.08 Goli-Nebbi'!G52,'05.08 Goli-Nebbi'!G52,'02.08 Goli-Nebbi-24h'!G52,'03.08 Goli-Nebbi-24h'!G52,'06.08 Goli-Nebbi'!G52)</f>
        <v>0</v>
      </c>
      <c r="H52" s="49">
        <f>AVERAGE('31.07 Goli-Nebbi'!H52,'01.08 Goli-Nebbi'!H52,'04.08 Goli-Nebbi'!H52,'05.08 Goli-Nebbi'!H52,'02.08 Goli-Nebbi-24h'!H52,'03.08 Goli-Nebbi-24h'!H52,'06.08 Goli-Nebbi'!H52)</f>
        <v>0</v>
      </c>
      <c r="I52" s="49">
        <f>AVERAGE('31.07 Goli-Nebbi'!I52,'01.08 Goli-Nebbi'!I52,'04.08 Goli-Nebbi'!I52,'05.08 Goli-Nebbi'!I52,'02.08 Goli-Nebbi-24h'!I52,'03.08 Goli-Nebbi-24h'!I52,'06.08 Goli-Nebbi'!I52)</f>
        <v>0.7142857142857143</v>
      </c>
      <c r="J52" s="49">
        <f>AVERAGE('31.07 Goli-Nebbi'!J52,'01.08 Goli-Nebbi'!J52,'04.08 Goli-Nebbi'!J52,'05.08 Goli-Nebbi'!J52,'02.08 Goli-Nebbi-24h'!J52,'03.08 Goli-Nebbi-24h'!J52,'06.08 Goli-Nebbi'!J52)</f>
        <v>0</v>
      </c>
      <c r="K52" s="49">
        <f>AVERAGE('31.07 Goli-Nebbi'!K52,'01.08 Goli-Nebbi'!K52,'04.08 Goli-Nebbi'!K52,'05.08 Goli-Nebbi'!K52,'02.08 Goli-Nebbi-24h'!K52,'03.08 Goli-Nebbi-24h'!K52,'06.08 Goli-Nebbi'!K52)</f>
        <v>0</v>
      </c>
      <c r="L52" s="49">
        <f>AVERAGE('31.07 Goli-Nebbi'!L52,'01.08 Goli-Nebbi'!L52,'04.08 Goli-Nebbi'!L52,'05.08 Goli-Nebbi'!L52,'02.08 Goli-Nebbi-24h'!L52,'03.08 Goli-Nebbi-24h'!L52,'06.08 Goli-Nebbi'!L52)</f>
        <v>0.14285714285714285</v>
      </c>
      <c r="M52" s="49">
        <f>AVERAGE('31.07 Goli-Nebbi'!M52,'01.08 Goli-Nebbi'!M52,'04.08 Goli-Nebbi'!M52,'05.08 Goli-Nebbi'!M52,'02.08 Goli-Nebbi-24h'!M52,'03.08 Goli-Nebbi-24h'!M52,'06.08 Goli-Nebbi'!M52)</f>
        <v>13.428571428571429</v>
      </c>
      <c r="N52" s="49">
        <f>AVERAGE('31.07 Goli-Nebbi'!N52,'01.08 Goli-Nebbi'!N52,'04.08 Goli-Nebbi'!N52,'05.08 Goli-Nebbi'!N52,'02.08 Goli-Nebbi-24h'!N52,'03.08 Goli-Nebbi-24h'!N52,'06.08 Goli-Nebbi'!N52)</f>
        <v>0</v>
      </c>
      <c r="O52" s="15">
        <f t="shared" si="0"/>
        <v>4.1428571428571432</v>
      </c>
      <c r="P52" s="15">
        <f t="shared" si="1"/>
        <v>17.571428571428573</v>
      </c>
      <c r="R52" s="8"/>
      <c r="T52"/>
    </row>
    <row r="53" spans="2:20" ht="23.1" customHeight="1" x14ac:dyDescent="0.25">
      <c r="B53" s="23" t="s">
        <v>80</v>
      </c>
      <c r="C53" s="49">
        <f>AVERAGE('31.07 Goli-Nebbi'!C53,'01.08 Goli-Nebbi'!C53,'04.08 Goli-Nebbi'!C53,'05.08 Goli-Nebbi'!C53,'02.08 Goli-Nebbi-24h'!C53,'03.08 Goli-Nebbi-24h'!C53,'06.08 Goli-Nebbi'!C53)</f>
        <v>1.1428571428571428</v>
      </c>
      <c r="D53" s="49">
        <f>AVERAGE('31.07 Goli-Nebbi'!D53,'01.08 Goli-Nebbi'!D53,'04.08 Goli-Nebbi'!D53,'05.08 Goli-Nebbi'!D53,'02.08 Goli-Nebbi-24h'!D53,'03.08 Goli-Nebbi-24h'!D53,'06.08 Goli-Nebbi'!D53)</f>
        <v>0.14285714285714285</v>
      </c>
      <c r="E53" s="49">
        <f>AVERAGE('31.07 Goli-Nebbi'!E53,'01.08 Goli-Nebbi'!E53,'04.08 Goli-Nebbi'!E53,'05.08 Goli-Nebbi'!E53,'02.08 Goli-Nebbi-24h'!E53,'03.08 Goli-Nebbi-24h'!E53,'06.08 Goli-Nebbi'!E53)</f>
        <v>0.42857142857142855</v>
      </c>
      <c r="F53" s="49">
        <f>AVERAGE('31.07 Goli-Nebbi'!F53,'01.08 Goli-Nebbi'!F53,'04.08 Goli-Nebbi'!F53,'05.08 Goli-Nebbi'!F53,'02.08 Goli-Nebbi-24h'!F53,'03.08 Goli-Nebbi-24h'!F53,'06.08 Goli-Nebbi'!F53)</f>
        <v>0.2857142857142857</v>
      </c>
      <c r="G53" s="49">
        <f>AVERAGE('31.07 Goli-Nebbi'!G53,'01.08 Goli-Nebbi'!G53,'04.08 Goli-Nebbi'!G53,'05.08 Goli-Nebbi'!G53,'02.08 Goli-Nebbi-24h'!G53,'03.08 Goli-Nebbi-24h'!G53,'06.08 Goli-Nebbi'!G53)</f>
        <v>0</v>
      </c>
      <c r="H53" s="49">
        <f>AVERAGE('31.07 Goli-Nebbi'!H53,'01.08 Goli-Nebbi'!H53,'04.08 Goli-Nebbi'!H53,'05.08 Goli-Nebbi'!H53,'02.08 Goli-Nebbi-24h'!H53,'03.08 Goli-Nebbi-24h'!H53,'06.08 Goli-Nebbi'!H53)</f>
        <v>0</v>
      </c>
      <c r="I53" s="49">
        <f>AVERAGE('31.07 Goli-Nebbi'!I53,'01.08 Goli-Nebbi'!I53,'04.08 Goli-Nebbi'!I53,'05.08 Goli-Nebbi'!I53,'02.08 Goli-Nebbi-24h'!I53,'03.08 Goli-Nebbi-24h'!I53,'06.08 Goli-Nebbi'!I53)</f>
        <v>0.8571428571428571</v>
      </c>
      <c r="J53" s="49">
        <f>AVERAGE('31.07 Goli-Nebbi'!J53,'01.08 Goli-Nebbi'!J53,'04.08 Goli-Nebbi'!J53,'05.08 Goli-Nebbi'!J53,'02.08 Goli-Nebbi-24h'!J53,'03.08 Goli-Nebbi-24h'!J53,'06.08 Goli-Nebbi'!J53)</f>
        <v>0</v>
      </c>
      <c r="K53" s="49">
        <f>AVERAGE('31.07 Goli-Nebbi'!K53,'01.08 Goli-Nebbi'!K53,'04.08 Goli-Nebbi'!K53,'05.08 Goli-Nebbi'!K53,'02.08 Goli-Nebbi-24h'!K53,'03.08 Goli-Nebbi-24h'!K53,'06.08 Goli-Nebbi'!K53)</f>
        <v>0</v>
      </c>
      <c r="L53" s="49">
        <f>AVERAGE('31.07 Goli-Nebbi'!L53,'01.08 Goli-Nebbi'!L53,'04.08 Goli-Nebbi'!L53,'05.08 Goli-Nebbi'!L53,'02.08 Goli-Nebbi-24h'!L53,'03.08 Goli-Nebbi-24h'!L53,'06.08 Goli-Nebbi'!L53)</f>
        <v>0.42857142857142855</v>
      </c>
      <c r="M53" s="49">
        <f>AVERAGE('31.07 Goli-Nebbi'!M53,'01.08 Goli-Nebbi'!M53,'04.08 Goli-Nebbi'!M53,'05.08 Goli-Nebbi'!M53,'02.08 Goli-Nebbi-24h'!M53,'03.08 Goli-Nebbi-24h'!M53,'06.08 Goli-Nebbi'!M53)</f>
        <v>16.428571428571427</v>
      </c>
      <c r="N53" s="49">
        <f>AVERAGE('31.07 Goli-Nebbi'!N53,'01.08 Goli-Nebbi'!N53,'04.08 Goli-Nebbi'!N53,'05.08 Goli-Nebbi'!N53,'02.08 Goli-Nebbi-24h'!N53,'03.08 Goli-Nebbi-24h'!N53,'06.08 Goli-Nebbi'!N53)</f>
        <v>0</v>
      </c>
      <c r="O53" s="15">
        <f t="shared" si="0"/>
        <v>3.2857142857142856</v>
      </c>
      <c r="P53" s="15">
        <f t="shared" si="1"/>
        <v>19.714285714285712</v>
      </c>
      <c r="R53" s="8"/>
      <c r="T53"/>
    </row>
    <row r="54" spans="2:20" ht="23.1" customHeight="1" x14ac:dyDescent="0.25">
      <c r="B54" s="23" t="s">
        <v>81</v>
      </c>
      <c r="C54" s="49">
        <f>AVERAGE('31.07 Goli-Nebbi'!C54,'01.08 Goli-Nebbi'!C54,'04.08 Goli-Nebbi'!C54,'05.08 Goli-Nebbi'!C54,'02.08 Goli-Nebbi-24h'!C54,'03.08 Goli-Nebbi-24h'!C54,'06.08 Goli-Nebbi'!C54)</f>
        <v>1.4285714285714286</v>
      </c>
      <c r="D54" s="49">
        <f>AVERAGE('31.07 Goli-Nebbi'!D54,'01.08 Goli-Nebbi'!D54,'04.08 Goli-Nebbi'!D54,'05.08 Goli-Nebbi'!D54,'02.08 Goli-Nebbi-24h'!D54,'03.08 Goli-Nebbi-24h'!D54,'06.08 Goli-Nebbi'!D54)</f>
        <v>0.14285714285714285</v>
      </c>
      <c r="E54" s="49">
        <f>AVERAGE('31.07 Goli-Nebbi'!E54,'01.08 Goli-Nebbi'!E54,'04.08 Goli-Nebbi'!E54,'05.08 Goli-Nebbi'!E54,'02.08 Goli-Nebbi-24h'!E54,'03.08 Goli-Nebbi-24h'!E54,'06.08 Goli-Nebbi'!E54)</f>
        <v>0.7142857142857143</v>
      </c>
      <c r="F54" s="49">
        <f>AVERAGE('31.07 Goli-Nebbi'!F54,'01.08 Goli-Nebbi'!F54,'04.08 Goli-Nebbi'!F54,'05.08 Goli-Nebbi'!F54,'02.08 Goli-Nebbi-24h'!F54,'03.08 Goli-Nebbi-24h'!F54,'06.08 Goli-Nebbi'!F54)</f>
        <v>0.7142857142857143</v>
      </c>
      <c r="G54" s="49">
        <f>AVERAGE('31.07 Goli-Nebbi'!G54,'01.08 Goli-Nebbi'!G54,'04.08 Goli-Nebbi'!G54,'05.08 Goli-Nebbi'!G54,'02.08 Goli-Nebbi-24h'!G54,'03.08 Goli-Nebbi-24h'!G54,'06.08 Goli-Nebbi'!G54)</f>
        <v>0.2857142857142857</v>
      </c>
      <c r="H54" s="49">
        <f>AVERAGE('31.07 Goli-Nebbi'!H54,'01.08 Goli-Nebbi'!H54,'04.08 Goli-Nebbi'!H54,'05.08 Goli-Nebbi'!H54,'02.08 Goli-Nebbi-24h'!H54,'03.08 Goli-Nebbi-24h'!H54,'06.08 Goli-Nebbi'!H54)</f>
        <v>0</v>
      </c>
      <c r="I54" s="49">
        <f>AVERAGE('31.07 Goli-Nebbi'!I54,'01.08 Goli-Nebbi'!I54,'04.08 Goli-Nebbi'!I54,'05.08 Goli-Nebbi'!I54,'02.08 Goli-Nebbi-24h'!I54,'03.08 Goli-Nebbi-24h'!I54,'06.08 Goli-Nebbi'!I54)</f>
        <v>0.8571428571428571</v>
      </c>
      <c r="J54" s="49">
        <f>AVERAGE('31.07 Goli-Nebbi'!J54,'01.08 Goli-Nebbi'!J54,'04.08 Goli-Nebbi'!J54,'05.08 Goli-Nebbi'!J54,'02.08 Goli-Nebbi-24h'!J54,'03.08 Goli-Nebbi-24h'!J54,'06.08 Goli-Nebbi'!J54)</f>
        <v>0.2857142857142857</v>
      </c>
      <c r="K54" s="49">
        <f>AVERAGE('31.07 Goli-Nebbi'!K54,'01.08 Goli-Nebbi'!K54,'04.08 Goli-Nebbi'!K54,'05.08 Goli-Nebbi'!K54,'02.08 Goli-Nebbi-24h'!K54,'03.08 Goli-Nebbi-24h'!K54,'06.08 Goli-Nebbi'!K54)</f>
        <v>0</v>
      </c>
      <c r="L54" s="49">
        <f>AVERAGE('31.07 Goli-Nebbi'!L54,'01.08 Goli-Nebbi'!L54,'04.08 Goli-Nebbi'!L54,'05.08 Goli-Nebbi'!L54,'02.08 Goli-Nebbi-24h'!L54,'03.08 Goli-Nebbi-24h'!L54,'06.08 Goli-Nebbi'!L54)</f>
        <v>0.42857142857142855</v>
      </c>
      <c r="M54" s="49">
        <f>AVERAGE('31.07 Goli-Nebbi'!M54,'01.08 Goli-Nebbi'!M54,'04.08 Goli-Nebbi'!M54,'05.08 Goli-Nebbi'!M54,'02.08 Goli-Nebbi-24h'!M54,'03.08 Goli-Nebbi-24h'!M54,'06.08 Goli-Nebbi'!M54)</f>
        <v>12.428571428571429</v>
      </c>
      <c r="N54" s="49">
        <f>AVERAGE('31.07 Goli-Nebbi'!N54,'01.08 Goli-Nebbi'!N54,'04.08 Goli-Nebbi'!N54,'05.08 Goli-Nebbi'!N54,'02.08 Goli-Nebbi-24h'!N54,'03.08 Goli-Nebbi-24h'!N54,'06.08 Goli-Nebbi'!N54)</f>
        <v>0</v>
      </c>
      <c r="O54" s="15">
        <f t="shared" si="0"/>
        <v>4.8571428571428568</v>
      </c>
      <c r="P54" s="15">
        <f t="shared" si="1"/>
        <v>17.285714285714285</v>
      </c>
      <c r="R54" s="8"/>
      <c r="T54"/>
    </row>
    <row r="55" spans="2:20" ht="23.1" customHeight="1" x14ac:dyDescent="0.25">
      <c r="B55" s="23" t="s">
        <v>82</v>
      </c>
      <c r="C55" s="49">
        <f>AVERAGE('31.07 Goli-Nebbi'!C55,'01.08 Goli-Nebbi'!C55,'04.08 Goli-Nebbi'!C55,'05.08 Goli-Nebbi'!C55,'02.08 Goli-Nebbi-24h'!C55,'03.08 Goli-Nebbi-24h'!C55,'06.08 Goli-Nebbi'!C55)</f>
        <v>1</v>
      </c>
      <c r="D55" s="49">
        <f>AVERAGE('31.07 Goli-Nebbi'!D55,'01.08 Goli-Nebbi'!D55,'04.08 Goli-Nebbi'!D55,'05.08 Goli-Nebbi'!D55,'02.08 Goli-Nebbi-24h'!D55,'03.08 Goli-Nebbi-24h'!D55,'06.08 Goli-Nebbi'!D55)</f>
        <v>0.7142857142857143</v>
      </c>
      <c r="E55" s="49">
        <f>AVERAGE('31.07 Goli-Nebbi'!E55,'01.08 Goli-Nebbi'!E55,'04.08 Goli-Nebbi'!E55,'05.08 Goli-Nebbi'!E55,'02.08 Goli-Nebbi-24h'!E55,'03.08 Goli-Nebbi-24h'!E55,'06.08 Goli-Nebbi'!E55)</f>
        <v>1.7142857142857142</v>
      </c>
      <c r="F55" s="49">
        <f>AVERAGE('31.07 Goli-Nebbi'!F55,'01.08 Goli-Nebbi'!F55,'04.08 Goli-Nebbi'!F55,'05.08 Goli-Nebbi'!F55,'02.08 Goli-Nebbi-24h'!F55,'03.08 Goli-Nebbi-24h'!F55,'06.08 Goli-Nebbi'!F55)</f>
        <v>0.5714285714285714</v>
      </c>
      <c r="G55" s="49">
        <f>AVERAGE('31.07 Goli-Nebbi'!G55,'01.08 Goli-Nebbi'!G55,'04.08 Goli-Nebbi'!G55,'05.08 Goli-Nebbi'!G55,'02.08 Goli-Nebbi-24h'!G55,'03.08 Goli-Nebbi-24h'!G55,'06.08 Goli-Nebbi'!G55)</f>
        <v>0</v>
      </c>
      <c r="H55" s="49">
        <f>AVERAGE('31.07 Goli-Nebbi'!H55,'01.08 Goli-Nebbi'!H55,'04.08 Goli-Nebbi'!H55,'05.08 Goli-Nebbi'!H55,'02.08 Goli-Nebbi-24h'!H55,'03.08 Goli-Nebbi-24h'!H55,'06.08 Goli-Nebbi'!H55)</f>
        <v>0.14285714285714285</v>
      </c>
      <c r="I55" s="49">
        <f>AVERAGE('31.07 Goli-Nebbi'!I55,'01.08 Goli-Nebbi'!I55,'04.08 Goli-Nebbi'!I55,'05.08 Goli-Nebbi'!I55,'02.08 Goli-Nebbi-24h'!I55,'03.08 Goli-Nebbi-24h'!I55,'06.08 Goli-Nebbi'!I55)</f>
        <v>0.5714285714285714</v>
      </c>
      <c r="J55" s="49">
        <f>AVERAGE('31.07 Goli-Nebbi'!J55,'01.08 Goli-Nebbi'!J55,'04.08 Goli-Nebbi'!J55,'05.08 Goli-Nebbi'!J55,'02.08 Goli-Nebbi-24h'!J55,'03.08 Goli-Nebbi-24h'!J55,'06.08 Goli-Nebbi'!J55)</f>
        <v>0</v>
      </c>
      <c r="K55" s="49">
        <f>AVERAGE('31.07 Goli-Nebbi'!K55,'01.08 Goli-Nebbi'!K55,'04.08 Goli-Nebbi'!K55,'05.08 Goli-Nebbi'!K55,'02.08 Goli-Nebbi-24h'!K55,'03.08 Goli-Nebbi-24h'!K55,'06.08 Goli-Nebbi'!K55)</f>
        <v>0</v>
      </c>
      <c r="L55" s="49">
        <f>AVERAGE('31.07 Goli-Nebbi'!L55,'01.08 Goli-Nebbi'!L55,'04.08 Goli-Nebbi'!L55,'05.08 Goli-Nebbi'!L55,'02.08 Goli-Nebbi-24h'!L55,'03.08 Goli-Nebbi-24h'!L55,'06.08 Goli-Nebbi'!L55)</f>
        <v>0.2857142857142857</v>
      </c>
      <c r="M55" s="49">
        <f>AVERAGE('31.07 Goli-Nebbi'!M55,'01.08 Goli-Nebbi'!M55,'04.08 Goli-Nebbi'!M55,'05.08 Goli-Nebbi'!M55,'02.08 Goli-Nebbi-24h'!M55,'03.08 Goli-Nebbi-24h'!M55,'06.08 Goli-Nebbi'!M55)</f>
        <v>15.428571428571429</v>
      </c>
      <c r="N55" s="49">
        <f>AVERAGE('31.07 Goli-Nebbi'!N55,'01.08 Goli-Nebbi'!N55,'04.08 Goli-Nebbi'!N55,'05.08 Goli-Nebbi'!N55,'02.08 Goli-Nebbi-24h'!N55,'03.08 Goli-Nebbi-24h'!N55,'06.08 Goli-Nebbi'!N55)</f>
        <v>0</v>
      </c>
      <c r="O55" s="15">
        <f t="shared" si="0"/>
        <v>5</v>
      </c>
      <c r="P55" s="15">
        <f t="shared" si="1"/>
        <v>20.428571428571431</v>
      </c>
      <c r="R55" s="8"/>
      <c r="T55"/>
    </row>
    <row r="56" spans="2:20" ht="23.1" customHeight="1" x14ac:dyDescent="0.25">
      <c r="B56" s="23" t="s">
        <v>83</v>
      </c>
      <c r="C56" s="49">
        <f>AVERAGE('31.07 Goli-Nebbi'!C56,'01.08 Goli-Nebbi'!C56,'04.08 Goli-Nebbi'!C56,'05.08 Goli-Nebbi'!C56,'02.08 Goli-Nebbi-24h'!C56,'03.08 Goli-Nebbi-24h'!C56,'06.08 Goli-Nebbi'!C56)</f>
        <v>1.7142857142857142</v>
      </c>
      <c r="D56" s="49">
        <f>AVERAGE('31.07 Goli-Nebbi'!D56,'01.08 Goli-Nebbi'!D56,'04.08 Goli-Nebbi'!D56,'05.08 Goli-Nebbi'!D56,'02.08 Goli-Nebbi-24h'!D56,'03.08 Goli-Nebbi-24h'!D56,'06.08 Goli-Nebbi'!D56)</f>
        <v>0.2857142857142857</v>
      </c>
      <c r="E56" s="49">
        <f>AVERAGE('31.07 Goli-Nebbi'!E56,'01.08 Goli-Nebbi'!E56,'04.08 Goli-Nebbi'!E56,'05.08 Goli-Nebbi'!E56,'02.08 Goli-Nebbi-24h'!E56,'03.08 Goli-Nebbi-24h'!E56,'06.08 Goli-Nebbi'!E56)</f>
        <v>0.7142857142857143</v>
      </c>
      <c r="F56" s="49">
        <f>AVERAGE('31.07 Goli-Nebbi'!F56,'01.08 Goli-Nebbi'!F56,'04.08 Goli-Nebbi'!F56,'05.08 Goli-Nebbi'!F56,'02.08 Goli-Nebbi-24h'!F56,'03.08 Goli-Nebbi-24h'!F56,'06.08 Goli-Nebbi'!F56)</f>
        <v>0.5714285714285714</v>
      </c>
      <c r="G56" s="49">
        <f>AVERAGE('31.07 Goli-Nebbi'!G56,'01.08 Goli-Nebbi'!G56,'04.08 Goli-Nebbi'!G56,'05.08 Goli-Nebbi'!G56,'02.08 Goli-Nebbi-24h'!G56,'03.08 Goli-Nebbi-24h'!G56,'06.08 Goli-Nebbi'!G56)</f>
        <v>0</v>
      </c>
      <c r="H56" s="49">
        <f>AVERAGE('31.07 Goli-Nebbi'!H56,'01.08 Goli-Nebbi'!H56,'04.08 Goli-Nebbi'!H56,'05.08 Goli-Nebbi'!H56,'02.08 Goli-Nebbi-24h'!H56,'03.08 Goli-Nebbi-24h'!H56,'06.08 Goli-Nebbi'!H56)</f>
        <v>0</v>
      </c>
      <c r="I56" s="49">
        <f>AVERAGE('31.07 Goli-Nebbi'!I56,'01.08 Goli-Nebbi'!I56,'04.08 Goli-Nebbi'!I56,'05.08 Goli-Nebbi'!I56,'02.08 Goli-Nebbi-24h'!I56,'03.08 Goli-Nebbi-24h'!I56,'06.08 Goli-Nebbi'!I56)</f>
        <v>0.8571428571428571</v>
      </c>
      <c r="J56" s="49">
        <f>AVERAGE('31.07 Goli-Nebbi'!J56,'01.08 Goli-Nebbi'!J56,'04.08 Goli-Nebbi'!J56,'05.08 Goli-Nebbi'!J56,'02.08 Goli-Nebbi-24h'!J56,'03.08 Goli-Nebbi-24h'!J56,'06.08 Goli-Nebbi'!J56)</f>
        <v>0</v>
      </c>
      <c r="K56" s="49">
        <f>AVERAGE('31.07 Goli-Nebbi'!K56,'01.08 Goli-Nebbi'!K56,'04.08 Goli-Nebbi'!K56,'05.08 Goli-Nebbi'!K56,'02.08 Goli-Nebbi-24h'!K56,'03.08 Goli-Nebbi-24h'!K56,'06.08 Goli-Nebbi'!K56)</f>
        <v>0.2857142857142857</v>
      </c>
      <c r="L56" s="49">
        <f>AVERAGE('31.07 Goli-Nebbi'!L56,'01.08 Goli-Nebbi'!L56,'04.08 Goli-Nebbi'!L56,'05.08 Goli-Nebbi'!L56,'02.08 Goli-Nebbi-24h'!L56,'03.08 Goli-Nebbi-24h'!L56,'06.08 Goli-Nebbi'!L56)</f>
        <v>0.2857142857142857</v>
      </c>
      <c r="M56" s="49">
        <f>AVERAGE('31.07 Goli-Nebbi'!M56,'01.08 Goli-Nebbi'!M56,'04.08 Goli-Nebbi'!M56,'05.08 Goli-Nebbi'!M56,'02.08 Goli-Nebbi-24h'!M56,'03.08 Goli-Nebbi-24h'!M56,'06.08 Goli-Nebbi'!M56)</f>
        <v>14.142857142857142</v>
      </c>
      <c r="N56" s="49">
        <f>AVERAGE('31.07 Goli-Nebbi'!N56,'01.08 Goli-Nebbi'!N56,'04.08 Goli-Nebbi'!N56,'05.08 Goli-Nebbi'!N56,'02.08 Goli-Nebbi-24h'!N56,'03.08 Goli-Nebbi-24h'!N56,'06.08 Goli-Nebbi'!N56)</f>
        <v>0</v>
      </c>
      <c r="O56" s="15">
        <f t="shared" si="0"/>
        <v>4.7142857142857135</v>
      </c>
      <c r="P56" s="15">
        <f t="shared" si="1"/>
        <v>18.857142857142854</v>
      </c>
      <c r="R56" s="8"/>
      <c r="T56"/>
    </row>
    <row r="57" spans="2:20" ht="23.1" customHeight="1" x14ac:dyDescent="0.25">
      <c r="B57" s="23" t="s">
        <v>84</v>
      </c>
      <c r="C57" s="49">
        <f>AVERAGE('31.07 Goli-Nebbi'!C57,'01.08 Goli-Nebbi'!C57,'04.08 Goli-Nebbi'!C57,'05.08 Goli-Nebbi'!C57,'02.08 Goli-Nebbi-24h'!C57,'03.08 Goli-Nebbi-24h'!C57,'06.08 Goli-Nebbi'!C57)</f>
        <v>0.8571428571428571</v>
      </c>
      <c r="D57" s="49">
        <f>AVERAGE('31.07 Goli-Nebbi'!D57,'01.08 Goli-Nebbi'!D57,'04.08 Goli-Nebbi'!D57,'05.08 Goli-Nebbi'!D57,'02.08 Goli-Nebbi-24h'!D57,'03.08 Goli-Nebbi-24h'!D57,'06.08 Goli-Nebbi'!D57)</f>
        <v>0.14285714285714285</v>
      </c>
      <c r="E57" s="49">
        <f>AVERAGE('31.07 Goli-Nebbi'!E57,'01.08 Goli-Nebbi'!E57,'04.08 Goli-Nebbi'!E57,'05.08 Goli-Nebbi'!E57,'02.08 Goli-Nebbi-24h'!E57,'03.08 Goli-Nebbi-24h'!E57,'06.08 Goli-Nebbi'!E57)</f>
        <v>0.42857142857142855</v>
      </c>
      <c r="F57" s="49">
        <f>AVERAGE('31.07 Goli-Nebbi'!F57,'01.08 Goli-Nebbi'!F57,'04.08 Goli-Nebbi'!F57,'05.08 Goli-Nebbi'!F57,'02.08 Goli-Nebbi-24h'!F57,'03.08 Goli-Nebbi-24h'!F57,'06.08 Goli-Nebbi'!F57)</f>
        <v>0.14285714285714285</v>
      </c>
      <c r="G57" s="49">
        <f>AVERAGE('31.07 Goli-Nebbi'!G57,'01.08 Goli-Nebbi'!G57,'04.08 Goli-Nebbi'!G57,'05.08 Goli-Nebbi'!G57,'02.08 Goli-Nebbi-24h'!G57,'03.08 Goli-Nebbi-24h'!G57,'06.08 Goli-Nebbi'!G57)</f>
        <v>0</v>
      </c>
      <c r="H57" s="49">
        <f>AVERAGE('31.07 Goli-Nebbi'!H57,'01.08 Goli-Nebbi'!H57,'04.08 Goli-Nebbi'!H57,'05.08 Goli-Nebbi'!H57,'02.08 Goli-Nebbi-24h'!H57,'03.08 Goli-Nebbi-24h'!H57,'06.08 Goli-Nebbi'!H57)</f>
        <v>0.14285714285714285</v>
      </c>
      <c r="I57" s="49">
        <f>AVERAGE('31.07 Goli-Nebbi'!I57,'01.08 Goli-Nebbi'!I57,'04.08 Goli-Nebbi'!I57,'05.08 Goli-Nebbi'!I57,'02.08 Goli-Nebbi-24h'!I57,'03.08 Goli-Nebbi-24h'!I57,'06.08 Goli-Nebbi'!I57)</f>
        <v>0</v>
      </c>
      <c r="J57" s="49">
        <f>AVERAGE('31.07 Goli-Nebbi'!J57,'01.08 Goli-Nebbi'!J57,'04.08 Goli-Nebbi'!J57,'05.08 Goli-Nebbi'!J57,'02.08 Goli-Nebbi-24h'!J57,'03.08 Goli-Nebbi-24h'!J57,'06.08 Goli-Nebbi'!J57)</f>
        <v>0</v>
      </c>
      <c r="K57" s="49">
        <f>AVERAGE('31.07 Goli-Nebbi'!K57,'01.08 Goli-Nebbi'!K57,'04.08 Goli-Nebbi'!K57,'05.08 Goli-Nebbi'!K57,'02.08 Goli-Nebbi-24h'!K57,'03.08 Goli-Nebbi-24h'!K57,'06.08 Goli-Nebbi'!K57)</f>
        <v>0.14285714285714285</v>
      </c>
      <c r="L57" s="49">
        <f>AVERAGE('31.07 Goli-Nebbi'!L57,'01.08 Goli-Nebbi'!L57,'04.08 Goli-Nebbi'!L57,'05.08 Goli-Nebbi'!L57,'02.08 Goli-Nebbi-24h'!L57,'03.08 Goli-Nebbi-24h'!L57,'06.08 Goli-Nebbi'!L57)</f>
        <v>1</v>
      </c>
      <c r="M57" s="49">
        <f>AVERAGE('31.07 Goli-Nebbi'!M57,'01.08 Goli-Nebbi'!M57,'04.08 Goli-Nebbi'!M57,'05.08 Goli-Nebbi'!M57,'02.08 Goli-Nebbi-24h'!M57,'03.08 Goli-Nebbi-24h'!M57,'06.08 Goli-Nebbi'!M57)</f>
        <v>10</v>
      </c>
      <c r="N57" s="49">
        <f>AVERAGE('31.07 Goli-Nebbi'!N57,'01.08 Goli-Nebbi'!N57,'04.08 Goli-Nebbi'!N57,'05.08 Goli-Nebbi'!N57,'02.08 Goli-Nebbi-24h'!N57,'03.08 Goli-Nebbi-24h'!N57,'06.08 Goli-Nebbi'!N57)</f>
        <v>0</v>
      </c>
      <c r="O57" s="15">
        <f t="shared" si="0"/>
        <v>2.8571428571428568</v>
      </c>
      <c r="P57" s="15">
        <f t="shared" si="1"/>
        <v>12.857142857142858</v>
      </c>
      <c r="R57" s="8"/>
      <c r="T57"/>
    </row>
    <row r="58" spans="2:20" ht="23.1" customHeight="1" x14ac:dyDescent="0.25">
      <c r="B58" s="23" t="s">
        <v>99</v>
      </c>
      <c r="C58" s="49">
        <f>AVERAGE('02.08 Goli-Nebbi-24h'!C58,'03.08 Goli-Nebbi-24h'!C58,)</f>
        <v>0</v>
      </c>
      <c r="D58" s="49">
        <f>AVERAGE('02.08 Goli-Nebbi-24h'!D58,'03.08 Goli-Nebbi-24h'!D58,)</f>
        <v>0</v>
      </c>
      <c r="E58" s="49">
        <f>AVERAGE('02.08 Goli-Nebbi-24h'!E58,'03.08 Goli-Nebbi-24h'!E58,)</f>
        <v>0.33333333333333331</v>
      </c>
      <c r="F58" s="49">
        <f>AVERAGE('02.08 Goli-Nebbi-24h'!F58,'03.08 Goli-Nebbi-24h'!F58,)</f>
        <v>1</v>
      </c>
      <c r="G58" s="49">
        <f>AVERAGE('02.08 Goli-Nebbi-24h'!G58,'03.08 Goli-Nebbi-24h'!G58,)</f>
        <v>0</v>
      </c>
      <c r="H58" s="49">
        <f>AVERAGE('02.08 Goli-Nebbi-24h'!H58,'03.08 Goli-Nebbi-24h'!H58,)</f>
        <v>0</v>
      </c>
      <c r="I58" s="49">
        <f>AVERAGE('02.08 Goli-Nebbi-24h'!I58,'03.08 Goli-Nebbi-24h'!I58,)</f>
        <v>0.33333333333333331</v>
      </c>
      <c r="J58" s="49">
        <f>AVERAGE('02.08 Goli-Nebbi-24h'!J58,'03.08 Goli-Nebbi-24h'!J58,)</f>
        <v>0</v>
      </c>
      <c r="K58" s="49">
        <f>AVERAGE('02.08 Goli-Nebbi-24h'!K58,'03.08 Goli-Nebbi-24h'!K58,)</f>
        <v>0</v>
      </c>
      <c r="L58" s="49">
        <f>AVERAGE('02.08 Goli-Nebbi-24h'!L58,'03.08 Goli-Nebbi-24h'!L58,)</f>
        <v>0</v>
      </c>
      <c r="M58" s="49">
        <f>AVERAGE('02.08 Goli-Nebbi-24h'!M58,'03.08 Goli-Nebbi-24h'!M58,)</f>
        <v>15.333333333333334</v>
      </c>
      <c r="N58" s="49">
        <f>AVERAGE('02.08 Goli-Nebbi-24h'!N58,'03.08 Goli-Nebbi-24h'!N58,)</f>
        <v>0</v>
      </c>
      <c r="O58" s="15">
        <f t="shared" si="0"/>
        <v>1.6666666666666665</v>
      </c>
      <c r="P58" s="15">
        <f t="shared" si="1"/>
        <v>17</v>
      </c>
      <c r="R58" s="8"/>
      <c r="T58"/>
    </row>
    <row r="59" spans="2:20" ht="23.1" customHeight="1" x14ac:dyDescent="0.25">
      <c r="B59" s="23" t="s">
        <v>100</v>
      </c>
      <c r="C59" s="49">
        <f>AVERAGE('02.08 Goli-Nebbi-24h'!C59,'03.08 Goli-Nebbi-24h'!C59,)</f>
        <v>0.66666666666666663</v>
      </c>
      <c r="D59" s="49">
        <f>AVERAGE('02.08 Goli-Nebbi-24h'!D59,'03.08 Goli-Nebbi-24h'!D59,)</f>
        <v>0</v>
      </c>
      <c r="E59" s="49">
        <f>AVERAGE('02.08 Goli-Nebbi-24h'!E59,'03.08 Goli-Nebbi-24h'!E59,)</f>
        <v>0</v>
      </c>
      <c r="F59" s="49">
        <f>AVERAGE('02.08 Goli-Nebbi-24h'!F59,'03.08 Goli-Nebbi-24h'!F59,)</f>
        <v>0.33333333333333331</v>
      </c>
      <c r="G59" s="49">
        <f>AVERAGE('02.08 Goli-Nebbi-24h'!G59,'03.08 Goli-Nebbi-24h'!G59,)</f>
        <v>0</v>
      </c>
      <c r="H59" s="49">
        <f>AVERAGE('02.08 Goli-Nebbi-24h'!H59,'03.08 Goli-Nebbi-24h'!H59,)</f>
        <v>0.33333333333333331</v>
      </c>
      <c r="I59" s="49">
        <f>AVERAGE('02.08 Goli-Nebbi-24h'!I59,'03.08 Goli-Nebbi-24h'!I59,)</f>
        <v>0.33333333333333331</v>
      </c>
      <c r="J59" s="49">
        <f>AVERAGE('02.08 Goli-Nebbi-24h'!J59,'03.08 Goli-Nebbi-24h'!J59,)</f>
        <v>0</v>
      </c>
      <c r="K59" s="49">
        <f>AVERAGE('02.08 Goli-Nebbi-24h'!K59,'03.08 Goli-Nebbi-24h'!K59,)</f>
        <v>0</v>
      </c>
      <c r="L59" s="49">
        <f>AVERAGE('02.08 Goli-Nebbi-24h'!L59,'03.08 Goli-Nebbi-24h'!L59,)</f>
        <v>0.66666666666666663</v>
      </c>
      <c r="M59" s="49">
        <f>AVERAGE('02.08 Goli-Nebbi-24h'!M59,'03.08 Goli-Nebbi-24h'!M59,)</f>
        <v>20</v>
      </c>
      <c r="N59" s="49">
        <f>AVERAGE('02.08 Goli-Nebbi-24h'!N59,'03.08 Goli-Nebbi-24h'!N59,)</f>
        <v>0</v>
      </c>
      <c r="O59" s="15">
        <f t="shared" si="0"/>
        <v>2.333333333333333</v>
      </c>
      <c r="P59" s="15">
        <f t="shared" si="1"/>
        <v>22.333333333333332</v>
      </c>
      <c r="R59" s="8"/>
      <c r="T59"/>
    </row>
    <row r="60" spans="2:20" ht="23.1" customHeight="1" x14ac:dyDescent="0.25">
      <c r="B60" s="23" t="s">
        <v>101</v>
      </c>
      <c r="C60" s="49">
        <f>AVERAGE('02.08 Goli-Nebbi-24h'!C60,'03.08 Goli-Nebbi-24h'!C60,)</f>
        <v>1</v>
      </c>
      <c r="D60" s="49">
        <f>AVERAGE('02.08 Goli-Nebbi-24h'!D60,'03.08 Goli-Nebbi-24h'!D60,)</f>
        <v>0</v>
      </c>
      <c r="E60" s="49">
        <f>AVERAGE('02.08 Goli-Nebbi-24h'!E60,'03.08 Goli-Nebbi-24h'!E60,)</f>
        <v>0</v>
      </c>
      <c r="F60" s="49">
        <f>AVERAGE('02.08 Goli-Nebbi-24h'!F60,'03.08 Goli-Nebbi-24h'!F60,)</f>
        <v>0</v>
      </c>
      <c r="G60" s="49">
        <f>AVERAGE('02.08 Goli-Nebbi-24h'!G60,'03.08 Goli-Nebbi-24h'!G60,)</f>
        <v>0.33333333333333331</v>
      </c>
      <c r="H60" s="49">
        <f>AVERAGE('02.08 Goli-Nebbi-24h'!H60,'03.08 Goli-Nebbi-24h'!H60,)</f>
        <v>0.33333333333333331</v>
      </c>
      <c r="I60" s="49">
        <f>AVERAGE('02.08 Goli-Nebbi-24h'!I60,'03.08 Goli-Nebbi-24h'!I60,)</f>
        <v>0</v>
      </c>
      <c r="J60" s="49">
        <f>AVERAGE('02.08 Goli-Nebbi-24h'!J60,'03.08 Goli-Nebbi-24h'!J60,)</f>
        <v>0</v>
      </c>
      <c r="K60" s="49">
        <f>AVERAGE('02.08 Goli-Nebbi-24h'!K60,'03.08 Goli-Nebbi-24h'!K60,)</f>
        <v>0</v>
      </c>
      <c r="L60" s="49">
        <f>AVERAGE('02.08 Goli-Nebbi-24h'!L60,'03.08 Goli-Nebbi-24h'!L60,)</f>
        <v>0</v>
      </c>
      <c r="M60" s="49">
        <f>AVERAGE('02.08 Goli-Nebbi-24h'!M60,'03.08 Goli-Nebbi-24h'!M60,)</f>
        <v>8.3333333333333339</v>
      </c>
      <c r="N60" s="49">
        <f>AVERAGE('02.08 Goli-Nebbi-24h'!N60,'03.08 Goli-Nebbi-24h'!N60,)</f>
        <v>0</v>
      </c>
      <c r="O60" s="15">
        <f t="shared" si="0"/>
        <v>1.6666666666666665</v>
      </c>
      <c r="P60" s="15">
        <f t="shared" si="1"/>
        <v>10</v>
      </c>
      <c r="R60" s="8"/>
      <c r="T60"/>
    </row>
    <row r="61" spans="2:20" ht="23.1" customHeight="1" x14ac:dyDescent="0.25">
      <c r="B61" s="23" t="s">
        <v>102</v>
      </c>
      <c r="C61" s="49">
        <f>AVERAGE('02.08 Goli-Nebbi-24h'!C61,'03.08 Goli-Nebbi-24h'!C61,)</f>
        <v>1</v>
      </c>
      <c r="D61" s="49">
        <f>AVERAGE('02.08 Goli-Nebbi-24h'!D61,'03.08 Goli-Nebbi-24h'!D61,)</f>
        <v>0</v>
      </c>
      <c r="E61" s="49">
        <f>AVERAGE('02.08 Goli-Nebbi-24h'!E61,'03.08 Goli-Nebbi-24h'!E61,)</f>
        <v>0</v>
      </c>
      <c r="F61" s="49">
        <f>AVERAGE('02.08 Goli-Nebbi-24h'!F61,'03.08 Goli-Nebbi-24h'!F61,)</f>
        <v>0</v>
      </c>
      <c r="G61" s="49">
        <f>AVERAGE('02.08 Goli-Nebbi-24h'!G61,'03.08 Goli-Nebbi-24h'!G61,)</f>
        <v>0</v>
      </c>
      <c r="H61" s="49">
        <f>AVERAGE('02.08 Goli-Nebbi-24h'!H61,'03.08 Goli-Nebbi-24h'!H61,)</f>
        <v>0.66666666666666663</v>
      </c>
      <c r="I61" s="49">
        <f>AVERAGE('02.08 Goli-Nebbi-24h'!I61,'03.08 Goli-Nebbi-24h'!I61,)</f>
        <v>0.33333333333333331</v>
      </c>
      <c r="J61" s="49">
        <f>AVERAGE('02.08 Goli-Nebbi-24h'!J61,'03.08 Goli-Nebbi-24h'!J61,)</f>
        <v>0</v>
      </c>
      <c r="K61" s="49">
        <f>AVERAGE('02.08 Goli-Nebbi-24h'!K61,'03.08 Goli-Nebbi-24h'!K61,)</f>
        <v>0</v>
      </c>
      <c r="L61" s="49">
        <f>AVERAGE('02.08 Goli-Nebbi-24h'!L61,'03.08 Goli-Nebbi-24h'!L61,)</f>
        <v>0</v>
      </c>
      <c r="M61" s="49">
        <f>AVERAGE('02.08 Goli-Nebbi-24h'!M61,'03.08 Goli-Nebbi-24h'!M61,)</f>
        <v>3.3333333333333335</v>
      </c>
      <c r="N61" s="49">
        <f>AVERAGE('02.08 Goli-Nebbi-24h'!N61,'03.08 Goli-Nebbi-24h'!N61,)</f>
        <v>0</v>
      </c>
      <c r="O61" s="15">
        <f t="shared" si="0"/>
        <v>1.9999999999999998</v>
      </c>
      <c r="P61" s="15">
        <f t="shared" si="1"/>
        <v>5.333333333333333</v>
      </c>
      <c r="R61" s="8"/>
      <c r="T61"/>
    </row>
    <row r="62" spans="2:20" ht="23.1" customHeight="1" x14ac:dyDescent="0.25">
      <c r="B62" s="23" t="s">
        <v>107</v>
      </c>
      <c r="C62" s="49">
        <f>AVERAGE('02.08 Goli-Nebbi-24h'!C62,'03.08 Goli-Nebbi-24h'!C62,)</f>
        <v>1</v>
      </c>
      <c r="D62" s="49">
        <f>AVERAGE('02.08 Goli-Nebbi-24h'!D62,'03.08 Goli-Nebbi-24h'!D62,)</f>
        <v>0</v>
      </c>
      <c r="E62" s="49">
        <f>AVERAGE('02.08 Goli-Nebbi-24h'!E62,'03.08 Goli-Nebbi-24h'!E62,)</f>
        <v>0</v>
      </c>
      <c r="F62" s="49">
        <f>AVERAGE('02.08 Goli-Nebbi-24h'!F62,'03.08 Goli-Nebbi-24h'!F62,)</f>
        <v>0</v>
      </c>
      <c r="G62" s="49">
        <f>AVERAGE('02.08 Goli-Nebbi-24h'!G62,'03.08 Goli-Nebbi-24h'!G62,)</f>
        <v>0</v>
      </c>
      <c r="H62" s="49">
        <f>AVERAGE('02.08 Goli-Nebbi-24h'!H62,'03.08 Goli-Nebbi-24h'!H62,)</f>
        <v>0</v>
      </c>
      <c r="I62" s="49">
        <f>AVERAGE('02.08 Goli-Nebbi-24h'!I62,'03.08 Goli-Nebbi-24h'!I62,)</f>
        <v>0</v>
      </c>
      <c r="J62" s="49">
        <f>AVERAGE('02.08 Goli-Nebbi-24h'!J62,'03.08 Goli-Nebbi-24h'!J62,)</f>
        <v>0</v>
      </c>
      <c r="K62" s="49">
        <f>AVERAGE('02.08 Goli-Nebbi-24h'!K62,'03.08 Goli-Nebbi-24h'!K62,)</f>
        <v>0</v>
      </c>
      <c r="L62" s="49">
        <f>AVERAGE('02.08 Goli-Nebbi-24h'!L62,'03.08 Goli-Nebbi-24h'!L62,)</f>
        <v>0.33333333333333331</v>
      </c>
      <c r="M62" s="49">
        <f>AVERAGE('02.08 Goli-Nebbi-24h'!M62,'03.08 Goli-Nebbi-24h'!M62,)</f>
        <v>4.666666666666667</v>
      </c>
      <c r="N62" s="49">
        <f>AVERAGE('02.08 Goli-Nebbi-24h'!N62,'03.08 Goli-Nebbi-24h'!N62,)</f>
        <v>0</v>
      </c>
      <c r="O62" s="15">
        <f t="shared" si="0"/>
        <v>1.3333333333333333</v>
      </c>
      <c r="P62" s="15">
        <f t="shared" si="1"/>
        <v>6</v>
      </c>
      <c r="R62" s="8"/>
      <c r="T62"/>
    </row>
    <row r="63" spans="2:20" ht="23.1" customHeight="1" x14ac:dyDescent="0.25">
      <c r="B63" s="23" t="s">
        <v>108</v>
      </c>
      <c r="C63" s="49">
        <f>AVERAGE('02.08 Goli-Nebbi-24h'!C63,'03.08 Goli-Nebbi-24h'!C63,)</f>
        <v>0.66666666666666663</v>
      </c>
      <c r="D63" s="49">
        <f>AVERAGE('02.08 Goli-Nebbi-24h'!D63,'03.08 Goli-Nebbi-24h'!D63,)</f>
        <v>0</v>
      </c>
      <c r="E63" s="49">
        <f>AVERAGE('02.08 Goli-Nebbi-24h'!E63,'03.08 Goli-Nebbi-24h'!E63,)</f>
        <v>0</v>
      </c>
      <c r="F63" s="49">
        <f>AVERAGE('02.08 Goli-Nebbi-24h'!F63,'03.08 Goli-Nebbi-24h'!F63,)</f>
        <v>0</v>
      </c>
      <c r="G63" s="49">
        <f>AVERAGE('02.08 Goli-Nebbi-24h'!G63,'03.08 Goli-Nebbi-24h'!G63,)</f>
        <v>0</v>
      </c>
      <c r="H63" s="49">
        <f>AVERAGE('02.08 Goli-Nebbi-24h'!H63,'03.08 Goli-Nebbi-24h'!H63,)</f>
        <v>0</v>
      </c>
      <c r="I63" s="49">
        <f>AVERAGE('02.08 Goli-Nebbi-24h'!I63,'03.08 Goli-Nebbi-24h'!I63,)</f>
        <v>0</v>
      </c>
      <c r="J63" s="49">
        <f>AVERAGE('02.08 Goli-Nebbi-24h'!J63,'03.08 Goli-Nebbi-24h'!J63,)</f>
        <v>0</v>
      </c>
      <c r="K63" s="49">
        <f>AVERAGE('02.08 Goli-Nebbi-24h'!K63,'03.08 Goli-Nebbi-24h'!K63,)</f>
        <v>0</v>
      </c>
      <c r="L63" s="49">
        <f>AVERAGE('02.08 Goli-Nebbi-24h'!L63,'03.08 Goli-Nebbi-24h'!L63,)</f>
        <v>0</v>
      </c>
      <c r="M63" s="49">
        <f>AVERAGE('02.08 Goli-Nebbi-24h'!M63,'03.08 Goli-Nebbi-24h'!M63,)</f>
        <v>6.666666666666667</v>
      </c>
      <c r="N63" s="49">
        <f>AVERAGE('02.08 Goli-Nebbi-24h'!N63,'03.08 Goli-Nebbi-24h'!N63,)</f>
        <v>0</v>
      </c>
      <c r="O63" s="15">
        <f t="shared" si="0"/>
        <v>0.66666666666666663</v>
      </c>
      <c r="P63" s="15">
        <f t="shared" si="1"/>
        <v>7.3333333333333339</v>
      </c>
      <c r="R63" s="8"/>
      <c r="T63"/>
    </row>
    <row r="64" spans="2:20" ht="23.1" customHeight="1" x14ac:dyDescent="0.25">
      <c r="B64" s="23" t="s">
        <v>109</v>
      </c>
      <c r="C64" s="49">
        <f>AVERAGE('02.08 Goli-Nebbi-24h'!C64,'03.08 Goli-Nebbi-24h'!C64,)</f>
        <v>0.66666666666666663</v>
      </c>
      <c r="D64" s="49">
        <f>AVERAGE('02.08 Goli-Nebbi-24h'!D64,'03.08 Goli-Nebbi-24h'!D64,)</f>
        <v>0</v>
      </c>
      <c r="E64" s="49">
        <f>AVERAGE('02.08 Goli-Nebbi-24h'!E64,'03.08 Goli-Nebbi-24h'!E64,)</f>
        <v>0</v>
      </c>
      <c r="F64" s="49">
        <f>AVERAGE('02.08 Goli-Nebbi-24h'!F64,'03.08 Goli-Nebbi-24h'!F64,)</f>
        <v>0</v>
      </c>
      <c r="G64" s="49">
        <f>AVERAGE('02.08 Goli-Nebbi-24h'!G64,'03.08 Goli-Nebbi-24h'!G64,)</f>
        <v>0.66666666666666663</v>
      </c>
      <c r="H64" s="49">
        <f>AVERAGE('02.08 Goli-Nebbi-24h'!H64,'03.08 Goli-Nebbi-24h'!H64,)</f>
        <v>0</v>
      </c>
      <c r="I64" s="49">
        <f>AVERAGE('02.08 Goli-Nebbi-24h'!I64,'03.08 Goli-Nebbi-24h'!I64,)</f>
        <v>0.33333333333333331</v>
      </c>
      <c r="J64" s="49">
        <f>AVERAGE('02.08 Goli-Nebbi-24h'!J64,'03.08 Goli-Nebbi-24h'!J64,)</f>
        <v>0</v>
      </c>
      <c r="K64" s="49">
        <f>AVERAGE('02.08 Goli-Nebbi-24h'!K64,'03.08 Goli-Nebbi-24h'!K64,)</f>
        <v>0</v>
      </c>
      <c r="L64" s="49">
        <f>AVERAGE('02.08 Goli-Nebbi-24h'!L64,'03.08 Goli-Nebbi-24h'!L64,)</f>
        <v>0.33333333333333331</v>
      </c>
      <c r="M64" s="49">
        <f>AVERAGE('02.08 Goli-Nebbi-24h'!M64,'03.08 Goli-Nebbi-24h'!M64,)</f>
        <v>6.333333333333333</v>
      </c>
      <c r="N64" s="49">
        <f>AVERAGE('02.08 Goli-Nebbi-24h'!N64,'03.08 Goli-Nebbi-24h'!N64,)</f>
        <v>0</v>
      </c>
      <c r="O64" s="15">
        <f t="shared" si="0"/>
        <v>1.9999999999999998</v>
      </c>
      <c r="P64" s="15">
        <f t="shared" si="1"/>
        <v>8.3333333333333321</v>
      </c>
      <c r="R64" s="8"/>
      <c r="T64"/>
    </row>
    <row r="65" spans="2:20" ht="23.1" customHeight="1" x14ac:dyDescent="0.25">
      <c r="B65" s="23" t="s">
        <v>158</v>
      </c>
      <c r="C65" s="49">
        <f>AVERAGE('02.08 Goli-Nebbi-24h'!C65,'03.08 Goli-Nebbi-24h'!C65,)</f>
        <v>0.33333333333333331</v>
      </c>
      <c r="D65" s="49">
        <f>AVERAGE('02.08 Goli-Nebbi-24h'!D65,'03.08 Goli-Nebbi-24h'!D65,)</f>
        <v>0</v>
      </c>
      <c r="E65" s="49">
        <f>AVERAGE('02.08 Goli-Nebbi-24h'!E65,'03.08 Goli-Nebbi-24h'!E65,)</f>
        <v>0.33333333333333331</v>
      </c>
      <c r="F65" s="49">
        <f>AVERAGE('02.08 Goli-Nebbi-24h'!F65,'03.08 Goli-Nebbi-24h'!F65,)</f>
        <v>0</v>
      </c>
      <c r="G65" s="49">
        <f>AVERAGE('02.08 Goli-Nebbi-24h'!G65,'03.08 Goli-Nebbi-24h'!G65,)</f>
        <v>0</v>
      </c>
      <c r="H65" s="49">
        <f>AVERAGE('02.08 Goli-Nebbi-24h'!H65,'03.08 Goli-Nebbi-24h'!H65,)</f>
        <v>0</v>
      </c>
      <c r="I65" s="49">
        <f>AVERAGE('02.08 Goli-Nebbi-24h'!I65,'03.08 Goli-Nebbi-24h'!I65,)</f>
        <v>0.33333333333333331</v>
      </c>
      <c r="J65" s="49">
        <f>AVERAGE('02.08 Goli-Nebbi-24h'!J65,'03.08 Goli-Nebbi-24h'!J65,)</f>
        <v>0</v>
      </c>
      <c r="K65" s="49">
        <f>AVERAGE('02.08 Goli-Nebbi-24h'!K65,'03.08 Goli-Nebbi-24h'!K65,)</f>
        <v>0</v>
      </c>
      <c r="L65" s="49">
        <f>AVERAGE('02.08 Goli-Nebbi-24h'!L65,'03.08 Goli-Nebbi-24h'!L65,)</f>
        <v>0.66666666666666663</v>
      </c>
      <c r="M65" s="49">
        <f>AVERAGE('02.08 Goli-Nebbi-24h'!M65,'03.08 Goli-Nebbi-24h'!M65,)</f>
        <v>5.666666666666667</v>
      </c>
      <c r="N65" s="49">
        <f>AVERAGE('02.08 Goli-Nebbi-24h'!N65,'03.08 Goli-Nebbi-24h'!N65,)</f>
        <v>0</v>
      </c>
      <c r="O65" s="15">
        <f t="shared" si="0"/>
        <v>1.6666666666666665</v>
      </c>
      <c r="P65" s="15">
        <f t="shared" si="1"/>
        <v>7.3333333333333339</v>
      </c>
      <c r="R65" s="8"/>
      <c r="T65"/>
    </row>
    <row r="66" spans="2:20" ht="23.1" customHeight="1" x14ac:dyDescent="0.25">
      <c r="B66" s="23" t="s">
        <v>103</v>
      </c>
      <c r="C66" s="49">
        <f>AVERAGE('02.08 Goli-Nebbi-24h'!C66,'03.08 Goli-Nebbi-24h'!C66,)</f>
        <v>0.66666666666666663</v>
      </c>
      <c r="D66" s="49">
        <f>AVERAGE('02.08 Goli-Nebbi-24h'!D66,'03.08 Goli-Nebbi-24h'!D66,)</f>
        <v>0</v>
      </c>
      <c r="E66" s="49">
        <f>AVERAGE('02.08 Goli-Nebbi-24h'!E66,'03.08 Goli-Nebbi-24h'!E66,)</f>
        <v>0</v>
      </c>
      <c r="F66" s="49">
        <f>AVERAGE('02.08 Goli-Nebbi-24h'!F66,'03.08 Goli-Nebbi-24h'!F66,)</f>
        <v>0</v>
      </c>
      <c r="G66" s="49">
        <f>AVERAGE('02.08 Goli-Nebbi-24h'!G66,'03.08 Goli-Nebbi-24h'!G66,)</f>
        <v>0</v>
      </c>
      <c r="H66" s="49">
        <f>AVERAGE('02.08 Goli-Nebbi-24h'!H66,'03.08 Goli-Nebbi-24h'!H66,)</f>
        <v>0</v>
      </c>
      <c r="I66" s="49">
        <f>AVERAGE('02.08 Goli-Nebbi-24h'!I66,'03.08 Goli-Nebbi-24h'!I66,)</f>
        <v>0.33333333333333331</v>
      </c>
      <c r="J66" s="49">
        <f>AVERAGE('02.08 Goli-Nebbi-24h'!J66,'03.08 Goli-Nebbi-24h'!J66,)</f>
        <v>0</v>
      </c>
      <c r="K66" s="49">
        <f>AVERAGE('02.08 Goli-Nebbi-24h'!K66,'03.08 Goli-Nebbi-24h'!K66,)</f>
        <v>0</v>
      </c>
      <c r="L66" s="49">
        <f>AVERAGE('02.08 Goli-Nebbi-24h'!L66,'03.08 Goli-Nebbi-24h'!L66,)</f>
        <v>0</v>
      </c>
      <c r="M66" s="49">
        <f>AVERAGE('02.08 Goli-Nebbi-24h'!M66,'03.08 Goli-Nebbi-24h'!M66,)</f>
        <v>5.333333333333333</v>
      </c>
      <c r="N66" s="49">
        <f>AVERAGE('02.08 Goli-Nebbi-24h'!N66,'03.08 Goli-Nebbi-24h'!N66,)</f>
        <v>0</v>
      </c>
      <c r="O66" s="15">
        <f t="shared" si="0"/>
        <v>1</v>
      </c>
      <c r="P66" s="15">
        <f t="shared" si="1"/>
        <v>6.333333333333333</v>
      </c>
      <c r="R66" s="8"/>
      <c r="T66"/>
    </row>
    <row r="67" spans="2:20" ht="23.1" customHeight="1" x14ac:dyDescent="0.25">
      <c r="B67" s="23" t="s">
        <v>104</v>
      </c>
      <c r="C67" s="49">
        <f>AVERAGE('02.08 Goli-Nebbi-24h'!C67,'03.08 Goli-Nebbi-24h'!C67,)</f>
        <v>1.3333333333333333</v>
      </c>
      <c r="D67" s="49">
        <f>AVERAGE('02.08 Goli-Nebbi-24h'!D67,'03.08 Goli-Nebbi-24h'!D67,)</f>
        <v>0</v>
      </c>
      <c r="E67" s="49">
        <f>AVERAGE('02.08 Goli-Nebbi-24h'!E67,'03.08 Goli-Nebbi-24h'!E67,)</f>
        <v>0</v>
      </c>
      <c r="F67" s="49">
        <f>AVERAGE('02.08 Goli-Nebbi-24h'!F67,'03.08 Goli-Nebbi-24h'!F67,)</f>
        <v>0.33333333333333331</v>
      </c>
      <c r="G67" s="49">
        <f>AVERAGE('02.08 Goli-Nebbi-24h'!G67,'03.08 Goli-Nebbi-24h'!G67,)</f>
        <v>0</v>
      </c>
      <c r="H67" s="49">
        <f>AVERAGE('02.08 Goli-Nebbi-24h'!H67,'03.08 Goli-Nebbi-24h'!H67,)</f>
        <v>0</v>
      </c>
      <c r="I67" s="49">
        <f>AVERAGE('02.08 Goli-Nebbi-24h'!I67,'03.08 Goli-Nebbi-24h'!I67,)</f>
        <v>1</v>
      </c>
      <c r="J67" s="49">
        <f>AVERAGE('02.08 Goli-Nebbi-24h'!J67,'03.08 Goli-Nebbi-24h'!J67,)</f>
        <v>0</v>
      </c>
      <c r="K67" s="49">
        <f>AVERAGE('02.08 Goli-Nebbi-24h'!K67,'03.08 Goli-Nebbi-24h'!K67,)</f>
        <v>0.33333333333333331</v>
      </c>
      <c r="L67" s="49">
        <f>AVERAGE('02.08 Goli-Nebbi-24h'!L67,'03.08 Goli-Nebbi-24h'!L67,)</f>
        <v>0</v>
      </c>
      <c r="M67" s="49">
        <f>AVERAGE('02.08 Goli-Nebbi-24h'!M67,'03.08 Goli-Nebbi-24h'!M67,)</f>
        <v>6.666666666666667</v>
      </c>
      <c r="N67" s="49">
        <f>AVERAGE('02.08 Goli-Nebbi-24h'!N67,'03.08 Goli-Nebbi-24h'!N67,)</f>
        <v>0</v>
      </c>
      <c r="O67" s="15">
        <f t="shared" si="0"/>
        <v>3</v>
      </c>
      <c r="P67" s="15">
        <f t="shared" si="1"/>
        <v>9.6666666666666679</v>
      </c>
      <c r="R67" s="8"/>
      <c r="T67"/>
    </row>
    <row r="68" spans="2:20" ht="23.1" customHeight="1" x14ac:dyDescent="0.25">
      <c r="B68" s="23" t="s">
        <v>105</v>
      </c>
      <c r="C68" s="49">
        <f>AVERAGE('02.08 Goli-Nebbi-24h'!C68,'03.08 Goli-Nebbi-24h'!C68,)</f>
        <v>0.66666666666666663</v>
      </c>
      <c r="D68" s="49">
        <f>AVERAGE('02.08 Goli-Nebbi-24h'!D68,'03.08 Goli-Nebbi-24h'!D68,)</f>
        <v>0</v>
      </c>
      <c r="E68" s="49">
        <f>AVERAGE('02.08 Goli-Nebbi-24h'!E68,'03.08 Goli-Nebbi-24h'!E68,)</f>
        <v>0</v>
      </c>
      <c r="F68" s="49">
        <f>AVERAGE('02.08 Goli-Nebbi-24h'!F68,'03.08 Goli-Nebbi-24h'!F68,)</f>
        <v>0</v>
      </c>
      <c r="G68" s="49">
        <f>AVERAGE('02.08 Goli-Nebbi-24h'!G68,'03.08 Goli-Nebbi-24h'!G68,)</f>
        <v>0</v>
      </c>
      <c r="H68" s="49">
        <f>AVERAGE('02.08 Goli-Nebbi-24h'!H68,'03.08 Goli-Nebbi-24h'!H68,)</f>
        <v>0</v>
      </c>
      <c r="I68" s="49">
        <f>AVERAGE('02.08 Goli-Nebbi-24h'!I68,'03.08 Goli-Nebbi-24h'!I68,)</f>
        <v>0</v>
      </c>
      <c r="J68" s="49">
        <f>AVERAGE('02.08 Goli-Nebbi-24h'!J68,'03.08 Goli-Nebbi-24h'!J68,)</f>
        <v>0</v>
      </c>
      <c r="K68" s="49">
        <f>AVERAGE('02.08 Goli-Nebbi-24h'!K68,'03.08 Goli-Nebbi-24h'!K68,)</f>
        <v>0</v>
      </c>
      <c r="L68" s="49">
        <f>AVERAGE('02.08 Goli-Nebbi-24h'!L68,'03.08 Goli-Nebbi-24h'!L68,)</f>
        <v>0.33333333333333331</v>
      </c>
      <c r="M68" s="49">
        <f>AVERAGE('02.08 Goli-Nebbi-24h'!M68,'03.08 Goli-Nebbi-24h'!M68,)</f>
        <v>8.3333333333333339</v>
      </c>
      <c r="N68" s="49">
        <f>AVERAGE('02.08 Goli-Nebbi-24h'!N68,'03.08 Goli-Nebbi-24h'!N68,)</f>
        <v>0</v>
      </c>
      <c r="O68" s="15">
        <f t="shared" si="0"/>
        <v>1</v>
      </c>
      <c r="P68" s="15">
        <f t="shared" si="1"/>
        <v>9.3333333333333339</v>
      </c>
      <c r="R68" s="8"/>
      <c r="T68"/>
    </row>
    <row r="69" spans="2:20" ht="23.1" customHeight="1" x14ac:dyDescent="0.25">
      <c r="B69" s="23" t="s">
        <v>106</v>
      </c>
      <c r="C69" s="49">
        <f>AVERAGE('02.08 Goli-Nebbi-24h'!C69,'03.08 Goli-Nebbi-24h'!C69,)</f>
        <v>1</v>
      </c>
      <c r="D69" s="49">
        <f>AVERAGE('02.08 Goli-Nebbi-24h'!D69,'03.08 Goli-Nebbi-24h'!D69,)</f>
        <v>0</v>
      </c>
      <c r="E69" s="49">
        <f>AVERAGE('02.08 Goli-Nebbi-24h'!E69,'03.08 Goli-Nebbi-24h'!E69,)</f>
        <v>0</v>
      </c>
      <c r="F69" s="49">
        <f>AVERAGE('02.08 Goli-Nebbi-24h'!F69,'03.08 Goli-Nebbi-24h'!F69,)</f>
        <v>0.33333333333333331</v>
      </c>
      <c r="G69" s="49">
        <f>AVERAGE('02.08 Goli-Nebbi-24h'!G69,'03.08 Goli-Nebbi-24h'!G69,)</f>
        <v>0</v>
      </c>
      <c r="H69" s="49">
        <f>AVERAGE('02.08 Goli-Nebbi-24h'!H69,'03.08 Goli-Nebbi-24h'!H69,)</f>
        <v>0</v>
      </c>
      <c r="I69" s="49">
        <f>AVERAGE('02.08 Goli-Nebbi-24h'!I69,'03.08 Goli-Nebbi-24h'!I69,)</f>
        <v>0</v>
      </c>
      <c r="J69" s="49">
        <f>AVERAGE('02.08 Goli-Nebbi-24h'!J69,'03.08 Goli-Nebbi-24h'!J69,)</f>
        <v>0</v>
      </c>
      <c r="K69" s="49">
        <f>AVERAGE('02.08 Goli-Nebbi-24h'!K69,'03.08 Goli-Nebbi-24h'!K69,)</f>
        <v>0</v>
      </c>
      <c r="L69" s="49">
        <f>AVERAGE('02.08 Goli-Nebbi-24h'!L69,'03.08 Goli-Nebbi-24h'!L69,)</f>
        <v>0.33333333333333331</v>
      </c>
      <c r="M69" s="49">
        <f>AVERAGE('02.08 Goli-Nebbi-24h'!M69,'03.08 Goli-Nebbi-24h'!M69,)</f>
        <v>4</v>
      </c>
      <c r="N69" s="49">
        <f>AVERAGE('02.08 Goli-Nebbi-24h'!N69,'03.08 Goli-Nebbi-24h'!N69,)</f>
        <v>0</v>
      </c>
      <c r="O69" s="15">
        <f t="shared" si="0"/>
        <v>1.6666666666666665</v>
      </c>
      <c r="P69" s="15">
        <f t="shared" si="1"/>
        <v>5.6666666666666661</v>
      </c>
      <c r="R69" s="8"/>
      <c r="T69"/>
    </row>
    <row r="70" spans="2:20" ht="23.1" customHeight="1" x14ac:dyDescent="0.25">
      <c r="B70" s="23" t="s">
        <v>110</v>
      </c>
      <c r="C70" s="49">
        <f>AVERAGE('02.08 Goli-Nebbi-24h'!C70,'03.08 Goli-Nebbi-24h'!C70,)</f>
        <v>0</v>
      </c>
      <c r="D70" s="49">
        <f>AVERAGE('02.08 Goli-Nebbi-24h'!D70,'03.08 Goli-Nebbi-24h'!D70,)</f>
        <v>0</v>
      </c>
      <c r="E70" s="49">
        <f>AVERAGE('02.08 Goli-Nebbi-24h'!E70,'03.08 Goli-Nebbi-24h'!E70,)</f>
        <v>0.33333333333333331</v>
      </c>
      <c r="F70" s="49">
        <f>AVERAGE('02.08 Goli-Nebbi-24h'!F70,'03.08 Goli-Nebbi-24h'!F70,)</f>
        <v>0</v>
      </c>
      <c r="G70" s="49">
        <f>AVERAGE('02.08 Goli-Nebbi-24h'!G70,'03.08 Goli-Nebbi-24h'!G70,)</f>
        <v>0</v>
      </c>
      <c r="H70" s="49">
        <f>AVERAGE('02.08 Goli-Nebbi-24h'!H70,'03.08 Goli-Nebbi-24h'!H70,)</f>
        <v>0.33333333333333331</v>
      </c>
      <c r="I70" s="49">
        <f>AVERAGE('02.08 Goli-Nebbi-24h'!I70,'03.08 Goli-Nebbi-24h'!I70,)</f>
        <v>0.33333333333333331</v>
      </c>
      <c r="J70" s="49">
        <f>AVERAGE('02.08 Goli-Nebbi-24h'!J70,'03.08 Goli-Nebbi-24h'!J70,)</f>
        <v>0</v>
      </c>
      <c r="K70" s="49">
        <f>AVERAGE('02.08 Goli-Nebbi-24h'!K70,'03.08 Goli-Nebbi-24h'!K70,)</f>
        <v>0</v>
      </c>
      <c r="L70" s="49">
        <f>AVERAGE('02.08 Goli-Nebbi-24h'!L70,'03.08 Goli-Nebbi-24h'!L70,)</f>
        <v>0</v>
      </c>
      <c r="M70" s="49">
        <f>AVERAGE('02.08 Goli-Nebbi-24h'!M70,'03.08 Goli-Nebbi-24h'!M70,)</f>
        <v>1.3333333333333333</v>
      </c>
      <c r="N70" s="49">
        <f>AVERAGE('02.08 Goli-Nebbi-24h'!N70,'03.08 Goli-Nebbi-24h'!N70,)</f>
        <v>0</v>
      </c>
      <c r="O70" s="15">
        <f t="shared" si="0"/>
        <v>1</v>
      </c>
      <c r="P70" s="15">
        <f t="shared" si="1"/>
        <v>2.333333333333333</v>
      </c>
      <c r="R70" s="8"/>
      <c r="T70"/>
    </row>
    <row r="71" spans="2:20" ht="23.1" customHeight="1" x14ac:dyDescent="0.25">
      <c r="B71" s="23" t="s">
        <v>111</v>
      </c>
      <c r="C71" s="49">
        <f>AVERAGE('02.08 Goli-Nebbi-24h'!C71,'03.08 Goli-Nebbi-24h'!C71,)</f>
        <v>0</v>
      </c>
      <c r="D71" s="49">
        <f>AVERAGE('02.08 Goli-Nebbi-24h'!D71,'03.08 Goli-Nebbi-24h'!D71,)</f>
        <v>0</v>
      </c>
      <c r="E71" s="49">
        <f>AVERAGE('02.08 Goli-Nebbi-24h'!E71,'03.08 Goli-Nebbi-24h'!E71,)</f>
        <v>0.33333333333333331</v>
      </c>
      <c r="F71" s="49">
        <f>AVERAGE('02.08 Goli-Nebbi-24h'!F71,'03.08 Goli-Nebbi-24h'!F71,)</f>
        <v>0</v>
      </c>
      <c r="G71" s="49">
        <f>AVERAGE('02.08 Goli-Nebbi-24h'!G71,'03.08 Goli-Nebbi-24h'!G71,)</f>
        <v>0</v>
      </c>
      <c r="H71" s="49">
        <f>AVERAGE('02.08 Goli-Nebbi-24h'!H71,'03.08 Goli-Nebbi-24h'!H71,)</f>
        <v>0</v>
      </c>
      <c r="I71" s="49">
        <f>AVERAGE('02.08 Goli-Nebbi-24h'!I71,'03.08 Goli-Nebbi-24h'!I71,)</f>
        <v>0</v>
      </c>
      <c r="J71" s="49">
        <f>AVERAGE('02.08 Goli-Nebbi-24h'!J71,'03.08 Goli-Nebbi-24h'!J71,)</f>
        <v>0</v>
      </c>
      <c r="K71" s="49">
        <f>AVERAGE('02.08 Goli-Nebbi-24h'!K71,'03.08 Goli-Nebbi-24h'!K71,)</f>
        <v>0</v>
      </c>
      <c r="L71" s="49">
        <f>AVERAGE('02.08 Goli-Nebbi-24h'!L71,'03.08 Goli-Nebbi-24h'!L71,)</f>
        <v>0</v>
      </c>
      <c r="M71" s="49">
        <f>AVERAGE('02.08 Goli-Nebbi-24h'!M71,'03.08 Goli-Nebbi-24h'!M71,)</f>
        <v>2.3333333333333335</v>
      </c>
      <c r="N71" s="49">
        <f>AVERAGE('02.08 Goli-Nebbi-24h'!N71,'03.08 Goli-Nebbi-24h'!N71,)</f>
        <v>0</v>
      </c>
      <c r="O71" s="15">
        <f t="shared" si="0"/>
        <v>0.33333333333333331</v>
      </c>
      <c r="P71" s="15">
        <f t="shared" si="1"/>
        <v>2.666666666666667</v>
      </c>
      <c r="R71" s="8"/>
      <c r="T71"/>
    </row>
    <row r="72" spans="2:20" ht="23.1" customHeight="1" x14ac:dyDescent="0.25">
      <c r="B72" s="23" t="s">
        <v>112</v>
      </c>
      <c r="C72" s="49">
        <f>AVERAGE('02.08 Goli-Nebbi-24h'!C72,'03.08 Goli-Nebbi-24h'!C72,)</f>
        <v>0.33333333333333331</v>
      </c>
      <c r="D72" s="49">
        <f>AVERAGE('02.08 Goli-Nebbi-24h'!D72,'03.08 Goli-Nebbi-24h'!D72,)</f>
        <v>0</v>
      </c>
      <c r="E72" s="49">
        <f>AVERAGE('02.08 Goli-Nebbi-24h'!E72,'03.08 Goli-Nebbi-24h'!E72,)</f>
        <v>0</v>
      </c>
      <c r="F72" s="49">
        <f>AVERAGE('02.08 Goli-Nebbi-24h'!F72,'03.08 Goli-Nebbi-24h'!F72,)</f>
        <v>0.33333333333333331</v>
      </c>
      <c r="G72" s="49">
        <f>AVERAGE('02.08 Goli-Nebbi-24h'!G72,'03.08 Goli-Nebbi-24h'!G72,)</f>
        <v>0</v>
      </c>
      <c r="H72" s="49">
        <f>AVERAGE('02.08 Goli-Nebbi-24h'!H72,'03.08 Goli-Nebbi-24h'!H72,)</f>
        <v>0</v>
      </c>
      <c r="I72" s="49">
        <f>AVERAGE('02.08 Goli-Nebbi-24h'!I72,'03.08 Goli-Nebbi-24h'!I72,)</f>
        <v>0</v>
      </c>
      <c r="J72" s="49">
        <f>AVERAGE('02.08 Goli-Nebbi-24h'!J72,'03.08 Goli-Nebbi-24h'!J72,)</f>
        <v>0</v>
      </c>
      <c r="K72" s="49">
        <f>AVERAGE('02.08 Goli-Nebbi-24h'!K72,'03.08 Goli-Nebbi-24h'!K72,)</f>
        <v>0</v>
      </c>
      <c r="L72" s="49">
        <f>AVERAGE('02.08 Goli-Nebbi-24h'!L72,'03.08 Goli-Nebbi-24h'!L72,)</f>
        <v>0.33333333333333331</v>
      </c>
      <c r="M72" s="49">
        <f>AVERAGE('02.08 Goli-Nebbi-24h'!M72,'03.08 Goli-Nebbi-24h'!M72,)</f>
        <v>7</v>
      </c>
      <c r="N72" s="49">
        <f>AVERAGE('02.08 Goli-Nebbi-24h'!N72,'03.08 Goli-Nebbi-24h'!N72,)</f>
        <v>0</v>
      </c>
      <c r="O72" s="15">
        <f t="shared" si="0"/>
        <v>1</v>
      </c>
      <c r="P72" s="15">
        <f t="shared" si="1"/>
        <v>8</v>
      </c>
      <c r="R72" s="8"/>
      <c r="T72"/>
    </row>
    <row r="73" spans="2:20" ht="23.1" customHeight="1" x14ac:dyDescent="0.25">
      <c r="B73" s="23" t="s">
        <v>113</v>
      </c>
      <c r="C73" s="49">
        <f>AVERAGE('02.08 Goli-Nebbi-24h'!C73,'03.08 Goli-Nebbi-24h'!C73,)</f>
        <v>0</v>
      </c>
      <c r="D73" s="49">
        <f>AVERAGE('02.08 Goli-Nebbi-24h'!D73,'03.08 Goli-Nebbi-24h'!D73,)</f>
        <v>0</v>
      </c>
      <c r="E73" s="49">
        <f>AVERAGE('02.08 Goli-Nebbi-24h'!E73,'03.08 Goli-Nebbi-24h'!E73,)</f>
        <v>0</v>
      </c>
      <c r="F73" s="49">
        <f>AVERAGE('02.08 Goli-Nebbi-24h'!F73,'03.08 Goli-Nebbi-24h'!F73,)</f>
        <v>0</v>
      </c>
      <c r="G73" s="49">
        <f>AVERAGE('02.08 Goli-Nebbi-24h'!G73,'03.08 Goli-Nebbi-24h'!G73,)</f>
        <v>0</v>
      </c>
      <c r="H73" s="49">
        <f>AVERAGE('02.08 Goli-Nebbi-24h'!H73,'03.08 Goli-Nebbi-24h'!H73,)</f>
        <v>0</v>
      </c>
      <c r="I73" s="49">
        <f>AVERAGE('02.08 Goli-Nebbi-24h'!I73,'03.08 Goli-Nebbi-24h'!I73,)</f>
        <v>0.33333333333333331</v>
      </c>
      <c r="J73" s="49">
        <f>AVERAGE('02.08 Goli-Nebbi-24h'!J73,'03.08 Goli-Nebbi-24h'!J73,)</f>
        <v>0</v>
      </c>
      <c r="K73" s="49">
        <f>AVERAGE('02.08 Goli-Nebbi-24h'!K73,'03.08 Goli-Nebbi-24h'!K73,)</f>
        <v>0</v>
      </c>
      <c r="L73" s="49">
        <f>AVERAGE('02.08 Goli-Nebbi-24h'!L73,'03.08 Goli-Nebbi-24h'!L73,)</f>
        <v>0</v>
      </c>
      <c r="M73" s="49">
        <f>AVERAGE('02.08 Goli-Nebbi-24h'!M73,'03.08 Goli-Nebbi-24h'!M73,)</f>
        <v>2.3333333333333335</v>
      </c>
      <c r="N73" s="49">
        <f>AVERAGE('02.08 Goli-Nebbi-24h'!N73,'03.08 Goli-Nebbi-24h'!N73,)</f>
        <v>0</v>
      </c>
      <c r="O73" s="15">
        <f t="shared" si="0"/>
        <v>0.33333333333333331</v>
      </c>
      <c r="P73" s="15">
        <f t="shared" si="1"/>
        <v>2.666666666666667</v>
      </c>
      <c r="R73" s="8"/>
      <c r="T73"/>
    </row>
    <row r="74" spans="2:20" ht="23.1" customHeight="1" x14ac:dyDescent="0.25">
      <c r="B74" s="23" t="s">
        <v>114</v>
      </c>
      <c r="C74" s="49">
        <f>AVERAGE('02.08 Goli-Nebbi-24h'!C74,'03.08 Goli-Nebbi-24h'!C74,)</f>
        <v>0.66666666666666663</v>
      </c>
      <c r="D74" s="49">
        <f>AVERAGE('02.08 Goli-Nebbi-24h'!D74,'03.08 Goli-Nebbi-24h'!D74,)</f>
        <v>0</v>
      </c>
      <c r="E74" s="49">
        <f>AVERAGE('02.08 Goli-Nebbi-24h'!E74,'03.08 Goli-Nebbi-24h'!E74,)</f>
        <v>0</v>
      </c>
      <c r="F74" s="49">
        <f>AVERAGE('02.08 Goli-Nebbi-24h'!F74,'03.08 Goli-Nebbi-24h'!F74,)</f>
        <v>0</v>
      </c>
      <c r="G74" s="49">
        <f>AVERAGE('02.08 Goli-Nebbi-24h'!G74,'03.08 Goli-Nebbi-24h'!G74,)</f>
        <v>0</v>
      </c>
      <c r="H74" s="49">
        <f>AVERAGE('02.08 Goli-Nebbi-24h'!H74,'03.08 Goli-Nebbi-24h'!H74,)</f>
        <v>0</v>
      </c>
      <c r="I74" s="49">
        <f>AVERAGE('02.08 Goli-Nebbi-24h'!I74,'03.08 Goli-Nebbi-24h'!I74,)</f>
        <v>0</v>
      </c>
      <c r="J74" s="49">
        <f>AVERAGE('02.08 Goli-Nebbi-24h'!J74,'03.08 Goli-Nebbi-24h'!J74,)</f>
        <v>0</v>
      </c>
      <c r="K74" s="49">
        <f>AVERAGE('02.08 Goli-Nebbi-24h'!K74,'03.08 Goli-Nebbi-24h'!K74,)</f>
        <v>0</v>
      </c>
      <c r="L74" s="49">
        <f>AVERAGE('02.08 Goli-Nebbi-24h'!L74,'03.08 Goli-Nebbi-24h'!L74,)</f>
        <v>0.66666666666666663</v>
      </c>
      <c r="M74" s="49">
        <f>AVERAGE('02.08 Goli-Nebbi-24h'!M74,'03.08 Goli-Nebbi-24h'!M74,)</f>
        <v>3.3333333333333335</v>
      </c>
      <c r="N74" s="49">
        <f>AVERAGE('02.08 Goli-Nebbi-24h'!N74,'03.08 Goli-Nebbi-24h'!N74,)</f>
        <v>0</v>
      </c>
      <c r="O74" s="15">
        <f t="shared" ref="O74:O105" si="35">SUM(C74:L74,N74)</f>
        <v>1.3333333333333333</v>
      </c>
      <c r="P74" s="15">
        <f t="shared" ref="P74:P105" si="36">SUM(C74:N74)</f>
        <v>4.666666666666667</v>
      </c>
      <c r="R74" s="8"/>
      <c r="T74"/>
    </row>
    <row r="75" spans="2:20" ht="23.1" customHeight="1" x14ac:dyDescent="0.25">
      <c r="B75" s="23" t="s">
        <v>115</v>
      </c>
      <c r="C75" s="49">
        <f>AVERAGE('02.08 Goli-Nebbi-24h'!C75,'03.08 Goli-Nebbi-24h'!C75,)</f>
        <v>1</v>
      </c>
      <c r="D75" s="49">
        <f>AVERAGE('02.08 Goli-Nebbi-24h'!D75,'03.08 Goli-Nebbi-24h'!D75,)</f>
        <v>0</v>
      </c>
      <c r="E75" s="49">
        <f>AVERAGE('02.08 Goli-Nebbi-24h'!E75,'03.08 Goli-Nebbi-24h'!E75,)</f>
        <v>0</v>
      </c>
      <c r="F75" s="49">
        <f>AVERAGE('02.08 Goli-Nebbi-24h'!F75,'03.08 Goli-Nebbi-24h'!F75,)</f>
        <v>0</v>
      </c>
      <c r="G75" s="49">
        <f>AVERAGE('02.08 Goli-Nebbi-24h'!G75,'03.08 Goli-Nebbi-24h'!G75,)</f>
        <v>0</v>
      </c>
      <c r="H75" s="49">
        <f>AVERAGE('02.08 Goli-Nebbi-24h'!H75,'03.08 Goli-Nebbi-24h'!H75,)</f>
        <v>0</v>
      </c>
      <c r="I75" s="49">
        <f>AVERAGE('02.08 Goli-Nebbi-24h'!I75,'03.08 Goli-Nebbi-24h'!I75,)</f>
        <v>0</v>
      </c>
      <c r="J75" s="49">
        <f>AVERAGE('02.08 Goli-Nebbi-24h'!J75,'03.08 Goli-Nebbi-24h'!J75,)</f>
        <v>0</v>
      </c>
      <c r="K75" s="49">
        <f>AVERAGE('02.08 Goli-Nebbi-24h'!K75,'03.08 Goli-Nebbi-24h'!K75,)</f>
        <v>0</v>
      </c>
      <c r="L75" s="49">
        <f>AVERAGE('02.08 Goli-Nebbi-24h'!L75,'03.08 Goli-Nebbi-24h'!L75,)</f>
        <v>0</v>
      </c>
      <c r="M75" s="49">
        <f>AVERAGE('02.08 Goli-Nebbi-24h'!M75,'03.08 Goli-Nebbi-24h'!M75,)</f>
        <v>1</v>
      </c>
      <c r="N75" s="49">
        <f>AVERAGE('02.08 Goli-Nebbi-24h'!N75,'03.08 Goli-Nebbi-24h'!N75,)</f>
        <v>0</v>
      </c>
      <c r="O75" s="15">
        <f t="shared" si="35"/>
        <v>1</v>
      </c>
      <c r="P75" s="15">
        <f t="shared" si="36"/>
        <v>2</v>
      </c>
      <c r="R75" s="8"/>
      <c r="T75"/>
    </row>
    <row r="76" spans="2:20" ht="23.1" customHeight="1" x14ac:dyDescent="0.25">
      <c r="B76" s="23" t="s">
        <v>116</v>
      </c>
      <c r="C76" s="49">
        <f>AVERAGE('02.08 Goli-Nebbi-24h'!C76,'03.08 Goli-Nebbi-24h'!C76,)</f>
        <v>0.33333333333333331</v>
      </c>
      <c r="D76" s="49">
        <f>AVERAGE('02.08 Goli-Nebbi-24h'!D76,'03.08 Goli-Nebbi-24h'!D76,)</f>
        <v>0</v>
      </c>
      <c r="E76" s="49">
        <f>AVERAGE('02.08 Goli-Nebbi-24h'!E76,'03.08 Goli-Nebbi-24h'!E76,)</f>
        <v>0.33333333333333331</v>
      </c>
      <c r="F76" s="49">
        <f>AVERAGE('02.08 Goli-Nebbi-24h'!F76,'03.08 Goli-Nebbi-24h'!F76,)</f>
        <v>0</v>
      </c>
      <c r="G76" s="49">
        <f>AVERAGE('02.08 Goli-Nebbi-24h'!G76,'03.08 Goli-Nebbi-24h'!G76,)</f>
        <v>0</v>
      </c>
      <c r="H76" s="49">
        <f>AVERAGE('02.08 Goli-Nebbi-24h'!H76,'03.08 Goli-Nebbi-24h'!H76,)</f>
        <v>0</v>
      </c>
      <c r="I76" s="49">
        <f>AVERAGE('02.08 Goli-Nebbi-24h'!I76,'03.08 Goli-Nebbi-24h'!I76,)</f>
        <v>0</v>
      </c>
      <c r="J76" s="49">
        <f>AVERAGE('02.08 Goli-Nebbi-24h'!J76,'03.08 Goli-Nebbi-24h'!J76,)</f>
        <v>0</v>
      </c>
      <c r="K76" s="49">
        <f>AVERAGE('02.08 Goli-Nebbi-24h'!K76,'03.08 Goli-Nebbi-24h'!K76,)</f>
        <v>0</v>
      </c>
      <c r="L76" s="49">
        <f>AVERAGE('02.08 Goli-Nebbi-24h'!L76,'03.08 Goli-Nebbi-24h'!L76,)</f>
        <v>0</v>
      </c>
      <c r="M76" s="49">
        <f>AVERAGE('02.08 Goli-Nebbi-24h'!M76,'03.08 Goli-Nebbi-24h'!M76,)</f>
        <v>1.6666666666666667</v>
      </c>
      <c r="N76" s="49">
        <f>AVERAGE('02.08 Goli-Nebbi-24h'!N76,'03.08 Goli-Nebbi-24h'!N76,)</f>
        <v>0</v>
      </c>
      <c r="O76" s="15">
        <f t="shared" si="35"/>
        <v>0.66666666666666663</v>
      </c>
      <c r="P76" s="15">
        <f t="shared" si="36"/>
        <v>2.3333333333333335</v>
      </c>
      <c r="R76" s="8"/>
      <c r="T76"/>
    </row>
    <row r="77" spans="2:20" ht="23.1" customHeight="1" x14ac:dyDescent="0.25">
      <c r="B77" s="23" t="s">
        <v>117</v>
      </c>
      <c r="C77" s="49">
        <f>AVERAGE('02.08 Goli-Nebbi-24h'!C77,'03.08 Goli-Nebbi-24h'!C77,)</f>
        <v>0.33333333333333331</v>
      </c>
      <c r="D77" s="49">
        <f>AVERAGE('02.08 Goli-Nebbi-24h'!D77,'03.08 Goli-Nebbi-24h'!D77,)</f>
        <v>0</v>
      </c>
      <c r="E77" s="49">
        <f>AVERAGE('02.08 Goli-Nebbi-24h'!E77,'03.08 Goli-Nebbi-24h'!E77,)</f>
        <v>0.33333333333333331</v>
      </c>
      <c r="F77" s="49">
        <f>AVERAGE('02.08 Goli-Nebbi-24h'!F77,'03.08 Goli-Nebbi-24h'!F77,)</f>
        <v>0</v>
      </c>
      <c r="G77" s="49">
        <f>AVERAGE('02.08 Goli-Nebbi-24h'!G77,'03.08 Goli-Nebbi-24h'!G77,)</f>
        <v>0</v>
      </c>
      <c r="H77" s="49">
        <f>AVERAGE('02.08 Goli-Nebbi-24h'!H77,'03.08 Goli-Nebbi-24h'!H77,)</f>
        <v>0</v>
      </c>
      <c r="I77" s="49">
        <f>AVERAGE('02.08 Goli-Nebbi-24h'!I77,'03.08 Goli-Nebbi-24h'!I77,)</f>
        <v>0</v>
      </c>
      <c r="J77" s="49">
        <f>AVERAGE('02.08 Goli-Nebbi-24h'!J77,'03.08 Goli-Nebbi-24h'!J77,)</f>
        <v>0</v>
      </c>
      <c r="K77" s="49">
        <f>AVERAGE('02.08 Goli-Nebbi-24h'!K77,'03.08 Goli-Nebbi-24h'!K77,)</f>
        <v>0</v>
      </c>
      <c r="L77" s="49">
        <f>AVERAGE('02.08 Goli-Nebbi-24h'!L77,'03.08 Goli-Nebbi-24h'!L77,)</f>
        <v>0</v>
      </c>
      <c r="M77" s="49">
        <f>AVERAGE('02.08 Goli-Nebbi-24h'!M77,'03.08 Goli-Nebbi-24h'!M77,)</f>
        <v>0</v>
      </c>
      <c r="N77" s="49">
        <f>AVERAGE('02.08 Goli-Nebbi-24h'!N77,'03.08 Goli-Nebbi-24h'!N77,)</f>
        <v>0</v>
      </c>
      <c r="O77" s="15">
        <f t="shared" si="35"/>
        <v>0.66666666666666663</v>
      </c>
      <c r="P77" s="15">
        <f t="shared" si="36"/>
        <v>0.66666666666666663</v>
      </c>
      <c r="R77" s="8"/>
      <c r="T77"/>
    </row>
    <row r="78" spans="2:20" ht="23.1" customHeight="1" x14ac:dyDescent="0.25">
      <c r="B78" s="24" t="s">
        <v>118</v>
      </c>
      <c r="C78" s="49">
        <f>AVERAGE('02.08 Goli-Nebbi-24h'!C78,'03.08 Goli-Nebbi-24h'!C78,)</f>
        <v>0</v>
      </c>
      <c r="D78" s="49">
        <f>AVERAGE('02.08 Goli-Nebbi-24h'!D78,'03.08 Goli-Nebbi-24h'!D78,)</f>
        <v>0</v>
      </c>
      <c r="E78" s="49">
        <f>AVERAGE('02.08 Goli-Nebbi-24h'!E78,'03.08 Goli-Nebbi-24h'!E78,)</f>
        <v>0</v>
      </c>
      <c r="F78" s="49">
        <f>AVERAGE('02.08 Goli-Nebbi-24h'!F78,'03.08 Goli-Nebbi-24h'!F78,)</f>
        <v>0</v>
      </c>
      <c r="G78" s="49">
        <f>AVERAGE('02.08 Goli-Nebbi-24h'!G78,'03.08 Goli-Nebbi-24h'!G78,)</f>
        <v>0</v>
      </c>
      <c r="H78" s="49">
        <f>AVERAGE('02.08 Goli-Nebbi-24h'!H78,'03.08 Goli-Nebbi-24h'!H78,)</f>
        <v>0</v>
      </c>
      <c r="I78" s="49">
        <f>AVERAGE('02.08 Goli-Nebbi-24h'!I78,'03.08 Goli-Nebbi-24h'!I78,)</f>
        <v>0.33333333333333331</v>
      </c>
      <c r="J78" s="49">
        <f>AVERAGE('02.08 Goli-Nebbi-24h'!J78,'03.08 Goli-Nebbi-24h'!J78,)</f>
        <v>0</v>
      </c>
      <c r="K78" s="49">
        <f>AVERAGE('02.08 Goli-Nebbi-24h'!K78,'03.08 Goli-Nebbi-24h'!K78,)</f>
        <v>0</v>
      </c>
      <c r="L78" s="49">
        <f>AVERAGE('02.08 Goli-Nebbi-24h'!L78,'03.08 Goli-Nebbi-24h'!L78,)</f>
        <v>0</v>
      </c>
      <c r="M78" s="49">
        <f>AVERAGE('02.08 Goli-Nebbi-24h'!M78,'03.08 Goli-Nebbi-24h'!M78,)</f>
        <v>1</v>
      </c>
      <c r="N78" s="49">
        <f>AVERAGE('02.08 Goli-Nebbi-24h'!N78,'03.08 Goli-Nebbi-24h'!N78,)</f>
        <v>0</v>
      </c>
      <c r="O78" s="15">
        <f t="shared" si="35"/>
        <v>0.33333333333333331</v>
      </c>
      <c r="P78" s="15">
        <f t="shared" si="36"/>
        <v>1.3333333333333333</v>
      </c>
      <c r="R78" s="8"/>
      <c r="T78"/>
    </row>
    <row r="79" spans="2:20" ht="23.1" customHeight="1" x14ac:dyDescent="0.25">
      <c r="B79" s="23" t="s">
        <v>119</v>
      </c>
      <c r="C79" s="49">
        <f>AVERAGE('02.08 Goli-Nebbi-24h'!C79,'03.08 Goli-Nebbi-24h'!C79,)</f>
        <v>0</v>
      </c>
      <c r="D79" s="49">
        <f>AVERAGE('02.08 Goli-Nebbi-24h'!D79,'03.08 Goli-Nebbi-24h'!D79,)</f>
        <v>0</v>
      </c>
      <c r="E79" s="49">
        <f>AVERAGE('02.08 Goli-Nebbi-24h'!E79,'03.08 Goli-Nebbi-24h'!E79,)</f>
        <v>0.33333333333333331</v>
      </c>
      <c r="F79" s="49">
        <f>AVERAGE('02.08 Goli-Nebbi-24h'!F79,'03.08 Goli-Nebbi-24h'!F79,)</f>
        <v>0</v>
      </c>
      <c r="G79" s="49">
        <f>AVERAGE('02.08 Goli-Nebbi-24h'!G79,'03.08 Goli-Nebbi-24h'!G79,)</f>
        <v>0</v>
      </c>
      <c r="H79" s="49">
        <f>AVERAGE('02.08 Goli-Nebbi-24h'!H79,'03.08 Goli-Nebbi-24h'!H79,)</f>
        <v>0</v>
      </c>
      <c r="I79" s="49">
        <f>AVERAGE('02.08 Goli-Nebbi-24h'!I79,'03.08 Goli-Nebbi-24h'!I79,)</f>
        <v>0</v>
      </c>
      <c r="J79" s="49">
        <f>AVERAGE('02.08 Goli-Nebbi-24h'!J79,'03.08 Goli-Nebbi-24h'!J79,)</f>
        <v>0</v>
      </c>
      <c r="K79" s="49">
        <f>AVERAGE('02.08 Goli-Nebbi-24h'!K79,'03.08 Goli-Nebbi-24h'!K79,)</f>
        <v>0</v>
      </c>
      <c r="L79" s="49">
        <f>AVERAGE('02.08 Goli-Nebbi-24h'!L79,'03.08 Goli-Nebbi-24h'!L79,)</f>
        <v>0.33333333333333331</v>
      </c>
      <c r="M79" s="49">
        <f>AVERAGE('02.08 Goli-Nebbi-24h'!M79,'03.08 Goli-Nebbi-24h'!M79,)</f>
        <v>0.66666666666666663</v>
      </c>
      <c r="N79" s="49">
        <f>AVERAGE('02.08 Goli-Nebbi-24h'!N79,'03.08 Goli-Nebbi-24h'!N79,)</f>
        <v>0</v>
      </c>
      <c r="O79" s="15">
        <f t="shared" si="35"/>
        <v>0.66666666666666663</v>
      </c>
      <c r="P79" s="15">
        <f t="shared" si="36"/>
        <v>1.3333333333333333</v>
      </c>
      <c r="R79" s="8"/>
      <c r="T79"/>
    </row>
    <row r="80" spans="2:20" ht="23.1" customHeight="1" x14ac:dyDescent="0.25">
      <c r="B80" s="25" t="s">
        <v>120</v>
      </c>
      <c r="C80" s="49">
        <f>AVERAGE('02.08 Goli-Nebbi-24h'!C80,'03.08 Goli-Nebbi-24h'!C80,)</f>
        <v>0</v>
      </c>
      <c r="D80" s="49">
        <f>AVERAGE('02.08 Goli-Nebbi-24h'!D80,'03.08 Goli-Nebbi-24h'!D80,)</f>
        <v>0</v>
      </c>
      <c r="E80" s="49">
        <f>AVERAGE('02.08 Goli-Nebbi-24h'!E80,'03.08 Goli-Nebbi-24h'!E80,)</f>
        <v>0</v>
      </c>
      <c r="F80" s="49">
        <f>AVERAGE('02.08 Goli-Nebbi-24h'!F80,'03.08 Goli-Nebbi-24h'!F80,)</f>
        <v>0</v>
      </c>
      <c r="G80" s="49">
        <f>AVERAGE('02.08 Goli-Nebbi-24h'!G80,'03.08 Goli-Nebbi-24h'!G80,)</f>
        <v>0</v>
      </c>
      <c r="H80" s="49">
        <f>AVERAGE('02.08 Goli-Nebbi-24h'!H80,'03.08 Goli-Nebbi-24h'!H80,)</f>
        <v>0</v>
      </c>
      <c r="I80" s="49">
        <f>AVERAGE('02.08 Goli-Nebbi-24h'!I80,'03.08 Goli-Nebbi-24h'!I80,)</f>
        <v>0</v>
      </c>
      <c r="J80" s="49">
        <f>AVERAGE('02.08 Goli-Nebbi-24h'!J80,'03.08 Goli-Nebbi-24h'!J80,)</f>
        <v>0</v>
      </c>
      <c r="K80" s="49">
        <f>AVERAGE('02.08 Goli-Nebbi-24h'!K80,'03.08 Goli-Nebbi-24h'!K80,)</f>
        <v>0</v>
      </c>
      <c r="L80" s="49">
        <f>AVERAGE('02.08 Goli-Nebbi-24h'!L80,'03.08 Goli-Nebbi-24h'!L80,)</f>
        <v>0</v>
      </c>
      <c r="M80" s="49">
        <f>AVERAGE('02.08 Goli-Nebbi-24h'!M80,'03.08 Goli-Nebbi-24h'!M80,)</f>
        <v>0.66666666666666663</v>
      </c>
      <c r="N80" s="49">
        <f>AVERAGE('02.08 Goli-Nebbi-24h'!N80,'03.08 Goli-Nebbi-24h'!N80,)</f>
        <v>0</v>
      </c>
      <c r="O80" s="15">
        <f t="shared" si="35"/>
        <v>0</v>
      </c>
      <c r="P80" s="15">
        <f t="shared" si="36"/>
        <v>0.66666666666666663</v>
      </c>
      <c r="R80" s="8"/>
      <c r="T80"/>
    </row>
    <row r="81" spans="2:20" ht="23.1" customHeight="1" x14ac:dyDescent="0.25">
      <c r="B81" s="23" t="s">
        <v>121</v>
      </c>
      <c r="C81" s="49">
        <f>AVERAGE('02.08 Goli-Nebbi-24h'!C81,'03.08 Goli-Nebbi-24h'!C81,)</f>
        <v>0.66666666666666663</v>
      </c>
      <c r="D81" s="49">
        <f>AVERAGE('02.08 Goli-Nebbi-24h'!D81,'03.08 Goli-Nebbi-24h'!D81,)</f>
        <v>0</v>
      </c>
      <c r="E81" s="49">
        <f>AVERAGE('02.08 Goli-Nebbi-24h'!E81,'03.08 Goli-Nebbi-24h'!E81,)</f>
        <v>0.33333333333333331</v>
      </c>
      <c r="F81" s="49">
        <f>AVERAGE('02.08 Goli-Nebbi-24h'!F81,'03.08 Goli-Nebbi-24h'!F81,)</f>
        <v>0</v>
      </c>
      <c r="G81" s="49">
        <f>AVERAGE('02.08 Goli-Nebbi-24h'!G81,'03.08 Goli-Nebbi-24h'!G81,)</f>
        <v>0</v>
      </c>
      <c r="H81" s="49">
        <f>AVERAGE('02.08 Goli-Nebbi-24h'!H81,'03.08 Goli-Nebbi-24h'!H81,)</f>
        <v>0</v>
      </c>
      <c r="I81" s="49">
        <f>AVERAGE('02.08 Goli-Nebbi-24h'!I81,'03.08 Goli-Nebbi-24h'!I81,)</f>
        <v>0</v>
      </c>
      <c r="J81" s="49">
        <f>AVERAGE('02.08 Goli-Nebbi-24h'!J81,'03.08 Goli-Nebbi-24h'!J81,)</f>
        <v>0</v>
      </c>
      <c r="K81" s="49">
        <f>AVERAGE('02.08 Goli-Nebbi-24h'!K81,'03.08 Goli-Nebbi-24h'!K81,)</f>
        <v>0</v>
      </c>
      <c r="L81" s="49">
        <f>AVERAGE('02.08 Goli-Nebbi-24h'!L81,'03.08 Goli-Nebbi-24h'!L81,)</f>
        <v>0</v>
      </c>
      <c r="M81" s="49">
        <f>AVERAGE('02.08 Goli-Nebbi-24h'!M81,'03.08 Goli-Nebbi-24h'!M81,)</f>
        <v>0.66666666666666663</v>
      </c>
      <c r="N81" s="49">
        <f>AVERAGE('02.08 Goli-Nebbi-24h'!N81,'03.08 Goli-Nebbi-24h'!N81,)</f>
        <v>0</v>
      </c>
      <c r="O81" s="15">
        <f t="shared" si="35"/>
        <v>1</v>
      </c>
      <c r="P81" s="15">
        <f t="shared" si="36"/>
        <v>1.6666666666666665</v>
      </c>
      <c r="R81" s="8"/>
      <c r="T81"/>
    </row>
    <row r="82" spans="2:20" ht="23.1" customHeight="1" x14ac:dyDescent="0.25">
      <c r="B82" s="24" t="s">
        <v>122</v>
      </c>
      <c r="C82" s="49">
        <f>AVERAGE('02.08 Goli-Nebbi-24h'!C82,'03.08 Goli-Nebbi-24h'!C82,)</f>
        <v>0</v>
      </c>
      <c r="D82" s="49">
        <f>AVERAGE('02.08 Goli-Nebbi-24h'!D82,'03.08 Goli-Nebbi-24h'!D82,)</f>
        <v>0</v>
      </c>
      <c r="E82" s="49">
        <f>AVERAGE('02.08 Goli-Nebbi-24h'!E82,'03.08 Goli-Nebbi-24h'!E82,)</f>
        <v>0</v>
      </c>
      <c r="F82" s="49">
        <f>AVERAGE('02.08 Goli-Nebbi-24h'!F82,'03.08 Goli-Nebbi-24h'!F82,)</f>
        <v>0</v>
      </c>
      <c r="G82" s="49">
        <f>AVERAGE('02.08 Goli-Nebbi-24h'!G82,'03.08 Goli-Nebbi-24h'!G82,)</f>
        <v>0</v>
      </c>
      <c r="H82" s="49">
        <f>AVERAGE('02.08 Goli-Nebbi-24h'!H82,'03.08 Goli-Nebbi-24h'!H82,)</f>
        <v>0</v>
      </c>
      <c r="I82" s="49">
        <f>AVERAGE('02.08 Goli-Nebbi-24h'!I82,'03.08 Goli-Nebbi-24h'!I82,)</f>
        <v>0</v>
      </c>
      <c r="J82" s="49">
        <f>AVERAGE('02.08 Goli-Nebbi-24h'!J82,'03.08 Goli-Nebbi-24h'!J82,)</f>
        <v>0</v>
      </c>
      <c r="K82" s="49">
        <f>AVERAGE('02.08 Goli-Nebbi-24h'!K82,'03.08 Goli-Nebbi-24h'!K82,)</f>
        <v>0</v>
      </c>
      <c r="L82" s="49">
        <f>AVERAGE('02.08 Goli-Nebbi-24h'!L82,'03.08 Goli-Nebbi-24h'!L82,)</f>
        <v>0.33333333333333331</v>
      </c>
      <c r="M82" s="49">
        <f>AVERAGE('02.08 Goli-Nebbi-24h'!M82,'03.08 Goli-Nebbi-24h'!M82,)</f>
        <v>0.66666666666666663</v>
      </c>
      <c r="N82" s="49">
        <f>AVERAGE('02.08 Goli-Nebbi-24h'!N82,'03.08 Goli-Nebbi-24h'!N82,)</f>
        <v>0</v>
      </c>
      <c r="O82" s="15">
        <f t="shared" si="35"/>
        <v>0.33333333333333331</v>
      </c>
      <c r="P82" s="15">
        <f t="shared" si="36"/>
        <v>1</v>
      </c>
      <c r="R82" s="8"/>
      <c r="T82"/>
    </row>
    <row r="83" spans="2:20" ht="23.1" customHeight="1" x14ac:dyDescent="0.25">
      <c r="B83" s="23" t="s">
        <v>123</v>
      </c>
      <c r="C83" s="49">
        <f>AVERAGE('02.08 Goli-Nebbi-24h'!C83,'03.08 Goli-Nebbi-24h'!C83,)</f>
        <v>0</v>
      </c>
      <c r="D83" s="49">
        <f>AVERAGE('02.08 Goli-Nebbi-24h'!D83,'03.08 Goli-Nebbi-24h'!D83,)</f>
        <v>0</v>
      </c>
      <c r="E83" s="49">
        <f>AVERAGE('02.08 Goli-Nebbi-24h'!E83,'03.08 Goli-Nebbi-24h'!E83,)</f>
        <v>0.33333333333333331</v>
      </c>
      <c r="F83" s="49">
        <f>AVERAGE('02.08 Goli-Nebbi-24h'!F83,'03.08 Goli-Nebbi-24h'!F83,)</f>
        <v>0</v>
      </c>
      <c r="G83" s="49">
        <f>AVERAGE('02.08 Goli-Nebbi-24h'!G83,'03.08 Goli-Nebbi-24h'!G83,)</f>
        <v>0</v>
      </c>
      <c r="H83" s="49">
        <f>AVERAGE('02.08 Goli-Nebbi-24h'!H83,'03.08 Goli-Nebbi-24h'!H83,)</f>
        <v>0</v>
      </c>
      <c r="I83" s="49">
        <f>AVERAGE('02.08 Goli-Nebbi-24h'!I83,'03.08 Goli-Nebbi-24h'!I83,)</f>
        <v>0.33333333333333331</v>
      </c>
      <c r="J83" s="49">
        <f>AVERAGE('02.08 Goli-Nebbi-24h'!J83,'03.08 Goli-Nebbi-24h'!J83,)</f>
        <v>0</v>
      </c>
      <c r="K83" s="49">
        <f>AVERAGE('02.08 Goli-Nebbi-24h'!K83,'03.08 Goli-Nebbi-24h'!K83,)</f>
        <v>0</v>
      </c>
      <c r="L83" s="49">
        <f>AVERAGE('02.08 Goli-Nebbi-24h'!L83,'03.08 Goli-Nebbi-24h'!L83,)</f>
        <v>0</v>
      </c>
      <c r="M83" s="49">
        <f>AVERAGE('02.08 Goli-Nebbi-24h'!M83,'03.08 Goli-Nebbi-24h'!M83,)</f>
        <v>0.33333333333333331</v>
      </c>
      <c r="N83" s="49">
        <f>AVERAGE('02.08 Goli-Nebbi-24h'!N83,'03.08 Goli-Nebbi-24h'!N83,)</f>
        <v>0</v>
      </c>
      <c r="O83" s="15">
        <f t="shared" si="35"/>
        <v>0.66666666666666663</v>
      </c>
      <c r="P83" s="15">
        <f t="shared" si="36"/>
        <v>1</v>
      </c>
      <c r="R83" s="8"/>
      <c r="T83"/>
    </row>
    <row r="84" spans="2:20" ht="23.1" customHeight="1" x14ac:dyDescent="0.25">
      <c r="B84" s="25" t="s">
        <v>124</v>
      </c>
      <c r="C84" s="49">
        <f>AVERAGE('02.08 Goli-Nebbi-24h'!C84,'03.08 Goli-Nebbi-24h'!C84,)</f>
        <v>0</v>
      </c>
      <c r="D84" s="49">
        <f>AVERAGE('02.08 Goli-Nebbi-24h'!D84,'03.08 Goli-Nebbi-24h'!D84,)</f>
        <v>0</v>
      </c>
      <c r="E84" s="49">
        <f>AVERAGE('02.08 Goli-Nebbi-24h'!E84,'03.08 Goli-Nebbi-24h'!E84,)</f>
        <v>0</v>
      </c>
      <c r="F84" s="49">
        <f>AVERAGE('02.08 Goli-Nebbi-24h'!F84,'03.08 Goli-Nebbi-24h'!F84,)</f>
        <v>0</v>
      </c>
      <c r="G84" s="49">
        <f>AVERAGE('02.08 Goli-Nebbi-24h'!G84,'03.08 Goli-Nebbi-24h'!G84,)</f>
        <v>0</v>
      </c>
      <c r="H84" s="49">
        <f>AVERAGE('02.08 Goli-Nebbi-24h'!H84,'03.08 Goli-Nebbi-24h'!H84,)</f>
        <v>0</v>
      </c>
      <c r="I84" s="49">
        <f>AVERAGE('02.08 Goli-Nebbi-24h'!I84,'03.08 Goli-Nebbi-24h'!I84,)</f>
        <v>0</v>
      </c>
      <c r="J84" s="49">
        <f>AVERAGE('02.08 Goli-Nebbi-24h'!J84,'03.08 Goli-Nebbi-24h'!J84,)</f>
        <v>0.33333333333333331</v>
      </c>
      <c r="K84" s="49">
        <f>AVERAGE('02.08 Goli-Nebbi-24h'!K84,'03.08 Goli-Nebbi-24h'!K84,)</f>
        <v>0</v>
      </c>
      <c r="L84" s="49">
        <f>AVERAGE('02.08 Goli-Nebbi-24h'!L84,'03.08 Goli-Nebbi-24h'!L84,)</f>
        <v>0.33333333333333331</v>
      </c>
      <c r="M84" s="49">
        <f>AVERAGE('02.08 Goli-Nebbi-24h'!M84,'03.08 Goli-Nebbi-24h'!M84,)</f>
        <v>0.33333333333333331</v>
      </c>
      <c r="N84" s="49">
        <f>AVERAGE('02.08 Goli-Nebbi-24h'!N84,'03.08 Goli-Nebbi-24h'!N84,)</f>
        <v>0</v>
      </c>
      <c r="O84" s="15">
        <f t="shared" si="35"/>
        <v>0.66666666666666663</v>
      </c>
      <c r="P84" s="15">
        <f t="shared" si="36"/>
        <v>1</v>
      </c>
      <c r="R84" s="8"/>
      <c r="T84"/>
    </row>
    <row r="85" spans="2:20" ht="23.1" customHeight="1" x14ac:dyDescent="0.25">
      <c r="B85" s="23" t="s">
        <v>125</v>
      </c>
      <c r="C85" s="49">
        <f>AVERAGE('02.08 Goli-Nebbi-24h'!C85,'03.08 Goli-Nebbi-24h'!C85,)</f>
        <v>1.3333333333333333</v>
      </c>
      <c r="D85" s="49">
        <f>AVERAGE('02.08 Goli-Nebbi-24h'!D85,'03.08 Goli-Nebbi-24h'!D85,)</f>
        <v>0</v>
      </c>
      <c r="E85" s="49">
        <f>AVERAGE('02.08 Goli-Nebbi-24h'!E85,'03.08 Goli-Nebbi-24h'!E85,)</f>
        <v>0</v>
      </c>
      <c r="F85" s="49">
        <f>AVERAGE('02.08 Goli-Nebbi-24h'!F85,'03.08 Goli-Nebbi-24h'!F85,)</f>
        <v>0</v>
      </c>
      <c r="G85" s="49">
        <f>AVERAGE('02.08 Goli-Nebbi-24h'!G85,'03.08 Goli-Nebbi-24h'!G85,)</f>
        <v>0</v>
      </c>
      <c r="H85" s="49">
        <f>AVERAGE('02.08 Goli-Nebbi-24h'!H85,'03.08 Goli-Nebbi-24h'!H85,)</f>
        <v>0</v>
      </c>
      <c r="I85" s="49">
        <f>AVERAGE('02.08 Goli-Nebbi-24h'!I85,'03.08 Goli-Nebbi-24h'!I85,)</f>
        <v>0</v>
      </c>
      <c r="J85" s="49">
        <f>AVERAGE('02.08 Goli-Nebbi-24h'!J85,'03.08 Goli-Nebbi-24h'!J85,)</f>
        <v>0</v>
      </c>
      <c r="K85" s="49">
        <f>AVERAGE('02.08 Goli-Nebbi-24h'!K85,'03.08 Goli-Nebbi-24h'!K85,)</f>
        <v>0</v>
      </c>
      <c r="L85" s="49">
        <f>AVERAGE('02.08 Goli-Nebbi-24h'!L85,'03.08 Goli-Nebbi-24h'!L85,)</f>
        <v>0</v>
      </c>
      <c r="M85" s="49">
        <f>AVERAGE('02.08 Goli-Nebbi-24h'!M85,'03.08 Goli-Nebbi-24h'!M85,)</f>
        <v>0.33333333333333331</v>
      </c>
      <c r="N85" s="49">
        <f>AVERAGE('02.08 Goli-Nebbi-24h'!N85,'03.08 Goli-Nebbi-24h'!N85,)</f>
        <v>0</v>
      </c>
      <c r="O85" s="15">
        <f t="shared" si="35"/>
        <v>1.3333333333333333</v>
      </c>
      <c r="P85" s="15">
        <f t="shared" si="36"/>
        <v>1.6666666666666665</v>
      </c>
      <c r="R85" s="8"/>
      <c r="T85"/>
    </row>
    <row r="86" spans="2:20" ht="23.1" customHeight="1" x14ac:dyDescent="0.25">
      <c r="B86" s="24" t="s">
        <v>126</v>
      </c>
      <c r="C86" s="49">
        <f>AVERAGE('02.08 Goli-Nebbi-24h'!C86,'03.08 Goli-Nebbi-24h'!C86,)</f>
        <v>0</v>
      </c>
      <c r="D86" s="49">
        <f>AVERAGE('02.08 Goli-Nebbi-24h'!D86,'03.08 Goli-Nebbi-24h'!D86,)</f>
        <v>0</v>
      </c>
      <c r="E86" s="49">
        <f>AVERAGE('02.08 Goli-Nebbi-24h'!E86,'03.08 Goli-Nebbi-24h'!E86,)</f>
        <v>0</v>
      </c>
      <c r="F86" s="49">
        <f>AVERAGE('02.08 Goli-Nebbi-24h'!F86,'03.08 Goli-Nebbi-24h'!F86,)</f>
        <v>0</v>
      </c>
      <c r="G86" s="49">
        <f>AVERAGE('02.08 Goli-Nebbi-24h'!G86,'03.08 Goli-Nebbi-24h'!G86,)</f>
        <v>0</v>
      </c>
      <c r="H86" s="49">
        <f>AVERAGE('02.08 Goli-Nebbi-24h'!H86,'03.08 Goli-Nebbi-24h'!H86,)</f>
        <v>0</v>
      </c>
      <c r="I86" s="49">
        <f>AVERAGE('02.08 Goli-Nebbi-24h'!I86,'03.08 Goli-Nebbi-24h'!I86,)</f>
        <v>0</v>
      </c>
      <c r="J86" s="49">
        <f>AVERAGE('02.08 Goli-Nebbi-24h'!J86,'03.08 Goli-Nebbi-24h'!J86,)</f>
        <v>0</v>
      </c>
      <c r="K86" s="49">
        <f>AVERAGE('02.08 Goli-Nebbi-24h'!K86,'03.08 Goli-Nebbi-24h'!K86,)</f>
        <v>0</v>
      </c>
      <c r="L86" s="49">
        <f>AVERAGE('02.08 Goli-Nebbi-24h'!L86,'03.08 Goli-Nebbi-24h'!L86,)</f>
        <v>0</v>
      </c>
      <c r="M86" s="49">
        <f>AVERAGE('02.08 Goli-Nebbi-24h'!M86,'03.08 Goli-Nebbi-24h'!M86,)</f>
        <v>0.66666666666666663</v>
      </c>
      <c r="N86" s="49">
        <f>AVERAGE('02.08 Goli-Nebbi-24h'!N86,'03.08 Goli-Nebbi-24h'!N86,)</f>
        <v>0</v>
      </c>
      <c r="O86" s="15">
        <f t="shared" si="35"/>
        <v>0</v>
      </c>
      <c r="P86" s="15">
        <f t="shared" si="36"/>
        <v>0.66666666666666663</v>
      </c>
      <c r="R86" s="8"/>
      <c r="T86"/>
    </row>
    <row r="87" spans="2:20" ht="23.1" customHeight="1" x14ac:dyDescent="0.25">
      <c r="B87" s="23" t="s">
        <v>127</v>
      </c>
      <c r="C87" s="49">
        <f>AVERAGE('02.08 Goli-Nebbi-24h'!C87,'03.08 Goli-Nebbi-24h'!C87,)</f>
        <v>0</v>
      </c>
      <c r="D87" s="49">
        <f>AVERAGE('02.08 Goli-Nebbi-24h'!D87,'03.08 Goli-Nebbi-24h'!D87,)</f>
        <v>0</v>
      </c>
      <c r="E87" s="49">
        <f>AVERAGE('02.08 Goli-Nebbi-24h'!E87,'03.08 Goli-Nebbi-24h'!E87,)</f>
        <v>0</v>
      </c>
      <c r="F87" s="49">
        <f>AVERAGE('02.08 Goli-Nebbi-24h'!F87,'03.08 Goli-Nebbi-24h'!F87,)</f>
        <v>0</v>
      </c>
      <c r="G87" s="49">
        <f>AVERAGE('02.08 Goli-Nebbi-24h'!G87,'03.08 Goli-Nebbi-24h'!G87,)</f>
        <v>0</v>
      </c>
      <c r="H87" s="49">
        <f>AVERAGE('02.08 Goli-Nebbi-24h'!H87,'03.08 Goli-Nebbi-24h'!H87,)</f>
        <v>0</v>
      </c>
      <c r="I87" s="49">
        <f>AVERAGE('02.08 Goli-Nebbi-24h'!I87,'03.08 Goli-Nebbi-24h'!I87,)</f>
        <v>0</v>
      </c>
      <c r="J87" s="49">
        <f>AVERAGE('02.08 Goli-Nebbi-24h'!J87,'03.08 Goli-Nebbi-24h'!J87,)</f>
        <v>0</v>
      </c>
      <c r="K87" s="49">
        <f>AVERAGE('02.08 Goli-Nebbi-24h'!K87,'03.08 Goli-Nebbi-24h'!K87,)</f>
        <v>0</v>
      </c>
      <c r="L87" s="49">
        <f>AVERAGE('02.08 Goli-Nebbi-24h'!L87,'03.08 Goli-Nebbi-24h'!L87,)</f>
        <v>0.33333333333333331</v>
      </c>
      <c r="M87" s="49">
        <f>AVERAGE('02.08 Goli-Nebbi-24h'!M87,'03.08 Goli-Nebbi-24h'!M87,)</f>
        <v>0.33333333333333331</v>
      </c>
      <c r="N87" s="49">
        <f>AVERAGE('02.08 Goli-Nebbi-24h'!N87,'03.08 Goli-Nebbi-24h'!N87,)</f>
        <v>0</v>
      </c>
      <c r="O87" s="15">
        <f t="shared" si="35"/>
        <v>0.33333333333333331</v>
      </c>
      <c r="P87" s="15">
        <f t="shared" si="36"/>
        <v>0.66666666666666663</v>
      </c>
      <c r="R87" s="8"/>
      <c r="T87"/>
    </row>
    <row r="88" spans="2:20" ht="23.1" customHeight="1" x14ac:dyDescent="0.25">
      <c r="B88" s="25" t="s">
        <v>128</v>
      </c>
      <c r="C88" s="49">
        <f>AVERAGE('02.08 Goli-Nebbi-24h'!C88,'03.08 Goli-Nebbi-24h'!C88,)</f>
        <v>0.33333333333333331</v>
      </c>
      <c r="D88" s="49">
        <f>AVERAGE('02.08 Goli-Nebbi-24h'!D88,'03.08 Goli-Nebbi-24h'!D88,)</f>
        <v>0</v>
      </c>
      <c r="E88" s="49">
        <f>AVERAGE('02.08 Goli-Nebbi-24h'!E88,'03.08 Goli-Nebbi-24h'!E88,)</f>
        <v>0</v>
      </c>
      <c r="F88" s="49">
        <f>AVERAGE('02.08 Goli-Nebbi-24h'!F88,'03.08 Goli-Nebbi-24h'!F88,)</f>
        <v>0</v>
      </c>
      <c r="G88" s="49">
        <f>AVERAGE('02.08 Goli-Nebbi-24h'!G88,'03.08 Goli-Nebbi-24h'!G88,)</f>
        <v>0</v>
      </c>
      <c r="H88" s="49">
        <f>AVERAGE('02.08 Goli-Nebbi-24h'!H88,'03.08 Goli-Nebbi-24h'!H88,)</f>
        <v>0</v>
      </c>
      <c r="I88" s="49">
        <f>AVERAGE('02.08 Goli-Nebbi-24h'!I88,'03.08 Goli-Nebbi-24h'!I88,)</f>
        <v>0</v>
      </c>
      <c r="J88" s="49">
        <f>AVERAGE('02.08 Goli-Nebbi-24h'!J88,'03.08 Goli-Nebbi-24h'!J88,)</f>
        <v>0</v>
      </c>
      <c r="K88" s="49">
        <f>AVERAGE('02.08 Goli-Nebbi-24h'!K88,'03.08 Goli-Nebbi-24h'!K88,)</f>
        <v>0</v>
      </c>
      <c r="L88" s="49">
        <f>AVERAGE('02.08 Goli-Nebbi-24h'!L88,'03.08 Goli-Nebbi-24h'!L88,)</f>
        <v>0</v>
      </c>
      <c r="M88" s="49">
        <f>AVERAGE('02.08 Goli-Nebbi-24h'!M88,'03.08 Goli-Nebbi-24h'!M88,)</f>
        <v>0.33333333333333331</v>
      </c>
      <c r="N88" s="49">
        <f>AVERAGE('02.08 Goli-Nebbi-24h'!N88,'03.08 Goli-Nebbi-24h'!N88,)</f>
        <v>0</v>
      </c>
      <c r="O88" s="15">
        <f t="shared" si="35"/>
        <v>0.33333333333333331</v>
      </c>
      <c r="P88" s="15">
        <f t="shared" si="36"/>
        <v>0.66666666666666663</v>
      </c>
      <c r="R88" s="8"/>
      <c r="T88"/>
    </row>
    <row r="89" spans="2:20" ht="23.1" customHeight="1" x14ac:dyDescent="0.25">
      <c r="B89" s="23" t="s">
        <v>129</v>
      </c>
      <c r="C89" s="49">
        <f>AVERAGE('02.08 Goli-Nebbi-24h'!C89,'03.08 Goli-Nebbi-24h'!C89,)</f>
        <v>0</v>
      </c>
      <c r="D89" s="49">
        <f>AVERAGE('02.08 Goli-Nebbi-24h'!D89,'03.08 Goli-Nebbi-24h'!D89,)</f>
        <v>0</v>
      </c>
      <c r="E89" s="49">
        <f>AVERAGE('02.08 Goli-Nebbi-24h'!E89,'03.08 Goli-Nebbi-24h'!E89,)</f>
        <v>0.33333333333333331</v>
      </c>
      <c r="F89" s="49">
        <f>AVERAGE('02.08 Goli-Nebbi-24h'!F89,'03.08 Goli-Nebbi-24h'!F89,)</f>
        <v>0</v>
      </c>
      <c r="G89" s="49">
        <f>AVERAGE('02.08 Goli-Nebbi-24h'!G89,'03.08 Goli-Nebbi-24h'!G89,)</f>
        <v>0</v>
      </c>
      <c r="H89" s="49">
        <f>AVERAGE('02.08 Goli-Nebbi-24h'!H89,'03.08 Goli-Nebbi-24h'!H89,)</f>
        <v>0</v>
      </c>
      <c r="I89" s="49">
        <f>AVERAGE('02.08 Goli-Nebbi-24h'!I89,'03.08 Goli-Nebbi-24h'!I89,)</f>
        <v>0</v>
      </c>
      <c r="J89" s="49">
        <f>AVERAGE('02.08 Goli-Nebbi-24h'!J89,'03.08 Goli-Nebbi-24h'!J89,)</f>
        <v>0.66666666666666663</v>
      </c>
      <c r="K89" s="49">
        <f>AVERAGE('02.08 Goli-Nebbi-24h'!K89,'03.08 Goli-Nebbi-24h'!K89,)</f>
        <v>0</v>
      </c>
      <c r="L89" s="49">
        <f>AVERAGE('02.08 Goli-Nebbi-24h'!L89,'03.08 Goli-Nebbi-24h'!L89,)</f>
        <v>0</v>
      </c>
      <c r="M89" s="49">
        <f>AVERAGE('02.08 Goli-Nebbi-24h'!M89,'03.08 Goli-Nebbi-24h'!M89,)</f>
        <v>0</v>
      </c>
      <c r="N89" s="49">
        <f>AVERAGE('02.08 Goli-Nebbi-24h'!N89,'03.08 Goli-Nebbi-24h'!N89,)</f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24" t="s">
        <v>130</v>
      </c>
      <c r="C90" s="49">
        <f>AVERAGE('02.08 Goli-Nebbi-24h'!C90,'03.08 Goli-Nebbi-24h'!C90,)</f>
        <v>0</v>
      </c>
      <c r="D90" s="49">
        <f>AVERAGE('02.08 Goli-Nebbi-24h'!D90,'03.08 Goli-Nebbi-24h'!D90,)</f>
        <v>0</v>
      </c>
      <c r="E90" s="49">
        <f>AVERAGE('02.08 Goli-Nebbi-24h'!E90,'03.08 Goli-Nebbi-24h'!E90,)</f>
        <v>0</v>
      </c>
      <c r="F90" s="49">
        <f>AVERAGE('02.08 Goli-Nebbi-24h'!F90,'03.08 Goli-Nebbi-24h'!F90,)</f>
        <v>0</v>
      </c>
      <c r="G90" s="49">
        <f>AVERAGE('02.08 Goli-Nebbi-24h'!G90,'03.08 Goli-Nebbi-24h'!G90,)</f>
        <v>0</v>
      </c>
      <c r="H90" s="49">
        <f>AVERAGE('02.08 Goli-Nebbi-24h'!H90,'03.08 Goli-Nebbi-24h'!H90,)</f>
        <v>0</v>
      </c>
      <c r="I90" s="49">
        <f>AVERAGE('02.08 Goli-Nebbi-24h'!I90,'03.08 Goli-Nebbi-24h'!I90,)</f>
        <v>0</v>
      </c>
      <c r="J90" s="49">
        <f>AVERAGE('02.08 Goli-Nebbi-24h'!J90,'03.08 Goli-Nebbi-24h'!J90,)</f>
        <v>0</v>
      </c>
      <c r="K90" s="49">
        <f>AVERAGE('02.08 Goli-Nebbi-24h'!K90,'03.08 Goli-Nebbi-24h'!K90,)</f>
        <v>0</v>
      </c>
      <c r="L90" s="49">
        <f>AVERAGE('02.08 Goli-Nebbi-24h'!L90,'03.08 Goli-Nebbi-24h'!L90,)</f>
        <v>0</v>
      </c>
      <c r="M90" s="49">
        <f>AVERAGE('02.08 Goli-Nebbi-24h'!M90,'03.08 Goli-Nebbi-24h'!M90,)</f>
        <v>0.33333333333333331</v>
      </c>
      <c r="N90" s="49">
        <f>AVERAGE('02.08 Goli-Nebbi-24h'!N90,'03.08 Goli-Nebbi-24h'!N90,)</f>
        <v>0</v>
      </c>
      <c r="O90" s="15">
        <f t="shared" si="35"/>
        <v>0</v>
      </c>
      <c r="P90" s="15">
        <f t="shared" si="36"/>
        <v>0.33333333333333331</v>
      </c>
      <c r="R90" s="8"/>
      <c r="T90"/>
    </row>
    <row r="91" spans="2:20" ht="23.1" customHeight="1" x14ac:dyDescent="0.25">
      <c r="B91" s="23" t="s">
        <v>131</v>
      </c>
      <c r="C91" s="49">
        <f>AVERAGE('02.08 Goli-Nebbi-24h'!C91,'03.08 Goli-Nebbi-24h'!C91,)</f>
        <v>0</v>
      </c>
      <c r="D91" s="49">
        <f>AVERAGE('02.08 Goli-Nebbi-24h'!D91,'03.08 Goli-Nebbi-24h'!D91,)</f>
        <v>0</v>
      </c>
      <c r="E91" s="49">
        <f>AVERAGE('02.08 Goli-Nebbi-24h'!E91,'03.08 Goli-Nebbi-24h'!E91,)</f>
        <v>0</v>
      </c>
      <c r="F91" s="49">
        <f>AVERAGE('02.08 Goli-Nebbi-24h'!F91,'03.08 Goli-Nebbi-24h'!F91,)</f>
        <v>0</v>
      </c>
      <c r="G91" s="49">
        <f>AVERAGE('02.08 Goli-Nebbi-24h'!G91,'03.08 Goli-Nebbi-24h'!G91,)</f>
        <v>0</v>
      </c>
      <c r="H91" s="49">
        <f>AVERAGE('02.08 Goli-Nebbi-24h'!H91,'03.08 Goli-Nebbi-24h'!H91,)</f>
        <v>0</v>
      </c>
      <c r="I91" s="49">
        <f>AVERAGE('02.08 Goli-Nebbi-24h'!I91,'03.08 Goli-Nebbi-24h'!I91,)</f>
        <v>0</v>
      </c>
      <c r="J91" s="49">
        <f>AVERAGE('02.08 Goli-Nebbi-24h'!J91,'03.08 Goli-Nebbi-24h'!J91,)</f>
        <v>0</v>
      </c>
      <c r="K91" s="49">
        <f>AVERAGE('02.08 Goli-Nebbi-24h'!K91,'03.08 Goli-Nebbi-24h'!K91,)</f>
        <v>0</v>
      </c>
      <c r="L91" s="49">
        <f>AVERAGE('02.08 Goli-Nebbi-24h'!L91,'03.08 Goli-Nebbi-24h'!L91,)</f>
        <v>0.66666666666666663</v>
      </c>
      <c r="M91" s="49">
        <f>AVERAGE('02.08 Goli-Nebbi-24h'!M91,'03.08 Goli-Nebbi-24h'!M91,)</f>
        <v>0.33333333333333331</v>
      </c>
      <c r="N91" s="49">
        <f>AVERAGE('02.08 Goli-Nebbi-24h'!N91,'03.08 Goli-Nebbi-24h'!N91,)</f>
        <v>0</v>
      </c>
      <c r="O91" s="15">
        <f t="shared" si="35"/>
        <v>0.66666666666666663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AVERAGE('02.08 Goli-Nebbi-24h'!C92,'03.08 Goli-Nebbi-24h'!C92,)</f>
        <v>0</v>
      </c>
      <c r="D92" s="49">
        <f>AVERAGE('02.08 Goli-Nebbi-24h'!D92,'03.08 Goli-Nebbi-24h'!D92,)</f>
        <v>0</v>
      </c>
      <c r="E92" s="49">
        <f>AVERAGE('02.08 Goli-Nebbi-24h'!E92,'03.08 Goli-Nebbi-24h'!E92,)</f>
        <v>0</v>
      </c>
      <c r="F92" s="49">
        <f>AVERAGE('02.08 Goli-Nebbi-24h'!F92,'03.08 Goli-Nebbi-24h'!F92,)</f>
        <v>0</v>
      </c>
      <c r="G92" s="49">
        <f>AVERAGE('02.08 Goli-Nebbi-24h'!G92,'03.08 Goli-Nebbi-24h'!G92,)</f>
        <v>0</v>
      </c>
      <c r="H92" s="49">
        <f>AVERAGE('02.08 Goli-Nebbi-24h'!H92,'03.08 Goli-Nebbi-24h'!H92,)</f>
        <v>0</v>
      </c>
      <c r="I92" s="49">
        <f>AVERAGE('02.08 Goli-Nebbi-24h'!I92,'03.08 Goli-Nebbi-24h'!I92,)</f>
        <v>0</v>
      </c>
      <c r="J92" s="49">
        <f>AVERAGE('02.08 Goli-Nebbi-24h'!J92,'03.08 Goli-Nebbi-24h'!J92,)</f>
        <v>0</v>
      </c>
      <c r="K92" s="49">
        <f>AVERAGE('02.08 Goli-Nebbi-24h'!K92,'03.08 Goli-Nebbi-24h'!K92,)</f>
        <v>0</v>
      </c>
      <c r="L92" s="49">
        <f>AVERAGE('02.08 Goli-Nebbi-24h'!L92,'03.08 Goli-Nebbi-24h'!L92,)</f>
        <v>0</v>
      </c>
      <c r="M92" s="49">
        <f>AVERAGE('02.08 Goli-Nebbi-24h'!M92,'03.08 Goli-Nebbi-24h'!M92,)</f>
        <v>0.66666666666666663</v>
      </c>
      <c r="N92" s="49">
        <f>AVERAGE('02.08 Goli-Nebbi-24h'!N92,'03.08 Goli-Nebbi-24h'!N92,)</f>
        <v>0</v>
      </c>
      <c r="O92" s="15">
        <f t="shared" si="35"/>
        <v>0</v>
      </c>
      <c r="P92" s="15">
        <f t="shared" si="36"/>
        <v>0.66666666666666663</v>
      </c>
      <c r="R92" s="8"/>
      <c r="T92"/>
    </row>
    <row r="93" spans="2:20" ht="23.1" customHeight="1" x14ac:dyDescent="0.25">
      <c r="B93" s="23" t="s">
        <v>133</v>
      </c>
      <c r="C93" s="49">
        <f>AVERAGE('02.08 Goli-Nebbi-24h'!C93,'03.08 Goli-Nebbi-24h'!C93,)</f>
        <v>0.33333333333333331</v>
      </c>
      <c r="D93" s="49">
        <f>AVERAGE('02.08 Goli-Nebbi-24h'!D93,'03.08 Goli-Nebbi-24h'!D93,)</f>
        <v>0</v>
      </c>
      <c r="E93" s="49">
        <f>AVERAGE('02.08 Goli-Nebbi-24h'!E93,'03.08 Goli-Nebbi-24h'!E93,)</f>
        <v>0</v>
      </c>
      <c r="F93" s="49">
        <f>AVERAGE('02.08 Goli-Nebbi-24h'!F93,'03.08 Goli-Nebbi-24h'!F93,)</f>
        <v>0</v>
      </c>
      <c r="G93" s="49">
        <f>AVERAGE('02.08 Goli-Nebbi-24h'!G93,'03.08 Goli-Nebbi-24h'!G93,)</f>
        <v>0.33333333333333331</v>
      </c>
      <c r="H93" s="49">
        <f>AVERAGE('02.08 Goli-Nebbi-24h'!H93,'03.08 Goli-Nebbi-24h'!H93,)</f>
        <v>0</v>
      </c>
      <c r="I93" s="49">
        <f>AVERAGE('02.08 Goli-Nebbi-24h'!I93,'03.08 Goli-Nebbi-24h'!I93,)</f>
        <v>0</v>
      </c>
      <c r="J93" s="49">
        <f>AVERAGE('02.08 Goli-Nebbi-24h'!J93,'03.08 Goli-Nebbi-24h'!J93,)</f>
        <v>0</v>
      </c>
      <c r="K93" s="49">
        <f>AVERAGE('02.08 Goli-Nebbi-24h'!K93,'03.08 Goli-Nebbi-24h'!K93,)</f>
        <v>0</v>
      </c>
      <c r="L93" s="49">
        <f>AVERAGE('02.08 Goli-Nebbi-24h'!L93,'03.08 Goli-Nebbi-24h'!L93,)</f>
        <v>0</v>
      </c>
      <c r="M93" s="49">
        <f>AVERAGE('02.08 Goli-Nebbi-24h'!M93,'03.08 Goli-Nebbi-24h'!M93,)</f>
        <v>1.6666666666666667</v>
      </c>
      <c r="N93" s="49">
        <f>AVERAGE('02.08 Goli-Nebbi-24h'!N93,'03.08 Goli-Nebbi-24h'!N93,)</f>
        <v>0</v>
      </c>
      <c r="O93" s="15">
        <f t="shared" si="35"/>
        <v>0.66666666666666663</v>
      </c>
      <c r="P93" s="15">
        <f t="shared" si="36"/>
        <v>2.3333333333333335</v>
      </c>
      <c r="R93" s="8"/>
      <c r="T93"/>
    </row>
    <row r="94" spans="2:20" ht="23.1" customHeight="1" x14ac:dyDescent="0.25">
      <c r="B94" s="24" t="s">
        <v>134</v>
      </c>
      <c r="C94" s="49">
        <f>AVERAGE('02.08 Goli-Nebbi-24h'!C94,'03.08 Goli-Nebbi-24h'!C94,)</f>
        <v>0</v>
      </c>
      <c r="D94" s="49">
        <f>AVERAGE('02.08 Goli-Nebbi-24h'!D94,'03.08 Goli-Nebbi-24h'!D94,)</f>
        <v>0</v>
      </c>
      <c r="E94" s="49">
        <f>AVERAGE('02.08 Goli-Nebbi-24h'!E94,'03.08 Goli-Nebbi-24h'!E94,)</f>
        <v>0</v>
      </c>
      <c r="F94" s="49">
        <f>AVERAGE('02.08 Goli-Nebbi-24h'!F94,'03.08 Goli-Nebbi-24h'!F94,)</f>
        <v>0</v>
      </c>
      <c r="G94" s="49">
        <f>AVERAGE('02.08 Goli-Nebbi-24h'!G94,'03.08 Goli-Nebbi-24h'!G94,)</f>
        <v>0</v>
      </c>
      <c r="H94" s="49">
        <f>AVERAGE('02.08 Goli-Nebbi-24h'!H94,'03.08 Goli-Nebbi-24h'!H94,)</f>
        <v>0.66666666666666663</v>
      </c>
      <c r="I94" s="49">
        <f>AVERAGE('02.08 Goli-Nebbi-24h'!I94,'03.08 Goli-Nebbi-24h'!I94,)</f>
        <v>0</v>
      </c>
      <c r="J94" s="49">
        <f>AVERAGE('02.08 Goli-Nebbi-24h'!J94,'03.08 Goli-Nebbi-24h'!J94,)</f>
        <v>0</v>
      </c>
      <c r="K94" s="49">
        <f>AVERAGE('02.08 Goli-Nebbi-24h'!K94,'03.08 Goli-Nebbi-24h'!K94,)</f>
        <v>0</v>
      </c>
      <c r="L94" s="49">
        <f>AVERAGE('02.08 Goli-Nebbi-24h'!L94,'03.08 Goli-Nebbi-24h'!L94,)</f>
        <v>0</v>
      </c>
      <c r="M94" s="49">
        <f>AVERAGE('02.08 Goli-Nebbi-24h'!M94,'03.08 Goli-Nebbi-24h'!M94,)</f>
        <v>1</v>
      </c>
      <c r="N94" s="49">
        <f>AVERAGE('02.08 Goli-Nebbi-24h'!N94,'03.08 Goli-Nebbi-24h'!N94,)</f>
        <v>0</v>
      </c>
      <c r="O94" s="15">
        <f t="shared" si="35"/>
        <v>0.66666666666666663</v>
      </c>
      <c r="P94" s="15">
        <f t="shared" si="36"/>
        <v>1.6666666666666665</v>
      </c>
      <c r="R94" s="8"/>
      <c r="T94"/>
    </row>
    <row r="95" spans="2:20" ht="23.1" customHeight="1" x14ac:dyDescent="0.25">
      <c r="B95" s="23" t="s">
        <v>135</v>
      </c>
      <c r="C95" s="49">
        <f>AVERAGE('02.08 Goli-Nebbi-24h'!C95,'03.08 Goli-Nebbi-24h'!C95,)</f>
        <v>0</v>
      </c>
      <c r="D95" s="49">
        <f>AVERAGE('02.08 Goli-Nebbi-24h'!D95,'03.08 Goli-Nebbi-24h'!D95,)</f>
        <v>0</v>
      </c>
      <c r="E95" s="49">
        <f>AVERAGE('02.08 Goli-Nebbi-24h'!E95,'03.08 Goli-Nebbi-24h'!E95,)</f>
        <v>0</v>
      </c>
      <c r="F95" s="49">
        <f>AVERAGE('02.08 Goli-Nebbi-24h'!F95,'03.08 Goli-Nebbi-24h'!F95,)</f>
        <v>0.66666666666666663</v>
      </c>
      <c r="G95" s="49">
        <f>AVERAGE('02.08 Goli-Nebbi-24h'!G95,'03.08 Goli-Nebbi-24h'!G95,)</f>
        <v>0</v>
      </c>
      <c r="H95" s="49">
        <f>AVERAGE('02.08 Goli-Nebbi-24h'!H95,'03.08 Goli-Nebbi-24h'!H95,)</f>
        <v>0</v>
      </c>
      <c r="I95" s="49">
        <f>AVERAGE('02.08 Goli-Nebbi-24h'!I95,'03.08 Goli-Nebbi-24h'!I95,)</f>
        <v>0</v>
      </c>
      <c r="J95" s="49">
        <f>AVERAGE('02.08 Goli-Nebbi-24h'!J95,'03.08 Goli-Nebbi-24h'!J95,)</f>
        <v>0</v>
      </c>
      <c r="K95" s="49">
        <f>AVERAGE('02.08 Goli-Nebbi-24h'!K95,'03.08 Goli-Nebbi-24h'!K95,)</f>
        <v>0</v>
      </c>
      <c r="L95" s="49">
        <f>AVERAGE('02.08 Goli-Nebbi-24h'!L95,'03.08 Goli-Nebbi-24h'!L95,)</f>
        <v>0.33333333333333331</v>
      </c>
      <c r="M95" s="49">
        <f>AVERAGE('02.08 Goli-Nebbi-24h'!M95,'03.08 Goli-Nebbi-24h'!M95,)</f>
        <v>2</v>
      </c>
      <c r="N95" s="49">
        <f>AVERAGE('02.08 Goli-Nebbi-24h'!N95,'03.08 Goli-Nebbi-24h'!N95,)</f>
        <v>0</v>
      </c>
      <c r="O95" s="15">
        <f t="shared" si="35"/>
        <v>1</v>
      </c>
      <c r="P95" s="15">
        <f t="shared" si="36"/>
        <v>3</v>
      </c>
      <c r="R95" s="8"/>
      <c r="T95"/>
    </row>
    <row r="96" spans="2:20" ht="23.1" customHeight="1" x14ac:dyDescent="0.25">
      <c r="B96" s="25" t="s">
        <v>136</v>
      </c>
      <c r="C96" s="49">
        <f>AVERAGE('02.08 Goli-Nebbi-24h'!C96,'03.08 Goli-Nebbi-24h'!C96,)</f>
        <v>0</v>
      </c>
      <c r="D96" s="49">
        <f>AVERAGE('02.08 Goli-Nebbi-24h'!D96,'03.08 Goli-Nebbi-24h'!D96,)</f>
        <v>0</v>
      </c>
      <c r="E96" s="49">
        <f>AVERAGE('02.08 Goli-Nebbi-24h'!E96,'03.08 Goli-Nebbi-24h'!E96,)</f>
        <v>0.33333333333333331</v>
      </c>
      <c r="F96" s="49">
        <f>AVERAGE('02.08 Goli-Nebbi-24h'!F96,'03.08 Goli-Nebbi-24h'!F96,)</f>
        <v>0.33333333333333331</v>
      </c>
      <c r="G96" s="49">
        <f>AVERAGE('02.08 Goli-Nebbi-24h'!G96,'03.08 Goli-Nebbi-24h'!G96,)</f>
        <v>0</v>
      </c>
      <c r="H96" s="49">
        <f>AVERAGE('02.08 Goli-Nebbi-24h'!H96,'03.08 Goli-Nebbi-24h'!H96,)</f>
        <v>0.33333333333333331</v>
      </c>
      <c r="I96" s="49">
        <f>AVERAGE('02.08 Goli-Nebbi-24h'!I96,'03.08 Goli-Nebbi-24h'!I96,)</f>
        <v>0</v>
      </c>
      <c r="J96" s="49">
        <f>AVERAGE('02.08 Goli-Nebbi-24h'!J96,'03.08 Goli-Nebbi-24h'!J96,)</f>
        <v>0</v>
      </c>
      <c r="K96" s="49">
        <f>AVERAGE('02.08 Goli-Nebbi-24h'!K96,'03.08 Goli-Nebbi-24h'!K96,)</f>
        <v>0</v>
      </c>
      <c r="L96" s="49">
        <f>AVERAGE('02.08 Goli-Nebbi-24h'!L96,'03.08 Goli-Nebbi-24h'!L96,)</f>
        <v>0</v>
      </c>
      <c r="M96" s="49">
        <f>AVERAGE('02.08 Goli-Nebbi-24h'!M96,'03.08 Goli-Nebbi-24h'!M96,)</f>
        <v>0.66666666666666663</v>
      </c>
      <c r="N96" s="49">
        <f>AVERAGE('02.08 Goli-Nebbi-24h'!N96,'03.08 Goli-Nebbi-24h'!N96,)</f>
        <v>0</v>
      </c>
      <c r="O96" s="15">
        <f t="shared" si="35"/>
        <v>1</v>
      </c>
      <c r="P96" s="15">
        <f t="shared" si="36"/>
        <v>1.6666666666666665</v>
      </c>
      <c r="R96" s="8"/>
      <c r="T96"/>
    </row>
    <row r="97" spans="2:20" ht="23.1" customHeight="1" x14ac:dyDescent="0.25">
      <c r="B97" s="23" t="s">
        <v>137</v>
      </c>
      <c r="C97" s="49">
        <f>AVERAGE('02.08 Goli-Nebbi-24h'!C97,'03.08 Goli-Nebbi-24h'!C97,)</f>
        <v>0.66666666666666663</v>
      </c>
      <c r="D97" s="49">
        <f>AVERAGE('02.08 Goli-Nebbi-24h'!D97,'03.08 Goli-Nebbi-24h'!D97,)</f>
        <v>0</v>
      </c>
      <c r="E97" s="49">
        <f>AVERAGE('02.08 Goli-Nebbi-24h'!E97,'03.08 Goli-Nebbi-24h'!E97,)</f>
        <v>0.33333333333333331</v>
      </c>
      <c r="F97" s="49">
        <f>AVERAGE('02.08 Goli-Nebbi-24h'!F97,'03.08 Goli-Nebbi-24h'!F97,)</f>
        <v>0</v>
      </c>
      <c r="G97" s="49">
        <f>AVERAGE('02.08 Goli-Nebbi-24h'!G97,'03.08 Goli-Nebbi-24h'!G97,)</f>
        <v>0</v>
      </c>
      <c r="H97" s="49">
        <f>AVERAGE('02.08 Goli-Nebbi-24h'!H97,'03.08 Goli-Nebbi-24h'!H97,)</f>
        <v>0.33333333333333331</v>
      </c>
      <c r="I97" s="49">
        <f>AVERAGE('02.08 Goli-Nebbi-24h'!I97,'03.08 Goli-Nebbi-24h'!I97,)</f>
        <v>0</v>
      </c>
      <c r="J97" s="49">
        <f>AVERAGE('02.08 Goli-Nebbi-24h'!J97,'03.08 Goli-Nebbi-24h'!J97,)</f>
        <v>0</v>
      </c>
      <c r="K97" s="49">
        <f>AVERAGE('02.08 Goli-Nebbi-24h'!K97,'03.08 Goli-Nebbi-24h'!K97,)</f>
        <v>0</v>
      </c>
      <c r="L97" s="49">
        <f>AVERAGE('02.08 Goli-Nebbi-24h'!L97,'03.08 Goli-Nebbi-24h'!L97,)</f>
        <v>0.33333333333333331</v>
      </c>
      <c r="M97" s="49">
        <f>AVERAGE('02.08 Goli-Nebbi-24h'!M97,'03.08 Goli-Nebbi-24h'!M97,)</f>
        <v>0.66666666666666663</v>
      </c>
      <c r="N97" s="49">
        <f>AVERAGE('02.08 Goli-Nebbi-24h'!N97,'03.08 Goli-Nebbi-24h'!N97,)</f>
        <v>0</v>
      </c>
      <c r="O97" s="15">
        <f t="shared" si="35"/>
        <v>1.6666666666666665</v>
      </c>
      <c r="P97" s="15">
        <f t="shared" si="36"/>
        <v>2.333333333333333</v>
      </c>
      <c r="R97" s="8"/>
      <c r="T97"/>
    </row>
    <row r="98" spans="2:20" ht="23.1" customHeight="1" x14ac:dyDescent="0.25">
      <c r="B98" s="24" t="s">
        <v>138</v>
      </c>
      <c r="C98" s="49">
        <f>AVERAGE('02.08 Goli-Nebbi-24h'!C98,'03.08 Goli-Nebbi-24h'!C98,)</f>
        <v>1</v>
      </c>
      <c r="D98" s="49">
        <f>AVERAGE('02.08 Goli-Nebbi-24h'!D98,'03.08 Goli-Nebbi-24h'!D98,)</f>
        <v>0</v>
      </c>
      <c r="E98" s="49">
        <f>AVERAGE('02.08 Goli-Nebbi-24h'!E98,'03.08 Goli-Nebbi-24h'!E98,)</f>
        <v>0</v>
      </c>
      <c r="F98" s="49">
        <f>AVERAGE('02.08 Goli-Nebbi-24h'!F98,'03.08 Goli-Nebbi-24h'!F98,)</f>
        <v>0</v>
      </c>
      <c r="G98" s="49">
        <f>AVERAGE('02.08 Goli-Nebbi-24h'!G98,'03.08 Goli-Nebbi-24h'!G98,)</f>
        <v>0</v>
      </c>
      <c r="H98" s="49">
        <f>AVERAGE('02.08 Goli-Nebbi-24h'!H98,'03.08 Goli-Nebbi-24h'!H98,)</f>
        <v>0</v>
      </c>
      <c r="I98" s="49">
        <f>AVERAGE('02.08 Goli-Nebbi-24h'!I98,'03.08 Goli-Nebbi-24h'!I98,)</f>
        <v>0</v>
      </c>
      <c r="J98" s="49">
        <f>AVERAGE('02.08 Goli-Nebbi-24h'!J98,'03.08 Goli-Nebbi-24h'!J98,)</f>
        <v>0</v>
      </c>
      <c r="K98" s="49">
        <f>AVERAGE('02.08 Goli-Nebbi-24h'!K98,'03.08 Goli-Nebbi-24h'!K98,)</f>
        <v>0</v>
      </c>
      <c r="L98" s="49">
        <f>AVERAGE('02.08 Goli-Nebbi-24h'!L98,'03.08 Goli-Nebbi-24h'!L98,)</f>
        <v>1</v>
      </c>
      <c r="M98" s="49">
        <f>AVERAGE('02.08 Goli-Nebbi-24h'!M98,'03.08 Goli-Nebbi-24h'!M98,)</f>
        <v>0.33333333333333331</v>
      </c>
      <c r="N98" s="49">
        <f>AVERAGE('02.08 Goli-Nebbi-24h'!N98,'03.08 Goli-Nebbi-24h'!N98,)</f>
        <v>0</v>
      </c>
      <c r="O98" s="15">
        <f t="shared" si="35"/>
        <v>2</v>
      </c>
      <c r="P98" s="15">
        <f t="shared" si="36"/>
        <v>2.3333333333333335</v>
      </c>
      <c r="R98" s="8"/>
      <c r="T98"/>
    </row>
    <row r="99" spans="2:20" ht="23.1" customHeight="1" x14ac:dyDescent="0.25">
      <c r="B99" s="23" t="s">
        <v>139</v>
      </c>
      <c r="C99" s="49">
        <f>AVERAGE('02.08 Goli-Nebbi-24h'!C99,'03.08 Goli-Nebbi-24h'!C99,)</f>
        <v>0.33333333333333331</v>
      </c>
      <c r="D99" s="49">
        <f>AVERAGE('02.08 Goli-Nebbi-24h'!D99,'03.08 Goli-Nebbi-24h'!D99,)</f>
        <v>0</v>
      </c>
      <c r="E99" s="49">
        <f>AVERAGE('02.08 Goli-Nebbi-24h'!E99,'03.08 Goli-Nebbi-24h'!E99,)</f>
        <v>0</v>
      </c>
      <c r="F99" s="49">
        <f>AVERAGE('02.08 Goli-Nebbi-24h'!F99,'03.08 Goli-Nebbi-24h'!F99,)</f>
        <v>0</v>
      </c>
      <c r="G99" s="49">
        <f>AVERAGE('02.08 Goli-Nebbi-24h'!G99,'03.08 Goli-Nebbi-24h'!G99,)</f>
        <v>0</v>
      </c>
      <c r="H99" s="49">
        <f>AVERAGE('02.08 Goli-Nebbi-24h'!H99,'03.08 Goli-Nebbi-24h'!H99,)</f>
        <v>0</v>
      </c>
      <c r="I99" s="49">
        <f>AVERAGE('02.08 Goli-Nebbi-24h'!I99,'03.08 Goli-Nebbi-24h'!I99,)</f>
        <v>0.33333333333333331</v>
      </c>
      <c r="J99" s="49">
        <f>AVERAGE('02.08 Goli-Nebbi-24h'!J99,'03.08 Goli-Nebbi-24h'!J99,)</f>
        <v>0</v>
      </c>
      <c r="K99" s="49">
        <f>AVERAGE('02.08 Goli-Nebbi-24h'!K99,'03.08 Goli-Nebbi-24h'!K99,)</f>
        <v>0</v>
      </c>
      <c r="L99" s="49">
        <f>AVERAGE('02.08 Goli-Nebbi-24h'!L99,'03.08 Goli-Nebbi-24h'!L99,)</f>
        <v>0</v>
      </c>
      <c r="M99" s="49">
        <f>AVERAGE('02.08 Goli-Nebbi-24h'!M99,'03.08 Goli-Nebbi-24h'!M99,)</f>
        <v>1</v>
      </c>
      <c r="N99" s="49">
        <f>AVERAGE('02.08 Goli-Nebbi-24h'!N99,'03.08 Goli-Nebbi-24h'!N99,)</f>
        <v>0</v>
      </c>
      <c r="O99" s="15">
        <f t="shared" si="35"/>
        <v>0.66666666666666663</v>
      </c>
      <c r="P99" s="15">
        <f t="shared" si="36"/>
        <v>1.6666666666666665</v>
      </c>
      <c r="R99" s="8"/>
      <c r="T99"/>
    </row>
    <row r="100" spans="2:20" ht="23.1" customHeight="1" x14ac:dyDescent="0.25">
      <c r="B100" s="25" t="s">
        <v>140</v>
      </c>
      <c r="C100" s="49">
        <f>AVERAGE('02.08 Goli-Nebbi-24h'!C100,'03.08 Goli-Nebbi-24h'!C100,)</f>
        <v>0</v>
      </c>
      <c r="D100" s="49">
        <f>AVERAGE('02.08 Goli-Nebbi-24h'!D100,'03.08 Goli-Nebbi-24h'!D100,)</f>
        <v>0</v>
      </c>
      <c r="E100" s="49">
        <f>AVERAGE('02.08 Goli-Nebbi-24h'!E100,'03.08 Goli-Nebbi-24h'!E100,)</f>
        <v>0</v>
      </c>
      <c r="F100" s="49">
        <f>AVERAGE('02.08 Goli-Nebbi-24h'!F100,'03.08 Goli-Nebbi-24h'!F100,)</f>
        <v>0</v>
      </c>
      <c r="G100" s="49">
        <f>AVERAGE('02.08 Goli-Nebbi-24h'!G100,'03.08 Goli-Nebbi-24h'!G100,)</f>
        <v>0.33333333333333331</v>
      </c>
      <c r="H100" s="49">
        <f>AVERAGE('02.08 Goli-Nebbi-24h'!H100,'03.08 Goli-Nebbi-24h'!H100,)</f>
        <v>0.33333333333333331</v>
      </c>
      <c r="I100" s="49">
        <f>AVERAGE('02.08 Goli-Nebbi-24h'!I100,'03.08 Goli-Nebbi-24h'!I100,)</f>
        <v>0.33333333333333331</v>
      </c>
      <c r="J100" s="49">
        <f>AVERAGE('02.08 Goli-Nebbi-24h'!J100,'03.08 Goli-Nebbi-24h'!J100,)</f>
        <v>0</v>
      </c>
      <c r="K100" s="49">
        <f>AVERAGE('02.08 Goli-Nebbi-24h'!K100,'03.08 Goli-Nebbi-24h'!K100,)</f>
        <v>0</v>
      </c>
      <c r="L100" s="49">
        <f>AVERAGE('02.08 Goli-Nebbi-24h'!L100,'03.08 Goli-Nebbi-24h'!L100,)</f>
        <v>0.33333333333333331</v>
      </c>
      <c r="M100" s="49">
        <f>AVERAGE('02.08 Goli-Nebbi-24h'!M100,'03.08 Goli-Nebbi-24h'!M100,)</f>
        <v>0.66666666666666663</v>
      </c>
      <c r="N100" s="49">
        <f>AVERAGE('02.08 Goli-Nebbi-24h'!N100,'03.08 Goli-Nebbi-24h'!N100,)</f>
        <v>0</v>
      </c>
      <c r="O100" s="15">
        <f t="shared" si="35"/>
        <v>1.3333333333333333</v>
      </c>
      <c r="P100" s="15">
        <f t="shared" si="36"/>
        <v>2</v>
      </c>
      <c r="R100" s="8"/>
      <c r="T100"/>
    </row>
    <row r="101" spans="2:20" ht="23.1" customHeight="1" x14ac:dyDescent="0.25">
      <c r="B101" s="23" t="s">
        <v>141</v>
      </c>
      <c r="C101" s="49">
        <f>AVERAGE('02.08 Goli-Nebbi-24h'!C101,'03.08 Goli-Nebbi-24h'!C101,)</f>
        <v>0.33333333333333331</v>
      </c>
      <c r="D101" s="49">
        <f>AVERAGE('02.08 Goli-Nebbi-24h'!D101,'03.08 Goli-Nebbi-24h'!D101,)</f>
        <v>0</v>
      </c>
      <c r="E101" s="49">
        <f>AVERAGE('02.08 Goli-Nebbi-24h'!E101,'03.08 Goli-Nebbi-24h'!E101,)</f>
        <v>0</v>
      </c>
      <c r="F101" s="49">
        <f>AVERAGE('02.08 Goli-Nebbi-24h'!F101,'03.08 Goli-Nebbi-24h'!F101,)</f>
        <v>0</v>
      </c>
      <c r="G101" s="49">
        <f>AVERAGE('02.08 Goli-Nebbi-24h'!G101,'03.08 Goli-Nebbi-24h'!G101,)</f>
        <v>0</v>
      </c>
      <c r="H101" s="49">
        <f>AVERAGE('02.08 Goli-Nebbi-24h'!H101,'03.08 Goli-Nebbi-24h'!H101,)</f>
        <v>0</v>
      </c>
      <c r="I101" s="49">
        <f>AVERAGE('02.08 Goli-Nebbi-24h'!I101,'03.08 Goli-Nebbi-24h'!I101,)</f>
        <v>0.66666666666666663</v>
      </c>
      <c r="J101" s="49">
        <f>AVERAGE('02.08 Goli-Nebbi-24h'!J101,'03.08 Goli-Nebbi-24h'!J101,)</f>
        <v>0</v>
      </c>
      <c r="K101" s="49">
        <f>AVERAGE('02.08 Goli-Nebbi-24h'!K101,'03.08 Goli-Nebbi-24h'!K101,)</f>
        <v>0</v>
      </c>
      <c r="L101" s="49">
        <f>AVERAGE('02.08 Goli-Nebbi-24h'!L101,'03.08 Goli-Nebbi-24h'!L101,)</f>
        <v>0.33333333333333331</v>
      </c>
      <c r="M101" s="49">
        <f>AVERAGE('02.08 Goli-Nebbi-24h'!M101,'03.08 Goli-Nebbi-24h'!M101,)</f>
        <v>1.3333333333333333</v>
      </c>
      <c r="N101" s="49">
        <f>AVERAGE('02.08 Goli-Nebbi-24h'!N101,'03.08 Goli-Nebbi-24h'!N101,)</f>
        <v>0</v>
      </c>
      <c r="O101" s="15">
        <f t="shared" si="35"/>
        <v>1.3333333333333333</v>
      </c>
      <c r="P101" s="15">
        <f t="shared" si="36"/>
        <v>2.6666666666666665</v>
      </c>
      <c r="R101" s="8"/>
      <c r="T101"/>
    </row>
    <row r="102" spans="2:20" ht="23.1" customHeight="1" x14ac:dyDescent="0.25">
      <c r="B102" s="24" t="s">
        <v>142</v>
      </c>
      <c r="C102" s="49">
        <f>AVERAGE('02.08 Goli-Nebbi-24h'!C102,'03.08 Goli-Nebbi-24h'!C102,)</f>
        <v>0.66666666666666663</v>
      </c>
      <c r="D102" s="49">
        <f>AVERAGE('02.08 Goli-Nebbi-24h'!D102,'03.08 Goli-Nebbi-24h'!D102,)</f>
        <v>0</v>
      </c>
      <c r="E102" s="49">
        <f>AVERAGE('02.08 Goli-Nebbi-24h'!E102,'03.08 Goli-Nebbi-24h'!E102,)</f>
        <v>0</v>
      </c>
      <c r="F102" s="49">
        <f>AVERAGE('02.08 Goli-Nebbi-24h'!F102,'03.08 Goli-Nebbi-24h'!F102,)</f>
        <v>0</v>
      </c>
      <c r="G102" s="49">
        <f>AVERAGE('02.08 Goli-Nebbi-24h'!G102,'03.08 Goli-Nebbi-24h'!G102,)</f>
        <v>0</v>
      </c>
      <c r="H102" s="49">
        <f>AVERAGE('02.08 Goli-Nebbi-24h'!H102,'03.08 Goli-Nebbi-24h'!H102,)</f>
        <v>0</v>
      </c>
      <c r="I102" s="49">
        <f>AVERAGE('02.08 Goli-Nebbi-24h'!I102,'03.08 Goli-Nebbi-24h'!I102,)</f>
        <v>0.66666666666666663</v>
      </c>
      <c r="J102" s="49">
        <f>AVERAGE('02.08 Goli-Nebbi-24h'!J102,'03.08 Goli-Nebbi-24h'!J102,)</f>
        <v>0</v>
      </c>
      <c r="K102" s="49">
        <f>AVERAGE('02.08 Goli-Nebbi-24h'!K102,'03.08 Goli-Nebbi-24h'!K102,)</f>
        <v>0</v>
      </c>
      <c r="L102" s="49">
        <f>AVERAGE('02.08 Goli-Nebbi-24h'!L102,'03.08 Goli-Nebbi-24h'!L102,)</f>
        <v>0</v>
      </c>
      <c r="M102" s="49">
        <f>AVERAGE('02.08 Goli-Nebbi-24h'!M102,'03.08 Goli-Nebbi-24h'!M102,)</f>
        <v>2.3333333333333335</v>
      </c>
      <c r="N102" s="49">
        <f>AVERAGE('02.08 Goli-Nebbi-24h'!N102,'03.08 Goli-Nebbi-24h'!N102,)</f>
        <v>0</v>
      </c>
      <c r="O102" s="15">
        <f t="shared" si="35"/>
        <v>1.3333333333333333</v>
      </c>
      <c r="P102" s="15">
        <f t="shared" si="36"/>
        <v>3.666666666666667</v>
      </c>
      <c r="R102" s="8"/>
      <c r="T102"/>
    </row>
    <row r="103" spans="2:20" ht="23.1" customHeight="1" x14ac:dyDescent="0.25">
      <c r="B103" s="23" t="s">
        <v>143</v>
      </c>
      <c r="C103" s="49">
        <f>AVERAGE('02.08 Goli-Nebbi-24h'!C103,'03.08 Goli-Nebbi-24h'!C103,)</f>
        <v>0.33333333333333331</v>
      </c>
      <c r="D103" s="49">
        <f>AVERAGE('02.08 Goli-Nebbi-24h'!D103,'03.08 Goli-Nebbi-24h'!D103,)</f>
        <v>0</v>
      </c>
      <c r="E103" s="49">
        <f>AVERAGE('02.08 Goli-Nebbi-24h'!E103,'03.08 Goli-Nebbi-24h'!E103,)</f>
        <v>0</v>
      </c>
      <c r="F103" s="49">
        <f>AVERAGE('02.08 Goli-Nebbi-24h'!F103,'03.08 Goli-Nebbi-24h'!F103,)</f>
        <v>0</v>
      </c>
      <c r="G103" s="49">
        <f>AVERAGE('02.08 Goli-Nebbi-24h'!G103,'03.08 Goli-Nebbi-24h'!G103,)</f>
        <v>0</v>
      </c>
      <c r="H103" s="49">
        <f>AVERAGE('02.08 Goli-Nebbi-24h'!H103,'03.08 Goli-Nebbi-24h'!H103,)</f>
        <v>0</v>
      </c>
      <c r="I103" s="49">
        <f>AVERAGE('02.08 Goli-Nebbi-24h'!I103,'03.08 Goli-Nebbi-24h'!I103,)</f>
        <v>0.66666666666666663</v>
      </c>
      <c r="J103" s="49">
        <f>AVERAGE('02.08 Goli-Nebbi-24h'!J103,'03.08 Goli-Nebbi-24h'!J103,)</f>
        <v>0</v>
      </c>
      <c r="K103" s="49">
        <f>AVERAGE('02.08 Goli-Nebbi-24h'!K103,'03.08 Goli-Nebbi-24h'!K103,)</f>
        <v>0</v>
      </c>
      <c r="L103" s="49">
        <f>AVERAGE('02.08 Goli-Nebbi-24h'!L103,'03.08 Goli-Nebbi-24h'!L103,)</f>
        <v>0.33333333333333331</v>
      </c>
      <c r="M103" s="49">
        <f>AVERAGE('02.08 Goli-Nebbi-24h'!M103,'03.08 Goli-Nebbi-24h'!M103,)</f>
        <v>2.6666666666666665</v>
      </c>
      <c r="N103" s="49">
        <f>AVERAGE('02.08 Goli-Nebbi-24h'!N103,'03.08 Goli-Nebbi-24h'!N103,)</f>
        <v>0</v>
      </c>
      <c r="O103" s="15">
        <f t="shared" si="35"/>
        <v>1.3333333333333333</v>
      </c>
      <c r="P103" s="15">
        <f t="shared" si="36"/>
        <v>4</v>
      </c>
      <c r="R103" s="8"/>
      <c r="T103"/>
    </row>
    <row r="104" spans="2:20" ht="23.1" customHeight="1" x14ac:dyDescent="0.25">
      <c r="B104" s="25" t="s">
        <v>144</v>
      </c>
      <c r="C104" s="49">
        <f>AVERAGE('02.08 Goli-Nebbi-24h'!C104,'03.08 Goli-Nebbi-24h'!C104,)</f>
        <v>1</v>
      </c>
      <c r="D104" s="49">
        <f>AVERAGE('02.08 Goli-Nebbi-24h'!D104,'03.08 Goli-Nebbi-24h'!D104,)</f>
        <v>0</v>
      </c>
      <c r="E104" s="49">
        <f>AVERAGE('02.08 Goli-Nebbi-24h'!E104,'03.08 Goli-Nebbi-24h'!E104,)</f>
        <v>0</v>
      </c>
      <c r="F104" s="49">
        <f>AVERAGE('02.08 Goli-Nebbi-24h'!F104,'03.08 Goli-Nebbi-24h'!F104,)</f>
        <v>0</v>
      </c>
      <c r="G104" s="49">
        <f>AVERAGE('02.08 Goli-Nebbi-24h'!G104,'03.08 Goli-Nebbi-24h'!G104,)</f>
        <v>0</v>
      </c>
      <c r="H104" s="49">
        <f>AVERAGE('02.08 Goli-Nebbi-24h'!H104,'03.08 Goli-Nebbi-24h'!H104,)</f>
        <v>0</v>
      </c>
      <c r="I104" s="49">
        <f>AVERAGE('02.08 Goli-Nebbi-24h'!I104,'03.08 Goli-Nebbi-24h'!I104,)</f>
        <v>1</v>
      </c>
      <c r="J104" s="49">
        <f>AVERAGE('02.08 Goli-Nebbi-24h'!J104,'03.08 Goli-Nebbi-24h'!J104,)</f>
        <v>0</v>
      </c>
      <c r="K104" s="49">
        <f>AVERAGE('02.08 Goli-Nebbi-24h'!K104,'03.08 Goli-Nebbi-24h'!K104,)</f>
        <v>0</v>
      </c>
      <c r="L104" s="49">
        <f>AVERAGE('02.08 Goli-Nebbi-24h'!L104,'03.08 Goli-Nebbi-24h'!L104,)</f>
        <v>0</v>
      </c>
      <c r="M104" s="49">
        <f>AVERAGE('02.08 Goli-Nebbi-24h'!M104,'03.08 Goli-Nebbi-24h'!M104,)</f>
        <v>3.3333333333333335</v>
      </c>
      <c r="N104" s="49">
        <f>AVERAGE('02.08 Goli-Nebbi-24h'!N104,'03.08 Goli-Nebbi-24h'!N104,)</f>
        <v>0</v>
      </c>
      <c r="O104" s="15">
        <f t="shared" si="35"/>
        <v>2</v>
      </c>
      <c r="P104" s="15">
        <f t="shared" si="36"/>
        <v>5.3333333333333339</v>
      </c>
      <c r="R104" s="8"/>
      <c r="T104"/>
    </row>
    <row r="105" spans="2:20" ht="23.1" customHeight="1" x14ac:dyDescent="0.25">
      <c r="B105" s="23" t="s">
        <v>145</v>
      </c>
      <c r="C105" s="49">
        <f>AVERAGE('02.08 Goli-Nebbi-24h'!C105,'03.08 Goli-Nebbi-24h'!C105,)</f>
        <v>1.3333333333333333</v>
      </c>
      <c r="D105" s="49">
        <f>AVERAGE('02.08 Goli-Nebbi-24h'!D105,'03.08 Goli-Nebbi-24h'!D105,)</f>
        <v>0</v>
      </c>
      <c r="E105" s="49">
        <f>AVERAGE('02.08 Goli-Nebbi-24h'!E105,'03.08 Goli-Nebbi-24h'!E105,)</f>
        <v>0.33333333333333331</v>
      </c>
      <c r="F105" s="49">
        <f>AVERAGE('02.08 Goli-Nebbi-24h'!F105,'03.08 Goli-Nebbi-24h'!F105,)</f>
        <v>0</v>
      </c>
      <c r="G105" s="49">
        <f>AVERAGE('02.08 Goli-Nebbi-24h'!G105,'03.08 Goli-Nebbi-24h'!G105,)</f>
        <v>0</v>
      </c>
      <c r="H105" s="49">
        <f>AVERAGE('02.08 Goli-Nebbi-24h'!H105,'03.08 Goli-Nebbi-24h'!H105,)</f>
        <v>0.66666666666666663</v>
      </c>
      <c r="I105" s="49">
        <f>AVERAGE('02.08 Goli-Nebbi-24h'!I105,'03.08 Goli-Nebbi-24h'!I105,)</f>
        <v>1.3333333333333333</v>
      </c>
      <c r="J105" s="49">
        <f>AVERAGE('02.08 Goli-Nebbi-24h'!J105,'03.08 Goli-Nebbi-24h'!J105,)</f>
        <v>0.33333333333333331</v>
      </c>
      <c r="K105" s="49">
        <f>AVERAGE('02.08 Goli-Nebbi-24h'!K105,'03.08 Goli-Nebbi-24h'!K105,)</f>
        <v>0</v>
      </c>
      <c r="L105" s="49">
        <f>AVERAGE('02.08 Goli-Nebbi-24h'!L105,'03.08 Goli-Nebbi-24h'!L105,)</f>
        <v>2.3333333333333335</v>
      </c>
      <c r="M105" s="49">
        <f>AVERAGE('02.08 Goli-Nebbi-24h'!M105,'03.08 Goli-Nebbi-24h'!M105,)</f>
        <v>5.666666666666667</v>
      </c>
      <c r="N105" s="49">
        <f>AVERAGE('02.08 Goli-Nebbi-24h'!N105,'03.08 Goli-Nebbi-24h'!N105,)</f>
        <v>0</v>
      </c>
      <c r="O105" s="15">
        <f t="shared" si="35"/>
        <v>6.333333333333333</v>
      </c>
      <c r="P105" s="15">
        <f t="shared" si="36"/>
        <v>12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70.142857142857139</v>
      </c>
      <c r="D106" s="16">
        <f t="shared" ref="D106:P106" si="37">SUM(D10:D105)</f>
        <v>9.2857142857142865</v>
      </c>
      <c r="E106" s="16">
        <f t="shared" si="37"/>
        <v>40.761904761904802</v>
      </c>
      <c r="F106" s="16">
        <f t="shared" si="37"/>
        <v>23.761904761904759</v>
      </c>
      <c r="G106" s="16">
        <f t="shared" si="37"/>
        <v>2.9523809523809526</v>
      </c>
      <c r="H106" s="16">
        <f t="shared" si="37"/>
        <v>4.5714285714285721</v>
      </c>
      <c r="I106" s="16">
        <f t="shared" si="37"/>
        <v>43.476190476190496</v>
      </c>
      <c r="J106" s="16">
        <f t="shared" si="37"/>
        <v>5.7619047619047601</v>
      </c>
      <c r="K106" s="16">
        <f t="shared" si="37"/>
        <v>3.7619047619047614</v>
      </c>
      <c r="L106" s="16">
        <f t="shared" si="37"/>
        <v>31.238095238095223</v>
      </c>
      <c r="M106" s="16">
        <f t="shared" si="37"/>
        <v>727.76190476190493</v>
      </c>
      <c r="N106" s="16">
        <f t="shared" si="37"/>
        <v>0.42857142857142855</v>
      </c>
      <c r="O106" s="16">
        <f t="shared" si="37"/>
        <v>236.14285714285714</v>
      </c>
      <c r="P106" s="16">
        <f t="shared" si="37"/>
        <v>963.90476190476204</v>
      </c>
      <c r="Q106" s="8"/>
      <c r="R106" s="8"/>
      <c r="S106"/>
      <c r="T106"/>
    </row>
    <row r="107" spans="2:20" ht="23.1" customHeight="1" x14ac:dyDescent="0.25">
      <c r="B107" s="26" t="s">
        <v>93</v>
      </c>
      <c r="C107" s="43">
        <f t="shared" ref="C107:N107" si="38">C106/$P$106</f>
        <v>7.276948918091096E-2</v>
      </c>
      <c r="D107" s="43">
        <f t="shared" si="38"/>
        <v>9.6334354312814941E-3</v>
      </c>
      <c r="E107" s="43">
        <f t="shared" si="38"/>
        <v>4.2288311431676745E-2</v>
      </c>
      <c r="F107" s="43">
        <f t="shared" si="38"/>
        <v>2.4651714257484431E-2</v>
      </c>
      <c r="G107" s="43">
        <f t="shared" si="38"/>
        <v>3.0629384448177055E-3</v>
      </c>
      <c r="H107" s="43">
        <f t="shared" si="38"/>
        <v>4.7426143661693509E-3</v>
      </c>
      <c r="I107" s="43">
        <f t="shared" si="38"/>
        <v>4.5104238711589778E-2</v>
      </c>
      <c r="J107" s="43">
        <f t="shared" si="38"/>
        <v>5.9776701906926162E-3</v>
      </c>
      <c r="K107" s="43">
        <f t="shared" si="38"/>
        <v>3.9027764054935274E-3</v>
      </c>
      <c r="L107" s="43">
        <f t="shared" si="38"/>
        <v>3.2407864835490546E-2</v>
      </c>
      <c r="M107" s="43">
        <f t="shared" si="38"/>
        <v>0.75501432664756452</v>
      </c>
      <c r="N107" s="43">
        <f t="shared" si="38"/>
        <v>4.4462009682837654E-4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0.29703569267997582</v>
      </c>
      <c r="D108" s="44">
        <f t="shared" ref="D108:N108" si="39">D106/$O$106</f>
        <v>3.9322444041137328E-2</v>
      </c>
      <c r="E108" s="44">
        <f t="shared" si="39"/>
        <v>0.17261544666263376</v>
      </c>
      <c r="F108" s="44">
        <f t="shared" si="39"/>
        <v>0.10062512603347448</v>
      </c>
      <c r="G108" s="44">
        <f t="shared" si="39"/>
        <v>1.2502520669489817E-2</v>
      </c>
      <c r="H108" s="44">
        <f t="shared" si="39"/>
        <v>1.9358741681790685E-2</v>
      </c>
      <c r="I108" s="44">
        <f t="shared" si="39"/>
        <v>0.18410969953619691</v>
      </c>
      <c r="J108" s="44">
        <f t="shared" si="39"/>
        <v>2.4400080661423667E-2</v>
      </c>
      <c r="K108" s="44">
        <f t="shared" si="39"/>
        <v>1.593063117564025E-2</v>
      </c>
      <c r="L108" s="44">
        <f t="shared" si="39"/>
        <v>0.1322847348255696</v>
      </c>
      <c r="M108" s="44"/>
      <c r="N108" s="44">
        <f t="shared" si="39"/>
        <v>1.8148820326678765E-3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zoomScale="60" workbookViewId="0">
      <selection activeCell="AD49" sqref="AD4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'06.08 Nebbi-Goli'!C3:G3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'06.08 Nebbi-Goli'!G5:H5</f>
        <v>Goli</v>
      </c>
      <c r="H5" s="66"/>
      <c r="I5" s="14"/>
      <c r="J5" s="2" t="s">
        <v>5</v>
      </c>
      <c r="K5" s="65" t="str">
        <f>'06.08 Nebbi-Goli'!K5:L5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'06.08 Nebbi-Goli'!D6:E6</f>
        <v>Nebbi</v>
      </c>
      <c r="E6" s="66"/>
      <c r="F6" s="2" t="s">
        <v>2</v>
      </c>
      <c r="G6" s="65" t="str">
        <f>'06.08 Nebbi-Goli'!G6:H6</f>
        <v>Goli</v>
      </c>
      <c r="H6" s="66"/>
      <c r="J6" s="2" t="s">
        <v>21</v>
      </c>
      <c r="K6" s="65" t="str">
        <f>'06.08 Nebbi-Goli'!K6:L6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AVERAGE('31.07 Nebbi-Goli'!C10,'01.08 Nebbi-Goli'!C10,'04.08 Nebbi-Goli'!C10,'05.08 Nebbi-Goli'!C10,'02.08 Nebbi-Goli-24h'!C10,'03.08 Nebbi-Goli-24h'!C10,'06.08 Nebbi-Goli'!C10)</f>
        <v>0.7142857142857143</v>
      </c>
      <c r="D10" s="49">
        <f>AVERAGE('31.07 Nebbi-Goli'!D10,'01.08 Nebbi-Goli'!D10,'04.08 Nebbi-Goli'!D10,'05.08 Nebbi-Goli'!D10,'02.08 Nebbi-Goli-24h'!D10,'03.08 Nebbi-Goli-24h'!D10,'06.08 Nebbi-Goli'!D10)</f>
        <v>0</v>
      </c>
      <c r="E10" s="49">
        <f>AVERAGE('31.07 Nebbi-Goli'!E10,'01.08 Nebbi-Goli'!E10,'04.08 Nebbi-Goli'!E10,'05.08 Nebbi-Goli'!E10,'02.08 Nebbi-Goli-24h'!E10,'03.08 Nebbi-Goli-24h'!E10,'06.08 Nebbi-Goli'!E10)</f>
        <v>0.42857142857142855</v>
      </c>
      <c r="F10" s="49">
        <f>AVERAGE('31.07 Nebbi-Goli'!F10,'01.08 Nebbi-Goli'!F10,'04.08 Nebbi-Goli'!F10,'05.08 Nebbi-Goli'!F10,'02.08 Nebbi-Goli-24h'!F10,'03.08 Nebbi-Goli-24h'!F10,'06.08 Nebbi-Goli'!F10)</f>
        <v>0.5714285714285714</v>
      </c>
      <c r="G10" s="49">
        <f>AVERAGE('31.07 Nebbi-Goli'!G10,'01.08 Nebbi-Goli'!G10,'04.08 Nebbi-Goli'!G10,'05.08 Nebbi-Goli'!G10,'02.08 Nebbi-Goli-24h'!G10,'03.08 Nebbi-Goli-24h'!G10,'06.08 Nebbi-Goli'!G10)</f>
        <v>0.2857142857142857</v>
      </c>
      <c r="H10" s="49">
        <f>AVERAGE('31.07 Nebbi-Goli'!H10,'01.08 Nebbi-Goli'!H10,'04.08 Nebbi-Goli'!H10,'05.08 Nebbi-Goli'!H10,'02.08 Nebbi-Goli-24h'!H10,'03.08 Nebbi-Goli-24h'!H10,'06.08 Nebbi-Goli'!H10)</f>
        <v>0.14285714285714285</v>
      </c>
      <c r="I10" s="49">
        <f>AVERAGE('31.07 Nebbi-Goli'!I10,'01.08 Nebbi-Goli'!I10,'04.08 Nebbi-Goli'!I10,'05.08 Nebbi-Goli'!I10,'02.08 Nebbi-Goli-24h'!I10,'03.08 Nebbi-Goli-24h'!I10,'06.08 Nebbi-Goli'!I10)</f>
        <v>0.2857142857142857</v>
      </c>
      <c r="J10" s="49">
        <f>AVERAGE('31.07 Nebbi-Goli'!J10,'01.08 Nebbi-Goli'!J10,'04.08 Nebbi-Goli'!J10,'05.08 Nebbi-Goli'!J10,'02.08 Nebbi-Goli-24h'!J10,'03.08 Nebbi-Goli-24h'!J10,'06.08 Nebbi-Goli'!J10)</f>
        <v>0.14285714285714285</v>
      </c>
      <c r="K10" s="49">
        <f>AVERAGE('31.07 Nebbi-Goli'!K10,'01.08 Nebbi-Goli'!K10,'04.08 Nebbi-Goli'!K10,'05.08 Nebbi-Goli'!K10,'02.08 Nebbi-Goli-24h'!K10,'03.08 Nebbi-Goli-24h'!K10,'06.08 Nebbi-Goli'!K10)</f>
        <v>0</v>
      </c>
      <c r="L10" s="49">
        <f>AVERAGE('31.07 Nebbi-Goli'!L10,'01.08 Nebbi-Goli'!L10,'04.08 Nebbi-Goli'!L10,'05.08 Nebbi-Goli'!L10,'02.08 Nebbi-Goli-24h'!L10,'03.08 Nebbi-Goli-24h'!L10,'06.08 Nebbi-Goli'!L10)</f>
        <v>0.2857142857142857</v>
      </c>
      <c r="M10" s="49">
        <f>AVERAGE('31.07 Nebbi-Goli'!M10,'01.08 Nebbi-Goli'!M10,'04.08 Nebbi-Goli'!M10,'05.08 Nebbi-Goli'!M10,'02.08 Nebbi-Goli-24h'!M10,'03.08 Nebbi-Goli-24h'!M10,'06.08 Nebbi-Goli'!M10)</f>
        <v>6.1428571428571432</v>
      </c>
      <c r="N10" s="49">
        <f>AVERAGE('31.07 Nebbi-Goli'!N10,'01.08 Nebbi-Goli'!N10,'04.08 Nebbi-Goli'!N10,'05.08 Nebbi-Goli'!N10,'02.08 Nebbi-Goli-24h'!N10,'03.08 Nebbi-Goli-24h'!N10,'06.08 Nebbi-Goli'!N10)</f>
        <v>0</v>
      </c>
      <c r="O10" s="15">
        <f t="shared" ref="O10:O73" si="0">SUM(C10:L10,N10)</f>
        <v>2.8571428571428568</v>
      </c>
      <c r="P10" s="15">
        <f t="shared" ref="P10:P73" si="1">SUM(C10:N10)</f>
        <v>9</v>
      </c>
      <c r="R10" s="1" t="s">
        <v>6</v>
      </c>
      <c r="S10" s="17">
        <f t="shared" ref="S10:AF10" si="2">SUM(C10:C13)</f>
        <v>2</v>
      </c>
      <c r="T10" s="17">
        <f t="shared" si="2"/>
        <v>0.2857142857142857</v>
      </c>
      <c r="U10" s="17">
        <f t="shared" si="2"/>
        <v>1.714285714285714</v>
      </c>
      <c r="V10" s="17">
        <f t="shared" si="2"/>
        <v>2.1428571428571428</v>
      </c>
      <c r="W10" s="17">
        <f t="shared" si="2"/>
        <v>0.5714285714285714</v>
      </c>
      <c r="X10" s="17">
        <f t="shared" si="2"/>
        <v>1.1428571428571428</v>
      </c>
      <c r="Y10" s="17">
        <f t="shared" si="2"/>
        <v>1.4285714285714284</v>
      </c>
      <c r="Z10" s="17">
        <f t="shared" si="2"/>
        <v>0.2857142857142857</v>
      </c>
      <c r="AA10" s="17">
        <f t="shared" si="2"/>
        <v>0</v>
      </c>
      <c r="AB10" s="17">
        <f t="shared" si="2"/>
        <v>1.5714285714285714</v>
      </c>
      <c r="AC10" s="17">
        <f t="shared" si="2"/>
        <v>33.857142857142861</v>
      </c>
      <c r="AD10" s="17">
        <f t="shared" si="2"/>
        <v>0</v>
      </c>
      <c r="AE10" s="31">
        <f t="shared" si="2"/>
        <v>11.142857142857141</v>
      </c>
      <c r="AF10" s="31">
        <f t="shared" si="2"/>
        <v>45</v>
      </c>
    </row>
    <row r="11" spans="2:32" s="6" customFormat="1" ht="23.1" customHeight="1" x14ac:dyDescent="0.25">
      <c r="B11" s="23" t="s">
        <v>38</v>
      </c>
      <c r="C11" s="49">
        <f>AVERAGE('31.07 Nebbi-Goli'!C11,'01.08 Nebbi-Goli'!C11,'04.08 Nebbi-Goli'!C11,'05.08 Nebbi-Goli'!C11,'02.08 Nebbi-Goli-24h'!C11,'03.08 Nebbi-Goli-24h'!C11,'06.08 Nebbi-Goli'!C11)</f>
        <v>0</v>
      </c>
      <c r="D11" s="49">
        <f>AVERAGE('31.07 Nebbi-Goli'!D11,'01.08 Nebbi-Goli'!D11,'04.08 Nebbi-Goli'!D11,'05.08 Nebbi-Goli'!D11,'02.08 Nebbi-Goli-24h'!D11,'03.08 Nebbi-Goli-24h'!D11,'06.08 Nebbi-Goli'!D11)</f>
        <v>0.14285714285714285</v>
      </c>
      <c r="E11" s="49">
        <f>AVERAGE('31.07 Nebbi-Goli'!E11,'01.08 Nebbi-Goli'!E11,'04.08 Nebbi-Goli'!E11,'05.08 Nebbi-Goli'!E11,'02.08 Nebbi-Goli-24h'!E11,'03.08 Nebbi-Goli-24h'!E11,'06.08 Nebbi-Goli'!E11)</f>
        <v>0.2857142857142857</v>
      </c>
      <c r="F11" s="49">
        <f>AVERAGE('31.07 Nebbi-Goli'!F11,'01.08 Nebbi-Goli'!F11,'04.08 Nebbi-Goli'!F11,'05.08 Nebbi-Goli'!F11,'02.08 Nebbi-Goli-24h'!F11,'03.08 Nebbi-Goli-24h'!F11,'06.08 Nebbi-Goli'!F11)</f>
        <v>0.42857142857142855</v>
      </c>
      <c r="G11" s="49">
        <f>AVERAGE('31.07 Nebbi-Goli'!G11,'01.08 Nebbi-Goli'!G11,'04.08 Nebbi-Goli'!G11,'05.08 Nebbi-Goli'!G11,'02.08 Nebbi-Goli-24h'!G11,'03.08 Nebbi-Goli-24h'!G11,'06.08 Nebbi-Goli'!G11)</f>
        <v>0.14285714285714285</v>
      </c>
      <c r="H11" s="49">
        <f>AVERAGE('31.07 Nebbi-Goli'!H11,'01.08 Nebbi-Goli'!H11,'04.08 Nebbi-Goli'!H11,'05.08 Nebbi-Goli'!H11,'02.08 Nebbi-Goli-24h'!H11,'03.08 Nebbi-Goli-24h'!H11,'06.08 Nebbi-Goli'!H11)</f>
        <v>0.14285714285714285</v>
      </c>
      <c r="I11" s="49">
        <f>AVERAGE('31.07 Nebbi-Goli'!I11,'01.08 Nebbi-Goli'!I11,'04.08 Nebbi-Goli'!I11,'05.08 Nebbi-Goli'!I11,'02.08 Nebbi-Goli-24h'!I11,'03.08 Nebbi-Goli-24h'!I11,'06.08 Nebbi-Goli'!I11)</f>
        <v>0</v>
      </c>
      <c r="J11" s="49">
        <f>AVERAGE('31.07 Nebbi-Goli'!J11,'01.08 Nebbi-Goli'!J11,'04.08 Nebbi-Goli'!J11,'05.08 Nebbi-Goli'!J11,'02.08 Nebbi-Goli-24h'!J11,'03.08 Nebbi-Goli-24h'!J11,'06.08 Nebbi-Goli'!J11)</f>
        <v>0</v>
      </c>
      <c r="K11" s="49">
        <f>AVERAGE('31.07 Nebbi-Goli'!K11,'01.08 Nebbi-Goli'!K11,'04.08 Nebbi-Goli'!K11,'05.08 Nebbi-Goli'!K11,'02.08 Nebbi-Goli-24h'!K11,'03.08 Nebbi-Goli-24h'!K11,'06.08 Nebbi-Goli'!K11)</f>
        <v>0</v>
      </c>
      <c r="L11" s="49">
        <f>AVERAGE('31.07 Nebbi-Goli'!L11,'01.08 Nebbi-Goli'!L11,'04.08 Nebbi-Goli'!L11,'05.08 Nebbi-Goli'!L11,'02.08 Nebbi-Goli-24h'!L11,'03.08 Nebbi-Goli-24h'!L11,'06.08 Nebbi-Goli'!L11)</f>
        <v>0.7142857142857143</v>
      </c>
      <c r="M11" s="49">
        <f>AVERAGE('31.07 Nebbi-Goli'!M11,'01.08 Nebbi-Goli'!M11,'04.08 Nebbi-Goli'!M11,'05.08 Nebbi-Goli'!M11,'02.08 Nebbi-Goli-24h'!M11,'03.08 Nebbi-Goli-24h'!M11,'06.08 Nebbi-Goli'!M11)</f>
        <v>8.8571428571428577</v>
      </c>
      <c r="N11" s="49">
        <f>AVERAGE('31.07 Nebbi-Goli'!N11,'01.08 Nebbi-Goli'!N11,'04.08 Nebbi-Goli'!N11,'05.08 Nebbi-Goli'!N11,'02.08 Nebbi-Goli-24h'!N11,'03.08 Nebbi-Goli-24h'!N11,'06.08 Nebbi-Goli'!N11)</f>
        <v>0</v>
      </c>
      <c r="O11" s="15">
        <f t="shared" si="0"/>
        <v>1.8571428571428572</v>
      </c>
      <c r="P11" s="15">
        <f t="shared" si="1"/>
        <v>10.714285714285715</v>
      </c>
      <c r="R11" s="1" t="s">
        <v>7</v>
      </c>
      <c r="S11" s="17">
        <f t="shared" ref="S11:AF11" si="3">SUM(C14:C17)</f>
        <v>3.2857142857142856</v>
      </c>
      <c r="T11" s="17">
        <f t="shared" si="3"/>
        <v>0.71428571428571419</v>
      </c>
      <c r="U11" s="17">
        <f t="shared" si="3"/>
        <v>2.7142857142857144</v>
      </c>
      <c r="V11" s="17">
        <f t="shared" si="3"/>
        <v>3.2857142857142856</v>
      </c>
      <c r="W11" s="17">
        <f t="shared" si="3"/>
        <v>0.5714285714285714</v>
      </c>
      <c r="X11" s="17">
        <f t="shared" si="3"/>
        <v>0</v>
      </c>
      <c r="Y11" s="17">
        <f t="shared" si="3"/>
        <v>2.8571428571428572</v>
      </c>
      <c r="Z11" s="17">
        <f t="shared" si="3"/>
        <v>0.42857142857142855</v>
      </c>
      <c r="AA11" s="17">
        <f t="shared" si="3"/>
        <v>0</v>
      </c>
      <c r="AB11" s="17">
        <f t="shared" si="3"/>
        <v>1.7142857142857142</v>
      </c>
      <c r="AC11" s="17">
        <f t="shared" si="3"/>
        <v>47.428571428571431</v>
      </c>
      <c r="AD11" s="17">
        <f t="shared" si="3"/>
        <v>0.14285714285714285</v>
      </c>
      <c r="AE11" s="31">
        <f t="shared" si="3"/>
        <v>15.714285714285714</v>
      </c>
      <c r="AF11" s="31">
        <f t="shared" si="3"/>
        <v>63.142857142857139</v>
      </c>
    </row>
    <row r="12" spans="2:32" ht="23.1" customHeight="1" x14ac:dyDescent="0.25">
      <c r="B12" s="23" t="s">
        <v>39</v>
      </c>
      <c r="C12" s="49">
        <f>AVERAGE('31.07 Nebbi-Goli'!C12,'01.08 Nebbi-Goli'!C12,'04.08 Nebbi-Goli'!C12,'05.08 Nebbi-Goli'!C12,'02.08 Nebbi-Goli-24h'!C12,'03.08 Nebbi-Goli-24h'!C12,'06.08 Nebbi-Goli'!C12)</f>
        <v>0.5714285714285714</v>
      </c>
      <c r="D12" s="49">
        <f>AVERAGE('31.07 Nebbi-Goli'!D12,'01.08 Nebbi-Goli'!D12,'04.08 Nebbi-Goli'!D12,'05.08 Nebbi-Goli'!D12,'02.08 Nebbi-Goli-24h'!D12,'03.08 Nebbi-Goli-24h'!D12,'06.08 Nebbi-Goli'!D12)</f>
        <v>0</v>
      </c>
      <c r="E12" s="49">
        <f>AVERAGE('31.07 Nebbi-Goli'!E12,'01.08 Nebbi-Goli'!E12,'04.08 Nebbi-Goli'!E12,'05.08 Nebbi-Goli'!E12,'02.08 Nebbi-Goli-24h'!E12,'03.08 Nebbi-Goli-24h'!E12,'06.08 Nebbi-Goli'!E12)</f>
        <v>0.14285714285714285</v>
      </c>
      <c r="F12" s="49">
        <f>AVERAGE('31.07 Nebbi-Goli'!F12,'01.08 Nebbi-Goli'!F12,'04.08 Nebbi-Goli'!F12,'05.08 Nebbi-Goli'!F12,'02.08 Nebbi-Goli-24h'!F12,'03.08 Nebbi-Goli-24h'!F12,'06.08 Nebbi-Goli'!F12)</f>
        <v>0.5714285714285714</v>
      </c>
      <c r="G12" s="49">
        <f>AVERAGE('31.07 Nebbi-Goli'!G12,'01.08 Nebbi-Goli'!G12,'04.08 Nebbi-Goli'!G12,'05.08 Nebbi-Goli'!G12,'02.08 Nebbi-Goli-24h'!G12,'03.08 Nebbi-Goli-24h'!G12,'06.08 Nebbi-Goli'!G12)</f>
        <v>0</v>
      </c>
      <c r="H12" s="49">
        <f>AVERAGE('31.07 Nebbi-Goli'!H12,'01.08 Nebbi-Goli'!H12,'04.08 Nebbi-Goli'!H12,'05.08 Nebbi-Goli'!H12,'02.08 Nebbi-Goli-24h'!H12,'03.08 Nebbi-Goli-24h'!H12,'06.08 Nebbi-Goli'!H12)</f>
        <v>0.42857142857142855</v>
      </c>
      <c r="I12" s="49">
        <f>AVERAGE('31.07 Nebbi-Goli'!I12,'01.08 Nebbi-Goli'!I12,'04.08 Nebbi-Goli'!I12,'05.08 Nebbi-Goli'!I12,'02.08 Nebbi-Goli-24h'!I12,'03.08 Nebbi-Goli-24h'!I12,'06.08 Nebbi-Goli'!I12)</f>
        <v>1</v>
      </c>
      <c r="J12" s="49">
        <f>AVERAGE('31.07 Nebbi-Goli'!J12,'01.08 Nebbi-Goli'!J12,'04.08 Nebbi-Goli'!J12,'05.08 Nebbi-Goli'!J12,'02.08 Nebbi-Goli-24h'!J12,'03.08 Nebbi-Goli-24h'!J12,'06.08 Nebbi-Goli'!J12)</f>
        <v>0</v>
      </c>
      <c r="K12" s="49">
        <f>AVERAGE('31.07 Nebbi-Goli'!K12,'01.08 Nebbi-Goli'!K12,'04.08 Nebbi-Goli'!K12,'05.08 Nebbi-Goli'!K12,'02.08 Nebbi-Goli-24h'!K12,'03.08 Nebbi-Goli-24h'!K12,'06.08 Nebbi-Goli'!K12)</f>
        <v>0</v>
      </c>
      <c r="L12" s="49">
        <f>AVERAGE('31.07 Nebbi-Goli'!L12,'01.08 Nebbi-Goli'!L12,'04.08 Nebbi-Goli'!L12,'05.08 Nebbi-Goli'!L12,'02.08 Nebbi-Goli-24h'!L12,'03.08 Nebbi-Goli-24h'!L12,'06.08 Nebbi-Goli'!L12)</f>
        <v>0.42857142857142855</v>
      </c>
      <c r="M12" s="49">
        <f>AVERAGE('31.07 Nebbi-Goli'!M12,'01.08 Nebbi-Goli'!M12,'04.08 Nebbi-Goli'!M12,'05.08 Nebbi-Goli'!M12,'02.08 Nebbi-Goli-24h'!M12,'03.08 Nebbi-Goli-24h'!M12,'06.08 Nebbi-Goli'!M12)</f>
        <v>8.4285714285714288</v>
      </c>
      <c r="N12" s="49">
        <f>AVERAGE('31.07 Nebbi-Goli'!N12,'01.08 Nebbi-Goli'!N12,'04.08 Nebbi-Goli'!N12,'05.08 Nebbi-Goli'!N12,'02.08 Nebbi-Goli-24h'!N12,'03.08 Nebbi-Goli-24h'!N12,'06.08 Nebbi-Goli'!N12)</f>
        <v>0</v>
      </c>
      <c r="O12" s="15">
        <f t="shared" si="0"/>
        <v>3.1428571428571428</v>
      </c>
      <c r="P12" s="15">
        <f t="shared" si="1"/>
        <v>11.571428571428571</v>
      </c>
      <c r="R12" s="1" t="s">
        <v>8</v>
      </c>
      <c r="S12" s="17">
        <f t="shared" ref="S12:AF12" si="4">SUM(C18:C21)</f>
        <v>2.4285714285714284</v>
      </c>
      <c r="T12" s="17">
        <f t="shared" si="4"/>
        <v>0.14285714285714285</v>
      </c>
      <c r="U12" s="17">
        <f t="shared" si="4"/>
        <v>1.7142857142857142</v>
      </c>
      <c r="V12" s="17">
        <f t="shared" si="4"/>
        <v>1.714285714285714</v>
      </c>
      <c r="W12" s="17">
        <f t="shared" si="4"/>
        <v>0.42857142857142855</v>
      </c>
      <c r="X12" s="17">
        <f t="shared" si="4"/>
        <v>0</v>
      </c>
      <c r="Y12" s="17">
        <f t="shared" si="4"/>
        <v>1.5714285714285712</v>
      </c>
      <c r="Z12" s="17">
        <f t="shared" si="4"/>
        <v>0</v>
      </c>
      <c r="AA12" s="17">
        <f t="shared" si="4"/>
        <v>0</v>
      </c>
      <c r="AB12" s="17">
        <f t="shared" si="4"/>
        <v>1.5714285714285712</v>
      </c>
      <c r="AC12" s="17">
        <f t="shared" si="4"/>
        <v>47</v>
      </c>
      <c r="AD12" s="17">
        <f t="shared" si="4"/>
        <v>0</v>
      </c>
      <c r="AE12" s="31">
        <f t="shared" si="4"/>
        <v>9.5714285714285694</v>
      </c>
      <c r="AF12" s="31">
        <f t="shared" si="4"/>
        <v>56.571428571428569</v>
      </c>
    </row>
    <row r="13" spans="2:32" ht="23.1" customHeight="1" x14ac:dyDescent="0.25">
      <c r="B13" s="23" t="s">
        <v>40</v>
      </c>
      <c r="C13" s="49">
        <f>AVERAGE('31.07 Nebbi-Goli'!C13,'01.08 Nebbi-Goli'!C13,'04.08 Nebbi-Goli'!C13,'05.08 Nebbi-Goli'!C13,'02.08 Nebbi-Goli-24h'!C13,'03.08 Nebbi-Goli-24h'!C13,'06.08 Nebbi-Goli'!C13)</f>
        <v>0.7142857142857143</v>
      </c>
      <c r="D13" s="49">
        <f>AVERAGE('31.07 Nebbi-Goli'!D13,'01.08 Nebbi-Goli'!D13,'04.08 Nebbi-Goli'!D13,'05.08 Nebbi-Goli'!D13,'02.08 Nebbi-Goli-24h'!D13,'03.08 Nebbi-Goli-24h'!D13,'06.08 Nebbi-Goli'!D13)</f>
        <v>0.14285714285714285</v>
      </c>
      <c r="E13" s="49">
        <f>AVERAGE('31.07 Nebbi-Goli'!E13,'01.08 Nebbi-Goli'!E13,'04.08 Nebbi-Goli'!E13,'05.08 Nebbi-Goli'!E13,'02.08 Nebbi-Goli-24h'!E13,'03.08 Nebbi-Goli-24h'!E13,'06.08 Nebbi-Goli'!E13)</f>
        <v>0.8571428571428571</v>
      </c>
      <c r="F13" s="49">
        <f>AVERAGE('31.07 Nebbi-Goli'!F13,'01.08 Nebbi-Goli'!F13,'04.08 Nebbi-Goli'!F13,'05.08 Nebbi-Goli'!F13,'02.08 Nebbi-Goli-24h'!F13,'03.08 Nebbi-Goli-24h'!F13,'06.08 Nebbi-Goli'!F13)</f>
        <v>0.5714285714285714</v>
      </c>
      <c r="G13" s="49">
        <f>AVERAGE('31.07 Nebbi-Goli'!G13,'01.08 Nebbi-Goli'!G13,'04.08 Nebbi-Goli'!G13,'05.08 Nebbi-Goli'!G13,'02.08 Nebbi-Goli-24h'!G13,'03.08 Nebbi-Goli-24h'!G13,'06.08 Nebbi-Goli'!G13)</f>
        <v>0.14285714285714285</v>
      </c>
      <c r="H13" s="49">
        <f>AVERAGE('31.07 Nebbi-Goli'!H13,'01.08 Nebbi-Goli'!H13,'04.08 Nebbi-Goli'!H13,'05.08 Nebbi-Goli'!H13,'02.08 Nebbi-Goli-24h'!H13,'03.08 Nebbi-Goli-24h'!H13,'06.08 Nebbi-Goli'!H13)</f>
        <v>0.42857142857142855</v>
      </c>
      <c r="I13" s="49">
        <f>AVERAGE('31.07 Nebbi-Goli'!I13,'01.08 Nebbi-Goli'!I13,'04.08 Nebbi-Goli'!I13,'05.08 Nebbi-Goli'!I13,'02.08 Nebbi-Goli-24h'!I13,'03.08 Nebbi-Goli-24h'!I13,'06.08 Nebbi-Goli'!I13)</f>
        <v>0.14285714285714285</v>
      </c>
      <c r="J13" s="49">
        <f>AVERAGE('31.07 Nebbi-Goli'!J13,'01.08 Nebbi-Goli'!J13,'04.08 Nebbi-Goli'!J13,'05.08 Nebbi-Goli'!J13,'02.08 Nebbi-Goli-24h'!J13,'03.08 Nebbi-Goli-24h'!J13,'06.08 Nebbi-Goli'!J13)</f>
        <v>0.14285714285714285</v>
      </c>
      <c r="K13" s="49">
        <f>AVERAGE('31.07 Nebbi-Goli'!K13,'01.08 Nebbi-Goli'!K13,'04.08 Nebbi-Goli'!K13,'05.08 Nebbi-Goli'!K13,'02.08 Nebbi-Goli-24h'!K13,'03.08 Nebbi-Goli-24h'!K13,'06.08 Nebbi-Goli'!K13)</f>
        <v>0</v>
      </c>
      <c r="L13" s="49">
        <f>AVERAGE('31.07 Nebbi-Goli'!L13,'01.08 Nebbi-Goli'!L13,'04.08 Nebbi-Goli'!L13,'05.08 Nebbi-Goli'!L13,'02.08 Nebbi-Goli-24h'!L13,'03.08 Nebbi-Goli-24h'!L13,'06.08 Nebbi-Goli'!L13)</f>
        <v>0.14285714285714285</v>
      </c>
      <c r="M13" s="49">
        <f>AVERAGE('31.07 Nebbi-Goli'!M13,'01.08 Nebbi-Goli'!M13,'04.08 Nebbi-Goli'!M13,'05.08 Nebbi-Goli'!M13,'02.08 Nebbi-Goli-24h'!M13,'03.08 Nebbi-Goli-24h'!M13,'06.08 Nebbi-Goli'!M13)</f>
        <v>10.428571428571429</v>
      </c>
      <c r="N13" s="49">
        <f>AVERAGE('31.07 Nebbi-Goli'!N13,'01.08 Nebbi-Goli'!N13,'04.08 Nebbi-Goli'!N13,'05.08 Nebbi-Goli'!N13,'02.08 Nebbi-Goli-24h'!N13,'03.08 Nebbi-Goli-24h'!N13,'06.08 Nebbi-Goli'!N13)</f>
        <v>0</v>
      </c>
      <c r="O13" s="15">
        <f t="shared" si="0"/>
        <v>3.2857142857142851</v>
      </c>
      <c r="P13" s="15">
        <f t="shared" si="1"/>
        <v>13.714285714285714</v>
      </c>
      <c r="R13" s="1" t="s">
        <v>9</v>
      </c>
      <c r="S13" s="17">
        <f t="shared" ref="S13:AF13" si="5">SUM(C22:C25)</f>
        <v>3.1428571428571428</v>
      </c>
      <c r="T13" s="17">
        <f t="shared" si="5"/>
        <v>0.5714285714285714</v>
      </c>
      <c r="U13" s="17">
        <f t="shared" si="5"/>
        <v>2.5714285714285712</v>
      </c>
      <c r="V13" s="17">
        <f t="shared" si="5"/>
        <v>1.714285714285714</v>
      </c>
      <c r="W13" s="17">
        <f t="shared" si="5"/>
        <v>0.14285714285714285</v>
      </c>
      <c r="X13" s="17">
        <f t="shared" si="5"/>
        <v>0</v>
      </c>
      <c r="Y13" s="17">
        <f t="shared" si="5"/>
        <v>2</v>
      </c>
      <c r="Z13" s="17">
        <f t="shared" si="5"/>
        <v>0.14285714285714285</v>
      </c>
      <c r="AA13" s="17">
        <f t="shared" si="5"/>
        <v>0.2857142857142857</v>
      </c>
      <c r="AB13" s="17">
        <f t="shared" si="5"/>
        <v>3.4285714285714284</v>
      </c>
      <c r="AC13" s="17">
        <f t="shared" si="5"/>
        <v>47.714285714285708</v>
      </c>
      <c r="AD13" s="17">
        <f t="shared" si="5"/>
        <v>0.14285714285714285</v>
      </c>
      <c r="AE13" s="31">
        <f t="shared" si="5"/>
        <v>14.142857142857142</v>
      </c>
      <c r="AF13" s="31">
        <f t="shared" si="5"/>
        <v>61.857142857142854</v>
      </c>
    </row>
    <row r="14" spans="2:32" ht="23.1" customHeight="1" x14ac:dyDescent="0.25">
      <c r="B14" s="23" t="s">
        <v>41</v>
      </c>
      <c r="C14" s="49">
        <f>AVERAGE('31.07 Nebbi-Goli'!C14,'01.08 Nebbi-Goli'!C14,'04.08 Nebbi-Goli'!C14,'05.08 Nebbi-Goli'!C14,'02.08 Nebbi-Goli-24h'!C14,'03.08 Nebbi-Goli-24h'!C14,'06.08 Nebbi-Goli'!C14)</f>
        <v>0.8571428571428571</v>
      </c>
      <c r="D14" s="49">
        <f>AVERAGE('31.07 Nebbi-Goli'!D14,'01.08 Nebbi-Goli'!D14,'04.08 Nebbi-Goli'!D14,'05.08 Nebbi-Goli'!D14,'02.08 Nebbi-Goli-24h'!D14,'03.08 Nebbi-Goli-24h'!D14,'06.08 Nebbi-Goli'!D14)</f>
        <v>0.14285714285714285</v>
      </c>
      <c r="E14" s="49">
        <f>AVERAGE('31.07 Nebbi-Goli'!E14,'01.08 Nebbi-Goli'!E14,'04.08 Nebbi-Goli'!E14,'05.08 Nebbi-Goli'!E14,'02.08 Nebbi-Goli-24h'!E14,'03.08 Nebbi-Goli-24h'!E14,'06.08 Nebbi-Goli'!E14)</f>
        <v>0.42857142857142855</v>
      </c>
      <c r="F14" s="49">
        <f>AVERAGE('31.07 Nebbi-Goli'!F14,'01.08 Nebbi-Goli'!F14,'04.08 Nebbi-Goli'!F14,'05.08 Nebbi-Goli'!F14,'02.08 Nebbi-Goli-24h'!F14,'03.08 Nebbi-Goli-24h'!F14,'06.08 Nebbi-Goli'!F14)</f>
        <v>1.2857142857142858</v>
      </c>
      <c r="G14" s="49">
        <f>AVERAGE('31.07 Nebbi-Goli'!G14,'01.08 Nebbi-Goli'!G14,'04.08 Nebbi-Goli'!G14,'05.08 Nebbi-Goli'!G14,'02.08 Nebbi-Goli-24h'!G14,'03.08 Nebbi-Goli-24h'!G14,'06.08 Nebbi-Goli'!G14)</f>
        <v>0.14285714285714285</v>
      </c>
      <c r="H14" s="49">
        <f>AVERAGE('31.07 Nebbi-Goli'!H14,'01.08 Nebbi-Goli'!H14,'04.08 Nebbi-Goli'!H14,'05.08 Nebbi-Goli'!H14,'02.08 Nebbi-Goli-24h'!H14,'03.08 Nebbi-Goli-24h'!H14,'06.08 Nebbi-Goli'!H14)</f>
        <v>0</v>
      </c>
      <c r="I14" s="49">
        <f>AVERAGE('31.07 Nebbi-Goli'!I14,'01.08 Nebbi-Goli'!I14,'04.08 Nebbi-Goli'!I14,'05.08 Nebbi-Goli'!I14,'02.08 Nebbi-Goli-24h'!I14,'03.08 Nebbi-Goli-24h'!I14,'06.08 Nebbi-Goli'!I14)</f>
        <v>0.42857142857142855</v>
      </c>
      <c r="J14" s="49">
        <f>AVERAGE('31.07 Nebbi-Goli'!J14,'01.08 Nebbi-Goli'!J14,'04.08 Nebbi-Goli'!J14,'05.08 Nebbi-Goli'!J14,'02.08 Nebbi-Goli-24h'!J14,'03.08 Nebbi-Goli-24h'!J14,'06.08 Nebbi-Goli'!J14)</f>
        <v>0.14285714285714285</v>
      </c>
      <c r="K14" s="49">
        <f>AVERAGE('31.07 Nebbi-Goli'!K14,'01.08 Nebbi-Goli'!K14,'04.08 Nebbi-Goli'!K14,'05.08 Nebbi-Goli'!K14,'02.08 Nebbi-Goli-24h'!K14,'03.08 Nebbi-Goli-24h'!K14,'06.08 Nebbi-Goli'!K14)</f>
        <v>0</v>
      </c>
      <c r="L14" s="49">
        <f>AVERAGE('31.07 Nebbi-Goli'!L14,'01.08 Nebbi-Goli'!L14,'04.08 Nebbi-Goli'!L14,'05.08 Nebbi-Goli'!L14,'02.08 Nebbi-Goli-24h'!L14,'03.08 Nebbi-Goli-24h'!L14,'06.08 Nebbi-Goli'!L14)</f>
        <v>0.5714285714285714</v>
      </c>
      <c r="M14" s="49">
        <f>AVERAGE('31.07 Nebbi-Goli'!M14,'01.08 Nebbi-Goli'!M14,'04.08 Nebbi-Goli'!M14,'05.08 Nebbi-Goli'!M14,'02.08 Nebbi-Goli-24h'!M14,'03.08 Nebbi-Goli-24h'!M14,'06.08 Nebbi-Goli'!M14)</f>
        <v>10.857142857142858</v>
      </c>
      <c r="N14" s="49">
        <f>AVERAGE('31.07 Nebbi-Goli'!N14,'01.08 Nebbi-Goli'!N14,'04.08 Nebbi-Goli'!N14,'05.08 Nebbi-Goli'!N14,'02.08 Nebbi-Goli-24h'!N14,'03.08 Nebbi-Goli-24h'!N14,'06.08 Nebbi-Goli'!N14)</f>
        <v>0</v>
      </c>
      <c r="O14" s="15">
        <f t="shared" si="0"/>
        <v>4</v>
      </c>
      <c r="P14" s="15">
        <f t="shared" si="1"/>
        <v>14.857142857142858</v>
      </c>
      <c r="R14" s="1" t="s">
        <v>10</v>
      </c>
      <c r="S14" s="17">
        <f t="shared" ref="S14:AF14" si="6">SUM(C26:C29)</f>
        <v>1.8571428571428572</v>
      </c>
      <c r="T14" s="17">
        <f t="shared" si="6"/>
        <v>0.71428571428571419</v>
      </c>
      <c r="U14" s="17">
        <f t="shared" si="6"/>
        <v>3.1428571428571432</v>
      </c>
      <c r="V14" s="17">
        <f t="shared" si="6"/>
        <v>1.8571428571428572</v>
      </c>
      <c r="W14" s="17">
        <f t="shared" si="6"/>
        <v>0.5714285714285714</v>
      </c>
      <c r="X14" s="17">
        <f t="shared" si="6"/>
        <v>0</v>
      </c>
      <c r="Y14" s="17">
        <f t="shared" si="6"/>
        <v>2.2857142857142856</v>
      </c>
      <c r="Z14" s="17">
        <f t="shared" si="6"/>
        <v>0.2857142857142857</v>
      </c>
      <c r="AA14" s="17">
        <f t="shared" si="6"/>
        <v>0.14285714285714285</v>
      </c>
      <c r="AB14" s="17">
        <f t="shared" si="6"/>
        <v>2.4285714285714288</v>
      </c>
      <c r="AC14" s="17">
        <f t="shared" si="6"/>
        <v>46.714285714285715</v>
      </c>
      <c r="AD14" s="17">
        <f t="shared" si="6"/>
        <v>0</v>
      </c>
      <c r="AE14" s="31">
        <f t="shared" si="6"/>
        <v>13.285714285714285</v>
      </c>
      <c r="AF14" s="31">
        <f t="shared" si="6"/>
        <v>60</v>
      </c>
    </row>
    <row r="15" spans="2:32" ht="23.1" customHeight="1" x14ac:dyDescent="0.25">
      <c r="B15" s="23" t="s">
        <v>42</v>
      </c>
      <c r="C15" s="49">
        <f>AVERAGE('31.07 Nebbi-Goli'!C15,'01.08 Nebbi-Goli'!C15,'04.08 Nebbi-Goli'!C15,'05.08 Nebbi-Goli'!C15,'02.08 Nebbi-Goli-24h'!C15,'03.08 Nebbi-Goli-24h'!C15,'06.08 Nebbi-Goli'!C15)</f>
        <v>1.1428571428571428</v>
      </c>
      <c r="D15" s="49">
        <f>AVERAGE('31.07 Nebbi-Goli'!D15,'01.08 Nebbi-Goli'!D15,'04.08 Nebbi-Goli'!D15,'05.08 Nebbi-Goli'!D15,'02.08 Nebbi-Goli-24h'!D15,'03.08 Nebbi-Goli-24h'!D15,'06.08 Nebbi-Goli'!D15)</f>
        <v>0.14285714285714285</v>
      </c>
      <c r="E15" s="49">
        <f>AVERAGE('31.07 Nebbi-Goli'!E15,'01.08 Nebbi-Goli'!E15,'04.08 Nebbi-Goli'!E15,'05.08 Nebbi-Goli'!E15,'02.08 Nebbi-Goli-24h'!E15,'03.08 Nebbi-Goli-24h'!E15,'06.08 Nebbi-Goli'!E15)</f>
        <v>0.42857142857142855</v>
      </c>
      <c r="F15" s="49">
        <f>AVERAGE('31.07 Nebbi-Goli'!F15,'01.08 Nebbi-Goli'!F15,'04.08 Nebbi-Goli'!F15,'05.08 Nebbi-Goli'!F15,'02.08 Nebbi-Goli-24h'!F15,'03.08 Nebbi-Goli-24h'!F15,'06.08 Nebbi-Goli'!F15)</f>
        <v>0.5714285714285714</v>
      </c>
      <c r="G15" s="49">
        <f>AVERAGE('31.07 Nebbi-Goli'!G15,'01.08 Nebbi-Goli'!G15,'04.08 Nebbi-Goli'!G15,'05.08 Nebbi-Goli'!G15,'02.08 Nebbi-Goli-24h'!G15,'03.08 Nebbi-Goli-24h'!G15,'06.08 Nebbi-Goli'!G15)</f>
        <v>0</v>
      </c>
      <c r="H15" s="49">
        <f>AVERAGE('31.07 Nebbi-Goli'!H15,'01.08 Nebbi-Goli'!H15,'04.08 Nebbi-Goli'!H15,'05.08 Nebbi-Goli'!H15,'02.08 Nebbi-Goli-24h'!H15,'03.08 Nebbi-Goli-24h'!H15,'06.08 Nebbi-Goli'!H15)</f>
        <v>0</v>
      </c>
      <c r="I15" s="49">
        <f>AVERAGE('31.07 Nebbi-Goli'!I15,'01.08 Nebbi-Goli'!I15,'04.08 Nebbi-Goli'!I15,'05.08 Nebbi-Goli'!I15,'02.08 Nebbi-Goli-24h'!I15,'03.08 Nebbi-Goli-24h'!I15,'06.08 Nebbi-Goli'!I15)</f>
        <v>0.8571428571428571</v>
      </c>
      <c r="J15" s="49">
        <f>AVERAGE('31.07 Nebbi-Goli'!J15,'01.08 Nebbi-Goli'!J15,'04.08 Nebbi-Goli'!J15,'05.08 Nebbi-Goli'!J15,'02.08 Nebbi-Goli-24h'!J15,'03.08 Nebbi-Goli-24h'!J15,'06.08 Nebbi-Goli'!J15)</f>
        <v>0</v>
      </c>
      <c r="K15" s="49">
        <f>AVERAGE('31.07 Nebbi-Goli'!K15,'01.08 Nebbi-Goli'!K15,'04.08 Nebbi-Goli'!K15,'05.08 Nebbi-Goli'!K15,'02.08 Nebbi-Goli-24h'!K15,'03.08 Nebbi-Goli-24h'!K15,'06.08 Nebbi-Goli'!K15)</f>
        <v>0</v>
      </c>
      <c r="L15" s="49">
        <f>AVERAGE('31.07 Nebbi-Goli'!L15,'01.08 Nebbi-Goli'!L15,'04.08 Nebbi-Goli'!L15,'05.08 Nebbi-Goli'!L15,'02.08 Nebbi-Goli-24h'!L15,'03.08 Nebbi-Goli-24h'!L15,'06.08 Nebbi-Goli'!L15)</f>
        <v>0.5714285714285714</v>
      </c>
      <c r="M15" s="49">
        <f>AVERAGE('31.07 Nebbi-Goli'!M15,'01.08 Nebbi-Goli'!M15,'04.08 Nebbi-Goli'!M15,'05.08 Nebbi-Goli'!M15,'02.08 Nebbi-Goli-24h'!M15,'03.08 Nebbi-Goli-24h'!M15,'06.08 Nebbi-Goli'!M15)</f>
        <v>12</v>
      </c>
      <c r="N15" s="49">
        <f>AVERAGE('31.07 Nebbi-Goli'!N15,'01.08 Nebbi-Goli'!N15,'04.08 Nebbi-Goli'!N15,'05.08 Nebbi-Goli'!N15,'02.08 Nebbi-Goli-24h'!N15,'03.08 Nebbi-Goli-24h'!N15,'06.08 Nebbi-Goli'!N15)</f>
        <v>0</v>
      </c>
      <c r="O15" s="15">
        <f t="shared" si="0"/>
        <v>3.7142857142857144</v>
      </c>
      <c r="P15" s="15">
        <f t="shared" si="1"/>
        <v>15.714285714285715</v>
      </c>
      <c r="R15" s="1" t="s">
        <v>11</v>
      </c>
      <c r="S15" s="17">
        <f t="shared" ref="S15:AF15" si="7">SUM(C30:C33)</f>
        <v>3.4285714285714284</v>
      </c>
      <c r="T15" s="17">
        <f t="shared" si="7"/>
        <v>0.2857142857142857</v>
      </c>
      <c r="U15" s="17">
        <f t="shared" si="7"/>
        <v>2.5714285714285712</v>
      </c>
      <c r="V15" s="17">
        <f t="shared" si="7"/>
        <v>4.1428571428571423</v>
      </c>
      <c r="W15" s="17">
        <f t="shared" si="7"/>
        <v>0.2857142857142857</v>
      </c>
      <c r="X15" s="17">
        <f t="shared" si="7"/>
        <v>1</v>
      </c>
      <c r="Y15" s="17">
        <f t="shared" si="7"/>
        <v>2.1428571428571428</v>
      </c>
      <c r="Z15" s="17">
        <f t="shared" si="7"/>
        <v>0.71428571428571419</v>
      </c>
      <c r="AA15" s="17">
        <f t="shared" si="7"/>
        <v>0.14285714285714285</v>
      </c>
      <c r="AB15" s="17">
        <f t="shared" si="7"/>
        <v>2.5714285714285716</v>
      </c>
      <c r="AC15" s="17">
        <f t="shared" si="7"/>
        <v>45.714285714285722</v>
      </c>
      <c r="AD15" s="17">
        <f t="shared" si="7"/>
        <v>0</v>
      </c>
      <c r="AE15" s="31">
        <f t="shared" si="7"/>
        <v>17.285714285714285</v>
      </c>
      <c r="AF15" s="31">
        <f t="shared" si="7"/>
        <v>63</v>
      </c>
    </row>
    <row r="16" spans="2:32" ht="23.1" customHeight="1" x14ac:dyDescent="0.25">
      <c r="B16" s="23" t="s">
        <v>43</v>
      </c>
      <c r="C16" s="49">
        <f>AVERAGE('31.07 Nebbi-Goli'!C16,'01.08 Nebbi-Goli'!C16,'04.08 Nebbi-Goli'!C16,'05.08 Nebbi-Goli'!C16,'02.08 Nebbi-Goli-24h'!C16,'03.08 Nebbi-Goli-24h'!C16,'06.08 Nebbi-Goli'!C16)</f>
        <v>0.7142857142857143</v>
      </c>
      <c r="D16" s="49">
        <f>AVERAGE('31.07 Nebbi-Goli'!D16,'01.08 Nebbi-Goli'!D16,'04.08 Nebbi-Goli'!D16,'05.08 Nebbi-Goli'!D16,'02.08 Nebbi-Goli-24h'!D16,'03.08 Nebbi-Goli-24h'!D16,'06.08 Nebbi-Goli'!D16)</f>
        <v>0.14285714285714285</v>
      </c>
      <c r="E16" s="49">
        <f>AVERAGE('31.07 Nebbi-Goli'!E16,'01.08 Nebbi-Goli'!E16,'04.08 Nebbi-Goli'!E16,'05.08 Nebbi-Goli'!E16,'02.08 Nebbi-Goli-24h'!E16,'03.08 Nebbi-Goli-24h'!E16,'06.08 Nebbi-Goli'!E16)</f>
        <v>0.5714285714285714</v>
      </c>
      <c r="F16" s="49">
        <f>AVERAGE('31.07 Nebbi-Goli'!F16,'01.08 Nebbi-Goli'!F16,'04.08 Nebbi-Goli'!F16,'05.08 Nebbi-Goli'!F16,'02.08 Nebbi-Goli-24h'!F16,'03.08 Nebbi-Goli-24h'!F16,'06.08 Nebbi-Goli'!F16)</f>
        <v>1</v>
      </c>
      <c r="G16" s="49">
        <f>AVERAGE('31.07 Nebbi-Goli'!G16,'01.08 Nebbi-Goli'!G16,'04.08 Nebbi-Goli'!G16,'05.08 Nebbi-Goli'!G16,'02.08 Nebbi-Goli-24h'!G16,'03.08 Nebbi-Goli-24h'!G16,'06.08 Nebbi-Goli'!G16)</f>
        <v>0.2857142857142857</v>
      </c>
      <c r="H16" s="49">
        <f>AVERAGE('31.07 Nebbi-Goli'!H16,'01.08 Nebbi-Goli'!H16,'04.08 Nebbi-Goli'!H16,'05.08 Nebbi-Goli'!H16,'02.08 Nebbi-Goli-24h'!H16,'03.08 Nebbi-Goli-24h'!H16,'06.08 Nebbi-Goli'!H16)</f>
        <v>0</v>
      </c>
      <c r="I16" s="49">
        <f>AVERAGE('31.07 Nebbi-Goli'!I16,'01.08 Nebbi-Goli'!I16,'04.08 Nebbi-Goli'!I16,'05.08 Nebbi-Goli'!I16,'02.08 Nebbi-Goli-24h'!I16,'03.08 Nebbi-Goli-24h'!I16,'06.08 Nebbi-Goli'!I16)</f>
        <v>0.8571428571428571</v>
      </c>
      <c r="J16" s="49">
        <f>AVERAGE('31.07 Nebbi-Goli'!J16,'01.08 Nebbi-Goli'!J16,'04.08 Nebbi-Goli'!J16,'05.08 Nebbi-Goli'!J16,'02.08 Nebbi-Goli-24h'!J16,'03.08 Nebbi-Goli-24h'!J16,'06.08 Nebbi-Goli'!J16)</f>
        <v>0.14285714285714285</v>
      </c>
      <c r="K16" s="49">
        <f>AVERAGE('31.07 Nebbi-Goli'!K16,'01.08 Nebbi-Goli'!K16,'04.08 Nebbi-Goli'!K16,'05.08 Nebbi-Goli'!K16,'02.08 Nebbi-Goli-24h'!K16,'03.08 Nebbi-Goli-24h'!K16,'06.08 Nebbi-Goli'!K16)</f>
        <v>0</v>
      </c>
      <c r="L16" s="49">
        <f>AVERAGE('31.07 Nebbi-Goli'!L16,'01.08 Nebbi-Goli'!L16,'04.08 Nebbi-Goli'!L16,'05.08 Nebbi-Goli'!L16,'02.08 Nebbi-Goli-24h'!L16,'03.08 Nebbi-Goli-24h'!L16,'06.08 Nebbi-Goli'!L16)</f>
        <v>0.42857142857142855</v>
      </c>
      <c r="M16" s="49">
        <f>AVERAGE('31.07 Nebbi-Goli'!M16,'01.08 Nebbi-Goli'!M16,'04.08 Nebbi-Goli'!M16,'05.08 Nebbi-Goli'!M16,'02.08 Nebbi-Goli-24h'!M16,'03.08 Nebbi-Goli-24h'!M16,'06.08 Nebbi-Goli'!M16)</f>
        <v>12.714285714285714</v>
      </c>
      <c r="N16" s="49">
        <f>AVERAGE('31.07 Nebbi-Goli'!N16,'01.08 Nebbi-Goli'!N16,'04.08 Nebbi-Goli'!N16,'05.08 Nebbi-Goli'!N16,'02.08 Nebbi-Goli-24h'!N16,'03.08 Nebbi-Goli-24h'!N16,'06.08 Nebbi-Goli'!N16)</f>
        <v>0.14285714285714285</v>
      </c>
      <c r="O16" s="15">
        <f t="shared" si="0"/>
        <v>4.2857142857142865</v>
      </c>
      <c r="P16" s="15">
        <f t="shared" si="1"/>
        <v>17</v>
      </c>
      <c r="R16" s="1" t="s">
        <v>12</v>
      </c>
      <c r="S16" s="17">
        <f t="shared" ref="S16:AF16" si="8">SUM(C34:C37)</f>
        <v>2.8571428571428572</v>
      </c>
      <c r="T16" s="17">
        <f t="shared" si="8"/>
        <v>0.71428571428571419</v>
      </c>
      <c r="U16" s="17">
        <f t="shared" si="8"/>
        <v>3.714285714285714</v>
      </c>
      <c r="V16" s="17">
        <f t="shared" si="8"/>
        <v>2.2857142857142856</v>
      </c>
      <c r="W16" s="17">
        <f t="shared" si="8"/>
        <v>0</v>
      </c>
      <c r="X16" s="17">
        <f t="shared" si="8"/>
        <v>0</v>
      </c>
      <c r="Y16" s="17">
        <f t="shared" si="8"/>
        <v>2.1428571428571428</v>
      </c>
      <c r="Z16" s="17">
        <f t="shared" si="8"/>
        <v>1</v>
      </c>
      <c r="AA16" s="17">
        <f t="shared" si="8"/>
        <v>0.2857142857142857</v>
      </c>
      <c r="AB16" s="17">
        <f t="shared" si="8"/>
        <v>1.5714285714285712</v>
      </c>
      <c r="AC16" s="17">
        <f t="shared" si="8"/>
        <v>44.857142857142861</v>
      </c>
      <c r="AD16" s="17">
        <f t="shared" si="8"/>
        <v>0</v>
      </c>
      <c r="AE16" s="31">
        <f t="shared" si="8"/>
        <v>14.571428571428569</v>
      </c>
      <c r="AF16" s="31">
        <f t="shared" si="8"/>
        <v>59.428571428571423</v>
      </c>
    </row>
    <row r="17" spans="2:32" ht="23.1" customHeight="1" x14ac:dyDescent="0.25">
      <c r="B17" s="23" t="s">
        <v>44</v>
      </c>
      <c r="C17" s="49">
        <f>AVERAGE('31.07 Nebbi-Goli'!C17,'01.08 Nebbi-Goli'!C17,'04.08 Nebbi-Goli'!C17,'05.08 Nebbi-Goli'!C17,'02.08 Nebbi-Goli-24h'!C17,'03.08 Nebbi-Goli-24h'!C17,'06.08 Nebbi-Goli'!C17)</f>
        <v>0.5714285714285714</v>
      </c>
      <c r="D17" s="49">
        <f>AVERAGE('31.07 Nebbi-Goli'!D17,'01.08 Nebbi-Goli'!D17,'04.08 Nebbi-Goli'!D17,'05.08 Nebbi-Goli'!D17,'02.08 Nebbi-Goli-24h'!D17,'03.08 Nebbi-Goli-24h'!D17,'06.08 Nebbi-Goli'!D17)</f>
        <v>0.2857142857142857</v>
      </c>
      <c r="E17" s="49">
        <f>AVERAGE('31.07 Nebbi-Goli'!E17,'01.08 Nebbi-Goli'!E17,'04.08 Nebbi-Goli'!E17,'05.08 Nebbi-Goli'!E17,'02.08 Nebbi-Goli-24h'!E17,'03.08 Nebbi-Goli-24h'!E17,'06.08 Nebbi-Goli'!E17)</f>
        <v>1.2857142857142858</v>
      </c>
      <c r="F17" s="49">
        <f>AVERAGE('31.07 Nebbi-Goli'!F17,'01.08 Nebbi-Goli'!F17,'04.08 Nebbi-Goli'!F17,'05.08 Nebbi-Goli'!F17,'02.08 Nebbi-Goli-24h'!F17,'03.08 Nebbi-Goli-24h'!F17,'06.08 Nebbi-Goli'!F17)</f>
        <v>0.42857142857142855</v>
      </c>
      <c r="G17" s="49">
        <f>AVERAGE('31.07 Nebbi-Goli'!G17,'01.08 Nebbi-Goli'!G17,'04.08 Nebbi-Goli'!G17,'05.08 Nebbi-Goli'!G17,'02.08 Nebbi-Goli-24h'!G17,'03.08 Nebbi-Goli-24h'!G17,'06.08 Nebbi-Goli'!G17)</f>
        <v>0.14285714285714285</v>
      </c>
      <c r="H17" s="49">
        <f>AVERAGE('31.07 Nebbi-Goli'!H17,'01.08 Nebbi-Goli'!H17,'04.08 Nebbi-Goli'!H17,'05.08 Nebbi-Goli'!H17,'02.08 Nebbi-Goli-24h'!H17,'03.08 Nebbi-Goli-24h'!H17,'06.08 Nebbi-Goli'!H17)</f>
        <v>0</v>
      </c>
      <c r="I17" s="49">
        <f>AVERAGE('31.07 Nebbi-Goli'!I17,'01.08 Nebbi-Goli'!I17,'04.08 Nebbi-Goli'!I17,'05.08 Nebbi-Goli'!I17,'02.08 Nebbi-Goli-24h'!I17,'03.08 Nebbi-Goli-24h'!I17,'06.08 Nebbi-Goli'!I17)</f>
        <v>0.7142857142857143</v>
      </c>
      <c r="J17" s="49">
        <f>AVERAGE('31.07 Nebbi-Goli'!J17,'01.08 Nebbi-Goli'!J17,'04.08 Nebbi-Goli'!J17,'05.08 Nebbi-Goli'!J17,'02.08 Nebbi-Goli-24h'!J17,'03.08 Nebbi-Goli-24h'!J17,'06.08 Nebbi-Goli'!J17)</f>
        <v>0.14285714285714285</v>
      </c>
      <c r="K17" s="49">
        <f>AVERAGE('31.07 Nebbi-Goli'!K17,'01.08 Nebbi-Goli'!K17,'04.08 Nebbi-Goli'!K17,'05.08 Nebbi-Goli'!K17,'02.08 Nebbi-Goli-24h'!K17,'03.08 Nebbi-Goli-24h'!K17,'06.08 Nebbi-Goli'!K17)</f>
        <v>0</v>
      </c>
      <c r="L17" s="49">
        <f>AVERAGE('31.07 Nebbi-Goli'!L17,'01.08 Nebbi-Goli'!L17,'04.08 Nebbi-Goli'!L17,'05.08 Nebbi-Goli'!L17,'02.08 Nebbi-Goli-24h'!L17,'03.08 Nebbi-Goli-24h'!L17,'06.08 Nebbi-Goli'!L17)</f>
        <v>0.14285714285714285</v>
      </c>
      <c r="M17" s="49">
        <f>AVERAGE('31.07 Nebbi-Goli'!M17,'01.08 Nebbi-Goli'!M17,'04.08 Nebbi-Goli'!M17,'05.08 Nebbi-Goli'!M17,'02.08 Nebbi-Goli-24h'!M17,'03.08 Nebbi-Goli-24h'!M17,'06.08 Nebbi-Goli'!M17)</f>
        <v>11.857142857142858</v>
      </c>
      <c r="N17" s="49">
        <f>AVERAGE('31.07 Nebbi-Goli'!N17,'01.08 Nebbi-Goli'!N17,'04.08 Nebbi-Goli'!N17,'05.08 Nebbi-Goli'!N17,'02.08 Nebbi-Goli-24h'!N17,'03.08 Nebbi-Goli-24h'!N17,'06.08 Nebbi-Goli'!N17)</f>
        <v>0</v>
      </c>
      <c r="O17" s="15">
        <f t="shared" si="0"/>
        <v>3.714285714285714</v>
      </c>
      <c r="P17" s="15">
        <f t="shared" si="1"/>
        <v>15.571428571428571</v>
      </c>
      <c r="R17" s="1" t="s">
        <v>13</v>
      </c>
      <c r="S17" s="17">
        <f t="shared" ref="S17:AF17" si="9">SUM(C38:C41)</f>
        <v>2.8571428571428572</v>
      </c>
      <c r="T17" s="17">
        <f t="shared" si="9"/>
        <v>0.2857142857142857</v>
      </c>
      <c r="U17" s="17">
        <f t="shared" si="9"/>
        <v>1.9999999999999998</v>
      </c>
      <c r="V17" s="17">
        <f t="shared" si="9"/>
        <v>2.2857142857142856</v>
      </c>
      <c r="W17" s="17">
        <f t="shared" si="9"/>
        <v>0.14285714285714285</v>
      </c>
      <c r="X17" s="17">
        <f t="shared" si="9"/>
        <v>0</v>
      </c>
      <c r="Y17" s="17">
        <f t="shared" si="9"/>
        <v>3.8571428571428568</v>
      </c>
      <c r="Z17" s="17">
        <f t="shared" si="9"/>
        <v>0.14285714285714285</v>
      </c>
      <c r="AA17" s="17">
        <f t="shared" si="9"/>
        <v>0.71428571428571419</v>
      </c>
      <c r="AB17" s="17">
        <f t="shared" si="9"/>
        <v>2.4285714285714288</v>
      </c>
      <c r="AC17" s="17">
        <f t="shared" si="9"/>
        <v>38.714285714285715</v>
      </c>
      <c r="AD17" s="17">
        <f t="shared" si="9"/>
        <v>0</v>
      </c>
      <c r="AE17" s="31">
        <f t="shared" si="9"/>
        <v>14.714285714285714</v>
      </c>
      <c r="AF17" s="31">
        <f t="shared" si="9"/>
        <v>53.428571428571431</v>
      </c>
    </row>
    <row r="18" spans="2:32" ht="23.1" customHeight="1" x14ac:dyDescent="0.25">
      <c r="B18" s="23" t="s">
        <v>45</v>
      </c>
      <c r="C18" s="49">
        <f>AVERAGE('31.07 Nebbi-Goli'!C18,'01.08 Nebbi-Goli'!C18,'04.08 Nebbi-Goli'!C18,'05.08 Nebbi-Goli'!C18,'02.08 Nebbi-Goli-24h'!C18,'03.08 Nebbi-Goli-24h'!C18,'06.08 Nebbi-Goli'!C18)</f>
        <v>0.7142857142857143</v>
      </c>
      <c r="D18" s="49">
        <f>AVERAGE('31.07 Nebbi-Goli'!D18,'01.08 Nebbi-Goli'!D18,'04.08 Nebbi-Goli'!D18,'05.08 Nebbi-Goli'!D18,'02.08 Nebbi-Goli-24h'!D18,'03.08 Nebbi-Goli-24h'!D18,'06.08 Nebbi-Goli'!D18)</f>
        <v>0</v>
      </c>
      <c r="E18" s="49">
        <f>AVERAGE('31.07 Nebbi-Goli'!E18,'01.08 Nebbi-Goli'!E18,'04.08 Nebbi-Goli'!E18,'05.08 Nebbi-Goli'!E18,'02.08 Nebbi-Goli-24h'!E18,'03.08 Nebbi-Goli-24h'!E18,'06.08 Nebbi-Goli'!E18)</f>
        <v>0.5714285714285714</v>
      </c>
      <c r="F18" s="49">
        <f>AVERAGE('31.07 Nebbi-Goli'!F18,'01.08 Nebbi-Goli'!F18,'04.08 Nebbi-Goli'!F18,'05.08 Nebbi-Goli'!F18,'02.08 Nebbi-Goli-24h'!F18,'03.08 Nebbi-Goli-24h'!F18,'06.08 Nebbi-Goli'!F18)</f>
        <v>0.14285714285714285</v>
      </c>
      <c r="G18" s="49">
        <f>AVERAGE('31.07 Nebbi-Goli'!G18,'01.08 Nebbi-Goli'!G18,'04.08 Nebbi-Goli'!G18,'05.08 Nebbi-Goli'!G18,'02.08 Nebbi-Goli-24h'!G18,'03.08 Nebbi-Goli-24h'!G18,'06.08 Nebbi-Goli'!G18)</f>
        <v>0</v>
      </c>
      <c r="H18" s="49">
        <f>AVERAGE('31.07 Nebbi-Goli'!H18,'01.08 Nebbi-Goli'!H18,'04.08 Nebbi-Goli'!H18,'05.08 Nebbi-Goli'!H18,'02.08 Nebbi-Goli-24h'!H18,'03.08 Nebbi-Goli-24h'!H18,'06.08 Nebbi-Goli'!H18)</f>
        <v>0</v>
      </c>
      <c r="I18" s="49">
        <f>AVERAGE('31.07 Nebbi-Goli'!I18,'01.08 Nebbi-Goli'!I18,'04.08 Nebbi-Goli'!I18,'05.08 Nebbi-Goli'!I18,'02.08 Nebbi-Goli-24h'!I18,'03.08 Nebbi-Goli-24h'!I18,'06.08 Nebbi-Goli'!I18)</f>
        <v>0.5714285714285714</v>
      </c>
      <c r="J18" s="49">
        <f>AVERAGE('31.07 Nebbi-Goli'!J18,'01.08 Nebbi-Goli'!J18,'04.08 Nebbi-Goli'!J18,'05.08 Nebbi-Goli'!J18,'02.08 Nebbi-Goli-24h'!J18,'03.08 Nebbi-Goli-24h'!J18,'06.08 Nebbi-Goli'!J18)</f>
        <v>0</v>
      </c>
      <c r="K18" s="49">
        <f>AVERAGE('31.07 Nebbi-Goli'!K18,'01.08 Nebbi-Goli'!K18,'04.08 Nebbi-Goli'!K18,'05.08 Nebbi-Goli'!K18,'02.08 Nebbi-Goli-24h'!K18,'03.08 Nebbi-Goli-24h'!K18,'06.08 Nebbi-Goli'!K18)</f>
        <v>0</v>
      </c>
      <c r="L18" s="49">
        <f>AVERAGE('31.07 Nebbi-Goli'!L18,'01.08 Nebbi-Goli'!L18,'04.08 Nebbi-Goli'!L18,'05.08 Nebbi-Goli'!L18,'02.08 Nebbi-Goli-24h'!L18,'03.08 Nebbi-Goli-24h'!L18,'06.08 Nebbi-Goli'!L18)</f>
        <v>0.14285714285714285</v>
      </c>
      <c r="M18" s="49">
        <f>AVERAGE('31.07 Nebbi-Goli'!M18,'01.08 Nebbi-Goli'!M18,'04.08 Nebbi-Goli'!M18,'05.08 Nebbi-Goli'!M18,'02.08 Nebbi-Goli-24h'!M18,'03.08 Nebbi-Goli-24h'!M18,'06.08 Nebbi-Goli'!M18)</f>
        <v>9.5714285714285712</v>
      </c>
      <c r="N18" s="49">
        <f>AVERAGE('31.07 Nebbi-Goli'!N18,'01.08 Nebbi-Goli'!N18,'04.08 Nebbi-Goli'!N18,'05.08 Nebbi-Goli'!N18,'02.08 Nebbi-Goli-24h'!N18,'03.08 Nebbi-Goli-24h'!N18,'06.08 Nebbi-Goli'!N18)</f>
        <v>0</v>
      </c>
      <c r="O18" s="15">
        <f t="shared" si="0"/>
        <v>2.1428571428571428</v>
      </c>
      <c r="P18" s="15">
        <f t="shared" si="1"/>
        <v>11.714285714285714</v>
      </c>
      <c r="R18" s="1" t="s">
        <v>14</v>
      </c>
      <c r="S18" s="17">
        <f t="shared" ref="S18:AF18" si="10">SUM(C42:C45)</f>
        <v>3.8571428571428568</v>
      </c>
      <c r="T18" s="17">
        <f t="shared" si="10"/>
        <v>0.85714285714285698</v>
      </c>
      <c r="U18" s="17">
        <f t="shared" si="10"/>
        <v>3.8571428571428572</v>
      </c>
      <c r="V18" s="17">
        <f t="shared" si="10"/>
        <v>2.2857142857142856</v>
      </c>
      <c r="W18" s="17">
        <f t="shared" si="10"/>
        <v>0.2857142857142857</v>
      </c>
      <c r="X18" s="17">
        <f t="shared" si="10"/>
        <v>0</v>
      </c>
      <c r="Y18" s="17">
        <f t="shared" si="10"/>
        <v>3.4285714285714288</v>
      </c>
      <c r="Z18" s="17">
        <f t="shared" si="10"/>
        <v>0.42857142857142855</v>
      </c>
      <c r="AA18" s="17">
        <f t="shared" si="10"/>
        <v>0.2857142857142857</v>
      </c>
      <c r="AB18" s="17">
        <f t="shared" si="10"/>
        <v>1.1428571428571428</v>
      </c>
      <c r="AC18" s="17">
        <f t="shared" si="10"/>
        <v>39.857142857142854</v>
      </c>
      <c r="AD18" s="17">
        <f t="shared" si="10"/>
        <v>0</v>
      </c>
      <c r="AE18" s="31">
        <f t="shared" si="10"/>
        <v>16.428571428571427</v>
      </c>
      <c r="AF18" s="31">
        <f t="shared" si="10"/>
        <v>56.285714285714285</v>
      </c>
    </row>
    <row r="19" spans="2:32" ht="23.1" customHeight="1" x14ac:dyDescent="0.25">
      <c r="B19" s="23" t="s">
        <v>46</v>
      </c>
      <c r="C19" s="49">
        <f>AVERAGE('31.07 Nebbi-Goli'!C19,'01.08 Nebbi-Goli'!C19,'04.08 Nebbi-Goli'!C19,'05.08 Nebbi-Goli'!C19,'02.08 Nebbi-Goli-24h'!C19,'03.08 Nebbi-Goli-24h'!C19,'06.08 Nebbi-Goli'!C19)</f>
        <v>0.5714285714285714</v>
      </c>
      <c r="D19" s="49">
        <f>AVERAGE('31.07 Nebbi-Goli'!D19,'01.08 Nebbi-Goli'!D19,'04.08 Nebbi-Goli'!D19,'05.08 Nebbi-Goli'!D19,'02.08 Nebbi-Goli-24h'!D19,'03.08 Nebbi-Goli-24h'!D19,'06.08 Nebbi-Goli'!D19)</f>
        <v>0</v>
      </c>
      <c r="E19" s="49">
        <f>AVERAGE('31.07 Nebbi-Goli'!E19,'01.08 Nebbi-Goli'!E19,'04.08 Nebbi-Goli'!E19,'05.08 Nebbi-Goli'!E19,'02.08 Nebbi-Goli-24h'!E19,'03.08 Nebbi-Goli-24h'!E19,'06.08 Nebbi-Goli'!E19)</f>
        <v>0.2857142857142857</v>
      </c>
      <c r="F19" s="49">
        <f>AVERAGE('31.07 Nebbi-Goli'!F19,'01.08 Nebbi-Goli'!F19,'04.08 Nebbi-Goli'!F19,'05.08 Nebbi-Goli'!F19,'02.08 Nebbi-Goli-24h'!F19,'03.08 Nebbi-Goli-24h'!F19,'06.08 Nebbi-Goli'!F19)</f>
        <v>0.5714285714285714</v>
      </c>
      <c r="G19" s="49">
        <f>AVERAGE('31.07 Nebbi-Goli'!G19,'01.08 Nebbi-Goli'!G19,'04.08 Nebbi-Goli'!G19,'05.08 Nebbi-Goli'!G19,'02.08 Nebbi-Goli-24h'!G19,'03.08 Nebbi-Goli-24h'!G19,'06.08 Nebbi-Goli'!G19)</f>
        <v>0.2857142857142857</v>
      </c>
      <c r="H19" s="49">
        <f>AVERAGE('31.07 Nebbi-Goli'!H19,'01.08 Nebbi-Goli'!H19,'04.08 Nebbi-Goli'!H19,'05.08 Nebbi-Goli'!H19,'02.08 Nebbi-Goli-24h'!H19,'03.08 Nebbi-Goli-24h'!H19,'06.08 Nebbi-Goli'!H19)</f>
        <v>0</v>
      </c>
      <c r="I19" s="49">
        <f>AVERAGE('31.07 Nebbi-Goli'!I19,'01.08 Nebbi-Goli'!I19,'04.08 Nebbi-Goli'!I19,'05.08 Nebbi-Goli'!I19,'02.08 Nebbi-Goli-24h'!I19,'03.08 Nebbi-Goli-24h'!I19,'06.08 Nebbi-Goli'!I19)</f>
        <v>0.5714285714285714</v>
      </c>
      <c r="J19" s="49">
        <f>AVERAGE('31.07 Nebbi-Goli'!J19,'01.08 Nebbi-Goli'!J19,'04.08 Nebbi-Goli'!J19,'05.08 Nebbi-Goli'!J19,'02.08 Nebbi-Goli-24h'!J19,'03.08 Nebbi-Goli-24h'!J19,'06.08 Nebbi-Goli'!J19)</f>
        <v>0</v>
      </c>
      <c r="K19" s="49">
        <f>AVERAGE('31.07 Nebbi-Goli'!K19,'01.08 Nebbi-Goli'!K19,'04.08 Nebbi-Goli'!K19,'05.08 Nebbi-Goli'!K19,'02.08 Nebbi-Goli-24h'!K19,'03.08 Nebbi-Goli-24h'!K19,'06.08 Nebbi-Goli'!K19)</f>
        <v>0</v>
      </c>
      <c r="L19" s="49">
        <f>AVERAGE('31.07 Nebbi-Goli'!L19,'01.08 Nebbi-Goli'!L19,'04.08 Nebbi-Goli'!L19,'05.08 Nebbi-Goli'!L19,'02.08 Nebbi-Goli-24h'!L19,'03.08 Nebbi-Goli-24h'!L19,'06.08 Nebbi-Goli'!L19)</f>
        <v>0.14285714285714285</v>
      </c>
      <c r="M19" s="49">
        <f>AVERAGE('31.07 Nebbi-Goli'!M19,'01.08 Nebbi-Goli'!M19,'04.08 Nebbi-Goli'!M19,'05.08 Nebbi-Goli'!M19,'02.08 Nebbi-Goli-24h'!M19,'03.08 Nebbi-Goli-24h'!M19,'06.08 Nebbi-Goli'!M19)</f>
        <v>13</v>
      </c>
      <c r="N19" s="49">
        <f>AVERAGE('31.07 Nebbi-Goli'!N19,'01.08 Nebbi-Goli'!N19,'04.08 Nebbi-Goli'!N19,'05.08 Nebbi-Goli'!N19,'02.08 Nebbi-Goli-24h'!N19,'03.08 Nebbi-Goli-24h'!N19,'06.08 Nebbi-Goli'!N19)</f>
        <v>0</v>
      </c>
      <c r="O19" s="15">
        <f t="shared" si="0"/>
        <v>2.4285714285714284</v>
      </c>
      <c r="P19" s="15">
        <f t="shared" si="1"/>
        <v>15.428571428571429</v>
      </c>
      <c r="R19" s="1" t="s">
        <v>15</v>
      </c>
      <c r="S19" s="17">
        <f t="shared" ref="S19:AF19" si="11">SUM(C46:C49)</f>
        <v>4.5714285714285712</v>
      </c>
      <c r="T19" s="17">
        <f t="shared" si="11"/>
        <v>0.5714285714285714</v>
      </c>
      <c r="U19" s="17">
        <f t="shared" si="11"/>
        <v>3.1428571428571432</v>
      </c>
      <c r="V19" s="17">
        <f t="shared" si="11"/>
        <v>1.5714285714285714</v>
      </c>
      <c r="W19" s="17">
        <f t="shared" si="11"/>
        <v>0.42857142857142855</v>
      </c>
      <c r="X19" s="17">
        <f t="shared" si="11"/>
        <v>0.14285714285714285</v>
      </c>
      <c r="Y19" s="17">
        <f t="shared" si="11"/>
        <v>4.1428571428571432</v>
      </c>
      <c r="Z19" s="17">
        <f t="shared" si="11"/>
        <v>0.2857142857142857</v>
      </c>
      <c r="AA19" s="17">
        <f t="shared" si="11"/>
        <v>1</v>
      </c>
      <c r="AB19" s="17">
        <f t="shared" si="11"/>
        <v>3</v>
      </c>
      <c r="AC19" s="17">
        <f t="shared" si="11"/>
        <v>47.285714285714285</v>
      </c>
      <c r="AD19" s="17">
        <f t="shared" si="11"/>
        <v>0</v>
      </c>
      <c r="AE19" s="31">
        <f t="shared" si="11"/>
        <v>18.857142857142854</v>
      </c>
      <c r="AF19" s="31">
        <f t="shared" si="11"/>
        <v>66.142857142857139</v>
      </c>
    </row>
    <row r="20" spans="2:32" ht="23.1" customHeight="1" x14ac:dyDescent="0.25">
      <c r="B20" s="23" t="s">
        <v>47</v>
      </c>
      <c r="C20" s="49">
        <f>AVERAGE('31.07 Nebbi-Goli'!C20,'01.08 Nebbi-Goli'!C20,'04.08 Nebbi-Goli'!C20,'05.08 Nebbi-Goli'!C20,'02.08 Nebbi-Goli-24h'!C20,'03.08 Nebbi-Goli-24h'!C20,'06.08 Nebbi-Goli'!C20)</f>
        <v>0.42857142857142855</v>
      </c>
      <c r="D20" s="49">
        <f>AVERAGE('31.07 Nebbi-Goli'!D20,'01.08 Nebbi-Goli'!D20,'04.08 Nebbi-Goli'!D20,'05.08 Nebbi-Goli'!D20,'02.08 Nebbi-Goli-24h'!D20,'03.08 Nebbi-Goli-24h'!D20,'06.08 Nebbi-Goli'!D20)</f>
        <v>0</v>
      </c>
      <c r="E20" s="49">
        <f>AVERAGE('31.07 Nebbi-Goli'!E20,'01.08 Nebbi-Goli'!E20,'04.08 Nebbi-Goli'!E20,'05.08 Nebbi-Goli'!E20,'02.08 Nebbi-Goli-24h'!E20,'03.08 Nebbi-Goli-24h'!E20,'06.08 Nebbi-Goli'!E20)</f>
        <v>0.2857142857142857</v>
      </c>
      <c r="F20" s="49">
        <f>AVERAGE('31.07 Nebbi-Goli'!F20,'01.08 Nebbi-Goli'!F20,'04.08 Nebbi-Goli'!F20,'05.08 Nebbi-Goli'!F20,'02.08 Nebbi-Goli-24h'!F20,'03.08 Nebbi-Goli-24h'!F20,'06.08 Nebbi-Goli'!F20)</f>
        <v>0.8571428571428571</v>
      </c>
      <c r="G20" s="49">
        <f>AVERAGE('31.07 Nebbi-Goli'!G20,'01.08 Nebbi-Goli'!G20,'04.08 Nebbi-Goli'!G20,'05.08 Nebbi-Goli'!G20,'02.08 Nebbi-Goli-24h'!G20,'03.08 Nebbi-Goli-24h'!G20,'06.08 Nebbi-Goli'!G20)</f>
        <v>0.14285714285714285</v>
      </c>
      <c r="H20" s="49">
        <f>AVERAGE('31.07 Nebbi-Goli'!H20,'01.08 Nebbi-Goli'!H20,'04.08 Nebbi-Goli'!H20,'05.08 Nebbi-Goli'!H20,'02.08 Nebbi-Goli-24h'!H20,'03.08 Nebbi-Goli-24h'!H20,'06.08 Nebbi-Goli'!H20)</f>
        <v>0</v>
      </c>
      <c r="I20" s="49">
        <f>AVERAGE('31.07 Nebbi-Goli'!I20,'01.08 Nebbi-Goli'!I20,'04.08 Nebbi-Goli'!I20,'05.08 Nebbi-Goli'!I20,'02.08 Nebbi-Goli-24h'!I20,'03.08 Nebbi-Goli-24h'!I20,'06.08 Nebbi-Goli'!I20)</f>
        <v>0.2857142857142857</v>
      </c>
      <c r="J20" s="49">
        <f>AVERAGE('31.07 Nebbi-Goli'!J20,'01.08 Nebbi-Goli'!J20,'04.08 Nebbi-Goli'!J20,'05.08 Nebbi-Goli'!J20,'02.08 Nebbi-Goli-24h'!J20,'03.08 Nebbi-Goli-24h'!J20,'06.08 Nebbi-Goli'!J20)</f>
        <v>0</v>
      </c>
      <c r="K20" s="49">
        <f>AVERAGE('31.07 Nebbi-Goli'!K20,'01.08 Nebbi-Goli'!K20,'04.08 Nebbi-Goli'!K20,'05.08 Nebbi-Goli'!K20,'02.08 Nebbi-Goli-24h'!K20,'03.08 Nebbi-Goli-24h'!K20,'06.08 Nebbi-Goli'!K20)</f>
        <v>0</v>
      </c>
      <c r="L20" s="49">
        <f>AVERAGE('31.07 Nebbi-Goli'!L20,'01.08 Nebbi-Goli'!L20,'04.08 Nebbi-Goli'!L20,'05.08 Nebbi-Goli'!L20,'02.08 Nebbi-Goli-24h'!L20,'03.08 Nebbi-Goli-24h'!L20,'06.08 Nebbi-Goli'!L20)</f>
        <v>0.42857142857142855</v>
      </c>
      <c r="M20" s="49">
        <f>AVERAGE('31.07 Nebbi-Goli'!M20,'01.08 Nebbi-Goli'!M20,'04.08 Nebbi-Goli'!M20,'05.08 Nebbi-Goli'!M20,'02.08 Nebbi-Goli-24h'!M20,'03.08 Nebbi-Goli-24h'!M20,'06.08 Nebbi-Goli'!M20)</f>
        <v>14</v>
      </c>
      <c r="N20" s="49">
        <f>AVERAGE('31.07 Nebbi-Goli'!N20,'01.08 Nebbi-Goli'!N20,'04.08 Nebbi-Goli'!N20,'05.08 Nebbi-Goli'!N20,'02.08 Nebbi-Goli-24h'!N20,'03.08 Nebbi-Goli-24h'!N20,'06.08 Nebbi-Goli'!N20)</f>
        <v>0</v>
      </c>
      <c r="O20" s="15">
        <f t="shared" si="0"/>
        <v>2.4285714285714279</v>
      </c>
      <c r="P20" s="15">
        <f t="shared" si="1"/>
        <v>16.428571428571427</v>
      </c>
      <c r="R20" s="1" t="s">
        <v>16</v>
      </c>
      <c r="S20" s="17">
        <f t="shared" ref="S20:AF20" si="12">SUM(C50:C53)</f>
        <v>4.4285714285714288</v>
      </c>
      <c r="T20" s="17">
        <f t="shared" si="12"/>
        <v>1.4285714285714284</v>
      </c>
      <c r="U20" s="17">
        <f t="shared" si="12"/>
        <v>5.7142857142857144</v>
      </c>
      <c r="V20" s="17">
        <f t="shared" si="12"/>
        <v>3</v>
      </c>
      <c r="W20" s="17">
        <f t="shared" si="12"/>
        <v>0.14285714285714285</v>
      </c>
      <c r="X20" s="17">
        <f t="shared" si="12"/>
        <v>0.14285714285714285</v>
      </c>
      <c r="Y20" s="17">
        <f t="shared" si="12"/>
        <v>3.5714285714285712</v>
      </c>
      <c r="Z20" s="17">
        <f t="shared" si="12"/>
        <v>0.2857142857142857</v>
      </c>
      <c r="AA20" s="17">
        <f t="shared" si="12"/>
        <v>0.71428571428571419</v>
      </c>
      <c r="AB20" s="17">
        <f t="shared" si="12"/>
        <v>2.1428571428571428</v>
      </c>
      <c r="AC20" s="17">
        <f t="shared" si="12"/>
        <v>45.142857142857139</v>
      </c>
      <c r="AD20" s="17">
        <f t="shared" si="12"/>
        <v>0</v>
      </c>
      <c r="AE20" s="31">
        <f t="shared" si="12"/>
        <v>21.571428571428573</v>
      </c>
      <c r="AF20" s="31">
        <f t="shared" si="12"/>
        <v>66.714285714285722</v>
      </c>
    </row>
    <row r="21" spans="2:32" ht="23.1" customHeight="1" x14ac:dyDescent="0.25">
      <c r="B21" s="23" t="s">
        <v>48</v>
      </c>
      <c r="C21" s="49">
        <f>AVERAGE('31.07 Nebbi-Goli'!C21,'01.08 Nebbi-Goli'!C21,'04.08 Nebbi-Goli'!C21,'05.08 Nebbi-Goli'!C21,'02.08 Nebbi-Goli-24h'!C21,'03.08 Nebbi-Goli-24h'!C21,'06.08 Nebbi-Goli'!C21)</f>
        <v>0.7142857142857143</v>
      </c>
      <c r="D21" s="49">
        <f>AVERAGE('31.07 Nebbi-Goli'!D21,'01.08 Nebbi-Goli'!D21,'04.08 Nebbi-Goli'!D21,'05.08 Nebbi-Goli'!D21,'02.08 Nebbi-Goli-24h'!D21,'03.08 Nebbi-Goli-24h'!D21,'06.08 Nebbi-Goli'!D21)</f>
        <v>0.14285714285714285</v>
      </c>
      <c r="E21" s="49">
        <f>AVERAGE('31.07 Nebbi-Goli'!E21,'01.08 Nebbi-Goli'!E21,'04.08 Nebbi-Goli'!E21,'05.08 Nebbi-Goli'!E21,'02.08 Nebbi-Goli-24h'!E21,'03.08 Nebbi-Goli-24h'!E21,'06.08 Nebbi-Goli'!E21)</f>
        <v>0.5714285714285714</v>
      </c>
      <c r="F21" s="49">
        <f>AVERAGE('31.07 Nebbi-Goli'!F21,'01.08 Nebbi-Goli'!F21,'04.08 Nebbi-Goli'!F21,'05.08 Nebbi-Goli'!F21,'02.08 Nebbi-Goli-24h'!F21,'03.08 Nebbi-Goli-24h'!F21,'06.08 Nebbi-Goli'!F21)</f>
        <v>0.14285714285714285</v>
      </c>
      <c r="G21" s="49">
        <f>AVERAGE('31.07 Nebbi-Goli'!G21,'01.08 Nebbi-Goli'!G21,'04.08 Nebbi-Goli'!G21,'05.08 Nebbi-Goli'!G21,'02.08 Nebbi-Goli-24h'!G21,'03.08 Nebbi-Goli-24h'!G21,'06.08 Nebbi-Goli'!G21)</f>
        <v>0</v>
      </c>
      <c r="H21" s="49">
        <f>AVERAGE('31.07 Nebbi-Goli'!H21,'01.08 Nebbi-Goli'!H21,'04.08 Nebbi-Goli'!H21,'05.08 Nebbi-Goli'!H21,'02.08 Nebbi-Goli-24h'!H21,'03.08 Nebbi-Goli-24h'!H21,'06.08 Nebbi-Goli'!H21)</f>
        <v>0</v>
      </c>
      <c r="I21" s="49">
        <f>AVERAGE('31.07 Nebbi-Goli'!I21,'01.08 Nebbi-Goli'!I21,'04.08 Nebbi-Goli'!I21,'05.08 Nebbi-Goli'!I21,'02.08 Nebbi-Goli-24h'!I21,'03.08 Nebbi-Goli-24h'!I21,'06.08 Nebbi-Goli'!I21)</f>
        <v>0.14285714285714285</v>
      </c>
      <c r="J21" s="49">
        <f>AVERAGE('31.07 Nebbi-Goli'!J21,'01.08 Nebbi-Goli'!J21,'04.08 Nebbi-Goli'!J21,'05.08 Nebbi-Goli'!J21,'02.08 Nebbi-Goli-24h'!J21,'03.08 Nebbi-Goli-24h'!J21,'06.08 Nebbi-Goli'!J21)</f>
        <v>0</v>
      </c>
      <c r="K21" s="49">
        <f>AVERAGE('31.07 Nebbi-Goli'!K21,'01.08 Nebbi-Goli'!K21,'04.08 Nebbi-Goli'!K21,'05.08 Nebbi-Goli'!K21,'02.08 Nebbi-Goli-24h'!K21,'03.08 Nebbi-Goli-24h'!K21,'06.08 Nebbi-Goli'!K21)</f>
        <v>0</v>
      </c>
      <c r="L21" s="49">
        <f>AVERAGE('31.07 Nebbi-Goli'!L21,'01.08 Nebbi-Goli'!L21,'04.08 Nebbi-Goli'!L21,'05.08 Nebbi-Goli'!L21,'02.08 Nebbi-Goli-24h'!L21,'03.08 Nebbi-Goli-24h'!L21,'06.08 Nebbi-Goli'!L21)</f>
        <v>0.8571428571428571</v>
      </c>
      <c r="M21" s="49">
        <f>AVERAGE('31.07 Nebbi-Goli'!M21,'01.08 Nebbi-Goli'!M21,'04.08 Nebbi-Goli'!M21,'05.08 Nebbi-Goli'!M21,'02.08 Nebbi-Goli-24h'!M21,'03.08 Nebbi-Goli-24h'!M21,'06.08 Nebbi-Goli'!M21)</f>
        <v>10.428571428571429</v>
      </c>
      <c r="N21" s="49">
        <f>AVERAGE('31.07 Nebbi-Goli'!N21,'01.08 Nebbi-Goli'!N21,'04.08 Nebbi-Goli'!N21,'05.08 Nebbi-Goli'!N21,'02.08 Nebbi-Goli-24h'!N21,'03.08 Nebbi-Goli-24h'!N21,'06.08 Nebbi-Goli'!N21)</f>
        <v>0</v>
      </c>
      <c r="O21" s="15">
        <f t="shared" si="0"/>
        <v>2.5714285714285712</v>
      </c>
      <c r="P21" s="15">
        <f t="shared" si="1"/>
        <v>13</v>
      </c>
      <c r="R21" s="36" t="s">
        <v>20</v>
      </c>
      <c r="S21" s="34">
        <f t="shared" ref="S21:AF21" si="13">SUM(C54:C57)</f>
        <v>3.714285714285714</v>
      </c>
      <c r="T21" s="17">
        <f t="shared" si="13"/>
        <v>0.8571428571428571</v>
      </c>
      <c r="U21" s="17">
        <f t="shared" si="13"/>
        <v>3.4285714285714284</v>
      </c>
      <c r="V21" s="17">
        <f t="shared" si="13"/>
        <v>1.7142857142857144</v>
      </c>
      <c r="W21" s="17">
        <f t="shared" si="13"/>
        <v>0.2857142857142857</v>
      </c>
      <c r="X21" s="17">
        <f t="shared" si="13"/>
        <v>0.14285714285714285</v>
      </c>
      <c r="Y21" s="17">
        <f t="shared" si="13"/>
        <v>2.5714285714285712</v>
      </c>
      <c r="Z21" s="17">
        <f t="shared" si="13"/>
        <v>0.2857142857142857</v>
      </c>
      <c r="AA21" s="17">
        <f t="shared" si="13"/>
        <v>0.5714285714285714</v>
      </c>
      <c r="AB21" s="17">
        <f t="shared" si="13"/>
        <v>3.2857142857142856</v>
      </c>
      <c r="AC21" s="17">
        <f t="shared" si="13"/>
        <v>51</v>
      </c>
      <c r="AD21" s="17">
        <f t="shared" si="13"/>
        <v>0</v>
      </c>
      <c r="AE21" s="31">
        <f t="shared" si="13"/>
        <v>16.857142857142858</v>
      </c>
      <c r="AF21" s="31">
        <f t="shared" si="13"/>
        <v>67.857142857142861</v>
      </c>
    </row>
    <row r="22" spans="2:32" ht="23.1" customHeight="1" x14ac:dyDescent="0.25">
      <c r="B22" s="23" t="s">
        <v>49</v>
      </c>
      <c r="C22" s="49">
        <f>AVERAGE('31.07 Nebbi-Goli'!C22,'01.08 Nebbi-Goli'!C22,'04.08 Nebbi-Goli'!C22,'05.08 Nebbi-Goli'!C22,'02.08 Nebbi-Goli-24h'!C22,'03.08 Nebbi-Goli-24h'!C22,'06.08 Nebbi-Goli'!C22)</f>
        <v>0.7142857142857143</v>
      </c>
      <c r="D22" s="49">
        <f>AVERAGE('31.07 Nebbi-Goli'!D22,'01.08 Nebbi-Goli'!D22,'04.08 Nebbi-Goli'!D22,'05.08 Nebbi-Goli'!D22,'02.08 Nebbi-Goli-24h'!D22,'03.08 Nebbi-Goli-24h'!D22,'06.08 Nebbi-Goli'!D22)</f>
        <v>0</v>
      </c>
      <c r="E22" s="49">
        <f>AVERAGE('31.07 Nebbi-Goli'!E22,'01.08 Nebbi-Goli'!E22,'04.08 Nebbi-Goli'!E22,'05.08 Nebbi-Goli'!E22,'02.08 Nebbi-Goli-24h'!E22,'03.08 Nebbi-Goli-24h'!E22,'06.08 Nebbi-Goli'!E22)</f>
        <v>0.42857142857142855</v>
      </c>
      <c r="F22" s="49">
        <f>AVERAGE('31.07 Nebbi-Goli'!F22,'01.08 Nebbi-Goli'!F22,'04.08 Nebbi-Goli'!F22,'05.08 Nebbi-Goli'!F22,'02.08 Nebbi-Goli-24h'!F22,'03.08 Nebbi-Goli-24h'!F22,'06.08 Nebbi-Goli'!F22)</f>
        <v>0.5714285714285714</v>
      </c>
      <c r="G22" s="49">
        <f>AVERAGE('31.07 Nebbi-Goli'!G22,'01.08 Nebbi-Goli'!G22,'04.08 Nebbi-Goli'!G22,'05.08 Nebbi-Goli'!G22,'02.08 Nebbi-Goli-24h'!G22,'03.08 Nebbi-Goli-24h'!G22,'06.08 Nebbi-Goli'!G22)</f>
        <v>0.14285714285714285</v>
      </c>
      <c r="H22" s="49">
        <f>AVERAGE('31.07 Nebbi-Goli'!H22,'01.08 Nebbi-Goli'!H22,'04.08 Nebbi-Goli'!H22,'05.08 Nebbi-Goli'!H22,'02.08 Nebbi-Goli-24h'!H22,'03.08 Nebbi-Goli-24h'!H22,'06.08 Nebbi-Goli'!H22)</f>
        <v>0</v>
      </c>
      <c r="I22" s="49">
        <f>AVERAGE('31.07 Nebbi-Goli'!I22,'01.08 Nebbi-Goli'!I22,'04.08 Nebbi-Goli'!I22,'05.08 Nebbi-Goli'!I22,'02.08 Nebbi-Goli-24h'!I22,'03.08 Nebbi-Goli-24h'!I22,'06.08 Nebbi-Goli'!I22)</f>
        <v>0.7142857142857143</v>
      </c>
      <c r="J22" s="49">
        <f>AVERAGE('31.07 Nebbi-Goli'!J22,'01.08 Nebbi-Goli'!J22,'04.08 Nebbi-Goli'!J22,'05.08 Nebbi-Goli'!J22,'02.08 Nebbi-Goli-24h'!J22,'03.08 Nebbi-Goli-24h'!J22,'06.08 Nebbi-Goli'!J22)</f>
        <v>0</v>
      </c>
      <c r="K22" s="49">
        <f>AVERAGE('31.07 Nebbi-Goli'!K22,'01.08 Nebbi-Goli'!K22,'04.08 Nebbi-Goli'!K22,'05.08 Nebbi-Goli'!K22,'02.08 Nebbi-Goli-24h'!K22,'03.08 Nebbi-Goli-24h'!K22,'06.08 Nebbi-Goli'!K22)</f>
        <v>0</v>
      </c>
      <c r="L22" s="49">
        <f>AVERAGE('31.07 Nebbi-Goli'!L22,'01.08 Nebbi-Goli'!L22,'04.08 Nebbi-Goli'!L22,'05.08 Nebbi-Goli'!L22,'02.08 Nebbi-Goli-24h'!L22,'03.08 Nebbi-Goli-24h'!L22,'06.08 Nebbi-Goli'!L22)</f>
        <v>0.7142857142857143</v>
      </c>
      <c r="M22" s="49">
        <f>AVERAGE('31.07 Nebbi-Goli'!M22,'01.08 Nebbi-Goli'!M22,'04.08 Nebbi-Goli'!M22,'05.08 Nebbi-Goli'!M22,'02.08 Nebbi-Goli-24h'!M22,'03.08 Nebbi-Goli-24h'!M22,'06.08 Nebbi-Goli'!M22)</f>
        <v>10.571428571428571</v>
      </c>
      <c r="N22" s="49">
        <f>AVERAGE('31.07 Nebbi-Goli'!N22,'01.08 Nebbi-Goli'!N22,'04.08 Nebbi-Goli'!N22,'05.08 Nebbi-Goli'!N22,'02.08 Nebbi-Goli-24h'!N22,'03.08 Nebbi-Goli-24h'!N22,'06.08 Nebbi-Goli'!N22)</f>
        <v>0.14285714285714285</v>
      </c>
      <c r="O22" s="15">
        <f t="shared" si="0"/>
        <v>3.4285714285714284</v>
      </c>
      <c r="P22" s="15">
        <f t="shared" si="1"/>
        <v>14</v>
      </c>
      <c r="R22" s="1" t="s">
        <v>146</v>
      </c>
      <c r="S22" s="34">
        <f>SUM(C58:C61)</f>
        <v>3</v>
      </c>
      <c r="T22" s="34">
        <f t="shared" ref="T22:AF22" si="14">SUM(D58:D61)</f>
        <v>0.5</v>
      </c>
      <c r="U22" s="34">
        <f t="shared" si="14"/>
        <v>1.5</v>
      </c>
      <c r="V22" s="34">
        <f t="shared" si="14"/>
        <v>0.5</v>
      </c>
      <c r="W22" s="34">
        <f t="shared" si="14"/>
        <v>0</v>
      </c>
      <c r="X22" s="34">
        <f t="shared" si="14"/>
        <v>0.5</v>
      </c>
      <c r="Y22" s="34">
        <f t="shared" si="14"/>
        <v>2</v>
      </c>
      <c r="Z22" s="34">
        <f t="shared" si="14"/>
        <v>1</v>
      </c>
      <c r="AA22" s="34">
        <f t="shared" si="14"/>
        <v>0.5</v>
      </c>
      <c r="AB22" s="34">
        <f t="shared" si="14"/>
        <v>2</v>
      </c>
      <c r="AC22" s="34">
        <f t="shared" si="14"/>
        <v>53</v>
      </c>
      <c r="AD22" s="34">
        <f t="shared" si="14"/>
        <v>0</v>
      </c>
      <c r="AE22" s="31">
        <f t="shared" si="14"/>
        <v>11.5</v>
      </c>
      <c r="AF22" s="31">
        <f t="shared" si="14"/>
        <v>64.5</v>
      </c>
    </row>
    <row r="23" spans="2:32" ht="23.1" customHeight="1" x14ac:dyDescent="0.25">
      <c r="B23" s="23" t="s">
        <v>50</v>
      </c>
      <c r="C23" s="49">
        <f>AVERAGE('31.07 Nebbi-Goli'!C23,'01.08 Nebbi-Goli'!C23,'04.08 Nebbi-Goli'!C23,'05.08 Nebbi-Goli'!C23,'02.08 Nebbi-Goli-24h'!C23,'03.08 Nebbi-Goli-24h'!C23,'06.08 Nebbi-Goli'!C23)</f>
        <v>0.42857142857142855</v>
      </c>
      <c r="D23" s="49">
        <f>AVERAGE('31.07 Nebbi-Goli'!D23,'01.08 Nebbi-Goli'!D23,'04.08 Nebbi-Goli'!D23,'05.08 Nebbi-Goli'!D23,'02.08 Nebbi-Goli-24h'!D23,'03.08 Nebbi-Goli-24h'!D23,'06.08 Nebbi-Goli'!D23)</f>
        <v>0.2857142857142857</v>
      </c>
      <c r="E23" s="49">
        <f>AVERAGE('31.07 Nebbi-Goli'!E23,'01.08 Nebbi-Goli'!E23,'04.08 Nebbi-Goli'!E23,'05.08 Nebbi-Goli'!E23,'02.08 Nebbi-Goli-24h'!E23,'03.08 Nebbi-Goli-24h'!E23,'06.08 Nebbi-Goli'!E23)</f>
        <v>0.8571428571428571</v>
      </c>
      <c r="F23" s="49">
        <f>AVERAGE('31.07 Nebbi-Goli'!F23,'01.08 Nebbi-Goli'!F23,'04.08 Nebbi-Goli'!F23,'05.08 Nebbi-Goli'!F23,'02.08 Nebbi-Goli-24h'!F23,'03.08 Nebbi-Goli-24h'!F23,'06.08 Nebbi-Goli'!F23)</f>
        <v>0.7142857142857143</v>
      </c>
      <c r="G23" s="49">
        <f>AVERAGE('31.07 Nebbi-Goli'!G23,'01.08 Nebbi-Goli'!G23,'04.08 Nebbi-Goli'!G23,'05.08 Nebbi-Goli'!G23,'02.08 Nebbi-Goli-24h'!G23,'03.08 Nebbi-Goli-24h'!G23,'06.08 Nebbi-Goli'!G23)</f>
        <v>0</v>
      </c>
      <c r="H23" s="49">
        <f>AVERAGE('31.07 Nebbi-Goli'!H23,'01.08 Nebbi-Goli'!H23,'04.08 Nebbi-Goli'!H23,'05.08 Nebbi-Goli'!H23,'02.08 Nebbi-Goli-24h'!H23,'03.08 Nebbi-Goli-24h'!H23,'06.08 Nebbi-Goli'!H23)</f>
        <v>0</v>
      </c>
      <c r="I23" s="49">
        <f>AVERAGE('31.07 Nebbi-Goli'!I23,'01.08 Nebbi-Goli'!I23,'04.08 Nebbi-Goli'!I23,'05.08 Nebbi-Goli'!I23,'02.08 Nebbi-Goli-24h'!I23,'03.08 Nebbi-Goli-24h'!I23,'06.08 Nebbi-Goli'!I23)</f>
        <v>0.42857142857142855</v>
      </c>
      <c r="J23" s="49">
        <f>AVERAGE('31.07 Nebbi-Goli'!J23,'01.08 Nebbi-Goli'!J23,'04.08 Nebbi-Goli'!J23,'05.08 Nebbi-Goli'!J23,'02.08 Nebbi-Goli-24h'!J23,'03.08 Nebbi-Goli-24h'!J23,'06.08 Nebbi-Goli'!J23)</f>
        <v>0</v>
      </c>
      <c r="K23" s="49">
        <f>AVERAGE('31.07 Nebbi-Goli'!K23,'01.08 Nebbi-Goli'!K23,'04.08 Nebbi-Goli'!K23,'05.08 Nebbi-Goli'!K23,'02.08 Nebbi-Goli-24h'!K23,'03.08 Nebbi-Goli-24h'!K23,'06.08 Nebbi-Goli'!K23)</f>
        <v>0.14285714285714285</v>
      </c>
      <c r="L23" s="49">
        <f>AVERAGE('31.07 Nebbi-Goli'!L23,'01.08 Nebbi-Goli'!L23,'04.08 Nebbi-Goli'!L23,'05.08 Nebbi-Goli'!L23,'02.08 Nebbi-Goli-24h'!L23,'03.08 Nebbi-Goli-24h'!L23,'06.08 Nebbi-Goli'!L23)</f>
        <v>0.7142857142857143</v>
      </c>
      <c r="M23" s="49">
        <f>AVERAGE('31.07 Nebbi-Goli'!M23,'01.08 Nebbi-Goli'!M23,'04.08 Nebbi-Goli'!M23,'05.08 Nebbi-Goli'!M23,'02.08 Nebbi-Goli-24h'!M23,'03.08 Nebbi-Goli-24h'!M23,'06.08 Nebbi-Goli'!M23)</f>
        <v>14.571428571428571</v>
      </c>
      <c r="N23" s="49">
        <f>AVERAGE('31.07 Nebbi-Goli'!N23,'01.08 Nebbi-Goli'!N23,'04.08 Nebbi-Goli'!N23,'05.08 Nebbi-Goli'!N23,'02.08 Nebbi-Goli-24h'!N23,'03.08 Nebbi-Goli-24h'!N23,'06.08 Nebbi-Goli'!N23)</f>
        <v>0</v>
      </c>
      <c r="O23" s="15">
        <f t="shared" si="0"/>
        <v>3.5714285714285712</v>
      </c>
      <c r="P23" s="15">
        <f t="shared" si="1"/>
        <v>18.142857142857142</v>
      </c>
      <c r="R23" s="1" t="s">
        <v>147</v>
      </c>
      <c r="S23" s="34">
        <f>SUM(C62:C65)</f>
        <v>2.5</v>
      </c>
      <c r="T23" s="34">
        <f t="shared" ref="T23:AF23" si="15">SUM(D62:D65)</f>
        <v>0.5</v>
      </c>
      <c r="U23" s="34">
        <f t="shared" si="15"/>
        <v>3</v>
      </c>
      <c r="V23" s="34">
        <f t="shared" si="15"/>
        <v>0.5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1</v>
      </c>
      <c r="AA23" s="34">
        <f t="shared" si="15"/>
        <v>0</v>
      </c>
      <c r="AB23" s="34">
        <f t="shared" si="15"/>
        <v>1</v>
      </c>
      <c r="AC23" s="34">
        <f t="shared" si="15"/>
        <v>41</v>
      </c>
      <c r="AD23" s="34">
        <f t="shared" si="15"/>
        <v>0</v>
      </c>
      <c r="AE23" s="31">
        <f t="shared" si="15"/>
        <v>11.5</v>
      </c>
      <c r="AF23" s="31">
        <f t="shared" si="15"/>
        <v>52.5</v>
      </c>
    </row>
    <row r="24" spans="2:32" ht="23.1" customHeight="1" x14ac:dyDescent="0.25">
      <c r="B24" s="23" t="s">
        <v>51</v>
      </c>
      <c r="C24" s="49">
        <f>AVERAGE('31.07 Nebbi-Goli'!C24,'01.08 Nebbi-Goli'!C24,'04.08 Nebbi-Goli'!C24,'05.08 Nebbi-Goli'!C24,'02.08 Nebbi-Goli-24h'!C24,'03.08 Nebbi-Goli-24h'!C24,'06.08 Nebbi-Goli'!C24)</f>
        <v>1</v>
      </c>
      <c r="D24" s="49">
        <f>AVERAGE('31.07 Nebbi-Goli'!D24,'01.08 Nebbi-Goli'!D24,'04.08 Nebbi-Goli'!D24,'05.08 Nebbi-Goli'!D24,'02.08 Nebbi-Goli-24h'!D24,'03.08 Nebbi-Goli-24h'!D24,'06.08 Nebbi-Goli'!D24)</f>
        <v>0</v>
      </c>
      <c r="E24" s="49">
        <f>AVERAGE('31.07 Nebbi-Goli'!E24,'01.08 Nebbi-Goli'!E24,'04.08 Nebbi-Goli'!E24,'05.08 Nebbi-Goli'!E24,'02.08 Nebbi-Goli-24h'!E24,'03.08 Nebbi-Goli-24h'!E24,'06.08 Nebbi-Goli'!E24)</f>
        <v>0.42857142857142855</v>
      </c>
      <c r="F24" s="49">
        <f>AVERAGE('31.07 Nebbi-Goli'!F24,'01.08 Nebbi-Goli'!F24,'04.08 Nebbi-Goli'!F24,'05.08 Nebbi-Goli'!F24,'02.08 Nebbi-Goli-24h'!F24,'03.08 Nebbi-Goli-24h'!F24,'06.08 Nebbi-Goli'!F24)</f>
        <v>0.14285714285714285</v>
      </c>
      <c r="G24" s="49">
        <f>AVERAGE('31.07 Nebbi-Goli'!G24,'01.08 Nebbi-Goli'!G24,'04.08 Nebbi-Goli'!G24,'05.08 Nebbi-Goli'!G24,'02.08 Nebbi-Goli-24h'!G24,'03.08 Nebbi-Goli-24h'!G24,'06.08 Nebbi-Goli'!G24)</f>
        <v>0</v>
      </c>
      <c r="H24" s="49">
        <f>AVERAGE('31.07 Nebbi-Goli'!H24,'01.08 Nebbi-Goli'!H24,'04.08 Nebbi-Goli'!H24,'05.08 Nebbi-Goli'!H24,'02.08 Nebbi-Goli-24h'!H24,'03.08 Nebbi-Goli-24h'!H24,'06.08 Nebbi-Goli'!H24)</f>
        <v>0</v>
      </c>
      <c r="I24" s="49">
        <f>AVERAGE('31.07 Nebbi-Goli'!I24,'01.08 Nebbi-Goli'!I24,'04.08 Nebbi-Goli'!I24,'05.08 Nebbi-Goli'!I24,'02.08 Nebbi-Goli-24h'!I24,'03.08 Nebbi-Goli-24h'!I24,'06.08 Nebbi-Goli'!I24)</f>
        <v>0.14285714285714285</v>
      </c>
      <c r="J24" s="49">
        <f>AVERAGE('31.07 Nebbi-Goli'!J24,'01.08 Nebbi-Goli'!J24,'04.08 Nebbi-Goli'!J24,'05.08 Nebbi-Goli'!J24,'02.08 Nebbi-Goli-24h'!J24,'03.08 Nebbi-Goli-24h'!J24,'06.08 Nebbi-Goli'!J24)</f>
        <v>0</v>
      </c>
      <c r="K24" s="49">
        <f>AVERAGE('31.07 Nebbi-Goli'!K24,'01.08 Nebbi-Goli'!K24,'04.08 Nebbi-Goli'!K24,'05.08 Nebbi-Goli'!K24,'02.08 Nebbi-Goli-24h'!K24,'03.08 Nebbi-Goli-24h'!K24,'06.08 Nebbi-Goli'!K24)</f>
        <v>0.14285714285714285</v>
      </c>
      <c r="L24" s="49">
        <f>AVERAGE('31.07 Nebbi-Goli'!L24,'01.08 Nebbi-Goli'!L24,'04.08 Nebbi-Goli'!L24,'05.08 Nebbi-Goli'!L24,'02.08 Nebbi-Goli-24h'!L24,'03.08 Nebbi-Goli-24h'!L24,'06.08 Nebbi-Goli'!L24)</f>
        <v>1.1428571428571428</v>
      </c>
      <c r="M24" s="49">
        <f>AVERAGE('31.07 Nebbi-Goli'!M24,'01.08 Nebbi-Goli'!M24,'04.08 Nebbi-Goli'!M24,'05.08 Nebbi-Goli'!M24,'02.08 Nebbi-Goli-24h'!M24,'03.08 Nebbi-Goli-24h'!M24,'06.08 Nebbi-Goli'!M24)</f>
        <v>13.714285714285714</v>
      </c>
      <c r="N24" s="49">
        <f>AVERAGE('31.07 Nebbi-Goli'!N24,'01.08 Nebbi-Goli'!N24,'04.08 Nebbi-Goli'!N24,'05.08 Nebbi-Goli'!N24,'02.08 Nebbi-Goli-24h'!N24,'03.08 Nebbi-Goli-24h'!N24,'06.08 Nebbi-Goli'!N24)</f>
        <v>0</v>
      </c>
      <c r="O24" s="15">
        <f t="shared" si="0"/>
        <v>3</v>
      </c>
      <c r="P24" s="15">
        <f t="shared" si="1"/>
        <v>16.714285714285715</v>
      </c>
      <c r="R24" s="1" t="s">
        <v>148</v>
      </c>
      <c r="S24" s="34">
        <f>SUM(C66:C69)</f>
        <v>2</v>
      </c>
      <c r="T24" s="34">
        <f t="shared" ref="T24:AF24" si="16">SUM(D66:D69)</f>
        <v>0.5</v>
      </c>
      <c r="U24" s="34">
        <f t="shared" si="16"/>
        <v>2</v>
      </c>
      <c r="V24" s="34">
        <f t="shared" si="16"/>
        <v>0</v>
      </c>
      <c r="W24" s="34">
        <f t="shared" si="16"/>
        <v>0</v>
      </c>
      <c r="X24" s="34">
        <f t="shared" si="16"/>
        <v>2.5</v>
      </c>
      <c r="Y24" s="34">
        <f t="shared" si="16"/>
        <v>1.5</v>
      </c>
      <c r="Z24" s="34">
        <f t="shared" si="16"/>
        <v>0</v>
      </c>
      <c r="AA24" s="34">
        <f t="shared" si="16"/>
        <v>0</v>
      </c>
      <c r="AB24" s="34">
        <f t="shared" si="16"/>
        <v>1</v>
      </c>
      <c r="AC24" s="34">
        <f t="shared" si="16"/>
        <v>13.5</v>
      </c>
      <c r="AD24" s="34">
        <f t="shared" si="16"/>
        <v>0</v>
      </c>
      <c r="AE24" s="31">
        <f t="shared" si="16"/>
        <v>9.5</v>
      </c>
      <c r="AF24" s="31">
        <f t="shared" si="16"/>
        <v>23</v>
      </c>
    </row>
    <row r="25" spans="2:32" ht="23.1" customHeight="1" x14ac:dyDescent="0.25">
      <c r="B25" s="23" t="s">
        <v>52</v>
      </c>
      <c r="C25" s="49">
        <f>AVERAGE('31.07 Nebbi-Goli'!C25,'01.08 Nebbi-Goli'!C25,'04.08 Nebbi-Goli'!C25,'05.08 Nebbi-Goli'!C25,'02.08 Nebbi-Goli-24h'!C25,'03.08 Nebbi-Goli-24h'!C25,'06.08 Nebbi-Goli'!C25)</f>
        <v>1</v>
      </c>
      <c r="D25" s="49">
        <f>AVERAGE('31.07 Nebbi-Goli'!D25,'01.08 Nebbi-Goli'!D25,'04.08 Nebbi-Goli'!D25,'05.08 Nebbi-Goli'!D25,'02.08 Nebbi-Goli-24h'!D25,'03.08 Nebbi-Goli-24h'!D25,'06.08 Nebbi-Goli'!D25)</f>
        <v>0.2857142857142857</v>
      </c>
      <c r="E25" s="49">
        <f>AVERAGE('31.07 Nebbi-Goli'!E25,'01.08 Nebbi-Goli'!E25,'04.08 Nebbi-Goli'!E25,'05.08 Nebbi-Goli'!E25,'02.08 Nebbi-Goli-24h'!E25,'03.08 Nebbi-Goli-24h'!E25,'06.08 Nebbi-Goli'!E25)</f>
        <v>0.8571428571428571</v>
      </c>
      <c r="F25" s="49">
        <f>AVERAGE('31.07 Nebbi-Goli'!F25,'01.08 Nebbi-Goli'!F25,'04.08 Nebbi-Goli'!F25,'05.08 Nebbi-Goli'!F25,'02.08 Nebbi-Goli-24h'!F25,'03.08 Nebbi-Goli-24h'!F25,'06.08 Nebbi-Goli'!F25)</f>
        <v>0.2857142857142857</v>
      </c>
      <c r="G25" s="49">
        <f>AVERAGE('31.07 Nebbi-Goli'!G25,'01.08 Nebbi-Goli'!G25,'04.08 Nebbi-Goli'!G25,'05.08 Nebbi-Goli'!G25,'02.08 Nebbi-Goli-24h'!G25,'03.08 Nebbi-Goli-24h'!G25,'06.08 Nebbi-Goli'!G25)</f>
        <v>0</v>
      </c>
      <c r="H25" s="49">
        <f>AVERAGE('31.07 Nebbi-Goli'!H25,'01.08 Nebbi-Goli'!H25,'04.08 Nebbi-Goli'!H25,'05.08 Nebbi-Goli'!H25,'02.08 Nebbi-Goli-24h'!H25,'03.08 Nebbi-Goli-24h'!H25,'06.08 Nebbi-Goli'!H25)</f>
        <v>0</v>
      </c>
      <c r="I25" s="49">
        <f>AVERAGE('31.07 Nebbi-Goli'!I25,'01.08 Nebbi-Goli'!I25,'04.08 Nebbi-Goli'!I25,'05.08 Nebbi-Goli'!I25,'02.08 Nebbi-Goli-24h'!I25,'03.08 Nebbi-Goli-24h'!I25,'06.08 Nebbi-Goli'!I25)</f>
        <v>0.7142857142857143</v>
      </c>
      <c r="J25" s="49">
        <f>AVERAGE('31.07 Nebbi-Goli'!J25,'01.08 Nebbi-Goli'!J25,'04.08 Nebbi-Goli'!J25,'05.08 Nebbi-Goli'!J25,'02.08 Nebbi-Goli-24h'!J25,'03.08 Nebbi-Goli-24h'!J25,'06.08 Nebbi-Goli'!J25)</f>
        <v>0.14285714285714285</v>
      </c>
      <c r="K25" s="49">
        <f>AVERAGE('31.07 Nebbi-Goli'!K25,'01.08 Nebbi-Goli'!K25,'04.08 Nebbi-Goli'!K25,'05.08 Nebbi-Goli'!K25,'02.08 Nebbi-Goli-24h'!K25,'03.08 Nebbi-Goli-24h'!K25,'06.08 Nebbi-Goli'!K25)</f>
        <v>0</v>
      </c>
      <c r="L25" s="49">
        <f>AVERAGE('31.07 Nebbi-Goli'!L25,'01.08 Nebbi-Goli'!L25,'04.08 Nebbi-Goli'!L25,'05.08 Nebbi-Goli'!L25,'02.08 Nebbi-Goli-24h'!L25,'03.08 Nebbi-Goli-24h'!L25,'06.08 Nebbi-Goli'!L25)</f>
        <v>0.8571428571428571</v>
      </c>
      <c r="M25" s="49">
        <f>AVERAGE('31.07 Nebbi-Goli'!M25,'01.08 Nebbi-Goli'!M25,'04.08 Nebbi-Goli'!M25,'05.08 Nebbi-Goli'!M25,'02.08 Nebbi-Goli-24h'!M25,'03.08 Nebbi-Goli-24h'!M25,'06.08 Nebbi-Goli'!M25)</f>
        <v>8.8571428571428577</v>
      </c>
      <c r="N25" s="49">
        <f>AVERAGE('31.07 Nebbi-Goli'!N25,'01.08 Nebbi-Goli'!N25,'04.08 Nebbi-Goli'!N25,'05.08 Nebbi-Goli'!N25,'02.08 Nebbi-Goli-24h'!N25,'03.08 Nebbi-Goli-24h'!N25,'06.08 Nebbi-Goli'!N25)</f>
        <v>0</v>
      </c>
      <c r="O25" s="15">
        <f t="shared" si="0"/>
        <v>4.1428571428571423</v>
      </c>
      <c r="P25" s="15">
        <f t="shared" si="1"/>
        <v>13</v>
      </c>
      <c r="R25" s="1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0.5</v>
      </c>
      <c r="W25" s="34">
        <f t="shared" si="17"/>
        <v>0</v>
      </c>
      <c r="X25" s="34">
        <f t="shared" si="17"/>
        <v>0.5</v>
      </c>
      <c r="Y25" s="34">
        <f t="shared" si="17"/>
        <v>2</v>
      </c>
      <c r="Z25" s="34">
        <f t="shared" si="17"/>
        <v>0.5</v>
      </c>
      <c r="AA25" s="34">
        <f t="shared" si="17"/>
        <v>0</v>
      </c>
      <c r="AB25" s="34">
        <f t="shared" si="17"/>
        <v>0.5</v>
      </c>
      <c r="AC25" s="34">
        <f t="shared" si="17"/>
        <v>14</v>
      </c>
      <c r="AD25" s="34">
        <f t="shared" si="17"/>
        <v>0</v>
      </c>
      <c r="AE25" s="31">
        <f t="shared" si="17"/>
        <v>6</v>
      </c>
      <c r="AF25" s="31">
        <f t="shared" si="17"/>
        <v>20</v>
      </c>
    </row>
    <row r="26" spans="2:32" ht="23.1" customHeight="1" x14ac:dyDescent="0.25">
      <c r="B26" s="23" t="s">
        <v>53</v>
      </c>
      <c r="C26" s="49">
        <f>AVERAGE('31.07 Nebbi-Goli'!C26,'01.08 Nebbi-Goli'!C26,'04.08 Nebbi-Goli'!C26,'05.08 Nebbi-Goli'!C26,'02.08 Nebbi-Goli-24h'!C26,'03.08 Nebbi-Goli-24h'!C26,'06.08 Nebbi-Goli'!C26)</f>
        <v>0.2857142857142857</v>
      </c>
      <c r="D26" s="49">
        <f>AVERAGE('31.07 Nebbi-Goli'!D26,'01.08 Nebbi-Goli'!D26,'04.08 Nebbi-Goli'!D26,'05.08 Nebbi-Goli'!D26,'02.08 Nebbi-Goli-24h'!D26,'03.08 Nebbi-Goli-24h'!D26,'06.08 Nebbi-Goli'!D26)</f>
        <v>0.2857142857142857</v>
      </c>
      <c r="E26" s="49">
        <f>AVERAGE('31.07 Nebbi-Goli'!E26,'01.08 Nebbi-Goli'!E26,'04.08 Nebbi-Goli'!E26,'05.08 Nebbi-Goli'!E26,'02.08 Nebbi-Goli-24h'!E26,'03.08 Nebbi-Goli-24h'!E26,'06.08 Nebbi-Goli'!E26)</f>
        <v>1.2857142857142858</v>
      </c>
      <c r="F26" s="49">
        <f>AVERAGE('31.07 Nebbi-Goli'!F26,'01.08 Nebbi-Goli'!F26,'04.08 Nebbi-Goli'!F26,'05.08 Nebbi-Goli'!F26,'02.08 Nebbi-Goli-24h'!F26,'03.08 Nebbi-Goli-24h'!F26,'06.08 Nebbi-Goli'!F26)</f>
        <v>0.2857142857142857</v>
      </c>
      <c r="G26" s="49">
        <f>AVERAGE('31.07 Nebbi-Goli'!G26,'01.08 Nebbi-Goli'!G26,'04.08 Nebbi-Goli'!G26,'05.08 Nebbi-Goli'!G26,'02.08 Nebbi-Goli-24h'!G26,'03.08 Nebbi-Goli-24h'!G26,'06.08 Nebbi-Goli'!G26)</f>
        <v>0.14285714285714285</v>
      </c>
      <c r="H26" s="49">
        <f>AVERAGE('31.07 Nebbi-Goli'!H26,'01.08 Nebbi-Goli'!H26,'04.08 Nebbi-Goli'!H26,'05.08 Nebbi-Goli'!H26,'02.08 Nebbi-Goli-24h'!H26,'03.08 Nebbi-Goli-24h'!H26,'06.08 Nebbi-Goli'!H26)</f>
        <v>0</v>
      </c>
      <c r="I26" s="49">
        <f>AVERAGE('31.07 Nebbi-Goli'!I26,'01.08 Nebbi-Goli'!I26,'04.08 Nebbi-Goli'!I26,'05.08 Nebbi-Goli'!I26,'02.08 Nebbi-Goli-24h'!I26,'03.08 Nebbi-Goli-24h'!I26,'06.08 Nebbi-Goli'!I26)</f>
        <v>0.42857142857142855</v>
      </c>
      <c r="J26" s="49">
        <f>AVERAGE('31.07 Nebbi-Goli'!J26,'01.08 Nebbi-Goli'!J26,'04.08 Nebbi-Goli'!J26,'05.08 Nebbi-Goli'!J26,'02.08 Nebbi-Goli-24h'!J26,'03.08 Nebbi-Goli-24h'!J26,'06.08 Nebbi-Goli'!J26)</f>
        <v>0</v>
      </c>
      <c r="K26" s="49">
        <f>AVERAGE('31.07 Nebbi-Goli'!K26,'01.08 Nebbi-Goli'!K26,'04.08 Nebbi-Goli'!K26,'05.08 Nebbi-Goli'!K26,'02.08 Nebbi-Goli-24h'!K26,'03.08 Nebbi-Goli-24h'!K26,'06.08 Nebbi-Goli'!K26)</f>
        <v>0.14285714285714285</v>
      </c>
      <c r="L26" s="49">
        <f>AVERAGE('31.07 Nebbi-Goli'!L26,'01.08 Nebbi-Goli'!L26,'04.08 Nebbi-Goli'!L26,'05.08 Nebbi-Goli'!L26,'02.08 Nebbi-Goli-24h'!L26,'03.08 Nebbi-Goli-24h'!L26,'06.08 Nebbi-Goli'!L26)</f>
        <v>0.7142857142857143</v>
      </c>
      <c r="M26" s="49">
        <f>AVERAGE('31.07 Nebbi-Goli'!M26,'01.08 Nebbi-Goli'!M26,'04.08 Nebbi-Goli'!M26,'05.08 Nebbi-Goli'!M26,'02.08 Nebbi-Goli-24h'!M26,'03.08 Nebbi-Goli-24h'!M26,'06.08 Nebbi-Goli'!M26)</f>
        <v>10.714285714285714</v>
      </c>
      <c r="N26" s="49">
        <f>AVERAGE('31.07 Nebbi-Goli'!N26,'01.08 Nebbi-Goli'!N26,'04.08 Nebbi-Goli'!N26,'05.08 Nebbi-Goli'!N26,'02.08 Nebbi-Goli-24h'!N26,'03.08 Nebbi-Goli-24h'!N26,'06.08 Nebbi-Goli'!N26)</f>
        <v>0</v>
      </c>
      <c r="O26" s="15">
        <f t="shared" si="0"/>
        <v>3.5714285714285712</v>
      </c>
      <c r="P26" s="15">
        <f t="shared" si="1"/>
        <v>14.285714285714285</v>
      </c>
      <c r="R26" s="1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0.5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1</v>
      </c>
      <c r="AC26" s="34">
        <f t="shared" si="18"/>
        <v>5.5</v>
      </c>
      <c r="AD26" s="34">
        <f t="shared" si="18"/>
        <v>0</v>
      </c>
      <c r="AE26" s="31">
        <f t="shared" si="18"/>
        <v>1.5</v>
      </c>
      <c r="AF26" s="31">
        <f t="shared" si="18"/>
        <v>7</v>
      </c>
    </row>
    <row r="27" spans="2:32" ht="23.1" customHeight="1" x14ac:dyDescent="0.25">
      <c r="B27" s="23" t="s">
        <v>54</v>
      </c>
      <c r="C27" s="49">
        <f>AVERAGE('31.07 Nebbi-Goli'!C27,'01.08 Nebbi-Goli'!C27,'04.08 Nebbi-Goli'!C27,'05.08 Nebbi-Goli'!C27,'02.08 Nebbi-Goli-24h'!C27,'03.08 Nebbi-Goli-24h'!C27,'06.08 Nebbi-Goli'!C27)</f>
        <v>0.5714285714285714</v>
      </c>
      <c r="D27" s="49">
        <f>AVERAGE('31.07 Nebbi-Goli'!D27,'01.08 Nebbi-Goli'!D27,'04.08 Nebbi-Goli'!D27,'05.08 Nebbi-Goli'!D27,'02.08 Nebbi-Goli-24h'!D27,'03.08 Nebbi-Goli-24h'!D27,'06.08 Nebbi-Goli'!D27)</f>
        <v>0</v>
      </c>
      <c r="E27" s="49">
        <f>AVERAGE('31.07 Nebbi-Goli'!E27,'01.08 Nebbi-Goli'!E27,'04.08 Nebbi-Goli'!E27,'05.08 Nebbi-Goli'!E27,'02.08 Nebbi-Goli-24h'!E27,'03.08 Nebbi-Goli-24h'!E27,'06.08 Nebbi-Goli'!E27)</f>
        <v>0.42857142857142855</v>
      </c>
      <c r="F27" s="49">
        <f>AVERAGE('31.07 Nebbi-Goli'!F27,'01.08 Nebbi-Goli'!F27,'04.08 Nebbi-Goli'!F27,'05.08 Nebbi-Goli'!F27,'02.08 Nebbi-Goli-24h'!F27,'03.08 Nebbi-Goli-24h'!F27,'06.08 Nebbi-Goli'!F27)</f>
        <v>0.8571428571428571</v>
      </c>
      <c r="G27" s="49">
        <f>AVERAGE('31.07 Nebbi-Goli'!G27,'01.08 Nebbi-Goli'!G27,'04.08 Nebbi-Goli'!G27,'05.08 Nebbi-Goli'!G27,'02.08 Nebbi-Goli-24h'!G27,'03.08 Nebbi-Goli-24h'!G27,'06.08 Nebbi-Goli'!G27)</f>
        <v>0</v>
      </c>
      <c r="H27" s="49">
        <f>AVERAGE('31.07 Nebbi-Goli'!H27,'01.08 Nebbi-Goli'!H27,'04.08 Nebbi-Goli'!H27,'05.08 Nebbi-Goli'!H27,'02.08 Nebbi-Goli-24h'!H27,'03.08 Nebbi-Goli-24h'!H27,'06.08 Nebbi-Goli'!H27)</f>
        <v>0</v>
      </c>
      <c r="I27" s="49">
        <f>AVERAGE('31.07 Nebbi-Goli'!I27,'01.08 Nebbi-Goli'!I27,'04.08 Nebbi-Goli'!I27,'05.08 Nebbi-Goli'!I27,'02.08 Nebbi-Goli-24h'!I27,'03.08 Nebbi-Goli-24h'!I27,'06.08 Nebbi-Goli'!I27)</f>
        <v>0.2857142857142857</v>
      </c>
      <c r="J27" s="49">
        <f>AVERAGE('31.07 Nebbi-Goli'!J27,'01.08 Nebbi-Goli'!J27,'04.08 Nebbi-Goli'!J27,'05.08 Nebbi-Goli'!J27,'02.08 Nebbi-Goli-24h'!J27,'03.08 Nebbi-Goli-24h'!J27,'06.08 Nebbi-Goli'!J27)</f>
        <v>0</v>
      </c>
      <c r="K27" s="49">
        <f>AVERAGE('31.07 Nebbi-Goli'!K27,'01.08 Nebbi-Goli'!K27,'04.08 Nebbi-Goli'!K27,'05.08 Nebbi-Goli'!K27,'02.08 Nebbi-Goli-24h'!K27,'03.08 Nebbi-Goli-24h'!K27,'06.08 Nebbi-Goli'!K27)</f>
        <v>0</v>
      </c>
      <c r="L27" s="49">
        <f>AVERAGE('31.07 Nebbi-Goli'!L27,'01.08 Nebbi-Goli'!L27,'04.08 Nebbi-Goli'!L27,'05.08 Nebbi-Goli'!L27,'02.08 Nebbi-Goli-24h'!L27,'03.08 Nebbi-Goli-24h'!L27,'06.08 Nebbi-Goli'!L27)</f>
        <v>0.42857142857142855</v>
      </c>
      <c r="M27" s="49">
        <f>AVERAGE('31.07 Nebbi-Goli'!M27,'01.08 Nebbi-Goli'!M27,'04.08 Nebbi-Goli'!M27,'05.08 Nebbi-Goli'!M27,'02.08 Nebbi-Goli-24h'!M27,'03.08 Nebbi-Goli-24h'!M27,'06.08 Nebbi-Goli'!M27)</f>
        <v>12.285714285714286</v>
      </c>
      <c r="N27" s="49">
        <f>AVERAGE('31.07 Nebbi-Goli'!N27,'01.08 Nebbi-Goli'!N27,'04.08 Nebbi-Goli'!N27,'05.08 Nebbi-Goli'!N27,'02.08 Nebbi-Goli-24h'!N27,'03.08 Nebbi-Goli-24h'!N27,'06.08 Nebbi-Goli'!N27)</f>
        <v>0</v>
      </c>
      <c r="O27" s="15">
        <f t="shared" si="0"/>
        <v>2.5714285714285712</v>
      </c>
      <c r="P27" s="15">
        <f t="shared" si="1"/>
        <v>14.857142857142858</v>
      </c>
      <c r="R27" s="1" t="s">
        <v>151</v>
      </c>
      <c r="S27" s="34">
        <f>SUM(C78:C81)</f>
        <v>0.5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4.5</v>
      </c>
      <c r="AD27" s="34">
        <f t="shared" si="19"/>
        <v>0</v>
      </c>
      <c r="AE27" s="31">
        <f t="shared" si="19"/>
        <v>1</v>
      </c>
      <c r="AF27" s="31">
        <f t="shared" si="19"/>
        <v>5.5</v>
      </c>
    </row>
    <row r="28" spans="2:32" ht="23.1" customHeight="1" x14ac:dyDescent="0.25">
      <c r="B28" s="23" t="s">
        <v>55</v>
      </c>
      <c r="C28" s="49">
        <f>AVERAGE('31.07 Nebbi-Goli'!C28,'01.08 Nebbi-Goli'!C28,'04.08 Nebbi-Goli'!C28,'05.08 Nebbi-Goli'!C28,'02.08 Nebbi-Goli-24h'!C28,'03.08 Nebbi-Goli-24h'!C28,'06.08 Nebbi-Goli'!C28)</f>
        <v>0.2857142857142857</v>
      </c>
      <c r="D28" s="49">
        <f>AVERAGE('31.07 Nebbi-Goli'!D28,'01.08 Nebbi-Goli'!D28,'04.08 Nebbi-Goli'!D28,'05.08 Nebbi-Goli'!D28,'02.08 Nebbi-Goli-24h'!D28,'03.08 Nebbi-Goli-24h'!D28,'06.08 Nebbi-Goli'!D28)</f>
        <v>0.2857142857142857</v>
      </c>
      <c r="E28" s="49">
        <f>AVERAGE('31.07 Nebbi-Goli'!E28,'01.08 Nebbi-Goli'!E28,'04.08 Nebbi-Goli'!E28,'05.08 Nebbi-Goli'!E28,'02.08 Nebbi-Goli-24h'!E28,'03.08 Nebbi-Goli-24h'!E28,'06.08 Nebbi-Goli'!E28)</f>
        <v>0.8571428571428571</v>
      </c>
      <c r="F28" s="49">
        <f>AVERAGE('31.07 Nebbi-Goli'!F28,'01.08 Nebbi-Goli'!F28,'04.08 Nebbi-Goli'!F28,'05.08 Nebbi-Goli'!F28,'02.08 Nebbi-Goli-24h'!F28,'03.08 Nebbi-Goli-24h'!F28,'06.08 Nebbi-Goli'!F28)</f>
        <v>0</v>
      </c>
      <c r="G28" s="49">
        <f>AVERAGE('31.07 Nebbi-Goli'!G28,'01.08 Nebbi-Goli'!G28,'04.08 Nebbi-Goli'!G28,'05.08 Nebbi-Goli'!G28,'02.08 Nebbi-Goli-24h'!G28,'03.08 Nebbi-Goli-24h'!G28,'06.08 Nebbi-Goli'!G28)</f>
        <v>0.2857142857142857</v>
      </c>
      <c r="H28" s="49">
        <f>AVERAGE('31.07 Nebbi-Goli'!H28,'01.08 Nebbi-Goli'!H28,'04.08 Nebbi-Goli'!H28,'05.08 Nebbi-Goli'!H28,'02.08 Nebbi-Goli-24h'!H28,'03.08 Nebbi-Goli-24h'!H28,'06.08 Nebbi-Goli'!H28)</f>
        <v>0</v>
      </c>
      <c r="I28" s="49">
        <f>AVERAGE('31.07 Nebbi-Goli'!I28,'01.08 Nebbi-Goli'!I28,'04.08 Nebbi-Goli'!I28,'05.08 Nebbi-Goli'!I28,'02.08 Nebbi-Goli-24h'!I28,'03.08 Nebbi-Goli-24h'!I28,'06.08 Nebbi-Goli'!I28)</f>
        <v>1</v>
      </c>
      <c r="J28" s="49">
        <f>AVERAGE('31.07 Nebbi-Goli'!J28,'01.08 Nebbi-Goli'!J28,'04.08 Nebbi-Goli'!J28,'05.08 Nebbi-Goli'!J28,'02.08 Nebbi-Goli-24h'!J28,'03.08 Nebbi-Goli-24h'!J28,'06.08 Nebbi-Goli'!J28)</f>
        <v>0.14285714285714285</v>
      </c>
      <c r="K28" s="49">
        <f>AVERAGE('31.07 Nebbi-Goli'!K28,'01.08 Nebbi-Goli'!K28,'04.08 Nebbi-Goli'!K28,'05.08 Nebbi-Goli'!K28,'02.08 Nebbi-Goli-24h'!K28,'03.08 Nebbi-Goli-24h'!K28,'06.08 Nebbi-Goli'!K28)</f>
        <v>0</v>
      </c>
      <c r="L28" s="49">
        <f>AVERAGE('31.07 Nebbi-Goli'!L28,'01.08 Nebbi-Goli'!L28,'04.08 Nebbi-Goli'!L28,'05.08 Nebbi-Goli'!L28,'02.08 Nebbi-Goli-24h'!L28,'03.08 Nebbi-Goli-24h'!L28,'06.08 Nebbi-Goli'!L28)</f>
        <v>0.7142857142857143</v>
      </c>
      <c r="M28" s="49">
        <f>AVERAGE('31.07 Nebbi-Goli'!M28,'01.08 Nebbi-Goli'!M28,'04.08 Nebbi-Goli'!M28,'05.08 Nebbi-Goli'!M28,'02.08 Nebbi-Goli-24h'!M28,'03.08 Nebbi-Goli-24h'!M28,'06.08 Nebbi-Goli'!M28)</f>
        <v>11.714285714285714</v>
      </c>
      <c r="N28" s="49">
        <f>AVERAGE('31.07 Nebbi-Goli'!N28,'01.08 Nebbi-Goli'!N28,'04.08 Nebbi-Goli'!N28,'05.08 Nebbi-Goli'!N28,'02.08 Nebbi-Goli-24h'!N28,'03.08 Nebbi-Goli-24h'!N28,'06.08 Nebbi-Goli'!N28)</f>
        <v>0</v>
      </c>
      <c r="O28" s="15">
        <f t="shared" si="0"/>
        <v>3.5714285714285712</v>
      </c>
      <c r="P28" s="15">
        <f t="shared" si="1"/>
        <v>15.285714285714285</v>
      </c>
      <c r="R28" s="1" t="s">
        <v>152</v>
      </c>
      <c r="S28" s="34">
        <f>SUM(C82:C85)</f>
        <v>0.5</v>
      </c>
      <c r="T28" s="34">
        <f t="shared" ref="T28:AF28" si="20">SUM(D82:D85)</f>
        <v>0</v>
      </c>
      <c r="U28" s="34">
        <f t="shared" si="20"/>
        <v>0.5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</v>
      </c>
      <c r="AA28" s="34">
        <f t="shared" si="20"/>
        <v>0</v>
      </c>
      <c r="AB28" s="34">
        <f t="shared" si="20"/>
        <v>1</v>
      </c>
      <c r="AC28" s="34">
        <f t="shared" si="20"/>
        <v>1</v>
      </c>
      <c r="AD28" s="34">
        <f t="shared" si="20"/>
        <v>0</v>
      </c>
      <c r="AE28" s="31">
        <f t="shared" si="20"/>
        <v>2.5</v>
      </c>
      <c r="AF28" s="31">
        <f t="shared" si="20"/>
        <v>3.5</v>
      </c>
    </row>
    <row r="29" spans="2:32" ht="23.1" customHeight="1" x14ac:dyDescent="0.25">
      <c r="B29" s="23" t="s">
        <v>56</v>
      </c>
      <c r="C29" s="49">
        <f>AVERAGE('31.07 Nebbi-Goli'!C29,'01.08 Nebbi-Goli'!C29,'04.08 Nebbi-Goli'!C29,'05.08 Nebbi-Goli'!C29,'02.08 Nebbi-Goli-24h'!C29,'03.08 Nebbi-Goli-24h'!C29,'06.08 Nebbi-Goli'!C29)</f>
        <v>0.7142857142857143</v>
      </c>
      <c r="D29" s="49">
        <f>AVERAGE('31.07 Nebbi-Goli'!D29,'01.08 Nebbi-Goli'!D29,'04.08 Nebbi-Goli'!D29,'05.08 Nebbi-Goli'!D29,'02.08 Nebbi-Goli-24h'!D29,'03.08 Nebbi-Goli-24h'!D29,'06.08 Nebbi-Goli'!D29)</f>
        <v>0.14285714285714285</v>
      </c>
      <c r="E29" s="49">
        <f>AVERAGE('31.07 Nebbi-Goli'!E29,'01.08 Nebbi-Goli'!E29,'04.08 Nebbi-Goli'!E29,'05.08 Nebbi-Goli'!E29,'02.08 Nebbi-Goli-24h'!E29,'03.08 Nebbi-Goli-24h'!E29,'06.08 Nebbi-Goli'!E29)</f>
        <v>0.5714285714285714</v>
      </c>
      <c r="F29" s="49">
        <f>AVERAGE('31.07 Nebbi-Goli'!F29,'01.08 Nebbi-Goli'!F29,'04.08 Nebbi-Goli'!F29,'05.08 Nebbi-Goli'!F29,'02.08 Nebbi-Goli-24h'!F29,'03.08 Nebbi-Goli-24h'!F29,'06.08 Nebbi-Goli'!F29)</f>
        <v>0.7142857142857143</v>
      </c>
      <c r="G29" s="49">
        <f>AVERAGE('31.07 Nebbi-Goli'!G29,'01.08 Nebbi-Goli'!G29,'04.08 Nebbi-Goli'!G29,'05.08 Nebbi-Goli'!G29,'02.08 Nebbi-Goli-24h'!G29,'03.08 Nebbi-Goli-24h'!G29,'06.08 Nebbi-Goli'!G29)</f>
        <v>0.14285714285714285</v>
      </c>
      <c r="H29" s="49">
        <f>AVERAGE('31.07 Nebbi-Goli'!H29,'01.08 Nebbi-Goli'!H29,'04.08 Nebbi-Goli'!H29,'05.08 Nebbi-Goli'!H29,'02.08 Nebbi-Goli-24h'!H29,'03.08 Nebbi-Goli-24h'!H29,'06.08 Nebbi-Goli'!H29)</f>
        <v>0</v>
      </c>
      <c r="I29" s="49">
        <f>AVERAGE('31.07 Nebbi-Goli'!I29,'01.08 Nebbi-Goli'!I29,'04.08 Nebbi-Goli'!I29,'05.08 Nebbi-Goli'!I29,'02.08 Nebbi-Goli-24h'!I29,'03.08 Nebbi-Goli-24h'!I29,'06.08 Nebbi-Goli'!I29)</f>
        <v>0.5714285714285714</v>
      </c>
      <c r="J29" s="49">
        <f>AVERAGE('31.07 Nebbi-Goli'!J29,'01.08 Nebbi-Goli'!J29,'04.08 Nebbi-Goli'!J29,'05.08 Nebbi-Goli'!J29,'02.08 Nebbi-Goli-24h'!J29,'03.08 Nebbi-Goli-24h'!J29,'06.08 Nebbi-Goli'!J29)</f>
        <v>0.14285714285714285</v>
      </c>
      <c r="K29" s="49">
        <f>AVERAGE('31.07 Nebbi-Goli'!K29,'01.08 Nebbi-Goli'!K29,'04.08 Nebbi-Goli'!K29,'05.08 Nebbi-Goli'!K29,'02.08 Nebbi-Goli-24h'!K29,'03.08 Nebbi-Goli-24h'!K29,'06.08 Nebbi-Goli'!K29)</f>
        <v>0</v>
      </c>
      <c r="L29" s="49">
        <f>AVERAGE('31.07 Nebbi-Goli'!L29,'01.08 Nebbi-Goli'!L29,'04.08 Nebbi-Goli'!L29,'05.08 Nebbi-Goli'!L29,'02.08 Nebbi-Goli-24h'!L29,'03.08 Nebbi-Goli-24h'!L29,'06.08 Nebbi-Goli'!L29)</f>
        <v>0.5714285714285714</v>
      </c>
      <c r="M29" s="49">
        <f>AVERAGE('31.07 Nebbi-Goli'!M29,'01.08 Nebbi-Goli'!M29,'04.08 Nebbi-Goli'!M29,'05.08 Nebbi-Goli'!M29,'02.08 Nebbi-Goli-24h'!M29,'03.08 Nebbi-Goli-24h'!M29,'06.08 Nebbi-Goli'!M29)</f>
        <v>12</v>
      </c>
      <c r="N29" s="49">
        <f>AVERAGE('31.07 Nebbi-Goli'!N29,'01.08 Nebbi-Goli'!N29,'04.08 Nebbi-Goli'!N29,'05.08 Nebbi-Goli'!N29,'02.08 Nebbi-Goli-24h'!N29,'03.08 Nebbi-Goli-24h'!N29,'06.08 Nebbi-Goli'!N29)</f>
        <v>0</v>
      </c>
      <c r="O29" s="15">
        <f t="shared" si="0"/>
        <v>3.5714285714285712</v>
      </c>
      <c r="P29" s="15">
        <f t="shared" si="1"/>
        <v>15.571428571428571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0.5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1.5</v>
      </c>
      <c r="AD29" s="34">
        <f t="shared" si="21"/>
        <v>0</v>
      </c>
      <c r="AE29" s="31">
        <f t="shared" si="21"/>
        <v>0.5</v>
      </c>
      <c r="AF29" s="31">
        <f t="shared" si="21"/>
        <v>2</v>
      </c>
    </row>
    <row r="30" spans="2:32" ht="23.1" customHeight="1" x14ac:dyDescent="0.25">
      <c r="B30" s="23" t="s">
        <v>57</v>
      </c>
      <c r="C30" s="49">
        <f>AVERAGE('31.07 Nebbi-Goli'!C30,'01.08 Nebbi-Goli'!C30,'04.08 Nebbi-Goli'!C30,'05.08 Nebbi-Goli'!C30,'02.08 Nebbi-Goli-24h'!C30,'03.08 Nebbi-Goli-24h'!C30,'06.08 Nebbi-Goli'!C30)</f>
        <v>1.1428571428571428</v>
      </c>
      <c r="D30" s="49">
        <f>AVERAGE('31.07 Nebbi-Goli'!D30,'01.08 Nebbi-Goli'!D30,'04.08 Nebbi-Goli'!D30,'05.08 Nebbi-Goli'!D30,'02.08 Nebbi-Goli-24h'!D30,'03.08 Nebbi-Goli-24h'!D30,'06.08 Nebbi-Goli'!D30)</f>
        <v>0</v>
      </c>
      <c r="E30" s="49">
        <f>AVERAGE('31.07 Nebbi-Goli'!E30,'01.08 Nebbi-Goli'!E30,'04.08 Nebbi-Goli'!E30,'05.08 Nebbi-Goli'!E30,'02.08 Nebbi-Goli-24h'!E30,'03.08 Nebbi-Goli-24h'!E30,'06.08 Nebbi-Goli'!E30)</f>
        <v>1</v>
      </c>
      <c r="F30" s="49">
        <f>AVERAGE('31.07 Nebbi-Goli'!F30,'01.08 Nebbi-Goli'!F30,'04.08 Nebbi-Goli'!F30,'05.08 Nebbi-Goli'!F30,'02.08 Nebbi-Goli-24h'!F30,'03.08 Nebbi-Goli-24h'!F30,'06.08 Nebbi-Goli'!F30)</f>
        <v>0.8571428571428571</v>
      </c>
      <c r="G30" s="49">
        <f>AVERAGE('31.07 Nebbi-Goli'!G30,'01.08 Nebbi-Goli'!G30,'04.08 Nebbi-Goli'!G30,'05.08 Nebbi-Goli'!G30,'02.08 Nebbi-Goli-24h'!G30,'03.08 Nebbi-Goli-24h'!G30,'06.08 Nebbi-Goli'!G30)</f>
        <v>0</v>
      </c>
      <c r="H30" s="49">
        <f>AVERAGE('31.07 Nebbi-Goli'!H30,'01.08 Nebbi-Goli'!H30,'04.08 Nebbi-Goli'!H30,'05.08 Nebbi-Goli'!H30,'02.08 Nebbi-Goli-24h'!H30,'03.08 Nebbi-Goli-24h'!H30,'06.08 Nebbi-Goli'!H30)</f>
        <v>1</v>
      </c>
      <c r="I30" s="49">
        <f>AVERAGE('31.07 Nebbi-Goli'!I30,'01.08 Nebbi-Goli'!I30,'04.08 Nebbi-Goli'!I30,'05.08 Nebbi-Goli'!I30,'02.08 Nebbi-Goli-24h'!I30,'03.08 Nebbi-Goli-24h'!I30,'06.08 Nebbi-Goli'!I30)</f>
        <v>0.42857142857142855</v>
      </c>
      <c r="J30" s="49">
        <f>AVERAGE('31.07 Nebbi-Goli'!J30,'01.08 Nebbi-Goli'!J30,'04.08 Nebbi-Goli'!J30,'05.08 Nebbi-Goli'!J30,'02.08 Nebbi-Goli-24h'!J30,'03.08 Nebbi-Goli-24h'!J30,'06.08 Nebbi-Goli'!J30)</f>
        <v>0.14285714285714285</v>
      </c>
      <c r="K30" s="49">
        <f>AVERAGE('31.07 Nebbi-Goli'!K30,'01.08 Nebbi-Goli'!K30,'04.08 Nebbi-Goli'!K30,'05.08 Nebbi-Goli'!K30,'02.08 Nebbi-Goli-24h'!K30,'03.08 Nebbi-Goli-24h'!K30,'06.08 Nebbi-Goli'!K30)</f>
        <v>0</v>
      </c>
      <c r="L30" s="49">
        <f>AVERAGE('31.07 Nebbi-Goli'!L30,'01.08 Nebbi-Goli'!L30,'04.08 Nebbi-Goli'!L30,'05.08 Nebbi-Goli'!L30,'02.08 Nebbi-Goli-24h'!L30,'03.08 Nebbi-Goli-24h'!L30,'06.08 Nebbi-Goli'!L30)</f>
        <v>1.8571428571428572</v>
      </c>
      <c r="M30" s="49">
        <f>AVERAGE('31.07 Nebbi-Goli'!M30,'01.08 Nebbi-Goli'!M30,'04.08 Nebbi-Goli'!M30,'05.08 Nebbi-Goli'!M30,'02.08 Nebbi-Goli-24h'!M30,'03.08 Nebbi-Goli-24h'!M30,'06.08 Nebbi-Goli'!M30)</f>
        <v>12.285714285714286</v>
      </c>
      <c r="N30" s="49">
        <f>AVERAGE('31.07 Nebbi-Goli'!N30,'01.08 Nebbi-Goli'!N30,'04.08 Nebbi-Goli'!N30,'05.08 Nebbi-Goli'!N30,'02.08 Nebbi-Goli-24h'!N30,'03.08 Nebbi-Goli-24h'!N30,'06.08 Nebbi-Goli'!N30)</f>
        <v>0</v>
      </c>
      <c r="O30" s="15">
        <f t="shared" si="0"/>
        <v>6.4285714285714288</v>
      </c>
      <c r="P30" s="15">
        <f t="shared" si="1"/>
        <v>18.714285714285715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0.5</v>
      </c>
      <c r="AC30" s="34">
        <f t="shared" si="22"/>
        <v>2</v>
      </c>
      <c r="AD30" s="34">
        <f t="shared" si="22"/>
        <v>0</v>
      </c>
      <c r="AE30" s="31">
        <f t="shared" si="22"/>
        <v>1</v>
      </c>
      <c r="AF30" s="31">
        <f t="shared" si="22"/>
        <v>3</v>
      </c>
    </row>
    <row r="31" spans="2:32" ht="23.1" customHeight="1" x14ac:dyDescent="0.25">
      <c r="B31" s="24" t="s">
        <v>58</v>
      </c>
      <c r="C31" s="49">
        <f>AVERAGE('31.07 Nebbi-Goli'!C31,'01.08 Nebbi-Goli'!C31,'04.08 Nebbi-Goli'!C31,'05.08 Nebbi-Goli'!C31,'02.08 Nebbi-Goli-24h'!C31,'03.08 Nebbi-Goli-24h'!C31,'06.08 Nebbi-Goli'!C31)</f>
        <v>1</v>
      </c>
      <c r="D31" s="49">
        <f>AVERAGE('31.07 Nebbi-Goli'!D31,'01.08 Nebbi-Goli'!D31,'04.08 Nebbi-Goli'!D31,'05.08 Nebbi-Goli'!D31,'02.08 Nebbi-Goli-24h'!D31,'03.08 Nebbi-Goli-24h'!D31,'06.08 Nebbi-Goli'!D31)</f>
        <v>0.2857142857142857</v>
      </c>
      <c r="E31" s="49">
        <f>AVERAGE('31.07 Nebbi-Goli'!E31,'01.08 Nebbi-Goli'!E31,'04.08 Nebbi-Goli'!E31,'05.08 Nebbi-Goli'!E31,'02.08 Nebbi-Goli-24h'!E31,'03.08 Nebbi-Goli-24h'!E31,'06.08 Nebbi-Goli'!E31)</f>
        <v>1</v>
      </c>
      <c r="F31" s="49">
        <f>AVERAGE('31.07 Nebbi-Goli'!F31,'01.08 Nebbi-Goli'!F31,'04.08 Nebbi-Goli'!F31,'05.08 Nebbi-Goli'!F31,'02.08 Nebbi-Goli-24h'!F31,'03.08 Nebbi-Goli-24h'!F31,'06.08 Nebbi-Goli'!F31)</f>
        <v>0.8571428571428571</v>
      </c>
      <c r="G31" s="49">
        <f>AVERAGE('31.07 Nebbi-Goli'!G31,'01.08 Nebbi-Goli'!G31,'04.08 Nebbi-Goli'!G31,'05.08 Nebbi-Goli'!G31,'02.08 Nebbi-Goli-24h'!G31,'03.08 Nebbi-Goli-24h'!G31,'06.08 Nebbi-Goli'!G31)</f>
        <v>0.14285714285714285</v>
      </c>
      <c r="H31" s="49">
        <f>AVERAGE('31.07 Nebbi-Goli'!H31,'01.08 Nebbi-Goli'!H31,'04.08 Nebbi-Goli'!H31,'05.08 Nebbi-Goli'!H31,'02.08 Nebbi-Goli-24h'!H31,'03.08 Nebbi-Goli-24h'!H31,'06.08 Nebbi-Goli'!H31)</f>
        <v>0</v>
      </c>
      <c r="I31" s="49">
        <f>AVERAGE('31.07 Nebbi-Goli'!I31,'01.08 Nebbi-Goli'!I31,'04.08 Nebbi-Goli'!I31,'05.08 Nebbi-Goli'!I31,'02.08 Nebbi-Goli-24h'!I31,'03.08 Nebbi-Goli-24h'!I31,'06.08 Nebbi-Goli'!I31)</f>
        <v>0.5714285714285714</v>
      </c>
      <c r="J31" s="49">
        <f>AVERAGE('31.07 Nebbi-Goli'!J31,'01.08 Nebbi-Goli'!J31,'04.08 Nebbi-Goli'!J31,'05.08 Nebbi-Goli'!J31,'02.08 Nebbi-Goli-24h'!J31,'03.08 Nebbi-Goli-24h'!J31,'06.08 Nebbi-Goli'!J31)</f>
        <v>0.14285714285714285</v>
      </c>
      <c r="K31" s="49">
        <f>AVERAGE('31.07 Nebbi-Goli'!K31,'01.08 Nebbi-Goli'!K31,'04.08 Nebbi-Goli'!K31,'05.08 Nebbi-Goli'!K31,'02.08 Nebbi-Goli-24h'!K31,'03.08 Nebbi-Goli-24h'!K31,'06.08 Nebbi-Goli'!K31)</f>
        <v>0</v>
      </c>
      <c r="L31" s="49">
        <f>AVERAGE('31.07 Nebbi-Goli'!L31,'01.08 Nebbi-Goli'!L31,'04.08 Nebbi-Goli'!L31,'05.08 Nebbi-Goli'!L31,'02.08 Nebbi-Goli-24h'!L31,'03.08 Nebbi-Goli-24h'!L31,'06.08 Nebbi-Goli'!L31)</f>
        <v>0</v>
      </c>
      <c r="M31" s="49">
        <f>AVERAGE('31.07 Nebbi-Goli'!M31,'01.08 Nebbi-Goli'!M31,'04.08 Nebbi-Goli'!M31,'05.08 Nebbi-Goli'!M31,'02.08 Nebbi-Goli-24h'!M31,'03.08 Nebbi-Goli-24h'!M31,'06.08 Nebbi-Goli'!M31)</f>
        <v>12.714285714285714</v>
      </c>
      <c r="N31" s="49">
        <f>AVERAGE('31.07 Nebbi-Goli'!N31,'01.08 Nebbi-Goli'!N31,'04.08 Nebbi-Goli'!N31,'05.08 Nebbi-Goli'!N31,'02.08 Nebbi-Goli-24h'!N31,'03.08 Nebbi-Goli-24h'!N31,'06.08 Nebbi-Goli'!N31)</f>
        <v>0</v>
      </c>
      <c r="O31" s="15">
        <f t="shared" si="0"/>
        <v>3.9999999999999996</v>
      </c>
      <c r="P31" s="15">
        <f t="shared" si="1"/>
        <v>16.714285714285712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0.5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1</v>
      </c>
      <c r="AC31" s="34">
        <f t="shared" si="23"/>
        <v>4</v>
      </c>
      <c r="AD31" s="34">
        <f t="shared" si="23"/>
        <v>0</v>
      </c>
      <c r="AE31" s="31">
        <f t="shared" si="23"/>
        <v>2.5</v>
      </c>
      <c r="AF31" s="31">
        <f t="shared" si="23"/>
        <v>6.5</v>
      </c>
    </row>
    <row r="32" spans="2:32" ht="23.1" customHeight="1" x14ac:dyDescent="0.25">
      <c r="B32" s="24" t="s">
        <v>59</v>
      </c>
      <c r="C32" s="49">
        <f>AVERAGE('31.07 Nebbi-Goli'!C32,'01.08 Nebbi-Goli'!C32,'04.08 Nebbi-Goli'!C32,'05.08 Nebbi-Goli'!C32,'02.08 Nebbi-Goli-24h'!C32,'03.08 Nebbi-Goli-24h'!C32,'06.08 Nebbi-Goli'!C32)</f>
        <v>0.8571428571428571</v>
      </c>
      <c r="D32" s="49">
        <f>AVERAGE('31.07 Nebbi-Goli'!D32,'01.08 Nebbi-Goli'!D32,'04.08 Nebbi-Goli'!D32,'05.08 Nebbi-Goli'!D32,'02.08 Nebbi-Goli-24h'!D32,'03.08 Nebbi-Goli-24h'!D32,'06.08 Nebbi-Goli'!D32)</f>
        <v>0</v>
      </c>
      <c r="E32" s="49">
        <f>AVERAGE('31.07 Nebbi-Goli'!E32,'01.08 Nebbi-Goli'!E32,'04.08 Nebbi-Goli'!E32,'05.08 Nebbi-Goli'!E32,'02.08 Nebbi-Goli-24h'!E32,'03.08 Nebbi-Goli-24h'!E32,'06.08 Nebbi-Goli'!E32)</f>
        <v>0.42857142857142855</v>
      </c>
      <c r="F32" s="49">
        <f>AVERAGE('31.07 Nebbi-Goli'!F32,'01.08 Nebbi-Goli'!F32,'04.08 Nebbi-Goli'!F32,'05.08 Nebbi-Goli'!F32,'02.08 Nebbi-Goli-24h'!F32,'03.08 Nebbi-Goli-24h'!F32,'06.08 Nebbi-Goli'!F32)</f>
        <v>0.42857142857142855</v>
      </c>
      <c r="G32" s="49">
        <f>AVERAGE('31.07 Nebbi-Goli'!G32,'01.08 Nebbi-Goli'!G32,'04.08 Nebbi-Goli'!G32,'05.08 Nebbi-Goli'!G32,'02.08 Nebbi-Goli-24h'!G32,'03.08 Nebbi-Goli-24h'!G32,'06.08 Nebbi-Goli'!G32)</f>
        <v>0.14285714285714285</v>
      </c>
      <c r="H32" s="49">
        <f>AVERAGE('31.07 Nebbi-Goli'!H32,'01.08 Nebbi-Goli'!H32,'04.08 Nebbi-Goli'!H32,'05.08 Nebbi-Goli'!H32,'02.08 Nebbi-Goli-24h'!H32,'03.08 Nebbi-Goli-24h'!H32,'06.08 Nebbi-Goli'!H32)</f>
        <v>0</v>
      </c>
      <c r="I32" s="49">
        <f>AVERAGE('31.07 Nebbi-Goli'!I32,'01.08 Nebbi-Goli'!I32,'04.08 Nebbi-Goli'!I32,'05.08 Nebbi-Goli'!I32,'02.08 Nebbi-Goli-24h'!I32,'03.08 Nebbi-Goli-24h'!I32,'06.08 Nebbi-Goli'!I32)</f>
        <v>0.2857142857142857</v>
      </c>
      <c r="J32" s="49">
        <f>AVERAGE('31.07 Nebbi-Goli'!J32,'01.08 Nebbi-Goli'!J32,'04.08 Nebbi-Goli'!J32,'05.08 Nebbi-Goli'!J32,'02.08 Nebbi-Goli-24h'!J32,'03.08 Nebbi-Goli-24h'!J32,'06.08 Nebbi-Goli'!J32)</f>
        <v>0.14285714285714285</v>
      </c>
      <c r="K32" s="49">
        <f>AVERAGE('31.07 Nebbi-Goli'!K32,'01.08 Nebbi-Goli'!K32,'04.08 Nebbi-Goli'!K32,'05.08 Nebbi-Goli'!K32,'02.08 Nebbi-Goli-24h'!K32,'03.08 Nebbi-Goli-24h'!K32,'06.08 Nebbi-Goli'!K32)</f>
        <v>0</v>
      </c>
      <c r="L32" s="49">
        <f>AVERAGE('31.07 Nebbi-Goli'!L32,'01.08 Nebbi-Goli'!L32,'04.08 Nebbi-Goli'!L32,'05.08 Nebbi-Goli'!L32,'02.08 Nebbi-Goli-24h'!L32,'03.08 Nebbi-Goli-24h'!L32,'06.08 Nebbi-Goli'!L32)</f>
        <v>0.5714285714285714</v>
      </c>
      <c r="M32" s="49">
        <f>AVERAGE('31.07 Nebbi-Goli'!M32,'01.08 Nebbi-Goli'!M32,'04.08 Nebbi-Goli'!M32,'05.08 Nebbi-Goli'!M32,'02.08 Nebbi-Goli-24h'!M32,'03.08 Nebbi-Goli-24h'!M32,'06.08 Nebbi-Goli'!M32)</f>
        <v>10.857142857142858</v>
      </c>
      <c r="N32" s="49">
        <f>AVERAGE('31.07 Nebbi-Goli'!N32,'01.08 Nebbi-Goli'!N32,'04.08 Nebbi-Goli'!N32,'05.08 Nebbi-Goli'!N32,'02.08 Nebbi-Goli-24h'!N32,'03.08 Nebbi-Goli-24h'!N32,'06.08 Nebbi-Goli'!N32)</f>
        <v>0</v>
      </c>
      <c r="O32" s="15">
        <f t="shared" si="0"/>
        <v>2.8571428571428568</v>
      </c>
      <c r="P32" s="15">
        <f t="shared" si="1"/>
        <v>13.714285714285715</v>
      </c>
      <c r="R32" s="1" t="s">
        <v>156</v>
      </c>
      <c r="S32" s="34">
        <f>SUM(C98:C101)</f>
        <v>0.5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0.5</v>
      </c>
      <c r="AC32" s="34">
        <f t="shared" si="24"/>
        <v>5</v>
      </c>
      <c r="AD32" s="34">
        <f t="shared" si="24"/>
        <v>0</v>
      </c>
      <c r="AE32" s="31">
        <f t="shared" si="24"/>
        <v>1</v>
      </c>
      <c r="AF32" s="31">
        <f t="shared" si="24"/>
        <v>6</v>
      </c>
    </row>
    <row r="33" spans="2:32" ht="23.1" customHeight="1" x14ac:dyDescent="0.25">
      <c r="B33" s="23" t="s">
        <v>60</v>
      </c>
      <c r="C33" s="49">
        <f>AVERAGE('31.07 Nebbi-Goli'!C33,'01.08 Nebbi-Goli'!C33,'04.08 Nebbi-Goli'!C33,'05.08 Nebbi-Goli'!C33,'02.08 Nebbi-Goli-24h'!C33,'03.08 Nebbi-Goli-24h'!C33,'06.08 Nebbi-Goli'!C33)</f>
        <v>0.42857142857142855</v>
      </c>
      <c r="D33" s="49">
        <f>AVERAGE('31.07 Nebbi-Goli'!D33,'01.08 Nebbi-Goli'!D33,'04.08 Nebbi-Goli'!D33,'05.08 Nebbi-Goli'!D33,'02.08 Nebbi-Goli-24h'!D33,'03.08 Nebbi-Goli-24h'!D33,'06.08 Nebbi-Goli'!D33)</f>
        <v>0</v>
      </c>
      <c r="E33" s="49">
        <f>AVERAGE('31.07 Nebbi-Goli'!E33,'01.08 Nebbi-Goli'!E33,'04.08 Nebbi-Goli'!E33,'05.08 Nebbi-Goli'!E33,'02.08 Nebbi-Goli-24h'!E33,'03.08 Nebbi-Goli-24h'!E33,'06.08 Nebbi-Goli'!E33)</f>
        <v>0.14285714285714285</v>
      </c>
      <c r="F33" s="49">
        <f>AVERAGE('31.07 Nebbi-Goli'!F33,'01.08 Nebbi-Goli'!F33,'04.08 Nebbi-Goli'!F33,'05.08 Nebbi-Goli'!F33,'02.08 Nebbi-Goli-24h'!F33,'03.08 Nebbi-Goli-24h'!F33,'06.08 Nebbi-Goli'!F33)</f>
        <v>2</v>
      </c>
      <c r="G33" s="49">
        <f>AVERAGE('31.07 Nebbi-Goli'!G33,'01.08 Nebbi-Goli'!G33,'04.08 Nebbi-Goli'!G33,'05.08 Nebbi-Goli'!G33,'02.08 Nebbi-Goli-24h'!G33,'03.08 Nebbi-Goli-24h'!G33,'06.08 Nebbi-Goli'!G33)</f>
        <v>0</v>
      </c>
      <c r="H33" s="49">
        <f>AVERAGE('31.07 Nebbi-Goli'!H33,'01.08 Nebbi-Goli'!H33,'04.08 Nebbi-Goli'!H33,'05.08 Nebbi-Goli'!H33,'02.08 Nebbi-Goli-24h'!H33,'03.08 Nebbi-Goli-24h'!H33,'06.08 Nebbi-Goli'!H33)</f>
        <v>0</v>
      </c>
      <c r="I33" s="49">
        <f>AVERAGE('31.07 Nebbi-Goli'!I33,'01.08 Nebbi-Goli'!I33,'04.08 Nebbi-Goli'!I33,'05.08 Nebbi-Goli'!I33,'02.08 Nebbi-Goli-24h'!I33,'03.08 Nebbi-Goli-24h'!I33,'06.08 Nebbi-Goli'!I33)</f>
        <v>0.8571428571428571</v>
      </c>
      <c r="J33" s="49">
        <f>AVERAGE('31.07 Nebbi-Goli'!J33,'01.08 Nebbi-Goli'!J33,'04.08 Nebbi-Goli'!J33,'05.08 Nebbi-Goli'!J33,'02.08 Nebbi-Goli-24h'!J33,'03.08 Nebbi-Goli-24h'!J33,'06.08 Nebbi-Goli'!J33)</f>
        <v>0.2857142857142857</v>
      </c>
      <c r="K33" s="49">
        <f>AVERAGE('31.07 Nebbi-Goli'!K33,'01.08 Nebbi-Goli'!K33,'04.08 Nebbi-Goli'!K33,'05.08 Nebbi-Goli'!K33,'02.08 Nebbi-Goli-24h'!K33,'03.08 Nebbi-Goli-24h'!K33,'06.08 Nebbi-Goli'!K33)</f>
        <v>0.14285714285714285</v>
      </c>
      <c r="L33" s="49">
        <f>AVERAGE('31.07 Nebbi-Goli'!L33,'01.08 Nebbi-Goli'!L33,'04.08 Nebbi-Goli'!L33,'05.08 Nebbi-Goli'!L33,'02.08 Nebbi-Goli-24h'!L33,'03.08 Nebbi-Goli-24h'!L33,'06.08 Nebbi-Goli'!L33)</f>
        <v>0.14285714285714285</v>
      </c>
      <c r="M33" s="49">
        <f>AVERAGE('31.07 Nebbi-Goli'!M33,'01.08 Nebbi-Goli'!M33,'04.08 Nebbi-Goli'!M33,'05.08 Nebbi-Goli'!M33,'02.08 Nebbi-Goli-24h'!M33,'03.08 Nebbi-Goli-24h'!M33,'06.08 Nebbi-Goli'!M33)</f>
        <v>9.8571428571428577</v>
      </c>
      <c r="N33" s="49">
        <f>AVERAGE('31.07 Nebbi-Goli'!N33,'01.08 Nebbi-Goli'!N33,'04.08 Nebbi-Goli'!N33,'05.08 Nebbi-Goli'!N33,'02.08 Nebbi-Goli-24h'!N33,'03.08 Nebbi-Goli-24h'!N33,'06.08 Nebbi-Goli'!N33)</f>
        <v>0</v>
      </c>
      <c r="O33" s="15">
        <f t="shared" si="0"/>
        <v>3.9999999999999996</v>
      </c>
      <c r="P33" s="15">
        <f t="shared" si="1"/>
        <v>13.857142857142858</v>
      </c>
      <c r="R33" s="1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0.5</v>
      </c>
      <c r="Z33" s="34">
        <f t="shared" si="25"/>
        <v>0</v>
      </c>
      <c r="AA33" s="34">
        <f t="shared" si="25"/>
        <v>0</v>
      </c>
      <c r="AB33" s="34">
        <f t="shared" si="25"/>
        <v>0.5</v>
      </c>
      <c r="AC33" s="34">
        <f t="shared" si="25"/>
        <v>16</v>
      </c>
      <c r="AD33" s="34">
        <f t="shared" si="25"/>
        <v>0</v>
      </c>
      <c r="AE33" s="31">
        <f t="shared" si="25"/>
        <v>4</v>
      </c>
      <c r="AF33" s="31">
        <f t="shared" si="25"/>
        <v>20</v>
      </c>
    </row>
    <row r="34" spans="2:32" ht="23.1" customHeight="1" x14ac:dyDescent="0.25">
      <c r="B34" s="24" t="s">
        <v>61</v>
      </c>
      <c r="C34" s="49">
        <f>AVERAGE('31.07 Nebbi-Goli'!C34,'01.08 Nebbi-Goli'!C34,'04.08 Nebbi-Goli'!C34,'05.08 Nebbi-Goli'!C34,'02.08 Nebbi-Goli-24h'!C34,'03.08 Nebbi-Goli-24h'!C34,'06.08 Nebbi-Goli'!C34)</f>
        <v>0.7142857142857143</v>
      </c>
      <c r="D34" s="49">
        <f>AVERAGE('31.07 Nebbi-Goli'!D34,'01.08 Nebbi-Goli'!D34,'04.08 Nebbi-Goli'!D34,'05.08 Nebbi-Goli'!D34,'02.08 Nebbi-Goli-24h'!D34,'03.08 Nebbi-Goli-24h'!D34,'06.08 Nebbi-Goli'!D34)</f>
        <v>0</v>
      </c>
      <c r="E34" s="49">
        <f>AVERAGE('31.07 Nebbi-Goli'!E34,'01.08 Nebbi-Goli'!E34,'04.08 Nebbi-Goli'!E34,'05.08 Nebbi-Goli'!E34,'02.08 Nebbi-Goli-24h'!E34,'03.08 Nebbi-Goli-24h'!E34,'06.08 Nebbi-Goli'!E34)</f>
        <v>0.14285714285714285</v>
      </c>
      <c r="F34" s="49">
        <f>AVERAGE('31.07 Nebbi-Goli'!F34,'01.08 Nebbi-Goli'!F34,'04.08 Nebbi-Goli'!F34,'05.08 Nebbi-Goli'!F34,'02.08 Nebbi-Goli-24h'!F34,'03.08 Nebbi-Goli-24h'!F34,'06.08 Nebbi-Goli'!F34)</f>
        <v>0.2857142857142857</v>
      </c>
      <c r="G34" s="49">
        <f>AVERAGE('31.07 Nebbi-Goli'!G34,'01.08 Nebbi-Goli'!G34,'04.08 Nebbi-Goli'!G34,'05.08 Nebbi-Goli'!G34,'02.08 Nebbi-Goli-24h'!G34,'03.08 Nebbi-Goli-24h'!G34,'06.08 Nebbi-Goli'!G34)</f>
        <v>0</v>
      </c>
      <c r="H34" s="49">
        <f>AVERAGE('31.07 Nebbi-Goli'!H34,'01.08 Nebbi-Goli'!H34,'04.08 Nebbi-Goli'!H34,'05.08 Nebbi-Goli'!H34,'02.08 Nebbi-Goli-24h'!H34,'03.08 Nebbi-Goli-24h'!H34,'06.08 Nebbi-Goli'!H34)</f>
        <v>0</v>
      </c>
      <c r="I34" s="49">
        <f>AVERAGE('31.07 Nebbi-Goli'!I34,'01.08 Nebbi-Goli'!I34,'04.08 Nebbi-Goli'!I34,'05.08 Nebbi-Goli'!I34,'02.08 Nebbi-Goli-24h'!I34,'03.08 Nebbi-Goli-24h'!I34,'06.08 Nebbi-Goli'!I34)</f>
        <v>0.5714285714285714</v>
      </c>
      <c r="J34" s="49">
        <f>AVERAGE('31.07 Nebbi-Goli'!J34,'01.08 Nebbi-Goli'!J34,'04.08 Nebbi-Goli'!J34,'05.08 Nebbi-Goli'!J34,'02.08 Nebbi-Goli-24h'!J34,'03.08 Nebbi-Goli-24h'!J34,'06.08 Nebbi-Goli'!J34)</f>
        <v>0</v>
      </c>
      <c r="K34" s="49">
        <f>AVERAGE('31.07 Nebbi-Goli'!K34,'01.08 Nebbi-Goli'!K34,'04.08 Nebbi-Goli'!K34,'05.08 Nebbi-Goli'!K34,'02.08 Nebbi-Goli-24h'!K34,'03.08 Nebbi-Goli-24h'!K34,'06.08 Nebbi-Goli'!K34)</f>
        <v>0.14285714285714285</v>
      </c>
      <c r="L34" s="49">
        <f>AVERAGE('31.07 Nebbi-Goli'!L34,'01.08 Nebbi-Goli'!L34,'04.08 Nebbi-Goli'!L34,'05.08 Nebbi-Goli'!L34,'02.08 Nebbi-Goli-24h'!L34,'03.08 Nebbi-Goli-24h'!L34,'06.08 Nebbi-Goli'!L34)</f>
        <v>1.1428571428571428</v>
      </c>
      <c r="M34" s="49">
        <f>AVERAGE('31.07 Nebbi-Goli'!M34,'01.08 Nebbi-Goli'!M34,'04.08 Nebbi-Goli'!M34,'05.08 Nebbi-Goli'!M34,'02.08 Nebbi-Goli-24h'!M34,'03.08 Nebbi-Goli-24h'!M34,'06.08 Nebbi-Goli'!M34)</f>
        <v>11.857142857142858</v>
      </c>
      <c r="N34" s="49">
        <f>AVERAGE('31.07 Nebbi-Goli'!N34,'01.08 Nebbi-Goli'!N34,'04.08 Nebbi-Goli'!N34,'05.08 Nebbi-Goli'!N34,'02.08 Nebbi-Goli-24h'!N34,'03.08 Nebbi-Goli-24h'!N34,'06.08 Nebbi-Goli'!N34)</f>
        <v>0</v>
      </c>
      <c r="O34" s="15">
        <f t="shared" si="0"/>
        <v>3</v>
      </c>
      <c r="P34" s="15">
        <f t="shared" si="1"/>
        <v>14.857142857142858</v>
      </c>
      <c r="R34" s="38" t="s">
        <v>90</v>
      </c>
      <c r="S34" s="39">
        <f t="shared" ref="S34:AF34" si="26">MAX(S10:S12)</f>
        <v>3.2857142857142856</v>
      </c>
      <c r="T34" s="39">
        <f t="shared" si="26"/>
        <v>0.71428571428571419</v>
      </c>
      <c r="U34" s="39">
        <f t="shared" si="26"/>
        <v>2.7142857142857144</v>
      </c>
      <c r="V34" s="39">
        <f t="shared" si="26"/>
        <v>3.2857142857142856</v>
      </c>
      <c r="W34" s="39">
        <f t="shared" si="26"/>
        <v>0.5714285714285714</v>
      </c>
      <c r="X34" s="39">
        <f t="shared" si="26"/>
        <v>1.1428571428571428</v>
      </c>
      <c r="Y34" s="39">
        <f t="shared" si="26"/>
        <v>2.8571428571428572</v>
      </c>
      <c r="Z34" s="39">
        <f t="shared" si="26"/>
        <v>0.42857142857142855</v>
      </c>
      <c r="AA34" s="39">
        <f t="shared" si="26"/>
        <v>0</v>
      </c>
      <c r="AB34" s="39">
        <f t="shared" si="26"/>
        <v>1.7142857142857142</v>
      </c>
      <c r="AC34" s="39">
        <f t="shared" si="26"/>
        <v>47.428571428571431</v>
      </c>
      <c r="AD34" s="39">
        <f t="shared" si="26"/>
        <v>0.14285714285714285</v>
      </c>
      <c r="AE34" s="40">
        <f t="shared" si="26"/>
        <v>15.714285714285714</v>
      </c>
      <c r="AF34" s="40">
        <f t="shared" si="26"/>
        <v>63.142857142857139</v>
      </c>
    </row>
    <row r="35" spans="2:32" ht="23.1" customHeight="1" x14ac:dyDescent="0.25">
      <c r="B35" s="24" t="s">
        <v>62</v>
      </c>
      <c r="C35" s="49">
        <f>AVERAGE('31.07 Nebbi-Goli'!C35,'01.08 Nebbi-Goli'!C35,'04.08 Nebbi-Goli'!C35,'05.08 Nebbi-Goli'!C35,'02.08 Nebbi-Goli-24h'!C35,'03.08 Nebbi-Goli-24h'!C35,'06.08 Nebbi-Goli'!C35)</f>
        <v>1.1428571428571428</v>
      </c>
      <c r="D35" s="49">
        <f>AVERAGE('31.07 Nebbi-Goli'!D35,'01.08 Nebbi-Goli'!D35,'04.08 Nebbi-Goli'!D35,'05.08 Nebbi-Goli'!D35,'02.08 Nebbi-Goli-24h'!D35,'03.08 Nebbi-Goli-24h'!D35,'06.08 Nebbi-Goli'!D35)</f>
        <v>0.42857142857142855</v>
      </c>
      <c r="E35" s="49">
        <f>AVERAGE('31.07 Nebbi-Goli'!E35,'01.08 Nebbi-Goli'!E35,'04.08 Nebbi-Goli'!E35,'05.08 Nebbi-Goli'!E35,'02.08 Nebbi-Goli-24h'!E35,'03.08 Nebbi-Goli-24h'!E35,'06.08 Nebbi-Goli'!E35)</f>
        <v>1.7142857142857142</v>
      </c>
      <c r="F35" s="49">
        <f>AVERAGE('31.07 Nebbi-Goli'!F35,'01.08 Nebbi-Goli'!F35,'04.08 Nebbi-Goli'!F35,'05.08 Nebbi-Goli'!F35,'02.08 Nebbi-Goli-24h'!F35,'03.08 Nebbi-Goli-24h'!F35,'06.08 Nebbi-Goli'!F35)</f>
        <v>0.8571428571428571</v>
      </c>
      <c r="G35" s="49">
        <f>AVERAGE('31.07 Nebbi-Goli'!G35,'01.08 Nebbi-Goli'!G35,'04.08 Nebbi-Goli'!G35,'05.08 Nebbi-Goli'!G35,'02.08 Nebbi-Goli-24h'!G35,'03.08 Nebbi-Goli-24h'!G35,'06.08 Nebbi-Goli'!G35)</f>
        <v>0</v>
      </c>
      <c r="H35" s="49">
        <f>AVERAGE('31.07 Nebbi-Goli'!H35,'01.08 Nebbi-Goli'!H35,'04.08 Nebbi-Goli'!H35,'05.08 Nebbi-Goli'!H35,'02.08 Nebbi-Goli-24h'!H35,'03.08 Nebbi-Goli-24h'!H35,'06.08 Nebbi-Goli'!H35)</f>
        <v>0</v>
      </c>
      <c r="I35" s="49">
        <f>AVERAGE('31.07 Nebbi-Goli'!I35,'01.08 Nebbi-Goli'!I35,'04.08 Nebbi-Goli'!I35,'05.08 Nebbi-Goli'!I35,'02.08 Nebbi-Goli-24h'!I35,'03.08 Nebbi-Goli-24h'!I35,'06.08 Nebbi-Goli'!I35)</f>
        <v>0.7142857142857143</v>
      </c>
      <c r="J35" s="49">
        <f>AVERAGE('31.07 Nebbi-Goli'!J35,'01.08 Nebbi-Goli'!J35,'04.08 Nebbi-Goli'!J35,'05.08 Nebbi-Goli'!J35,'02.08 Nebbi-Goli-24h'!J35,'03.08 Nebbi-Goli-24h'!J35,'06.08 Nebbi-Goli'!J35)</f>
        <v>0.5714285714285714</v>
      </c>
      <c r="K35" s="49">
        <f>AVERAGE('31.07 Nebbi-Goli'!K35,'01.08 Nebbi-Goli'!K35,'04.08 Nebbi-Goli'!K35,'05.08 Nebbi-Goli'!K35,'02.08 Nebbi-Goli-24h'!K35,'03.08 Nebbi-Goli-24h'!K35,'06.08 Nebbi-Goli'!K35)</f>
        <v>0</v>
      </c>
      <c r="L35" s="49">
        <f>AVERAGE('31.07 Nebbi-Goli'!L35,'01.08 Nebbi-Goli'!L35,'04.08 Nebbi-Goli'!L35,'05.08 Nebbi-Goli'!L35,'02.08 Nebbi-Goli-24h'!L35,'03.08 Nebbi-Goli-24h'!L35,'06.08 Nebbi-Goli'!L35)</f>
        <v>0.2857142857142857</v>
      </c>
      <c r="M35" s="49">
        <f>AVERAGE('31.07 Nebbi-Goli'!M35,'01.08 Nebbi-Goli'!M35,'04.08 Nebbi-Goli'!M35,'05.08 Nebbi-Goli'!M35,'02.08 Nebbi-Goli-24h'!M35,'03.08 Nebbi-Goli-24h'!M35,'06.08 Nebbi-Goli'!M35)</f>
        <v>10.428571428571429</v>
      </c>
      <c r="N35" s="49">
        <f>AVERAGE('31.07 Nebbi-Goli'!N35,'01.08 Nebbi-Goli'!N35,'04.08 Nebbi-Goli'!N35,'05.08 Nebbi-Goli'!N35,'02.08 Nebbi-Goli-24h'!N35,'03.08 Nebbi-Goli-24h'!N35,'06.08 Nebbi-Goli'!N35)</f>
        <v>0</v>
      </c>
      <c r="O35" s="15">
        <f t="shared" si="0"/>
        <v>5.7142857142857135</v>
      </c>
      <c r="P35" s="15">
        <f t="shared" si="1"/>
        <v>16.142857142857142</v>
      </c>
      <c r="R35" s="38" t="s">
        <v>91</v>
      </c>
      <c r="S35" s="39">
        <f t="shared" ref="S35:AF35" si="27">MAX(S13:S18)</f>
        <v>3.8571428571428568</v>
      </c>
      <c r="T35" s="39">
        <f t="shared" si="27"/>
        <v>0.85714285714285698</v>
      </c>
      <c r="U35" s="39">
        <f t="shared" si="27"/>
        <v>3.8571428571428572</v>
      </c>
      <c r="V35" s="39">
        <f t="shared" si="27"/>
        <v>4.1428571428571423</v>
      </c>
      <c r="W35" s="39">
        <f t="shared" si="27"/>
        <v>0.5714285714285714</v>
      </c>
      <c r="X35" s="39">
        <f t="shared" si="27"/>
        <v>1</v>
      </c>
      <c r="Y35" s="39">
        <f t="shared" si="27"/>
        <v>3.8571428571428568</v>
      </c>
      <c r="Z35" s="39">
        <f t="shared" si="27"/>
        <v>1</v>
      </c>
      <c r="AA35" s="39">
        <f t="shared" si="27"/>
        <v>0.71428571428571419</v>
      </c>
      <c r="AB35" s="39">
        <f t="shared" si="27"/>
        <v>3.4285714285714284</v>
      </c>
      <c r="AC35" s="39">
        <f t="shared" si="27"/>
        <v>47.714285714285708</v>
      </c>
      <c r="AD35" s="39">
        <f t="shared" si="27"/>
        <v>0.14285714285714285</v>
      </c>
      <c r="AE35" s="40">
        <f t="shared" si="27"/>
        <v>17.285714285714285</v>
      </c>
      <c r="AF35" s="40">
        <f t="shared" si="27"/>
        <v>63</v>
      </c>
    </row>
    <row r="36" spans="2:32" ht="23.1" customHeight="1" x14ac:dyDescent="0.25">
      <c r="B36" s="24" t="s">
        <v>63</v>
      </c>
      <c r="C36" s="49">
        <f>AVERAGE('31.07 Nebbi-Goli'!C36,'01.08 Nebbi-Goli'!C36,'04.08 Nebbi-Goli'!C36,'05.08 Nebbi-Goli'!C36,'02.08 Nebbi-Goli-24h'!C36,'03.08 Nebbi-Goli-24h'!C36,'06.08 Nebbi-Goli'!C36)</f>
        <v>0.2857142857142857</v>
      </c>
      <c r="D36" s="49">
        <f>AVERAGE('31.07 Nebbi-Goli'!D36,'01.08 Nebbi-Goli'!D36,'04.08 Nebbi-Goli'!D36,'05.08 Nebbi-Goli'!D36,'02.08 Nebbi-Goli-24h'!D36,'03.08 Nebbi-Goli-24h'!D36,'06.08 Nebbi-Goli'!D36)</f>
        <v>0</v>
      </c>
      <c r="E36" s="49">
        <f>AVERAGE('31.07 Nebbi-Goli'!E36,'01.08 Nebbi-Goli'!E36,'04.08 Nebbi-Goli'!E36,'05.08 Nebbi-Goli'!E36,'02.08 Nebbi-Goli-24h'!E36,'03.08 Nebbi-Goli-24h'!E36,'06.08 Nebbi-Goli'!E36)</f>
        <v>0.7142857142857143</v>
      </c>
      <c r="F36" s="49">
        <f>AVERAGE('31.07 Nebbi-Goli'!F36,'01.08 Nebbi-Goli'!F36,'04.08 Nebbi-Goli'!F36,'05.08 Nebbi-Goli'!F36,'02.08 Nebbi-Goli-24h'!F36,'03.08 Nebbi-Goli-24h'!F36,'06.08 Nebbi-Goli'!F36)</f>
        <v>0.7142857142857143</v>
      </c>
      <c r="G36" s="49">
        <f>AVERAGE('31.07 Nebbi-Goli'!G36,'01.08 Nebbi-Goli'!G36,'04.08 Nebbi-Goli'!G36,'05.08 Nebbi-Goli'!G36,'02.08 Nebbi-Goli-24h'!G36,'03.08 Nebbi-Goli-24h'!G36,'06.08 Nebbi-Goli'!G36)</f>
        <v>0</v>
      </c>
      <c r="H36" s="49">
        <f>AVERAGE('31.07 Nebbi-Goli'!H36,'01.08 Nebbi-Goli'!H36,'04.08 Nebbi-Goli'!H36,'05.08 Nebbi-Goli'!H36,'02.08 Nebbi-Goli-24h'!H36,'03.08 Nebbi-Goli-24h'!H36,'06.08 Nebbi-Goli'!H36)</f>
        <v>0</v>
      </c>
      <c r="I36" s="49">
        <f>AVERAGE('31.07 Nebbi-Goli'!I36,'01.08 Nebbi-Goli'!I36,'04.08 Nebbi-Goli'!I36,'05.08 Nebbi-Goli'!I36,'02.08 Nebbi-Goli-24h'!I36,'03.08 Nebbi-Goli-24h'!I36,'06.08 Nebbi-Goli'!I36)</f>
        <v>0.14285714285714285</v>
      </c>
      <c r="J36" s="49">
        <f>AVERAGE('31.07 Nebbi-Goli'!J36,'01.08 Nebbi-Goli'!J36,'04.08 Nebbi-Goli'!J36,'05.08 Nebbi-Goli'!J36,'02.08 Nebbi-Goli-24h'!J36,'03.08 Nebbi-Goli-24h'!J36,'06.08 Nebbi-Goli'!J36)</f>
        <v>0.2857142857142857</v>
      </c>
      <c r="K36" s="49">
        <f>AVERAGE('31.07 Nebbi-Goli'!K36,'01.08 Nebbi-Goli'!K36,'04.08 Nebbi-Goli'!K36,'05.08 Nebbi-Goli'!K36,'02.08 Nebbi-Goli-24h'!K36,'03.08 Nebbi-Goli-24h'!K36,'06.08 Nebbi-Goli'!K36)</f>
        <v>0</v>
      </c>
      <c r="L36" s="49">
        <f>AVERAGE('31.07 Nebbi-Goli'!L36,'01.08 Nebbi-Goli'!L36,'04.08 Nebbi-Goli'!L36,'05.08 Nebbi-Goli'!L36,'02.08 Nebbi-Goli-24h'!L36,'03.08 Nebbi-Goli-24h'!L36,'06.08 Nebbi-Goli'!L36)</f>
        <v>0</v>
      </c>
      <c r="M36" s="49">
        <f>AVERAGE('31.07 Nebbi-Goli'!M36,'01.08 Nebbi-Goli'!M36,'04.08 Nebbi-Goli'!M36,'05.08 Nebbi-Goli'!M36,'02.08 Nebbi-Goli-24h'!M36,'03.08 Nebbi-Goli-24h'!M36,'06.08 Nebbi-Goli'!M36)</f>
        <v>11.428571428571429</v>
      </c>
      <c r="N36" s="49">
        <f>AVERAGE('31.07 Nebbi-Goli'!N36,'01.08 Nebbi-Goli'!N36,'04.08 Nebbi-Goli'!N36,'05.08 Nebbi-Goli'!N36,'02.08 Nebbi-Goli-24h'!N36,'03.08 Nebbi-Goli-24h'!N36,'06.08 Nebbi-Goli'!N36)</f>
        <v>0</v>
      </c>
      <c r="O36" s="15">
        <f t="shared" si="0"/>
        <v>2.1428571428571428</v>
      </c>
      <c r="P36" s="15">
        <f t="shared" si="1"/>
        <v>13.571428571428571</v>
      </c>
      <c r="R36" s="38" t="s">
        <v>92</v>
      </c>
      <c r="S36" s="39">
        <f t="shared" ref="S36:AF36" si="28">MAX(S19:S21)</f>
        <v>4.5714285714285712</v>
      </c>
      <c r="T36" s="39">
        <f t="shared" si="28"/>
        <v>1.4285714285714284</v>
      </c>
      <c r="U36" s="39">
        <f t="shared" si="28"/>
        <v>5.7142857142857144</v>
      </c>
      <c r="V36" s="39">
        <f t="shared" si="28"/>
        <v>3</v>
      </c>
      <c r="W36" s="39">
        <f t="shared" si="28"/>
        <v>0.42857142857142855</v>
      </c>
      <c r="X36" s="39">
        <f t="shared" si="28"/>
        <v>0.14285714285714285</v>
      </c>
      <c r="Y36" s="39">
        <f t="shared" si="28"/>
        <v>4.1428571428571432</v>
      </c>
      <c r="Z36" s="39">
        <f t="shared" si="28"/>
        <v>0.2857142857142857</v>
      </c>
      <c r="AA36" s="39">
        <f t="shared" si="28"/>
        <v>1</v>
      </c>
      <c r="AB36" s="39">
        <f t="shared" si="28"/>
        <v>3.2857142857142856</v>
      </c>
      <c r="AC36" s="39">
        <f t="shared" si="28"/>
        <v>51</v>
      </c>
      <c r="AD36" s="39">
        <f t="shared" si="28"/>
        <v>0</v>
      </c>
      <c r="AE36" s="40">
        <f t="shared" si="28"/>
        <v>21.571428571428573</v>
      </c>
      <c r="AF36" s="40">
        <f t="shared" si="28"/>
        <v>67.857142857142861</v>
      </c>
    </row>
    <row r="37" spans="2:32" ht="23.1" customHeight="1" x14ac:dyDescent="0.25">
      <c r="B37" s="23" t="s">
        <v>64</v>
      </c>
      <c r="C37" s="49">
        <f>AVERAGE('31.07 Nebbi-Goli'!C37,'01.08 Nebbi-Goli'!C37,'04.08 Nebbi-Goli'!C37,'05.08 Nebbi-Goli'!C37,'02.08 Nebbi-Goli-24h'!C37,'03.08 Nebbi-Goli-24h'!C37,'06.08 Nebbi-Goli'!C37)</f>
        <v>0.7142857142857143</v>
      </c>
      <c r="D37" s="49">
        <f>AVERAGE('31.07 Nebbi-Goli'!D37,'01.08 Nebbi-Goli'!D37,'04.08 Nebbi-Goli'!D37,'05.08 Nebbi-Goli'!D37,'02.08 Nebbi-Goli-24h'!D37,'03.08 Nebbi-Goli-24h'!D37,'06.08 Nebbi-Goli'!D37)</f>
        <v>0.2857142857142857</v>
      </c>
      <c r="E37" s="49">
        <f>AVERAGE('31.07 Nebbi-Goli'!E37,'01.08 Nebbi-Goli'!E37,'04.08 Nebbi-Goli'!E37,'05.08 Nebbi-Goli'!E37,'02.08 Nebbi-Goli-24h'!E37,'03.08 Nebbi-Goli-24h'!E37,'06.08 Nebbi-Goli'!E37)</f>
        <v>1.1428571428571428</v>
      </c>
      <c r="F37" s="49">
        <f>AVERAGE('31.07 Nebbi-Goli'!F37,'01.08 Nebbi-Goli'!F37,'04.08 Nebbi-Goli'!F37,'05.08 Nebbi-Goli'!F37,'02.08 Nebbi-Goli-24h'!F37,'03.08 Nebbi-Goli-24h'!F37,'06.08 Nebbi-Goli'!F37)</f>
        <v>0.42857142857142855</v>
      </c>
      <c r="G37" s="49">
        <f>AVERAGE('31.07 Nebbi-Goli'!G37,'01.08 Nebbi-Goli'!G37,'04.08 Nebbi-Goli'!G37,'05.08 Nebbi-Goli'!G37,'02.08 Nebbi-Goli-24h'!G37,'03.08 Nebbi-Goli-24h'!G37,'06.08 Nebbi-Goli'!G37)</f>
        <v>0</v>
      </c>
      <c r="H37" s="49">
        <f>AVERAGE('31.07 Nebbi-Goli'!H37,'01.08 Nebbi-Goli'!H37,'04.08 Nebbi-Goli'!H37,'05.08 Nebbi-Goli'!H37,'02.08 Nebbi-Goli-24h'!H37,'03.08 Nebbi-Goli-24h'!H37,'06.08 Nebbi-Goli'!H37)</f>
        <v>0</v>
      </c>
      <c r="I37" s="49">
        <f>AVERAGE('31.07 Nebbi-Goli'!I37,'01.08 Nebbi-Goli'!I37,'04.08 Nebbi-Goli'!I37,'05.08 Nebbi-Goli'!I37,'02.08 Nebbi-Goli-24h'!I37,'03.08 Nebbi-Goli-24h'!I37,'06.08 Nebbi-Goli'!I37)</f>
        <v>0.7142857142857143</v>
      </c>
      <c r="J37" s="49">
        <f>AVERAGE('31.07 Nebbi-Goli'!J37,'01.08 Nebbi-Goli'!J37,'04.08 Nebbi-Goli'!J37,'05.08 Nebbi-Goli'!J37,'02.08 Nebbi-Goli-24h'!J37,'03.08 Nebbi-Goli-24h'!J37,'06.08 Nebbi-Goli'!J37)</f>
        <v>0.14285714285714285</v>
      </c>
      <c r="K37" s="49">
        <f>AVERAGE('31.07 Nebbi-Goli'!K37,'01.08 Nebbi-Goli'!K37,'04.08 Nebbi-Goli'!K37,'05.08 Nebbi-Goli'!K37,'02.08 Nebbi-Goli-24h'!K37,'03.08 Nebbi-Goli-24h'!K37,'06.08 Nebbi-Goli'!K37)</f>
        <v>0.14285714285714285</v>
      </c>
      <c r="L37" s="49">
        <f>AVERAGE('31.07 Nebbi-Goli'!L37,'01.08 Nebbi-Goli'!L37,'04.08 Nebbi-Goli'!L37,'05.08 Nebbi-Goli'!L37,'02.08 Nebbi-Goli-24h'!L37,'03.08 Nebbi-Goli-24h'!L37,'06.08 Nebbi-Goli'!L37)</f>
        <v>0.14285714285714285</v>
      </c>
      <c r="M37" s="49">
        <f>AVERAGE('31.07 Nebbi-Goli'!M37,'01.08 Nebbi-Goli'!M37,'04.08 Nebbi-Goli'!M37,'05.08 Nebbi-Goli'!M37,'02.08 Nebbi-Goli-24h'!M37,'03.08 Nebbi-Goli-24h'!M37,'06.08 Nebbi-Goli'!M37)</f>
        <v>11.142857142857142</v>
      </c>
      <c r="N37" s="49">
        <f>AVERAGE('31.07 Nebbi-Goli'!N37,'01.08 Nebbi-Goli'!N37,'04.08 Nebbi-Goli'!N37,'05.08 Nebbi-Goli'!N37,'02.08 Nebbi-Goli-24h'!N37,'03.08 Nebbi-Goli-24h'!N37,'06.08 Nebbi-Goli'!N37)</f>
        <v>0</v>
      </c>
      <c r="O37" s="15">
        <f t="shared" si="0"/>
        <v>3.714285714285714</v>
      </c>
      <c r="P37" s="15">
        <f t="shared" si="1"/>
        <v>14.857142857142856</v>
      </c>
      <c r="R37" s="37" t="s">
        <v>85</v>
      </c>
      <c r="S37" s="52">
        <f t="shared" ref="S37:AF37" si="29">SUM(S10:S12)</f>
        <v>7.7142857142857135</v>
      </c>
      <c r="T37" s="53">
        <f t="shared" si="29"/>
        <v>1.1428571428571428</v>
      </c>
      <c r="U37" s="53">
        <f t="shared" si="29"/>
        <v>6.1428571428571432</v>
      </c>
      <c r="V37" s="53">
        <f t="shared" si="29"/>
        <v>7.1428571428571423</v>
      </c>
      <c r="W37" s="53">
        <f t="shared" si="29"/>
        <v>1.5714285714285714</v>
      </c>
      <c r="X37" s="53">
        <f t="shared" si="29"/>
        <v>1.1428571428571428</v>
      </c>
      <c r="Y37" s="53">
        <f t="shared" si="29"/>
        <v>5.8571428571428568</v>
      </c>
      <c r="Z37" s="53">
        <f t="shared" si="29"/>
        <v>0.71428571428571419</v>
      </c>
      <c r="AA37" s="53">
        <f t="shared" si="29"/>
        <v>0</v>
      </c>
      <c r="AB37" s="53">
        <f t="shared" si="29"/>
        <v>4.8571428571428568</v>
      </c>
      <c r="AC37" s="53">
        <f t="shared" si="29"/>
        <v>128.28571428571428</v>
      </c>
      <c r="AD37" s="53">
        <f t="shared" si="29"/>
        <v>0.14285714285714285</v>
      </c>
      <c r="AE37" s="54">
        <f t="shared" si="29"/>
        <v>36.428571428571423</v>
      </c>
      <c r="AF37" s="54">
        <f t="shared" si="29"/>
        <v>164.71428571428572</v>
      </c>
    </row>
    <row r="38" spans="2:32" ht="23.1" customHeight="1" x14ac:dyDescent="0.25">
      <c r="B38" s="24" t="s">
        <v>65</v>
      </c>
      <c r="C38" s="49">
        <f>AVERAGE('31.07 Nebbi-Goli'!C38,'01.08 Nebbi-Goli'!C38,'04.08 Nebbi-Goli'!C38,'05.08 Nebbi-Goli'!C38,'02.08 Nebbi-Goli-24h'!C38,'03.08 Nebbi-Goli-24h'!C38,'06.08 Nebbi-Goli'!C38)</f>
        <v>0.42857142857142855</v>
      </c>
      <c r="D38" s="49">
        <f>AVERAGE('31.07 Nebbi-Goli'!D38,'01.08 Nebbi-Goli'!D38,'04.08 Nebbi-Goli'!D38,'05.08 Nebbi-Goli'!D38,'02.08 Nebbi-Goli-24h'!D38,'03.08 Nebbi-Goli-24h'!D38,'06.08 Nebbi-Goli'!D38)</f>
        <v>0</v>
      </c>
      <c r="E38" s="49">
        <f>AVERAGE('31.07 Nebbi-Goli'!E38,'01.08 Nebbi-Goli'!E38,'04.08 Nebbi-Goli'!E38,'05.08 Nebbi-Goli'!E38,'02.08 Nebbi-Goli-24h'!E38,'03.08 Nebbi-Goli-24h'!E38,'06.08 Nebbi-Goli'!E38)</f>
        <v>0.42857142857142855</v>
      </c>
      <c r="F38" s="49">
        <f>AVERAGE('31.07 Nebbi-Goli'!F38,'01.08 Nebbi-Goli'!F38,'04.08 Nebbi-Goli'!F38,'05.08 Nebbi-Goli'!F38,'02.08 Nebbi-Goli-24h'!F38,'03.08 Nebbi-Goli-24h'!F38,'06.08 Nebbi-Goli'!F38)</f>
        <v>0.14285714285714285</v>
      </c>
      <c r="G38" s="49">
        <f>AVERAGE('31.07 Nebbi-Goli'!G38,'01.08 Nebbi-Goli'!G38,'04.08 Nebbi-Goli'!G38,'05.08 Nebbi-Goli'!G38,'02.08 Nebbi-Goli-24h'!G38,'03.08 Nebbi-Goli-24h'!G38,'06.08 Nebbi-Goli'!G38)</f>
        <v>0</v>
      </c>
      <c r="H38" s="49">
        <f>AVERAGE('31.07 Nebbi-Goli'!H38,'01.08 Nebbi-Goli'!H38,'04.08 Nebbi-Goli'!H38,'05.08 Nebbi-Goli'!H38,'02.08 Nebbi-Goli-24h'!H38,'03.08 Nebbi-Goli-24h'!H38,'06.08 Nebbi-Goli'!H38)</f>
        <v>0</v>
      </c>
      <c r="I38" s="49">
        <f>AVERAGE('31.07 Nebbi-Goli'!I38,'01.08 Nebbi-Goli'!I38,'04.08 Nebbi-Goli'!I38,'05.08 Nebbi-Goli'!I38,'02.08 Nebbi-Goli-24h'!I38,'03.08 Nebbi-Goli-24h'!I38,'06.08 Nebbi-Goli'!I38)</f>
        <v>1.2857142857142858</v>
      </c>
      <c r="J38" s="49">
        <f>AVERAGE('31.07 Nebbi-Goli'!J38,'01.08 Nebbi-Goli'!J38,'04.08 Nebbi-Goli'!J38,'05.08 Nebbi-Goli'!J38,'02.08 Nebbi-Goli-24h'!J38,'03.08 Nebbi-Goli-24h'!J38,'06.08 Nebbi-Goli'!J38)</f>
        <v>0</v>
      </c>
      <c r="K38" s="49">
        <f>AVERAGE('31.07 Nebbi-Goli'!K38,'01.08 Nebbi-Goli'!K38,'04.08 Nebbi-Goli'!K38,'05.08 Nebbi-Goli'!K38,'02.08 Nebbi-Goli-24h'!K38,'03.08 Nebbi-Goli-24h'!K38,'06.08 Nebbi-Goli'!K38)</f>
        <v>0.14285714285714285</v>
      </c>
      <c r="L38" s="49">
        <f>AVERAGE('31.07 Nebbi-Goli'!L38,'01.08 Nebbi-Goli'!L38,'04.08 Nebbi-Goli'!L38,'05.08 Nebbi-Goli'!L38,'02.08 Nebbi-Goli-24h'!L38,'03.08 Nebbi-Goli-24h'!L38,'06.08 Nebbi-Goli'!L38)</f>
        <v>1.2857142857142858</v>
      </c>
      <c r="M38" s="49">
        <f>AVERAGE('31.07 Nebbi-Goli'!M38,'01.08 Nebbi-Goli'!M38,'04.08 Nebbi-Goli'!M38,'05.08 Nebbi-Goli'!M38,'02.08 Nebbi-Goli-24h'!M38,'03.08 Nebbi-Goli-24h'!M38,'06.08 Nebbi-Goli'!M38)</f>
        <v>10</v>
      </c>
      <c r="N38" s="49">
        <f>AVERAGE('31.07 Nebbi-Goli'!N38,'01.08 Nebbi-Goli'!N38,'04.08 Nebbi-Goli'!N38,'05.08 Nebbi-Goli'!N38,'02.08 Nebbi-Goli-24h'!N38,'03.08 Nebbi-Goli-24h'!N38,'06.08 Nebbi-Goli'!N38)</f>
        <v>0</v>
      </c>
      <c r="O38" s="15">
        <f t="shared" si="0"/>
        <v>3.7142857142857144</v>
      </c>
      <c r="P38" s="15">
        <f t="shared" si="1"/>
        <v>13.714285714285715</v>
      </c>
      <c r="R38" s="28" t="s">
        <v>86</v>
      </c>
      <c r="S38" s="53">
        <f t="shared" ref="S38:AF38" si="30">SUM(S13:S18)</f>
        <v>18</v>
      </c>
      <c r="T38" s="53">
        <f t="shared" si="30"/>
        <v>3.4285714285714279</v>
      </c>
      <c r="U38" s="53">
        <f t="shared" si="30"/>
        <v>17.857142857142854</v>
      </c>
      <c r="V38" s="53">
        <f t="shared" si="30"/>
        <v>14.571428571428569</v>
      </c>
      <c r="W38" s="53">
        <f t="shared" si="30"/>
        <v>1.4285714285714284</v>
      </c>
      <c r="X38" s="53">
        <f t="shared" si="30"/>
        <v>1</v>
      </c>
      <c r="Y38" s="53">
        <f t="shared" si="30"/>
        <v>15.857142857142856</v>
      </c>
      <c r="Z38" s="53">
        <f t="shared" si="30"/>
        <v>2.714285714285714</v>
      </c>
      <c r="AA38" s="53">
        <f t="shared" si="30"/>
        <v>1.8571428571428568</v>
      </c>
      <c r="AB38" s="53">
        <f t="shared" si="30"/>
        <v>13.571428571428571</v>
      </c>
      <c r="AC38" s="53">
        <f t="shared" si="30"/>
        <v>263.57142857142856</v>
      </c>
      <c r="AD38" s="53">
        <f t="shared" si="30"/>
        <v>0.14285714285714285</v>
      </c>
      <c r="AE38" s="54">
        <f t="shared" si="30"/>
        <v>90.428571428571416</v>
      </c>
      <c r="AF38" s="54">
        <f t="shared" si="30"/>
        <v>354</v>
      </c>
    </row>
    <row r="39" spans="2:32" ht="23.1" customHeight="1" x14ac:dyDescent="0.25">
      <c r="B39" s="24" t="s">
        <v>66</v>
      </c>
      <c r="C39" s="49">
        <f>AVERAGE('31.07 Nebbi-Goli'!C39,'01.08 Nebbi-Goli'!C39,'04.08 Nebbi-Goli'!C39,'05.08 Nebbi-Goli'!C39,'02.08 Nebbi-Goli-24h'!C39,'03.08 Nebbi-Goli-24h'!C39,'06.08 Nebbi-Goli'!C39)</f>
        <v>0.7142857142857143</v>
      </c>
      <c r="D39" s="49">
        <f>AVERAGE('31.07 Nebbi-Goli'!D39,'01.08 Nebbi-Goli'!D39,'04.08 Nebbi-Goli'!D39,'05.08 Nebbi-Goli'!D39,'02.08 Nebbi-Goli-24h'!D39,'03.08 Nebbi-Goli-24h'!D39,'06.08 Nebbi-Goli'!D39)</f>
        <v>0</v>
      </c>
      <c r="E39" s="49">
        <f>AVERAGE('31.07 Nebbi-Goli'!E39,'01.08 Nebbi-Goli'!E39,'04.08 Nebbi-Goli'!E39,'05.08 Nebbi-Goli'!E39,'02.08 Nebbi-Goli-24h'!E39,'03.08 Nebbi-Goli-24h'!E39,'06.08 Nebbi-Goli'!E39)</f>
        <v>0.14285714285714285</v>
      </c>
      <c r="F39" s="49">
        <f>AVERAGE('31.07 Nebbi-Goli'!F39,'01.08 Nebbi-Goli'!F39,'04.08 Nebbi-Goli'!F39,'05.08 Nebbi-Goli'!F39,'02.08 Nebbi-Goli-24h'!F39,'03.08 Nebbi-Goli-24h'!F39,'06.08 Nebbi-Goli'!F39)</f>
        <v>0.42857142857142855</v>
      </c>
      <c r="G39" s="49">
        <f>AVERAGE('31.07 Nebbi-Goli'!G39,'01.08 Nebbi-Goli'!G39,'04.08 Nebbi-Goli'!G39,'05.08 Nebbi-Goli'!G39,'02.08 Nebbi-Goli-24h'!G39,'03.08 Nebbi-Goli-24h'!G39,'06.08 Nebbi-Goli'!G39)</f>
        <v>0.14285714285714285</v>
      </c>
      <c r="H39" s="49">
        <f>AVERAGE('31.07 Nebbi-Goli'!H39,'01.08 Nebbi-Goli'!H39,'04.08 Nebbi-Goli'!H39,'05.08 Nebbi-Goli'!H39,'02.08 Nebbi-Goli-24h'!H39,'03.08 Nebbi-Goli-24h'!H39,'06.08 Nebbi-Goli'!H39)</f>
        <v>0</v>
      </c>
      <c r="I39" s="49">
        <f>AVERAGE('31.07 Nebbi-Goli'!I39,'01.08 Nebbi-Goli'!I39,'04.08 Nebbi-Goli'!I39,'05.08 Nebbi-Goli'!I39,'02.08 Nebbi-Goli-24h'!I39,'03.08 Nebbi-Goli-24h'!I39,'06.08 Nebbi-Goli'!I39)</f>
        <v>1</v>
      </c>
      <c r="J39" s="49">
        <f>AVERAGE('31.07 Nebbi-Goli'!J39,'01.08 Nebbi-Goli'!J39,'04.08 Nebbi-Goli'!J39,'05.08 Nebbi-Goli'!J39,'02.08 Nebbi-Goli-24h'!J39,'03.08 Nebbi-Goli-24h'!J39,'06.08 Nebbi-Goli'!J39)</f>
        <v>0</v>
      </c>
      <c r="K39" s="49">
        <f>AVERAGE('31.07 Nebbi-Goli'!K39,'01.08 Nebbi-Goli'!K39,'04.08 Nebbi-Goli'!K39,'05.08 Nebbi-Goli'!K39,'02.08 Nebbi-Goli-24h'!K39,'03.08 Nebbi-Goli-24h'!K39,'06.08 Nebbi-Goli'!K39)</f>
        <v>0.2857142857142857</v>
      </c>
      <c r="L39" s="49">
        <f>AVERAGE('31.07 Nebbi-Goli'!L39,'01.08 Nebbi-Goli'!L39,'04.08 Nebbi-Goli'!L39,'05.08 Nebbi-Goli'!L39,'02.08 Nebbi-Goli-24h'!L39,'03.08 Nebbi-Goli-24h'!L39,'06.08 Nebbi-Goli'!L39)</f>
        <v>0.42857142857142855</v>
      </c>
      <c r="M39" s="49">
        <f>AVERAGE('31.07 Nebbi-Goli'!M39,'01.08 Nebbi-Goli'!M39,'04.08 Nebbi-Goli'!M39,'05.08 Nebbi-Goli'!M39,'02.08 Nebbi-Goli-24h'!M39,'03.08 Nebbi-Goli-24h'!M39,'06.08 Nebbi-Goli'!M39)</f>
        <v>9.8571428571428577</v>
      </c>
      <c r="N39" s="49">
        <f>AVERAGE('31.07 Nebbi-Goli'!N39,'01.08 Nebbi-Goli'!N39,'04.08 Nebbi-Goli'!N39,'05.08 Nebbi-Goli'!N39,'02.08 Nebbi-Goli-24h'!N39,'03.08 Nebbi-Goli-24h'!N39,'06.08 Nebbi-Goli'!N39)</f>
        <v>0</v>
      </c>
      <c r="O39" s="15">
        <f t="shared" si="0"/>
        <v>3.1428571428571428</v>
      </c>
      <c r="P39" s="15">
        <f t="shared" si="1"/>
        <v>13</v>
      </c>
      <c r="R39" s="29" t="s">
        <v>87</v>
      </c>
      <c r="S39" s="53">
        <f t="shared" ref="S39:AF39" si="31">SUM(S19:S21)</f>
        <v>12.714285714285714</v>
      </c>
      <c r="T39" s="53">
        <f t="shared" si="31"/>
        <v>2.8571428571428568</v>
      </c>
      <c r="U39" s="53">
        <f t="shared" si="31"/>
        <v>12.285714285714286</v>
      </c>
      <c r="V39" s="53">
        <f t="shared" si="31"/>
        <v>6.2857142857142856</v>
      </c>
      <c r="W39" s="53">
        <f t="shared" si="31"/>
        <v>0.8571428571428571</v>
      </c>
      <c r="X39" s="53">
        <f t="shared" si="31"/>
        <v>0.42857142857142855</v>
      </c>
      <c r="Y39" s="53">
        <f t="shared" si="31"/>
        <v>10.285714285714285</v>
      </c>
      <c r="Z39" s="53">
        <f t="shared" si="31"/>
        <v>0.8571428571428571</v>
      </c>
      <c r="AA39" s="53">
        <f t="shared" si="31"/>
        <v>2.2857142857142856</v>
      </c>
      <c r="AB39" s="53">
        <f t="shared" si="31"/>
        <v>8.428571428571427</v>
      </c>
      <c r="AC39" s="53">
        <f t="shared" si="31"/>
        <v>143.42857142857142</v>
      </c>
      <c r="AD39" s="53">
        <f t="shared" si="31"/>
        <v>0</v>
      </c>
      <c r="AE39" s="54">
        <f t="shared" si="31"/>
        <v>57.285714285714292</v>
      </c>
      <c r="AF39" s="54">
        <f t="shared" si="31"/>
        <v>200.71428571428572</v>
      </c>
    </row>
    <row r="40" spans="2:32" ht="23.1" customHeight="1" x14ac:dyDescent="0.25">
      <c r="B40" s="24" t="s">
        <v>67</v>
      </c>
      <c r="C40" s="49">
        <f>AVERAGE('31.07 Nebbi-Goli'!C40,'01.08 Nebbi-Goli'!C40,'04.08 Nebbi-Goli'!C40,'05.08 Nebbi-Goli'!C40,'02.08 Nebbi-Goli-24h'!C40,'03.08 Nebbi-Goli-24h'!C40,'06.08 Nebbi-Goli'!C40)</f>
        <v>1</v>
      </c>
      <c r="D40" s="49">
        <f>AVERAGE('31.07 Nebbi-Goli'!D40,'01.08 Nebbi-Goli'!D40,'04.08 Nebbi-Goli'!D40,'05.08 Nebbi-Goli'!D40,'02.08 Nebbi-Goli-24h'!D40,'03.08 Nebbi-Goli-24h'!D40,'06.08 Nebbi-Goli'!D40)</f>
        <v>0.14285714285714285</v>
      </c>
      <c r="E40" s="49">
        <f>AVERAGE('31.07 Nebbi-Goli'!E40,'01.08 Nebbi-Goli'!E40,'04.08 Nebbi-Goli'!E40,'05.08 Nebbi-Goli'!E40,'02.08 Nebbi-Goli-24h'!E40,'03.08 Nebbi-Goli-24h'!E40,'06.08 Nebbi-Goli'!E40)</f>
        <v>0.8571428571428571</v>
      </c>
      <c r="F40" s="49">
        <f>AVERAGE('31.07 Nebbi-Goli'!F40,'01.08 Nebbi-Goli'!F40,'04.08 Nebbi-Goli'!F40,'05.08 Nebbi-Goli'!F40,'02.08 Nebbi-Goli-24h'!F40,'03.08 Nebbi-Goli-24h'!F40,'06.08 Nebbi-Goli'!F40)</f>
        <v>1.1428571428571428</v>
      </c>
      <c r="G40" s="49">
        <f>AVERAGE('31.07 Nebbi-Goli'!G40,'01.08 Nebbi-Goli'!G40,'04.08 Nebbi-Goli'!G40,'05.08 Nebbi-Goli'!G40,'02.08 Nebbi-Goli-24h'!G40,'03.08 Nebbi-Goli-24h'!G40,'06.08 Nebbi-Goli'!G40)</f>
        <v>0</v>
      </c>
      <c r="H40" s="49">
        <f>AVERAGE('31.07 Nebbi-Goli'!H40,'01.08 Nebbi-Goli'!H40,'04.08 Nebbi-Goli'!H40,'05.08 Nebbi-Goli'!H40,'02.08 Nebbi-Goli-24h'!H40,'03.08 Nebbi-Goli-24h'!H40,'06.08 Nebbi-Goli'!H40)</f>
        <v>0</v>
      </c>
      <c r="I40" s="49">
        <f>AVERAGE('31.07 Nebbi-Goli'!I40,'01.08 Nebbi-Goli'!I40,'04.08 Nebbi-Goli'!I40,'05.08 Nebbi-Goli'!I40,'02.08 Nebbi-Goli-24h'!I40,'03.08 Nebbi-Goli-24h'!I40,'06.08 Nebbi-Goli'!I40)</f>
        <v>1</v>
      </c>
      <c r="J40" s="49">
        <f>AVERAGE('31.07 Nebbi-Goli'!J40,'01.08 Nebbi-Goli'!J40,'04.08 Nebbi-Goli'!J40,'05.08 Nebbi-Goli'!J40,'02.08 Nebbi-Goli-24h'!J40,'03.08 Nebbi-Goli-24h'!J40,'06.08 Nebbi-Goli'!J40)</f>
        <v>0</v>
      </c>
      <c r="K40" s="49">
        <f>AVERAGE('31.07 Nebbi-Goli'!K40,'01.08 Nebbi-Goli'!K40,'04.08 Nebbi-Goli'!K40,'05.08 Nebbi-Goli'!K40,'02.08 Nebbi-Goli-24h'!K40,'03.08 Nebbi-Goli-24h'!K40,'06.08 Nebbi-Goli'!K40)</f>
        <v>0.2857142857142857</v>
      </c>
      <c r="L40" s="49">
        <f>AVERAGE('31.07 Nebbi-Goli'!L40,'01.08 Nebbi-Goli'!L40,'04.08 Nebbi-Goli'!L40,'05.08 Nebbi-Goli'!L40,'02.08 Nebbi-Goli-24h'!L40,'03.08 Nebbi-Goli-24h'!L40,'06.08 Nebbi-Goli'!L40)</f>
        <v>0</v>
      </c>
      <c r="M40" s="49">
        <f>AVERAGE('31.07 Nebbi-Goli'!M40,'01.08 Nebbi-Goli'!M40,'04.08 Nebbi-Goli'!M40,'05.08 Nebbi-Goli'!M40,'02.08 Nebbi-Goli-24h'!M40,'03.08 Nebbi-Goli-24h'!M40,'06.08 Nebbi-Goli'!M40)</f>
        <v>9.5714285714285712</v>
      </c>
      <c r="N40" s="49">
        <f>AVERAGE('31.07 Nebbi-Goli'!N40,'01.08 Nebbi-Goli'!N40,'04.08 Nebbi-Goli'!N40,'05.08 Nebbi-Goli'!N40,'02.08 Nebbi-Goli-24h'!N40,'03.08 Nebbi-Goli-24h'!N40,'06.08 Nebbi-Goli'!N40)</f>
        <v>0</v>
      </c>
      <c r="O40" s="15">
        <f t="shared" si="0"/>
        <v>4.4285714285714279</v>
      </c>
      <c r="P40" s="15">
        <f t="shared" si="1"/>
        <v>14</v>
      </c>
      <c r="R40" s="5" t="s">
        <v>17</v>
      </c>
      <c r="S40" s="53">
        <f t="shared" ref="S40:AF40" si="32">SUM(S10:S21)</f>
        <v>38.428571428571431</v>
      </c>
      <c r="T40" s="53">
        <f t="shared" si="32"/>
        <v>7.4285714285714262</v>
      </c>
      <c r="U40" s="53">
        <f t="shared" si="32"/>
        <v>36.285714285714285</v>
      </c>
      <c r="V40" s="53">
        <f t="shared" si="32"/>
        <v>28</v>
      </c>
      <c r="W40" s="53">
        <f t="shared" si="32"/>
        <v>3.8571428571428563</v>
      </c>
      <c r="X40" s="53">
        <f t="shared" si="32"/>
        <v>2.5714285714285712</v>
      </c>
      <c r="Y40" s="53">
        <f t="shared" si="32"/>
        <v>32</v>
      </c>
      <c r="Z40" s="53">
        <f t="shared" si="32"/>
        <v>4.2857142857142847</v>
      </c>
      <c r="AA40" s="53">
        <f t="shared" si="32"/>
        <v>4.1428571428571423</v>
      </c>
      <c r="AB40" s="53">
        <f t="shared" si="32"/>
        <v>26.857142857142854</v>
      </c>
      <c r="AC40" s="53">
        <f t="shared" si="32"/>
        <v>535.28571428571433</v>
      </c>
      <c r="AD40" s="53">
        <f t="shared" si="32"/>
        <v>0.2857142857142857</v>
      </c>
      <c r="AE40" s="54">
        <f t="shared" si="32"/>
        <v>184.14285714285714</v>
      </c>
      <c r="AF40" s="54">
        <f t="shared" si="32"/>
        <v>719.42857142857156</v>
      </c>
    </row>
    <row r="41" spans="2:32" ht="23.1" customHeight="1" x14ac:dyDescent="0.25">
      <c r="B41" s="23" t="s">
        <v>68</v>
      </c>
      <c r="C41" s="49">
        <f>AVERAGE('31.07 Nebbi-Goli'!C41,'01.08 Nebbi-Goli'!C41,'04.08 Nebbi-Goli'!C41,'05.08 Nebbi-Goli'!C41,'02.08 Nebbi-Goli-24h'!C41,'03.08 Nebbi-Goli-24h'!C41,'06.08 Nebbi-Goli'!C41)</f>
        <v>0.7142857142857143</v>
      </c>
      <c r="D41" s="49">
        <f>AVERAGE('31.07 Nebbi-Goli'!D41,'01.08 Nebbi-Goli'!D41,'04.08 Nebbi-Goli'!D41,'05.08 Nebbi-Goli'!D41,'02.08 Nebbi-Goli-24h'!D41,'03.08 Nebbi-Goli-24h'!D41,'06.08 Nebbi-Goli'!D41)</f>
        <v>0.14285714285714285</v>
      </c>
      <c r="E41" s="49">
        <f>AVERAGE('31.07 Nebbi-Goli'!E41,'01.08 Nebbi-Goli'!E41,'04.08 Nebbi-Goli'!E41,'05.08 Nebbi-Goli'!E41,'02.08 Nebbi-Goli-24h'!E41,'03.08 Nebbi-Goli-24h'!E41,'06.08 Nebbi-Goli'!E41)</f>
        <v>0.5714285714285714</v>
      </c>
      <c r="F41" s="49">
        <f>AVERAGE('31.07 Nebbi-Goli'!F41,'01.08 Nebbi-Goli'!F41,'04.08 Nebbi-Goli'!F41,'05.08 Nebbi-Goli'!F41,'02.08 Nebbi-Goli-24h'!F41,'03.08 Nebbi-Goli-24h'!F41,'06.08 Nebbi-Goli'!F41)</f>
        <v>0.5714285714285714</v>
      </c>
      <c r="G41" s="49">
        <f>AVERAGE('31.07 Nebbi-Goli'!G41,'01.08 Nebbi-Goli'!G41,'04.08 Nebbi-Goli'!G41,'05.08 Nebbi-Goli'!G41,'02.08 Nebbi-Goli-24h'!G41,'03.08 Nebbi-Goli-24h'!G41,'06.08 Nebbi-Goli'!G41)</f>
        <v>0</v>
      </c>
      <c r="H41" s="49">
        <f>AVERAGE('31.07 Nebbi-Goli'!H41,'01.08 Nebbi-Goli'!H41,'04.08 Nebbi-Goli'!H41,'05.08 Nebbi-Goli'!H41,'02.08 Nebbi-Goli-24h'!H41,'03.08 Nebbi-Goli-24h'!H41,'06.08 Nebbi-Goli'!H41)</f>
        <v>0</v>
      </c>
      <c r="I41" s="49">
        <f>AVERAGE('31.07 Nebbi-Goli'!I41,'01.08 Nebbi-Goli'!I41,'04.08 Nebbi-Goli'!I41,'05.08 Nebbi-Goli'!I41,'02.08 Nebbi-Goli-24h'!I41,'03.08 Nebbi-Goli-24h'!I41,'06.08 Nebbi-Goli'!I41)</f>
        <v>0.5714285714285714</v>
      </c>
      <c r="J41" s="49">
        <f>AVERAGE('31.07 Nebbi-Goli'!J41,'01.08 Nebbi-Goli'!J41,'04.08 Nebbi-Goli'!J41,'05.08 Nebbi-Goli'!J41,'02.08 Nebbi-Goli-24h'!J41,'03.08 Nebbi-Goli-24h'!J41,'06.08 Nebbi-Goli'!J41)</f>
        <v>0.14285714285714285</v>
      </c>
      <c r="K41" s="49">
        <f>AVERAGE('31.07 Nebbi-Goli'!K41,'01.08 Nebbi-Goli'!K41,'04.08 Nebbi-Goli'!K41,'05.08 Nebbi-Goli'!K41,'02.08 Nebbi-Goli-24h'!K41,'03.08 Nebbi-Goli-24h'!K41,'06.08 Nebbi-Goli'!K41)</f>
        <v>0</v>
      </c>
      <c r="L41" s="49">
        <f>AVERAGE('31.07 Nebbi-Goli'!L41,'01.08 Nebbi-Goli'!L41,'04.08 Nebbi-Goli'!L41,'05.08 Nebbi-Goli'!L41,'02.08 Nebbi-Goli-24h'!L41,'03.08 Nebbi-Goli-24h'!L41,'06.08 Nebbi-Goli'!L41)</f>
        <v>0.7142857142857143</v>
      </c>
      <c r="M41" s="49">
        <f>AVERAGE('31.07 Nebbi-Goli'!M41,'01.08 Nebbi-Goli'!M41,'04.08 Nebbi-Goli'!M41,'05.08 Nebbi-Goli'!M41,'02.08 Nebbi-Goli-24h'!M41,'03.08 Nebbi-Goli-24h'!M41,'06.08 Nebbi-Goli'!M41)</f>
        <v>9.2857142857142865</v>
      </c>
      <c r="N41" s="49">
        <f>AVERAGE('31.07 Nebbi-Goli'!N41,'01.08 Nebbi-Goli'!N41,'04.08 Nebbi-Goli'!N41,'05.08 Nebbi-Goli'!N41,'02.08 Nebbi-Goli-24h'!N41,'03.08 Nebbi-Goli-24h'!N41,'06.08 Nebbi-Goli'!N41)</f>
        <v>0</v>
      </c>
      <c r="O41" s="15">
        <f t="shared" si="0"/>
        <v>3.4285714285714284</v>
      </c>
      <c r="P41" s="15">
        <f t="shared" si="1"/>
        <v>12.714285714285715</v>
      </c>
      <c r="R41" s="5" t="s">
        <v>173</v>
      </c>
      <c r="S41" s="53">
        <f>SUM(S10:S33)</f>
        <v>50.428571428571431</v>
      </c>
      <c r="T41" s="53">
        <f t="shared" ref="T41:AD41" si="33">SUM(T10:T33)</f>
        <v>8.928571428571427</v>
      </c>
      <c r="U41" s="53">
        <f t="shared" si="33"/>
        <v>46.785714285714285</v>
      </c>
      <c r="V41" s="53">
        <f t="shared" si="33"/>
        <v>29.5</v>
      </c>
      <c r="W41" s="53">
        <f t="shared" si="33"/>
        <v>4.3571428571428559</v>
      </c>
      <c r="X41" s="53">
        <f t="shared" si="33"/>
        <v>6.0714285714285712</v>
      </c>
      <c r="Y41" s="53">
        <f t="shared" si="33"/>
        <v>43</v>
      </c>
      <c r="Z41" s="53">
        <f t="shared" si="33"/>
        <v>6.7857142857142847</v>
      </c>
      <c r="AA41" s="53">
        <f t="shared" si="33"/>
        <v>4.6428571428571423</v>
      </c>
      <c r="AB41" s="53">
        <f t="shared" si="33"/>
        <v>35.857142857142854</v>
      </c>
      <c r="AC41" s="53">
        <f t="shared" si="33"/>
        <v>696.28571428571433</v>
      </c>
      <c r="AD41" s="53">
        <f t="shared" si="33"/>
        <v>0.2857142857142857</v>
      </c>
      <c r="AE41" s="54">
        <f>SUM(AE10:AE33)</f>
        <v>236.64285714285714</v>
      </c>
      <c r="AF41" s="54">
        <f>SUM(AF10:AF33)</f>
        <v>932.92857142857156</v>
      </c>
    </row>
    <row r="42" spans="2:32" ht="23.1" customHeight="1" x14ac:dyDescent="0.25">
      <c r="B42" s="24" t="s">
        <v>69</v>
      </c>
      <c r="C42" s="49">
        <f>AVERAGE('31.07 Nebbi-Goli'!C42,'01.08 Nebbi-Goli'!C42,'04.08 Nebbi-Goli'!C42,'05.08 Nebbi-Goli'!C42,'02.08 Nebbi-Goli-24h'!C42,'03.08 Nebbi-Goli-24h'!C42,'06.08 Nebbi-Goli'!C42)</f>
        <v>0.42857142857142855</v>
      </c>
      <c r="D42" s="49">
        <f>AVERAGE('31.07 Nebbi-Goli'!D42,'01.08 Nebbi-Goli'!D42,'04.08 Nebbi-Goli'!D42,'05.08 Nebbi-Goli'!D42,'02.08 Nebbi-Goli-24h'!D42,'03.08 Nebbi-Goli-24h'!D42,'06.08 Nebbi-Goli'!D42)</f>
        <v>0.42857142857142855</v>
      </c>
      <c r="E42" s="49">
        <f>AVERAGE('31.07 Nebbi-Goli'!E42,'01.08 Nebbi-Goli'!E42,'04.08 Nebbi-Goli'!E42,'05.08 Nebbi-Goli'!E42,'02.08 Nebbi-Goli-24h'!E42,'03.08 Nebbi-Goli-24h'!E42,'06.08 Nebbi-Goli'!E42)</f>
        <v>1.4285714285714286</v>
      </c>
      <c r="F42" s="49">
        <f>AVERAGE('31.07 Nebbi-Goli'!F42,'01.08 Nebbi-Goli'!F42,'04.08 Nebbi-Goli'!F42,'05.08 Nebbi-Goli'!F42,'02.08 Nebbi-Goli-24h'!F42,'03.08 Nebbi-Goli-24h'!F42,'06.08 Nebbi-Goli'!F42)</f>
        <v>0.2857142857142857</v>
      </c>
      <c r="G42" s="49">
        <f>AVERAGE('31.07 Nebbi-Goli'!G42,'01.08 Nebbi-Goli'!G42,'04.08 Nebbi-Goli'!G42,'05.08 Nebbi-Goli'!G42,'02.08 Nebbi-Goli-24h'!G42,'03.08 Nebbi-Goli-24h'!G42,'06.08 Nebbi-Goli'!G42)</f>
        <v>0.14285714285714285</v>
      </c>
      <c r="H42" s="49">
        <f>AVERAGE('31.07 Nebbi-Goli'!H42,'01.08 Nebbi-Goli'!H42,'04.08 Nebbi-Goli'!H42,'05.08 Nebbi-Goli'!H42,'02.08 Nebbi-Goli-24h'!H42,'03.08 Nebbi-Goli-24h'!H42,'06.08 Nebbi-Goli'!H42)</f>
        <v>0</v>
      </c>
      <c r="I42" s="49">
        <f>AVERAGE('31.07 Nebbi-Goli'!I42,'01.08 Nebbi-Goli'!I42,'04.08 Nebbi-Goli'!I42,'05.08 Nebbi-Goli'!I42,'02.08 Nebbi-Goli-24h'!I42,'03.08 Nebbi-Goli-24h'!I42,'06.08 Nebbi-Goli'!I42)</f>
        <v>1</v>
      </c>
      <c r="J42" s="49">
        <f>AVERAGE('31.07 Nebbi-Goli'!J42,'01.08 Nebbi-Goli'!J42,'04.08 Nebbi-Goli'!J42,'05.08 Nebbi-Goli'!J42,'02.08 Nebbi-Goli-24h'!J42,'03.08 Nebbi-Goli-24h'!J42,'06.08 Nebbi-Goli'!J42)</f>
        <v>0</v>
      </c>
      <c r="K42" s="49">
        <f>AVERAGE('31.07 Nebbi-Goli'!K42,'01.08 Nebbi-Goli'!K42,'04.08 Nebbi-Goli'!K42,'05.08 Nebbi-Goli'!K42,'02.08 Nebbi-Goli-24h'!K42,'03.08 Nebbi-Goli-24h'!K42,'06.08 Nebbi-Goli'!K42)</f>
        <v>0</v>
      </c>
      <c r="L42" s="49">
        <f>AVERAGE('31.07 Nebbi-Goli'!L42,'01.08 Nebbi-Goli'!L42,'04.08 Nebbi-Goli'!L42,'05.08 Nebbi-Goli'!L42,'02.08 Nebbi-Goli-24h'!L42,'03.08 Nebbi-Goli-24h'!L42,'06.08 Nebbi-Goli'!L42)</f>
        <v>0</v>
      </c>
      <c r="M42" s="49">
        <f>AVERAGE('31.07 Nebbi-Goli'!M42,'01.08 Nebbi-Goli'!M42,'04.08 Nebbi-Goli'!M42,'05.08 Nebbi-Goli'!M42,'02.08 Nebbi-Goli-24h'!M42,'03.08 Nebbi-Goli-24h'!M42,'06.08 Nebbi-Goli'!M42)</f>
        <v>10.857142857142858</v>
      </c>
      <c r="N42" s="49">
        <f>AVERAGE('31.07 Nebbi-Goli'!N42,'01.08 Nebbi-Goli'!N42,'04.08 Nebbi-Goli'!N42,'05.08 Nebbi-Goli'!N42,'02.08 Nebbi-Goli-24h'!N42,'03.08 Nebbi-Goli-24h'!N42,'06.08 Nebbi-Goli'!N42)</f>
        <v>0</v>
      </c>
      <c r="O42" s="15">
        <f t="shared" si="0"/>
        <v>3.714285714285714</v>
      </c>
      <c r="P42" s="15">
        <f t="shared" si="1"/>
        <v>14.571428571428571</v>
      </c>
      <c r="R42" s="5" t="s">
        <v>160</v>
      </c>
      <c r="S42" s="48">
        <f>S41/S40</f>
        <v>1.312267657992565</v>
      </c>
      <c r="T42" s="48">
        <f t="shared" ref="T42:AF42" si="34">T41/T40</f>
        <v>1.2019230769230771</v>
      </c>
      <c r="U42" s="48">
        <f t="shared" si="34"/>
        <v>1.2893700787401574</v>
      </c>
      <c r="V42" s="48">
        <f t="shared" si="34"/>
        <v>1.0535714285714286</v>
      </c>
      <c r="W42" s="48">
        <f t="shared" si="34"/>
        <v>1.1296296296296295</v>
      </c>
      <c r="X42" s="48">
        <f t="shared" si="34"/>
        <v>2.3611111111111112</v>
      </c>
      <c r="Y42" s="48">
        <f t="shared" si="34"/>
        <v>1.34375</v>
      </c>
      <c r="Z42" s="48">
        <f t="shared" si="34"/>
        <v>1.5833333333333335</v>
      </c>
      <c r="AA42" s="48">
        <f t="shared" si="34"/>
        <v>1.1206896551724137</v>
      </c>
      <c r="AB42" s="48">
        <f t="shared" si="34"/>
        <v>1.3351063829787235</v>
      </c>
      <c r="AC42" s="48">
        <f t="shared" si="34"/>
        <v>1.3007739524953297</v>
      </c>
      <c r="AD42" s="48">
        <f t="shared" si="34"/>
        <v>1</v>
      </c>
      <c r="AE42" s="55">
        <f t="shared" si="34"/>
        <v>1.2851047323506595</v>
      </c>
      <c r="AF42" s="55">
        <f t="shared" si="34"/>
        <v>1.2967633042096902</v>
      </c>
    </row>
    <row r="43" spans="2:32" ht="23.1" customHeight="1" x14ac:dyDescent="0.25">
      <c r="B43" s="23" t="s">
        <v>70</v>
      </c>
      <c r="C43" s="49">
        <f>AVERAGE('31.07 Nebbi-Goli'!C43,'01.08 Nebbi-Goli'!C43,'04.08 Nebbi-Goli'!C43,'05.08 Nebbi-Goli'!C43,'02.08 Nebbi-Goli-24h'!C43,'03.08 Nebbi-Goli-24h'!C43,'06.08 Nebbi-Goli'!C43)</f>
        <v>0.5714285714285714</v>
      </c>
      <c r="D43" s="49">
        <f>AVERAGE('31.07 Nebbi-Goli'!D43,'01.08 Nebbi-Goli'!D43,'04.08 Nebbi-Goli'!D43,'05.08 Nebbi-Goli'!D43,'02.08 Nebbi-Goli-24h'!D43,'03.08 Nebbi-Goli-24h'!D43,'06.08 Nebbi-Goli'!D43)</f>
        <v>0.2857142857142857</v>
      </c>
      <c r="E43" s="49">
        <f>AVERAGE('31.07 Nebbi-Goli'!E43,'01.08 Nebbi-Goli'!E43,'04.08 Nebbi-Goli'!E43,'05.08 Nebbi-Goli'!E43,'02.08 Nebbi-Goli-24h'!E43,'03.08 Nebbi-Goli-24h'!E43,'06.08 Nebbi-Goli'!E43)</f>
        <v>1</v>
      </c>
      <c r="F43" s="49">
        <f>AVERAGE('31.07 Nebbi-Goli'!F43,'01.08 Nebbi-Goli'!F43,'04.08 Nebbi-Goli'!F43,'05.08 Nebbi-Goli'!F43,'02.08 Nebbi-Goli-24h'!F43,'03.08 Nebbi-Goli-24h'!F43,'06.08 Nebbi-Goli'!F43)</f>
        <v>0.7142857142857143</v>
      </c>
      <c r="G43" s="49">
        <f>AVERAGE('31.07 Nebbi-Goli'!G43,'01.08 Nebbi-Goli'!G43,'04.08 Nebbi-Goli'!G43,'05.08 Nebbi-Goli'!G43,'02.08 Nebbi-Goli-24h'!G43,'03.08 Nebbi-Goli-24h'!G43,'06.08 Nebbi-Goli'!G43)</f>
        <v>0</v>
      </c>
      <c r="H43" s="49">
        <f>AVERAGE('31.07 Nebbi-Goli'!H43,'01.08 Nebbi-Goli'!H43,'04.08 Nebbi-Goli'!H43,'05.08 Nebbi-Goli'!H43,'02.08 Nebbi-Goli-24h'!H43,'03.08 Nebbi-Goli-24h'!H43,'06.08 Nebbi-Goli'!H43)</f>
        <v>0</v>
      </c>
      <c r="I43" s="49">
        <f>AVERAGE('31.07 Nebbi-Goli'!I43,'01.08 Nebbi-Goli'!I43,'04.08 Nebbi-Goli'!I43,'05.08 Nebbi-Goli'!I43,'02.08 Nebbi-Goli-24h'!I43,'03.08 Nebbi-Goli-24h'!I43,'06.08 Nebbi-Goli'!I43)</f>
        <v>0.8571428571428571</v>
      </c>
      <c r="J43" s="49">
        <f>AVERAGE('31.07 Nebbi-Goli'!J43,'01.08 Nebbi-Goli'!J43,'04.08 Nebbi-Goli'!J43,'05.08 Nebbi-Goli'!J43,'02.08 Nebbi-Goli-24h'!J43,'03.08 Nebbi-Goli-24h'!J43,'06.08 Nebbi-Goli'!J43)</f>
        <v>0</v>
      </c>
      <c r="K43" s="49">
        <f>AVERAGE('31.07 Nebbi-Goli'!K43,'01.08 Nebbi-Goli'!K43,'04.08 Nebbi-Goli'!K43,'05.08 Nebbi-Goli'!K43,'02.08 Nebbi-Goli-24h'!K43,'03.08 Nebbi-Goli-24h'!K43,'06.08 Nebbi-Goli'!K43)</f>
        <v>0.14285714285714285</v>
      </c>
      <c r="L43" s="49">
        <f>AVERAGE('31.07 Nebbi-Goli'!L43,'01.08 Nebbi-Goli'!L43,'04.08 Nebbi-Goli'!L43,'05.08 Nebbi-Goli'!L43,'02.08 Nebbi-Goli-24h'!L43,'03.08 Nebbi-Goli-24h'!L43,'06.08 Nebbi-Goli'!L43)</f>
        <v>0.2857142857142857</v>
      </c>
      <c r="M43" s="49">
        <f>AVERAGE('31.07 Nebbi-Goli'!M43,'01.08 Nebbi-Goli'!M43,'04.08 Nebbi-Goli'!M43,'05.08 Nebbi-Goli'!M43,'02.08 Nebbi-Goli-24h'!M43,'03.08 Nebbi-Goli-24h'!M43,'06.08 Nebbi-Goli'!M43)</f>
        <v>10.428571428571429</v>
      </c>
      <c r="N43" s="49">
        <f>AVERAGE('31.07 Nebbi-Goli'!N43,'01.08 Nebbi-Goli'!N43,'04.08 Nebbi-Goli'!N43,'05.08 Nebbi-Goli'!N43,'02.08 Nebbi-Goli-24h'!N43,'03.08 Nebbi-Goli-24h'!N43,'06.08 Nebbi-Goli'!N43)</f>
        <v>0</v>
      </c>
      <c r="O43" s="15">
        <f t="shared" si="0"/>
        <v>3.8571428571428572</v>
      </c>
      <c r="P43" s="15">
        <f t="shared" si="1"/>
        <v>14.285714285714286</v>
      </c>
    </row>
    <row r="44" spans="2:32" ht="23.1" customHeight="1" x14ac:dyDescent="0.25">
      <c r="B44" s="25" t="s">
        <v>71</v>
      </c>
      <c r="C44" s="49">
        <f>AVERAGE('31.07 Nebbi-Goli'!C44,'01.08 Nebbi-Goli'!C44,'04.08 Nebbi-Goli'!C44,'05.08 Nebbi-Goli'!C44,'02.08 Nebbi-Goli-24h'!C44,'03.08 Nebbi-Goli-24h'!C44,'06.08 Nebbi-Goli'!C44)</f>
        <v>1.5714285714285714</v>
      </c>
      <c r="D44" s="49">
        <f>AVERAGE('31.07 Nebbi-Goli'!D44,'01.08 Nebbi-Goli'!D44,'04.08 Nebbi-Goli'!D44,'05.08 Nebbi-Goli'!D44,'02.08 Nebbi-Goli-24h'!D44,'03.08 Nebbi-Goli-24h'!D44,'06.08 Nebbi-Goli'!D44)</f>
        <v>0</v>
      </c>
      <c r="E44" s="49">
        <f>AVERAGE('31.07 Nebbi-Goli'!E44,'01.08 Nebbi-Goli'!E44,'04.08 Nebbi-Goli'!E44,'05.08 Nebbi-Goli'!E44,'02.08 Nebbi-Goli-24h'!E44,'03.08 Nebbi-Goli-24h'!E44,'06.08 Nebbi-Goli'!E44)</f>
        <v>0.5714285714285714</v>
      </c>
      <c r="F44" s="49">
        <f>AVERAGE('31.07 Nebbi-Goli'!F44,'01.08 Nebbi-Goli'!F44,'04.08 Nebbi-Goli'!F44,'05.08 Nebbi-Goli'!F44,'02.08 Nebbi-Goli-24h'!F44,'03.08 Nebbi-Goli-24h'!F44,'06.08 Nebbi-Goli'!F44)</f>
        <v>0.42857142857142855</v>
      </c>
      <c r="G44" s="49">
        <f>AVERAGE('31.07 Nebbi-Goli'!G44,'01.08 Nebbi-Goli'!G44,'04.08 Nebbi-Goli'!G44,'05.08 Nebbi-Goli'!G44,'02.08 Nebbi-Goli-24h'!G44,'03.08 Nebbi-Goli-24h'!G44,'06.08 Nebbi-Goli'!G44)</f>
        <v>0.14285714285714285</v>
      </c>
      <c r="H44" s="49">
        <f>AVERAGE('31.07 Nebbi-Goli'!H44,'01.08 Nebbi-Goli'!H44,'04.08 Nebbi-Goli'!H44,'05.08 Nebbi-Goli'!H44,'02.08 Nebbi-Goli-24h'!H44,'03.08 Nebbi-Goli-24h'!H44,'06.08 Nebbi-Goli'!H44)</f>
        <v>0</v>
      </c>
      <c r="I44" s="49">
        <f>AVERAGE('31.07 Nebbi-Goli'!I44,'01.08 Nebbi-Goli'!I44,'04.08 Nebbi-Goli'!I44,'05.08 Nebbi-Goli'!I44,'02.08 Nebbi-Goli-24h'!I44,'03.08 Nebbi-Goli-24h'!I44,'06.08 Nebbi-Goli'!I44)</f>
        <v>1</v>
      </c>
      <c r="J44" s="49">
        <f>AVERAGE('31.07 Nebbi-Goli'!J44,'01.08 Nebbi-Goli'!J44,'04.08 Nebbi-Goli'!J44,'05.08 Nebbi-Goli'!J44,'02.08 Nebbi-Goli-24h'!J44,'03.08 Nebbi-Goli-24h'!J44,'06.08 Nebbi-Goli'!J44)</f>
        <v>0.2857142857142857</v>
      </c>
      <c r="K44" s="49">
        <f>AVERAGE('31.07 Nebbi-Goli'!K44,'01.08 Nebbi-Goli'!K44,'04.08 Nebbi-Goli'!K44,'05.08 Nebbi-Goli'!K44,'02.08 Nebbi-Goli-24h'!K44,'03.08 Nebbi-Goli-24h'!K44,'06.08 Nebbi-Goli'!K44)</f>
        <v>0</v>
      </c>
      <c r="L44" s="49">
        <f>AVERAGE('31.07 Nebbi-Goli'!L44,'01.08 Nebbi-Goli'!L44,'04.08 Nebbi-Goli'!L44,'05.08 Nebbi-Goli'!L44,'02.08 Nebbi-Goli-24h'!L44,'03.08 Nebbi-Goli-24h'!L44,'06.08 Nebbi-Goli'!L44)</f>
        <v>0.14285714285714285</v>
      </c>
      <c r="M44" s="49">
        <f>AVERAGE('31.07 Nebbi-Goli'!M44,'01.08 Nebbi-Goli'!M44,'04.08 Nebbi-Goli'!M44,'05.08 Nebbi-Goli'!M44,'02.08 Nebbi-Goli-24h'!M44,'03.08 Nebbi-Goli-24h'!M44,'06.08 Nebbi-Goli'!M44)</f>
        <v>9</v>
      </c>
      <c r="N44" s="49">
        <f>AVERAGE('31.07 Nebbi-Goli'!N44,'01.08 Nebbi-Goli'!N44,'04.08 Nebbi-Goli'!N44,'05.08 Nebbi-Goli'!N44,'02.08 Nebbi-Goli-24h'!N44,'03.08 Nebbi-Goli-24h'!N44,'06.08 Nebbi-Goli'!N44)</f>
        <v>0</v>
      </c>
      <c r="O44" s="15">
        <f t="shared" si="0"/>
        <v>4.1428571428571423</v>
      </c>
      <c r="P44" s="15">
        <f t="shared" si="1"/>
        <v>13.142857142857142</v>
      </c>
    </row>
    <row r="45" spans="2:32" ht="23.1" customHeight="1" x14ac:dyDescent="0.25">
      <c r="B45" s="23" t="s">
        <v>72</v>
      </c>
      <c r="C45" s="49">
        <f>AVERAGE('31.07 Nebbi-Goli'!C45,'01.08 Nebbi-Goli'!C45,'04.08 Nebbi-Goli'!C45,'05.08 Nebbi-Goli'!C45,'02.08 Nebbi-Goli-24h'!C45,'03.08 Nebbi-Goli-24h'!C45,'06.08 Nebbi-Goli'!C45)</f>
        <v>1.2857142857142858</v>
      </c>
      <c r="D45" s="49">
        <f>AVERAGE('31.07 Nebbi-Goli'!D45,'01.08 Nebbi-Goli'!D45,'04.08 Nebbi-Goli'!D45,'05.08 Nebbi-Goli'!D45,'02.08 Nebbi-Goli-24h'!D45,'03.08 Nebbi-Goli-24h'!D45,'06.08 Nebbi-Goli'!D45)</f>
        <v>0.14285714285714285</v>
      </c>
      <c r="E45" s="49">
        <f>AVERAGE('31.07 Nebbi-Goli'!E45,'01.08 Nebbi-Goli'!E45,'04.08 Nebbi-Goli'!E45,'05.08 Nebbi-Goli'!E45,'02.08 Nebbi-Goli-24h'!E45,'03.08 Nebbi-Goli-24h'!E45,'06.08 Nebbi-Goli'!E45)</f>
        <v>0.8571428571428571</v>
      </c>
      <c r="F45" s="49">
        <f>AVERAGE('31.07 Nebbi-Goli'!F45,'01.08 Nebbi-Goli'!F45,'04.08 Nebbi-Goli'!F45,'05.08 Nebbi-Goli'!F45,'02.08 Nebbi-Goli-24h'!F45,'03.08 Nebbi-Goli-24h'!F45,'06.08 Nebbi-Goli'!F45)</f>
        <v>0.8571428571428571</v>
      </c>
      <c r="G45" s="49">
        <f>AVERAGE('31.07 Nebbi-Goli'!G45,'01.08 Nebbi-Goli'!G45,'04.08 Nebbi-Goli'!G45,'05.08 Nebbi-Goli'!G45,'02.08 Nebbi-Goli-24h'!G45,'03.08 Nebbi-Goli-24h'!G45,'06.08 Nebbi-Goli'!G45)</f>
        <v>0</v>
      </c>
      <c r="H45" s="49">
        <f>AVERAGE('31.07 Nebbi-Goli'!H45,'01.08 Nebbi-Goli'!H45,'04.08 Nebbi-Goli'!H45,'05.08 Nebbi-Goli'!H45,'02.08 Nebbi-Goli-24h'!H45,'03.08 Nebbi-Goli-24h'!H45,'06.08 Nebbi-Goli'!H45)</f>
        <v>0</v>
      </c>
      <c r="I45" s="49">
        <f>AVERAGE('31.07 Nebbi-Goli'!I45,'01.08 Nebbi-Goli'!I45,'04.08 Nebbi-Goli'!I45,'05.08 Nebbi-Goli'!I45,'02.08 Nebbi-Goli-24h'!I45,'03.08 Nebbi-Goli-24h'!I45,'06.08 Nebbi-Goli'!I45)</f>
        <v>0.5714285714285714</v>
      </c>
      <c r="J45" s="49">
        <f>AVERAGE('31.07 Nebbi-Goli'!J45,'01.08 Nebbi-Goli'!J45,'04.08 Nebbi-Goli'!J45,'05.08 Nebbi-Goli'!J45,'02.08 Nebbi-Goli-24h'!J45,'03.08 Nebbi-Goli-24h'!J45,'06.08 Nebbi-Goli'!J45)</f>
        <v>0.14285714285714285</v>
      </c>
      <c r="K45" s="49">
        <f>AVERAGE('31.07 Nebbi-Goli'!K45,'01.08 Nebbi-Goli'!K45,'04.08 Nebbi-Goli'!K45,'05.08 Nebbi-Goli'!K45,'02.08 Nebbi-Goli-24h'!K45,'03.08 Nebbi-Goli-24h'!K45,'06.08 Nebbi-Goli'!K45)</f>
        <v>0.14285714285714285</v>
      </c>
      <c r="L45" s="49">
        <f>AVERAGE('31.07 Nebbi-Goli'!L45,'01.08 Nebbi-Goli'!L45,'04.08 Nebbi-Goli'!L45,'05.08 Nebbi-Goli'!L45,'02.08 Nebbi-Goli-24h'!L45,'03.08 Nebbi-Goli-24h'!L45,'06.08 Nebbi-Goli'!L45)</f>
        <v>0.7142857142857143</v>
      </c>
      <c r="M45" s="49">
        <f>AVERAGE('31.07 Nebbi-Goli'!M45,'01.08 Nebbi-Goli'!M45,'04.08 Nebbi-Goli'!M45,'05.08 Nebbi-Goli'!M45,'02.08 Nebbi-Goli-24h'!M45,'03.08 Nebbi-Goli-24h'!M45,'06.08 Nebbi-Goli'!M45)</f>
        <v>9.5714285714285712</v>
      </c>
      <c r="N45" s="49">
        <f>AVERAGE('31.07 Nebbi-Goli'!N45,'01.08 Nebbi-Goli'!N45,'04.08 Nebbi-Goli'!N45,'05.08 Nebbi-Goli'!N45,'02.08 Nebbi-Goli-24h'!N45,'03.08 Nebbi-Goli-24h'!N45,'06.08 Nebbi-Goli'!N45)</f>
        <v>0</v>
      </c>
      <c r="O45" s="15">
        <f t="shared" si="0"/>
        <v>4.7142857142857144</v>
      </c>
      <c r="P45" s="15">
        <f t="shared" si="1"/>
        <v>14.285714285714285</v>
      </c>
    </row>
    <row r="46" spans="2:32" ht="23.1" customHeight="1" x14ac:dyDescent="0.25">
      <c r="B46" s="24" t="s">
        <v>73</v>
      </c>
      <c r="C46" s="49">
        <f>AVERAGE('31.07 Nebbi-Goli'!C46,'01.08 Nebbi-Goli'!C46,'04.08 Nebbi-Goli'!C46,'05.08 Nebbi-Goli'!C46,'02.08 Nebbi-Goli-24h'!C46,'03.08 Nebbi-Goli-24h'!C46,'06.08 Nebbi-Goli'!C46)</f>
        <v>0.8571428571428571</v>
      </c>
      <c r="D46" s="49">
        <f>AVERAGE('31.07 Nebbi-Goli'!D46,'01.08 Nebbi-Goli'!D46,'04.08 Nebbi-Goli'!D46,'05.08 Nebbi-Goli'!D46,'02.08 Nebbi-Goli-24h'!D46,'03.08 Nebbi-Goli-24h'!D46,'06.08 Nebbi-Goli'!D46)</f>
        <v>0.14285714285714285</v>
      </c>
      <c r="E46" s="49">
        <f>AVERAGE('31.07 Nebbi-Goli'!E46,'01.08 Nebbi-Goli'!E46,'04.08 Nebbi-Goli'!E46,'05.08 Nebbi-Goli'!E46,'02.08 Nebbi-Goli-24h'!E46,'03.08 Nebbi-Goli-24h'!E46,'06.08 Nebbi-Goli'!E46)</f>
        <v>0.7142857142857143</v>
      </c>
      <c r="F46" s="49">
        <f>AVERAGE('31.07 Nebbi-Goli'!F46,'01.08 Nebbi-Goli'!F46,'04.08 Nebbi-Goli'!F46,'05.08 Nebbi-Goli'!F46,'02.08 Nebbi-Goli-24h'!F46,'03.08 Nebbi-Goli-24h'!F46,'06.08 Nebbi-Goli'!F46)</f>
        <v>0.42857142857142855</v>
      </c>
      <c r="G46" s="49">
        <f>AVERAGE('31.07 Nebbi-Goli'!G46,'01.08 Nebbi-Goli'!G46,'04.08 Nebbi-Goli'!G46,'05.08 Nebbi-Goli'!G46,'02.08 Nebbi-Goli-24h'!G46,'03.08 Nebbi-Goli-24h'!G46,'06.08 Nebbi-Goli'!G46)</f>
        <v>0.14285714285714285</v>
      </c>
      <c r="H46" s="49">
        <f>AVERAGE('31.07 Nebbi-Goli'!H46,'01.08 Nebbi-Goli'!H46,'04.08 Nebbi-Goli'!H46,'05.08 Nebbi-Goli'!H46,'02.08 Nebbi-Goli-24h'!H46,'03.08 Nebbi-Goli-24h'!H46,'06.08 Nebbi-Goli'!H46)</f>
        <v>0</v>
      </c>
      <c r="I46" s="49">
        <f>AVERAGE('31.07 Nebbi-Goli'!I46,'01.08 Nebbi-Goli'!I46,'04.08 Nebbi-Goli'!I46,'05.08 Nebbi-Goli'!I46,'02.08 Nebbi-Goli-24h'!I46,'03.08 Nebbi-Goli-24h'!I46,'06.08 Nebbi-Goli'!I46)</f>
        <v>0.42857142857142855</v>
      </c>
      <c r="J46" s="49">
        <f>AVERAGE('31.07 Nebbi-Goli'!J46,'01.08 Nebbi-Goli'!J46,'04.08 Nebbi-Goli'!J46,'05.08 Nebbi-Goli'!J46,'02.08 Nebbi-Goli-24h'!J46,'03.08 Nebbi-Goli-24h'!J46,'06.08 Nebbi-Goli'!J46)</f>
        <v>0.14285714285714285</v>
      </c>
      <c r="K46" s="49">
        <f>AVERAGE('31.07 Nebbi-Goli'!K46,'01.08 Nebbi-Goli'!K46,'04.08 Nebbi-Goli'!K46,'05.08 Nebbi-Goli'!K46,'02.08 Nebbi-Goli-24h'!K46,'03.08 Nebbi-Goli-24h'!K46,'06.08 Nebbi-Goli'!K46)</f>
        <v>0.2857142857142857</v>
      </c>
      <c r="L46" s="49">
        <f>AVERAGE('31.07 Nebbi-Goli'!L46,'01.08 Nebbi-Goli'!L46,'04.08 Nebbi-Goli'!L46,'05.08 Nebbi-Goli'!L46,'02.08 Nebbi-Goli-24h'!L46,'03.08 Nebbi-Goli-24h'!L46,'06.08 Nebbi-Goli'!L46)</f>
        <v>1</v>
      </c>
      <c r="M46" s="49">
        <f>AVERAGE('31.07 Nebbi-Goli'!M46,'01.08 Nebbi-Goli'!M46,'04.08 Nebbi-Goli'!M46,'05.08 Nebbi-Goli'!M46,'02.08 Nebbi-Goli-24h'!M46,'03.08 Nebbi-Goli-24h'!M46,'06.08 Nebbi-Goli'!M46)</f>
        <v>11.285714285714286</v>
      </c>
      <c r="N46" s="49">
        <f>AVERAGE('31.07 Nebbi-Goli'!N46,'01.08 Nebbi-Goli'!N46,'04.08 Nebbi-Goli'!N46,'05.08 Nebbi-Goli'!N46,'02.08 Nebbi-Goli-24h'!N46,'03.08 Nebbi-Goli-24h'!N46,'06.08 Nebbi-Goli'!N46)</f>
        <v>0</v>
      </c>
      <c r="O46" s="15">
        <f t="shared" si="0"/>
        <v>4.1428571428571423</v>
      </c>
      <c r="P46" s="15">
        <f t="shared" si="1"/>
        <v>15.428571428571429</v>
      </c>
      <c r="R46" s="8"/>
      <c r="T46"/>
    </row>
    <row r="47" spans="2:32" ht="23.1" customHeight="1" x14ac:dyDescent="0.25">
      <c r="B47" s="24" t="s">
        <v>74</v>
      </c>
      <c r="C47" s="49">
        <f>AVERAGE('31.07 Nebbi-Goli'!C47,'01.08 Nebbi-Goli'!C47,'04.08 Nebbi-Goli'!C47,'05.08 Nebbi-Goli'!C47,'02.08 Nebbi-Goli-24h'!C47,'03.08 Nebbi-Goli-24h'!C47,'06.08 Nebbi-Goli'!C47)</f>
        <v>1.4285714285714286</v>
      </c>
      <c r="D47" s="49">
        <f>AVERAGE('31.07 Nebbi-Goli'!D47,'01.08 Nebbi-Goli'!D47,'04.08 Nebbi-Goli'!D47,'05.08 Nebbi-Goli'!D47,'02.08 Nebbi-Goli-24h'!D47,'03.08 Nebbi-Goli-24h'!D47,'06.08 Nebbi-Goli'!D47)</f>
        <v>0</v>
      </c>
      <c r="E47" s="49">
        <f>AVERAGE('31.07 Nebbi-Goli'!E47,'01.08 Nebbi-Goli'!E47,'04.08 Nebbi-Goli'!E47,'05.08 Nebbi-Goli'!E47,'02.08 Nebbi-Goli-24h'!E47,'03.08 Nebbi-Goli-24h'!E47,'06.08 Nebbi-Goli'!E47)</f>
        <v>0.7142857142857143</v>
      </c>
      <c r="F47" s="49">
        <f>AVERAGE('31.07 Nebbi-Goli'!F47,'01.08 Nebbi-Goli'!F47,'04.08 Nebbi-Goli'!F47,'05.08 Nebbi-Goli'!F47,'02.08 Nebbi-Goli-24h'!F47,'03.08 Nebbi-Goli-24h'!F47,'06.08 Nebbi-Goli'!F47)</f>
        <v>0.14285714285714285</v>
      </c>
      <c r="G47" s="49">
        <f>AVERAGE('31.07 Nebbi-Goli'!G47,'01.08 Nebbi-Goli'!G47,'04.08 Nebbi-Goli'!G47,'05.08 Nebbi-Goli'!G47,'02.08 Nebbi-Goli-24h'!G47,'03.08 Nebbi-Goli-24h'!G47,'06.08 Nebbi-Goli'!G47)</f>
        <v>0.14285714285714285</v>
      </c>
      <c r="H47" s="49">
        <f>AVERAGE('31.07 Nebbi-Goli'!H47,'01.08 Nebbi-Goli'!H47,'04.08 Nebbi-Goli'!H47,'05.08 Nebbi-Goli'!H47,'02.08 Nebbi-Goli-24h'!H47,'03.08 Nebbi-Goli-24h'!H47,'06.08 Nebbi-Goli'!H47)</f>
        <v>0</v>
      </c>
      <c r="I47" s="49">
        <f>AVERAGE('31.07 Nebbi-Goli'!I47,'01.08 Nebbi-Goli'!I47,'04.08 Nebbi-Goli'!I47,'05.08 Nebbi-Goli'!I47,'02.08 Nebbi-Goli-24h'!I47,'03.08 Nebbi-Goli-24h'!I47,'06.08 Nebbi-Goli'!I47)</f>
        <v>1.4285714285714286</v>
      </c>
      <c r="J47" s="49">
        <f>AVERAGE('31.07 Nebbi-Goli'!J47,'01.08 Nebbi-Goli'!J47,'04.08 Nebbi-Goli'!J47,'05.08 Nebbi-Goli'!J47,'02.08 Nebbi-Goli-24h'!J47,'03.08 Nebbi-Goli-24h'!J47,'06.08 Nebbi-Goli'!J47)</f>
        <v>0.14285714285714285</v>
      </c>
      <c r="K47" s="49">
        <f>AVERAGE('31.07 Nebbi-Goli'!K47,'01.08 Nebbi-Goli'!K47,'04.08 Nebbi-Goli'!K47,'05.08 Nebbi-Goli'!K47,'02.08 Nebbi-Goli-24h'!K47,'03.08 Nebbi-Goli-24h'!K47,'06.08 Nebbi-Goli'!K47)</f>
        <v>0.14285714285714285</v>
      </c>
      <c r="L47" s="49">
        <f>AVERAGE('31.07 Nebbi-Goli'!L47,'01.08 Nebbi-Goli'!L47,'04.08 Nebbi-Goli'!L47,'05.08 Nebbi-Goli'!L47,'02.08 Nebbi-Goli-24h'!L47,'03.08 Nebbi-Goli-24h'!L47,'06.08 Nebbi-Goli'!L47)</f>
        <v>0.7142857142857143</v>
      </c>
      <c r="M47" s="49">
        <f>AVERAGE('31.07 Nebbi-Goli'!M47,'01.08 Nebbi-Goli'!M47,'04.08 Nebbi-Goli'!M47,'05.08 Nebbi-Goli'!M47,'02.08 Nebbi-Goli-24h'!M47,'03.08 Nebbi-Goli-24h'!M47,'06.08 Nebbi-Goli'!M47)</f>
        <v>13</v>
      </c>
      <c r="N47" s="49">
        <f>AVERAGE('31.07 Nebbi-Goli'!N47,'01.08 Nebbi-Goli'!N47,'04.08 Nebbi-Goli'!N47,'05.08 Nebbi-Goli'!N47,'02.08 Nebbi-Goli-24h'!N47,'03.08 Nebbi-Goli-24h'!N47,'06.08 Nebbi-Goli'!N47)</f>
        <v>0</v>
      </c>
      <c r="O47" s="15">
        <f t="shared" si="0"/>
        <v>4.8571428571428568</v>
      </c>
      <c r="P47" s="15">
        <f t="shared" si="1"/>
        <v>17.857142857142858</v>
      </c>
      <c r="R47" s="8"/>
      <c r="T47"/>
    </row>
    <row r="48" spans="2:32" ht="23.1" customHeight="1" x14ac:dyDescent="0.25">
      <c r="B48" s="24" t="s">
        <v>75</v>
      </c>
      <c r="C48" s="49">
        <f>AVERAGE('31.07 Nebbi-Goli'!C48,'01.08 Nebbi-Goli'!C48,'04.08 Nebbi-Goli'!C48,'05.08 Nebbi-Goli'!C48,'02.08 Nebbi-Goli-24h'!C48,'03.08 Nebbi-Goli-24h'!C48,'06.08 Nebbi-Goli'!C48)</f>
        <v>1.1428571428571428</v>
      </c>
      <c r="D48" s="49">
        <f>AVERAGE('31.07 Nebbi-Goli'!D48,'01.08 Nebbi-Goli'!D48,'04.08 Nebbi-Goli'!D48,'05.08 Nebbi-Goli'!D48,'02.08 Nebbi-Goli-24h'!D48,'03.08 Nebbi-Goli-24h'!D48,'06.08 Nebbi-Goli'!D48)</f>
        <v>0.2857142857142857</v>
      </c>
      <c r="E48" s="49">
        <f>AVERAGE('31.07 Nebbi-Goli'!E48,'01.08 Nebbi-Goli'!E48,'04.08 Nebbi-Goli'!E48,'05.08 Nebbi-Goli'!E48,'02.08 Nebbi-Goli-24h'!E48,'03.08 Nebbi-Goli-24h'!E48,'06.08 Nebbi-Goli'!E48)</f>
        <v>1</v>
      </c>
      <c r="F48" s="49">
        <f>AVERAGE('31.07 Nebbi-Goli'!F48,'01.08 Nebbi-Goli'!F48,'04.08 Nebbi-Goli'!F48,'05.08 Nebbi-Goli'!F48,'02.08 Nebbi-Goli-24h'!F48,'03.08 Nebbi-Goli-24h'!F48,'06.08 Nebbi-Goli'!F48)</f>
        <v>0.5714285714285714</v>
      </c>
      <c r="G48" s="49">
        <f>AVERAGE('31.07 Nebbi-Goli'!G48,'01.08 Nebbi-Goli'!G48,'04.08 Nebbi-Goli'!G48,'05.08 Nebbi-Goli'!G48,'02.08 Nebbi-Goli-24h'!G48,'03.08 Nebbi-Goli-24h'!G48,'06.08 Nebbi-Goli'!G48)</f>
        <v>0.14285714285714285</v>
      </c>
      <c r="H48" s="49">
        <f>AVERAGE('31.07 Nebbi-Goli'!H48,'01.08 Nebbi-Goli'!H48,'04.08 Nebbi-Goli'!H48,'05.08 Nebbi-Goli'!H48,'02.08 Nebbi-Goli-24h'!H48,'03.08 Nebbi-Goli-24h'!H48,'06.08 Nebbi-Goli'!H48)</f>
        <v>0</v>
      </c>
      <c r="I48" s="49">
        <f>AVERAGE('31.07 Nebbi-Goli'!I48,'01.08 Nebbi-Goli'!I48,'04.08 Nebbi-Goli'!I48,'05.08 Nebbi-Goli'!I48,'02.08 Nebbi-Goli-24h'!I48,'03.08 Nebbi-Goli-24h'!I48,'06.08 Nebbi-Goli'!I48)</f>
        <v>1</v>
      </c>
      <c r="J48" s="49">
        <f>AVERAGE('31.07 Nebbi-Goli'!J48,'01.08 Nebbi-Goli'!J48,'04.08 Nebbi-Goli'!J48,'05.08 Nebbi-Goli'!J48,'02.08 Nebbi-Goli-24h'!J48,'03.08 Nebbi-Goli-24h'!J48,'06.08 Nebbi-Goli'!J48)</f>
        <v>0</v>
      </c>
      <c r="K48" s="49">
        <f>AVERAGE('31.07 Nebbi-Goli'!K48,'01.08 Nebbi-Goli'!K48,'04.08 Nebbi-Goli'!K48,'05.08 Nebbi-Goli'!K48,'02.08 Nebbi-Goli-24h'!K48,'03.08 Nebbi-Goli-24h'!K48,'06.08 Nebbi-Goli'!K48)</f>
        <v>0.5714285714285714</v>
      </c>
      <c r="L48" s="49">
        <f>AVERAGE('31.07 Nebbi-Goli'!L48,'01.08 Nebbi-Goli'!L48,'04.08 Nebbi-Goli'!L48,'05.08 Nebbi-Goli'!L48,'02.08 Nebbi-Goli-24h'!L48,'03.08 Nebbi-Goli-24h'!L48,'06.08 Nebbi-Goli'!L48)</f>
        <v>0.42857142857142855</v>
      </c>
      <c r="M48" s="49">
        <f>AVERAGE('31.07 Nebbi-Goli'!M48,'01.08 Nebbi-Goli'!M48,'04.08 Nebbi-Goli'!M48,'05.08 Nebbi-Goli'!M48,'02.08 Nebbi-Goli-24h'!M48,'03.08 Nebbi-Goli-24h'!M48,'06.08 Nebbi-Goli'!M48)</f>
        <v>10.428571428571429</v>
      </c>
      <c r="N48" s="49">
        <f>AVERAGE('31.07 Nebbi-Goli'!N48,'01.08 Nebbi-Goli'!N48,'04.08 Nebbi-Goli'!N48,'05.08 Nebbi-Goli'!N48,'02.08 Nebbi-Goli-24h'!N48,'03.08 Nebbi-Goli-24h'!N48,'06.08 Nebbi-Goli'!N48)</f>
        <v>0</v>
      </c>
      <c r="O48" s="15">
        <f t="shared" si="0"/>
        <v>5.1428571428571423</v>
      </c>
      <c r="P48" s="15">
        <f t="shared" si="1"/>
        <v>15.571428571428571</v>
      </c>
      <c r="R48" s="8"/>
      <c r="T48"/>
    </row>
    <row r="49" spans="2:20" ht="23.1" customHeight="1" x14ac:dyDescent="0.25">
      <c r="B49" s="23" t="s">
        <v>76</v>
      </c>
      <c r="C49" s="49">
        <f>AVERAGE('31.07 Nebbi-Goli'!C49,'01.08 Nebbi-Goli'!C49,'04.08 Nebbi-Goli'!C49,'05.08 Nebbi-Goli'!C49,'02.08 Nebbi-Goli-24h'!C49,'03.08 Nebbi-Goli-24h'!C49,'06.08 Nebbi-Goli'!C49)</f>
        <v>1.1428571428571428</v>
      </c>
      <c r="D49" s="49">
        <f>AVERAGE('31.07 Nebbi-Goli'!D49,'01.08 Nebbi-Goli'!D49,'04.08 Nebbi-Goli'!D49,'05.08 Nebbi-Goli'!D49,'02.08 Nebbi-Goli-24h'!D49,'03.08 Nebbi-Goli-24h'!D49,'06.08 Nebbi-Goli'!D49)</f>
        <v>0.14285714285714285</v>
      </c>
      <c r="E49" s="49">
        <f>AVERAGE('31.07 Nebbi-Goli'!E49,'01.08 Nebbi-Goli'!E49,'04.08 Nebbi-Goli'!E49,'05.08 Nebbi-Goli'!E49,'02.08 Nebbi-Goli-24h'!E49,'03.08 Nebbi-Goli-24h'!E49,'06.08 Nebbi-Goli'!E49)</f>
        <v>0.7142857142857143</v>
      </c>
      <c r="F49" s="49">
        <f>AVERAGE('31.07 Nebbi-Goli'!F49,'01.08 Nebbi-Goli'!F49,'04.08 Nebbi-Goli'!F49,'05.08 Nebbi-Goli'!F49,'02.08 Nebbi-Goli-24h'!F49,'03.08 Nebbi-Goli-24h'!F49,'06.08 Nebbi-Goli'!F49)</f>
        <v>0.42857142857142855</v>
      </c>
      <c r="G49" s="49">
        <f>AVERAGE('31.07 Nebbi-Goli'!G49,'01.08 Nebbi-Goli'!G49,'04.08 Nebbi-Goli'!G49,'05.08 Nebbi-Goli'!G49,'02.08 Nebbi-Goli-24h'!G49,'03.08 Nebbi-Goli-24h'!G49,'06.08 Nebbi-Goli'!G49)</f>
        <v>0</v>
      </c>
      <c r="H49" s="49">
        <f>AVERAGE('31.07 Nebbi-Goli'!H49,'01.08 Nebbi-Goli'!H49,'04.08 Nebbi-Goli'!H49,'05.08 Nebbi-Goli'!H49,'02.08 Nebbi-Goli-24h'!H49,'03.08 Nebbi-Goli-24h'!H49,'06.08 Nebbi-Goli'!H49)</f>
        <v>0.14285714285714285</v>
      </c>
      <c r="I49" s="49">
        <f>AVERAGE('31.07 Nebbi-Goli'!I49,'01.08 Nebbi-Goli'!I49,'04.08 Nebbi-Goli'!I49,'05.08 Nebbi-Goli'!I49,'02.08 Nebbi-Goli-24h'!I49,'03.08 Nebbi-Goli-24h'!I49,'06.08 Nebbi-Goli'!I49)</f>
        <v>1.2857142857142858</v>
      </c>
      <c r="J49" s="49">
        <f>AVERAGE('31.07 Nebbi-Goli'!J49,'01.08 Nebbi-Goli'!J49,'04.08 Nebbi-Goli'!J49,'05.08 Nebbi-Goli'!J49,'02.08 Nebbi-Goli-24h'!J49,'03.08 Nebbi-Goli-24h'!J49,'06.08 Nebbi-Goli'!J49)</f>
        <v>0</v>
      </c>
      <c r="K49" s="49">
        <f>AVERAGE('31.07 Nebbi-Goli'!K49,'01.08 Nebbi-Goli'!K49,'04.08 Nebbi-Goli'!K49,'05.08 Nebbi-Goli'!K49,'02.08 Nebbi-Goli-24h'!K49,'03.08 Nebbi-Goli-24h'!K49,'06.08 Nebbi-Goli'!K49)</f>
        <v>0</v>
      </c>
      <c r="L49" s="49">
        <f>AVERAGE('31.07 Nebbi-Goli'!L49,'01.08 Nebbi-Goli'!L49,'04.08 Nebbi-Goli'!L49,'05.08 Nebbi-Goli'!L49,'02.08 Nebbi-Goli-24h'!L49,'03.08 Nebbi-Goli-24h'!L49,'06.08 Nebbi-Goli'!L49)</f>
        <v>0.8571428571428571</v>
      </c>
      <c r="M49" s="49">
        <f>AVERAGE('31.07 Nebbi-Goli'!M49,'01.08 Nebbi-Goli'!M49,'04.08 Nebbi-Goli'!M49,'05.08 Nebbi-Goli'!M49,'02.08 Nebbi-Goli-24h'!M49,'03.08 Nebbi-Goli-24h'!M49,'06.08 Nebbi-Goli'!M49)</f>
        <v>12.571428571428571</v>
      </c>
      <c r="N49" s="49">
        <f>AVERAGE('31.07 Nebbi-Goli'!N49,'01.08 Nebbi-Goli'!N49,'04.08 Nebbi-Goli'!N49,'05.08 Nebbi-Goli'!N49,'02.08 Nebbi-Goli-24h'!N49,'03.08 Nebbi-Goli-24h'!N49,'06.08 Nebbi-Goli'!N49)</f>
        <v>0</v>
      </c>
      <c r="O49" s="15">
        <f t="shared" si="0"/>
        <v>4.7142857142857135</v>
      </c>
      <c r="P49" s="15">
        <f t="shared" si="1"/>
        <v>17.285714285714285</v>
      </c>
      <c r="R49" s="8"/>
      <c r="T49"/>
    </row>
    <row r="50" spans="2:20" ht="23.1" customHeight="1" x14ac:dyDescent="0.25">
      <c r="B50" s="24" t="s">
        <v>77</v>
      </c>
      <c r="C50" s="49">
        <f>AVERAGE('31.07 Nebbi-Goli'!C50,'01.08 Nebbi-Goli'!C50,'04.08 Nebbi-Goli'!C50,'05.08 Nebbi-Goli'!C50,'02.08 Nebbi-Goli-24h'!C50,'03.08 Nebbi-Goli-24h'!C50,'06.08 Nebbi-Goli'!C50)</f>
        <v>1.8571428571428572</v>
      </c>
      <c r="D50" s="49">
        <f>AVERAGE('31.07 Nebbi-Goli'!D50,'01.08 Nebbi-Goli'!D50,'04.08 Nebbi-Goli'!D50,'05.08 Nebbi-Goli'!D50,'02.08 Nebbi-Goli-24h'!D50,'03.08 Nebbi-Goli-24h'!D50,'06.08 Nebbi-Goli'!D50)</f>
        <v>0.5714285714285714</v>
      </c>
      <c r="E50" s="49">
        <f>AVERAGE('31.07 Nebbi-Goli'!E50,'01.08 Nebbi-Goli'!E50,'04.08 Nebbi-Goli'!E50,'05.08 Nebbi-Goli'!E50,'02.08 Nebbi-Goli-24h'!E50,'03.08 Nebbi-Goli-24h'!E50,'06.08 Nebbi-Goli'!E50)</f>
        <v>2</v>
      </c>
      <c r="F50" s="49">
        <f>AVERAGE('31.07 Nebbi-Goli'!F50,'01.08 Nebbi-Goli'!F50,'04.08 Nebbi-Goli'!F50,'05.08 Nebbi-Goli'!F50,'02.08 Nebbi-Goli-24h'!F50,'03.08 Nebbi-Goli-24h'!F50,'06.08 Nebbi-Goli'!F50)</f>
        <v>0.8571428571428571</v>
      </c>
      <c r="G50" s="49">
        <f>AVERAGE('31.07 Nebbi-Goli'!G50,'01.08 Nebbi-Goli'!G50,'04.08 Nebbi-Goli'!G50,'05.08 Nebbi-Goli'!G50,'02.08 Nebbi-Goli-24h'!G50,'03.08 Nebbi-Goli-24h'!G50,'06.08 Nebbi-Goli'!G50)</f>
        <v>0</v>
      </c>
      <c r="H50" s="49">
        <f>AVERAGE('31.07 Nebbi-Goli'!H50,'01.08 Nebbi-Goli'!H50,'04.08 Nebbi-Goli'!H50,'05.08 Nebbi-Goli'!H50,'02.08 Nebbi-Goli-24h'!H50,'03.08 Nebbi-Goli-24h'!H50,'06.08 Nebbi-Goli'!H50)</f>
        <v>0</v>
      </c>
      <c r="I50" s="49">
        <f>AVERAGE('31.07 Nebbi-Goli'!I50,'01.08 Nebbi-Goli'!I50,'04.08 Nebbi-Goli'!I50,'05.08 Nebbi-Goli'!I50,'02.08 Nebbi-Goli-24h'!I50,'03.08 Nebbi-Goli-24h'!I50,'06.08 Nebbi-Goli'!I50)</f>
        <v>1.1428571428571428</v>
      </c>
      <c r="J50" s="49">
        <f>AVERAGE('31.07 Nebbi-Goli'!J50,'01.08 Nebbi-Goli'!J50,'04.08 Nebbi-Goli'!J50,'05.08 Nebbi-Goli'!J50,'02.08 Nebbi-Goli-24h'!J50,'03.08 Nebbi-Goli-24h'!J50,'06.08 Nebbi-Goli'!J50)</f>
        <v>0</v>
      </c>
      <c r="K50" s="49">
        <f>AVERAGE('31.07 Nebbi-Goli'!K50,'01.08 Nebbi-Goli'!K50,'04.08 Nebbi-Goli'!K50,'05.08 Nebbi-Goli'!K50,'02.08 Nebbi-Goli-24h'!K50,'03.08 Nebbi-Goli-24h'!K50,'06.08 Nebbi-Goli'!K50)</f>
        <v>0.14285714285714285</v>
      </c>
      <c r="L50" s="49">
        <f>AVERAGE('31.07 Nebbi-Goli'!L50,'01.08 Nebbi-Goli'!L50,'04.08 Nebbi-Goli'!L50,'05.08 Nebbi-Goli'!L50,'02.08 Nebbi-Goli-24h'!L50,'03.08 Nebbi-Goli-24h'!L50,'06.08 Nebbi-Goli'!L50)</f>
        <v>0.14285714285714285</v>
      </c>
      <c r="M50" s="49">
        <f>AVERAGE('31.07 Nebbi-Goli'!M50,'01.08 Nebbi-Goli'!M50,'04.08 Nebbi-Goli'!M50,'05.08 Nebbi-Goli'!M50,'02.08 Nebbi-Goli-24h'!M50,'03.08 Nebbi-Goli-24h'!M50,'06.08 Nebbi-Goli'!M50)</f>
        <v>14.428571428571429</v>
      </c>
      <c r="N50" s="49">
        <f>AVERAGE('31.07 Nebbi-Goli'!N50,'01.08 Nebbi-Goli'!N50,'04.08 Nebbi-Goli'!N50,'05.08 Nebbi-Goli'!N50,'02.08 Nebbi-Goli-24h'!N50,'03.08 Nebbi-Goli-24h'!N50,'06.08 Nebbi-Goli'!N50)</f>
        <v>0</v>
      </c>
      <c r="O50" s="15">
        <f t="shared" si="0"/>
        <v>6.7142857142857153</v>
      </c>
      <c r="P50" s="15">
        <f t="shared" si="1"/>
        <v>21.142857142857146</v>
      </c>
      <c r="R50" s="8"/>
      <c r="T50"/>
    </row>
    <row r="51" spans="2:20" ht="23.1" customHeight="1" x14ac:dyDescent="0.25">
      <c r="B51" s="24" t="s">
        <v>78</v>
      </c>
      <c r="C51" s="49">
        <f>AVERAGE('31.07 Nebbi-Goli'!C51,'01.08 Nebbi-Goli'!C51,'04.08 Nebbi-Goli'!C51,'05.08 Nebbi-Goli'!C51,'02.08 Nebbi-Goli-24h'!C51,'03.08 Nebbi-Goli-24h'!C51,'06.08 Nebbi-Goli'!C51)</f>
        <v>1</v>
      </c>
      <c r="D51" s="49">
        <f>AVERAGE('31.07 Nebbi-Goli'!D51,'01.08 Nebbi-Goli'!D51,'04.08 Nebbi-Goli'!D51,'05.08 Nebbi-Goli'!D51,'02.08 Nebbi-Goli-24h'!D51,'03.08 Nebbi-Goli-24h'!D51,'06.08 Nebbi-Goli'!D51)</f>
        <v>0.5714285714285714</v>
      </c>
      <c r="E51" s="49">
        <f>AVERAGE('31.07 Nebbi-Goli'!E51,'01.08 Nebbi-Goli'!E51,'04.08 Nebbi-Goli'!E51,'05.08 Nebbi-Goli'!E51,'02.08 Nebbi-Goli-24h'!E51,'03.08 Nebbi-Goli-24h'!E51,'06.08 Nebbi-Goli'!E51)</f>
        <v>1.8571428571428572</v>
      </c>
      <c r="F51" s="49">
        <f>AVERAGE('31.07 Nebbi-Goli'!F51,'01.08 Nebbi-Goli'!F51,'04.08 Nebbi-Goli'!F51,'05.08 Nebbi-Goli'!F51,'02.08 Nebbi-Goli-24h'!F51,'03.08 Nebbi-Goli-24h'!F51,'06.08 Nebbi-Goli'!F51)</f>
        <v>0.7142857142857143</v>
      </c>
      <c r="G51" s="49">
        <f>AVERAGE('31.07 Nebbi-Goli'!G51,'01.08 Nebbi-Goli'!G51,'04.08 Nebbi-Goli'!G51,'05.08 Nebbi-Goli'!G51,'02.08 Nebbi-Goli-24h'!G51,'03.08 Nebbi-Goli-24h'!G51,'06.08 Nebbi-Goli'!G51)</f>
        <v>0</v>
      </c>
      <c r="H51" s="49">
        <f>AVERAGE('31.07 Nebbi-Goli'!H51,'01.08 Nebbi-Goli'!H51,'04.08 Nebbi-Goli'!H51,'05.08 Nebbi-Goli'!H51,'02.08 Nebbi-Goli-24h'!H51,'03.08 Nebbi-Goli-24h'!H51,'06.08 Nebbi-Goli'!H51)</f>
        <v>0</v>
      </c>
      <c r="I51" s="49">
        <f>AVERAGE('31.07 Nebbi-Goli'!I51,'01.08 Nebbi-Goli'!I51,'04.08 Nebbi-Goli'!I51,'05.08 Nebbi-Goli'!I51,'02.08 Nebbi-Goli-24h'!I51,'03.08 Nebbi-Goli-24h'!I51,'06.08 Nebbi-Goli'!I51)</f>
        <v>1.2857142857142858</v>
      </c>
      <c r="J51" s="49">
        <f>AVERAGE('31.07 Nebbi-Goli'!J51,'01.08 Nebbi-Goli'!J51,'04.08 Nebbi-Goli'!J51,'05.08 Nebbi-Goli'!J51,'02.08 Nebbi-Goli-24h'!J51,'03.08 Nebbi-Goli-24h'!J51,'06.08 Nebbi-Goli'!J51)</f>
        <v>0</v>
      </c>
      <c r="K51" s="49">
        <f>AVERAGE('31.07 Nebbi-Goli'!K51,'01.08 Nebbi-Goli'!K51,'04.08 Nebbi-Goli'!K51,'05.08 Nebbi-Goli'!K51,'02.08 Nebbi-Goli-24h'!K51,'03.08 Nebbi-Goli-24h'!K51,'06.08 Nebbi-Goli'!K51)</f>
        <v>0.42857142857142855</v>
      </c>
      <c r="L51" s="49">
        <f>AVERAGE('31.07 Nebbi-Goli'!L51,'01.08 Nebbi-Goli'!L51,'04.08 Nebbi-Goli'!L51,'05.08 Nebbi-Goli'!L51,'02.08 Nebbi-Goli-24h'!L51,'03.08 Nebbi-Goli-24h'!L51,'06.08 Nebbi-Goli'!L51)</f>
        <v>1</v>
      </c>
      <c r="M51" s="49">
        <f>AVERAGE('31.07 Nebbi-Goli'!M51,'01.08 Nebbi-Goli'!M51,'04.08 Nebbi-Goli'!M51,'05.08 Nebbi-Goli'!M51,'02.08 Nebbi-Goli-24h'!M51,'03.08 Nebbi-Goli-24h'!M51,'06.08 Nebbi-Goli'!M51)</f>
        <v>10.142857142857142</v>
      </c>
      <c r="N51" s="49">
        <f>AVERAGE('31.07 Nebbi-Goli'!N51,'01.08 Nebbi-Goli'!N51,'04.08 Nebbi-Goli'!N51,'05.08 Nebbi-Goli'!N51,'02.08 Nebbi-Goli-24h'!N51,'03.08 Nebbi-Goli-24h'!N51,'06.08 Nebbi-Goli'!N51)</f>
        <v>0</v>
      </c>
      <c r="O51" s="15">
        <f t="shared" si="0"/>
        <v>6.8571428571428577</v>
      </c>
      <c r="P51" s="15">
        <f t="shared" si="1"/>
        <v>17</v>
      </c>
      <c r="R51" s="8"/>
      <c r="T51"/>
    </row>
    <row r="52" spans="2:20" ht="23.1" customHeight="1" x14ac:dyDescent="0.25">
      <c r="B52" s="24" t="s">
        <v>79</v>
      </c>
      <c r="C52" s="49">
        <f>AVERAGE('31.07 Nebbi-Goli'!C52,'01.08 Nebbi-Goli'!C52,'04.08 Nebbi-Goli'!C52,'05.08 Nebbi-Goli'!C52,'02.08 Nebbi-Goli-24h'!C52,'03.08 Nebbi-Goli-24h'!C52,'06.08 Nebbi-Goli'!C52)</f>
        <v>1</v>
      </c>
      <c r="D52" s="49">
        <f>AVERAGE('31.07 Nebbi-Goli'!D52,'01.08 Nebbi-Goli'!D52,'04.08 Nebbi-Goli'!D52,'05.08 Nebbi-Goli'!D52,'02.08 Nebbi-Goli-24h'!D52,'03.08 Nebbi-Goli-24h'!D52,'06.08 Nebbi-Goli'!D52)</f>
        <v>0.14285714285714285</v>
      </c>
      <c r="E52" s="49">
        <f>AVERAGE('31.07 Nebbi-Goli'!E52,'01.08 Nebbi-Goli'!E52,'04.08 Nebbi-Goli'!E52,'05.08 Nebbi-Goli'!E52,'02.08 Nebbi-Goli-24h'!E52,'03.08 Nebbi-Goli-24h'!E52,'06.08 Nebbi-Goli'!E52)</f>
        <v>1</v>
      </c>
      <c r="F52" s="49">
        <f>AVERAGE('31.07 Nebbi-Goli'!F52,'01.08 Nebbi-Goli'!F52,'04.08 Nebbi-Goli'!F52,'05.08 Nebbi-Goli'!F52,'02.08 Nebbi-Goli-24h'!F52,'03.08 Nebbi-Goli-24h'!F52,'06.08 Nebbi-Goli'!F52)</f>
        <v>0.7142857142857143</v>
      </c>
      <c r="G52" s="49">
        <f>AVERAGE('31.07 Nebbi-Goli'!G52,'01.08 Nebbi-Goli'!G52,'04.08 Nebbi-Goli'!G52,'05.08 Nebbi-Goli'!G52,'02.08 Nebbi-Goli-24h'!G52,'03.08 Nebbi-Goli-24h'!G52,'06.08 Nebbi-Goli'!G52)</f>
        <v>0</v>
      </c>
      <c r="H52" s="49">
        <f>AVERAGE('31.07 Nebbi-Goli'!H52,'01.08 Nebbi-Goli'!H52,'04.08 Nebbi-Goli'!H52,'05.08 Nebbi-Goli'!H52,'02.08 Nebbi-Goli-24h'!H52,'03.08 Nebbi-Goli-24h'!H52,'06.08 Nebbi-Goli'!H52)</f>
        <v>0</v>
      </c>
      <c r="I52" s="49">
        <f>AVERAGE('31.07 Nebbi-Goli'!I52,'01.08 Nebbi-Goli'!I52,'04.08 Nebbi-Goli'!I52,'05.08 Nebbi-Goli'!I52,'02.08 Nebbi-Goli-24h'!I52,'03.08 Nebbi-Goli-24h'!I52,'06.08 Nebbi-Goli'!I52)</f>
        <v>0.5714285714285714</v>
      </c>
      <c r="J52" s="49">
        <f>AVERAGE('31.07 Nebbi-Goli'!J52,'01.08 Nebbi-Goli'!J52,'04.08 Nebbi-Goli'!J52,'05.08 Nebbi-Goli'!J52,'02.08 Nebbi-Goli-24h'!J52,'03.08 Nebbi-Goli-24h'!J52,'06.08 Nebbi-Goli'!J52)</f>
        <v>0</v>
      </c>
      <c r="K52" s="49">
        <f>AVERAGE('31.07 Nebbi-Goli'!K52,'01.08 Nebbi-Goli'!K52,'04.08 Nebbi-Goli'!K52,'05.08 Nebbi-Goli'!K52,'02.08 Nebbi-Goli-24h'!K52,'03.08 Nebbi-Goli-24h'!K52,'06.08 Nebbi-Goli'!K52)</f>
        <v>0.14285714285714285</v>
      </c>
      <c r="L52" s="49">
        <f>AVERAGE('31.07 Nebbi-Goli'!L52,'01.08 Nebbi-Goli'!L52,'04.08 Nebbi-Goli'!L52,'05.08 Nebbi-Goli'!L52,'02.08 Nebbi-Goli-24h'!L52,'03.08 Nebbi-Goli-24h'!L52,'06.08 Nebbi-Goli'!L52)</f>
        <v>0.5714285714285714</v>
      </c>
      <c r="M52" s="49">
        <f>AVERAGE('31.07 Nebbi-Goli'!M52,'01.08 Nebbi-Goli'!M52,'04.08 Nebbi-Goli'!M52,'05.08 Nebbi-Goli'!M52,'02.08 Nebbi-Goli-24h'!M52,'03.08 Nebbi-Goli-24h'!M52,'06.08 Nebbi-Goli'!M52)</f>
        <v>10</v>
      </c>
      <c r="N52" s="49">
        <f>AVERAGE('31.07 Nebbi-Goli'!N52,'01.08 Nebbi-Goli'!N52,'04.08 Nebbi-Goli'!N52,'05.08 Nebbi-Goli'!N52,'02.08 Nebbi-Goli-24h'!N52,'03.08 Nebbi-Goli-24h'!N52,'06.08 Nebbi-Goli'!N52)</f>
        <v>0</v>
      </c>
      <c r="O52" s="15">
        <f t="shared" si="0"/>
        <v>4.1428571428571432</v>
      </c>
      <c r="P52" s="15">
        <f t="shared" si="1"/>
        <v>14.142857142857142</v>
      </c>
      <c r="R52" s="8"/>
      <c r="T52"/>
    </row>
    <row r="53" spans="2:20" ht="23.1" customHeight="1" x14ac:dyDescent="0.25">
      <c r="B53" s="23" t="s">
        <v>80</v>
      </c>
      <c r="C53" s="49">
        <f>AVERAGE('31.07 Nebbi-Goli'!C53,'01.08 Nebbi-Goli'!C53,'04.08 Nebbi-Goli'!C53,'05.08 Nebbi-Goli'!C53,'02.08 Nebbi-Goli-24h'!C53,'03.08 Nebbi-Goli-24h'!C53,'06.08 Nebbi-Goli'!C53)</f>
        <v>0.5714285714285714</v>
      </c>
      <c r="D53" s="49">
        <f>AVERAGE('31.07 Nebbi-Goli'!D53,'01.08 Nebbi-Goli'!D53,'04.08 Nebbi-Goli'!D53,'05.08 Nebbi-Goli'!D53,'02.08 Nebbi-Goli-24h'!D53,'03.08 Nebbi-Goli-24h'!D53,'06.08 Nebbi-Goli'!D53)</f>
        <v>0.14285714285714285</v>
      </c>
      <c r="E53" s="49">
        <f>AVERAGE('31.07 Nebbi-Goli'!E53,'01.08 Nebbi-Goli'!E53,'04.08 Nebbi-Goli'!E53,'05.08 Nebbi-Goli'!E53,'02.08 Nebbi-Goli-24h'!E53,'03.08 Nebbi-Goli-24h'!E53,'06.08 Nebbi-Goli'!E53)</f>
        <v>0.8571428571428571</v>
      </c>
      <c r="F53" s="49">
        <f>AVERAGE('31.07 Nebbi-Goli'!F53,'01.08 Nebbi-Goli'!F53,'04.08 Nebbi-Goli'!F53,'05.08 Nebbi-Goli'!F53,'02.08 Nebbi-Goli-24h'!F53,'03.08 Nebbi-Goli-24h'!F53,'06.08 Nebbi-Goli'!F53)</f>
        <v>0.7142857142857143</v>
      </c>
      <c r="G53" s="49">
        <f>AVERAGE('31.07 Nebbi-Goli'!G53,'01.08 Nebbi-Goli'!G53,'04.08 Nebbi-Goli'!G53,'05.08 Nebbi-Goli'!G53,'02.08 Nebbi-Goli-24h'!G53,'03.08 Nebbi-Goli-24h'!G53,'06.08 Nebbi-Goli'!G53)</f>
        <v>0.14285714285714285</v>
      </c>
      <c r="H53" s="49">
        <f>AVERAGE('31.07 Nebbi-Goli'!H53,'01.08 Nebbi-Goli'!H53,'04.08 Nebbi-Goli'!H53,'05.08 Nebbi-Goli'!H53,'02.08 Nebbi-Goli-24h'!H53,'03.08 Nebbi-Goli-24h'!H53,'06.08 Nebbi-Goli'!H53)</f>
        <v>0.14285714285714285</v>
      </c>
      <c r="I53" s="49">
        <f>AVERAGE('31.07 Nebbi-Goli'!I53,'01.08 Nebbi-Goli'!I53,'04.08 Nebbi-Goli'!I53,'05.08 Nebbi-Goli'!I53,'02.08 Nebbi-Goli-24h'!I53,'03.08 Nebbi-Goli-24h'!I53,'06.08 Nebbi-Goli'!I53)</f>
        <v>0.5714285714285714</v>
      </c>
      <c r="J53" s="49">
        <f>AVERAGE('31.07 Nebbi-Goli'!J53,'01.08 Nebbi-Goli'!J53,'04.08 Nebbi-Goli'!J53,'05.08 Nebbi-Goli'!J53,'02.08 Nebbi-Goli-24h'!J53,'03.08 Nebbi-Goli-24h'!J53,'06.08 Nebbi-Goli'!J53)</f>
        <v>0.2857142857142857</v>
      </c>
      <c r="K53" s="49">
        <f>AVERAGE('31.07 Nebbi-Goli'!K53,'01.08 Nebbi-Goli'!K53,'04.08 Nebbi-Goli'!K53,'05.08 Nebbi-Goli'!K53,'02.08 Nebbi-Goli-24h'!K53,'03.08 Nebbi-Goli-24h'!K53,'06.08 Nebbi-Goli'!K53)</f>
        <v>0</v>
      </c>
      <c r="L53" s="49">
        <f>AVERAGE('31.07 Nebbi-Goli'!L53,'01.08 Nebbi-Goli'!L53,'04.08 Nebbi-Goli'!L53,'05.08 Nebbi-Goli'!L53,'02.08 Nebbi-Goli-24h'!L53,'03.08 Nebbi-Goli-24h'!L53,'06.08 Nebbi-Goli'!L53)</f>
        <v>0.42857142857142855</v>
      </c>
      <c r="M53" s="49">
        <f>AVERAGE('31.07 Nebbi-Goli'!M53,'01.08 Nebbi-Goli'!M53,'04.08 Nebbi-Goli'!M53,'05.08 Nebbi-Goli'!M53,'02.08 Nebbi-Goli-24h'!M53,'03.08 Nebbi-Goli-24h'!M53,'06.08 Nebbi-Goli'!M53)</f>
        <v>10.571428571428571</v>
      </c>
      <c r="N53" s="49">
        <f>AVERAGE('31.07 Nebbi-Goli'!N53,'01.08 Nebbi-Goli'!N53,'04.08 Nebbi-Goli'!N53,'05.08 Nebbi-Goli'!N53,'02.08 Nebbi-Goli-24h'!N53,'03.08 Nebbi-Goli-24h'!N53,'06.08 Nebbi-Goli'!N53)</f>
        <v>0</v>
      </c>
      <c r="O53" s="15">
        <f t="shared" si="0"/>
        <v>3.8571428571428563</v>
      </c>
      <c r="P53" s="15">
        <f t="shared" si="1"/>
        <v>14.428571428571427</v>
      </c>
      <c r="R53" s="8"/>
      <c r="T53"/>
    </row>
    <row r="54" spans="2:20" ht="23.1" customHeight="1" x14ac:dyDescent="0.25">
      <c r="B54" s="23" t="s">
        <v>81</v>
      </c>
      <c r="C54" s="49">
        <f>AVERAGE('31.07 Nebbi-Goli'!C54,'01.08 Nebbi-Goli'!C54,'04.08 Nebbi-Goli'!C54,'05.08 Nebbi-Goli'!C54,'02.08 Nebbi-Goli-24h'!C54,'03.08 Nebbi-Goli-24h'!C54,'06.08 Nebbi-Goli'!C54)</f>
        <v>1.1428571428571428</v>
      </c>
      <c r="D54" s="49">
        <f>AVERAGE('31.07 Nebbi-Goli'!D54,'01.08 Nebbi-Goli'!D54,'04.08 Nebbi-Goli'!D54,'05.08 Nebbi-Goli'!D54,'02.08 Nebbi-Goli-24h'!D54,'03.08 Nebbi-Goli-24h'!D54,'06.08 Nebbi-Goli'!D54)</f>
        <v>0.2857142857142857</v>
      </c>
      <c r="E54" s="49">
        <f>AVERAGE('31.07 Nebbi-Goli'!E54,'01.08 Nebbi-Goli'!E54,'04.08 Nebbi-Goli'!E54,'05.08 Nebbi-Goli'!E54,'02.08 Nebbi-Goli-24h'!E54,'03.08 Nebbi-Goli-24h'!E54,'06.08 Nebbi-Goli'!E54)</f>
        <v>1.1428571428571428</v>
      </c>
      <c r="F54" s="49">
        <f>AVERAGE('31.07 Nebbi-Goli'!F54,'01.08 Nebbi-Goli'!F54,'04.08 Nebbi-Goli'!F54,'05.08 Nebbi-Goli'!F54,'02.08 Nebbi-Goli-24h'!F54,'03.08 Nebbi-Goli-24h'!F54,'06.08 Nebbi-Goli'!F54)</f>
        <v>0.5714285714285714</v>
      </c>
      <c r="G54" s="49">
        <f>AVERAGE('31.07 Nebbi-Goli'!G54,'01.08 Nebbi-Goli'!G54,'04.08 Nebbi-Goli'!G54,'05.08 Nebbi-Goli'!G54,'02.08 Nebbi-Goli-24h'!G54,'03.08 Nebbi-Goli-24h'!G54,'06.08 Nebbi-Goli'!G54)</f>
        <v>0.2857142857142857</v>
      </c>
      <c r="H54" s="49">
        <f>AVERAGE('31.07 Nebbi-Goli'!H54,'01.08 Nebbi-Goli'!H54,'04.08 Nebbi-Goli'!H54,'05.08 Nebbi-Goli'!H54,'02.08 Nebbi-Goli-24h'!H54,'03.08 Nebbi-Goli-24h'!H54,'06.08 Nebbi-Goli'!H54)</f>
        <v>0.14285714285714285</v>
      </c>
      <c r="I54" s="49">
        <f>AVERAGE('31.07 Nebbi-Goli'!I54,'01.08 Nebbi-Goli'!I54,'04.08 Nebbi-Goli'!I54,'05.08 Nebbi-Goli'!I54,'02.08 Nebbi-Goli-24h'!I54,'03.08 Nebbi-Goli-24h'!I54,'06.08 Nebbi-Goli'!I54)</f>
        <v>0.42857142857142855</v>
      </c>
      <c r="J54" s="49">
        <f>AVERAGE('31.07 Nebbi-Goli'!J54,'01.08 Nebbi-Goli'!J54,'04.08 Nebbi-Goli'!J54,'05.08 Nebbi-Goli'!J54,'02.08 Nebbi-Goli-24h'!J54,'03.08 Nebbi-Goli-24h'!J54,'06.08 Nebbi-Goli'!J54)</f>
        <v>0.14285714285714285</v>
      </c>
      <c r="K54" s="49">
        <f>AVERAGE('31.07 Nebbi-Goli'!K54,'01.08 Nebbi-Goli'!K54,'04.08 Nebbi-Goli'!K54,'05.08 Nebbi-Goli'!K54,'02.08 Nebbi-Goli-24h'!K54,'03.08 Nebbi-Goli-24h'!K54,'06.08 Nebbi-Goli'!K54)</f>
        <v>0.14285714285714285</v>
      </c>
      <c r="L54" s="49">
        <f>AVERAGE('31.07 Nebbi-Goli'!L54,'01.08 Nebbi-Goli'!L54,'04.08 Nebbi-Goli'!L54,'05.08 Nebbi-Goli'!L54,'02.08 Nebbi-Goli-24h'!L54,'03.08 Nebbi-Goli-24h'!L54,'06.08 Nebbi-Goli'!L54)</f>
        <v>0</v>
      </c>
      <c r="M54" s="49">
        <f>AVERAGE('31.07 Nebbi-Goli'!M54,'01.08 Nebbi-Goli'!M54,'04.08 Nebbi-Goli'!M54,'05.08 Nebbi-Goli'!M54,'02.08 Nebbi-Goli-24h'!M54,'03.08 Nebbi-Goli-24h'!M54,'06.08 Nebbi-Goli'!M54)</f>
        <v>10.142857142857142</v>
      </c>
      <c r="N54" s="49">
        <f>AVERAGE('31.07 Nebbi-Goli'!N54,'01.08 Nebbi-Goli'!N54,'04.08 Nebbi-Goli'!N54,'05.08 Nebbi-Goli'!N54,'02.08 Nebbi-Goli-24h'!N54,'03.08 Nebbi-Goli-24h'!N54,'06.08 Nebbi-Goli'!N54)</f>
        <v>0</v>
      </c>
      <c r="O54" s="15">
        <f t="shared" si="0"/>
        <v>4.2857142857142856</v>
      </c>
      <c r="P54" s="15">
        <f t="shared" si="1"/>
        <v>14.428571428571427</v>
      </c>
      <c r="R54" s="8"/>
      <c r="T54"/>
    </row>
    <row r="55" spans="2:20" ht="23.1" customHeight="1" x14ac:dyDescent="0.25">
      <c r="B55" s="23" t="s">
        <v>82</v>
      </c>
      <c r="C55" s="49">
        <f>AVERAGE('31.07 Nebbi-Goli'!C55,'01.08 Nebbi-Goli'!C55,'04.08 Nebbi-Goli'!C55,'05.08 Nebbi-Goli'!C55,'02.08 Nebbi-Goli-24h'!C55,'03.08 Nebbi-Goli-24h'!C55,'06.08 Nebbi-Goli'!C55)</f>
        <v>0.42857142857142855</v>
      </c>
      <c r="D55" s="49">
        <f>AVERAGE('31.07 Nebbi-Goli'!D55,'01.08 Nebbi-Goli'!D55,'04.08 Nebbi-Goli'!D55,'05.08 Nebbi-Goli'!D55,'02.08 Nebbi-Goli-24h'!D55,'03.08 Nebbi-Goli-24h'!D55,'06.08 Nebbi-Goli'!D55)</f>
        <v>0</v>
      </c>
      <c r="E55" s="49">
        <f>AVERAGE('31.07 Nebbi-Goli'!E55,'01.08 Nebbi-Goli'!E55,'04.08 Nebbi-Goli'!E55,'05.08 Nebbi-Goli'!E55,'02.08 Nebbi-Goli-24h'!E55,'03.08 Nebbi-Goli-24h'!E55,'06.08 Nebbi-Goli'!E55)</f>
        <v>0.42857142857142855</v>
      </c>
      <c r="F55" s="49">
        <f>AVERAGE('31.07 Nebbi-Goli'!F55,'01.08 Nebbi-Goli'!F55,'04.08 Nebbi-Goli'!F55,'05.08 Nebbi-Goli'!F55,'02.08 Nebbi-Goli-24h'!F55,'03.08 Nebbi-Goli-24h'!F55,'06.08 Nebbi-Goli'!F55)</f>
        <v>0.2857142857142857</v>
      </c>
      <c r="G55" s="49">
        <f>AVERAGE('31.07 Nebbi-Goli'!G55,'01.08 Nebbi-Goli'!G55,'04.08 Nebbi-Goli'!G55,'05.08 Nebbi-Goli'!G55,'02.08 Nebbi-Goli-24h'!G55,'03.08 Nebbi-Goli-24h'!G55,'06.08 Nebbi-Goli'!G55)</f>
        <v>0</v>
      </c>
      <c r="H55" s="49">
        <f>AVERAGE('31.07 Nebbi-Goli'!H55,'01.08 Nebbi-Goli'!H55,'04.08 Nebbi-Goli'!H55,'05.08 Nebbi-Goli'!H55,'02.08 Nebbi-Goli-24h'!H55,'03.08 Nebbi-Goli-24h'!H55,'06.08 Nebbi-Goli'!H55)</f>
        <v>0</v>
      </c>
      <c r="I55" s="49">
        <f>AVERAGE('31.07 Nebbi-Goli'!I55,'01.08 Nebbi-Goli'!I55,'04.08 Nebbi-Goli'!I55,'05.08 Nebbi-Goli'!I55,'02.08 Nebbi-Goli-24h'!I55,'03.08 Nebbi-Goli-24h'!I55,'06.08 Nebbi-Goli'!I55)</f>
        <v>0.5714285714285714</v>
      </c>
      <c r="J55" s="49">
        <f>AVERAGE('31.07 Nebbi-Goli'!J55,'01.08 Nebbi-Goli'!J55,'04.08 Nebbi-Goli'!J55,'05.08 Nebbi-Goli'!J55,'02.08 Nebbi-Goli-24h'!J55,'03.08 Nebbi-Goli-24h'!J55,'06.08 Nebbi-Goli'!J55)</f>
        <v>0.14285714285714285</v>
      </c>
      <c r="K55" s="49">
        <f>AVERAGE('31.07 Nebbi-Goli'!K55,'01.08 Nebbi-Goli'!K55,'04.08 Nebbi-Goli'!K55,'05.08 Nebbi-Goli'!K55,'02.08 Nebbi-Goli-24h'!K55,'03.08 Nebbi-Goli-24h'!K55,'06.08 Nebbi-Goli'!K55)</f>
        <v>0</v>
      </c>
      <c r="L55" s="49">
        <f>AVERAGE('31.07 Nebbi-Goli'!L55,'01.08 Nebbi-Goli'!L55,'04.08 Nebbi-Goli'!L55,'05.08 Nebbi-Goli'!L55,'02.08 Nebbi-Goli-24h'!L55,'03.08 Nebbi-Goli-24h'!L55,'06.08 Nebbi-Goli'!L55)</f>
        <v>0.42857142857142855</v>
      </c>
      <c r="M55" s="49">
        <f>AVERAGE('31.07 Nebbi-Goli'!M55,'01.08 Nebbi-Goli'!M55,'04.08 Nebbi-Goli'!M55,'05.08 Nebbi-Goli'!M55,'02.08 Nebbi-Goli-24h'!M55,'03.08 Nebbi-Goli-24h'!M55,'06.08 Nebbi-Goli'!M55)</f>
        <v>12</v>
      </c>
      <c r="N55" s="49">
        <f>AVERAGE('31.07 Nebbi-Goli'!N55,'01.08 Nebbi-Goli'!N55,'04.08 Nebbi-Goli'!N55,'05.08 Nebbi-Goli'!N55,'02.08 Nebbi-Goli-24h'!N55,'03.08 Nebbi-Goli-24h'!N55,'06.08 Nebbi-Goli'!N55)</f>
        <v>0</v>
      </c>
      <c r="O55" s="15">
        <f t="shared" si="0"/>
        <v>2.2857142857142856</v>
      </c>
      <c r="P55" s="15">
        <f t="shared" si="1"/>
        <v>14.285714285714285</v>
      </c>
      <c r="R55" s="8"/>
      <c r="T55"/>
    </row>
    <row r="56" spans="2:20" ht="23.1" customHeight="1" x14ac:dyDescent="0.25">
      <c r="B56" s="23" t="s">
        <v>83</v>
      </c>
      <c r="C56" s="49">
        <f>AVERAGE('31.07 Nebbi-Goli'!C56,'01.08 Nebbi-Goli'!C56,'04.08 Nebbi-Goli'!C56,'05.08 Nebbi-Goli'!C56,'02.08 Nebbi-Goli-24h'!C56,'03.08 Nebbi-Goli-24h'!C56,'06.08 Nebbi-Goli'!C56)</f>
        <v>1</v>
      </c>
      <c r="D56" s="49">
        <f>AVERAGE('31.07 Nebbi-Goli'!D56,'01.08 Nebbi-Goli'!D56,'04.08 Nebbi-Goli'!D56,'05.08 Nebbi-Goli'!D56,'02.08 Nebbi-Goli-24h'!D56,'03.08 Nebbi-Goli-24h'!D56,'06.08 Nebbi-Goli'!D56)</f>
        <v>0.2857142857142857</v>
      </c>
      <c r="E56" s="49">
        <f>AVERAGE('31.07 Nebbi-Goli'!E56,'01.08 Nebbi-Goli'!E56,'04.08 Nebbi-Goli'!E56,'05.08 Nebbi-Goli'!E56,'02.08 Nebbi-Goli-24h'!E56,'03.08 Nebbi-Goli-24h'!E56,'06.08 Nebbi-Goli'!E56)</f>
        <v>0.8571428571428571</v>
      </c>
      <c r="F56" s="49">
        <f>AVERAGE('31.07 Nebbi-Goli'!F56,'01.08 Nebbi-Goli'!F56,'04.08 Nebbi-Goli'!F56,'05.08 Nebbi-Goli'!F56,'02.08 Nebbi-Goli-24h'!F56,'03.08 Nebbi-Goli-24h'!F56,'06.08 Nebbi-Goli'!F56)</f>
        <v>0.14285714285714285</v>
      </c>
      <c r="G56" s="49">
        <f>AVERAGE('31.07 Nebbi-Goli'!G56,'01.08 Nebbi-Goli'!G56,'04.08 Nebbi-Goli'!G56,'05.08 Nebbi-Goli'!G56,'02.08 Nebbi-Goli-24h'!G56,'03.08 Nebbi-Goli-24h'!G56,'06.08 Nebbi-Goli'!G56)</f>
        <v>0</v>
      </c>
      <c r="H56" s="49">
        <f>AVERAGE('31.07 Nebbi-Goli'!H56,'01.08 Nebbi-Goli'!H56,'04.08 Nebbi-Goli'!H56,'05.08 Nebbi-Goli'!H56,'02.08 Nebbi-Goli-24h'!H56,'03.08 Nebbi-Goli-24h'!H56,'06.08 Nebbi-Goli'!H56)</f>
        <v>0</v>
      </c>
      <c r="I56" s="49">
        <f>AVERAGE('31.07 Nebbi-Goli'!I56,'01.08 Nebbi-Goli'!I56,'04.08 Nebbi-Goli'!I56,'05.08 Nebbi-Goli'!I56,'02.08 Nebbi-Goli-24h'!I56,'03.08 Nebbi-Goli-24h'!I56,'06.08 Nebbi-Goli'!I56)</f>
        <v>1</v>
      </c>
      <c r="J56" s="49">
        <f>AVERAGE('31.07 Nebbi-Goli'!J56,'01.08 Nebbi-Goli'!J56,'04.08 Nebbi-Goli'!J56,'05.08 Nebbi-Goli'!J56,'02.08 Nebbi-Goli-24h'!J56,'03.08 Nebbi-Goli-24h'!J56,'06.08 Nebbi-Goli'!J56)</f>
        <v>0</v>
      </c>
      <c r="K56" s="49">
        <f>AVERAGE('31.07 Nebbi-Goli'!K56,'01.08 Nebbi-Goli'!K56,'04.08 Nebbi-Goli'!K56,'05.08 Nebbi-Goli'!K56,'02.08 Nebbi-Goli-24h'!K56,'03.08 Nebbi-Goli-24h'!K56,'06.08 Nebbi-Goli'!K56)</f>
        <v>0.2857142857142857</v>
      </c>
      <c r="L56" s="49">
        <f>AVERAGE('31.07 Nebbi-Goli'!L56,'01.08 Nebbi-Goli'!L56,'04.08 Nebbi-Goli'!L56,'05.08 Nebbi-Goli'!L56,'02.08 Nebbi-Goli-24h'!L56,'03.08 Nebbi-Goli-24h'!L56,'06.08 Nebbi-Goli'!L56)</f>
        <v>0.7142857142857143</v>
      </c>
      <c r="M56" s="49">
        <f>AVERAGE('31.07 Nebbi-Goli'!M56,'01.08 Nebbi-Goli'!M56,'04.08 Nebbi-Goli'!M56,'05.08 Nebbi-Goli'!M56,'02.08 Nebbi-Goli-24h'!M56,'03.08 Nebbi-Goli-24h'!M56,'06.08 Nebbi-Goli'!M56)</f>
        <v>15</v>
      </c>
      <c r="N56" s="49">
        <f>AVERAGE('31.07 Nebbi-Goli'!N56,'01.08 Nebbi-Goli'!N56,'04.08 Nebbi-Goli'!N56,'05.08 Nebbi-Goli'!N56,'02.08 Nebbi-Goli-24h'!N56,'03.08 Nebbi-Goli-24h'!N56,'06.08 Nebbi-Goli'!N56)</f>
        <v>0</v>
      </c>
      <c r="O56" s="15">
        <f t="shared" si="0"/>
        <v>4.2857142857142856</v>
      </c>
      <c r="P56" s="15">
        <f t="shared" si="1"/>
        <v>19.285714285714285</v>
      </c>
      <c r="R56" s="8"/>
      <c r="T56"/>
    </row>
    <row r="57" spans="2:20" ht="23.1" customHeight="1" x14ac:dyDescent="0.25">
      <c r="B57" s="23" t="s">
        <v>84</v>
      </c>
      <c r="C57" s="49">
        <f>AVERAGE('31.07 Nebbi-Goli'!C57,'01.08 Nebbi-Goli'!C57,'04.08 Nebbi-Goli'!C57,'05.08 Nebbi-Goli'!C57,'02.08 Nebbi-Goli-24h'!C57,'03.08 Nebbi-Goli-24h'!C57,'06.08 Nebbi-Goli'!C57)</f>
        <v>1.1428571428571428</v>
      </c>
      <c r="D57" s="49">
        <f>AVERAGE('31.07 Nebbi-Goli'!D57,'01.08 Nebbi-Goli'!D57,'04.08 Nebbi-Goli'!D57,'05.08 Nebbi-Goli'!D57,'02.08 Nebbi-Goli-24h'!D57,'03.08 Nebbi-Goli-24h'!D57,'06.08 Nebbi-Goli'!D57)</f>
        <v>0.2857142857142857</v>
      </c>
      <c r="E57" s="49">
        <f>AVERAGE('31.07 Nebbi-Goli'!E57,'01.08 Nebbi-Goli'!E57,'04.08 Nebbi-Goli'!E57,'05.08 Nebbi-Goli'!E57,'02.08 Nebbi-Goli-24h'!E57,'03.08 Nebbi-Goli-24h'!E57,'06.08 Nebbi-Goli'!E57)</f>
        <v>1</v>
      </c>
      <c r="F57" s="49">
        <f>AVERAGE('31.07 Nebbi-Goli'!F57,'01.08 Nebbi-Goli'!F57,'04.08 Nebbi-Goli'!F57,'05.08 Nebbi-Goli'!F57,'02.08 Nebbi-Goli-24h'!F57,'03.08 Nebbi-Goli-24h'!F57,'06.08 Nebbi-Goli'!F57)</f>
        <v>0.7142857142857143</v>
      </c>
      <c r="G57" s="49">
        <f>AVERAGE('31.07 Nebbi-Goli'!G57,'01.08 Nebbi-Goli'!G57,'04.08 Nebbi-Goli'!G57,'05.08 Nebbi-Goli'!G57,'02.08 Nebbi-Goli-24h'!G57,'03.08 Nebbi-Goli-24h'!G57,'06.08 Nebbi-Goli'!G57)</f>
        <v>0</v>
      </c>
      <c r="H57" s="49">
        <f>AVERAGE('31.07 Nebbi-Goli'!H57,'01.08 Nebbi-Goli'!H57,'04.08 Nebbi-Goli'!H57,'05.08 Nebbi-Goli'!H57,'02.08 Nebbi-Goli-24h'!H57,'03.08 Nebbi-Goli-24h'!H57,'06.08 Nebbi-Goli'!H57)</f>
        <v>0</v>
      </c>
      <c r="I57" s="49">
        <f>AVERAGE('31.07 Nebbi-Goli'!I57,'01.08 Nebbi-Goli'!I57,'04.08 Nebbi-Goli'!I57,'05.08 Nebbi-Goli'!I57,'02.08 Nebbi-Goli-24h'!I57,'03.08 Nebbi-Goli-24h'!I57,'06.08 Nebbi-Goli'!I57)</f>
        <v>0.5714285714285714</v>
      </c>
      <c r="J57" s="49">
        <f>AVERAGE('31.07 Nebbi-Goli'!J57,'01.08 Nebbi-Goli'!J57,'04.08 Nebbi-Goli'!J57,'05.08 Nebbi-Goli'!J57,'02.08 Nebbi-Goli-24h'!J57,'03.08 Nebbi-Goli-24h'!J57,'06.08 Nebbi-Goli'!J57)</f>
        <v>0</v>
      </c>
      <c r="K57" s="49">
        <f>AVERAGE('31.07 Nebbi-Goli'!K57,'01.08 Nebbi-Goli'!K57,'04.08 Nebbi-Goli'!K57,'05.08 Nebbi-Goli'!K57,'02.08 Nebbi-Goli-24h'!K57,'03.08 Nebbi-Goli-24h'!K57,'06.08 Nebbi-Goli'!K57)</f>
        <v>0.14285714285714285</v>
      </c>
      <c r="L57" s="49">
        <f>AVERAGE('31.07 Nebbi-Goli'!L57,'01.08 Nebbi-Goli'!L57,'04.08 Nebbi-Goli'!L57,'05.08 Nebbi-Goli'!L57,'02.08 Nebbi-Goli-24h'!L57,'03.08 Nebbi-Goli-24h'!L57,'06.08 Nebbi-Goli'!L57)</f>
        <v>2.1428571428571428</v>
      </c>
      <c r="M57" s="49">
        <f>AVERAGE('31.07 Nebbi-Goli'!M57,'01.08 Nebbi-Goli'!M57,'04.08 Nebbi-Goli'!M57,'05.08 Nebbi-Goli'!M57,'02.08 Nebbi-Goli-24h'!M57,'03.08 Nebbi-Goli-24h'!M57,'06.08 Nebbi-Goli'!M57)</f>
        <v>13.857142857142858</v>
      </c>
      <c r="N57" s="49">
        <f>AVERAGE('31.07 Nebbi-Goli'!N57,'01.08 Nebbi-Goli'!N57,'04.08 Nebbi-Goli'!N57,'05.08 Nebbi-Goli'!N57,'02.08 Nebbi-Goli-24h'!N57,'03.08 Nebbi-Goli-24h'!N57,'06.08 Nebbi-Goli'!N57)</f>
        <v>0</v>
      </c>
      <c r="O57" s="15">
        <f t="shared" si="0"/>
        <v>6</v>
      </c>
      <c r="P57" s="15">
        <f t="shared" si="1"/>
        <v>19.857142857142858</v>
      </c>
      <c r="R57" s="8"/>
      <c r="T57"/>
    </row>
    <row r="58" spans="2:20" ht="23.1" customHeight="1" x14ac:dyDescent="0.25">
      <c r="B58" s="23" t="s">
        <v>99</v>
      </c>
      <c r="C58" s="49">
        <f>AVERAGE('02.08 Nebbi-Goli-24h'!C58,'03.08 Nebbi-Goli-24h'!C58)</f>
        <v>1.5</v>
      </c>
      <c r="D58" s="49">
        <f>AVERAGE('02.08 Nebbi-Goli-24h'!D58,'03.08 Nebbi-Goli-24h'!D58)</f>
        <v>0.5</v>
      </c>
      <c r="E58" s="49">
        <f>AVERAGE('02.08 Nebbi-Goli-24h'!E58,'03.08 Nebbi-Goli-24h'!E58)</f>
        <v>1</v>
      </c>
      <c r="F58" s="49">
        <f>AVERAGE('02.08 Nebbi-Goli-24h'!F58,'03.08 Nebbi-Goli-24h'!F58)</f>
        <v>0.5</v>
      </c>
      <c r="G58" s="49">
        <f>AVERAGE('02.08 Nebbi-Goli-24h'!G58,'03.08 Nebbi-Goli-24h'!G58)</f>
        <v>0</v>
      </c>
      <c r="H58" s="49">
        <f>AVERAGE('02.08 Nebbi-Goli-24h'!H58,'03.08 Nebbi-Goli-24h'!H58)</f>
        <v>0</v>
      </c>
      <c r="I58" s="49">
        <f>AVERAGE('02.08 Nebbi-Goli-24h'!I58,'03.08 Nebbi-Goli-24h'!I58)</f>
        <v>0</v>
      </c>
      <c r="J58" s="49">
        <f>AVERAGE('02.08 Nebbi-Goli-24h'!J58,'03.08 Nebbi-Goli-24h'!J58)</f>
        <v>0</v>
      </c>
      <c r="K58" s="49">
        <f>AVERAGE('02.08 Nebbi-Goli-24h'!K58,'03.08 Nebbi-Goli-24h'!K58)</f>
        <v>0.5</v>
      </c>
      <c r="L58" s="49">
        <f>AVERAGE('02.08 Nebbi-Goli-24h'!L58,'03.08 Nebbi-Goli-24h'!L58)</f>
        <v>0</v>
      </c>
      <c r="M58" s="49">
        <f>AVERAGE('02.08 Nebbi-Goli-24h'!M58,'03.08 Nebbi-Goli-24h'!M58)</f>
        <v>12.5</v>
      </c>
      <c r="N58" s="49">
        <f>AVERAGE('02.08 Nebbi-Goli-24h'!N58,'03.08 Nebbi-Goli-24h'!N58)</f>
        <v>0</v>
      </c>
      <c r="O58" s="15">
        <f t="shared" si="0"/>
        <v>4</v>
      </c>
      <c r="P58" s="15">
        <f t="shared" si="1"/>
        <v>16.5</v>
      </c>
      <c r="R58" s="8"/>
      <c r="T58"/>
    </row>
    <row r="59" spans="2:20" ht="23.1" customHeight="1" x14ac:dyDescent="0.25">
      <c r="B59" s="23" t="s">
        <v>100</v>
      </c>
      <c r="C59" s="49">
        <f>AVERAGE('02.08 Nebbi-Goli-24h'!C59,'03.08 Nebbi-Goli-24h'!C59)</f>
        <v>1</v>
      </c>
      <c r="D59" s="49">
        <f>AVERAGE('02.08 Nebbi-Goli-24h'!D59,'03.08 Nebbi-Goli-24h'!D59)</f>
        <v>0</v>
      </c>
      <c r="E59" s="49">
        <f>AVERAGE('02.08 Nebbi-Goli-24h'!E59,'03.08 Nebbi-Goli-24h'!E59)</f>
        <v>0</v>
      </c>
      <c r="F59" s="49">
        <f>AVERAGE('02.08 Nebbi-Goli-24h'!F59,'03.08 Nebbi-Goli-24h'!F59)</f>
        <v>0</v>
      </c>
      <c r="G59" s="49">
        <f>AVERAGE('02.08 Nebbi-Goli-24h'!G59,'03.08 Nebbi-Goli-24h'!G59)</f>
        <v>0</v>
      </c>
      <c r="H59" s="49">
        <f>AVERAGE('02.08 Nebbi-Goli-24h'!H59,'03.08 Nebbi-Goli-24h'!H59)</f>
        <v>0</v>
      </c>
      <c r="I59" s="49">
        <f>AVERAGE('02.08 Nebbi-Goli-24h'!I59,'03.08 Nebbi-Goli-24h'!I59)</f>
        <v>0</v>
      </c>
      <c r="J59" s="49">
        <f>AVERAGE('02.08 Nebbi-Goli-24h'!J59,'03.08 Nebbi-Goli-24h'!J59)</f>
        <v>1</v>
      </c>
      <c r="K59" s="49">
        <f>AVERAGE('02.08 Nebbi-Goli-24h'!K59,'03.08 Nebbi-Goli-24h'!K59)</f>
        <v>0</v>
      </c>
      <c r="L59" s="49">
        <f>AVERAGE('02.08 Nebbi-Goli-24h'!L59,'03.08 Nebbi-Goli-24h'!L59)</f>
        <v>0.5</v>
      </c>
      <c r="M59" s="49">
        <f>AVERAGE('02.08 Nebbi-Goli-24h'!M59,'03.08 Nebbi-Goli-24h'!M59)</f>
        <v>21.5</v>
      </c>
      <c r="N59" s="49">
        <f>AVERAGE('02.08 Nebbi-Goli-24h'!N59,'03.08 Nebbi-Goli-24h'!N59)</f>
        <v>0</v>
      </c>
      <c r="O59" s="15">
        <f t="shared" si="0"/>
        <v>2.5</v>
      </c>
      <c r="P59" s="15">
        <f t="shared" si="1"/>
        <v>24</v>
      </c>
      <c r="R59" s="8"/>
      <c r="T59"/>
    </row>
    <row r="60" spans="2:20" ht="23.1" customHeight="1" x14ac:dyDescent="0.25">
      <c r="B60" s="23" t="s">
        <v>101</v>
      </c>
      <c r="C60" s="49">
        <f>AVERAGE('02.08 Nebbi-Goli-24h'!C60,'03.08 Nebbi-Goli-24h'!C60)</f>
        <v>0.5</v>
      </c>
      <c r="D60" s="49">
        <f>AVERAGE('02.08 Nebbi-Goli-24h'!D60,'03.08 Nebbi-Goli-24h'!D60)</f>
        <v>0</v>
      </c>
      <c r="E60" s="49">
        <f>AVERAGE('02.08 Nebbi-Goli-24h'!E60,'03.08 Nebbi-Goli-24h'!E60)</f>
        <v>0.5</v>
      </c>
      <c r="F60" s="49">
        <f>AVERAGE('02.08 Nebbi-Goli-24h'!F60,'03.08 Nebbi-Goli-24h'!F60)</f>
        <v>0</v>
      </c>
      <c r="G60" s="49">
        <f>AVERAGE('02.08 Nebbi-Goli-24h'!G60,'03.08 Nebbi-Goli-24h'!G60)</f>
        <v>0</v>
      </c>
      <c r="H60" s="49">
        <f>AVERAGE('02.08 Nebbi-Goli-24h'!H60,'03.08 Nebbi-Goli-24h'!H60)</f>
        <v>0</v>
      </c>
      <c r="I60" s="49">
        <f>AVERAGE('02.08 Nebbi-Goli-24h'!I60,'03.08 Nebbi-Goli-24h'!I60)</f>
        <v>2</v>
      </c>
      <c r="J60" s="49">
        <f>AVERAGE('02.08 Nebbi-Goli-24h'!J60,'03.08 Nebbi-Goli-24h'!J60)</f>
        <v>0</v>
      </c>
      <c r="K60" s="49">
        <f>AVERAGE('02.08 Nebbi-Goli-24h'!K60,'03.08 Nebbi-Goli-24h'!K60)</f>
        <v>0</v>
      </c>
      <c r="L60" s="49">
        <f>AVERAGE('02.08 Nebbi-Goli-24h'!L60,'03.08 Nebbi-Goli-24h'!L60)</f>
        <v>1.5</v>
      </c>
      <c r="M60" s="49">
        <f>AVERAGE('02.08 Nebbi-Goli-24h'!M60,'03.08 Nebbi-Goli-24h'!M60)</f>
        <v>11.5</v>
      </c>
      <c r="N60" s="49">
        <f>AVERAGE('02.08 Nebbi-Goli-24h'!N60,'03.08 Nebbi-Goli-24h'!N60)</f>
        <v>0</v>
      </c>
      <c r="O60" s="15">
        <f t="shared" si="0"/>
        <v>4.5</v>
      </c>
      <c r="P60" s="15">
        <f t="shared" si="1"/>
        <v>16</v>
      </c>
      <c r="R60" s="8"/>
      <c r="T60"/>
    </row>
    <row r="61" spans="2:20" ht="23.1" customHeight="1" x14ac:dyDescent="0.25">
      <c r="B61" s="23" t="s">
        <v>102</v>
      </c>
      <c r="C61" s="49">
        <f>AVERAGE('02.08 Nebbi-Goli-24h'!C61,'03.08 Nebbi-Goli-24h'!C61)</f>
        <v>0</v>
      </c>
      <c r="D61" s="49">
        <f>AVERAGE('02.08 Nebbi-Goli-24h'!D61,'03.08 Nebbi-Goli-24h'!D61)</f>
        <v>0</v>
      </c>
      <c r="E61" s="49">
        <f>AVERAGE('02.08 Nebbi-Goli-24h'!E61,'03.08 Nebbi-Goli-24h'!E61)</f>
        <v>0</v>
      </c>
      <c r="F61" s="49">
        <f>AVERAGE('02.08 Nebbi-Goli-24h'!F61,'03.08 Nebbi-Goli-24h'!F61)</f>
        <v>0</v>
      </c>
      <c r="G61" s="49">
        <f>AVERAGE('02.08 Nebbi-Goli-24h'!G61,'03.08 Nebbi-Goli-24h'!G61)</f>
        <v>0</v>
      </c>
      <c r="H61" s="49">
        <f>AVERAGE('02.08 Nebbi-Goli-24h'!H61,'03.08 Nebbi-Goli-24h'!H61)</f>
        <v>0.5</v>
      </c>
      <c r="I61" s="49">
        <f>AVERAGE('02.08 Nebbi-Goli-24h'!I61,'03.08 Nebbi-Goli-24h'!I61)</f>
        <v>0</v>
      </c>
      <c r="J61" s="49">
        <f>AVERAGE('02.08 Nebbi-Goli-24h'!J61,'03.08 Nebbi-Goli-24h'!J61)</f>
        <v>0</v>
      </c>
      <c r="K61" s="49">
        <f>AVERAGE('02.08 Nebbi-Goli-24h'!K61,'03.08 Nebbi-Goli-24h'!K61)</f>
        <v>0</v>
      </c>
      <c r="L61" s="49">
        <f>AVERAGE('02.08 Nebbi-Goli-24h'!L61,'03.08 Nebbi-Goli-24h'!L61)</f>
        <v>0</v>
      </c>
      <c r="M61" s="49">
        <f>AVERAGE('02.08 Nebbi-Goli-24h'!M61,'03.08 Nebbi-Goli-24h'!M61)</f>
        <v>7.5</v>
      </c>
      <c r="N61" s="49">
        <f>AVERAGE('02.08 Nebbi-Goli-24h'!N61,'03.08 Nebbi-Goli-24h'!N61)</f>
        <v>0</v>
      </c>
      <c r="O61" s="15">
        <f t="shared" si="0"/>
        <v>0.5</v>
      </c>
      <c r="P61" s="15">
        <f t="shared" si="1"/>
        <v>8</v>
      </c>
      <c r="R61" s="8"/>
      <c r="T61"/>
    </row>
    <row r="62" spans="2:20" ht="23.1" customHeight="1" x14ac:dyDescent="0.25">
      <c r="B62" s="23" t="s">
        <v>107</v>
      </c>
      <c r="C62" s="49">
        <f>AVERAGE('02.08 Nebbi-Goli-24h'!C62,'03.08 Nebbi-Goli-24h'!C62)</f>
        <v>1</v>
      </c>
      <c r="D62" s="49">
        <f>AVERAGE('02.08 Nebbi-Goli-24h'!D62,'03.08 Nebbi-Goli-24h'!D62)</f>
        <v>0.5</v>
      </c>
      <c r="E62" s="49">
        <f>AVERAGE('02.08 Nebbi-Goli-24h'!E62,'03.08 Nebbi-Goli-24h'!E62)</f>
        <v>1.5</v>
      </c>
      <c r="F62" s="49">
        <f>AVERAGE('02.08 Nebbi-Goli-24h'!F62,'03.08 Nebbi-Goli-24h'!F62)</f>
        <v>0</v>
      </c>
      <c r="G62" s="49">
        <f>AVERAGE('02.08 Nebbi-Goli-24h'!G62,'03.08 Nebbi-Goli-24h'!G62)</f>
        <v>0</v>
      </c>
      <c r="H62" s="49">
        <f>AVERAGE('02.08 Nebbi-Goli-24h'!H62,'03.08 Nebbi-Goli-24h'!H62)</f>
        <v>0</v>
      </c>
      <c r="I62" s="49">
        <f>AVERAGE('02.08 Nebbi-Goli-24h'!I62,'03.08 Nebbi-Goli-24h'!I62)</f>
        <v>2</v>
      </c>
      <c r="J62" s="49">
        <f>AVERAGE('02.08 Nebbi-Goli-24h'!J62,'03.08 Nebbi-Goli-24h'!J62)</f>
        <v>0</v>
      </c>
      <c r="K62" s="49">
        <f>AVERAGE('02.08 Nebbi-Goli-24h'!K62,'03.08 Nebbi-Goli-24h'!K62)</f>
        <v>0</v>
      </c>
      <c r="L62" s="49">
        <f>AVERAGE('02.08 Nebbi-Goli-24h'!L62,'03.08 Nebbi-Goli-24h'!L62)</f>
        <v>0</v>
      </c>
      <c r="M62" s="49">
        <f>AVERAGE('02.08 Nebbi-Goli-24h'!M62,'03.08 Nebbi-Goli-24h'!M62)</f>
        <v>15.5</v>
      </c>
      <c r="N62" s="49">
        <f>AVERAGE('02.08 Nebbi-Goli-24h'!N62,'03.08 Nebbi-Goli-24h'!N62)</f>
        <v>0</v>
      </c>
      <c r="O62" s="15">
        <f t="shared" si="0"/>
        <v>5</v>
      </c>
      <c r="P62" s="15">
        <f t="shared" si="1"/>
        <v>20.5</v>
      </c>
      <c r="R62" s="8"/>
      <c r="T62"/>
    </row>
    <row r="63" spans="2:20" ht="23.1" customHeight="1" x14ac:dyDescent="0.25">
      <c r="B63" s="23" t="s">
        <v>108</v>
      </c>
      <c r="C63" s="49">
        <f>AVERAGE('02.08 Nebbi-Goli-24h'!C63,'03.08 Nebbi-Goli-24h'!C63)</f>
        <v>0.5</v>
      </c>
      <c r="D63" s="49">
        <f>AVERAGE('02.08 Nebbi-Goli-24h'!D63,'03.08 Nebbi-Goli-24h'!D63)</f>
        <v>0</v>
      </c>
      <c r="E63" s="49">
        <f>AVERAGE('02.08 Nebbi-Goli-24h'!E63,'03.08 Nebbi-Goli-24h'!E63)</f>
        <v>1</v>
      </c>
      <c r="F63" s="49">
        <f>AVERAGE('02.08 Nebbi-Goli-24h'!F63,'03.08 Nebbi-Goli-24h'!F63)</f>
        <v>0</v>
      </c>
      <c r="G63" s="49">
        <f>AVERAGE('02.08 Nebbi-Goli-24h'!G63,'03.08 Nebbi-Goli-24h'!G63)</f>
        <v>0</v>
      </c>
      <c r="H63" s="49">
        <f>AVERAGE('02.08 Nebbi-Goli-24h'!H63,'03.08 Nebbi-Goli-24h'!H63)</f>
        <v>0</v>
      </c>
      <c r="I63" s="49">
        <f>AVERAGE('02.08 Nebbi-Goli-24h'!I63,'03.08 Nebbi-Goli-24h'!I63)</f>
        <v>0</v>
      </c>
      <c r="J63" s="49">
        <f>AVERAGE('02.08 Nebbi-Goli-24h'!J63,'03.08 Nebbi-Goli-24h'!J63)</f>
        <v>0.5</v>
      </c>
      <c r="K63" s="49">
        <f>AVERAGE('02.08 Nebbi-Goli-24h'!K63,'03.08 Nebbi-Goli-24h'!K63)</f>
        <v>0</v>
      </c>
      <c r="L63" s="49">
        <f>AVERAGE('02.08 Nebbi-Goli-24h'!L63,'03.08 Nebbi-Goli-24h'!L63)</f>
        <v>0</v>
      </c>
      <c r="M63" s="49">
        <f>AVERAGE('02.08 Nebbi-Goli-24h'!M63,'03.08 Nebbi-Goli-24h'!M63)</f>
        <v>9.5</v>
      </c>
      <c r="N63" s="49">
        <f>AVERAGE('02.08 Nebbi-Goli-24h'!N63,'03.08 Nebbi-Goli-24h'!N63)</f>
        <v>0</v>
      </c>
      <c r="O63" s="15">
        <f t="shared" si="0"/>
        <v>2</v>
      </c>
      <c r="P63" s="15">
        <f t="shared" si="1"/>
        <v>11.5</v>
      </c>
      <c r="R63" s="8"/>
      <c r="T63"/>
    </row>
    <row r="64" spans="2:20" ht="23.1" customHeight="1" x14ac:dyDescent="0.25">
      <c r="B64" s="23" t="s">
        <v>109</v>
      </c>
      <c r="C64" s="49">
        <f>AVERAGE('02.08 Nebbi-Goli-24h'!C64,'03.08 Nebbi-Goli-24h'!C64)</f>
        <v>0.5</v>
      </c>
      <c r="D64" s="49">
        <f>AVERAGE('02.08 Nebbi-Goli-24h'!D64,'03.08 Nebbi-Goli-24h'!D64)</f>
        <v>0</v>
      </c>
      <c r="E64" s="49">
        <f>AVERAGE('02.08 Nebbi-Goli-24h'!E64,'03.08 Nebbi-Goli-24h'!E64)</f>
        <v>0.5</v>
      </c>
      <c r="F64" s="49">
        <f>AVERAGE('02.08 Nebbi-Goli-24h'!F64,'03.08 Nebbi-Goli-24h'!F64)</f>
        <v>0</v>
      </c>
      <c r="G64" s="49">
        <f>AVERAGE('02.08 Nebbi-Goli-24h'!G64,'03.08 Nebbi-Goli-24h'!G64)</f>
        <v>0</v>
      </c>
      <c r="H64" s="49">
        <f>AVERAGE('02.08 Nebbi-Goli-24h'!H64,'03.08 Nebbi-Goli-24h'!H64)</f>
        <v>0</v>
      </c>
      <c r="I64" s="49">
        <f>AVERAGE('02.08 Nebbi-Goli-24h'!I64,'03.08 Nebbi-Goli-24h'!I64)</f>
        <v>1</v>
      </c>
      <c r="J64" s="49">
        <f>AVERAGE('02.08 Nebbi-Goli-24h'!J64,'03.08 Nebbi-Goli-24h'!J64)</f>
        <v>0.5</v>
      </c>
      <c r="K64" s="49">
        <f>AVERAGE('02.08 Nebbi-Goli-24h'!K64,'03.08 Nebbi-Goli-24h'!K64)</f>
        <v>0</v>
      </c>
      <c r="L64" s="49">
        <f>AVERAGE('02.08 Nebbi-Goli-24h'!L64,'03.08 Nebbi-Goli-24h'!L64)</f>
        <v>0.5</v>
      </c>
      <c r="M64" s="49">
        <f>AVERAGE('02.08 Nebbi-Goli-24h'!M64,'03.08 Nebbi-Goli-24h'!M64)</f>
        <v>10.5</v>
      </c>
      <c r="N64" s="49">
        <f>AVERAGE('02.08 Nebbi-Goli-24h'!N64,'03.08 Nebbi-Goli-24h'!N64)</f>
        <v>0</v>
      </c>
      <c r="O64" s="15">
        <f t="shared" si="0"/>
        <v>3</v>
      </c>
      <c r="P64" s="15">
        <f t="shared" si="1"/>
        <v>13.5</v>
      </c>
      <c r="R64" s="8"/>
      <c r="T64"/>
    </row>
    <row r="65" spans="2:20" ht="23.1" customHeight="1" x14ac:dyDescent="0.25">
      <c r="B65" s="23" t="s">
        <v>158</v>
      </c>
      <c r="C65" s="49">
        <f>AVERAGE('02.08 Nebbi-Goli-24h'!C65,'03.08 Nebbi-Goli-24h'!C65)</f>
        <v>0.5</v>
      </c>
      <c r="D65" s="49">
        <f>AVERAGE('02.08 Nebbi-Goli-24h'!D65,'03.08 Nebbi-Goli-24h'!D65)</f>
        <v>0</v>
      </c>
      <c r="E65" s="49">
        <f>AVERAGE('02.08 Nebbi-Goli-24h'!E65,'03.08 Nebbi-Goli-24h'!E65)</f>
        <v>0</v>
      </c>
      <c r="F65" s="49">
        <f>AVERAGE('02.08 Nebbi-Goli-24h'!F65,'03.08 Nebbi-Goli-24h'!F65)</f>
        <v>0.5</v>
      </c>
      <c r="G65" s="49">
        <f>AVERAGE('02.08 Nebbi-Goli-24h'!G65,'03.08 Nebbi-Goli-24h'!G65)</f>
        <v>0</v>
      </c>
      <c r="H65" s="49">
        <f>AVERAGE('02.08 Nebbi-Goli-24h'!H65,'03.08 Nebbi-Goli-24h'!H65)</f>
        <v>0</v>
      </c>
      <c r="I65" s="49">
        <f>AVERAGE('02.08 Nebbi-Goli-24h'!I65,'03.08 Nebbi-Goli-24h'!I65)</f>
        <v>0</v>
      </c>
      <c r="J65" s="49">
        <f>AVERAGE('02.08 Nebbi-Goli-24h'!J65,'03.08 Nebbi-Goli-24h'!J65)</f>
        <v>0</v>
      </c>
      <c r="K65" s="49">
        <f>AVERAGE('02.08 Nebbi-Goli-24h'!K65,'03.08 Nebbi-Goli-24h'!K65)</f>
        <v>0</v>
      </c>
      <c r="L65" s="49">
        <f>AVERAGE('02.08 Nebbi-Goli-24h'!L65,'03.08 Nebbi-Goli-24h'!L65)</f>
        <v>0.5</v>
      </c>
      <c r="M65" s="49">
        <f>AVERAGE('02.08 Nebbi-Goli-24h'!M65,'03.08 Nebbi-Goli-24h'!M65)</f>
        <v>5.5</v>
      </c>
      <c r="N65" s="49">
        <f>AVERAGE('02.08 Nebbi-Goli-24h'!N65,'03.08 Nebbi-Goli-24h'!N65)</f>
        <v>0</v>
      </c>
      <c r="O65" s="15">
        <f t="shared" si="0"/>
        <v>1.5</v>
      </c>
      <c r="P65" s="15">
        <f t="shared" si="1"/>
        <v>7</v>
      </c>
      <c r="R65" s="8"/>
      <c r="T65"/>
    </row>
    <row r="66" spans="2:20" ht="23.1" customHeight="1" x14ac:dyDescent="0.25">
      <c r="B66" s="23" t="s">
        <v>103</v>
      </c>
      <c r="C66" s="49">
        <f>AVERAGE('02.08 Nebbi-Goli-24h'!C66,'03.08 Nebbi-Goli-24h'!C66)</f>
        <v>0</v>
      </c>
      <c r="D66" s="49">
        <f>AVERAGE('02.08 Nebbi-Goli-24h'!D66,'03.08 Nebbi-Goli-24h'!D66)</f>
        <v>0.5</v>
      </c>
      <c r="E66" s="49">
        <f>AVERAGE('02.08 Nebbi-Goli-24h'!E66,'03.08 Nebbi-Goli-24h'!E66)</f>
        <v>1</v>
      </c>
      <c r="F66" s="49">
        <f>AVERAGE('02.08 Nebbi-Goli-24h'!F66,'03.08 Nebbi-Goli-24h'!F66)</f>
        <v>0</v>
      </c>
      <c r="G66" s="49">
        <f>AVERAGE('02.08 Nebbi-Goli-24h'!G66,'03.08 Nebbi-Goli-24h'!G66)</f>
        <v>0</v>
      </c>
      <c r="H66" s="49">
        <f>AVERAGE('02.08 Nebbi-Goli-24h'!H66,'03.08 Nebbi-Goli-24h'!H66)</f>
        <v>0.5</v>
      </c>
      <c r="I66" s="49">
        <f>AVERAGE('02.08 Nebbi-Goli-24h'!I66,'03.08 Nebbi-Goli-24h'!I66)</f>
        <v>0.5</v>
      </c>
      <c r="J66" s="49">
        <f>AVERAGE('02.08 Nebbi-Goli-24h'!J66,'03.08 Nebbi-Goli-24h'!J66)</f>
        <v>0</v>
      </c>
      <c r="K66" s="49">
        <f>AVERAGE('02.08 Nebbi-Goli-24h'!K66,'03.08 Nebbi-Goli-24h'!K66)</f>
        <v>0</v>
      </c>
      <c r="L66" s="49">
        <f>AVERAGE('02.08 Nebbi-Goli-24h'!L66,'03.08 Nebbi-Goli-24h'!L66)</f>
        <v>0.5</v>
      </c>
      <c r="M66" s="49">
        <f>AVERAGE('02.08 Nebbi-Goli-24h'!M66,'03.08 Nebbi-Goli-24h'!M66)</f>
        <v>4</v>
      </c>
      <c r="N66" s="49">
        <f>AVERAGE('02.08 Nebbi-Goli-24h'!N66,'03.08 Nebbi-Goli-24h'!N66)</f>
        <v>0</v>
      </c>
      <c r="O66" s="15">
        <f t="shared" si="0"/>
        <v>3</v>
      </c>
      <c r="P66" s="15">
        <f t="shared" si="1"/>
        <v>7</v>
      </c>
      <c r="R66" s="8"/>
      <c r="T66"/>
    </row>
    <row r="67" spans="2:20" ht="23.1" customHeight="1" x14ac:dyDescent="0.25">
      <c r="B67" s="23" t="s">
        <v>104</v>
      </c>
      <c r="C67" s="49">
        <f>AVERAGE('02.08 Nebbi-Goli-24h'!C67,'03.08 Nebbi-Goli-24h'!C67)</f>
        <v>1</v>
      </c>
      <c r="D67" s="49">
        <f>AVERAGE('02.08 Nebbi-Goli-24h'!D67,'03.08 Nebbi-Goli-24h'!D67)</f>
        <v>0</v>
      </c>
      <c r="E67" s="49">
        <f>AVERAGE('02.08 Nebbi-Goli-24h'!E67,'03.08 Nebbi-Goli-24h'!E67)</f>
        <v>0</v>
      </c>
      <c r="F67" s="49">
        <f>AVERAGE('02.08 Nebbi-Goli-24h'!F67,'03.08 Nebbi-Goli-24h'!F67)</f>
        <v>0</v>
      </c>
      <c r="G67" s="49">
        <f>AVERAGE('02.08 Nebbi-Goli-24h'!G67,'03.08 Nebbi-Goli-24h'!G67)</f>
        <v>0</v>
      </c>
      <c r="H67" s="49">
        <f>AVERAGE('02.08 Nebbi-Goli-24h'!H67,'03.08 Nebbi-Goli-24h'!H67)</f>
        <v>0.5</v>
      </c>
      <c r="I67" s="49">
        <f>AVERAGE('02.08 Nebbi-Goli-24h'!I67,'03.08 Nebbi-Goli-24h'!I67)</f>
        <v>0</v>
      </c>
      <c r="J67" s="49">
        <f>AVERAGE('02.08 Nebbi-Goli-24h'!J67,'03.08 Nebbi-Goli-24h'!J67)</f>
        <v>0</v>
      </c>
      <c r="K67" s="49">
        <f>AVERAGE('02.08 Nebbi-Goli-24h'!K67,'03.08 Nebbi-Goli-24h'!K67)</f>
        <v>0</v>
      </c>
      <c r="L67" s="49">
        <f>AVERAGE('02.08 Nebbi-Goli-24h'!L67,'03.08 Nebbi-Goli-24h'!L67)</f>
        <v>0.5</v>
      </c>
      <c r="M67" s="49">
        <f>AVERAGE('02.08 Nebbi-Goli-24h'!M67,'03.08 Nebbi-Goli-24h'!M67)</f>
        <v>1.5</v>
      </c>
      <c r="N67" s="49">
        <f>AVERAGE('02.08 Nebbi-Goli-24h'!N67,'03.08 Nebbi-Goli-24h'!N67)</f>
        <v>0</v>
      </c>
      <c r="O67" s="15">
        <f t="shared" si="0"/>
        <v>2</v>
      </c>
      <c r="P67" s="15">
        <f t="shared" si="1"/>
        <v>3.5</v>
      </c>
      <c r="R67" s="8"/>
      <c r="T67"/>
    </row>
    <row r="68" spans="2:20" ht="23.1" customHeight="1" x14ac:dyDescent="0.25">
      <c r="B68" s="23" t="s">
        <v>105</v>
      </c>
      <c r="C68" s="49">
        <f>AVERAGE('02.08 Nebbi-Goli-24h'!C68,'03.08 Nebbi-Goli-24h'!C68)</f>
        <v>0</v>
      </c>
      <c r="D68" s="49">
        <f>AVERAGE('02.08 Nebbi-Goli-24h'!D68,'03.08 Nebbi-Goli-24h'!D68)</f>
        <v>0</v>
      </c>
      <c r="E68" s="49">
        <f>AVERAGE('02.08 Nebbi-Goli-24h'!E68,'03.08 Nebbi-Goli-24h'!E68)</f>
        <v>0</v>
      </c>
      <c r="F68" s="49">
        <f>AVERAGE('02.08 Nebbi-Goli-24h'!F68,'03.08 Nebbi-Goli-24h'!F68)</f>
        <v>0</v>
      </c>
      <c r="G68" s="49">
        <f>AVERAGE('02.08 Nebbi-Goli-24h'!G68,'03.08 Nebbi-Goli-24h'!G68)</f>
        <v>0</v>
      </c>
      <c r="H68" s="49">
        <f>AVERAGE('02.08 Nebbi-Goli-24h'!H68,'03.08 Nebbi-Goli-24h'!H68)</f>
        <v>1</v>
      </c>
      <c r="I68" s="49">
        <f>AVERAGE('02.08 Nebbi-Goli-24h'!I68,'03.08 Nebbi-Goli-24h'!I68)</f>
        <v>0.5</v>
      </c>
      <c r="J68" s="49">
        <f>AVERAGE('02.08 Nebbi-Goli-24h'!J68,'03.08 Nebbi-Goli-24h'!J68)</f>
        <v>0</v>
      </c>
      <c r="K68" s="49">
        <f>AVERAGE('02.08 Nebbi-Goli-24h'!K68,'03.08 Nebbi-Goli-24h'!K68)</f>
        <v>0</v>
      </c>
      <c r="L68" s="49">
        <f>AVERAGE('02.08 Nebbi-Goli-24h'!L68,'03.08 Nebbi-Goli-24h'!L68)</f>
        <v>0</v>
      </c>
      <c r="M68" s="49">
        <f>AVERAGE('02.08 Nebbi-Goli-24h'!M68,'03.08 Nebbi-Goli-24h'!M68)</f>
        <v>5.5</v>
      </c>
      <c r="N68" s="49">
        <f>AVERAGE('02.08 Nebbi-Goli-24h'!N68,'03.08 Nebbi-Goli-24h'!N68)</f>
        <v>0</v>
      </c>
      <c r="O68" s="15">
        <f t="shared" si="0"/>
        <v>1.5</v>
      </c>
      <c r="P68" s="15">
        <f t="shared" si="1"/>
        <v>7</v>
      </c>
      <c r="R68" s="8"/>
      <c r="T68"/>
    </row>
    <row r="69" spans="2:20" ht="23.1" customHeight="1" x14ac:dyDescent="0.25">
      <c r="B69" s="23" t="s">
        <v>106</v>
      </c>
      <c r="C69" s="49">
        <f>AVERAGE('02.08 Nebbi-Goli-24h'!C69,'03.08 Nebbi-Goli-24h'!C69)</f>
        <v>1</v>
      </c>
      <c r="D69" s="49">
        <f>AVERAGE('02.08 Nebbi-Goli-24h'!D69,'03.08 Nebbi-Goli-24h'!D69)</f>
        <v>0</v>
      </c>
      <c r="E69" s="49">
        <f>AVERAGE('02.08 Nebbi-Goli-24h'!E69,'03.08 Nebbi-Goli-24h'!E69)</f>
        <v>1</v>
      </c>
      <c r="F69" s="49">
        <f>AVERAGE('02.08 Nebbi-Goli-24h'!F69,'03.08 Nebbi-Goli-24h'!F69)</f>
        <v>0</v>
      </c>
      <c r="G69" s="49">
        <f>AVERAGE('02.08 Nebbi-Goli-24h'!G69,'03.08 Nebbi-Goli-24h'!G69)</f>
        <v>0</v>
      </c>
      <c r="H69" s="49">
        <f>AVERAGE('02.08 Nebbi-Goli-24h'!H69,'03.08 Nebbi-Goli-24h'!H69)</f>
        <v>0.5</v>
      </c>
      <c r="I69" s="49">
        <f>AVERAGE('02.08 Nebbi-Goli-24h'!I69,'03.08 Nebbi-Goli-24h'!I69)</f>
        <v>0.5</v>
      </c>
      <c r="J69" s="49">
        <f>AVERAGE('02.08 Nebbi-Goli-24h'!J69,'03.08 Nebbi-Goli-24h'!J69)</f>
        <v>0</v>
      </c>
      <c r="K69" s="49">
        <f>AVERAGE('02.08 Nebbi-Goli-24h'!K69,'03.08 Nebbi-Goli-24h'!K69)</f>
        <v>0</v>
      </c>
      <c r="L69" s="49">
        <f>AVERAGE('02.08 Nebbi-Goli-24h'!L69,'03.08 Nebbi-Goli-24h'!L69)</f>
        <v>0</v>
      </c>
      <c r="M69" s="49">
        <f>AVERAGE('02.08 Nebbi-Goli-24h'!M69,'03.08 Nebbi-Goli-24h'!M69)</f>
        <v>2.5</v>
      </c>
      <c r="N69" s="49">
        <f>AVERAGE('02.08 Nebbi-Goli-24h'!N69,'03.08 Nebbi-Goli-24h'!N69)</f>
        <v>0</v>
      </c>
      <c r="O69" s="15">
        <f t="shared" si="0"/>
        <v>3</v>
      </c>
      <c r="P69" s="15">
        <f t="shared" si="1"/>
        <v>5.5</v>
      </c>
      <c r="R69" s="8"/>
      <c r="T69"/>
    </row>
    <row r="70" spans="2:20" ht="23.1" customHeight="1" x14ac:dyDescent="0.25">
      <c r="B70" s="23" t="s">
        <v>110</v>
      </c>
      <c r="C70" s="49">
        <f>AVERAGE('02.08 Nebbi-Goli-24h'!C70,'03.08 Nebbi-Goli-24h'!C70)</f>
        <v>0.5</v>
      </c>
      <c r="D70" s="49">
        <f>AVERAGE('02.08 Nebbi-Goli-24h'!D70,'03.08 Nebbi-Goli-24h'!D70)</f>
        <v>0</v>
      </c>
      <c r="E70" s="49">
        <f>AVERAGE('02.08 Nebbi-Goli-24h'!E70,'03.08 Nebbi-Goli-24h'!E70)</f>
        <v>0.5</v>
      </c>
      <c r="F70" s="49">
        <f>AVERAGE('02.08 Nebbi-Goli-24h'!F70,'03.08 Nebbi-Goli-24h'!F70)</f>
        <v>0.5</v>
      </c>
      <c r="G70" s="49">
        <f>AVERAGE('02.08 Nebbi-Goli-24h'!G70,'03.08 Nebbi-Goli-24h'!G70)</f>
        <v>0</v>
      </c>
      <c r="H70" s="49">
        <f>AVERAGE('02.08 Nebbi-Goli-24h'!H70,'03.08 Nebbi-Goli-24h'!H70)</f>
        <v>0.5</v>
      </c>
      <c r="I70" s="49">
        <f>AVERAGE('02.08 Nebbi-Goli-24h'!I70,'03.08 Nebbi-Goli-24h'!I70)</f>
        <v>1</v>
      </c>
      <c r="J70" s="49">
        <f>AVERAGE('02.08 Nebbi-Goli-24h'!J70,'03.08 Nebbi-Goli-24h'!J70)</f>
        <v>0.5</v>
      </c>
      <c r="K70" s="49">
        <f>AVERAGE('02.08 Nebbi-Goli-24h'!K70,'03.08 Nebbi-Goli-24h'!K70)</f>
        <v>0</v>
      </c>
      <c r="L70" s="49">
        <f>AVERAGE('02.08 Nebbi-Goli-24h'!L70,'03.08 Nebbi-Goli-24h'!L70)</f>
        <v>0</v>
      </c>
      <c r="M70" s="49">
        <f>AVERAGE('02.08 Nebbi-Goli-24h'!M70,'03.08 Nebbi-Goli-24h'!M70)</f>
        <v>4.5</v>
      </c>
      <c r="N70" s="49">
        <f>AVERAGE('02.08 Nebbi-Goli-24h'!N70,'03.08 Nebbi-Goli-24h'!N70)</f>
        <v>0</v>
      </c>
      <c r="O70" s="15">
        <f t="shared" si="0"/>
        <v>3.5</v>
      </c>
      <c r="P70" s="15">
        <f t="shared" si="1"/>
        <v>8</v>
      </c>
      <c r="R70" s="8"/>
      <c r="T70"/>
    </row>
    <row r="71" spans="2:20" ht="23.1" customHeight="1" x14ac:dyDescent="0.25">
      <c r="B71" s="23" t="s">
        <v>111</v>
      </c>
      <c r="C71" s="49">
        <f>AVERAGE('02.08 Nebbi-Goli-24h'!C71,'03.08 Nebbi-Goli-24h'!C71)</f>
        <v>0</v>
      </c>
      <c r="D71" s="49">
        <f>AVERAGE('02.08 Nebbi-Goli-24h'!D71,'03.08 Nebbi-Goli-24h'!D71)</f>
        <v>0</v>
      </c>
      <c r="E71" s="49">
        <f>AVERAGE('02.08 Nebbi-Goli-24h'!E71,'03.08 Nebbi-Goli-24h'!E71)</f>
        <v>0</v>
      </c>
      <c r="F71" s="49">
        <f>AVERAGE('02.08 Nebbi-Goli-24h'!F71,'03.08 Nebbi-Goli-24h'!F71)</f>
        <v>0</v>
      </c>
      <c r="G71" s="49">
        <f>AVERAGE('02.08 Nebbi-Goli-24h'!G71,'03.08 Nebbi-Goli-24h'!G71)</f>
        <v>0</v>
      </c>
      <c r="H71" s="49">
        <f>AVERAGE('02.08 Nebbi-Goli-24h'!H71,'03.08 Nebbi-Goli-24h'!H71)</f>
        <v>0</v>
      </c>
      <c r="I71" s="49">
        <f>AVERAGE('02.08 Nebbi-Goli-24h'!I71,'03.08 Nebbi-Goli-24h'!I71)</f>
        <v>0.5</v>
      </c>
      <c r="J71" s="49">
        <f>AVERAGE('02.08 Nebbi-Goli-24h'!J71,'03.08 Nebbi-Goli-24h'!J71)</f>
        <v>0</v>
      </c>
      <c r="K71" s="49">
        <f>AVERAGE('02.08 Nebbi-Goli-24h'!K71,'03.08 Nebbi-Goli-24h'!K71)</f>
        <v>0</v>
      </c>
      <c r="L71" s="49">
        <f>AVERAGE('02.08 Nebbi-Goli-24h'!L71,'03.08 Nebbi-Goli-24h'!L71)</f>
        <v>0</v>
      </c>
      <c r="M71" s="49">
        <f>AVERAGE('02.08 Nebbi-Goli-24h'!M71,'03.08 Nebbi-Goli-24h'!M71)</f>
        <v>2.5</v>
      </c>
      <c r="N71" s="49">
        <f>AVERAGE('02.08 Nebbi-Goli-24h'!N71,'03.08 Nebbi-Goli-24h'!N71)</f>
        <v>0</v>
      </c>
      <c r="O71" s="15">
        <f t="shared" si="0"/>
        <v>0.5</v>
      </c>
      <c r="P71" s="15">
        <f t="shared" si="1"/>
        <v>3</v>
      </c>
      <c r="R71" s="8"/>
      <c r="T71"/>
    </row>
    <row r="72" spans="2:20" ht="23.1" customHeight="1" x14ac:dyDescent="0.25">
      <c r="B72" s="23" t="s">
        <v>112</v>
      </c>
      <c r="C72" s="49">
        <f>AVERAGE('02.08 Nebbi-Goli-24h'!C72,'03.08 Nebbi-Goli-24h'!C72)</f>
        <v>0</v>
      </c>
      <c r="D72" s="49">
        <f>AVERAGE('02.08 Nebbi-Goli-24h'!D72,'03.08 Nebbi-Goli-24h'!D72)</f>
        <v>0</v>
      </c>
      <c r="E72" s="49">
        <f>AVERAGE('02.08 Nebbi-Goli-24h'!E72,'03.08 Nebbi-Goli-24h'!E72)</f>
        <v>0</v>
      </c>
      <c r="F72" s="49">
        <f>AVERAGE('02.08 Nebbi-Goli-24h'!F72,'03.08 Nebbi-Goli-24h'!F72)</f>
        <v>0</v>
      </c>
      <c r="G72" s="49">
        <f>AVERAGE('02.08 Nebbi-Goli-24h'!G72,'03.08 Nebbi-Goli-24h'!G72)</f>
        <v>0</v>
      </c>
      <c r="H72" s="49">
        <f>AVERAGE('02.08 Nebbi-Goli-24h'!H72,'03.08 Nebbi-Goli-24h'!H72)</f>
        <v>0</v>
      </c>
      <c r="I72" s="49">
        <f>AVERAGE('02.08 Nebbi-Goli-24h'!I72,'03.08 Nebbi-Goli-24h'!I72)</f>
        <v>0.5</v>
      </c>
      <c r="J72" s="49">
        <f>AVERAGE('02.08 Nebbi-Goli-24h'!J72,'03.08 Nebbi-Goli-24h'!J72)</f>
        <v>0</v>
      </c>
      <c r="K72" s="49">
        <f>AVERAGE('02.08 Nebbi-Goli-24h'!K72,'03.08 Nebbi-Goli-24h'!K72)</f>
        <v>0</v>
      </c>
      <c r="L72" s="49">
        <f>AVERAGE('02.08 Nebbi-Goli-24h'!L72,'03.08 Nebbi-Goli-24h'!L72)</f>
        <v>0</v>
      </c>
      <c r="M72" s="49">
        <f>AVERAGE('02.08 Nebbi-Goli-24h'!M72,'03.08 Nebbi-Goli-24h'!M72)</f>
        <v>3.5</v>
      </c>
      <c r="N72" s="49">
        <f>AVERAGE('02.08 Nebbi-Goli-24h'!N72,'03.08 Nebbi-Goli-24h'!N72)</f>
        <v>0</v>
      </c>
      <c r="O72" s="15">
        <f t="shared" si="0"/>
        <v>0.5</v>
      </c>
      <c r="P72" s="15">
        <f t="shared" si="1"/>
        <v>4</v>
      </c>
      <c r="R72" s="8"/>
      <c r="T72"/>
    </row>
    <row r="73" spans="2:20" ht="23.1" customHeight="1" x14ac:dyDescent="0.25">
      <c r="B73" s="23" t="s">
        <v>113</v>
      </c>
      <c r="C73" s="49">
        <f>AVERAGE('02.08 Nebbi-Goli-24h'!C73,'03.08 Nebbi-Goli-24h'!C73)</f>
        <v>0.5</v>
      </c>
      <c r="D73" s="49">
        <f>AVERAGE('02.08 Nebbi-Goli-24h'!D73,'03.08 Nebbi-Goli-24h'!D73)</f>
        <v>0</v>
      </c>
      <c r="E73" s="49">
        <f>AVERAGE('02.08 Nebbi-Goli-24h'!E73,'03.08 Nebbi-Goli-24h'!E73)</f>
        <v>0.5</v>
      </c>
      <c r="F73" s="49">
        <f>AVERAGE('02.08 Nebbi-Goli-24h'!F73,'03.08 Nebbi-Goli-24h'!F73)</f>
        <v>0</v>
      </c>
      <c r="G73" s="49">
        <f>AVERAGE('02.08 Nebbi-Goli-24h'!G73,'03.08 Nebbi-Goli-24h'!G73)</f>
        <v>0</v>
      </c>
      <c r="H73" s="49">
        <f>AVERAGE('02.08 Nebbi-Goli-24h'!H73,'03.08 Nebbi-Goli-24h'!H73)</f>
        <v>0</v>
      </c>
      <c r="I73" s="49">
        <f>AVERAGE('02.08 Nebbi-Goli-24h'!I73,'03.08 Nebbi-Goli-24h'!I73)</f>
        <v>0</v>
      </c>
      <c r="J73" s="49">
        <f>AVERAGE('02.08 Nebbi-Goli-24h'!J73,'03.08 Nebbi-Goli-24h'!J73)</f>
        <v>0</v>
      </c>
      <c r="K73" s="49">
        <f>AVERAGE('02.08 Nebbi-Goli-24h'!K73,'03.08 Nebbi-Goli-24h'!K73)</f>
        <v>0</v>
      </c>
      <c r="L73" s="49">
        <f>AVERAGE('02.08 Nebbi-Goli-24h'!L73,'03.08 Nebbi-Goli-24h'!L73)</f>
        <v>0.5</v>
      </c>
      <c r="M73" s="49">
        <f>AVERAGE('02.08 Nebbi-Goli-24h'!M73,'03.08 Nebbi-Goli-24h'!M73)</f>
        <v>3.5</v>
      </c>
      <c r="N73" s="49">
        <f>AVERAGE('02.08 Nebbi-Goli-24h'!N73,'03.08 Nebbi-Goli-24h'!N73)</f>
        <v>0</v>
      </c>
      <c r="O73" s="15">
        <f t="shared" si="0"/>
        <v>1.5</v>
      </c>
      <c r="P73" s="15">
        <f t="shared" si="1"/>
        <v>5</v>
      </c>
      <c r="R73" s="8"/>
      <c r="T73"/>
    </row>
    <row r="74" spans="2:20" ht="23.1" customHeight="1" x14ac:dyDescent="0.25">
      <c r="B74" s="23" t="s">
        <v>114</v>
      </c>
      <c r="C74" s="49">
        <f>AVERAGE('02.08 Nebbi-Goli-24h'!C74,'03.08 Nebbi-Goli-24h'!C74)</f>
        <v>0</v>
      </c>
      <c r="D74" s="49">
        <f>AVERAGE('02.08 Nebbi-Goli-24h'!D74,'03.08 Nebbi-Goli-24h'!D74)</f>
        <v>0</v>
      </c>
      <c r="E74" s="49">
        <f>AVERAGE('02.08 Nebbi-Goli-24h'!E74,'03.08 Nebbi-Goli-24h'!E74)</f>
        <v>0</v>
      </c>
      <c r="F74" s="49">
        <f>AVERAGE('02.08 Nebbi-Goli-24h'!F74,'03.08 Nebbi-Goli-24h'!F74)</f>
        <v>0</v>
      </c>
      <c r="G74" s="49">
        <f>AVERAGE('02.08 Nebbi-Goli-24h'!G74,'03.08 Nebbi-Goli-24h'!G74)</f>
        <v>0</v>
      </c>
      <c r="H74" s="49">
        <f>AVERAGE('02.08 Nebbi-Goli-24h'!H74,'03.08 Nebbi-Goli-24h'!H74)</f>
        <v>0</v>
      </c>
      <c r="I74" s="49">
        <f>AVERAGE('02.08 Nebbi-Goli-24h'!I74,'03.08 Nebbi-Goli-24h'!I74)</f>
        <v>0</v>
      </c>
      <c r="J74" s="49">
        <f>AVERAGE('02.08 Nebbi-Goli-24h'!J74,'03.08 Nebbi-Goli-24h'!J74)</f>
        <v>0</v>
      </c>
      <c r="K74" s="49">
        <f>AVERAGE('02.08 Nebbi-Goli-24h'!K74,'03.08 Nebbi-Goli-24h'!K74)</f>
        <v>0</v>
      </c>
      <c r="L74" s="49">
        <f>AVERAGE('02.08 Nebbi-Goli-24h'!L74,'03.08 Nebbi-Goli-24h'!L74)</f>
        <v>0</v>
      </c>
      <c r="M74" s="49">
        <f>AVERAGE('02.08 Nebbi-Goli-24h'!M74,'03.08 Nebbi-Goli-24h'!M74)</f>
        <v>3.5</v>
      </c>
      <c r="N74" s="49">
        <f>AVERAGE('02.08 Nebbi-Goli-24h'!N74,'03.08 Nebbi-Goli-24h'!N74)</f>
        <v>0</v>
      </c>
      <c r="O74" s="15">
        <f t="shared" ref="O74:O105" si="35">SUM(C74:L74,N74)</f>
        <v>0</v>
      </c>
      <c r="P74" s="15">
        <f t="shared" ref="P74:P105" si="36">SUM(C74:N74)</f>
        <v>3.5</v>
      </c>
      <c r="R74" s="8"/>
      <c r="T74"/>
    </row>
    <row r="75" spans="2:20" ht="23.1" customHeight="1" x14ac:dyDescent="0.25">
      <c r="B75" s="23" t="s">
        <v>115</v>
      </c>
      <c r="C75" s="49">
        <f>AVERAGE('02.08 Nebbi-Goli-24h'!C75,'03.08 Nebbi-Goli-24h'!C75)</f>
        <v>0</v>
      </c>
      <c r="D75" s="49">
        <f>AVERAGE('02.08 Nebbi-Goli-24h'!D75,'03.08 Nebbi-Goli-24h'!D75)</f>
        <v>0</v>
      </c>
      <c r="E75" s="49">
        <f>AVERAGE('02.08 Nebbi-Goli-24h'!E75,'03.08 Nebbi-Goli-24h'!E75)</f>
        <v>0</v>
      </c>
      <c r="F75" s="49">
        <f>AVERAGE('02.08 Nebbi-Goli-24h'!F75,'03.08 Nebbi-Goli-24h'!F75)</f>
        <v>0</v>
      </c>
      <c r="G75" s="49">
        <f>AVERAGE('02.08 Nebbi-Goli-24h'!G75,'03.08 Nebbi-Goli-24h'!G75)</f>
        <v>0</v>
      </c>
      <c r="H75" s="49">
        <f>AVERAGE('02.08 Nebbi-Goli-24h'!H75,'03.08 Nebbi-Goli-24h'!H75)</f>
        <v>0</v>
      </c>
      <c r="I75" s="49">
        <f>AVERAGE('02.08 Nebbi-Goli-24h'!I75,'03.08 Nebbi-Goli-24h'!I75)</f>
        <v>0</v>
      </c>
      <c r="J75" s="49">
        <f>AVERAGE('02.08 Nebbi-Goli-24h'!J75,'03.08 Nebbi-Goli-24h'!J75)</f>
        <v>0</v>
      </c>
      <c r="K75" s="49">
        <f>AVERAGE('02.08 Nebbi-Goli-24h'!K75,'03.08 Nebbi-Goli-24h'!K75)</f>
        <v>0</v>
      </c>
      <c r="L75" s="49">
        <f>AVERAGE('02.08 Nebbi-Goli-24h'!L75,'03.08 Nebbi-Goli-24h'!L75)</f>
        <v>0</v>
      </c>
      <c r="M75" s="49">
        <f>AVERAGE('02.08 Nebbi-Goli-24h'!M75,'03.08 Nebbi-Goli-24h'!M75)</f>
        <v>0</v>
      </c>
      <c r="N75" s="49">
        <f>AVERAGE('02.08 Nebbi-Goli-24h'!N75,'03.08 Nebbi-Goli-24h'!N75)</f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23" t="s">
        <v>116</v>
      </c>
      <c r="C76" s="49">
        <f>AVERAGE('02.08 Nebbi-Goli-24h'!C76,'03.08 Nebbi-Goli-24h'!C76)</f>
        <v>0</v>
      </c>
      <c r="D76" s="49">
        <f>AVERAGE('02.08 Nebbi-Goli-24h'!D76,'03.08 Nebbi-Goli-24h'!D76)</f>
        <v>0</v>
      </c>
      <c r="E76" s="49">
        <f>AVERAGE('02.08 Nebbi-Goli-24h'!E76,'03.08 Nebbi-Goli-24h'!E76)</f>
        <v>0.5</v>
      </c>
      <c r="F76" s="49">
        <f>AVERAGE('02.08 Nebbi-Goli-24h'!F76,'03.08 Nebbi-Goli-24h'!F76)</f>
        <v>0</v>
      </c>
      <c r="G76" s="49">
        <f>AVERAGE('02.08 Nebbi-Goli-24h'!G76,'03.08 Nebbi-Goli-24h'!G76)</f>
        <v>0</v>
      </c>
      <c r="H76" s="49">
        <f>AVERAGE('02.08 Nebbi-Goli-24h'!H76,'03.08 Nebbi-Goli-24h'!H76)</f>
        <v>0</v>
      </c>
      <c r="I76" s="49">
        <f>AVERAGE('02.08 Nebbi-Goli-24h'!I76,'03.08 Nebbi-Goli-24h'!I76)</f>
        <v>0</v>
      </c>
      <c r="J76" s="49">
        <f>AVERAGE('02.08 Nebbi-Goli-24h'!J76,'03.08 Nebbi-Goli-24h'!J76)</f>
        <v>0</v>
      </c>
      <c r="K76" s="49">
        <f>AVERAGE('02.08 Nebbi-Goli-24h'!K76,'03.08 Nebbi-Goli-24h'!K76)</f>
        <v>0</v>
      </c>
      <c r="L76" s="49">
        <f>AVERAGE('02.08 Nebbi-Goli-24h'!L76,'03.08 Nebbi-Goli-24h'!L76)</f>
        <v>0</v>
      </c>
      <c r="M76" s="49">
        <f>AVERAGE('02.08 Nebbi-Goli-24h'!M76,'03.08 Nebbi-Goli-24h'!M76)</f>
        <v>1.5</v>
      </c>
      <c r="N76" s="49">
        <f>AVERAGE('02.08 Nebbi-Goli-24h'!N76,'03.08 Nebbi-Goli-24h'!N76)</f>
        <v>0</v>
      </c>
      <c r="O76" s="15">
        <f t="shared" si="35"/>
        <v>0.5</v>
      </c>
      <c r="P76" s="15">
        <f t="shared" si="36"/>
        <v>2</v>
      </c>
      <c r="R76" s="8"/>
      <c r="T76"/>
    </row>
    <row r="77" spans="2:20" ht="23.1" customHeight="1" x14ac:dyDescent="0.25">
      <c r="B77" s="23" t="s">
        <v>117</v>
      </c>
      <c r="C77" s="49">
        <f>AVERAGE('02.08 Nebbi-Goli-24h'!C77,'03.08 Nebbi-Goli-24h'!C77)</f>
        <v>0</v>
      </c>
      <c r="D77" s="49">
        <f>AVERAGE('02.08 Nebbi-Goli-24h'!D77,'03.08 Nebbi-Goli-24h'!D77)</f>
        <v>0</v>
      </c>
      <c r="E77" s="49">
        <f>AVERAGE('02.08 Nebbi-Goli-24h'!E77,'03.08 Nebbi-Goli-24h'!E77)</f>
        <v>0</v>
      </c>
      <c r="F77" s="49">
        <f>AVERAGE('02.08 Nebbi-Goli-24h'!F77,'03.08 Nebbi-Goli-24h'!F77)</f>
        <v>0</v>
      </c>
      <c r="G77" s="49">
        <f>AVERAGE('02.08 Nebbi-Goli-24h'!G77,'03.08 Nebbi-Goli-24h'!G77)</f>
        <v>0</v>
      </c>
      <c r="H77" s="49">
        <f>AVERAGE('02.08 Nebbi-Goli-24h'!H77,'03.08 Nebbi-Goli-24h'!H77)</f>
        <v>0</v>
      </c>
      <c r="I77" s="49">
        <f>AVERAGE('02.08 Nebbi-Goli-24h'!I77,'03.08 Nebbi-Goli-24h'!I77)</f>
        <v>0</v>
      </c>
      <c r="J77" s="49">
        <f>AVERAGE('02.08 Nebbi-Goli-24h'!J77,'03.08 Nebbi-Goli-24h'!J77)</f>
        <v>0</v>
      </c>
      <c r="K77" s="49">
        <f>AVERAGE('02.08 Nebbi-Goli-24h'!K77,'03.08 Nebbi-Goli-24h'!K77)</f>
        <v>0</v>
      </c>
      <c r="L77" s="49">
        <f>AVERAGE('02.08 Nebbi-Goli-24h'!L77,'03.08 Nebbi-Goli-24h'!L77)</f>
        <v>1</v>
      </c>
      <c r="M77" s="49">
        <f>AVERAGE('02.08 Nebbi-Goli-24h'!M77,'03.08 Nebbi-Goli-24h'!M77)</f>
        <v>0.5</v>
      </c>
      <c r="N77" s="49">
        <f>AVERAGE('02.08 Nebbi-Goli-24h'!N77,'03.08 Nebbi-Goli-24h'!N77)</f>
        <v>0</v>
      </c>
      <c r="O77" s="15">
        <f t="shared" si="35"/>
        <v>1</v>
      </c>
      <c r="P77" s="15">
        <f t="shared" si="36"/>
        <v>1.5</v>
      </c>
      <c r="R77" s="8"/>
      <c r="T77"/>
    </row>
    <row r="78" spans="2:20" ht="23.1" customHeight="1" x14ac:dyDescent="0.25">
      <c r="B78" s="24" t="s">
        <v>118</v>
      </c>
      <c r="C78" s="49">
        <f>AVERAGE('02.08 Nebbi-Goli-24h'!C78,'03.08 Nebbi-Goli-24h'!C78)</f>
        <v>0</v>
      </c>
      <c r="D78" s="49">
        <f>AVERAGE('02.08 Nebbi-Goli-24h'!D78,'03.08 Nebbi-Goli-24h'!D78)</f>
        <v>0</v>
      </c>
      <c r="E78" s="49">
        <f>AVERAGE('02.08 Nebbi-Goli-24h'!E78,'03.08 Nebbi-Goli-24h'!E78)</f>
        <v>0</v>
      </c>
      <c r="F78" s="49">
        <f>AVERAGE('02.08 Nebbi-Goli-24h'!F78,'03.08 Nebbi-Goli-24h'!F78)</f>
        <v>0</v>
      </c>
      <c r="G78" s="49">
        <f>AVERAGE('02.08 Nebbi-Goli-24h'!G78,'03.08 Nebbi-Goli-24h'!G78)</f>
        <v>0</v>
      </c>
      <c r="H78" s="49">
        <f>AVERAGE('02.08 Nebbi-Goli-24h'!H78,'03.08 Nebbi-Goli-24h'!H78)</f>
        <v>0</v>
      </c>
      <c r="I78" s="49">
        <f>AVERAGE('02.08 Nebbi-Goli-24h'!I78,'03.08 Nebbi-Goli-24h'!I78)</f>
        <v>0</v>
      </c>
      <c r="J78" s="49">
        <f>AVERAGE('02.08 Nebbi-Goli-24h'!J78,'03.08 Nebbi-Goli-24h'!J78)</f>
        <v>0</v>
      </c>
      <c r="K78" s="49">
        <f>AVERAGE('02.08 Nebbi-Goli-24h'!K78,'03.08 Nebbi-Goli-24h'!K78)</f>
        <v>0</v>
      </c>
      <c r="L78" s="49">
        <f>AVERAGE('02.08 Nebbi-Goli-24h'!L78,'03.08 Nebbi-Goli-24h'!L78)</f>
        <v>0</v>
      </c>
      <c r="M78" s="49">
        <f>AVERAGE('02.08 Nebbi-Goli-24h'!M78,'03.08 Nebbi-Goli-24h'!M78)</f>
        <v>1.5</v>
      </c>
      <c r="N78" s="49">
        <f>AVERAGE('02.08 Nebbi-Goli-24h'!N78,'03.08 Nebbi-Goli-24h'!N78)</f>
        <v>0</v>
      </c>
      <c r="O78" s="15">
        <f t="shared" si="35"/>
        <v>0</v>
      </c>
      <c r="P78" s="15">
        <f t="shared" si="36"/>
        <v>1.5</v>
      </c>
      <c r="R78" s="8"/>
      <c r="T78"/>
    </row>
    <row r="79" spans="2:20" ht="23.1" customHeight="1" x14ac:dyDescent="0.25">
      <c r="B79" s="23" t="s">
        <v>119</v>
      </c>
      <c r="C79" s="49">
        <f>AVERAGE('02.08 Nebbi-Goli-24h'!C79,'03.08 Nebbi-Goli-24h'!C79)</f>
        <v>0</v>
      </c>
      <c r="D79" s="49">
        <f>AVERAGE('02.08 Nebbi-Goli-24h'!D79,'03.08 Nebbi-Goli-24h'!D79)</f>
        <v>0</v>
      </c>
      <c r="E79" s="49">
        <f>AVERAGE('02.08 Nebbi-Goli-24h'!E79,'03.08 Nebbi-Goli-24h'!E79)</f>
        <v>0</v>
      </c>
      <c r="F79" s="49">
        <f>AVERAGE('02.08 Nebbi-Goli-24h'!F79,'03.08 Nebbi-Goli-24h'!F79)</f>
        <v>0</v>
      </c>
      <c r="G79" s="49">
        <f>AVERAGE('02.08 Nebbi-Goli-24h'!G79,'03.08 Nebbi-Goli-24h'!G79)</f>
        <v>0</v>
      </c>
      <c r="H79" s="49">
        <f>AVERAGE('02.08 Nebbi-Goli-24h'!H79,'03.08 Nebbi-Goli-24h'!H79)</f>
        <v>0</v>
      </c>
      <c r="I79" s="49">
        <f>AVERAGE('02.08 Nebbi-Goli-24h'!I79,'03.08 Nebbi-Goli-24h'!I79)</f>
        <v>0</v>
      </c>
      <c r="J79" s="49">
        <f>AVERAGE('02.08 Nebbi-Goli-24h'!J79,'03.08 Nebbi-Goli-24h'!J79)</f>
        <v>0</v>
      </c>
      <c r="K79" s="49">
        <f>AVERAGE('02.08 Nebbi-Goli-24h'!K79,'03.08 Nebbi-Goli-24h'!K79)</f>
        <v>0</v>
      </c>
      <c r="L79" s="49">
        <f>AVERAGE('02.08 Nebbi-Goli-24h'!L79,'03.08 Nebbi-Goli-24h'!L79)</f>
        <v>0</v>
      </c>
      <c r="M79" s="49">
        <f>AVERAGE('02.08 Nebbi-Goli-24h'!M79,'03.08 Nebbi-Goli-24h'!M79)</f>
        <v>1.5</v>
      </c>
      <c r="N79" s="49">
        <f>AVERAGE('02.08 Nebbi-Goli-24h'!N79,'03.08 Nebbi-Goli-24h'!N79)</f>
        <v>0</v>
      </c>
      <c r="O79" s="15">
        <f t="shared" si="35"/>
        <v>0</v>
      </c>
      <c r="P79" s="15">
        <f t="shared" si="36"/>
        <v>1.5</v>
      </c>
      <c r="R79" s="8"/>
      <c r="T79"/>
    </row>
    <row r="80" spans="2:20" ht="23.1" customHeight="1" x14ac:dyDescent="0.25">
      <c r="B80" s="25" t="s">
        <v>120</v>
      </c>
      <c r="C80" s="49">
        <f>AVERAGE('02.08 Nebbi-Goli-24h'!C80,'03.08 Nebbi-Goli-24h'!C80)</f>
        <v>0.5</v>
      </c>
      <c r="D80" s="49">
        <f>AVERAGE('02.08 Nebbi-Goli-24h'!D80,'03.08 Nebbi-Goli-24h'!D80)</f>
        <v>0</v>
      </c>
      <c r="E80" s="49">
        <f>AVERAGE('02.08 Nebbi-Goli-24h'!E80,'03.08 Nebbi-Goli-24h'!E80)</f>
        <v>0</v>
      </c>
      <c r="F80" s="49">
        <f>AVERAGE('02.08 Nebbi-Goli-24h'!F80,'03.08 Nebbi-Goli-24h'!F80)</f>
        <v>0</v>
      </c>
      <c r="G80" s="49">
        <f>AVERAGE('02.08 Nebbi-Goli-24h'!G80,'03.08 Nebbi-Goli-24h'!G80)</f>
        <v>0</v>
      </c>
      <c r="H80" s="49">
        <f>AVERAGE('02.08 Nebbi-Goli-24h'!H80,'03.08 Nebbi-Goli-24h'!H80)</f>
        <v>0</v>
      </c>
      <c r="I80" s="49">
        <f>AVERAGE('02.08 Nebbi-Goli-24h'!I80,'03.08 Nebbi-Goli-24h'!I80)</f>
        <v>0</v>
      </c>
      <c r="J80" s="49">
        <f>AVERAGE('02.08 Nebbi-Goli-24h'!J80,'03.08 Nebbi-Goli-24h'!J80)</f>
        <v>0</v>
      </c>
      <c r="K80" s="49">
        <f>AVERAGE('02.08 Nebbi-Goli-24h'!K80,'03.08 Nebbi-Goli-24h'!K80)</f>
        <v>0</v>
      </c>
      <c r="L80" s="49">
        <f>AVERAGE('02.08 Nebbi-Goli-24h'!L80,'03.08 Nebbi-Goli-24h'!L80)</f>
        <v>0</v>
      </c>
      <c r="M80" s="49">
        <f>AVERAGE('02.08 Nebbi-Goli-24h'!M80,'03.08 Nebbi-Goli-24h'!M80)</f>
        <v>0.5</v>
      </c>
      <c r="N80" s="49">
        <f>AVERAGE('02.08 Nebbi-Goli-24h'!N80,'03.08 Nebbi-Goli-24h'!N80)</f>
        <v>0</v>
      </c>
      <c r="O80" s="15">
        <f t="shared" si="35"/>
        <v>0.5</v>
      </c>
      <c r="P80" s="15">
        <f t="shared" si="36"/>
        <v>1</v>
      </c>
      <c r="R80" s="8"/>
      <c r="T80"/>
    </row>
    <row r="81" spans="2:20" ht="23.1" customHeight="1" x14ac:dyDescent="0.25">
      <c r="B81" s="23" t="s">
        <v>121</v>
      </c>
      <c r="C81" s="49">
        <f>AVERAGE('02.08 Nebbi-Goli-24h'!C81,'03.08 Nebbi-Goli-24h'!C81)</f>
        <v>0</v>
      </c>
      <c r="D81" s="49">
        <f>AVERAGE('02.08 Nebbi-Goli-24h'!D81,'03.08 Nebbi-Goli-24h'!D81)</f>
        <v>0</v>
      </c>
      <c r="E81" s="49">
        <f>AVERAGE('02.08 Nebbi-Goli-24h'!E81,'03.08 Nebbi-Goli-24h'!E81)</f>
        <v>0</v>
      </c>
      <c r="F81" s="49">
        <f>AVERAGE('02.08 Nebbi-Goli-24h'!F81,'03.08 Nebbi-Goli-24h'!F81)</f>
        <v>0</v>
      </c>
      <c r="G81" s="49">
        <f>AVERAGE('02.08 Nebbi-Goli-24h'!G81,'03.08 Nebbi-Goli-24h'!G81)</f>
        <v>0</v>
      </c>
      <c r="H81" s="49">
        <f>AVERAGE('02.08 Nebbi-Goli-24h'!H81,'03.08 Nebbi-Goli-24h'!H81)</f>
        <v>0</v>
      </c>
      <c r="I81" s="49">
        <f>AVERAGE('02.08 Nebbi-Goli-24h'!I81,'03.08 Nebbi-Goli-24h'!I81)</f>
        <v>0.5</v>
      </c>
      <c r="J81" s="49">
        <f>AVERAGE('02.08 Nebbi-Goli-24h'!J81,'03.08 Nebbi-Goli-24h'!J81)</f>
        <v>0</v>
      </c>
      <c r="K81" s="49">
        <f>AVERAGE('02.08 Nebbi-Goli-24h'!K81,'03.08 Nebbi-Goli-24h'!K81)</f>
        <v>0</v>
      </c>
      <c r="L81" s="49">
        <f>AVERAGE('02.08 Nebbi-Goli-24h'!L81,'03.08 Nebbi-Goli-24h'!L81)</f>
        <v>0</v>
      </c>
      <c r="M81" s="49">
        <f>AVERAGE('02.08 Nebbi-Goli-24h'!M81,'03.08 Nebbi-Goli-24h'!M81)</f>
        <v>1</v>
      </c>
      <c r="N81" s="49">
        <f>AVERAGE('02.08 Nebbi-Goli-24h'!N81,'03.08 Nebbi-Goli-24h'!N81)</f>
        <v>0</v>
      </c>
      <c r="O81" s="15">
        <f t="shared" si="35"/>
        <v>0.5</v>
      </c>
      <c r="P81" s="15">
        <f t="shared" si="36"/>
        <v>1.5</v>
      </c>
      <c r="R81" s="8"/>
      <c r="T81"/>
    </row>
    <row r="82" spans="2:20" ht="23.1" customHeight="1" x14ac:dyDescent="0.25">
      <c r="B82" s="24" t="s">
        <v>122</v>
      </c>
      <c r="C82" s="49">
        <f>AVERAGE('02.08 Nebbi-Goli-24h'!C82,'03.08 Nebbi-Goli-24h'!C82)</f>
        <v>0</v>
      </c>
      <c r="D82" s="49">
        <f>AVERAGE('02.08 Nebbi-Goli-24h'!D82,'03.08 Nebbi-Goli-24h'!D82)</f>
        <v>0</v>
      </c>
      <c r="E82" s="49">
        <f>AVERAGE('02.08 Nebbi-Goli-24h'!E82,'03.08 Nebbi-Goli-24h'!E82)</f>
        <v>0</v>
      </c>
      <c r="F82" s="49">
        <f>AVERAGE('02.08 Nebbi-Goli-24h'!F82,'03.08 Nebbi-Goli-24h'!F82)</f>
        <v>0</v>
      </c>
      <c r="G82" s="49">
        <f>AVERAGE('02.08 Nebbi-Goli-24h'!G82,'03.08 Nebbi-Goli-24h'!G82)</f>
        <v>0</v>
      </c>
      <c r="H82" s="49">
        <f>AVERAGE('02.08 Nebbi-Goli-24h'!H82,'03.08 Nebbi-Goli-24h'!H82)</f>
        <v>0</v>
      </c>
      <c r="I82" s="49">
        <f>AVERAGE('02.08 Nebbi-Goli-24h'!I82,'03.08 Nebbi-Goli-24h'!I82)</f>
        <v>0</v>
      </c>
      <c r="J82" s="49">
        <f>AVERAGE('02.08 Nebbi-Goli-24h'!J82,'03.08 Nebbi-Goli-24h'!J82)</f>
        <v>0</v>
      </c>
      <c r="K82" s="49">
        <f>AVERAGE('02.08 Nebbi-Goli-24h'!K82,'03.08 Nebbi-Goli-24h'!K82)</f>
        <v>0</v>
      </c>
      <c r="L82" s="49">
        <f>AVERAGE('02.08 Nebbi-Goli-24h'!L82,'03.08 Nebbi-Goli-24h'!L82)</f>
        <v>0.5</v>
      </c>
      <c r="M82" s="49">
        <f>AVERAGE('02.08 Nebbi-Goli-24h'!M82,'03.08 Nebbi-Goli-24h'!M82)</f>
        <v>0</v>
      </c>
      <c r="N82" s="49">
        <f>AVERAGE('02.08 Nebbi-Goli-24h'!N82,'03.08 Nebbi-Goli-24h'!N82)</f>
        <v>0</v>
      </c>
      <c r="O82" s="15">
        <f t="shared" si="35"/>
        <v>0.5</v>
      </c>
      <c r="P82" s="15">
        <f t="shared" si="36"/>
        <v>0.5</v>
      </c>
      <c r="R82" s="8"/>
      <c r="T82"/>
    </row>
    <row r="83" spans="2:20" ht="23.1" customHeight="1" x14ac:dyDescent="0.25">
      <c r="B83" s="23" t="s">
        <v>123</v>
      </c>
      <c r="C83" s="49">
        <f>AVERAGE('02.08 Nebbi-Goli-24h'!C83,'03.08 Nebbi-Goli-24h'!C83)</f>
        <v>0</v>
      </c>
      <c r="D83" s="49">
        <f>AVERAGE('02.08 Nebbi-Goli-24h'!D83,'03.08 Nebbi-Goli-24h'!D83)</f>
        <v>0</v>
      </c>
      <c r="E83" s="49">
        <f>AVERAGE('02.08 Nebbi-Goli-24h'!E83,'03.08 Nebbi-Goli-24h'!E83)</f>
        <v>0</v>
      </c>
      <c r="F83" s="49">
        <f>AVERAGE('02.08 Nebbi-Goli-24h'!F83,'03.08 Nebbi-Goli-24h'!F83)</f>
        <v>0</v>
      </c>
      <c r="G83" s="49">
        <f>AVERAGE('02.08 Nebbi-Goli-24h'!G83,'03.08 Nebbi-Goli-24h'!G83)</f>
        <v>0</v>
      </c>
      <c r="H83" s="49">
        <f>AVERAGE('02.08 Nebbi-Goli-24h'!H83,'03.08 Nebbi-Goli-24h'!H83)</f>
        <v>0</v>
      </c>
      <c r="I83" s="49">
        <f>AVERAGE('02.08 Nebbi-Goli-24h'!I83,'03.08 Nebbi-Goli-24h'!I83)</f>
        <v>0</v>
      </c>
      <c r="J83" s="49">
        <f>AVERAGE('02.08 Nebbi-Goli-24h'!J83,'03.08 Nebbi-Goli-24h'!J83)</f>
        <v>0</v>
      </c>
      <c r="K83" s="49">
        <f>AVERAGE('02.08 Nebbi-Goli-24h'!K83,'03.08 Nebbi-Goli-24h'!K83)</f>
        <v>0</v>
      </c>
      <c r="L83" s="49">
        <f>AVERAGE('02.08 Nebbi-Goli-24h'!L83,'03.08 Nebbi-Goli-24h'!L83)</f>
        <v>0</v>
      </c>
      <c r="M83" s="49">
        <f>AVERAGE('02.08 Nebbi-Goli-24h'!M83,'03.08 Nebbi-Goli-24h'!M83)</f>
        <v>0</v>
      </c>
      <c r="N83" s="49">
        <f>AVERAGE('02.08 Nebbi-Goli-24h'!N83,'03.08 Nebbi-Goli-24h'!N83)</f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25" t="s">
        <v>124</v>
      </c>
      <c r="C84" s="49">
        <f>AVERAGE('02.08 Nebbi-Goli-24h'!C84,'03.08 Nebbi-Goli-24h'!C84)</f>
        <v>0</v>
      </c>
      <c r="D84" s="49">
        <f>AVERAGE('02.08 Nebbi-Goli-24h'!D84,'03.08 Nebbi-Goli-24h'!D84)</f>
        <v>0</v>
      </c>
      <c r="E84" s="49">
        <f>AVERAGE('02.08 Nebbi-Goli-24h'!E84,'03.08 Nebbi-Goli-24h'!E84)</f>
        <v>0</v>
      </c>
      <c r="F84" s="49">
        <f>AVERAGE('02.08 Nebbi-Goli-24h'!F84,'03.08 Nebbi-Goli-24h'!F84)</f>
        <v>0</v>
      </c>
      <c r="G84" s="49">
        <f>AVERAGE('02.08 Nebbi-Goli-24h'!G84,'03.08 Nebbi-Goli-24h'!G84)</f>
        <v>0</v>
      </c>
      <c r="H84" s="49">
        <f>AVERAGE('02.08 Nebbi-Goli-24h'!H84,'03.08 Nebbi-Goli-24h'!H84)</f>
        <v>0</v>
      </c>
      <c r="I84" s="49">
        <f>AVERAGE('02.08 Nebbi-Goli-24h'!I84,'03.08 Nebbi-Goli-24h'!I84)</f>
        <v>0</v>
      </c>
      <c r="J84" s="49">
        <f>AVERAGE('02.08 Nebbi-Goli-24h'!J84,'03.08 Nebbi-Goli-24h'!J84)</f>
        <v>0</v>
      </c>
      <c r="K84" s="49">
        <f>AVERAGE('02.08 Nebbi-Goli-24h'!K84,'03.08 Nebbi-Goli-24h'!K84)</f>
        <v>0</v>
      </c>
      <c r="L84" s="49">
        <f>AVERAGE('02.08 Nebbi-Goli-24h'!L84,'03.08 Nebbi-Goli-24h'!L84)</f>
        <v>0</v>
      </c>
      <c r="M84" s="49">
        <f>AVERAGE('02.08 Nebbi-Goli-24h'!M84,'03.08 Nebbi-Goli-24h'!M84)</f>
        <v>0.5</v>
      </c>
      <c r="N84" s="49">
        <f>AVERAGE('02.08 Nebbi-Goli-24h'!N84,'03.08 Nebbi-Goli-24h'!N84)</f>
        <v>0</v>
      </c>
      <c r="O84" s="15">
        <f t="shared" si="35"/>
        <v>0</v>
      </c>
      <c r="P84" s="15">
        <f t="shared" si="36"/>
        <v>0.5</v>
      </c>
      <c r="R84" s="8"/>
      <c r="T84"/>
    </row>
    <row r="85" spans="2:20" ht="23.1" customHeight="1" x14ac:dyDescent="0.25">
      <c r="B85" s="23" t="s">
        <v>125</v>
      </c>
      <c r="C85" s="49">
        <f>AVERAGE('02.08 Nebbi-Goli-24h'!C85,'03.08 Nebbi-Goli-24h'!C85)</f>
        <v>0.5</v>
      </c>
      <c r="D85" s="49">
        <f>AVERAGE('02.08 Nebbi-Goli-24h'!D85,'03.08 Nebbi-Goli-24h'!D85)</f>
        <v>0</v>
      </c>
      <c r="E85" s="49">
        <f>AVERAGE('02.08 Nebbi-Goli-24h'!E85,'03.08 Nebbi-Goli-24h'!E85)</f>
        <v>0.5</v>
      </c>
      <c r="F85" s="49">
        <f>AVERAGE('02.08 Nebbi-Goli-24h'!F85,'03.08 Nebbi-Goli-24h'!F85)</f>
        <v>0</v>
      </c>
      <c r="G85" s="49">
        <f>AVERAGE('02.08 Nebbi-Goli-24h'!G85,'03.08 Nebbi-Goli-24h'!G85)</f>
        <v>0</v>
      </c>
      <c r="H85" s="49">
        <f>AVERAGE('02.08 Nebbi-Goli-24h'!H85,'03.08 Nebbi-Goli-24h'!H85)</f>
        <v>0</v>
      </c>
      <c r="I85" s="49">
        <f>AVERAGE('02.08 Nebbi-Goli-24h'!I85,'03.08 Nebbi-Goli-24h'!I85)</f>
        <v>0.5</v>
      </c>
      <c r="J85" s="49">
        <f>AVERAGE('02.08 Nebbi-Goli-24h'!J85,'03.08 Nebbi-Goli-24h'!J85)</f>
        <v>0</v>
      </c>
      <c r="K85" s="49">
        <f>AVERAGE('02.08 Nebbi-Goli-24h'!K85,'03.08 Nebbi-Goli-24h'!K85)</f>
        <v>0</v>
      </c>
      <c r="L85" s="49">
        <f>AVERAGE('02.08 Nebbi-Goli-24h'!L85,'03.08 Nebbi-Goli-24h'!L85)</f>
        <v>0.5</v>
      </c>
      <c r="M85" s="49">
        <f>AVERAGE('02.08 Nebbi-Goli-24h'!M85,'03.08 Nebbi-Goli-24h'!M85)</f>
        <v>0.5</v>
      </c>
      <c r="N85" s="49">
        <f>AVERAGE('02.08 Nebbi-Goli-24h'!N85,'03.08 Nebbi-Goli-24h'!N85)</f>
        <v>0</v>
      </c>
      <c r="O85" s="15">
        <f t="shared" si="35"/>
        <v>2</v>
      </c>
      <c r="P85" s="15">
        <f t="shared" si="36"/>
        <v>2.5</v>
      </c>
      <c r="R85" s="8"/>
      <c r="T85"/>
    </row>
    <row r="86" spans="2:20" ht="23.1" customHeight="1" x14ac:dyDescent="0.25">
      <c r="B86" s="24" t="s">
        <v>126</v>
      </c>
      <c r="C86" s="49">
        <f>AVERAGE('02.08 Nebbi-Goli-24h'!C86,'03.08 Nebbi-Goli-24h'!C86)</f>
        <v>0</v>
      </c>
      <c r="D86" s="49">
        <f>AVERAGE('02.08 Nebbi-Goli-24h'!D86,'03.08 Nebbi-Goli-24h'!D86)</f>
        <v>0</v>
      </c>
      <c r="E86" s="49">
        <f>AVERAGE('02.08 Nebbi-Goli-24h'!E86,'03.08 Nebbi-Goli-24h'!E86)</f>
        <v>0</v>
      </c>
      <c r="F86" s="49">
        <f>AVERAGE('02.08 Nebbi-Goli-24h'!F86,'03.08 Nebbi-Goli-24h'!F86)</f>
        <v>0</v>
      </c>
      <c r="G86" s="49">
        <f>AVERAGE('02.08 Nebbi-Goli-24h'!G86,'03.08 Nebbi-Goli-24h'!G86)</f>
        <v>0</v>
      </c>
      <c r="H86" s="49">
        <f>AVERAGE('02.08 Nebbi-Goli-24h'!H86,'03.08 Nebbi-Goli-24h'!H86)</f>
        <v>0</v>
      </c>
      <c r="I86" s="49">
        <f>AVERAGE('02.08 Nebbi-Goli-24h'!I86,'03.08 Nebbi-Goli-24h'!I86)</f>
        <v>0</v>
      </c>
      <c r="J86" s="49">
        <f>AVERAGE('02.08 Nebbi-Goli-24h'!J86,'03.08 Nebbi-Goli-24h'!J86)</f>
        <v>0</v>
      </c>
      <c r="K86" s="49">
        <f>AVERAGE('02.08 Nebbi-Goli-24h'!K86,'03.08 Nebbi-Goli-24h'!K86)</f>
        <v>0</v>
      </c>
      <c r="L86" s="49">
        <f>AVERAGE('02.08 Nebbi-Goli-24h'!L86,'03.08 Nebbi-Goli-24h'!L86)</f>
        <v>0</v>
      </c>
      <c r="M86" s="49">
        <f>AVERAGE('02.08 Nebbi-Goli-24h'!M86,'03.08 Nebbi-Goli-24h'!M86)</f>
        <v>0.5</v>
      </c>
      <c r="N86" s="49">
        <f>AVERAGE('02.08 Nebbi-Goli-24h'!N86,'03.08 Nebbi-Goli-24h'!N86)</f>
        <v>0</v>
      </c>
      <c r="O86" s="15">
        <f t="shared" si="35"/>
        <v>0</v>
      </c>
      <c r="P86" s="15">
        <f t="shared" si="36"/>
        <v>0.5</v>
      </c>
      <c r="R86" s="8"/>
      <c r="T86"/>
    </row>
    <row r="87" spans="2:20" ht="23.1" customHeight="1" x14ac:dyDescent="0.25">
      <c r="B87" s="23" t="s">
        <v>127</v>
      </c>
      <c r="C87" s="49">
        <f>AVERAGE('02.08 Nebbi-Goli-24h'!C87,'03.08 Nebbi-Goli-24h'!C87)</f>
        <v>0</v>
      </c>
      <c r="D87" s="49">
        <f>AVERAGE('02.08 Nebbi-Goli-24h'!D87,'03.08 Nebbi-Goli-24h'!D87)</f>
        <v>0</v>
      </c>
      <c r="E87" s="49">
        <f>AVERAGE('02.08 Nebbi-Goli-24h'!E87,'03.08 Nebbi-Goli-24h'!E87)</f>
        <v>0</v>
      </c>
      <c r="F87" s="49">
        <f>AVERAGE('02.08 Nebbi-Goli-24h'!F87,'03.08 Nebbi-Goli-24h'!F87)</f>
        <v>0</v>
      </c>
      <c r="G87" s="49">
        <f>AVERAGE('02.08 Nebbi-Goli-24h'!G87,'03.08 Nebbi-Goli-24h'!G87)</f>
        <v>0</v>
      </c>
      <c r="H87" s="49">
        <f>AVERAGE('02.08 Nebbi-Goli-24h'!H87,'03.08 Nebbi-Goli-24h'!H87)</f>
        <v>0</v>
      </c>
      <c r="I87" s="49">
        <f>AVERAGE('02.08 Nebbi-Goli-24h'!I87,'03.08 Nebbi-Goli-24h'!I87)</f>
        <v>0</v>
      </c>
      <c r="J87" s="49">
        <f>AVERAGE('02.08 Nebbi-Goli-24h'!J87,'03.08 Nebbi-Goli-24h'!J87)</f>
        <v>0</v>
      </c>
      <c r="K87" s="49">
        <f>AVERAGE('02.08 Nebbi-Goli-24h'!K87,'03.08 Nebbi-Goli-24h'!K87)</f>
        <v>0</v>
      </c>
      <c r="L87" s="49">
        <f>AVERAGE('02.08 Nebbi-Goli-24h'!L87,'03.08 Nebbi-Goli-24h'!L87)</f>
        <v>0</v>
      </c>
      <c r="M87" s="49">
        <f>AVERAGE('02.08 Nebbi-Goli-24h'!M87,'03.08 Nebbi-Goli-24h'!M87)</f>
        <v>0.5</v>
      </c>
      <c r="N87" s="49">
        <f>AVERAGE('02.08 Nebbi-Goli-24h'!N87,'03.08 Nebbi-Goli-24h'!N87)</f>
        <v>0</v>
      </c>
      <c r="O87" s="15">
        <f t="shared" si="35"/>
        <v>0</v>
      </c>
      <c r="P87" s="15">
        <f t="shared" si="36"/>
        <v>0.5</v>
      </c>
      <c r="R87" s="8"/>
      <c r="T87"/>
    </row>
    <row r="88" spans="2:20" ht="23.1" customHeight="1" x14ac:dyDescent="0.25">
      <c r="B88" s="25" t="s">
        <v>128</v>
      </c>
      <c r="C88" s="49">
        <f>AVERAGE('02.08 Nebbi-Goli-24h'!C88,'03.08 Nebbi-Goli-24h'!C88)</f>
        <v>0</v>
      </c>
      <c r="D88" s="49">
        <f>AVERAGE('02.08 Nebbi-Goli-24h'!D88,'03.08 Nebbi-Goli-24h'!D88)</f>
        <v>0</v>
      </c>
      <c r="E88" s="49">
        <f>AVERAGE('02.08 Nebbi-Goli-24h'!E88,'03.08 Nebbi-Goli-24h'!E88)</f>
        <v>0</v>
      </c>
      <c r="F88" s="49">
        <f>AVERAGE('02.08 Nebbi-Goli-24h'!F88,'03.08 Nebbi-Goli-24h'!F88)</f>
        <v>0</v>
      </c>
      <c r="G88" s="49">
        <f>AVERAGE('02.08 Nebbi-Goli-24h'!G88,'03.08 Nebbi-Goli-24h'!G88)</f>
        <v>0</v>
      </c>
      <c r="H88" s="49">
        <f>AVERAGE('02.08 Nebbi-Goli-24h'!H88,'03.08 Nebbi-Goli-24h'!H88)</f>
        <v>0</v>
      </c>
      <c r="I88" s="49">
        <f>AVERAGE('02.08 Nebbi-Goli-24h'!I88,'03.08 Nebbi-Goli-24h'!I88)</f>
        <v>0</v>
      </c>
      <c r="J88" s="49">
        <f>AVERAGE('02.08 Nebbi-Goli-24h'!J88,'03.08 Nebbi-Goli-24h'!J88)</f>
        <v>0</v>
      </c>
      <c r="K88" s="49">
        <f>AVERAGE('02.08 Nebbi-Goli-24h'!K88,'03.08 Nebbi-Goli-24h'!K88)</f>
        <v>0</v>
      </c>
      <c r="L88" s="49">
        <f>AVERAGE('02.08 Nebbi-Goli-24h'!L88,'03.08 Nebbi-Goli-24h'!L88)</f>
        <v>0</v>
      </c>
      <c r="M88" s="49">
        <f>AVERAGE('02.08 Nebbi-Goli-24h'!M88,'03.08 Nebbi-Goli-24h'!M88)</f>
        <v>0</v>
      </c>
      <c r="N88" s="49">
        <f>AVERAGE('02.08 Nebbi-Goli-24h'!N88,'03.08 Nebbi-Goli-24h'!N88)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AVERAGE('02.08 Nebbi-Goli-24h'!C89,'03.08 Nebbi-Goli-24h'!C89)</f>
        <v>0</v>
      </c>
      <c r="D89" s="49">
        <f>AVERAGE('02.08 Nebbi-Goli-24h'!D89,'03.08 Nebbi-Goli-24h'!D89)</f>
        <v>0</v>
      </c>
      <c r="E89" s="49">
        <f>AVERAGE('02.08 Nebbi-Goli-24h'!E89,'03.08 Nebbi-Goli-24h'!E89)</f>
        <v>0.5</v>
      </c>
      <c r="F89" s="49">
        <f>AVERAGE('02.08 Nebbi-Goli-24h'!F89,'03.08 Nebbi-Goli-24h'!F89)</f>
        <v>0</v>
      </c>
      <c r="G89" s="49">
        <f>AVERAGE('02.08 Nebbi-Goli-24h'!G89,'03.08 Nebbi-Goli-24h'!G89)</f>
        <v>0</v>
      </c>
      <c r="H89" s="49">
        <f>AVERAGE('02.08 Nebbi-Goli-24h'!H89,'03.08 Nebbi-Goli-24h'!H89)</f>
        <v>0</v>
      </c>
      <c r="I89" s="49">
        <f>AVERAGE('02.08 Nebbi-Goli-24h'!I89,'03.08 Nebbi-Goli-24h'!I89)</f>
        <v>0</v>
      </c>
      <c r="J89" s="49">
        <f>AVERAGE('02.08 Nebbi-Goli-24h'!J89,'03.08 Nebbi-Goli-24h'!J89)</f>
        <v>0</v>
      </c>
      <c r="K89" s="49">
        <f>AVERAGE('02.08 Nebbi-Goli-24h'!K89,'03.08 Nebbi-Goli-24h'!K89)</f>
        <v>0</v>
      </c>
      <c r="L89" s="49">
        <f>AVERAGE('02.08 Nebbi-Goli-24h'!L89,'03.08 Nebbi-Goli-24h'!L89)</f>
        <v>0</v>
      </c>
      <c r="M89" s="49">
        <f>AVERAGE('02.08 Nebbi-Goli-24h'!M89,'03.08 Nebbi-Goli-24h'!M89)</f>
        <v>0.5</v>
      </c>
      <c r="N89" s="49">
        <f>AVERAGE('02.08 Nebbi-Goli-24h'!N89,'03.08 Nebbi-Goli-24h'!N89)</f>
        <v>0</v>
      </c>
      <c r="O89" s="15">
        <f t="shared" si="35"/>
        <v>0.5</v>
      </c>
      <c r="P89" s="15">
        <f t="shared" si="36"/>
        <v>1</v>
      </c>
      <c r="R89" s="8"/>
      <c r="T89"/>
    </row>
    <row r="90" spans="2:20" ht="23.1" customHeight="1" x14ac:dyDescent="0.25">
      <c r="B90" s="24" t="s">
        <v>130</v>
      </c>
      <c r="C90" s="49">
        <f>AVERAGE('02.08 Nebbi-Goli-24h'!C90,'03.08 Nebbi-Goli-24h'!C90)</f>
        <v>0</v>
      </c>
      <c r="D90" s="49">
        <f>AVERAGE('02.08 Nebbi-Goli-24h'!D90,'03.08 Nebbi-Goli-24h'!D90)</f>
        <v>0</v>
      </c>
      <c r="E90" s="49">
        <f>AVERAGE('02.08 Nebbi-Goli-24h'!E90,'03.08 Nebbi-Goli-24h'!E90)</f>
        <v>0</v>
      </c>
      <c r="F90" s="49">
        <f>AVERAGE('02.08 Nebbi-Goli-24h'!F90,'03.08 Nebbi-Goli-24h'!F90)</f>
        <v>0</v>
      </c>
      <c r="G90" s="49">
        <f>AVERAGE('02.08 Nebbi-Goli-24h'!G90,'03.08 Nebbi-Goli-24h'!G90)</f>
        <v>0</v>
      </c>
      <c r="H90" s="49">
        <f>AVERAGE('02.08 Nebbi-Goli-24h'!H90,'03.08 Nebbi-Goli-24h'!H90)</f>
        <v>0</v>
      </c>
      <c r="I90" s="49">
        <f>AVERAGE('02.08 Nebbi-Goli-24h'!I90,'03.08 Nebbi-Goli-24h'!I90)</f>
        <v>0</v>
      </c>
      <c r="J90" s="49">
        <f>AVERAGE('02.08 Nebbi-Goli-24h'!J90,'03.08 Nebbi-Goli-24h'!J90)</f>
        <v>0</v>
      </c>
      <c r="K90" s="49">
        <f>AVERAGE('02.08 Nebbi-Goli-24h'!K90,'03.08 Nebbi-Goli-24h'!K90)</f>
        <v>0</v>
      </c>
      <c r="L90" s="49">
        <f>AVERAGE('02.08 Nebbi-Goli-24h'!L90,'03.08 Nebbi-Goli-24h'!L90)</f>
        <v>0</v>
      </c>
      <c r="M90" s="49">
        <f>AVERAGE('02.08 Nebbi-Goli-24h'!M90,'03.08 Nebbi-Goli-24h'!M90)</f>
        <v>0</v>
      </c>
      <c r="N90" s="49">
        <f>AVERAGE('02.08 Nebbi-Goli-24h'!N90,'03.08 Nebbi-Goli-24h'!N90)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AVERAGE('02.08 Nebbi-Goli-24h'!C91,'03.08 Nebbi-Goli-24h'!C91)</f>
        <v>0</v>
      </c>
      <c r="D91" s="49">
        <f>AVERAGE('02.08 Nebbi-Goli-24h'!D91,'03.08 Nebbi-Goli-24h'!D91)</f>
        <v>0</v>
      </c>
      <c r="E91" s="49">
        <f>AVERAGE('02.08 Nebbi-Goli-24h'!E91,'03.08 Nebbi-Goli-24h'!E91)</f>
        <v>0</v>
      </c>
      <c r="F91" s="49">
        <f>AVERAGE('02.08 Nebbi-Goli-24h'!F91,'03.08 Nebbi-Goli-24h'!F91)</f>
        <v>0</v>
      </c>
      <c r="G91" s="49">
        <f>AVERAGE('02.08 Nebbi-Goli-24h'!G91,'03.08 Nebbi-Goli-24h'!G91)</f>
        <v>0</v>
      </c>
      <c r="H91" s="49">
        <f>AVERAGE('02.08 Nebbi-Goli-24h'!H91,'03.08 Nebbi-Goli-24h'!H91)</f>
        <v>0</v>
      </c>
      <c r="I91" s="49">
        <f>AVERAGE('02.08 Nebbi-Goli-24h'!I91,'03.08 Nebbi-Goli-24h'!I91)</f>
        <v>0</v>
      </c>
      <c r="J91" s="49">
        <f>AVERAGE('02.08 Nebbi-Goli-24h'!J91,'03.08 Nebbi-Goli-24h'!J91)</f>
        <v>0</v>
      </c>
      <c r="K91" s="49">
        <f>AVERAGE('02.08 Nebbi-Goli-24h'!K91,'03.08 Nebbi-Goli-24h'!K91)</f>
        <v>0</v>
      </c>
      <c r="L91" s="49">
        <f>AVERAGE('02.08 Nebbi-Goli-24h'!L91,'03.08 Nebbi-Goli-24h'!L91)</f>
        <v>0</v>
      </c>
      <c r="M91" s="49">
        <f>AVERAGE('02.08 Nebbi-Goli-24h'!M91,'03.08 Nebbi-Goli-24h'!M91)</f>
        <v>0</v>
      </c>
      <c r="N91" s="49">
        <f>AVERAGE('02.08 Nebbi-Goli-24h'!N91,'03.08 Nebbi-Goli-24h'!N91)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AVERAGE('02.08 Nebbi-Goli-24h'!C92,'03.08 Nebbi-Goli-24h'!C92)</f>
        <v>0</v>
      </c>
      <c r="D92" s="49">
        <f>AVERAGE('02.08 Nebbi-Goli-24h'!D92,'03.08 Nebbi-Goli-24h'!D92)</f>
        <v>0</v>
      </c>
      <c r="E92" s="49">
        <f>AVERAGE('02.08 Nebbi-Goli-24h'!E92,'03.08 Nebbi-Goli-24h'!E92)</f>
        <v>0</v>
      </c>
      <c r="F92" s="49">
        <f>AVERAGE('02.08 Nebbi-Goli-24h'!F92,'03.08 Nebbi-Goli-24h'!F92)</f>
        <v>0</v>
      </c>
      <c r="G92" s="49">
        <f>AVERAGE('02.08 Nebbi-Goli-24h'!G92,'03.08 Nebbi-Goli-24h'!G92)</f>
        <v>0</v>
      </c>
      <c r="H92" s="49">
        <f>AVERAGE('02.08 Nebbi-Goli-24h'!H92,'03.08 Nebbi-Goli-24h'!H92)</f>
        <v>0</v>
      </c>
      <c r="I92" s="49">
        <f>AVERAGE('02.08 Nebbi-Goli-24h'!I92,'03.08 Nebbi-Goli-24h'!I92)</f>
        <v>0</v>
      </c>
      <c r="J92" s="49">
        <f>AVERAGE('02.08 Nebbi-Goli-24h'!J92,'03.08 Nebbi-Goli-24h'!J92)</f>
        <v>0</v>
      </c>
      <c r="K92" s="49">
        <f>AVERAGE('02.08 Nebbi-Goli-24h'!K92,'03.08 Nebbi-Goli-24h'!K92)</f>
        <v>0</v>
      </c>
      <c r="L92" s="49">
        <f>AVERAGE('02.08 Nebbi-Goli-24h'!L92,'03.08 Nebbi-Goli-24h'!L92)</f>
        <v>0</v>
      </c>
      <c r="M92" s="49">
        <f>AVERAGE('02.08 Nebbi-Goli-24h'!M92,'03.08 Nebbi-Goli-24h'!M92)</f>
        <v>1</v>
      </c>
      <c r="N92" s="49">
        <f>AVERAGE('02.08 Nebbi-Goli-24h'!N92,'03.08 Nebbi-Goli-24h'!N92)</f>
        <v>0</v>
      </c>
      <c r="O92" s="15">
        <f t="shared" si="35"/>
        <v>0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AVERAGE('02.08 Nebbi-Goli-24h'!C93,'03.08 Nebbi-Goli-24h'!C93)</f>
        <v>0</v>
      </c>
      <c r="D93" s="49">
        <f>AVERAGE('02.08 Nebbi-Goli-24h'!D93,'03.08 Nebbi-Goli-24h'!D93)</f>
        <v>0</v>
      </c>
      <c r="E93" s="49">
        <f>AVERAGE('02.08 Nebbi-Goli-24h'!E93,'03.08 Nebbi-Goli-24h'!E93)</f>
        <v>0.5</v>
      </c>
      <c r="F93" s="49">
        <f>AVERAGE('02.08 Nebbi-Goli-24h'!F93,'03.08 Nebbi-Goli-24h'!F93)</f>
        <v>0</v>
      </c>
      <c r="G93" s="49">
        <f>AVERAGE('02.08 Nebbi-Goli-24h'!G93,'03.08 Nebbi-Goli-24h'!G93)</f>
        <v>0</v>
      </c>
      <c r="H93" s="49">
        <f>AVERAGE('02.08 Nebbi-Goli-24h'!H93,'03.08 Nebbi-Goli-24h'!H93)</f>
        <v>0</v>
      </c>
      <c r="I93" s="49">
        <f>AVERAGE('02.08 Nebbi-Goli-24h'!I93,'03.08 Nebbi-Goli-24h'!I93)</f>
        <v>0</v>
      </c>
      <c r="J93" s="49">
        <f>AVERAGE('02.08 Nebbi-Goli-24h'!J93,'03.08 Nebbi-Goli-24h'!J93)</f>
        <v>0</v>
      </c>
      <c r="K93" s="49">
        <f>AVERAGE('02.08 Nebbi-Goli-24h'!K93,'03.08 Nebbi-Goli-24h'!K93)</f>
        <v>0</v>
      </c>
      <c r="L93" s="49">
        <f>AVERAGE('02.08 Nebbi-Goli-24h'!L93,'03.08 Nebbi-Goli-24h'!L93)</f>
        <v>0.5</v>
      </c>
      <c r="M93" s="49">
        <f>AVERAGE('02.08 Nebbi-Goli-24h'!M93,'03.08 Nebbi-Goli-24h'!M93)</f>
        <v>1</v>
      </c>
      <c r="N93" s="49">
        <f>AVERAGE('02.08 Nebbi-Goli-24h'!N93,'03.08 Nebbi-Goli-24h'!N93)</f>
        <v>0</v>
      </c>
      <c r="O93" s="15">
        <f t="shared" si="35"/>
        <v>1</v>
      </c>
      <c r="P93" s="15">
        <f t="shared" si="36"/>
        <v>2</v>
      </c>
      <c r="R93" s="8"/>
      <c r="T93"/>
    </row>
    <row r="94" spans="2:20" ht="23.1" customHeight="1" x14ac:dyDescent="0.25">
      <c r="B94" s="24" t="s">
        <v>134</v>
      </c>
      <c r="C94" s="49">
        <f>AVERAGE('02.08 Nebbi-Goli-24h'!C94,'03.08 Nebbi-Goli-24h'!C94)</f>
        <v>0</v>
      </c>
      <c r="D94" s="49">
        <f>AVERAGE('02.08 Nebbi-Goli-24h'!D94,'03.08 Nebbi-Goli-24h'!D94)</f>
        <v>0</v>
      </c>
      <c r="E94" s="49">
        <f>AVERAGE('02.08 Nebbi-Goli-24h'!E94,'03.08 Nebbi-Goli-24h'!E94)</f>
        <v>0</v>
      </c>
      <c r="F94" s="49">
        <f>AVERAGE('02.08 Nebbi-Goli-24h'!F94,'03.08 Nebbi-Goli-24h'!F94)</f>
        <v>0</v>
      </c>
      <c r="G94" s="49">
        <f>AVERAGE('02.08 Nebbi-Goli-24h'!G94,'03.08 Nebbi-Goli-24h'!G94)</f>
        <v>0.5</v>
      </c>
      <c r="H94" s="49">
        <f>AVERAGE('02.08 Nebbi-Goli-24h'!H94,'03.08 Nebbi-Goli-24h'!H94)</f>
        <v>0</v>
      </c>
      <c r="I94" s="49">
        <f>AVERAGE('02.08 Nebbi-Goli-24h'!I94,'03.08 Nebbi-Goli-24h'!I94)</f>
        <v>0</v>
      </c>
      <c r="J94" s="49">
        <f>AVERAGE('02.08 Nebbi-Goli-24h'!J94,'03.08 Nebbi-Goli-24h'!J94)</f>
        <v>0</v>
      </c>
      <c r="K94" s="49">
        <f>AVERAGE('02.08 Nebbi-Goli-24h'!K94,'03.08 Nebbi-Goli-24h'!K94)</f>
        <v>0</v>
      </c>
      <c r="L94" s="49">
        <f>AVERAGE('02.08 Nebbi-Goli-24h'!L94,'03.08 Nebbi-Goli-24h'!L94)</f>
        <v>0</v>
      </c>
      <c r="M94" s="49">
        <f>AVERAGE('02.08 Nebbi-Goli-24h'!M94,'03.08 Nebbi-Goli-24h'!M94)</f>
        <v>1</v>
      </c>
      <c r="N94" s="49">
        <f>AVERAGE('02.08 Nebbi-Goli-24h'!N94,'03.08 Nebbi-Goli-24h'!N94)</f>
        <v>0</v>
      </c>
      <c r="O94" s="15">
        <f t="shared" si="35"/>
        <v>0.5</v>
      </c>
      <c r="P94" s="15">
        <f t="shared" si="36"/>
        <v>1.5</v>
      </c>
      <c r="R94" s="8"/>
      <c r="T94"/>
    </row>
    <row r="95" spans="2:20" ht="23.1" customHeight="1" x14ac:dyDescent="0.25">
      <c r="B95" s="23" t="s">
        <v>135</v>
      </c>
      <c r="C95" s="49">
        <f>AVERAGE('02.08 Nebbi-Goli-24h'!C95,'03.08 Nebbi-Goli-24h'!C95)</f>
        <v>0</v>
      </c>
      <c r="D95" s="49">
        <f>AVERAGE('02.08 Nebbi-Goli-24h'!D95,'03.08 Nebbi-Goli-24h'!D95)</f>
        <v>0</v>
      </c>
      <c r="E95" s="49">
        <f>AVERAGE('02.08 Nebbi-Goli-24h'!E95,'03.08 Nebbi-Goli-24h'!E95)</f>
        <v>0</v>
      </c>
      <c r="F95" s="49">
        <f>AVERAGE('02.08 Nebbi-Goli-24h'!F95,'03.08 Nebbi-Goli-24h'!F95)</f>
        <v>0</v>
      </c>
      <c r="G95" s="49">
        <f>AVERAGE('02.08 Nebbi-Goli-24h'!G95,'03.08 Nebbi-Goli-24h'!G95)</f>
        <v>0</v>
      </c>
      <c r="H95" s="49">
        <f>AVERAGE('02.08 Nebbi-Goli-24h'!H95,'03.08 Nebbi-Goli-24h'!H95)</f>
        <v>0</v>
      </c>
      <c r="I95" s="49">
        <f>AVERAGE('02.08 Nebbi-Goli-24h'!I95,'03.08 Nebbi-Goli-24h'!I95)</f>
        <v>0.5</v>
      </c>
      <c r="J95" s="49">
        <f>AVERAGE('02.08 Nebbi-Goli-24h'!J95,'03.08 Nebbi-Goli-24h'!J95)</f>
        <v>0</v>
      </c>
      <c r="K95" s="49">
        <f>AVERAGE('02.08 Nebbi-Goli-24h'!K95,'03.08 Nebbi-Goli-24h'!K95)</f>
        <v>0</v>
      </c>
      <c r="L95" s="49">
        <f>AVERAGE('02.08 Nebbi-Goli-24h'!L95,'03.08 Nebbi-Goli-24h'!L95)</f>
        <v>0.5</v>
      </c>
      <c r="M95" s="49">
        <f>AVERAGE('02.08 Nebbi-Goli-24h'!M95,'03.08 Nebbi-Goli-24h'!M95)</f>
        <v>1</v>
      </c>
      <c r="N95" s="49">
        <f>AVERAGE('02.08 Nebbi-Goli-24h'!N95,'03.08 Nebbi-Goli-24h'!N95)</f>
        <v>0</v>
      </c>
      <c r="O95" s="15">
        <f t="shared" si="35"/>
        <v>1</v>
      </c>
      <c r="P95" s="15">
        <f t="shared" si="36"/>
        <v>2</v>
      </c>
      <c r="R95" s="8"/>
      <c r="T95"/>
    </row>
    <row r="96" spans="2:20" ht="23.1" customHeight="1" x14ac:dyDescent="0.25">
      <c r="B96" s="25" t="s">
        <v>136</v>
      </c>
      <c r="C96" s="49">
        <f>AVERAGE('02.08 Nebbi-Goli-24h'!C96,'03.08 Nebbi-Goli-24h'!C96)</f>
        <v>0</v>
      </c>
      <c r="D96" s="49">
        <f>AVERAGE('02.08 Nebbi-Goli-24h'!D96,'03.08 Nebbi-Goli-24h'!D96)</f>
        <v>0</v>
      </c>
      <c r="E96" s="49">
        <f>AVERAGE('02.08 Nebbi-Goli-24h'!E96,'03.08 Nebbi-Goli-24h'!E96)</f>
        <v>0</v>
      </c>
      <c r="F96" s="49">
        <f>AVERAGE('02.08 Nebbi-Goli-24h'!F96,'03.08 Nebbi-Goli-24h'!F96)</f>
        <v>0</v>
      </c>
      <c r="G96" s="49">
        <f>AVERAGE('02.08 Nebbi-Goli-24h'!G96,'03.08 Nebbi-Goli-24h'!G96)</f>
        <v>0</v>
      </c>
      <c r="H96" s="49">
        <f>AVERAGE('02.08 Nebbi-Goli-24h'!H96,'03.08 Nebbi-Goli-24h'!H96)</f>
        <v>0</v>
      </c>
      <c r="I96" s="49">
        <f>AVERAGE('02.08 Nebbi-Goli-24h'!I96,'03.08 Nebbi-Goli-24h'!I96)</f>
        <v>0</v>
      </c>
      <c r="J96" s="49">
        <f>AVERAGE('02.08 Nebbi-Goli-24h'!J96,'03.08 Nebbi-Goli-24h'!J96)</f>
        <v>0</v>
      </c>
      <c r="K96" s="49">
        <f>AVERAGE('02.08 Nebbi-Goli-24h'!K96,'03.08 Nebbi-Goli-24h'!K96)</f>
        <v>0</v>
      </c>
      <c r="L96" s="49">
        <f>AVERAGE('02.08 Nebbi-Goli-24h'!L96,'03.08 Nebbi-Goli-24h'!L96)</f>
        <v>0.5</v>
      </c>
      <c r="M96" s="49">
        <f>AVERAGE('02.08 Nebbi-Goli-24h'!M96,'03.08 Nebbi-Goli-24h'!M96)</f>
        <v>1</v>
      </c>
      <c r="N96" s="49">
        <f>AVERAGE('02.08 Nebbi-Goli-24h'!N96,'03.08 Nebbi-Goli-24h'!N96)</f>
        <v>0</v>
      </c>
      <c r="O96" s="15">
        <f t="shared" si="35"/>
        <v>0.5</v>
      </c>
      <c r="P96" s="15">
        <f t="shared" si="36"/>
        <v>1.5</v>
      </c>
      <c r="R96" s="8"/>
      <c r="T96"/>
    </row>
    <row r="97" spans="2:20" ht="23.1" customHeight="1" x14ac:dyDescent="0.25">
      <c r="B97" s="23" t="s">
        <v>137</v>
      </c>
      <c r="C97" s="49">
        <f>AVERAGE('02.08 Nebbi-Goli-24h'!C97,'03.08 Nebbi-Goli-24h'!C97)</f>
        <v>0</v>
      </c>
      <c r="D97" s="49">
        <f>AVERAGE('02.08 Nebbi-Goli-24h'!D97,'03.08 Nebbi-Goli-24h'!D97)</f>
        <v>0</v>
      </c>
      <c r="E97" s="49">
        <f>AVERAGE('02.08 Nebbi-Goli-24h'!E97,'03.08 Nebbi-Goli-24h'!E97)</f>
        <v>0</v>
      </c>
      <c r="F97" s="49">
        <f>AVERAGE('02.08 Nebbi-Goli-24h'!F97,'03.08 Nebbi-Goli-24h'!F97)</f>
        <v>0</v>
      </c>
      <c r="G97" s="49">
        <f>AVERAGE('02.08 Nebbi-Goli-24h'!G97,'03.08 Nebbi-Goli-24h'!G97)</f>
        <v>0</v>
      </c>
      <c r="H97" s="49">
        <f>AVERAGE('02.08 Nebbi-Goli-24h'!H97,'03.08 Nebbi-Goli-24h'!H97)</f>
        <v>0</v>
      </c>
      <c r="I97" s="49">
        <f>AVERAGE('02.08 Nebbi-Goli-24h'!I97,'03.08 Nebbi-Goli-24h'!I97)</f>
        <v>0.5</v>
      </c>
      <c r="J97" s="49">
        <f>AVERAGE('02.08 Nebbi-Goli-24h'!J97,'03.08 Nebbi-Goli-24h'!J97)</f>
        <v>0</v>
      </c>
      <c r="K97" s="49">
        <f>AVERAGE('02.08 Nebbi-Goli-24h'!K97,'03.08 Nebbi-Goli-24h'!K97)</f>
        <v>0</v>
      </c>
      <c r="L97" s="49">
        <f>AVERAGE('02.08 Nebbi-Goli-24h'!L97,'03.08 Nebbi-Goli-24h'!L97)</f>
        <v>0</v>
      </c>
      <c r="M97" s="49">
        <f>AVERAGE('02.08 Nebbi-Goli-24h'!M97,'03.08 Nebbi-Goli-24h'!M97)</f>
        <v>1</v>
      </c>
      <c r="N97" s="49">
        <f>AVERAGE('02.08 Nebbi-Goli-24h'!N97,'03.08 Nebbi-Goli-24h'!N97)</f>
        <v>0</v>
      </c>
      <c r="O97" s="15">
        <f t="shared" si="35"/>
        <v>0.5</v>
      </c>
      <c r="P97" s="15">
        <f t="shared" si="36"/>
        <v>1.5</v>
      </c>
      <c r="R97" s="8"/>
      <c r="T97"/>
    </row>
    <row r="98" spans="2:20" ht="23.1" customHeight="1" x14ac:dyDescent="0.25">
      <c r="B98" s="24" t="s">
        <v>138</v>
      </c>
      <c r="C98" s="49">
        <f>AVERAGE('02.08 Nebbi-Goli-24h'!C98,'03.08 Nebbi-Goli-24h'!C98)</f>
        <v>0.5</v>
      </c>
      <c r="D98" s="49">
        <f>AVERAGE('02.08 Nebbi-Goli-24h'!D98,'03.08 Nebbi-Goli-24h'!D98)</f>
        <v>0</v>
      </c>
      <c r="E98" s="49">
        <f>AVERAGE('02.08 Nebbi-Goli-24h'!E98,'03.08 Nebbi-Goli-24h'!E98)</f>
        <v>0</v>
      </c>
      <c r="F98" s="49">
        <f>AVERAGE('02.08 Nebbi-Goli-24h'!F98,'03.08 Nebbi-Goli-24h'!F98)</f>
        <v>0</v>
      </c>
      <c r="G98" s="49">
        <f>AVERAGE('02.08 Nebbi-Goli-24h'!G98,'03.08 Nebbi-Goli-24h'!G98)</f>
        <v>0</v>
      </c>
      <c r="H98" s="49">
        <f>AVERAGE('02.08 Nebbi-Goli-24h'!H98,'03.08 Nebbi-Goli-24h'!H98)</f>
        <v>0</v>
      </c>
      <c r="I98" s="49">
        <f>AVERAGE('02.08 Nebbi-Goli-24h'!I98,'03.08 Nebbi-Goli-24h'!I98)</f>
        <v>0</v>
      </c>
      <c r="J98" s="49">
        <f>AVERAGE('02.08 Nebbi-Goli-24h'!J98,'03.08 Nebbi-Goli-24h'!J98)</f>
        <v>0</v>
      </c>
      <c r="K98" s="49">
        <f>AVERAGE('02.08 Nebbi-Goli-24h'!K98,'03.08 Nebbi-Goli-24h'!K98)</f>
        <v>0</v>
      </c>
      <c r="L98" s="49">
        <f>AVERAGE('02.08 Nebbi-Goli-24h'!L98,'03.08 Nebbi-Goli-24h'!L98)</f>
        <v>0</v>
      </c>
      <c r="M98" s="49">
        <f>AVERAGE('02.08 Nebbi-Goli-24h'!M98,'03.08 Nebbi-Goli-24h'!M98)</f>
        <v>1</v>
      </c>
      <c r="N98" s="49">
        <f>AVERAGE('02.08 Nebbi-Goli-24h'!N98,'03.08 Nebbi-Goli-24h'!N98)</f>
        <v>0</v>
      </c>
      <c r="O98" s="15">
        <f t="shared" si="35"/>
        <v>0.5</v>
      </c>
      <c r="P98" s="15">
        <f t="shared" si="36"/>
        <v>1.5</v>
      </c>
      <c r="R98" s="8"/>
      <c r="T98"/>
    </row>
    <row r="99" spans="2:20" ht="23.1" customHeight="1" x14ac:dyDescent="0.25">
      <c r="B99" s="23" t="s">
        <v>139</v>
      </c>
      <c r="C99" s="49">
        <f>AVERAGE('02.08 Nebbi-Goli-24h'!C99,'03.08 Nebbi-Goli-24h'!C99)</f>
        <v>0</v>
      </c>
      <c r="D99" s="49">
        <f>AVERAGE('02.08 Nebbi-Goli-24h'!D99,'03.08 Nebbi-Goli-24h'!D99)</f>
        <v>0</v>
      </c>
      <c r="E99" s="49">
        <f>AVERAGE('02.08 Nebbi-Goli-24h'!E99,'03.08 Nebbi-Goli-24h'!E99)</f>
        <v>0</v>
      </c>
      <c r="F99" s="49">
        <f>AVERAGE('02.08 Nebbi-Goli-24h'!F99,'03.08 Nebbi-Goli-24h'!F99)</f>
        <v>0</v>
      </c>
      <c r="G99" s="49">
        <f>AVERAGE('02.08 Nebbi-Goli-24h'!G99,'03.08 Nebbi-Goli-24h'!G99)</f>
        <v>0</v>
      </c>
      <c r="H99" s="49">
        <f>AVERAGE('02.08 Nebbi-Goli-24h'!H99,'03.08 Nebbi-Goli-24h'!H99)</f>
        <v>0</v>
      </c>
      <c r="I99" s="49">
        <f>AVERAGE('02.08 Nebbi-Goli-24h'!I99,'03.08 Nebbi-Goli-24h'!I99)</f>
        <v>0</v>
      </c>
      <c r="J99" s="49">
        <f>AVERAGE('02.08 Nebbi-Goli-24h'!J99,'03.08 Nebbi-Goli-24h'!J99)</f>
        <v>0</v>
      </c>
      <c r="K99" s="49">
        <f>AVERAGE('02.08 Nebbi-Goli-24h'!K99,'03.08 Nebbi-Goli-24h'!K99)</f>
        <v>0</v>
      </c>
      <c r="L99" s="49">
        <f>AVERAGE('02.08 Nebbi-Goli-24h'!L99,'03.08 Nebbi-Goli-24h'!L99)</f>
        <v>0.5</v>
      </c>
      <c r="M99" s="49">
        <f>AVERAGE('02.08 Nebbi-Goli-24h'!M99,'03.08 Nebbi-Goli-24h'!M99)</f>
        <v>1</v>
      </c>
      <c r="N99" s="49">
        <f>AVERAGE('02.08 Nebbi-Goli-24h'!N99,'03.08 Nebbi-Goli-24h'!N99)</f>
        <v>0</v>
      </c>
      <c r="O99" s="15">
        <f t="shared" si="35"/>
        <v>0.5</v>
      </c>
      <c r="P99" s="15">
        <f t="shared" si="36"/>
        <v>1.5</v>
      </c>
      <c r="R99" s="8"/>
      <c r="T99"/>
    </row>
    <row r="100" spans="2:20" ht="23.1" customHeight="1" x14ac:dyDescent="0.25">
      <c r="B100" s="25" t="s">
        <v>140</v>
      </c>
      <c r="C100" s="49">
        <f>AVERAGE('02.08 Nebbi-Goli-24h'!C100,'03.08 Nebbi-Goli-24h'!C100)</f>
        <v>0</v>
      </c>
      <c r="D100" s="49">
        <f>AVERAGE('02.08 Nebbi-Goli-24h'!D100,'03.08 Nebbi-Goli-24h'!D100)</f>
        <v>0</v>
      </c>
      <c r="E100" s="49">
        <f>AVERAGE('02.08 Nebbi-Goli-24h'!E100,'03.08 Nebbi-Goli-24h'!E100)</f>
        <v>0</v>
      </c>
      <c r="F100" s="49">
        <f>AVERAGE('02.08 Nebbi-Goli-24h'!F100,'03.08 Nebbi-Goli-24h'!F100)</f>
        <v>0</v>
      </c>
      <c r="G100" s="49">
        <f>AVERAGE('02.08 Nebbi-Goli-24h'!G100,'03.08 Nebbi-Goli-24h'!G100)</f>
        <v>0</v>
      </c>
      <c r="H100" s="49">
        <f>AVERAGE('02.08 Nebbi-Goli-24h'!H100,'03.08 Nebbi-Goli-24h'!H100)</f>
        <v>0</v>
      </c>
      <c r="I100" s="49">
        <f>AVERAGE('02.08 Nebbi-Goli-24h'!I100,'03.08 Nebbi-Goli-24h'!I100)</f>
        <v>0</v>
      </c>
      <c r="J100" s="49">
        <f>AVERAGE('02.08 Nebbi-Goli-24h'!J100,'03.08 Nebbi-Goli-24h'!J100)</f>
        <v>0</v>
      </c>
      <c r="K100" s="49">
        <f>AVERAGE('02.08 Nebbi-Goli-24h'!K100,'03.08 Nebbi-Goli-24h'!K100)</f>
        <v>0</v>
      </c>
      <c r="L100" s="49">
        <f>AVERAGE('02.08 Nebbi-Goli-24h'!L100,'03.08 Nebbi-Goli-24h'!L100)</f>
        <v>0</v>
      </c>
      <c r="M100" s="49">
        <f>AVERAGE('02.08 Nebbi-Goli-24h'!M100,'03.08 Nebbi-Goli-24h'!M100)</f>
        <v>1</v>
      </c>
      <c r="N100" s="49">
        <f>AVERAGE('02.08 Nebbi-Goli-24h'!N100,'03.08 Nebbi-Goli-24h'!N100)</f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23" t="s">
        <v>141</v>
      </c>
      <c r="C101" s="49">
        <f>AVERAGE('02.08 Nebbi-Goli-24h'!C101,'03.08 Nebbi-Goli-24h'!C101)</f>
        <v>0</v>
      </c>
      <c r="D101" s="49">
        <f>AVERAGE('02.08 Nebbi-Goli-24h'!D101,'03.08 Nebbi-Goli-24h'!D101)</f>
        <v>0</v>
      </c>
      <c r="E101" s="49">
        <f>AVERAGE('02.08 Nebbi-Goli-24h'!E101,'03.08 Nebbi-Goli-24h'!E101)</f>
        <v>0</v>
      </c>
      <c r="F101" s="49">
        <f>AVERAGE('02.08 Nebbi-Goli-24h'!F101,'03.08 Nebbi-Goli-24h'!F101)</f>
        <v>0</v>
      </c>
      <c r="G101" s="49">
        <f>AVERAGE('02.08 Nebbi-Goli-24h'!G101,'03.08 Nebbi-Goli-24h'!G101)</f>
        <v>0</v>
      </c>
      <c r="H101" s="49">
        <f>AVERAGE('02.08 Nebbi-Goli-24h'!H101,'03.08 Nebbi-Goli-24h'!H101)</f>
        <v>0</v>
      </c>
      <c r="I101" s="49">
        <f>AVERAGE('02.08 Nebbi-Goli-24h'!I101,'03.08 Nebbi-Goli-24h'!I101)</f>
        <v>0</v>
      </c>
      <c r="J101" s="49">
        <f>AVERAGE('02.08 Nebbi-Goli-24h'!J101,'03.08 Nebbi-Goli-24h'!J101)</f>
        <v>0</v>
      </c>
      <c r="K101" s="49">
        <f>AVERAGE('02.08 Nebbi-Goli-24h'!K101,'03.08 Nebbi-Goli-24h'!K101)</f>
        <v>0</v>
      </c>
      <c r="L101" s="49">
        <f>AVERAGE('02.08 Nebbi-Goli-24h'!L101,'03.08 Nebbi-Goli-24h'!L101)</f>
        <v>0</v>
      </c>
      <c r="M101" s="49">
        <f>AVERAGE('02.08 Nebbi-Goli-24h'!M101,'03.08 Nebbi-Goli-24h'!M101)</f>
        <v>2</v>
      </c>
      <c r="N101" s="49">
        <f>AVERAGE('02.08 Nebbi-Goli-24h'!N101,'03.08 Nebbi-Goli-24h'!N101)</f>
        <v>0</v>
      </c>
      <c r="O101" s="15">
        <f t="shared" si="35"/>
        <v>0</v>
      </c>
      <c r="P101" s="15">
        <f t="shared" si="36"/>
        <v>2</v>
      </c>
      <c r="R101" s="8"/>
      <c r="T101"/>
    </row>
    <row r="102" spans="2:20" ht="23.1" customHeight="1" x14ac:dyDescent="0.25">
      <c r="B102" s="24" t="s">
        <v>142</v>
      </c>
      <c r="C102" s="49">
        <f>AVERAGE('02.08 Nebbi-Goli-24h'!C102,'03.08 Nebbi-Goli-24h'!C102)</f>
        <v>0</v>
      </c>
      <c r="D102" s="49">
        <f>AVERAGE('02.08 Nebbi-Goli-24h'!D102,'03.08 Nebbi-Goli-24h'!D102)</f>
        <v>0</v>
      </c>
      <c r="E102" s="49">
        <f>AVERAGE('02.08 Nebbi-Goli-24h'!E102,'03.08 Nebbi-Goli-24h'!E102)</f>
        <v>0.5</v>
      </c>
      <c r="F102" s="49">
        <f>AVERAGE('02.08 Nebbi-Goli-24h'!F102,'03.08 Nebbi-Goli-24h'!F102)</f>
        <v>0</v>
      </c>
      <c r="G102" s="49">
        <f>AVERAGE('02.08 Nebbi-Goli-24h'!G102,'03.08 Nebbi-Goli-24h'!G102)</f>
        <v>0</v>
      </c>
      <c r="H102" s="49">
        <f>AVERAGE('02.08 Nebbi-Goli-24h'!H102,'03.08 Nebbi-Goli-24h'!H102)</f>
        <v>0</v>
      </c>
      <c r="I102" s="49">
        <f>AVERAGE('02.08 Nebbi-Goli-24h'!I102,'03.08 Nebbi-Goli-24h'!I102)</f>
        <v>0</v>
      </c>
      <c r="J102" s="49">
        <f>AVERAGE('02.08 Nebbi-Goli-24h'!J102,'03.08 Nebbi-Goli-24h'!J102)</f>
        <v>0</v>
      </c>
      <c r="K102" s="49">
        <f>AVERAGE('02.08 Nebbi-Goli-24h'!K102,'03.08 Nebbi-Goli-24h'!K102)</f>
        <v>0</v>
      </c>
      <c r="L102" s="49">
        <f>AVERAGE('02.08 Nebbi-Goli-24h'!L102,'03.08 Nebbi-Goli-24h'!L102)</f>
        <v>0</v>
      </c>
      <c r="M102" s="49">
        <f>AVERAGE('02.08 Nebbi-Goli-24h'!M102,'03.08 Nebbi-Goli-24h'!M102)</f>
        <v>1.5</v>
      </c>
      <c r="N102" s="49">
        <f>AVERAGE('02.08 Nebbi-Goli-24h'!N102,'03.08 Nebbi-Goli-24h'!N102)</f>
        <v>0</v>
      </c>
      <c r="O102" s="15">
        <f t="shared" si="35"/>
        <v>0.5</v>
      </c>
      <c r="P102" s="15">
        <f t="shared" si="36"/>
        <v>2</v>
      </c>
      <c r="R102" s="8"/>
      <c r="T102"/>
    </row>
    <row r="103" spans="2:20" ht="23.1" customHeight="1" x14ac:dyDescent="0.25">
      <c r="B103" s="23" t="s">
        <v>143</v>
      </c>
      <c r="C103" s="49">
        <f>AVERAGE('02.08 Nebbi-Goli-24h'!C103,'03.08 Nebbi-Goli-24h'!C103)</f>
        <v>1</v>
      </c>
      <c r="D103" s="49">
        <f>AVERAGE('02.08 Nebbi-Goli-24h'!D103,'03.08 Nebbi-Goli-24h'!D103)</f>
        <v>0</v>
      </c>
      <c r="E103" s="49">
        <f>AVERAGE('02.08 Nebbi-Goli-24h'!E103,'03.08 Nebbi-Goli-24h'!E103)</f>
        <v>0</v>
      </c>
      <c r="F103" s="49">
        <f>AVERAGE('02.08 Nebbi-Goli-24h'!F103,'03.08 Nebbi-Goli-24h'!F103)</f>
        <v>0</v>
      </c>
      <c r="G103" s="49">
        <f>AVERAGE('02.08 Nebbi-Goli-24h'!G103,'03.08 Nebbi-Goli-24h'!G103)</f>
        <v>0</v>
      </c>
      <c r="H103" s="49">
        <f>AVERAGE('02.08 Nebbi-Goli-24h'!H103,'03.08 Nebbi-Goli-24h'!H103)</f>
        <v>0</v>
      </c>
      <c r="I103" s="49">
        <f>AVERAGE('02.08 Nebbi-Goli-24h'!I103,'03.08 Nebbi-Goli-24h'!I103)</f>
        <v>0</v>
      </c>
      <c r="J103" s="49">
        <f>AVERAGE('02.08 Nebbi-Goli-24h'!J103,'03.08 Nebbi-Goli-24h'!J103)</f>
        <v>0</v>
      </c>
      <c r="K103" s="49">
        <f>AVERAGE('02.08 Nebbi-Goli-24h'!K103,'03.08 Nebbi-Goli-24h'!K103)</f>
        <v>0</v>
      </c>
      <c r="L103" s="49">
        <f>AVERAGE('02.08 Nebbi-Goli-24h'!L103,'03.08 Nebbi-Goli-24h'!L103)</f>
        <v>0</v>
      </c>
      <c r="M103" s="49">
        <f>AVERAGE('02.08 Nebbi-Goli-24h'!M103,'03.08 Nebbi-Goli-24h'!M103)</f>
        <v>1.5</v>
      </c>
      <c r="N103" s="49">
        <f>AVERAGE('02.08 Nebbi-Goli-24h'!N103,'03.08 Nebbi-Goli-24h'!N103)</f>
        <v>0</v>
      </c>
      <c r="O103" s="15">
        <f t="shared" si="35"/>
        <v>1</v>
      </c>
      <c r="P103" s="15">
        <f t="shared" si="36"/>
        <v>2.5</v>
      </c>
      <c r="R103" s="8"/>
      <c r="T103"/>
    </row>
    <row r="104" spans="2:20" ht="23.1" customHeight="1" x14ac:dyDescent="0.25">
      <c r="B104" s="25" t="s">
        <v>144</v>
      </c>
      <c r="C104" s="49">
        <f>AVERAGE('02.08 Nebbi-Goli-24h'!C104,'03.08 Nebbi-Goli-24h'!C104)</f>
        <v>0</v>
      </c>
      <c r="D104" s="49">
        <f>AVERAGE('02.08 Nebbi-Goli-24h'!D104,'03.08 Nebbi-Goli-24h'!D104)</f>
        <v>0</v>
      </c>
      <c r="E104" s="49">
        <f>AVERAGE('02.08 Nebbi-Goli-24h'!E104,'03.08 Nebbi-Goli-24h'!E104)</f>
        <v>0.5</v>
      </c>
      <c r="F104" s="49">
        <f>AVERAGE('02.08 Nebbi-Goli-24h'!F104,'03.08 Nebbi-Goli-24h'!F104)</f>
        <v>0</v>
      </c>
      <c r="G104" s="49">
        <f>AVERAGE('02.08 Nebbi-Goli-24h'!G104,'03.08 Nebbi-Goli-24h'!G104)</f>
        <v>0</v>
      </c>
      <c r="H104" s="49">
        <f>AVERAGE('02.08 Nebbi-Goli-24h'!H104,'03.08 Nebbi-Goli-24h'!H104)</f>
        <v>0</v>
      </c>
      <c r="I104" s="49">
        <f>AVERAGE('02.08 Nebbi-Goli-24h'!I104,'03.08 Nebbi-Goli-24h'!I104)</f>
        <v>0.5</v>
      </c>
      <c r="J104" s="49">
        <f>AVERAGE('02.08 Nebbi-Goli-24h'!J104,'03.08 Nebbi-Goli-24h'!J104)</f>
        <v>0</v>
      </c>
      <c r="K104" s="49">
        <f>AVERAGE('02.08 Nebbi-Goli-24h'!K104,'03.08 Nebbi-Goli-24h'!K104)</f>
        <v>0</v>
      </c>
      <c r="L104" s="49">
        <f>AVERAGE('02.08 Nebbi-Goli-24h'!L104,'03.08 Nebbi-Goli-24h'!L104)</f>
        <v>0</v>
      </c>
      <c r="M104" s="49">
        <f>AVERAGE('02.08 Nebbi-Goli-24h'!M104,'03.08 Nebbi-Goli-24h'!M104)</f>
        <v>6.5</v>
      </c>
      <c r="N104" s="49">
        <f>AVERAGE('02.08 Nebbi-Goli-24h'!N104,'03.08 Nebbi-Goli-24h'!N104)</f>
        <v>0</v>
      </c>
      <c r="O104" s="15">
        <f t="shared" si="35"/>
        <v>1</v>
      </c>
      <c r="P104" s="15">
        <f t="shared" si="36"/>
        <v>7.5</v>
      </c>
      <c r="R104" s="8"/>
      <c r="T104"/>
    </row>
    <row r="105" spans="2:20" ht="23.1" customHeight="1" x14ac:dyDescent="0.25">
      <c r="B105" s="23" t="s">
        <v>145</v>
      </c>
      <c r="C105" s="49">
        <f>AVERAGE('02.08 Nebbi-Goli-24h'!C105,'03.08 Nebbi-Goli-24h'!C105)</f>
        <v>1</v>
      </c>
      <c r="D105" s="49">
        <f>AVERAGE('02.08 Nebbi-Goli-24h'!D105,'03.08 Nebbi-Goli-24h'!D105)</f>
        <v>0</v>
      </c>
      <c r="E105" s="49">
        <f>AVERAGE('02.08 Nebbi-Goli-24h'!E105,'03.08 Nebbi-Goli-24h'!E105)</f>
        <v>0</v>
      </c>
      <c r="F105" s="49">
        <f>AVERAGE('02.08 Nebbi-Goli-24h'!F105,'03.08 Nebbi-Goli-24h'!F105)</f>
        <v>0</v>
      </c>
      <c r="G105" s="49">
        <f>AVERAGE('02.08 Nebbi-Goli-24h'!G105,'03.08 Nebbi-Goli-24h'!G105)</f>
        <v>0</v>
      </c>
      <c r="H105" s="49">
        <f>AVERAGE('02.08 Nebbi-Goli-24h'!H105,'03.08 Nebbi-Goli-24h'!H105)</f>
        <v>0</v>
      </c>
      <c r="I105" s="49">
        <f>AVERAGE('02.08 Nebbi-Goli-24h'!I105,'03.08 Nebbi-Goli-24h'!I105)</f>
        <v>0</v>
      </c>
      <c r="J105" s="49">
        <f>AVERAGE('02.08 Nebbi-Goli-24h'!J105,'03.08 Nebbi-Goli-24h'!J105)</f>
        <v>0</v>
      </c>
      <c r="K105" s="49">
        <f>AVERAGE('02.08 Nebbi-Goli-24h'!K105,'03.08 Nebbi-Goli-24h'!K105)</f>
        <v>0</v>
      </c>
      <c r="L105" s="49">
        <f>AVERAGE('02.08 Nebbi-Goli-24h'!L105,'03.08 Nebbi-Goli-24h'!L105)</f>
        <v>0.5</v>
      </c>
      <c r="M105" s="49">
        <f>AVERAGE('02.08 Nebbi-Goli-24h'!M105,'03.08 Nebbi-Goli-24h'!M105)</f>
        <v>6.5</v>
      </c>
      <c r="N105" s="49">
        <f>AVERAGE('02.08 Nebbi-Goli-24h'!N105,'03.08 Nebbi-Goli-24h'!N105)</f>
        <v>0</v>
      </c>
      <c r="O105" s="15">
        <f t="shared" si="35"/>
        <v>1.5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50.428571428571431</v>
      </c>
      <c r="D106" s="16">
        <f t="shared" ref="D106:P106" si="37">SUM(D10:D105)</f>
        <v>8.928571428571427</v>
      </c>
      <c r="E106" s="16">
        <f t="shared" si="37"/>
        <v>46.785714285714285</v>
      </c>
      <c r="F106" s="16">
        <f t="shared" si="37"/>
        <v>29.500000000000004</v>
      </c>
      <c r="G106" s="16">
        <f t="shared" si="37"/>
        <v>4.3571428571428559</v>
      </c>
      <c r="H106" s="16">
        <f t="shared" si="37"/>
        <v>6.0714285714285712</v>
      </c>
      <c r="I106" s="16">
        <f t="shared" si="37"/>
        <v>43</v>
      </c>
      <c r="J106" s="16">
        <f t="shared" si="37"/>
        <v>6.7857142857142847</v>
      </c>
      <c r="K106" s="16">
        <f t="shared" si="37"/>
        <v>4.6428571428571423</v>
      </c>
      <c r="L106" s="16">
        <f t="shared" si="37"/>
        <v>35.857142857142854</v>
      </c>
      <c r="M106" s="16">
        <f t="shared" si="37"/>
        <v>696.28571428571433</v>
      </c>
      <c r="N106" s="16">
        <f t="shared" si="37"/>
        <v>0.2857142857142857</v>
      </c>
      <c r="O106" s="16">
        <f t="shared" si="37"/>
        <v>236.64285714285711</v>
      </c>
      <c r="P106" s="16">
        <f t="shared" si="37"/>
        <v>932.92857142857156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5.405405405405405E-2</v>
      </c>
      <c r="D107" s="43">
        <f t="shared" si="38"/>
        <v>9.5704769925733062E-3</v>
      </c>
      <c r="E107" s="43">
        <f t="shared" si="38"/>
        <v>5.0149299441084136E-2</v>
      </c>
      <c r="F107" s="43">
        <f t="shared" si="38"/>
        <v>3.1620855983462218E-2</v>
      </c>
      <c r="G107" s="43">
        <f t="shared" si="38"/>
        <v>4.6703927723757734E-3</v>
      </c>
      <c r="H107" s="43">
        <f t="shared" si="38"/>
        <v>6.5079243549498499E-3</v>
      </c>
      <c r="I107" s="43">
        <f t="shared" si="38"/>
        <v>4.6091417196233053E-2</v>
      </c>
      <c r="J107" s="43">
        <f t="shared" si="38"/>
        <v>7.2735625143557133E-3</v>
      </c>
      <c r="K107" s="43">
        <f t="shared" si="38"/>
        <v>4.9766480361381196E-3</v>
      </c>
      <c r="L107" s="43">
        <f t="shared" si="38"/>
        <v>3.8435035602174407E-2</v>
      </c>
      <c r="M107" s="43">
        <f t="shared" si="38"/>
        <v>0.74634407778883693</v>
      </c>
      <c r="N107" s="43">
        <f t="shared" si="38"/>
        <v>3.0625526376234586E-4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0.21309990944763058</v>
      </c>
      <c r="D108" s="44">
        <f t="shared" ref="D108:N108" si="39">D106/$O$106</f>
        <v>3.7730153939028073E-2</v>
      </c>
      <c r="E108" s="44">
        <f t="shared" si="39"/>
        <v>0.19770600664050711</v>
      </c>
      <c r="F108" s="44">
        <f t="shared" si="39"/>
        <v>0.12466042861454878</v>
      </c>
      <c r="G108" s="44">
        <f t="shared" si="39"/>
        <v>1.8412315122245695E-2</v>
      </c>
      <c r="H108" s="44">
        <f t="shared" si="39"/>
        <v>2.565650467853909E-2</v>
      </c>
      <c r="I108" s="44">
        <f t="shared" si="39"/>
        <v>0.18170842137035922</v>
      </c>
      <c r="J108" s="44">
        <f t="shared" si="39"/>
        <v>2.8674916993661335E-2</v>
      </c>
      <c r="K108" s="44">
        <f t="shared" si="39"/>
        <v>1.9619680048294598E-2</v>
      </c>
      <c r="L108" s="44">
        <f t="shared" si="39"/>
        <v>0.15152429821913674</v>
      </c>
      <c r="M108" s="44"/>
      <c r="N108" s="44">
        <f t="shared" si="39"/>
        <v>1.2073649260488984E-3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F43" zoomScale="60" workbookViewId="0">
      <selection activeCell="AE51" sqref="AE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'06.08 Nebbi-Goli'!C3:G3</f>
        <v>MCC - C4 - STN138 - NEBBI-GOLI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'Avg Week Nebbi-Goli'!G5:H5</f>
        <v>Goli</v>
      </c>
      <c r="H5" s="66"/>
      <c r="I5" s="14"/>
      <c r="J5" s="2" t="s">
        <v>5</v>
      </c>
      <c r="K5" s="65" t="str">
        <f>'Avg Week Nebbi-Goli'!K5:L5</f>
        <v>Moreen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9" t="s">
        <v>161</v>
      </c>
      <c r="E6" s="70"/>
      <c r="F6" s="2" t="s">
        <v>2</v>
      </c>
      <c r="G6" s="69" t="s">
        <v>161</v>
      </c>
      <c r="H6" s="70"/>
      <c r="J6" s="2" t="s">
        <v>21</v>
      </c>
      <c r="K6" s="65" t="str">
        <f>'Avg Week Nebbi-Goli'!K6:L6</f>
        <v>Herbert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Goli-Nebbi'!C10+'Avg Week Nebbi-Goli'!C10</f>
        <v>2</v>
      </c>
      <c r="D10" s="49">
        <f>'Avg Week Goli-Nebbi'!D10+'Avg Week Nebbi-Goli'!D10</f>
        <v>0.14285714285714285</v>
      </c>
      <c r="E10" s="49">
        <f>'Avg Week Goli-Nebbi'!E10+'Avg Week Nebbi-Goli'!E10</f>
        <v>1</v>
      </c>
      <c r="F10" s="49">
        <f>'Avg Week Goli-Nebbi'!F10+'Avg Week Nebbi-Goli'!F10</f>
        <v>1</v>
      </c>
      <c r="G10" s="49">
        <f>'Avg Week Goli-Nebbi'!G10+'Avg Week Nebbi-Goli'!G10</f>
        <v>0.2857142857142857</v>
      </c>
      <c r="H10" s="49">
        <f>'Avg Week Goli-Nebbi'!H10+'Avg Week Nebbi-Goli'!H10</f>
        <v>0.14285714285714285</v>
      </c>
      <c r="I10" s="49">
        <f>'Avg Week Goli-Nebbi'!I10+'Avg Week Nebbi-Goli'!I10</f>
        <v>1</v>
      </c>
      <c r="J10" s="49">
        <f>'Avg Week Goli-Nebbi'!J10+'Avg Week Nebbi-Goli'!J10</f>
        <v>0.5714285714285714</v>
      </c>
      <c r="K10" s="49">
        <f>'Avg Week Goli-Nebbi'!K10+'Avg Week Nebbi-Goli'!K10</f>
        <v>0.14285714285714285</v>
      </c>
      <c r="L10" s="49">
        <f>'Avg Week Goli-Nebbi'!L10+'Avg Week Nebbi-Goli'!L10</f>
        <v>0.8571428571428571</v>
      </c>
      <c r="M10" s="49">
        <f>'Avg Week Goli-Nebbi'!M10+'Avg Week Nebbi-Goli'!M10</f>
        <v>15.571428571428573</v>
      </c>
      <c r="N10" s="49">
        <f>'Avg Week Goli-Nebbi'!N10+'Avg Week Nebbi-Goli'!N10</f>
        <v>0</v>
      </c>
      <c r="O10" s="15">
        <f t="shared" ref="O10:O73" si="0">SUM(C10:L10,N10)</f>
        <v>7.1428571428571423</v>
      </c>
      <c r="P10" s="15">
        <f t="shared" ref="P10:P73" si="1">SUM(C10:N10)</f>
        <v>22.714285714285715</v>
      </c>
      <c r="R10" s="1" t="s">
        <v>6</v>
      </c>
      <c r="S10" s="17">
        <f t="shared" ref="S10:AF10" si="2">SUM(C10:C13)</f>
        <v>6</v>
      </c>
      <c r="T10" s="17">
        <f t="shared" si="2"/>
        <v>0.8571428571428571</v>
      </c>
      <c r="U10" s="17">
        <f t="shared" si="2"/>
        <v>4.4285714285714288</v>
      </c>
      <c r="V10" s="17">
        <f t="shared" si="2"/>
        <v>2.8571428571428568</v>
      </c>
      <c r="W10" s="17">
        <f t="shared" si="2"/>
        <v>0.5714285714285714</v>
      </c>
      <c r="X10" s="17">
        <f t="shared" si="2"/>
        <v>1.1428571428571428</v>
      </c>
      <c r="Y10" s="17">
        <f t="shared" si="2"/>
        <v>4</v>
      </c>
      <c r="Z10" s="17">
        <f t="shared" si="2"/>
        <v>1.2857142857142856</v>
      </c>
      <c r="AA10" s="17">
        <f t="shared" si="2"/>
        <v>0.5714285714285714</v>
      </c>
      <c r="AB10" s="17">
        <f t="shared" si="2"/>
        <v>2.8571428571428568</v>
      </c>
      <c r="AC10" s="17">
        <f t="shared" si="2"/>
        <v>71.142857142857139</v>
      </c>
      <c r="AD10" s="17">
        <f t="shared" si="2"/>
        <v>0</v>
      </c>
      <c r="AE10" s="31">
        <f t="shared" si="2"/>
        <v>24.571428571428569</v>
      </c>
      <c r="AF10" s="31">
        <f t="shared" si="2"/>
        <v>95.714285714285722</v>
      </c>
    </row>
    <row r="11" spans="2:32" s="6" customFormat="1" ht="23.1" customHeight="1" x14ac:dyDescent="0.25">
      <c r="B11" s="23" t="s">
        <v>38</v>
      </c>
      <c r="C11" s="49">
        <f>'Avg Week Goli-Nebbi'!C11+'Avg Week Nebbi-Goli'!C11</f>
        <v>1</v>
      </c>
      <c r="D11" s="49">
        <f>'Avg Week Goli-Nebbi'!D11+'Avg Week Nebbi-Goli'!D11</f>
        <v>0.14285714285714285</v>
      </c>
      <c r="E11" s="49">
        <f>'Avg Week Goli-Nebbi'!E11+'Avg Week Nebbi-Goli'!E11</f>
        <v>0.71428571428571419</v>
      </c>
      <c r="F11" s="49">
        <f>'Avg Week Goli-Nebbi'!F11+'Avg Week Nebbi-Goli'!F11</f>
        <v>0.42857142857142855</v>
      </c>
      <c r="G11" s="49">
        <f>'Avg Week Goli-Nebbi'!G11+'Avg Week Nebbi-Goli'!G11</f>
        <v>0.14285714285714285</v>
      </c>
      <c r="H11" s="49">
        <f>'Avg Week Goli-Nebbi'!H11+'Avg Week Nebbi-Goli'!H11</f>
        <v>0.14285714285714285</v>
      </c>
      <c r="I11" s="49">
        <f>'Avg Week Goli-Nebbi'!I11+'Avg Week Nebbi-Goli'!I11</f>
        <v>0.5714285714285714</v>
      </c>
      <c r="J11" s="49">
        <f>'Avg Week Goli-Nebbi'!J11+'Avg Week Nebbi-Goli'!J11</f>
        <v>0</v>
      </c>
      <c r="K11" s="49">
        <f>'Avg Week Goli-Nebbi'!K11+'Avg Week Nebbi-Goli'!K11</f>
        <v>0</v>
      </c>
      <c r="L11" s="49">
        <f>'Avg Week Goli-Nebbi'!L11+'Avg Week Nebbi-Goli'!L11</f>
        <v>1</v>
      </c>
      <c r="M11" s="49">
        <f>'Avg Week Goli-Nebbi'!M11+'Avg Week Nebbi-Goli'!M11</f>
        <v>17.571428571428569</v>
      </c>
      <c r="N11" s="49">
        <f>'Avg Week Goli-Nebbi'!N11+'Avg Week Nebbi-Goli'!N11</f>
        <v>0</v>
      </c>
      <c r="O11" s="15">
        <f t="shared" si="0"/>
        <v>4.1428571428571423</v>
      </c>
      <c r="P11" s="15">
        <f t="shared" si="1"/>
        <v>21.714285714285712</v>
      </c>
      <c r="R11" s="1" t="s">
        <v>7</v>
      </c>
      <c r="S11" s="17">
        <f t="shared" ref="S11:AF11" si="3">SUM(C14:C17)</f>
        <v>6.5714285714285712</v>
      </c>
      <c r="T11" s="17">
        <f t="shared" si="3"/>
        <v>1.7142857142857142</v>
      </c>
      <c r="U11" s="17">
        <f t="shared" si="3"/>
        <v>6</v>
      </c>
      <c r="V11" s="17">
        <f t="shared" si="3"/>
        <v>4.1428571428571423</v>
      </c>
      <c r="W11" s="17">
        <f t="shared" si="3"/>
        <v>0.71428571428571419</v>
      </c>
      <c r="X11" s="17">
        <f t="shared" si="3"/>
        <v>0.14285714285714285</v>
      </c>
      <c r="Y11" s="17">
        <f t="shared" si="3"/>
        <v>6.2857142857142865</v>
      </c>
      <c r="Z11" s="17">
        <f t="shared" si="3"/>
        <v>0.71428571428571419</v>
      </c>
      <c r="AA11" s="17">
        <f t="shared" si="3"/>
        <v>0.42857142857142855</v>
      </c>
      <c r="AB11" s="17">
        <f t="shared" si="3"/>
        <v>4.2857142857142856</v>
      </c>
      <c r="AC11" s="17">
        <f t="shared" si="3"/>
        <v>92.857142857142861</v>
      </c>
      <c r="AD11" s="17">
        <f t="shared" si="3"/>
        <v>0.2857142857142857</v>
      </c>
      <c r="AE11" s="31">
        <f t="shared" si="3"/>
        <v>31.285714285714288</v>
      </c>
      <c r="AF11" s="31">
        <f t="shared" si="3"/>
        <v>124.14285714285714</v>
      </c>
    </row>
    <row r="12" spans="2:32" ht="23.1" customHeight="1" x14ac:dyDescent="0.25">
      <c r="B12" s="23" t="s">
        <v>39</v>
      </c>
      <c r="C12" s="49">
        <f>'Avg Week Goli-Nebbi'!C12+'Avg Week Nebbi-Goli'!C12</f>
        <v>1.2857142857142856</v>
      </c>
      <c r="D12" s="49">
        <f>'Avg Week Goli-Nebbi'!D12+'Avg Week Nebbi-Goli'!D12</f>
        <v>0.2857142857142857</v>
      </c>
      <c r="E12" s="49">
        <f>'Avg Week Goli-Nebbi'!E12+'Avg Week Nebbi-Goli'!E12</f>
        <v>1</v>
      </c>
      <c r="F12" s="49">
        <f>'Avg Week Goli-Nebbi'!F12+'Avg Week Nebbi-Goli'!F12</f>
        <v>0.8571428571428571</v>
      </c>
      <c r="G12" s="49">
        <f>'Avg Week Goli-Nebbi'!G12+'Avg Week Nebbi-Goli'!G12</f>
        <v>0</v>
      </c>
      <c r="H12" s="49">
        <f>'Avg Week Goli-Nebbi'!H12+'Avg Week Nebbi-Goli'!H12</f>
        <v>0.42857142857142855</v>
      </c>
      <c r="I12" s="49">
        <f>'Avg Week Goli-Nebbi'!I12+'Avg Week Nebbi-Goli'!I12</f>
        <v>1.5714285714285714</v>
      </c>
      <c r="J12" s="49">
        <f>'Avg Week Goli-Nebbi'!J12+'Avg Week Nebbi-Goli'!J12</f>
        <v>0.42857142857142855</v>
      </c>
      <c r="K12" s="49">
        <f>'Avg Week Goli-Nebbi'!K12+'Avg Week Nebbi-Goli'!K12</f>
        <v>0</v>
      </c>
      <c r="L12" s="49">
        <f>'Avg Week Goli-Nebbi'!L12+'Avg Week Nebbi-Goli'!L12</f>
        <v>0.71428571428571419</v>
      </c>
      <c r="M12" s="49">
        <f>'Avg Week Goli-Nebbi'!M12+'Avg Week Nebbi-Goli'!M12</f>
        <v>18.428571428571431</v>
      </c>
      <c r="N12" s="49">
        <f>'Avg Week Goli-Nebbi'!N12+'Avg Week Nebbi-Goli'!N12</f>
        <v>0</v>
      </c>
      <c r="O12" s="15">
        <f t="shared" si="0"/>
        <v>6.5714285714285712</v>
      </c>
      <c r="P12" s="15">
        <f t="shared" si="1"/>
        <v>25</v>
      </c>
      <c r="R12" s="1" t="s">
        <v>8</v>
      </c>
      <c r="S12" s="17">
        <f t="shared" ref="S12:AF12" si="4">SUM(C18:C21)</f>
        <v>7.2857142857142865</v>
      </c>
      <c r="T12" s="17">
        <f t="shared" si="4"/>
        <v>1.4285714285714284</v>
      </c>
      <c r="U12" s="17">
        <f t="shared" si="4"/>
        <v>6.2857142857142856</v>
      </c>
      <c r="V12" s="17">
        <f t="shared" si="4"/>
        <v>4.4285714285714288</v>
      </c>
      <c r="W12" s="17">
        <f t="shared" si="4"/>
        <v>0.5714285714285714</v>
      </c>
      <c r="X12" s="17">
        <f t="shared" si="4"/>
        <v>0</v>
      </c>
      <c r="Y12" s="17">
        <f t="shared" si="4"/>
        <v>4.4285714285714279</v>
      </c>
      <c r="Z12" s="17">
        <f t="shared" si="4"/>
        <v>0.14285714285714285</v>
      </c>
      <c r="AA12" s="17">
        <f t="shared" si="4"/>
        <v>0.71428571428571419</v>
      </c>
      <c r="AB12" s="17">
        <f t="shared" si="4"/>
        <v>4.1428571428571423</v>
      </c>
      <c r="AC12" s="17">
        <f t="shared" si="4"/>
        <v>98.714285714285722</v>
      </c>
      <c r="AD12" s="17">
        <f t="shared" si="4"/>
        <v>0.14285714285714285</v>
      </c>
      <c r="AE12" s="31">
        <f t="shared" si="4"/>
        <v>29.571428571428569</v>
      </c>
      <c r="AF12" s="31">
        <f t="shared" si="4"/>
        <v>128.28571428571428</v>
      </c>
    </row>
    <row r="13" spans="2:32" ht="23.1" customHeight="1" x14ac:dyDescent="0.25">
      <c r="B13" s="23" t="s">
        <v>40</v>
      </c>
      <c r="C13" s="49">
        <f>'Avg Week Goli-Nebbi'!C13+'Avg Week Nebbi-Goli'!C13</f>
        <v>1.7142857142857144</v>
      </c>
      <c r="D13" s="49">
        <f>'Avg Week Goli-Nebbi'!D13+'Avg Week Nebbi-Goli'!D13</f>
        <v>0.2857142857142857</v>
      </c>
      <c r="E13" s="49">
        <f>'Avg Week Goli-Nebbi'!E13+'Avg Week Nebbi-Goli'!E13</f>
        <v>1.7142857142857142</v>
      </c>
      <c r="F13" s="49">
        <f>'Avg Week Goli-Nebbi'!F13+'Avg Week Nebbi-Goli'!F13</f>
        <v>0.5714285714285714</v>
      </c>
      <c r="G13" s="49">
        <f>'Avg Week Goli-Nebbi'!G13+'Avg Week Nebbi-Goli'!G13</f>
        <v>0.14285714285714285</v>
      </c>
      <c r="H13" s="49">
        <f>'Avg Week Goli-Nebbi'!H13+'Avg Week Nebbi-Goli'!H13</f>
        <v>0.42857142857142855</v>
      </c>
      <c r="I13" s="49">
        <f>'Avg Week Goli-Nebbi'!I13+'Avg Week Nebbi-Goli'!I13</f>
        <v>0.85714285714285721</v>
      </c>
      <c r="J13" s="49">
        <f>'Avg Week Goli-Nebbi'!J13+'Avg Week Nebbi-Goli'!J13</f>
        <v>0.2857142857142857</v>
      </c>
      <c r="K13" s="49">
        <f>'Avg Week Goli-Nebbi'!K13+'Avg Week Nebbi-Goli'!K13</f>
        <v>0.42857142857142855</v>
      </c>
      <c r="L13" s="49">
        <f>'Avg Week Goli-Nebbi'!L13+'Avg Week Nebbi-Goli'!L13</f>
        <v>0.2857142857142857</v>
      </c>
      <c r="M13" s="49">
        <f>'Avg Week Goli-Nebbi'!M13+'Avg Week Nebbi-Goli'!M13</f>
        <v>19.571428571428569</v>
      </c>
      <c r="N13" s="49">
        <f>'Avg Week Goli-Nebbi'!N13+'Avg Week Nebbi-Goli'!N13</f>
        <v>0</v>
      </c>
      <c r="O13" s="15">
        <f t="shared" si="0"/>
        <v>6.7142857142857153</v>
      </c>
      <c r="P13" s="15">
        <f t="shared" si="1"/>
        <v>26.285714285714285</v>
      </c>
      <c r="R13" s="1" t="s">
        <v>9</v>
      </c>
      <c r="S13" s="17">
        <f t="shared" ref="S13:AF13" si="5">SUM(C22:C25)</f>
        <v>7.4285714285714279</v>
      </c>
      <c r="T13" s="17">
        <f t="shared" si="5"/>
        <v>0.8571428571428571</v>
      </c>
      <c r="U13" s="17">
        <f t="shared" si="5"/>
        <v>4.2857142857142856</v>
      </c>
      <c r="V13" s="17">
        <f t="shared" si="5"/>
        <v>3.714285714285714</v>
      </c>
      <c r="W13" s="17">
        <f t="shared" si="5"/>
        <v>0.14285714285714285</v>
      </c>
      <c r="X13" s="17">
        <f t="shared" si="5"/>
        <v>0</v>
      </c>
      <c r="Y13" s="17">
        <f t="shared" si="5"/>
        <v>6.1428571428571432</v>
      </c>
      <c r="Z13" s="17">
        <f t="shared" si="5"/>
        <v>0.85714285714285698</v>
      </c>
      <c r="AA13" s="17">
        <f t="shared" si="5"/>
        <v>0.42857142857142855</v>
      </c>
      <c r="AB13" s="17">
        <f t="shared" si="5"/>
        <v>5.2857142857142856</v>
      </c>
      <c r="AC13" s="17">
        <f t="shared" si="5"/>
        <v>101.57142857142858</v>
      </c>
      <c r="AD13" s="17">
        <f t="shared" si="5"/>
        <v>0.14285714285714285</v>
      </c>
      <c r="AE13" s="31">
        <f t="shared" si="5"/>
        <v>29.285714285714285</v>
      </c>
      <c r="AF13" s="31">
        <f t="shared" si="5"/>
        <v>130.85714285714286</v>
      </c>
    </row>
    <row r="14" spans="2:32" ht="23.1" customHeight="1" x14ac:dyDescent="0.25">
      <c r="B14" s="23" t="s">
        <v>41</v>
      </c>
      <c r="C14" s="49">
        <f>'Avg Week Goli-Nebbi'!C14+'Avg Week Nebbi-Goli'!C14</f>
        <v>1.8571428571428572</v>
      </c>
      <c r="D14" s="49">
        <f>'Avg Week Goli-Nebbi'!D14+'Avg Week Nebbi-Goli'!D14</f>
        <v>0.42857142857142855</v>
      </c>
      <c r="E14" s="49">
        <f>'Avg Week Goli-Nebbi'!E14+'Avg Week Nebbi-Goli'!E14</f>
        <v>1.2857142857142856</v>
      </c>
      <c r="F14" s="49">
        <f>'Avg Week Goli-Nebbi'!F14+'Avg Week Nebbi-Goli'!F14</f>
        <v>1.5714285714285716</v>
      </c>
      <c r="G14" s="49">
        <f>'Avg Week Goli-Nebbi'!G14+'Avg Week Nebbi-Goli'!G14</f>
        <v>0.14285714285714285</v>
      </c>
      <c r="H14" s="49">
        <f>'Avg Week Goli-Nebbi'!H14+'Avg Week Nebbi-Goli'!H14</f>
        <v>0</v>
      </c>
      <c r="I14" s="49">
        <f>'Avg Week Goli-Nebbi'!I14+'Avg Week Nebbi-Goli'!I14</f>
        <v>1.8571428571428572</v>
      </c>
      <c r="J14" s="49">
        <f>'Avg Week Goli-Nebbi'!J14+'Avg Week Nebbi-Goli'!J14</f>
        <v>0.2857142857142857</v>
      </c>
      <c r="K14" s="49">
        <f>'Avg Week Goli-Nebbi'!K14+'Avg Week Nebbi-Goli'!K14</f>
        <v>0.2857142857142857</v>
      </c>
      <c r="L14" s="49">
        <f>'Avg Week Goli-Nebbi'!L14+'Avg Week Nebbi-Goli'!L14</f>
        <v>1.2857142857142856</v>
      </c>
      <c r="M14" s="49">
        <f>'Avg Week Goli-Nebbi'!M14+'Avg Week Nebbi-Goli'!M14</f>
        <v>20.428571428571431</v>
      </c>
      <c r="N14" s="49">
        <f>'Avg Week Goli-Nebbi'!N14+'Avg Week Nebbi-Goli'!N14</f>
        <v>0</v>
      </c>
      <c r="O14" s="15">
        <f t="shared" si="0"/>
        <v>9</v>
      </c>
      <c r="P14" s="15">
        <f t="shared" si="1"/>
        <v>29.428571428571431</v>
      </c>
      <c r="R14" s="1" t="s">
        <v>10</v>
      </c>
      <c r="S14" s="17">
        <f t="shared" ref="S14:AF14" si="6">SUM(C26:C29)</f>
        <v>4.5714285714285712</v>
      </c>
      <c r="T14" s="17">
        <f t="shared" si="6"/>
        <v>1.7142857142857142</v>
      </c>
      <c r="U14" s="17">
        <f t="shared" si="6"/>
        <v>7</v>
      </c>
      <c r="V14" s="17">
        <f t="shared" si="6"/>
        <v>2.8571428571428572</v>
      </c>
      <c r="W14" s="17">
        <f t="shared" si="6"/>
        <v>0.5714285714285714</v>
      </c>
      <c r="X14" s="17">
        <f t="shared" si="6"/>
        <v>0</v>
      </c>
      <c r="Y14" s="17">
        <f t="shared" si="6"/>
        <v>5.5714285714285712</v>
      </c>
      <c r="Z14" s="17">
        <f t="shared" si="6"/>
        <v>0.42857142857142855</v>
      </c>
      <c r="AA14" s="17">
        <f t="shared" si="6"/>
        <v>0.5714285714285714</v>
      </c>
      <c r="AB14" s="17">
        <f t="shared" si="6"/>
        <v>4.4285714285714288</v>
      </c>
      <c r="AC14" s="17">
        <f t="shared" si="6"/>
        <v>101.85714285714285</v>
      </c>
      <c r="AD14" s="17">
        <f t="shared" si="6"/>
        <v>0</v>
      </c>
      <c r="AE14" s="31">
        <f t="shared" si="6"/>
        <v>27.714285714285715</v>
      </c>
      <c r="AF14" s="31">
        <f t="shared" si="6"/>
        <v>129.57142857142856</v>
      </c>
    </row>
    <row r="15" spans="2:32" ht="23.1" customHeight="1" x14ac:dyDescent="0.25">
      <c r="B15" s="23" t="s">
        <v>42</v>
      </c>
      <c r="C15" s="49">
        <f>'Avg Week Goli-Nebbi'!C15+'Avg Week Nebbi-Goli'!C15</f>
        <v>1.7142857142857142</v>
      </c>
      <c r="D15" s="49">
        <f>'Avg Week Goli-Nebbi'!D15+'Avg Week Nebbi-Goli'!D15</f>
        <v>0.5714285714285714</v>
      </c>
      <c r="E15" s="49">
        <f>'Avg Week Goli-Nebbi'!E15+'Avg Week Nebbi-Goli'!E15</f>
        <v>1.4285714285714286</v>
      </c>
      <c r="F15" s="49">
        <f>'Avg Week Goli-Nebbi'!F15+'Avg Week Nebbi-Goli'!F15</f>
        <v>0.71428571428571419</v>
      </c>
      <c r="G15" s="49">
        <f>'Avg Week Goli-Nebbi'!G15+'Avg Week Nebbi-Goli'!G15</f>
        <v>0.14285714285714285</v>
      </c>
      <c r="H15" s="49">
        <f>'Avg Week Goli-Nebbi'!H15+'Avg Week Nebbi-Goli'!H15</f>
        <v>0</v>
      </c>
      <c r="I15" s="49">
        <f>'Avg Week Goli-Nebbi'!I15+'Avg Week Nebbi-Goli'!I15</f>
        <v>1.5714285714285714</v>
      </c>
      <c r="J15" s="49">
        <f>'Avg Week Goli-Nebbi'!J15+'Avg Week Nebbi-Goli'!J15</f>
        <v>0</v>
      </c>
      <c r="K15" s="49">
        <f>'Avg Week Goli-Nebbi'!K15+'Avg Week Nebbi-Goli'!K15</f>
        <v>0</v>
      </c>
      <c r="L15" s="49">
        <f>'Avg Week Goli-Nebbi'!L15+'Avg Week Nebbi-Goli'!L15</f>
        <v>1.4285714285714284</v>
      </c>
      <c r="M15" s="49">
        <f>'Avg Week Goli-Nebbi'!M15+'Avg Week Nebbi-Goli'!M15</f>
        <v>22</v>
      </c>
      <c r="N15" s="49">
        <f>'Avg Week Goli-Nebbi'!N15+'Avg Week Nebbi-Goli'!N15</f>
        <v>0.14285714285714285</v>
      </c>
      <c r="O15" s="15">
        <f t="shared" si="0"/>
        <v>7.7142857142857144</v>
      </c>
      <c r="P15" s="15">
        <f t="shared" si="1"/>
        <v>29.714285714285712</v>
      </c>
      <c r="R15" s="1" t="s">
        <v>11</v>
      </c>
      <c r="S15" s="17">
        <f t="shared" ref="S15:AF15" si="7">SUM(C30:C33)</f>
        <v>7.7142857142857135</v>
      </c>
      <c r="T15" s="17">
        <f t="shared" si="7"/>
        <v>0.8571428571428571</v>
      </c>
      <c r="U15" s="17">
        <f t="shared" si="7"/>
        <v>5.4285714285714288</v>
      </c>
      <c r="V15" s="17">
        <f t="shared" si="7"/>
        <v>5.2857142857142847</v>
      </c>
      <c r="W15" s="17">
        <f t="shared" si="7"/>
        <v>0.5714285714285714</v>
      </c>
      <c r="X15" s="17">
        <f t="shared" si="7"/>
        <v>1</v>
      </c>
      <c r="Y15" s="17">
        <f t="shared" si="7"/>
        <v>3.8571428571428568</v>
      </c>
      <c r="Z15" s="17">
        <f t="shared" si="7"/>
        <v>0.99999999999999989</v>
      </c>
      <c r="AA15" s="17">
        <f t="shared" si="7"/>
        <v>0.5714285714285714</v>
      </c>
      <c r="AB15" s="17">
        <f t="shared" si="7"/>
        <v>4.5714285714285712</v>
      </c>
      <c r="AC15" s="17">
        <f t="shared" si="7"/>
        <v>97.285714285714292</v>
      </c>
      <c r="AD15" s="17">
        <f t="shared" si="7"/>
        <v>0</v>
      </c>
      <c r="AE15" s="31">
        <f t="shared" si="7"/>
        <v>30.857142857142861</v>
      </c>
      <c r="AF15" s="31">
        <f t="shared" si="7"/>
        <v>128.14285714285714</v>
      </c>
    </row>
    <row r="16" spans="2:32" ht="23.1" customHeight="1" x14ac:dyDescent="0.25">
      <c r="B16" s="23" t="s">
        <v>43</v>
      </c>
      <c r="C16" s="49">
        <f>'Avg Week Goli-Nebbi'!C16+'Avg Week Nebbi-Goli'!C16</f>
        <v>1.5714285714285714</v>
      </c>
      <c r="D16" s="49">
        <f>'Avg Week Goli-Nebbi'!D16+'Avg Week Nebbi-Goli'!D16</f>
        <v>0.2857142857142857</v>
      </c>
      <c r="E16" s="49">
        <f>'Avg Week Goli-Nebbi'!E16+'Avg Week Nebbi-Goli'!E16</f>
        <v>1.2857142857142856</v>
      </c>
      <c r="F16" s="49">
        <f>'Avg Week Goli-Nebbi'!F16+'Avg Week Nebbi-Goli'!F16</f>
        <v>1.1428571428571428</v>
      </c>
      <c r="G16" s="49">
        <f>'Avg Week Goli-Nebbi'!G16+'Avg Week Nebbi-Goli'!G16</f>
        <v>0.2857142857142857</v>
      </c>
      <c r="H16" s="49">
        <f>'Avg Week Goli-Nebbi'!H16+'Avg Week Nebbi-Goli'!H16</f>
        <v>0.14285714285714285</v>
      </c>
      <c r="I16" s="49">
        <f>'Avg Week Goli-Nebbi'!I16+'Avg Week Nebbi-Goli'!I16</f>
        <v>1.4285714285714284</v>
      </c>
      <c r="J16" s="49">
        <f>'Avg Week Goli-Nebbi'!J16+'Avg Week Nebbi-Goli'!J16</f>
        <v>0.2857142857142857</v>
      </c>
      <c r="K16" s="49">
        <f>'Avg Week Goli-Nebbi'!K16+'Avg Week Nebbi-Goli'!K16</f>
        <v>0.14285714285714285</v>
      </c>
      <c r="L16" s="49">
        <f>'Avg Week Goli-Nebbi'!L16+'Avg Week Nebbi-Goli'!L16</f>
        <v>1</v>
      </c>
      <c r="M16" s="49">
        <f>'Avg Week Goli-Nebbi'!M16+'Avg Week Nebbi-Goli'!M16</f>
        <v>25.285714285714285</v>
      </c>
      <c r="N16" s="49">
        <f>'Avg Week Goli-Nebbi'!N16+'Avg Week Nebbi-Goli'!N16</f>
        <v>0.14285714285714285</v>
      </c>
      <c r="O16" s="15">
        <f t="shared" si="0"/>
        <v>7.7142857142857144</v>
      </c>
      <c r="P16" s="15">
        <f t="shared" si="1"/>
        <v>33</v>
      </c>
      <c r="R16" s="1" t="s">
        <v>12</v>
      </c>
      <c r="S16" s="17">
        <f t="shared" ref="S16:AF16" si="8">SUM(C34:C37)</f>
        <v>6.8571428571428577</v>
      </c>
      <c r="T16" s="17">
        <f t="shared" si="8"/>
        <v>1.7142857142857142</v>
      </c>
      <c r="U16" s="17">
        <f t="shared" si="8"/>
        <v>7</v>
      </c>
      <c r="V16" s="17">
        <f t="shared" si="8"/>
        <v>4.1428571428571423</v>
      </c>
      <c r="W16" s="17">
        <f t="shared" si="8"/>
        <v>0</v>
      </c>
      <c r="X16" s="17">
        <f t="shared" si="8"/>
        <v>0</v>
      </c>
      <c r="Y16" s="17">
        <f t="shared" si="8"/>
        <v>4.2857142857142856</v>
      </c>
      <c r="Z16" s="17">
        <f t="shared" si="8"/>
        <v>1</v>
      </c>
      <c r="AA16" s="17">
        <f t="shared" si="8"/>
        <v>0.2857142857142857</v>
      </c>
      <c r="AB16" s="17">
        <f t="shared" si="8"/>
        <v>3.1428571428571423</v>
      </c>
      <c r="AC16" s="17">
        <f t="shared" si="8"/>
        <v>92.571428571428584</v>
      </c>
      <c r="AD16" s="17">
        <f t="shared" si="8"/>
        <v>0.14285714285714285</v>
      </c>
      <c r="AE16" s="31">
        <f t="shared" si="8"/>
        <v>28.571428571428573</v>
      </c>
      <c r="AF16" s="31">
        <f t="shared" si="8"/>
        <v>121.14285714285714</v>
      </c>
    </row>
    <row r="17" spans="2:32" ht="23.1" customHeight="1" x14ac:dyDescent="0.25">
      <c r="B17" s="23" t="s">
        <v>44</v>
      </c>
      <c r="C17" s="49">
        <f>'Avg Week Goli-Nebbi'!C17+'Avg Week Nebbi-Goli'!C17</f>
        <v>1.4285714285714284</v>
      </c>
      <c r="D17" s="49">
        <f>'Avg Week Goli-Nebbi'!D17+'Avg Week Nebbi-Goli'!D17</f>
        <v>0.42857142857142855</v>
      </c>
      <c r="E17" s="49">
        <f>'Avg Week Goli-Nebbi'!E17+'Avg Week Nebbi-Goli'!E17</f>
        <v>2</v>
      </c>
      <c r="F17" s="49">
        <f>'Avg Week Goli-Nebbi'!F17+'Avg Week Nebbi-Goli'!F17</f>
        <v>0.71428571428571419</v>
      </c>
      <c r="G17" s="49">
        <f>'Avg Week Goli-Nebbi'!G17+'Avg Week Nebbi-Goli'!G17</f>
        <v>0.14285714285714285</v>
      </c>
      <c r="H17" s="49">
        <f>'Avg Week Goli-Nebbi'!H17+'Avg Week Nebbi-Goli'!H17</f>
        <v>0</v>
      </c>
      <c r="I17" s="49">
        <f>'Avg Week Goli-Nebbi'!I17+'Avg Week Nebbi-Goli'!I17</f>
        <v>1.4285714285714286</v>
      </c>
      <c r="J17" s="49">
        <f>'Avg Week Goli-Nebbi'!J17+'Avg Week Nebbi-Goli'!J17</f>
        <v>0.14285714285714285</v>
      </c>
      <c r="K17" s="49">
        <f>'Avg Week Goli-Nebbi'!K17+'Avg Week Nebbi-Goli'!K17</f>
        <v>0</v>
      </c>
      <c r="L17" s="49">
        <f>'Avg Week Goli-Nebbi'!L17+'Avg Week Nebbi-Goli'!L17</f>
        <v>0.5714285714285714</v>
      </c>
      <c r="M17" s="49">
        <f>'Avg Week Goli-Nebbi'!M17+'Avg Week Nebbi-Goli'!M17</f>
        <v>25.142857142857146</v>
      </c>
      <c r="N17" s="49">
        <f>'Avg Week Goli-Nebbi'!N17+'Avg Week Nebbi-Goli'!N17</f>
        <v>0</v>
      </c>
      <c r="O17" s="15">
        <f t="shared" si="0"/>
        <v>6.8571428571428577</v>
      </c>
      <c r="P17" s="15">
        <f t="shared" si="1"/>
        <v>32</v>
      </c>
      <c r="R17" s="1" t="s">
        <v>13</v>
      </c>
      <c r="S17" s="17">
        <f t="shared" ref="S17:AF17" si="9">SUM(C38:C41)</f>
        <v>6.7142857142857144</v>
      </c>
      <c r="T17" s="17">
        <f t="shared" si="9"/>
        <v>0.99999999999999989</v>
      </c>
      <c r="U17" s="17">
        <f t="shared" si="9"/>
        <v>4.7142857142857144</v>
      </c>
      <c r="V17" s="17">
        <f t="shared" si="9"/>
        <v>4.7142857142857135</v>
      </c>
      <c r="W17" s="17">
        <f t="shared" si="9"/>
        <v>0.14285714285714285</v>
      </c>
      <c r="X17" s="17">
        <f t="shared" si="9"/>
        <v>0</v>
      </c>
      <c r="Y17" s="17">
        <f t="shared" si="9"/>
        <v>6.1428571428571432</v>
      </c>
      <c r="Z17" s="17">
        <f t="shared" si="9"/>
        <v>1.2857142857142856</v>
      </c>
      <c r="AA17" s="17">
        <f t="shared" si="9"/>
        <v>0.71428571428571419</v>
      </c>
      <c r="AB17" s="17">
        <f t="shared" si="9"/>
        <v>3.5714285714285712</v>
      </c>
      <c r="AC17" s="17">
        <f t="shared" si="9"/>
        <v>83.428571428571416</v>
      </c>
      <c r="AD17" s="17">
        <f t="shared" si="9"/>
        <v>0</v>
      </c>
      <c r="AE17" s="31">
        <f t="shared" si="9"/>
        <v>29.000000000000007</v>
      </c>
      <c r="AF17" s="31">
        <f t="shared" si="9"/>
        <v>112.42857142857144</v>
      </c>
    </row>
    <row r="18" spans="2:32" ht="23.1" customHeight="1" x14ac:dyDescent="0.25">
      <c r="B18" s="23" t="s">
        <v>45</v>
      </c>
      <c r="C18" s="49">
        <f>'Avg Week Goli-Nebbi'!C18+'Avg Week Nebbi-Goli'!C18</f>
        <v>1.4285714285714286</v>
      </c>
      <c r="D18" s="49">
        <f>'Avg Week Goli-Nebbi'!D18+'Avg Week Nebbi-Goli'!D18</f>
        <v>0.2857142857142857</v>
      </c>
      <c r="E18" s="49">
        <f>'Avg Week Goli-Nebbi'!E18+'Avg Week Nebbi-Goli'!E18</f>
        <v>1.2857142857142856</v>
      </c>
      <c r="F18" s="49">
        <f>'Avg Week Goli-Nebbi'!F18+'Avg Week Nebbi-Goli'!F18</f>
        <v>1</v>
      </c>
      <c r="G18" s="49">
        <f>'Avg Week Goli-Nebbi'!G18+'Avg Week Nebbi-Goli'!G18</f>
        <v>0.14285714285714285</v>
      </c>
      <c r="H18" s="49">
        <f>'Avg Week Goli-Nebbi'!H18+'Avg Week Nebbi-Goli'!H18</f>
        <v>0</v>
      </c>
      <c r="I18" s="49">
        <f>'Avg Week Goli-Nebbi'!I18+'Avg Week Nebbi-Goli'!I18</f>
        <v>1.2857142857142856</v>
      </c>
      <c r="J18" s="49">
        <f>'Avg Week Goli-Nebbi'!J18+'Avg Week Nebbi-Goli'!J18</f>
        <v>0</v>
      </c>
      <c r="K18" s="49">
        <f>'Avg Week Goli-Nebbi'!K18+'Avg Week Nebbi-Goli'!K18</f>
        <v>0</v>
      </c>
      <c r="L18" s="49">
        <f>'Avg Week Goli-Nebbi'!L18+'Avg Week Nebbi-Goli'!L18</f>
        <v>1.1428571428571428</v>
      </c>
      <c r="M18" s="49">
        <f>'Avg Week Goli-Nebbi'!M18+'Avg Week Nebbi-Goli'!M18</f>
        <v>18.142857142857142</v>
      </c>
      <c r="N18" s="49">
        <f>'Avg Week Goli-Nebbi'!N18+'Avg Week Nebbi-Goli'!N18</f>
        <v>0</v>
      </c>
      <c r="O18" s="15">
        <f t="shared" si="0"/>
        <v>6.5714285714285712</v>
      </c>
      <c r="P18" s="15">
        <f t="shared" si="1"/>
        <v>24.714285714285715</v>
      </c>
      <c r="R18" s="1" t="s">
        <v>14</v>
      </c>
      <c r="S18" s="17">
        <f t="shared" ref="S18:AF18" si="10">SUM(C42:C45)</f>
        <v>7.4285714285714279</v>
      </c>
      <c r="T18" s="17">
        <f t="shared" si="10"/>
        <v>0.99999999999999978</v>
      </c>
      <c r="U18" s="17">
        <f t="shared" si="10"/>
        <v>6</v>
      </c>
      <c r="V18" s="17">
        <f t="shared" si="10"/>
        <v>4.4285714285714288</v>
      </c>
      <c r="W18" s="17">
        <f t="shared" si="10"/>
        <v>0.5714285714285714</v>
      </c>
      <c r="X18" s="17">
        <f t="shared" si="10"/>
        <v>0.14285714285714285</v>
      </c>
      <c r="Y18" s="17">
        <f t="shared" si="10"/>
        <v>6.5714285714285712</v>
      </c>
      <c r="Z18" s="17">
        <f t="shared" si="10"/>
        <v>0.42857142857142855</v>
      </c>
      <c r="AA18" s="17">
        <f t="shared" si="10"/>
        <v>0.42857142857142855</v>
      </c>
      <c r="AB18" s="17">
        <f t="shared" si="10"/>
        <v>1.7142857142857142</v>
      </c>
      <c r="AC18" s="17">
        <f t="shared" si="10"/>
        <v>84</v>
      </c>
      <c r="AD18" s="17">
        <f t="shared" si="10"/>
        <v>0</v>
      </c>
      <c r="AE18" s="31">
        <f t="shared" si="10"/>
        <v>28.714285714285719</v>
      </c>
      <c r="AF18" s="31">
        <f t="shared" si="10"/>
        <v>112.71428571428571</v>
      </c>
    </row>
    <row r="19" spans="2:32" ht="23.1" customHeight="1" x14ac:dyDescent="0.25">
      <c r="B19" s="23" t="s">
        <v>46</v>
      </c>
      <c r="C19" s="49">
        <f>'Avg Week Goli-Nebbi'!C19+'Avg Week Nebbi-Goli'!C19</f>
        <v>1.8571428571428572</v>
      </c>
      <c r="D19" s="49">
        <f>'Avg Week Goli-Nebbi'!D19+'Avg Week Nebbi-Goli'!D19</f>
        <v>0.42857142857142855</v>
      </c>
      <c r="E19" s="49">
        <f>'Avg Week Goli-Nebbi'!E19+'Avg Week Nebbi-Goli'!E19</f>
        <v>1.8571428571428572</v>
      </c>
      <c r="F19" s="49">
        <f>'Avg Week Goli-Nebbi'!F19+'Avg Week Nebbi-Goli'!F19</f>
        <v>1.5714285714285714</v>
      </c>
      <c r="G19" s="49">
        <f>'Avg Week Goli-Nebbi'!G19+'Avg Week Nebbi-Goli'!G19</f>
        <v>0.2857142857142857</v>
      </c>
      <c r="H19" s="49">
        <f>'Avg Week Goli-Nebbi'!H19+'Avg Week Nebbi-Goli'!H19</f>
        <v>0</v>
      </c>
      <c r="I19" s="49">
        <f>'Avg Week Goli-Nebbi'!I19+'Avg Week Nebbi-Goli'!I19</f>
        <v>1.2857142857142856</v>
      </c>
      <c r="J19" s="49">
        <f>'Avg Week Goli-Nebbi'!J19+'Avg Week Nebbi-Goli'!J19</f>
        <v>0.14285714285714285</v>
      </c>
      <c r="K19" s="49">
        <f>'Avg Week Goli-Nebbi'!K19+'Avg Week Nebbi-Goli'!K19</f>
        <v>0.42857142857142855</v>
      </c>
      <c r="L19" s="49">
        <f>'Avg Week Goli-Nebbi'!L19+'Avg Week Nebbi-Goli'!L19</f>
        <v>0.71428571428571419</v>
      </c>
      <c r="M19" s="49">
        <f>'Avg Week Goli-Nebbi'!M19+'Avg Week Nebbi-Goli'!M19</f>
        <v>28.285714285714285</v>
      </c>
      <c r="N19" s="49">
        <f>'Avg Week Goli-Nebbi'!N19+'Avg Week Nebbi-Goli'!N19</f>
        <v>0</v>
      </c>
      <c r="O19" s="15">
        <f t="shared" si="0"/>
        <v>8.5714285714285712</v>
      </c>
      <c r="P19" s="15">
        <f t="shared" si="1"/>
        <v>36.857142857142854</v>
      </c>
      <c r="R19" s="1" t="s">
        <v>15</v>
      </c>
      <c r="S19" s="17">
        <f t="shared" ref="S19:AF19" si="11">SUM(C46:C49)</f>
        <v>9.428571428571427</v>
      </c>
      <c r="T19" s="17">
        <f t="shared" si="11"/>
        <v>1.2857142857142856</v>
      </c>
      <c r="U19" s="17">
        <f t="shared" si="11"/>
        <v>5.7142857142857144</v>
      </c>
      <c r="V19" s="17">
        <f t="shared" si="11"/>
        <v>3</v>
      </c>
      <c r="W19" s="17">
        <f t="shared" si="11"/>
        <v>0.5714285714285714</v>
      </c>
      <c r="X19" s="17">
        <f t="shared" si="11"/>
        <v>0.14285714285714285</v>
      </c>
      <c r="Y19" s="17">
        <f t="shared" si="11"/>
        <v>7.5714285714285712</v>
      </c>
      <c r="Z19" s="17">
        <f t="shared" si="11"/>
        <v>0.5714285714285714</v>
      </c>
      <c r="AA19" s="17">
        <f t="shared" si="11"/>
        <v>1</v>
      </c>
      <c r="AB19" s="17">
        <f t="shared" si="11"/>
        <v>4.5714285714285712</v>
      </c>
      <c r="AC19" s="17">
        <f t="shared" si="11"/>
        <v>95</v>
      </c>
      <c r="AD19" s="17">
        <f t="shared" si="11"/>
        <v>0</v>
      </c>
      <c r="AE19" s="31">
        <f t="shared" si="11"/>
        <v>33.857142857142861</v>
      </c>
      <c r="AF19" s="31">
        <f t="shared" si="11"/>
        <v>128.85714285714286</v>
      </c>
    </row>
    <row r="20" spans="2:32" ht="23.1" customHeight="1" x14ac:dyDescent="0.25">
      <c r="B20" s="23" t="s">
        <v>47</v>
      </c>
      <c r="C20" s="49">
        <f>'Avg Week Goli-Nebbi'!C20+'Avg Week Nebbi-Goli'!C20</f>
        <v>2.1428571428571428</v>
      </c>
      <c r="D20" s="49">
        <f>'Avg Week Goli-Nebbi'!D20+'Avg Week Nebbi-Goli'!D20</f>
        <v>0.2857142857142857</v>
      </c>
      <c r="E20" s="49">
        <f>'Avg Week Goli-Nebbi'!E20+'Avg Week Nebbi-Goli'!E20</f>
        <v>1.5714285714285716</v>
      </c>
      <c r="F20" s="49">
        <f>'Avg Week Goli-Nebbi'!F20+'Avg Week Nebbi-Goli'!F20</f>
        <v>1.7142857142857142</v>
      </c>
      <c r="G20" s="49">
        <f>'Avg Week Goli-Nebbi'!G20+'Avg Week Nebbi-Goli'!G20</f>
        <v>0.14285714285714285</v>
      </c>
      <c r="H20" s="49">
        <f>'Avg Week Goli-Nebbi'!H20+'Avg Week Nebbi-Goli'!H20</f>
        <v>0</v>
      </c>
      <c r="I20" s="49">
        <f>'Avg Week Goli-Nebbi'!I20+'Avg Week Nebbi-Goli'!I20</f>
        <v>1.1428571428571428</v>
      </c>
      <c r="J20" s="49">
        <f>'Avg Week Goli-Nebbi'!J20+'Avg Week Nebbi-Goli'!J20</f>
        <v>0</v>
      </c>
      <c r="K20" s="49">
        <f>'Avg Week Goli-Nebbi'!K20+'Avg Week Nebbi-Goli'!K20</f>
        <v>0</v>
      </c>
      <c r="L20" s="49">
        <f>'Avg Week Goli-Nebbi'!L20+'Avg Week Nebbi-Goli'!L20</f>
        <v>0.5714285714285714</v>
      </c>
      <c r="M20" s="49">
        <f>'Avg Week Goli-Nebbi'!M20+'Avg Week Nebbi-Goli'!M20</f>
        <v>26.857142857142858</v>
      </c>
      <c r="N20" s="49">
        <f>'Avg Week Goli-Nebbi'!N20+'Avg Week Nebbi-Goli'!N20</f>
        <v>0.14285714285714285</v>
      </c>
      <c r="O20" s="15">
        <f t="shared" si="0"/>
        <v>7.7142857142857144</v>
      </c>
      <c r="P20" s="15">
        <f t="shared" si="1"/>
        <v>34.571428571428577</v>
      </c>
      <c r="R20" s="1" t="s">
        <v>16</v>
      </c>
      <c r="S20" s="17">
        <f t="shared" ref="S20:AF20" si="12">SUM(C50:C53)</f>
        <v>9.8571428571428559</v>
      </c>
      <c r="T20" s="17">
        <f t="shared" si="12"/>
        <v>2.1428571428571428</v>
      </c>
      <c r="U20" s="17">
        <f t="shared" si="12"/>
        <v>8.8571428571428577</v>
      </c>
      <c r="V20" s="17">
        <f t="shared" si="12"/>
        <v>5.1428571428571423</v>
      </c>
      <c r="W20" s="17">
        <f t="shared" si="12"/>
        <v>0.14285714285714285</v>
      </c>
      <c r="X20" s="17">
        <f t="shared" si="12"/>
        <v>0.14285714285714285</v>
      </c>
      <c r="Y20" s="17">
        <f t="shared" si="12"/>
        <v>6.4285714285714288</v>
      </c>
      <c r="Z20" s="17">
        <f t="shared" si="12"/>
        <v>0.42857142857142855</v>
      </c>
      <c r="AA20" s="17">
        <f t="shared" si="12"/>
        <v>0.85714285714285698</v>
      </c>
      <c r="AB20" s="17">
        <f t="shared" si="12"/>
        <v>3.5714285714285716</v>
      </c>
      <c r="AC20" s="17">
        <f t="shared" si="12"/>
        <v>97.285714285714292</v>
      </c>
      <c r="AD20" s="17">
        <f t="shared" si="12"/>
        <v>0</v>
      </c>
      <c r="AE20" s="31">
        <f t="shared" si="12"/>
        <v>37.571428571428569</v>
      </c>
      <c r="AF20" s="31">
        <f t="shared" si="12"/>
        <v>134.85714285714286</v>
      </c>
    </row>
    <row r="21" spans="2:32" ht="23.1" customHeight="1" x14ac:dyDescent="0.25">
      <c r="B21" s="23" t="s">
        <v>48</v>
      </c>
      <c r="C21" s="49">
        <f>'Avg Week Goli-Nebbi'!C21+'Avg Week Nebbi-Goli'!C21</f>
        <v>1.8571428571428572</v>
      </c>
      <c r="D21" s="49">
        <f>'Avg Week Goli-Nebbi'!D21+'Avg Week Nebbi-Goli'!D21</f>
        <v>0.42857142857142855</v>
      </c>
      <c r="E21" s="49">
        <f>'Avg Week Goli-Nebbi'!E21+'Avg Week Nebbi-Goli'!E21</f>
        <v>1.5714285714285714</v>
      </c>
      <c r="F21" s="49">
        <f>'Avg Week Goli-Nebbi'!F21+'Avg Week Nebbi-Goli'!F21</f>
        <v>0.14285714285714285</v>
      </c>
      <c r="G21" s="49">
        <f>'Avg Week Goli-Nebbi'!G21+'Avg Week Nebbi-Goli'!G21</f>
        <v>0</v>
      </c>
      <c r="H21" s="49">
        <f>'Avg Week Goli-Nebbi'!H21+'Avg Week Nebbi-Goli'!H21</f>
        <v>0</v>
      </c>
      <c r="I21" s="49">
        <f>'Avg Week Goli-Nebbi'!I21+'Avg Week Nebbi-Goli'!I21</f>
        <v>0.71428571428571419</v>
      </c>
      <c r="J21" s="49">
        <f>'Avg Week Goli-Nebbi'!J21+'Avg Week Nebbi-Goli'!J21</f>
        <v>0</v>
      </c>
      <c r="K21" s="49">
        <f>'Avg Week Goli-Nebbi'!K21+'Avg Week Nebbi-Goli'!K21</f>
        <v>0.2857142857142857</v>
      </c>
      <c r="L21" s="49">
        <f>'Avg Week Goli-Nebbi'!L21+'Avg Week Nebbi-Goli'!L21</f>
        <v>1.7142857142857142</v>
      </c>
      <c r="M21" s="49">
        <f>'Avg Week Goli-Nebbi'!M21+'Avg Week Nebbi-Goli'!M21</f>
        <v>25.428571428571431</v>
      </c>
      <c r="N21" s="49">
        <f>'Avg Week Goli-Nebbi'!N21+'Avg Week Nebbi-Goli'!N21</f>
        <v>0</v>
      </c>
      <c r="O21" s="15">
        <f t="shared" si="0"/>
        <v>6.7142857142857135</v>
      </c>
      <c r="P21" s="15">
        <f t="shared" si="1"/>
        <v>32.142857142857146</v>
      </c>
      <c r="R21" s="36" t="s">
        <v>20</v>
      </c>
      <c r="S21" s="34">
        <f t="shared" ref="S21:AF21" si="13">SUM(C54:C57)</f>
        <v>8.7142857142857153</v>
      </c>
      <c r="T21" s="17">
        <f t="shared" si="13"/>
        <v>2.1428571428571428</v>
      </c>
      <c r="U21" s="17">
        <f t="shared" si="13"/>
        <v>7</v>
      </c>
      <c r="V21" s="17">
        <f t="shared" si="13"/>
        <v>3.714285714285714</v>
      </c>
      <c r="W21" s="17">
        <f t="shared" si="13"/>
        <v>0.5714285714285714</v>
      </c>
      <c r="X21" s="17">
        <f t="shared" si="13"/>
        <v>0.42857142857142855</v>
      </c>
      <c r="Y21" s="17">
        <f t="shared" si="13"/>
        <v>4.8571428571428568</v>
      </c>
      <c r="Z21" s="17">
        <f t="shared" si="13"/>
        <v>0.5714285714285714</v>
      </c>
      <c r="AA21" s="17">
        <f t="shared" si="13"/>
        <v>0.99999999999999989</v>
      </c>
      <c r="AB21" s="17">
        <f t="shared" si="13"/>
        <v>5.2857142857142856</v>
      </c>
      <c r="AC21" s="17">
        <f t="shared" si="13"/>
        <v>103</v>
      </c>
      <c r="AD21" s="17">
        <f t="shared" si="13"/>
        <v>0</v>
      </c>
      <c r="AE21" s="31">
        <f t="shared" si="13"/>
        <v>34.285714285714285</v>
      </c>
      <c r="AF21" s="31">
        <f t="shared" si="13"/>
        <v>137.28571428571428</v>
      </c>
    </row>
    <row r="22" spans="2:32" ht="23.1" customHeight="1" x14ac:dyDescent="0.25">
      <c r="B22" s="23" t="s">
        <v>49</v>
      </c>
      <c r="C22" s="49">
        <f>'Avg Week Goli-Nebbi'!C22+'Avg Week Nebbi-Goli'!C22</f>
        <v>1.2857142857142856</v>
      </c>
      <c r="D22" s="49">
        <f>'Avg Week Goli-Nebbi'!D22+'Avg Week Nebbi-Goli'!D22</f>
        <v>0</v>
      </c>
      <c r="E22" s="49">
        <f>'Avg Week Goli-Nebbi'!E22+'Avg Week Nebbi-Goli'!E22</f>
        <v>0.71428571428571419</v>
      </c>
      <c r="F22" s="49">
        <f>'Avg Week Goli-Nebbi'!F22+'Avg Week Nebbi-Goli'!F22</f>
        <v>1.1428571428571428</v>
      </c>
      <c r="G22" s="49">
        <f>'Avg Week Goli-Nebbi'!G22+'Avg Week Nebbi-Goli'!G22</f>
        <v>0.14285714285714285</v>
      </c>
      <c r="H22" s="49">
        <f>'Avg Week Goli-Nebbi'!H22+'Avg Week Nebbi-Goli'!H22</f>
        <v>0</v>
      </c>
      <c r="I22" s="49">
        <f>'Avg Week Goli-Nebbi'!I22+'Avg Week Nebbi-Goli'!I22</f>
        <v>2.1428571428571428</v>
      </c>
      <c r="J22" s="49">
        <f>'Avg Week Goli-Nebbi'!J22+'Avg Week Nebbi-Goli'!J22</f>
        <v>0.14285714285714285</v>
      </c>
      <c r="K22" s="49">
        <f>'Avg Week Goli-Nebbi'!K22+'Avg Week Nebbi-Goli'!K22</f>
        <v>0.14285714285714285</v>
      </c>
      <c r="L22" s="49">
        <f>'Avg Week Goli-Nebbi'!L22+'Avg Week Nebbi-Goli'!L22</f>
        <v>0.85714285714285721</v>
      </c>
      <c r="M22" s="49">
        <f>'Avg Week Goli-Nebbi'!M22+'Avg Week Nebbi-Goli'!M22</f>
        <v>21.714285714285715</v>
      </c>
      <c r="N22" s="49">
        <f>'Avg Week Goli-Nebbi'!N22+'Avg Week Nebbi-Goli'!N22</f>
        <v>0.14285714285714285</v>
      </c>
      <c r="O22" s="15">
        <f t="shared" si="0"/>
        <v>6.7142857142857144</v>
      </c>
      <c r="P22" s="15">
        <f t="shared" si="1"/>
        <v>28.428571428571427</v>
      </c>
      <c r="R22" s="1" t="s">
        <v>146</v>
      </c>
      <c r="S22" s="34">
        <f>SUM(C58:C61)</f>
        <v>5.6666666666666661</v>
      </c>
      <c r="T22" s="34">
        <f t="shared" ref="T22:AF22" si="14">SUM(D58:D61)</f>
        <v>0.5</v>
      </c>
      <c r="U22" s="34">
        <f t="shared" si="14"/>
        <v>1.8333333333333333</v>
      </c>
      <c r="V22" s="34">
        <f t="shared" si="14"/>
        <v>1.8333333333333333</v>
      </c>
      <c r="W22" s="34">
        <f t="shared" si="14"/>
        <v>0.33333333333333331</v>
      </c>
      <c r="X22" s="34">
        <f t="shared" si="14"/>
        <v>1.833333333333333</v>
      </c>
      <c r="Y22" s="34">
        <f t="shared" si="14"/>
        <v>3</v>
      </c>
      <c r="Z22" s="34">
        <f t="shared" si="14"/>
        <v>1</v>
      </c>
      <c r="AA22" s="34">
        <f t="shared" si="14"/>
        <v>0.5</v>
      </c>
      <c r="AB22" s="34">
        <f t="shared" si="14"/>
        <v>2.6666666666666665</v>
      </c>
      <c r="AC22" s="34">
        <f t="shared" si="14"/>
        <v>100.00000000000001</v>
      </c>
      <c r="AD22" s="34">
        <f t="shared" si="14"/>
        <v>0</v>
      </c>
      <c r="AE22" s="31">
        <f t="shared" si="14"/>
        <v>19.166666666666668</v>
      </c>
      <c r="AF22" s="31">
        <f t="shared" si="14"/>
        <v>119.16666666666667</v>
      </c>
    </row>
    <row r="23" spans="2:32" ht="23.1" customHeight="1" x14ac:dyDescent="0.25">
      <c r="B23" s="23" t="s">
        <v>50</v>
      </c>
      <c r="C23" s="49">
        <f>'Avg Week Goli-Nebbi'!C23+'Avg Week Nebbi-Goli'!C23</f>
        <v>1.8571428571428572</v>
      </c>
      <c r="D23" s="49">
        <f>'Avg Week Goli-Nebbi'!D23+'Avg Week Nebbi-Goli'!D23</f>
        <v>0.2857142857142857</v>
      </c>
      <c r="E23" s="49">
        <f>'Avg Week Goli-Nebbi'!E23+'Avg Week Nebbi-Goli'!E23</f>
        <v>1.1428571428571428</v>
      </c>
      <c r="F23" s="49">
        <f>'Avg Week Goli-Nebbi'!F23+'Avg Week Nebbi-Goli'!F23</f>
        <v>1.1428571428571428</v>
      </c>
      <c r="G23" s="49">
        <f>'Avg Week Goli-Nebbi'!G23+'Avg Week Nebbi-Goli'!G23</f>
        <v>0</v>
      </c>
      <c r="H23" s="49">
        <f>'Avg Week Goli-Nebbi'!H23+'Avg Week Nebbi-Goli'!H23</f>
        <v>0</v>
      </c>
      <c r="I23" s="49">
        <f>'Avg Week Goli-Nebbi'!I23+'Avg Week Nebbi-Goli'!I23</f>
        <v>1.1428571428571428</v>
      </c>
      <c r="J23" s="49">
        <f>'Avg Week Goli-Nebbi'!J23+'Avg Week Nebbi-Goli'!J23</f>
        <v>0.14285714285714285</v>
      </c>
      <c r="K23" s="49">
        <f>'Avg Week Goli-Nebbi'!K23+'Avg Week Nebbi-Goli'!K23</f>
        <v>0.14285714285714285</v>
      </c>
      <c r="L23" s="49">
        <f>'Avg Week Goli-Nebbi'!L23+'Avg Week Nebbi-Goli'!L23</f>
        <v>1.1428571428571428</v>
      </c>
      <c r="M23" s="49">
        <f>'Avg Week Goli-Nebbi'!M23+'Avg Week Nebbi-Goli'!M23</f>
        <v>28.428571428571431</v>
      </c>
      <c r="N23" s="49">
        <f>'Avg Week Goli-Nebbi'!N23+'Avg Week Nebbi-Goli'!N23</f>
        <v>0</v>
      </c>
      <c r="O23" s="15">
        <f t="shared" si="0"/>
        <v>7</v>
      </c>
      <c r="P23" s="15">
        <f t="shared" si="1"/>
        <v>35.428571428571431</v>
      </c>
      <c r="R23" s="1" t="s">
        <v>147</v>
      </c>
      <c r="S23" s="34">
        <f>SUM(C62:C65)</f>
        <v>5.1666666666666661</v>
      </c>
      <c r="T23" s="34">
        <f t="shared" ref="T23:AF23" si="15">SUM(D62:D65)</f>
        <v>0.5</v>
      </c>
      <c r="U23" s="34">
        <f t="shared" si="15"/>
        <v>3.3333333333333335</v>
      </c>
      <c r="V23" s="34">
        <f t="shared" si="15"/>
        <v>0.5</v>
      </c>
      <c r="W23" s="34">
        <f t="shared" si="15"/>
        <v>0.66666666666666663</v>
      </c>
      <c r="X23" s="34">
        <f t="shared" si="15"/>
        <v>0</v>
      </c>
      <c r="Y23" s="34">
        <f t="shared" si="15"/>
        <v>3.6666666666666665</v>
      </c>
      <c r="Z23" s="34">
        <f t="shared" si="15"/>
        <v>1</v>
      </c>
      <c r="AA23" s="34">
        <f t="shared" si="15"/>
        <v>0</v>
      </c>
      <c r="AB23" s="34">
        <f t="shared" si="15"/>
        <v>2.333333333333333</v>
      </c>
      <c r="AC23" s="34">
        <f t="shared" si="15"/>
        <v>64.333333333333343</v>
      </c>
      <c r="AD23" s="34">
        <f t="shared" si="15"/>
        <v>0</v>
      </c>
      <c r="AE23" s="31">
        <f t="shared" si="15"/>
        <v>17.166666666666664</v>
      </c>
      <c r="AF23" s="31">
        <f t="shared" si="15"/>
        <v>81.5</v>
      </c>
    </row>
    <row r="24" spans="2:32" ht="23.1" customHeight="1" x14ac:dyDescent="0.25">
      <c r="B24" s="23" t="s">
        <v>51</v>
      </c>
      <c r="C24" s="49">
        <f>'Avg Week Goli-Nebbi'!C24+'Avg Week Nebbi-Goli'!C24</f>
        <v>2.5714285714285712</v>
      </c>
      <c r="D24" s="49">
        <f>'Avg Week Goli-Nebbi'!D24+'Avg Week Nebbi-Goli'!D24</f>
        <v>0</v>
      </c>
      <c r="E24" s="49">
        <f>'Avg Week Goli-Nebbi'!E24+'Avg Week Nebbi-Goli'!E24</f>
        <v>0.8571428571428571</v>
      </c>
      <c r="F24" s="49">
        <f>'Avg Week Goli-Nebbi'!F24+'Avg Week Nebbi-Goli'!F24</f>
        <v>1</v>
      </c>
      <c r="G24" s="49">
        <f>'Avg Week Goli-Nebbi'!G24+'Avg Week Nebbi-Goli'!G24</f>
        <v>0</v>
      </c>
      <c r="H24" s="49">
        <f>'Avg Week Goli-Nebbi'!H24+'Avg Week Nebbi-Goli'!H24</f>
        <v>0</v>
      </c>
      <c r="I24" s="49">
        <f>'Avg Week Goli-Nebbi'!I24+'Avg Week Nebbi-Goli'!I24</f>
        <v>1.1428571428571428</v>
      </c>
      <c r="J24" s="49">
        <f>'Avg Week Goli-Nebbi'!J24+'Avg Week Nebbi-Goli'!J24</f>
        <v>0.42857142857142855</v>
      </c>
      <c r="K24" s="49">
        <f>'Avg Week Goli-Nebbi'!K24+'Avg Week Nebbi-Goli'!K24</f>
        <v>0.14285714285714285</v>
      </c>
      <c r="L24" s="49">
        <f>'Avg Week Goli-Nebbi'!L24+'Avg Week Nebbi-Goli'!L24</f>
        <v>1.8571428571428572</v>
      </c>
      <c r="M24" s="49">
        <f>'Avg Week Goli-Nebbi'!M24+'Avg Week Nebbi-Goli'!M24</f>
        <v>27.571428571428569</v>
      </c>
      <c r="N24" s="49">
        <f>'Avg Week Goli-Nebbi'!N24+'Avg Week Nebbi-Goli'!N24</f>
        <v>0</v>
      </c>
      <c r="O24" s="15">
        <f t="shared" si="0"/>
        <v>8</v>
      </c>
      <c r="P24" s="15">
        <f t="shared" si="1"/>
        <v>35.571428571428569</v>
      </c>
      <c r="R24" s="1" t="s">
        <v>148</v>
      </c>
      <c r="S24" s="34">
        <f>SUM(C66:C69)</f>
        <v>5.6666666666666661</v>
      </c>
      <c r="T24" s="34">
        <f t="shared" ref="T24:AF24" si="16">SUM(D66:D69)</f>
        <v>0.5</v>
      </c>
      <c r="U24" s="34">
        <f t="shared" si="16"/>
        <v>2</v>
      </c>
      <c r="V24" s="34">
        <f t="shared" si="16"/>
        <v>0.66666666666666663</v>
      </c>
      <c r="W24" s="34">
        <f t="shared" si="16"/>
        <v>0</v>
      </c>
      <c r="X24" s="34">
        <f t="shared" si="16"/>
        <v>2.5</v>
      </c>
      <c r="Y24" s="34">
        <f t="shared" si="16"/>
        <v>2.833333333333333</v>
      </c>
      <c r="Z24" s="34">
        <f t="shared" si="16"/>
        <v>0</v>
      </c>
      <c r="AA24" s="34">
        <f t="shared" si="16"/>
        <v>0.33333333333333331</v>
      </c>
      <c r="AB24" s="34">
        <f t="shared" si="16"/>
        <v>1.6666666666666665</v>
      </c>
      <c r="AC24" s="34">
        <f t="shared" si="16"/>
        <v>37.833333333333336</v>
      </c>
      <c r="AD24" s="34">
        <f t="shared" si="16"/>
        <v>0</v>
      </c>
      <c r="AE24" s="31">
        <f t="shared" si="16"/>
        <v>16.166666666666668</v>
      </c>
      <c r="AF24" s="31">
        <f t="shared" si="16"/>
        <v>54</v>
      </c>
    </row>
    <row r="25" spans="2:32" ht="23.1" customHeight="1" x14ac:dyDescent="0.25">
      <c r="B25" s="23" t="s">
        <v>52</v>
      </c>
      <c r="C25" s="49">
        <f>'Avg Week Goli-Nebbi'!C25+'Avg Week Nebbi-Goli'!C25</f>
        <v>1.7142857142857144</v>
      </c>
      <c r="D25" s="49">
        <f>'Avg Week Goli-Nebbi'!D25+'Avg Week Nebbi-Goli'!D25</f>
        <v>0.5714285714285714</v>
      </c>
      <c r="E25" s="49">
        <f>'Avg Week Goli-Nebbi'!E25+'Avg Week Nebbi-Goli'!E25</f>
        <v>1.5714285714285714</v>
      </c>
      <c r="F25" s="49">
        <f>'Avg Week Goli-Nebbi'!F25+'Avg Week Nebbi-Goli'!F25</f>
        <v>0.42857142857142855</v>
      </c>
      <c r="G25" s="49">
        <f>'Avg Week Goli-Nebbi'!G25+'Avg Week Nebbi-Goli'!G25</f>
        <v>0</v>
      </c>
      <c r="H25" s="49">
        <f>'Avg Week Goli-Nebbi'!H25+'Avg Week Nebbi-Goli'!H25</f>
        <v>0</v>
      </c>
      <c r="I25" s="49">
        <f>'Avg Week Goli-Nebbi'!I25+'Avg Week Nebbi-Goli'!I25</f>
        <v>1.7142857142857144</v>
      </c>
      <c r="J25" s="49">
        <f>'Avg Week Goli-Nebbi'!J25+'Avg Week Nebbi-Goli'!J25</f>
        <v>0.14285714285714285</v>
      </c>
      <c r="K25" s="49">
        <f>'Avg Week Goli-Nebbi'!K25+'Avg Week Nebbi-Goli'!K25</f>
        <v>0</v>
      </c>
      <c r="L25" s="49">
        <f>'Avg Week Goli-Nebbi'!L25+'Avg Week Nebbi-Goli'!L25</f>
        <v>1.4285714285714284</v>
      </c>
      <c r="M25" s="49">
        <f>'Avg Week Goli-Nebbi'!M25+'Avg Week Nebbi-Goli'!M25</f>
        <v>23.857142857142858</v>
      </c>
      <c r="N25" s="49">
        <f>'Avg Week Goli-Nebbi'!N25+'Avg Week Nebbi-Goli'!N25</f>
        <v>0</v>
      </c>
      <c r="O25" s="15">
        <f t="shared" si="0"/>
        <v>7.5714285714285712</v>
      </c>
      <c r="P25" s="15">
        <f t="shared" si="1"/>
        <v>31.428571428571431</v>
      </c>
      <c r="R25" s="1" t="s">
        <v>149</v>
      </c>
      <c r="S25" s="34">
        <f>SUM(C70:C73)</f>
        <v>1.3333333333333333</v>
      </c>
      <c r="T25" s="34">
        <f t="shared" ref="T25:AF25" si="17">SUM(D70:D73)</f>
        <v>0</v>
      </c>
      <c r="U25" s="34">
        <f t="shared" si="17"/>
        <v>1.6666666666666665</v>
      </c>
      <c r="V25" s="34">
        <f t="shared" si="17"/>
        <v>0.83333333333333326</v>
      </c>
      <c r="W25" s="34">
        <f t="shared" si="17"/>
        <v>0</v>
      </c>
      <c r="X25" s="34">
        <f t="shared" si="17"/>
        <v>0.83333333333333326</v>
      </c>
      <c r="Y25" s="34">
        <f t="shared" si="17"/>
        <v>2.6666666666666665</v>
      </c>
      <c r="Z25" s="34">
        <f t="shared" si="17"/>
        <v>0.5</v>
      </c>
      <c r="AA25" s="34">
        <f t="shared" si="17"/>
        <v>0</v>
      </c>
      <c r="AB25" s="34">
        <f t="shared" si="17"/>
        <v>0.83333333333333326</v>
      </c>
      <c r="AC25" s="34">
        <f t="shared" si="17"/>
        <v>27</v>
      </c>
      <c r="AD25" s="34">
        <f t="shared" si="17"/>
        <v>0</v>
      </c>
      <c r="AE25" s="31">
        <f t="shared" si="17"/>
        <v>8.6666666666666661</v>
      </c>
      <c r="AF25" s="31">
        <f t="shared" si="17"/>
        <v>35.666666666666664</v>
      </c>
    </row>
    <row r="26" spans="2:32" ht="23.1" customHeight="1" x14ac:dyDescent="0.25">
      <c r="B26" s="23" t="s">
        <v>53</v>
      </c>
      <c r="C26" s="49">
        <f>'Avg Week Goli-Nebbi'!C26+'Avg Week Nebbi-Goli'!C26</f>
        <v>0.8571428571428571</v>
      </c>
      <c r="D26" s="49">
        <f>'Avg Week Goli-Nebbi'!D26+'Avg Week Nebbi-Goli'!D26</f>
        <v>0.5714285714285714</v>
      </c>
      <c r="E26" s="49">
        <f>'Avg Week Goli-Nebbi'!E26+'Avg Week Nebbi-Goli'!E26</f>
        <v>2.1428571428571428</v>
      </c>
      <c r="F26" s="49">
        <f>'Avg Week Goli-Nebbi'!F26+'Avg Week Nebbi-Goli'!F26</f>
        <v>0.5714285714285714</v>
      </c>
      <c r="G26" s="49">
        <f>'Avg Week Goli-Nebbi'!G26+'Avg Week Nebbi-Goli'!G26</f>
        <v>0.14285714285714285</v>
      </c>
      <c r="H26" s="49">
        <f>'Avg Week Goli-Nebbi'!H26+'Avg Week Nebbi-Goli'!H26</f>
        <v>0</v>
      </c>
      <c r="I26" s="49">
        <f>'Avg Week Goli-Nebbi'!I26+'Avg Week Nebbi-Goli'!I26</f>
        <v>1.1428571428571428</v>
      </c>
      <c r="J26" s="49">
        <f>'Avg Week Goli-Nebbi'!J26+'Avg Week Nebbi-Goli'!J26</f>
        <v>0</v>
      </c>
      <c r="K26" s="49">
        <f>'Avg Week Goli-Nebbi'!K26+'Avg Week Nebbi-Goli'!K26</f>
        <v>0.2857142857142857</v>
      </c>
      <c r="L26" s="49">
        <f>'Avg Week Goli-Nebbi'!L26+'Avg Week Nebbi-Goli'!L26</f>
        <v>1</v>
      </c>
      <c r="M26" s="49">
        <f>'Avg Week Goli-Nebbi'!M26+'Avg Week Nebbi-Goli'!M26</f>
        <v>25.428571428571427</v>
      </c>
      <c r="N26" s="49">
        <f>'Avg Week Goli-Nebbi'!N26+'Avg Week Nebbi-Goli'!N26</f>
        <v>0</v>
      </c>
      <c r="O26" s="15">
        <f t="shared" si="0"/>
        <v>6.7142857142857144</v>
      </c>
      <c r="P26" s="15">
        <f t="shared" si="1"/>
        <v>32.142857142857139</v>
      </c>
      <c r="R26" s="1" t="s">
        <v>150</v>
      </c>
      <c r="S26" s="34">
        <f>SUM(C74:C77)</f>
        <v>2.333333333333333</v>
      </c>
      <c r="T26" s="34">
        <f t="shared" ref="T26:AF26" si="18">SUM(D74:D77)</f>
        <v>0</v>
      </c>
      <c r="U26" s="34">
        <f t="shared" si="18"/>
        <v>1.1666666666666665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1.6666666666666665</v>
      </c>
      <c r="AC26" s="34">
        <f t="shared" si="18"/>
        <v>11.5</v>
      </c>
      <c r="AD26" s="34">
        <f t="shared" si="18"/>
        <v>0</v>
      </c>
      <c r="AE26" s="31">
        <f t="shared" si="18"/>
        <v>5.1666666666666661</v>
      </c>
      <c r="AF26" s="31">
        <f t="shared" si="18"/>
        <v>16.666666666666668</v>
      </c>
    </row>
    <row r="27" spans="2:32" ht="23.1" customHeight="1" x14ac:dyDescent="0.25">
      <c r="B27" s="23" t="s">
        <v>54</v>
      </c>
      <c r="C27" s="49">
        <f>'Avg Week Goli-Nebbi'!C27+'Avg Week Nebbi-Goli'!C27</f>
        <v>0.8571428571428571</v>
      </c>
      <c r="D27" s="49">
        <f>'Avg Week Goli-Nebbi'!D27+'Avg Week Nebbi-Goli'!D27</f>
        <v>0.2857142857142857</v>
      </c>
      <c r="E27" s="49">
        <f>'Avg Week Goli-Nebbi'!E27+'Avg Week Nebbi-Goli'!E27</f>
        <v>1.5714285714285714</v>
      </c>
      <c r="F27" s="49">
        <f>'Avg Week Goli-Nebbi'!F27+'Avg Week Nebbi-Goli'!F27</f>
        <v>1.1428571428571428</v>
      </c>
      <c r="G27" s="49">
        <f>'Avg Week Goli-Nebbi'!G27+'Avg Week Nebbi-Goli'!G27</f>
        <v>0</v>
      </c>
      <c r="H27" s="49">
        <f>'Avg Week Goli-Nebbi'!H27+'Avg Week Nebbi-Goli'!H27</f>
        <v>0</v>
      </c>
      <c r="I27" s="49">
        <f>'Avg Week Goli-Nebbi'!I27+'Avg Week Nebbi-Goli'!I27</f>
        <v>1.1428571428571428</v>
      </c>
      <c r="J27" s="49">
        <f>'Avg Week Goli-Nebbi'!J27+'Avg Week Nebbi-Goli'!J27</f>
        <v>0</v>
      </c>
      <c r="K27" s="49">
        <f>'Avg Week Goli-Nebbi'!K27+'Avg Week Nebbi-Goli'!K27</f>
        <v>0</v>
      </c>
      <c r="L27" s="49">
        <f>'Avg Week Goli-Nebbi'!L27+'Avg Week Nebbi-Goli'!L27</f>
        <v>0.71428571428571419</v>
      </c>
      <c r="M27" s="49">
        <f>'Avg Week Goli-Nebbi'!M27+'Avg Week Nebbi-Goli'!M27</f>
        <v>25.714285714285715</v>
      </c>
      <c r="N27" s="49">
        <f>'Avg Week Goli-Nebbi'!N27+'Avg Week Nebbi-Goli'!N27</f>
        <v>0</v>
      </c>
      <c r="O27" s="15">
        <f t="shared" si="0"/>
        <v>5.7142857142857144</v>
      </c>
      <c r="P27" s="15">
        <f t="shared" si="1"/>
        <v>31.428571428571431</v>
      </c>
      <c r="R27" s="1" t="s">
        <v>151</v>
      </c>
      <c r="S27" s="34">
        <f>SUM(C78:C81)</f>
        <v>1.1666666666666665</v>
      </c>
      <c r="T27" s="34">
        <f t="shared" ref="T27:AF27" si="19">SUM(D78:D81)</f>
        <v>0</v>
      </c>
      <c r="U27" s="34">
        <f t="shared" si="19"/>
        <v>0.66666666666666663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0.83333333333333326</v>
      </c>
      <c r="Z27" s="34">
        <f t="shared" si="19"/>
        <v>0</v>
      </c>
      <c r="AA27" s="34">
        <f t="shared" si="19"/>
        <v>0</v>
      </c>
      <c r="AB27" s="34">
        <f t="shared" si="19"/>
        <v>0.33333333333333331</v>
      </c>
      <c r="AC27" s="34">
        <f t="shared" si="19"/>
        <v>7.4999999999999982</v>
      </c>
      <c r="AD27" s="34">
        <f t="shared" si="19"/>
        <v>0</v>
      </c>
      <c r="AE27" s="31">
        <f t="shared" si="19"/>
        <v>3</v>
      </c>
      <c r="AF27" s="31">
        <f t="shared" si="19"/>
        <v>10.499999999999998</v>
      </c>
    </row>
    <row r="28" spans="2:32" ht="23.1" customHeight="1" x14ac:dyDescent="0.25">
      <c r="B28" s="23" t="s">
        <v>55</v>
      </c>
      <c r="C28" s="49">
        <f>'Avg Week Goli-Nebbi'!C28+'Avg Week Nebbi-Goli'!C28</f>
        <v>1.4285714285714284</v>
      </c>
      <c r="D28" s="49">
        <f>'Avg Week Goli-Nebbi'!D28+'Avg Week Nebbi-Goli'!D28</f>
        <v>0.42857142857142855</v>
      </c>
      <c r="E28" s="49">
        <f>'Avg Week Goli-Nebbi'!E28+'Avg Week Nebbi-Goli'!E28</f>
        <v>1.8571428571428572</v>
      </c>
      <c r="F28" s="49">
        <f>'Avg Week Goli-Nebbi'!F28+'Avg Week Nebbi-Goli'!F28</f>
        <v>0.2857142857142857</v>
      </c>
      <c r="G28" s="49">
        <f>'Avg Week Goli-Nebbi'!G28+'Avg Week Nebbi-Goli'!G28</f>
        <v>0.2857142857142857</v>
      </c>
      <c r="H28" s="49">
        <f>'Avg Week Goli-Nebbi'!H28+'Avg Week Nebbi-Goli'!H28</f>
        <v>0</v>
      </c>
      <c r="I28" s="49">
        <f>'Avg Week Goli-Nebbi'!I28+'Avg Week Nebbi-Goli'!I28</f>
        <v>1.7142857142857144</v>
      </c>
      <c r="J28" s="49">
        <f>'Avg Week Goli-Nebbi'!J28+'Avg Week Nebbi-Goli'!J28</f>
        <v>0.14285714285714285</v>
      </c>
      <c r="K28" s="49">
        <f>'Avg Week Goli-Nebbi'!K28+'Avg Week Nebbi-Goli'!K28</f>
        <v>0.14285714285714285</v>
      </c>
      <c r="L28" s="49">
        <f>'Avg Week Goli-Nebbi'!L28+'Avg Week Nebbi-Goli'!L28</f>
        <v>0.85714285714285721</v>
      </c>
      <c r="M28" s="49">
        <f>'Avg Week Goli-Nebbi'!M28+'Avg Week Nebbi-Goli'!M28</f>
        <v>25.142857142857142</v>
      </c>
      <c r="N28" s="49">
        <f>'Avg Week Goli-Nebbi'!N28+'Avg Week Nebbi-Goli'!N28</f>
        <v>0</v>
      </c>
      <c r="O28" s="15">
        <f t="shared" si="0"/>
        <v>7.1428571428571441</v>
      </c>
      <c r="P28" s="15">
        <f t="shared" si="1"/>
        <v>32.285714285714285</v>
      </c>
      <c r="R28" s="1" t="s">
        <v>152</v>
      </c>
      <c r="S28" s="34">
        <f>SUM(C82:C85)</f>
        <v>1.8333333333333333</v>
      </c>
      <c r="T28" s="34">
        <f t="shared" ref="T28:AF28" si="20">SUM(D82:D85)</f>
        <v>0</v>
      </c>
      <c r="U28" s="34">
        <f t="shared" si="20"/>
        <v>0.83333333333333326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0.83333333333333326</v>
      </c>
      <c r="Z28" s="34">
        <f t="shared" si="20"/>
        <v>0.33333333333333331</v>
      </c>
      <c r="AA28" s="34">
        <f t="shared" si="20"/>
        <v>0</v>
      </c>
      <c r="AB28" s="34">
        <f t="shared" si="20"/>
        <v>1.6666666666666665</v>
      </c>
      <c r="AC28" s="34">
        <f t="shared" si="20"/>
        <v>2.6666666666666665</v>
      </c>
      <c r="AD28" s="34">
        <f t="shared" si="20"/>
        <v>0</v>
      </c>
      <c r="AE28" s="31">
        <f t="shared" si="20"/>
        <v>5.5</v>
      </c>
      <c r="AF28" s="31">
        <f t="shared" si="20"/>
        <v>8.1666666666666661</v>
      </c>
    </row>
    <row r="29" spans="2:32" ht="23.1" customHeight="1" x14ac:dyDescent="0.25">
      <c r="B29" s="23" t="s">
        <v>56</v>
      </c>
      <c r="C29" s="49">
        <f>'Avg Week Goli-Nebbi'!C29+'Avg Week Nebbi-Goli'!C29</f>
        <v>1.4285714285714286</v>
      </c>
      <c r="D29" s="49">
        <f>'Avg Week Goli-Nebbi'!D29+'Avg Week Nebbi-Goli'!D29</f>
        <v>0.42857142857142855</v>
      </c>
      <c r="E29" s="49">
        <f>'Avg Week Goli-Nebbi'!E29+'Avg Week Nebbi-Goli'!E29</f>
        <v>1.4285714285714284</v>
      </c>
      <c r="F29" s="49">
        <f>'Avg Week Goli-Nebbi'!F29+'Avg Week Nebbi-Goli'!F29</f>
        <v>0.85714285714285721</v>
      </c>
      <c r="G29" s="49">
        <f>'Avg Week Goli-Nebbi'!G29+'Avg Week Nebbi-Goli'!G29</f>
        <v>0.14285714285714285</v>
      </c>
      <c r="H29" s="49">
        <f>'Avg Week Goli-Nebbi'!H29+'Avg Week Nebbi-Goli'!H29</f>
        <v>0</v>
      </c>
      <c r="I29" s="49">
        <f>'Avg Week Goli-Nebbi'!I29+'Avg Week Nebbi-Goli'!I29</f>
        <v>1.5714285714285714</v>
      </c>
      <c r="J29" s="49">
        <f>'Avg Week Goli-Nebbi'!J29+'Avg Week Nebbi-Goli'!J29</f>
        <v>0.2857142857142857</v>
      </c>
      <c r="K29" s="49">
        <f>'Avg Week Goli-Nebbi'!K29+'Avg Week Nebbi-Goli'!K29</f>
        <v>0.14285714285714285</v>
      </c>
      <c r="L29" s="49">
        <f>'Avg Week Goli-Nebbi'!L29+'Avg Week Nebbi-Goli'!L29</f>
        <v>1.8571428571428572</v>
      </c>
      <c r="M29" s="49">
        <f>'Avg Week Goli-Nebbi'!M29+'Avg Week Nebbi-Goli'!M29</f>
        <v>25.571428571428569</v>
      </c>
      <c r="N29" s="49">
        <f>'Avg Week Goli-Nebbi'!N29+'Avg Week Nebbi-Goli'!N29</f>
        <v>0</v>
      </c>
      <c r="O29" s="15">
        <f t="shared" si="0"/>
        <v>8.1428571428571423</v>
      </c>
      <c r="P29" s="15">
        <f t="shared" si="1"/>
        <v>33.714285714285708</v>
      </c>
      <c r="R29" s="1" t="s">
        <v>153</v>
      </c>
      <c r="S29" s="34">
        <f>SUM(C86:C89)</f>
        <v>0.33333333333333331</v>
      </c>
      <c r="T29" s="34">
        <f t="shared" ref="T29:AF29" si="21">SUM(D86:D89)</f>
        <v>0</v>
      </c>
      <c r="U29" s="34">
        <f t="shared" si="21"/>
        <v>0.83333333333333326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0.66666666666666663</v>
      </c>
      <c r="AA29" s="34">
        <f t="shared" si="21"/>
        <v>0</v>
      </c>
      <c r="AB29" s="34">
        <f t="shared" si="21"/>
        <v>0.33333333333333331</v>
      </c>
      <c r="AC29" s="34">
        <f t="shared" si="21"/>
        <v>2.833333333333333</v>
      </c>
      <c r="AD29" s="34">
        <f t="shared" si="21"/>
        <v>0</v>
      </c>
      <c r="AE29" s="31">
        <f t="shared" si="21"/>
        <v>2.1666666666666665</v>
      </c>
      <c r="AF29" s="31">
        <f t="shared" si="21"/>
        <v>5</v>
      </c>
    </row>
    <row r="30" spans="2:32" ht="23.1" customHeight="1" x14ac:dyDescent="0.25">
      <c r="B30" s="23" t="s">
        <v>57</v>
      </c>
      <c r="C30" s="49">
        <f>'Avg Week Goli-Nebbi'!C30+'Avg Week Nebbi-Goli'!C30</f>
        <v>2.1428571428571428</v>
      </c>
      <c r="D30" s="49">
        <f>'Avg Week Goli-Nebbi'!D30+'Avg Week Nebbi-Goli'!D30</f>
        <v>0.14285714285714285</v>
      </c>
      <c r="E30" s="49">
        <f>'Avg Week Goli-Nebbi'!E30+'Avg Week Nebbi-Goli'!E30</f>
        <v>1.7142857142857144</v>
      </c>
      <c r="F30" s="49">
        <f>'Avg Week Goli-Nebbi'!F30+'Avg Week Nebbi-Goli'!F30</f>
        <v>0.8571428571428571</v>
      </c>
      <c r="G30" s="49">
        <f>'Avg Week Goli-Nebbi'!G30+'Avg Week Nebbi-Goli'!G30</f>
        <v>0</v>
      </c>
      <c r="H30" s="49">
        <f>'Avg Week Goli-Nebbi'!H30+'Avg Week Nebbi-Goli'!H30</f>
        <v>1</v>
      </c>
      <c r="I30" s="49">
        <f>'Avg Week Goli-Nebbi'!I30+'Avg Week Nebbi-Goli'!I30</f>
        <v>1.2857142857142856</v>
      </c>
      <c r="J30" s="49">
        <f>'Avg Week Goli-Nebbi'!J30+'Avg Week Nebbi-Goli'!J30</f>
        <v>0.42857142857142855</v>
      </c>
      <c r="K30" s="49">
        <f>'Avg Week Goli-Nebbi'!K30+'Avg Week Nebbi-Goli'!K30</f>
        <v>0.2857142857142857</v>
      </c>
      <c r="L30" s="49">
        <f>'Avg Week Goli-Nebbi'!L30+'Avg Week Nebbi-Goli'!L30</f>
        <v>2.5714285714285716</v>
      </c>
      <c r="M30" s="49">
        <f>'Avg Week Goli-Nebbi'!M30+'Avg Week Nebbi-Goli'!M30</f>
        <v>26.142857142857146</v>
      </c>
      <c r="N30" s="49">
        <f>'Avg Week Goli-Nebbi'!N30+'Avg Week Nebbi-Goli'!N30</f>
        <v>0</v>
      </c>
      <c r="O30" s="15">
        <f t="shared" si="0"/>
        <v>10.428571428571429</v>
      </c>
      <c r="P30" s="15">
        <f t="shared" si="1"/>
        <v>36.571428571428577</v>
      </c>
      <c r="R30" s="1" t="s">
        <v>154</v>
      </c>
      <c r="S30" s="34">
        <f>SUM(C90:C93)</f>
        <v>0.33333333333333331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0</v>
      </c>
      <c r="W30" s="34">
        <f t="shared" si="22"/>
        <v>0.33333333333333331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1.1666666666666665</v>
      </c>
      <c r="AC30" s="34">
        <f t="shared" si="22"/>
        <v>5</v>
      </c>
      <c r="AD30" s="34">
        <f t="shared" si="22"/>
        <v>0</v>
      </c>
      <c r="AE30" s="31">
        <f t="shared" si="22"/>
        <v>2.333333333333333</v>
      </c>
      <c r="AF30" s="31">
        <f t="shared" si="22"/>
        <v>7.3333333333333339</v>
      </c>
    </row>
    <row r="31" spans="2:32" ht="23.1" customHeight="1" x14ac:dyDescent="0.25">
      <c r="B31" s="24" t="s">
        <v>58</v>
      </c>
      <c r="C31" s="49">
        <f>'Avg Week Goli-Nebbi'!C31+'Avg Week Nebbi-Goli'!C31</f>
        <v>2</v>
      </c>
      <c r="D31" s="49">
        <f>'Avg Week Goli-Nebbi'!D31+'Avg Week Nebbi-Goli'!D31</f>
        <v>0.42857142857142855</v>
      </c>
      <c r="E31" s="49">
        <f>'Avg Week Goli-Nebbi'!E31+'Avg Week Nebbi-Goli'!E31</f>
        <v>1.4285714285714286</v>
      </c>
      <c r="F31" s="49">
        <f>'Avg Week Goli-Nebbi'!F31+'Avg Week Nebbi-Goli'!F31</f>
        <v>1.2857142857142856</v>
      </c>
      <c r="G31" s="49">
        <f>'Avg Week Goli-Nebbi'!G31+'Avg Week Nebbi-Goli'!G31</f>
        <v>0.14285714285714285</v>
      </c>
      <c r="H31" s="49">
        <f>'Avg Week Goli-Nebbi'!H31+'Avg Week Nebbi-Goli'!H31</f>
        <v>0</v>
      </c>
      <c r="I31" s="49">
        <f>'Avg Week Goli-Nebbi'!I31+'Avg Week Nebbi-Goli'!I31</f>
        <v>0.71428571428571419</v>
      </c>
      <c r="J31" s="49">
        <f>'Avg Week Goli-Nebbi'!J31+'Avg Week Nebbi-Goli'!J31</f>
        <v>0.14285714285714285</v>
      </c>
      <c r="K31" s="49">
        <f>'Avg Week Goli-Nebbi'!K31+'Avg Week Nebbi-Goli'!K31</f>
        <v>0</v>
      </c>
      <c r="L31" s="49">
        <f>'Avg Week Goli-Nebbi'!L31+'Avg Week Nebbi-Goli'!L31</f>
        <v>0.2857142857142857</v>
      </c>
      <c r="M31" s="49">
        <f>'Avg Week Goli-Nebbi'!M31+'Avg Week Nebbi-Goli'!M31</f>
        <v>25</v>
      </c>
      <c r="N31" s="49">
        <f>'Avg Week Goli-Nebbi'!N31+'Avg Week Nebbi-Goli'!N31</f>
        <v>0</v>
      </c>
      <c r="O31" s="15">
        <f t="shared" si="0"/>
        <v>6.4285714285714288</v>
      </c>
      <c r="P31" s="15">
        <f t="shared" si="1"/>
        <v>31.428571428571431</v>
      </c>
      <c r="R31" s="1" t="s">
        <v>155</v>
      </c>
      <c r="S31" s="34">
        <f>SUM(C94:C97)</f>
        <v>0.66666666666666663</v>
      </c>
      <c r="T31" s="34">
        <f t="shared" ref="T31:AF31" si="23">SUM(D94:D97)</f>
        <v>0</v>
      </c>
      <c r="U31" s="34">
        <f t="shared" si="23"/>
        <v>0.66666666666666663</v>
      </c>
      <c r="V31" s="34">
        <f t="shared" si="23"/>
        <v>1</v>
      </c>
      <c r="W31" s="34">
        <f t="shared" si="23"/>
        <v>0.5</v>
      </c>
      <c r="X31" s="34">
        <f t="shared" si="23"/>
        <v>1.3333333333333333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1.6666666666666665</v>
      </c>
      <c r="AC31" s="34">
        <f t="shared" si="23"/>
        <v>8.3333333333333321</v>
      </c>
      <c r="AD31" s="34">
        <f t="shared" si="23"/>
        <v>0</v>
      </c>
      <c r="AE31" s="31">
        <f t="shared" si="23"/>
        <v>6.8333333333333321</v>
      </c>
      <c r="AF31" s="31">
        <f t="shared" si="23"/>
        <v>15.166666666666664</v>
      </c>
    </row>
    <row r="32" spans="2:32" ht="23.1" customHeight="1" x14ac:dyDescent="0.25">
      <c r="B32" s="24" t="s">
        <v>59</v>
      </c>
      <c r="C32" s="49">
        <f>'Avg Week Goli-Nebbi'!C32+'Avg Week Nebbi-Goli'!C32</f>
        <v>1.5714285714285714</v>
      </c>
      <c r="D32" s="49">
        <f>'Avg Week Goli-Nebbi'!D32+'Avg Week Nebbi-Goli'!D32</f>
        <v>0.2857142857142857</v>
      </c>
      <c r="E32" s="49">
        <f>'Avg Week Goli-Nebbi'!E32+'Avg Week Nebbi-Goli'!E32</f>
        <v>1.5714285714285714</v>
      </c>
      <c r="F32" s="49">
        <f>'Avg Week Goli-Nebbi'!F32+'Avg Week Nebbi-Goli'!F32</f>
        <v>0.71428571428571419</v>
      </c>
      <c r="G32" s="49">
        <f>'Avg Week Goli-Nebbi'!G32+'Avg Week Nebbi-Goli'!G32</f>
        <v>0.14285714285714285</v>
      </c>
      <c r="H32" s="49">
        <f>'Avg Week Goli-Nebbi'!H32+'Avg Week Nebbi-Goli'!H32</f>
        <v>0</v>
      </c>
      <c r="I32" s="49">
        <f>'Avg Week Goli-Nebbi'!I32+'Avg Week Nebbi-Goli'!I32</f>
        <v>0.71428571428571419</v>
      </c>
      <c r="J32" s="49">
        <f>'Avg Week Goli-Nebbi'!J32+'Avg Week Nebbi-Goli'!J32</f>
        <v>0.14285714285714285</v>
      </c>
      <c r="K32" s="49">
        <f>'Avg Week Goli-Nebbi'!K32+'Avg Week Nebbi-Goli'!K32</f>
        <v>0.14285714285714285</v>
      </c>
      <c r="L32" s="49">
        <f>'Avg Week Goli-Nebbi'!L32+'Avg Week Nebbi-Goli'!L32</f>
        <v>1.2857142857142856</v>
      </c>
      <c r="M32" s="49">
        <f>'Avg Week Goli-Nebbi'!M32+'Avg Week Nebbi-Goli'!M32</f>
        <v>24.571428571428569</v>
      </c>
      <c r="N32" s="49">
        <f>'Avg Week Goli-Nebbi'!N32+'Avg Week Nebbi-Goli'!N32</f>
        <v>0</v>
      </c>
      <c r="O32" s="15">
        <f t="shared" si="0"/>
        <v>6.571428571428573</v>
      </c>
      <c r="P32" s="15">
        <f t="shared" si="1"/>
        <v>31.142857142857142</v>
      </c>
      <c r="R32" s="1" t="s">
        <v>156</v>
      </c>
      <c r="S32" s="34">
        <f>SUM(C98:C101)</f>
        <v>2.1666666666666665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0.33333333333333331</v>
      </c>
      <c r="X32" s="34">
        <f t="shared" si="24"/>
        <v>0.33333333333333331</v>
      </c>
      <c r="Y32" s="34">
        <f t="shared" si="24"/>
        <v>1.3333333333333333</v>
      </c>
      <c r="Z32" s="34">
        <f t="shared" si="24"/>
        <v>0</v>
      </c>
      <c r="AA32" s="34">
        <f t="shared" si="24"/>
        <v>0</v>
      </c>
      <c r="AB32" s="34">
        <f t="shared" si="24"/>
        <v>2.1666666666666665</v>
      </c>
      <c r="AC32" s="34">
        <f t="shared" si="24"/>
        <v>8.3333333333333321</v>
      </c>
      <c r="AD32" s="34">
        <f t="shared" si="24"/>
        <v>0</v>
      </c>
      <c r="AE32" s="31">
        <f t="shared" si="24"/>
        <v>6.333333333333333</v>
      </c>
      <c r="AF32" s="31">
        <f t="shared" si="24"/>
        <v>14.666666666666666</v>
      </c>
    </row>
    <row r="33" spans="2:32" ht="23.1" customHeight="1" x14ac:dyDescent="0.25">
      <c r="B33" s="23" t="s">
        <v>60</v>
      </c>
      <c r="C33" s="49">
        <f>'Avg Week Goli-Nebbi'!C33+'Avg Week Nebbi-Goli'!C33</f>
        <v>2</v>
      </c>
      <c r="D33" s="49">
        <f>'Avg Week Goli-Nebbi'!D33+'Avg Week Nebbi-Goli'!D33</f>
        <v>0</v>
      </c>
      <c r="E33" s="49">
        <f>'Avg Week Goli-Nebbi'!E33+'Avg Week Nebbi-Goli'!E33</f>
        <v>0.71428571428571419</v>
      </c>
      <c r="F33" s="49">
        <f>'Avg Week Goli-Nebbi'!F33+'Avg Week Nebbi-Goli'!F33</f>
        <v>2.4285714285714284</v>
      </c>
      <c r="G33" s="49">
        <f>'Avg Week Goli-Nebbi'!G33+'Avg Week Nebbi-Goli'!G33</f>
        <v>0.2857142857142857</v>
      </c>
      <c r="H33" s="49">
        <f>'Avg Week Goli-Nebbi'!H33+'Avg Week Nebbi-Goli'!H33</f>
        <v>0</v>
      </c>
      <c r="I33" s="49">
        <f>'Avg Week Goli-Nebbi'!I33+'Avg Week Nebbi-Goli'!I33</f>
        <v>1.1428571428571428</v>
      </c>
      <c r="J33" s="49">
        <f>'Avg Week Goli-Nebbi'!J33+'Avg Week Nebbi-Goli'!J33</f>
        <v>0.2857142857142857</v>
      </c>
      <c r="K33" s="49">
        <f>'Avg Week Goli-Nebbi'!K33+'Avg Week Nebbi-Goli'!K33</f>
        <v>0.14285714285714285</v>
      </c>
      <c r="L33" s="49">
        <f>'Avg Week Goli-Nebbi'!L33+'Avg Week Nebbi-Goli'!L33</f>
        <v>0.42857142857142855</v>
      </c>
      <c r="M33" s="49">
        <f>'Avg Week Goli-Nebbi'!M33+'Avg Week Nebbi-Goli'!M33</f>
        <v>21.571428571428569</v>
      </c>
      <c r="N33" s="49">
        <f>'Avg Week Goli-Nebbi'!N33+'Avg Week Nebbi-Goli'!N33</f>
        <v>0</v>
      </c>
      <c r="O33" s="15">
        <f t="shared" si="0"/>
        <v>7.4285714285714288</v>
      </c>
      <c r="P33" s="15">
        <f t="shared" si="1"/>
        <v>29</v>
      </c>
      <c r="R33" s="1" t="s">
        <v>157</v>
      </c>
      <c r="S33" s="34">
        <f>SUM(C102:C105)</f>
        <v>5.333333333333333</v>
      </c>
      <c r="T33" s="34">
        <f t="shared" ref="T33:AF33" si="25">SUM(D102:D105)</f>
        <v>0</v>
      </c>
      <c r="U33" s="34">
        <f t="shared" si="25"/>
        <v>1.3333333333333333</v>
      </c>
      <c r="V33" s="34">
        <f t="shared" si="25"/>
        <v>0</v>
      </c>
      <c r="W33" s="34">
        <f t="shared" si="25"/>
        <v>0</v>
      </c>
      <c r="X33" s="34">
        <f t="shared" si="25"/>
        <v>0.66666666666666663</v>
      </c>
      <c r="Y33" s="34">
        <f t="shared" si="25"/>
        <v>4.1666666666666661</v>
      </c>
      <c r="Z33" s="34">
        <f t="shared" si="25"/>
        <v>0.33333333333333331</v>
      </c>
      <c r="AA33" s="34">
        <f t="shared" si="25"/>
        <v>0</v>
      </c>
      <c r="AB33" s="34">
        <f t="shared" si="25"/>
        <v>3.166666666666667</v>
      </c>
      <c r="AC33" s="34">
        <f t="shared" si="25"/>
        <v>30.000000000000004</v>
      </c>
      <c r="AD33" s="34">
        <f t="shared" si="25"/>
        <v>0</v>
      </c>
      <c r="AE33" s="31">
        <f t="shared" si="25"/>
        <v>14.999999999999998</v>
      </c>
      <c r="AF33" s="31">
        <f t="shared" si="25"/>
        <v>45</v>
      </c>
    </row>
    <row r="34" spans="2:32" ht="23.1" customHeight="1" x14ac:dyDescent="0.25">
      <c r="B34" s="24" t="s">
        <v>61</v>
      </c>
      <c r="C34" s="49">
        <f>'Avg Week Goli-Nebbi'!C34+'Avg Week Nebbi-Goli'!C34</f>
        <v>1.7142857142857144</v>
      </c>
      <c r="D34" s="49">
        <f>'Avg Week Goli-Nebbi'!D34+'Avg Week Nebbi-Goli'!D34</f>
        <v>0</v>
      </c>
      <c r="E34" s="49">
        <f>'Avg Week Goli-Nebbi'!E34+'Avg Week Nebbi-Goli'!E34</f>
        <v>0.5714285714285714</v>
      </c>
      <c r="F34" s="49">
        <f>'Avg Week Goli-Nebbi'!F34+'Avg Week Nebbi-Goli'!F34</f>
        <v>0.8571428571428571</v>
      </c>
      <c r="G34" s="49">
        <f>'Avg Week Goli-Nebbi'!G34+'Avg Week Nebbi-Goli'!G34</f>
        <v>0</v>
      </c>
      <c r="H34" s="49">
        <f>'Avg Week Goli-Nebbi'!H34+'Avg Week Nebbi-Goli'!H34</f>
        <v>0</v>
      </c>
      <c r="I34" s="49">
        <f>'Avg Week Goli-Nebbi'!I34+'Avg Week Nebbi-Goli'!I34</f>
        <v>1.2857142857142856</v>
      </c>
      <c r="J34" s="49">
        <f>'Avg Week Goli-Nebbi'!J34+'Avg Week Nebbi-Goli'!J34</f>
        <v>0</v>
      </c>
      <c r="K34" s="49">
        <f>'Avg Week Goli-Nebbi'!K34+'Avg Week Nebbi-Goli'!K34</f>
        <v>0.14285714285714285</v>
      </c>
      <c r="L34" s="49">
        <f>'Avg Week Goli-Nebbi'!L34+'Avg Week Nebbi-Goli'!L34</f>
        <v>1.8571428571428572</v>
      </c>
      <c r="M34" s="49">
        <f>'Avg Week Goli-Nebbi'!M34+'Avg Week Nebbi-Goli'!M34</f>
        <v>24.285714285714285</v>
      </c>
      <c r="N34" s="49">
        <f>'Avg Week Goli-Nebbi'!N34+'Avg Week Nebbi-Goli'!N34</f>
        <v>0</v>
      </c>
      <c r="O34" s="15">
        <f t="shared" si="0"/>
        <v>6.4285714285714288</v>
      </c>
      <c r="P34" s="15">
        <f t="shared" si="1"/>
        <v>30.714285714285715</v>
      </c>
      <c r="R34" s="38" t="s">
        <v>90</v>
      </c>
      <c r="S34" s="39">
        <f t="shared" ref="S34:AF34" si="26">MAX(S10:S12)</f>
        <v>7.2857142857142865</v>
      </c>
      <c r="T34" s="39">
        <f t="shared" si="26"/>
        <v>1.7142857142857142</v>
      </c>
      <c r="U34" s="39">
        <f t="shared" si="26"/>
        <v>6.2857142857142856</v>
      </c>
      <c r="V34" s="39">
        <f t="shared" si="26"/>
        <v>4.4285714285714288</v>
      </c>
      <c r="W34" s="39">
        <f t="shared" si="26"/>
        <v>0.71428571428571419</v>
      </c>
      <c r="X34" s="39">
        <f t="shared" si="26"/>
        <v>1.1428571428571428</v>
      </c>
      <c r="Y34" s="39">
        <f t="shared" si="26"/>
        <v>6.2857142857142865</v>
      </c>
      <c r="Z34" s="39">
        <f t="shared" si="26"/>
        <v>1.2857142857142856</v>
      </c>
      <c r="AA34" s="39">
        <f t="shared" si="26"/>
        <v>0.71428571428571419</v>
      </c>
      <c r="AB34" s="39">
        <f t="shared" si="26"/>
        <v>4.2857142857142856</v>
      </c>
      <c r="AC34" s="39">
        <f t="shared" si="26"/>
        <v>98.714285714285722</v>
      </c>
      <c r="AD34" s="39">
        <f t="shared" si="26"/>
        <v>0.2857142857142857</v>
      </c>
      <c r="AE34" s="40">
        <f t="shared" si="26"/>
        <v>31.285714285714288</v>
      </c>
      <c r="AF34" s="40">
        <f t="shared" si="26"/>
        <v>128.28571428571428</v>
      </c>
    </row>
    <row r="35" spans="2:32" ht="23.1" customHeight="1" x14ac:dyDescent="0.25">
      <c r="B35" s="24" t="s">
        <v>62</v>
      </c>
      <c r="C35" s="49">
        <f>'Avg Week Goli-Nebbi'!C35+'Avg Week Nebbi-Goli'!C35</f>
        <v>1.8571428571428572</v>
      </c>
      <c r="D35" s="49">
        <f>'Avg Week Goli-Nebbi'!D35+'Avg Week Nebbi-Goli'!D35</f>
        <v>0.71428571428571419</v>
      </c>
      <c r="E35" s="49">
        <f>'Avg Week Goli-Nebbi'!E35+'Avg Week Nebbi-Goli'!E35</f>
        <v>2.7142857142857144</v>
      </c>
      <c r="F35" s="49">
        <f>'Avg Week Goli-Nebbi'!F35+'Avg Week Nebbi-Goli'!F35</f>
        <v>1.1428571428571428</v>
      </c>
      <c r="G35" s="49">
        <f>'Avg Week Goli-Nebbi'!G35+'Avg Week Nebbi-Goli'!G35</f>
        <v>0</v>
      </c>
      <c r="H35" s="49">
        <f>'Avg Week Goli-Nebbi'!H35+'Avg Week Nebbi-Goli'!H35</f>
        <v>0</v>
      </c>
      <c r="I35" s="49">
        <f>'Avg Week Goli-Nebbi'!I35+'Avg Week Nebbi-Goli'!I35</f>
        <v>1</v>
      </c>
      <c r="J35" s="49">
        <f>'Avg Week Goli-Nebbi'!J35+'Avg Week Nebbi-Goli'!J35</f>
        <v>0.5714285714285714</v>
      </c>
      <c r="K35" s="49">
        <f>'Avg Week Goli-Nebbi'!K35+'Avg Week Nebbi-Goli'!K35</f>
        <v>0</v>
      </c>
      <c r="L35" s="49">
        <f>'Avg Week Goli-Nebbi'!L35+'Avg Week Nebbi-Goli'!L35</f>
        <v>0.2857142857142857</v>
      </c>
      <c r="M35" s="49">
        <f>'Avg Week Goli-Nebbi'!M35+'Avg Week Nebbi-Goli'!M35</f>
        <v>24.714285714285715</v>
      </c>
      <c r="N35" s="49">
        <f>'Avg Week Goli-Nebbi'!N35+'Avg Week Nebbi-Goli'!N35</f>
        <v>0</v>
      </c>
      <c r="O35" s="15">
        <f t="shared" si="0"/>
        <v>8.2857142857142865</v>
      </c>
      <c r="P35" s="15">
        <f t="shared" si="1"/>
        <v>33</v>
      </c>
      <c r="R35" s="38" t="s">
        <v>91</v>
      </c>
      <c r="S35" s="39">
        <f t="shared" ref="S35:AF35" si="27">MAX(S13:S18)</f>
        <v>7.7142857142857135</v>
      </c>
      <c r="T35" s="39">
        <f t="shared" si="27"/>
        <v>1.7142857142857142</v>
      </c>
      <c r="U35" s="39">
        <f t="shared" si="27"/>
        <v>7</v>
      </c>
      <c r="V35" s="39">
        <f t="shared" si="27"/>
        <v>5.2857142857142847</v>
      </c>
      <c r="W35" s="39">
        <f t="shared" si="27"/>
        <v>0.5714285714285714</v>
      </c>
      <c r="X35" s="39">
        <f t="shared" si="27"/>
        <v>1</v>
      </c>
      <c r="Y35" s="39">
        <f t="shared" si="27"/>
        <v>6.5714285714285712</v>
      </c>
      <c r="Z35" s="39">
        <f t="shared" si="27"/>
        <v>1.2857142857142856</v>
      </c>
      <c r="AA35" s="39">
        <f t="shared" si="27"/>
        <v>0.71428571428571419</v>
      </c>
      <c r="AB35" s="39">
        <f t="shared" si="27"/>
        <v>5.2857142857142856</v>
      </c>
      <c r="AC35" s="39">
        <f t="shared" si="27"/>
        <v>101.85714285714285</v>
      </c>
      <c r="AD35" s="39">
        <f t="shared" si="27"/>
        <v>0.14285714285714285</v>
      </c>
      <c r="AE35" s="40">
        <f t="shared" si="27"/>
        <v>30.857142857142861</v>
      </c>
      <c r="AF35" s="40">
        <f t="shared" si="27"/>
        <v>130.85714285714286</v>
      </c>
    </row>
    <row r="36" spans="2:32" ht="23.1" customHeight="1" x14ac:dyDescent="0.25">
      <c r="B36" s="24" t="s">
        <v>63</v>
      </c>
      <c r="C36" s="49">
        <f>'Avg Week Goli-Nebbi'!C36+'Avg Week Nebbi-Goli'!C36</f>
        <v>1.4285714285714284</v>
      </c>
      <c r="D36" s="49">
        <f>'Avg Week Goli-Nebbi'!D36+'Avg Week Nebbi-Goli'!D36</f>
        <v>0.5714285714285714</v>
      </c>
      <c r="E36" s="49">
        <f>'Avg Week Goli-Nebbi'!E36+'Avg Week Nebbi-Goli'!E36</f>
        <v>2</v>
      </c>
      <c r="F36" s="49">
        <f>'Avg Week Goli-Nebbi'!F36+'Avg Week Nebbi-Goli'!F36</f>
        <v>1.1428571428571428</v>
      </c>
      <c r="G36" s="49">
        <f>'Avg Week Goli-Nebbi'!G36+'Avg Week Nebbi-Goli'!G36</f>
        <v>0</v>
      </c>
      <c r="H36" s="49">
        <f>'Avg Week Goli-Nebbi'!H36+'Avg Week Nebbi-Goli'!H36</f>
        <v>0</v>
      </c>
      <c r="I36" s="49">
        <f>'Avg Week Goli-Nebbi'!I36+'Avg Week Nebbi-Goli'!I36</f>
        <v>0.71428571428571419</v>
      </c>
      <c r="J36" s="49">
        <f>'Avg Week Goli-Nebbi'!J36+'Avg Week Nebbi-Goli'!J36</f>
        <v>0.2857142857142857</v>
      </c>
      <c r="K36" s="49">
        <f>'Avg Week Goli-Nebbi'!K36+'Avg Week Nebbi-Goli'!K36</f>
        <v>0</v>
      </c>
      <c r="L36" s="49">
        <f>'Avg Week Goli-Nebbi'!L36+'Avg Week Nebbi-Goli'!L36</f>
        <v>0.2857142857142857</v>
      </c>
      <c r="M36" s="49">
        <f>'Avg Week Goli-Nebbi'!M36+'Avg Week Nebbi-Goli'!M36</f>
        <v>22.857142857142858</v>
      </c>
      <c r="N36" s="49">
        <f>'Avg Week Goli-Nebbi'!N36+'Avg Week Nebbi-Goli'!N36</f>
        <v>0</v>
      </c>
      <c r="O36" s="15">
        <f t="shared" si="0"/>
        <v>6.4285714285714279</v>
      </c>
      <c r="P36" s="15">
        <f t="shared" si="1"/>
        <v>29.285714285714285</v>
      </c>
      <c r="R36" s="38" t="s">
        <v>92</v>
      </c>
      <c r="S36" s="39">
        <f t="shared" ref="S36:AF36" si="28">MAX(S19:S21)</f>
        <v>9.8571428571428559</v>
      </c>
      <c r="T36" s="39">
        <f t="shared" si="28"/>
        <v>2.1428571428571428</v>
      </c>
      <c r="U36" s="39">
        <f t="shared" si="28"/>
        <v>8.8571428571428577</v>
      </c>
      <c r="V36" s="39">
        <f t="shared" si="28"/>
        <v>5.1428571428571423</v>
      </c>
      <c r="W36" s="39">
        <f t="shared" si="28"/>
        <v>0.5714285714285714</v>
      </c>
      <c r="X36" s="39">
        <f t="shared" si="28"/>
        <v>0.42857142857142855</v>
      </c>
      <c r="Y36" s="39">
        <f t="shared" si="28"/>
        <v>7.5714285714285712</v>
      </c>
      <c r="Z36" s="39">
        <f t="shared" si="28"/>
        <v>0.5714285714285714</v>
      </c>
      <c r="AA36" s="39">
        <f t="shared" si="28"/>
        <v>1</v>
      </c>
      <c r="AB36" s="39">
        <f t="shared" si="28"/>
        <v>5.2857142857142856</v>
      </c>
      <c r="AC36" s="39">
        <f t="shared" si="28"/>
        <v>103</v>
      </c>
      <c r="AD36" s="39">
        <f t="shared" si="28"/>
        <v>0</v>
      </c>
      <c r="AE36" s="40">
        <f t="shared" si="28"/>
        <v>37.571428571428569</v>
      </c>
      <c r="AF36" s="40">
        <f t="shared" si="28"/>
        <v>137.28571428571428</v>
      </c>
    </row>
    <row r="37" spans="2:32" ht="23.1" customHeight="1" x14ac:dyDescent="0.25">
      <c r="B37" s="23" t="s">
        <v>64</v>
      </c>
      <c r="C37" s="49">
        <f>'Avg Week Goli-Nebbi'!C37+'Avg Week Nebbi-Goli'!C37</f>
        <v>1.8571428571428572</v>
      </c>
      <c r="D37" s="49">
        <f>'Avg Week Goli-Nebbi'!D37+'Avg Week Nebbi-Goli'!D37</f>
        <v>0.42857142857142855</v>
      </c>
      <c r="E37" s="49">
        <f>'Avg Week Goli-Nebbi'!E37+'Avg Week Nebbi-Goli'!E37</f>
        <v>1.7142857142857142</v>
      </c>
      <c r="F37" s="49">
        <f>'Avg Week Goli-Nebbi'!F37+'Avg Week Nebbi-Goli'!F37</f>
        <v>1</v>
      </c>
      <c r="G37" s="49">
        <f>'Avg Week Goli-Nebbi'!G37+'Avg Week Nebbi-Goli'!G37</f>
        <v>0</v>
      </c>
      <c r="H37" s="49">
        <f>'Avg Week Goli-Nebbi'!H37+'Avg Week Nebbi-Goli'!H37</f>
        <v>0</v>
      </c>
      <c r="I37" s="49">
        <f>'Avg Week Goli-Nebbi'!I37+'Avg Week Nebbi-Goli'!I37</f>
        <v>1.2857142857142856</v>
      </c>
      <c r="J37" s="49">
        <f>'Avg Week Goli-Nebbi'!J37+'Avg Week Nebbi-Goli'!J37</f>
        <v>0.14285714285714285</v>
      </c>
      <c r="K37" s="49">
        <f>'Avg Week Goli-Nebbi'!K37+'Avg Week Nebbi-Goli'!K37</f>
        <v>0.14285714285714285</v>
      </c>
      <c r="L37" s="49">
        <f>'Avg Week Goli-Nebbi'!L37+'Avg Week Nebbi-Goli'!L37</f>
        <v>0.71428571428571419</v>
      </c>
      <c r="M37" s="49">
        <f>'Avg Week Goli-Nebbi'!M37+'Avg Week Nebbi-Goli'!M37</f>
        <v>20.714285714285715</v>
      </c>
      <c r="N37" s="49">
        <f>'Avg Week Goli-Nebbi'!N37+'Avg Week Nebbi-Goli'!N37</f>
        <v>0.14285714285714285</v>
      </c>
      <c r="O37" s="15">
        <f t="shared" si="0"/>
        <v>7.4285714285714297</v>
      </c>
      <c r="P37" s="15">
        <f t="shared" si="1"/>
        <v>28.142857142857142</v>
      </c>
      <c r="R37" s="37" t="s">
        <v>85</v>
      </c>
      <c r="S37" s="52">
        <f t="shared" ref="S37:AF37" si="29">SUM(S10:S12)</f>
        <v>19.857142857142858</v>
      </c>
      <c r="T37" s="53">
        <f t="shared" si="29"/>
        <v>3.9999999999999996</v>
      </c>
      <c r="U37" s="53">
        <f t="shared" si="29"/>
        <v>16.714285714285715</v>
      </c>
      <c r="V37" s="53">
        <f t="shared" si="29"/>
        <v>11.428571428571427</v>
      </c>
      <c r="W37" s="53">
        <f t="shared" si="29"/>
        <v>1.857142857142857</v>
      </c>
      <c r="X37" s="53">
        <f t="shared" si="29"/>
        <v>1.2857142857142856</v>
      </c>
      <c r="Y37" s="53">
        <f t="shared" si="29"/>
        <v>14.714285714285715</v>
      </c>
      <c r="Z37" s="53">
        <f t="shared" si="29"/>
        <v>2.1428571428571428</v>
      </c>
      <c r="AA37" s="53">
        <f t="shared" si="29"/>
        <v>1.7142857142857142</v>
      </c>
      <c r="AB37" s="53">
        <f t="shared" si="29"/>
        <v>11.285714285714285</v>
      </c>
      <c r="AC37" s="53">
        <f t="shared" si="29"/>
        <v>262.71428571428572</v>
      </c>
      <c r="AD37" s="53">
        <f t="shared" si="29"/>
        <v>0.42857142857142855</v>
      </c>
      <c r="AE37" s="54">
        <f t="shared" si="29"/>
        <v>85.428571428571431</v>
      </c>
      <c r="AF37" s="54">
        <f t="shared" si="29"/>
        <v>348.14285714285711</v>
      </c>
    </row>
    <row r="38" spans="2:32" ht="23.1" customHeight="1" x14ac:dyDescent="0.25">
      <c r="B38" s="24" t="s">
        <v>65</v>
      </c>
      <c r="C38" s="49">
        <f>'Avg Week Goli-Nebbi'!C38+'Avg Week Nebbi-Goli'!C38</f>
        <v>1</v>
      </c>
      <c r="D38" s="49">
        <f>'Avg Week Goli-Nebbi'!D38+'Avg Week Nebbi-Goli'!D38</f>
        <v>0.14285714285714285</v>
      </c>
      <c r="E38" s="49">
        <f>'Avg Week Goli-Nebbi'!E38+'Avg Week Nebbi-Goli'!E38</f>
        <v>1.1428571428571428</v>
      </c>
      <c r="F38" s="49">
        <f>'Avg Week Goli-Nebbi'!F38+'Avg Week Nebbi-Goli'!F38</f>
        <v>0.42857142857142855</v>
      </c>
      <c r="G38" s="49">
        <f>'Avg Week Goli-Nebbi'!G38+'Avg Week Nebbi-Goli'!G38</f>
        <v>0</v>
      </c>
      <c r="H38" s="49">
        <f>'Avg Week Goli-Nebbi'!H38+'Avg Week Nebbi-Goli'!H38</f>
        <v>0</v>
      </c>
      <c r="I38" s="49">
        <f>'Avg Week Goli-Nebbi'!I38+'Avg Week Nebbi-Goli'!I38</f>
        <v>1.5714285714285716</v>
      </c>
      <c r="J38" s="49">
        <f>'Avg Week Goli-Nebbi'!J38+'Avg Week Nebbi-Goli'!J38</f>
        <v>0.14285714285714285</v>
      </c>
      <c r="K38" s="49">
        <f>'Avg Week Goli-Nebbi'!K38+'Avg Week Nebbi-Goli'!K38</f>
        <v>0.14285714285714285</v>
      </c>
      <c r="L38" s="49">
        <f>'Avg Week Goli-Nebbi'!L38+'Avg Week Nebbi-Goli'!L38</f>
        <v>1.5714285714285716</v>
      </c>
      <c r="M38" s="49">
        <f>'Avg Week Goli-Nebbi'!M38+'Avg Week Nebbi-Goli'!M38</f>
        <v>22</v>
      </c>
      <c r="N38" s="49">
        <f>'Avg Week Goli-Nebbi'!N38+'Avg Week Nebbi-Goli'!N38</f>
        <v>0</v>
      </c>
      <c r="O38" s="15">
        <f t="shared" si="0"/>
        <v>6.1428571428571441</v>
      </c>
      <c r="P38" s="15">
        <f t="shared" si="1"/>
        <v>28.142857142857146</v>
      </c>
      <c r="R38" s="28" t="s">
        <v>86</v>
      </c>
      <c r="S38" s="53">
        <f t="shared" ref="S38:AF38" si="30">SUM(S13:S18)</f>
        <v>40.714285714285715</v>
      </c>
      <c r="T38" s="53">
        <f t="shared" si="30"/>
        <v>7.1428571428571423</v>
      </c>
      <c r="U38" s="53">
        <f t="shared" si="30"/>
        <v>34.428571428571431</v>
      </c>
      <c r="V38" s="53">
        <f t="shared" si="30"/>
        <v>25.142857142857139</v>
      </c>
      <c r="W38" s="53">
        <f t="shared" si="30"/>
        <v>1.9999999999999998</v>
      </c>
      <c r="X38" s="53">
        <f t="shared" si="30"/>
        <v>1.1428571428571428</v>
      </c>
      <c r="Y38" s="53">
        <f t="shared" si="30"/>
        <v>32.571428571428569</v>
      </c>
      <c r="Z38" s="53">
        <f t="shared" si="30"/>
        <v>5</v>
      </c>
      <c r="AA38" s="53">
        <f t="shared" si="30"/>
        <v>2.9999999999999996</v>
      </c>
      <c r="AB38" s="53">
        <f t="shared" si="30"/>
        <v>22.714285714285715</v>
      </c>
      <c r="AC38" s="53">
        <f t="shared" si="30"/>
        <v>560.71428571428578</v>
      </c>
      <c r="AD38" s="53">
        <f t="shared" si="30"/>
        <v>0.2857142857142857</v>
      </c>
      <c r="AE38" s="54">
        <f t="shared" si="30"/>
        <v>174.14285714285717</v>
      </c>
      <c r="AF38" s="54">
        <f t="shared" si="30"/>
        <v>734.85714285714278</v>
      </c>
    </row>
    <row r="39" spans="2:32" ht="23.1" customHeight="1" x14ac:dyDescent="0.25">
      <c r="B39" s="24" t="s">
        <v>66</v>
      </c>
      <c r="C39" s="49">
        <f>'Avg Week Goli-Nebbi'!C39+'Avg Week Nebbi-Goli'!C39</f>
        <v>1.1428571428571428</v>
      </c>
      <c r="D39" s="49">
        <f>'Avg Week Goli-Nebbi'!D39+'Avg Week Nebbi-Goli'!D39</f>
        <v>0.14285714285714285</v>
      </c>
      <c r="E39" s="49">
        <f>'Avg Week Goli-Nebbi'!E39+'Avg Week Nebbi-Goli'!E39</f>
        <v>0.42857142857142855</v>
      </c>
      <c r="F39" s="49">
        <f>'Avg Week Goli-Nebbi'!F39+'Avg Week Nebbi-Goli'!F39</f>
        <v>1.1428571428571428</v>
      </c>
      <c r="G39" s="49">
        <f>'Avg Week Goli-Nebbi'!G39+'Avg Week Nebbi-Goli'!G39</f>
        <v>0.14285714285714285</v>
      </c>
      <c r="H39" s="49">
        <f>'Avg Week Goli-Nebbi'!H39+'Avg Week Nebbi-Goli'!H39</f>
        <v>0</v>
      </c>
      <c r="I39" s="49">
        <f>'Avg Week Goli-Nebbi'!I39+'Avg Week Nebbi-Goli'!I39</f>
        <v>1.5714285714285714</v>
      </c>
      <c r="J39" s="49">
        <f>'Avg Week Goli-Nebbi'!J39+'Avg Week Nebbi-Goli'!J39</f>
        <v>0.42857142857142855</v>
      </c>
      <c r="K39" s="49">
        <f>'Avg Week Goli-Nebbi'!K39+'Avg Week Nebbi-Goli'!K39</f>
        <v>0.2857142857142857</v>
      </c>
      <c r="L39" s="49">
        <f>'Avg Week Goli-Nebbi'!L39+'Avg Week Nebbi-Goli'!L39</f>
        <v>0.71428571428571419</v>
      </c>
      <c r="M39" s="49">
        <f>'Avg Week Goli-Nebbi'!M39+'Avg Week Nebbi-Goli'!M39</f>
        <v>21.142857142857146</v>
      </c>
      <c r="N39" s="49">
        <f>'Avg Week Goli-Nebbi'!N39+'Avg Week Nebbi-Goli'!N39</f>
        <v>0</v>
      </c>
      <c r="O39" s="15">
        <f t="shared" si="0"/>
        <v>6</v>
      </c>
      <c r="P39" s="15">
        <f t="shared" si="1"/>
        <v>27.142857142857146</v>
      </c>
      <c r="R39" s="29" t="s">
        <v>87</v>
      </c>
      <c r="S39" s="53">
        <f t="shared" ref="S39:AF39" si="31">SUM(S19:S21)</f>
        <v>28</v>
      </c>
      <c r="T39" s="53">
        <f t="shared" si="31"/>
        <v>5.5714285714285712</v>
      </c>
      <c r="U39" s="53">
        <f t="shared" si="31"/>
        <v>21.571428571428573</v>
      </c>
      <c r="V39" s="53">
        <f t="shared" si="31"/>
        <v>11.857142857142856</v>
      </c>
      <c r="W39" s="53">
        <f t="shared" si="31"/>
        <v>1.2857142857142856</v>
      </c>
      <c r="X39" s="53">
        <f t="shared" si="31"/>
        <v>0.71428571428571419</v>
      </c>
      <c r="Y39" s="53">
        <f t="shared" si="31"/>
        <v>18.857142857142858</v>
      </c>
      <c r="Z39" s="53">
        <f t="shared" si="31"/>
        <v>1.5714285714285714</v>
      </c>
      <c r="AA39" s="53">
        <f t="shared" si="31"/>
        <v>2.8571428571428568</v>
      </c>
      <c r="AB39" s="53">
        <f t="shared" si="31"/>
        <v>13.428571428571427</v>
      </c>
      <c r="AC39" s="53">
        <f t="shared" si="31"/>
        <v>295.28571428571428</v>
      </c>
      <c r="AD39" s="53">
        <f t="shared" si="31"/>
        <v>0</v>
      </c>
      <c r="AE39" s="54">
        <f t="shared" si="31"/>
        <v>105.71428571428572</v>
      </c>
      <c r="AF39" s="54">
        <f t="shared" si="31"/>
        <v>401</v>
      </c>
    </row>
    <row r="40" spans="2:32" ht="23.1" customHeight="1" x14ac:dyDescent="0.25">
      <c r="B40" s="24" t="s">
        <v>67</v>
      </c>
      <c r="C40" s="49">
        <f>'Avg Week Goli-Nebbi'!C40+'Avg Week Nebbi-Goli'!C40</f>
        <v>3.1428571428571428</v>
      </c>
      <c r="D40" s="49">
        <f>'Avg Week Goli-Nebbi'!D40+'Avg Week Nebbi-Goli'!D40</f>
        <v>0.42857142857142855</v>
      </c>
      <c r="E40" s="49">
        <f>'Avg Week Goli-Nebbi'!E40+'Avg Week Nebbi-Goli'!E40</f>
        <v>1.8571428571428572</v>
      </c>
      <c r="F40" s="49">
        <f>'Avg Week Goli-Nebbi'!F40+'Avg Week Nebbi-Goli'!F40</f>
        <v>2.2857142857142856</v>
      </c>
      <c r="G40" s="49">
        <f>'Avg Week Goli-Nebbi'!G40+'Avg Week Nebbi-Goli'!G40</f>
        <v>0</v>
      </c>
      <c r="H40" s="49">
        <f>'Avg Week Goli-Nebbi'!H40+'Avg Week Nebbi-Goli'!H40</f>
        <v>0</v>
      </c>
      <c r="I40" s="49">
        <f>'Avg Week Goli-Nebbi'!I40+'Avg Week Nebbi-Goli'!I40</f>
        <v>2</v>
      </c>
      <c r="J40" s="49">
        <f>'Avg Week Goli-Nebbi'!J40+'Avg Week Nebbi-Goli'!J40</f>
        <v>0.2857142857142857</v>
      </c>
      <c r="K40" s="49">
        <f>'Avg Week Goli-Nebbi'!K40+'Avg Week Nebbi-Goli'!K40</f>
        <v>0.2857142857142857</v>
      </c>
      <c r="L40" s="49">
        <f>'Avg Week Goli-Nebbi'!L40+'Avg Week Nebbi-Goli'!L40</f>
        <v>0.14285714285714285</v>
      </c>
      <c r="M40" s="49">
        <f>'Avg Week Goli-Nebbi'!M40+'Avg Week Nebbi-Goli'!M40</f>
        <v>21</v>
      </c>
      <c r="N40" s="49">
        <f>'Avg Week Goli-Nebbi'!N40+'Avg Week Nebbi-Goli'!N40</f>
        <v>0</v>
      </c>
      <c r="O40" s="15">
        <f t="shared" si="0"/>
        <v>10.428571428571431</v>
      </c>
      <c r="P40" s="15">
        <f t="shared" si="1"/>
        <v>31.428571428571431</v>
      </c>
      <c r="R40" s="5" t="s">
        <v>17</v>
      </c>
      <c r="S40" s="53">
        <f t="shared" ref="S40:AF40" si="32">SUM(S10:S21)</f>
        <v>88.571428571428584</v>
      </c>
      <c r="T40" s="53">
        <f t="shared" si="32"/>
        <v>16.714285714285712</v>
      </c>
      <c r="U40" s="53">
        <f t="shared" si="32"/>
        <v>72.714285714285722</v>
      </c>
      <c r="V40" s="53">
        <f t="shared" si="32"/>
        <v>48.428571428571423</v>
      </c>
      <c r="W40" s="53">
        <f t="shared" si="32"/>
        <v>5.1428571428571423</v>
      </c>
      <c r="X40" s="53">
        <f t="shared" si="32"/>
        <v>3.1428571428571423</v>
      </c>
      <c r="Y40" s="53">
        <f t="shared" si="32"/>
        <v>66.142857142857153</v>
      </c>
      <c r="Z40" s="53">
        <f t="shared" si="32"/>
        <v>8.7142857142857135</v>
      </c>
      <c r="AA40" s="53">
        <f t="shared" si="32"/>
        <v>7.5714285714285712</v>
      </c>
      <c r="AB40" s="53">
        <f t="shared" si="32"/>
        <v>47.428571428571423</v>
      </c>
      <c r="AC40" s="53">
        <f t="shared" si="32"/>
        <v>1118.7142857142858</v>
      </c>
      <c r="AD40" s="53">
        <f t="shared" si="32"/>
        <v>0.71428571428571419</v>
      </c>
      <c r="AE40" s="54">
        <f t="shared" si="32"/>
        <v>365.28571428571428</v>
      </c>
      <c r="AF40" s="54">
        <f t="shared" si="32"/>
        <v>1484</v>
      </c>
    </row>
    <row r="41" spans="2:32" ht="23.1" customHeight="1" x14ac:dyDescent="0.25">
      <c r="B41" s="23" t="s">
        <v>68</v>
      </c>
      <c r="C41" s="49">
        <f>'Avg Week Goli-Nebbi'!C41+'Avg Week Nebbi-Goli'!C41</f>
        <v>1.4285714285714286</v>
      </c>
      <c r="D41" s="49">
        <f>'Avg Week Goli-Nebbi'!D41+'Avg Week Nebbi-Goli'!D41</f>
        <v>0.2857142857142857</v>
      </c>
      <c r="E41" s="49">
        <f>'Avg Week Goli-Nebbi'!E41+'Avg Week Nebbi-Goli'!E41</f>
        <v>1.2857142857142856</v>
      </c>
      <c r="F41" s="49">
        <f>'Avg Week Goli-Nebbi'!F41+'Avg Week Nebbi-Goli'!F41</f>
        <v>0.8571428571428571</v>
      </c>
      <c r="G41" s="49">
        <f>'Avg Week Goli-Nebbi'!G41+'Avg Week Nebbi-Goli'!G41</f>
        <v>0</v>
      </c>
      <c r="H41" s="49">
        <f>'Avg Week Goli-Nebbi'!H41+'Avg Week Nebbi-Goli'!H41</f>
        <v>0</v>
      </c>
      <c r="I41" s="49">
        <f>'Avg Week Goli-Nebbi'!I41+'Avg Week Nebbi-Goli'!I41</f>
        <v>1</v>
      </c>
      <c r="J41" s="49">
        <f>'Avg Week Goli-Nebbi'!J41+'Avg Week Nebbi-Goli'!J41</f>
        <v>0.42857142857142855</v>
      </c>
      <c r="K41" s="49">
        <f>'Avg Week Goli-Nebbi'!K41+'Avg Week Nebbi-Goli'!K41</f>
        <v>0</v>
      </c>
      <c r="L41" s="49">
        <f>'Avg Week Goli-Nebbi'!L41+'Avg Week Nebbi-Goli'!L41</f>
        <v>1.1428571428571428</v>
      </c>
      <c r="M41" s="49">
        <f>'Avg Week Goli-Nebbi'!M41+'Avg Week Nebbi-Goli'!M41</f>
        <v>19.285714285714285</v>
      </c>
      <c r="N41" s="49">
        <f>'Avg Week Goli-Nebbi'!N41+'Avg Week Nebbi-Goli'!N41</f>
        <v>0</v>
      </c>
      <c r="O41" s="15">
        <f t="shared" si="0"/>
        <v>6.4285714285714288</v>
      </c>
      <c r="P41" s="15">
        <f t="shared" si="1"/>
        <v>25.714285714285715</v>
      </c>
      <c r="R41" s="5" t="s">
        <v>173</v>
      </c>
      <c r="S41" s="53">
        <f>SUM(S10:S33)</f>
        <v>120.57142857142858</v>
      </c>
      <c r="T41" s="53">
        <f t="shared" ref="T41:AD41" si="33">SUM(T10:T33)</f>
        <v>18.214285714285712</v>
      </c>
      <c r="U41" s="53">
        <f t="shared" si="33"/>
        <v>87.547619047619051</v>
      </c>
      <c r="V41" s="53">
        <f t="shared" si="33"/>
        <v>53.261904761904759</v>
      </c>
      <c r="W41" s="53">
        <f t="shared" si="33"/>
        <v>7.3095238095238084</v>
      </c>
      <c r="X41" s="53">
        <f t="shared" si="33"/>
        <v>10.642857142857142</v>
      </c>
      <c r="Y41" s="53">
        <f t="shared" si="33"/>
        <v>86.476190476190482</v>
      </c>
      <c r="Z41" s="53">
        <f t="shared" si="33"/>
        <v>12.547619047619047</v>
      </c>
      <c r="AA41" s="53">
        <f t="shared" si="33"/>
        <v>8.4047619047619051</v>
      </c>
      <c r="AB41" s="53">
        <f t="shared" si="33"/>
        <v>67.095238095238088</v>
      </c>
      <c r="AC41" s="53">
        <f t="shared" si="33"/>
        <v>1424.0476190476188</v>
      </c>
      <c r="AD41" s="53">
        <f t="shared" si="33"/>
        <v>0.71428571428571419</v>
      </c>
      <c r="AE41" s="54">
        <f>SUM(AE10:AE33)</f>
        <v>472.78571428571433</v>
      </c>
      <c r="AF41" s="54">
        <f>SUM(AF10:AF33)</f>
        <v>1896.8333333333337</v>
      </c>
    </row>
    <row r="42" spans="2:32" ht="23.1" customHeight="1" x14ac:dyDescent="0.25">
      <c r="B42" s="24" t="s">
        <v>69</v>
      </c>
      <c r="C42" s="49">
        <f>'Avg Week Goli-Nebbi'!C42+'Avg Week Nebbi-Goli'!C42</f>
        <v>1.5714285714285714</v>
      </c>
      <c r="D42" s="49">
        <f>'Avg Week Goli-Nebbi'!D42+'Avg Week Nebbi-Goli'!D42</f>
        <v>0.42857142857142855</v>
      </c>
      <c r="E42" s="49">
        <f>'Avg Week Goli-Nebbi'!E42+'Avg Week Nebbi-Goli'!E42</f>
        <v>1.7142857142857144</v>
      </c>
      <c r="F42" s="49">
        <f>'Avg Week Goli-Nebbi'!F42+'Avg Week Nebbi-Goli'!F42</f>
        <v>0.42857142857142855</v>
      </c>
      <c r="G42" s="49">
        <f>'Avg Week Goli-Nebbi'!G42+'Avg Week Nebbi-Goli'!G42</f>
        <v>0.14285714285714285</v>
      </c>
      <c r="H42" s="49">
        <f>'Avg Week Goli-Nebbi'!H42+'Avg Week Nebbi-Goli'!H42</f>
        <v>0</v>
      </c>
      <c r="I42" s="49">
        <f>'Avg Week Goli-Nebbi'!I42+'Avg Week Nebbi-Goli'!I42</f>
        <v>1.5714285714285714</v>
      </c>
      <c r="J42" s="49">
        <f>'Avg Week Goli-Nebbi'!J42+'Avg Week Nebbi-Goli'!J42</f>
        <v>0</v>
      </c>
      <c r="K42" s="49">
        <f>'Avg Week Goli-Nebbi'!K42+'Avg Week Nebbi-Goli'!K42</f>
        <v>0.14285714285714285</v>
      </c>
      <c r="L42" s="49">
        <f>'Avg Week Goli-Nebbi'!L42+'Avg Week Nebbi-Goli'!L42</f>
        <v>0</v>
      </c>
      <c r="M42" s="49">
        <f>'Avg Week Goli-Nebbi'!M42+'Avg Week Nebbi-Goli'!M42</f>
        <v>21.857142857142858</v>
      </c>
      <c r="N42" s="49">
        <f>'Avg Week Goli-Nebbi'!N42+'Avg Week Nebbi-Goli'!N42</f>
        <v>0</v>
      </c>
      <c r="O42" s="15">
        <f t="shared" si="0"/>
        <v>6.0000000000000009</v>
      </c>
      <c r="P42" s="15">
        <f t="shared" si="1"/>
        <v>27.857142857142858</v>
      </c>
      <c r="R42" s="5" t="s">
        <v>160</v>
      </c>
      <c r="S42" s="48">
        <f>S41/S40</f>
        <v>1.3612903225806452</v>
      </c>
      <c r="T42" s="48">
        <f t="shared" ref="T42:AF42" si="34">T41/T40</f>
        <v>1.0897435897435896</v>
      </c>
      <c r="U42" s="48">
        <f t="shared" si="34"/>
        <v>1.2039947609692205</v>
      </c>
      <c r="V42" s="48">
        <f t="shared" si="34"/>
        <v>1.0998033431661751</v>
      </c>
      <c r="W42" s="48">
        <f t="shared" si="34"/>
        <v>1.4212962962962963</v>
      </c>
      <c r="X42" s="48">
        <f t="shared" si="34"/>
        <v>3.3863636363636367</v>
      </c>
      <c r="Y42" s="48">
        <f t="shared" si="34"/>
        <v>1.3074154067674584</v>
      </c>
      <c r="Z42" s="48">
        <f t="shared" si="34"/>
        <v>1.4398907103825138</v>
      </c>
      <c r="AA42" s="48">
        <f t="shared" si="34"/>
        <v>1.1100628930817611</v>
      </c>
      <c r="AB42" s="48">
        <f t="shared" si="34"/>
        <v>1.4146586345381527</v>
      </c>
      <c r="AC42" s="48">
        <f t="shared" si="34"/>
        <v>1.2729323628314815</v>
      </c>
      <c r="AD42" s="48">
        <f t="shared" si="34"/>
        <v>1</v>
      </c>
      <c r="AE42" s="55">
        <f t="shared" si="34"/>
        <v>1.2942901838091516</v>
      </c>
      <c r="AF42" s="55">
        <f t="shared" si="34"/>
        <v>1.2781895777178798</v>
      </c>
    </row>
    <row r="43" spans="2:32" ht="23.1" customHeight="1" x14ac:dyDescent="0.25">
      <c r="B43" s="23" t="s">
        <v>70</v>
      </c>
      <c r="C43" s="49">
        <f>'Avg Week Goli-Nebbi'!C43+'Avg Week Nebbi-Goli'!C43</f>
        <v>1.2857142857142856</v>
      </c>
      <c r="D43" s="49">
        <f>'Avg Week Goli-Nebbi'!D43+'Avg Week Nebbi-Goli'!D43</f>
        <v>0.2857142857142857</v>
      </c>
      <c r="E43" s="49">
        <f>'Avg Week Goli-Nebbi'!E43+'Avg Week Nebbi-Goli'!E43</f>
        <v>1.4285714285714286</v>
      </c>
      <c r="F43" s="49">
        <f>'Avg Week Goli-Nebbi'!F43+'Avg Week Nebbi-Goli'!F43</f>
        <v>1.4285714285714286</v>
      </c>
      <c r="G43" s="49">
        <f>'Avg Week Goli-Nebbi'!G43+'Avg Week Nebbi-Goli'!G43</f>
        <v>0.2857142857142857</v>
      </c>
      <c r="H43" s="49">
        <f>'Avg Week Goli-Nebbi'!H43+'Avg Week Nebbi-Goli'!H43</f>
        <v>0</v>
      </c>
      <c r="I43" s="49">
        <f>'Avg Week Goli-Nebbi'!I43+'Avg Week Nebbi-Goli'!I43</f>
        <v>1.4285714285714284</v>
      </c>
      <c r="J43" s="49">
        <f>'Avg Week Goli-Nebbi'!J43+'Avg Week Nebbi-Goli'!J43</f>
        <v>0</v>
      </c>
      <c r="K43" s="49">
        <f>'Avg Week Goli-Nebbi'!K43+'Avg Week Nebbi-Goli'!K43</f>
        <v>0.14285714285714285</v>
      </c>
      <c r="L43" s="49">
        <f>'Avg Week Goli-Nebbi'!L43+'Avg Week Nebbi-Goli'!L43</f>
        <v>0.2857142857142857</v>
      </c>
      <c r="M43" s="49">
        <f>'Avg Week Goli-Nebbi'!M43+'Avg Week Nebbi-Goli'!M43</f>
        <v>22.571428571428569</v>
      </c>
      <c r="N43" s="49">
        <f>'Avg Week Goli-Nebbi'!N43+'Avg Week Nebbi-Goli'!N43</f>
        <v>0</v>
      </c>
      <c r="O43" s="15">
        <f t="shared" si="0"/>
        <v>6.5714285714285712</v>
      </c>
      <c r="P43" s="15">
        <f t="shared" si="1"/>
        <v>29.142857142857139</v>
      </c>
    </row>
    <row r="44" spans="2:32" ht="23.1" customHeight="1" x14ac:dyDescent="0.25">
      <c r="B44" s="25" t="s">
        <v>71</v>
      </c>
      <c r="C44" s="49">
        <f>'Avg Week Goli-Nebbi'!C44+'Avg Week Nebbi-Goli'!C44</f>
        <v>2.8571428571428572</v>
      </c>
      <c r="D44" s="49">
        <f>'Avg Week Goli-Nebbi'!D44+'Avg Week Nebbi-Goli'!D44</f>
        <v>0.14285714285714285</v>
      </c>
      <c r="E44" s="49">
        <f>'Avg Week Goli-Nebbi'!E44+'Avg Week Nebbi-Goli'!E44</f>
        <v>1.4285714285714284</v>
      </c>
      <c r="F44" s="49">
        <f>'Avg Week Goli-Nebbi'!F44+'Avg Week Nebbi-Goli'!F44</f>
        <v>1.2857142857142856</v>
      </c>
      <c r="G44" s="49">
        <f>'Avg Week Goli-Nebbi'!G44+'Avg Week Nebbi-Goli'!G44</f>
        <v>0.14285714285714285</v>
      </c>
      <c r="H44" s="49">
        <f>'Avg Week Goli-Nebbi'!H44+'Avg Week Nebbi-Goli'!H44</f>
        <v>0</v>
      </c>
      <c r="I44" s="49">
        <f>'Avg Week Goli-Nebbi'!I44+'Avg Week Nebbi-Goli'!I44</f>
        <v>2</v>
      </c>
      <c r="J44" s="49">
        <f>'Avg Week Goli-Nebbi'!J44+'Avg Week Nebbi-Goli'!J44</f>
        <v>0.2857142857142857</v>
      </c>
      <c r="K44" s="49">
        <f>'Avg Week Goli-Nebbi'!K44+'Avg Week Nebbi-Goli'!K44</f>
        <v>0</v>
      </c>
      <c r="L44" s="49">
        <f>'Avg Week Goli-Nebbi'!L44+'Avg Week Nebbi-Goli'!L44</f>
        <v>0.2857142857142857</v>
      </c>
      <c r="M44" s="49">
        <f>'Avg Week Goli-Nebbi'!M44+'Avg Week Nebbi-Goli'!M44</f>
        <v>18.714285714285715</v>
      </c>
      <c r="N44" s="49">
        <f>'Avg Week Goli-Nebbi'!N44+'Avg Week Nebbi-Goli'!N44</f>
        <v>0</v>
      </c>
      <c r="O44" s="15">
        <f t="shared" si="0"/>
        <v>8.4285714285714306</v>
      </c>
      <c r="P44" s="15">
        <f t="shared" si="1"/>
        <v>27.142857142857146</v>
      </c>
    </row>
    <row r="45" spans="2:32" ht="23.1" customHeight="1" x14ac:dyDescent="0.25">
      <c r="B45" s="23" t="s">
        <v>72</v>
      </c>
      <c r="C45" s="49">
        <f>'Avg Week Goli-Nebbi'!C45+'Avg Week Nebbi-Goli'!C45</f>
        <v>1.7142857142857144</v>
      </c>
      <c r="D45" s="49">
        <f>'Avg Week Goli-Nebbi'!D45+'Avg Week Nebbi-Goli'!D45</f>
        <v>0.14285714285714285</v>
      </c>
      <c r="E45" s="49">
        <f>'Avg Week Goli-Nebbi'!E45+'Avg Week Nebbi-Goli'!E45</f>
        <v>1.4285714285714284</v>
      </c>
      <c r="F45" s="49">
        <f>'Avg Week Goli-Nebbi'!F45+'Avg Week Nebbi-Goli'!F45</f>
        <v>1.2857142857142856</v>
      </c>
      <c r="G45" s="49">
        <f>'Avg Week Goli-Nebbi'!G45+'Avg Week Nebbi-Goli'!G45</f>
        <v>0</v>
      </c>
      <c r="H45" s="49">
        <f>'Avg Week Goli-Nebbi'!H45+'Avg Week Nebbi-Goli'!H45</f>
        <v>0.14285714285714285</v>
      </c>
      <c r="I45" s="49">
        <f>'Avg Week Goli-Nebbi'!I45+'Avg Week Nebbi-Goli'!I45</f>
        <v>1.5714285714285714</v>
      </c>
      <c r="J45" s="49">
        <f>'Avg Week Goli-Nebbi'!J45+'Avg Week Nebbi-Goli'!J45</f>
        <v>0.14285714285714285</v>
      </c>
      <c r="K45" s="49">
        <f>'Avg Week Goli-Nebbi'!K45+'Avg Week Nebbi-Goli'!K45</f>
        <v>0.14285714285714285</v>
      </c>
      <c r="L45" s="49">
        <f>'Avg Week Goli-Nebbi'!L45+'Avg Week Nebbi-Goli'!L45</f>
        <v>1.1428571428571428</v>
      </c>
      <c r="M45" s="49">
        <f>'Avg Week Goli-Nebbi'!M45+'Avg Week Nebbi-Goli'!M45</f>
        <v>20.857142857142858</v>
      </c>
      <c r="N45" s="49">
        <f>'Avg Week Goli-Nebbi'!N45+'Avg Week Nebbi-Goli'!N45</f>
        <v>0</v>
      </c>
      <c r="O45" s="15">
        <f t="shared" si="0"/>
        <v>7.7142857142857153</v>
      </c>
      <c r="P45" s="15">
        <f t="shared" si="1"/>
        <v>28.571428571428573</v>
      </c>
    </row>
    <row r="46" spans="2:32" ht="23.1" customHeight="1" x14ac:dyDescent="0.25">
      <c r="B46" s="24" t="s">
        <v>73</v>
      </c>
      <c r="C46" s="49">
        <f>'Avg Week Goli-Nebbi'!C46+'Avg Week Nebbi-Goli'!C46</f>
        <v>2</v>
      </c>
      <c r="D46" s="49">
        <f>'Avg Week Goli-Nebbi'!D46+'Avg Week Nebbi-Goli'!D46</f>
        <v>0.14285714285714285</v>
      </c>
      <c r="E46" s="49">
        <f>'Avg Week Goli-Nebbi'!E46+'Avg Week Nebbi-Goli'!E46</f>
        <v>1.1428571428571428</v>
      </c>
      <c r="F46" s="49">
        <f>'Avg Week Goli-Nebbi'!F46+'Avg Week Nebbi-Goli'!F46</f>
        <v>1.2857142857142856</v>
      </c>
      <c r="G46" s="49">
        <f>'Avg Week Goli-Nebbi'!G46+'Avg Week Nebbi-Goli'!G46</f>
        <v>0.14285714285714285</v>
      </c>
      <c r="H46" s="49">
        <f>'Avg Week Goli-Nebbi'!H46+'Avg Week Nebbi-Goli'!H46</f>
        <v>0</v>
      </c>
      <c r="I46" s="49">
        <f>'Avg Week Goli-Nebbi'!I46+'Avg Week Nebbi-Goli'!I46</f>
        <v>1.1428571428571428</v>
      </c>
      <c r="J46" s="49">
        <f>'Avg Week Goli-Nebbi'!J46+'Avg Week Nebbi-Goli'!J46</f>
        <v>0.2857142857142857</v>
      </c>
      <c r="K46" s="49">
        <f>'Avg Week Goli-Nebbi'!K46+'Avg Week Nebbi-Goli'!K46</f>
        <v>0.2857142857142857</v>
      </c>
      <c r="L46" s="49">
        <f>'Avg Week Goli-Nebbi'!L46+'Avg Week Nebbi-Goli'!L46</f>
        <v>1.5714285714285714</v>
      </c>
      <c r="M46" s="49">
        <f>'Avg Week Goli-Nebbi'!M46+'Avg Week Nebbi-Goli'!M46</f>
        <v>26</v>
      </c>
      <c r="N46" s="49">
        <f>'Avg Week Goli-Nebbi'!N46+'Avg Week Nebbi-Goli'!N46</f>
        <v>0</v>
      </c>
      <c r="O46" s="15">
        <f t="shared" si="0"/>
        <v>8</v>
      </c>
      <c r="P46" s="15">
        <f t="shared" si="1"/>
        <v>34</v>
      </c>
      <c r="R46" s="8"/>
      <c r="T46"/>
    </row>
    <row r="47" spans="2:32" ht="23.1" customHeight="1" x14ac:dyDescent="0.25">
      <c r="B47" s="24" t="s">
        <v>74</v>
      </c>
      <c r="C47" s="49">
        <f>'Avg Week Goli-Nebbi'!C47+'Avg Week Nebbi-Goli'!C47</f>
        <v>2.5714285714285712</v>
      </c>
      <c r="D47" s="49">
        <f>'Avg Week Goli-Nebbi'!D47+'Avg Week Nebbi-Goli'!D47</f>
        <v>0.14285714285714285</v>
      </c>
      <c r="E47" s="49">
        <f>'Avg Week Goli-Nebbi'!E47+'Avg Week Nebbi-Goli'!E47</f>
        <v>1.4285714285714286</v>
      </c>
      <c r="F47" s="49">
        <f>'Avg Week Goli-Nebbi'!F47+'Avg Week Nebbi-Goli'!F47</f>
        <v>0.42857142857142855</v>
      </c>
      <c r="G47" s="49">
        <f>'Avg Week Goli-Nebbi'!G47+'Avg Week Nebbi-Goli'!G47</f>
        <v>0.2857142857142857</v>
      </c>
      <c r="H47" s="49">
        <f>'Avg Week Goli-Nebbi'!H47+'Avg Week Nebbi-Goli'!H47</f>
        <v>0</v>
      </c>
      <c r="I47" s="49">
        <f>'Avg Week Goli-Nebbi'!I47+'Avg Week Nebbi-Goli'!I47</f>
        <v>2.7142857142857144</v>
      </c>
      <c r="J47" s="49">
        <f>'Avg Week Goli-Nebbi'!J47+'Avg Week Nebbi-Goli'!J47</f>
        <v>0.14285714285714285</v>
      </c>
      <c r="K47" s="49">
        <f>'Avg Week Goli-Nebbi'!K47+'Avg Week Nebbi-Goli'!K47</f>
        <v>0.14285714285714285</v>
      </c>
      <c r="L47" s="49">
        <f>'Avg Week Goli-Nebbi'!L47+'Avg Week Nebbi-Goli'!L47</f>
        <v>1.1428571428571428</v>
      </c>
      <c r="M47" s="49">
        <f>'Avg Week Goli-Nebbi'!M47+'Avg Week Nebbi-Goli'!M47</f>
        <v>24.285714285714285</v>
      </c>
      <c r="N47" s="49">
        <f>'Avg Week Goli-Nebbi'!N47+'Avg Week Nebbi-Goli'!N47</f>
        <v>0</v>
      </c>
      <c r="O47" s="15">
        <f t="shared" si="0"/>
        <v>9</v>
      </c>
      <c r="P47" s="15">
        <f t="shared" si="1"/>
        <v>33.285714285714285</v>
      </c>
      <c r="R47" s="8"/>
      <c r="T47"/>
    </row>
    <row r="48" spans="2:32" ht="23.1" customHeight="1" x14ac:dyDescent="0.25">
      <c r="B48" s="24" t="s">
        <v>75</v>
      </c>
      <c r="C48" s="49">
        <f>'Avg Week Goli-Nebbi'!C48+'Avg Week Nebbi-Goli'!C48</f>
        <v>2.8571428571428568</v>
      </c>
      <c r="D48" s="49">
        <f>'Avg Week Goli-Nebbi'!D48+'Avg Week Nebbi-Goli'!D48</f>
        <v>0.42857142857142855</v>
      </c>
      <c r="E48" s="49">
        <f>'Avg Week Goli-Nebbi'!E48+'Avg Week Nebbi-Goli'!E48</f>
        <v>1.4285714285714286</v>
      </c>
      <c r="F48" s="49">
        <f>'Avg Week Goli-Nebbi'!F48+'Avg Week Nebbi-Goli'!F48</f>
        <v>0.5714285714285714</v>
      </c>
      <c r="G48" s="49">
        <f>'Avg Week Goli-Nebbi'!G48+'Avg Week Nebbi-Goli'!G48</f>
        <v>0.14285714285714285</v>
      </c>
      <c r="H48" s="49">
        <f>'Avg Week Goli-Nebbi'!H48+'Avg Week Nebbi-Goli'!H48</f>
        <v>0</v>
      </c>
      <c r="I48" s="49">
        <f>'Avg Week Goli-Nebbi'!I48+'Avg Week Nebbi-Goli'!I48</f>
        <v>1.7142857142857144</v>
      </c>
      <c r="J48" s="49">
        <f>'Avg Week Goli-Nebbi'!J48+'Avg Week Nebbi-Goli'!J48</f>
        <v>0</v>
      </c>
      <c r="K48" s="49">
        <f>'Avg Week Goli-Nebbi'!K48+'Avg Week Nebbi-Goli'!K48</f>
        <v>0.5714285714285714</v>
      </c>
      <c r="L48" s="49">
        <f>'Avg Week Goli-Nebbi'!L48+'Avg Week Nebbi-Goli'!L48</f>
        <v>1</v>
      </c>
      <c r="M48" s="49">
        <f>'Avg Week Goli-Nebbi'!M48+'Avg Week Nebbi-Goli'!M48</f>
        <v>21</v>
      </c>
      <c r="N48" s="49">
        <f>'Avg Week Goli-Nebbi'!N48+'Avg Week Nebbi-Goli'!N48</f>
        <v>0</v>
      </c>
      <c r="O48" s="15">
        <f t="shared" si="0"/>
        <v>8.7142857142857135</v>
      </c>
      <c r="P48" s="15">
        <f t="shared" si="1"/>
        <v>29.714285714285715</v>
      </c>
      <c r="R48" s="8"/>
      <c r="T48"/>
    </row>
    <row r="49" spans="2:20" ht="23.1" customHeight="1" x14ac:dyDescent="0.25">
      <c r="B49" s="23" t="s">
        <v>76</v>
      </c>
      <c r="C49" s="49">
        <f>'Avg Week Goli-Nebbi'!C49+'Avg Week Nebbi-Goli'!C49</f>
        <v>2</v>
      </c>
      <c r="D49" s="49">
        <f>'Avg Week Goli-Nebbi'!D49+'Avg Week Nebbi-Goli'!D49</f>
        <v>0.5714285714285714</v>
      </c>
      <c r="E49" s="49">
        <f>'Avg Week Goli-Nebbi'!E49+'Avg Week Nebbi-Goli'!E49</f>
        <v>1.7142857142857144</v>
      </c>
      <c r="F49" s="49">
        <f>'Avg Week Goli-Nebbi'!F49+'Avg Week Nebbi-Goli'!F49</f>
        <v>0.71428571428571419</v>
      </c>
      <c r="G49" s="49">
        <f>'Avg Week Goli-Nebbi'!G49+'Avg Week Nebbi-Goli'!G49</f>
        <v>0</v>
      </c>
      <c r="H49" s="49">
        <f>'Avg Week Goli-Nebbi'!H49+'Avg Week Nebbi-Goli'!H49</f>
        <v>0.14285714285714285</v>
      </c>
      <c r="I49" s="49">
        <f>'Avg Week Goli-Nebbi'!I49+'Avg Week Nebbi-Goli'!I49</f>
        <v>2</v>
      </c>
      <c r="J49" s="49">
        <f>'Avg Week Goli-Nebbi'!J49+'Avg Week Nebbi-Goli'!J49</f>
        <v>0.14285714285714285</v>
      </c>
      <c r="K49" s="49">
        <f>'Avg Week Goli-Nebbi'!K49+'Avg Week Nebbi-Goli'!K49</f>
        <v>0</v>
      </c>
      <c r="L49" s="49">
        <f>'Avg Week Goli-Nebbi'!L49+'Avg Week Nebbi-Goli'!L49</f>
        <v>0.8571428571428571</v>
      </c>
      <c r="M49" s="49">
        <f>'Avg Week Goli-Nebbi'!M49+'Avg Week Nebbi-Goli'!M49</f>
        <v>23.714285714285715</v>
      </c>
      <c r="N49" s="49">
        <f>'Avg Week Goli-Nebbi'!N49+'Avg Week Nebbi-Goli'!N49</f>
        <v>0</v>
      </c>
      <c r="O49" s="15">
        <f t="shared" si="0"/>
        <v>8.1428571428571441</v>
      </c>
      <c r="P49" s="15">
        <f t="shared" si="1"/>
        <v>31.857142857142861</v>
      </c>
      <c r="R49" s="8"/>
      <c r="T49"/>
    </row>
    <row r="50" spans="2:20" ht="23.1" customHeight="1" x14ac:dyDescent="0.25">
      <c r="B50" s="24" t="s">
        <v>77</v>
      </c>
      <c r="C50" s="49">
        <f>'Avg Week Goli-Nebbi'!C50+'Avg Week Nebbi-Goli'!C50</f>
        <v>4</v>
      </c>
      <c r="D50" s="49">
        <f>'Avg Week Goli-Nebbi'!D50+'Avg Week Nebbi-Goli'!D50</f>
        <v>0.71428571428571419</v>
      </c>
      <c r="E50" s="49">
        <f>'Avg Week Goli-Nebbi'!E50+'Avg Week Nebbi-Goli'!E50</f>
        <v>3.1428571428571428</v>
      </c>
      <c r="F50" s="49">
        <f>'Avg Week Goli-Nebbi'!F50+'Avg Week Nebbi-Goli'!F50</f>
        <v>1.7142857142857142</v>
      </c>
      <c r="G50" s="49">
        <f>'Avg Week Goli-Nebbi'!G50+'Avg Week Nebbi-Goli'!G50</f>
        <v>0</v>
      </c>
      <c r="H50" s="49">
        <f>'Avg Week Goli-Nebbi'!H50+'Avg Week Nebbi-Goli'!H50</f>
        <v>0</v>
      </c>
      <c r="I50" s="49">
        <f>'Avg Week Goli-Nebbi'!I50+'Avg Week Nebbi-Goli'!I50</f>
        <v>2.1428571428571428</v>
      </c>
      <c r="J50" s="49">
        <f>'Avg Week Goli-Nebbi'!J50+'Avg Week Nebbi-Goli'!J50</f>
        <v>0.14285714285714285</v>
      </c>
      <c r="K50" s="49">
        <f>'Avg Week Goli-Nebbi'!K50+'Avg Week Nebbi-Goli'!K50</f>
        <v>0.2857142857142857</v>
      </c>
      <c r="L50" s="49">
        <f>'Avg Week Goli-Nebbi'!L50+'Avg Week Nebbi-Goli'!L50</f>
        <v>0.14285714285714285</v>
      </c>
      <c r="M50" s="49">
        <f>'Avg Week Goli-Nebbi'!M50+'Avg Week Nebbi-Goli'!M50</f>
        <v>27.142857142857142</v>
      </c>
      <c r="N50" s="49">
        <f>'Avg Week Goli-Nebbi'!N50+'Avg Week Nebbi-Goli'!N50</f>
        <v>0</v>
      </c>
      <c r="O50" s="15">
        <f t="shared" si="0"/>
        <v>12.285714285714285</v>
      </c>
      <c r="P50" s="15">
        <f t="shared" si="1"/>
        <v>39.428571428571431</v>
      </c>
      <c r="R50" s="8"/>
      <c r="T50"/>
    </row>
    <row r="51" spans="2:20" ht="23.1" customHeight="1" x14ac:dyDescent="0.25">
      <c r="B51" s="24" t="s">
        <v>78</v>
      </c>
      <c r="C51" s="49">
        <f>'Avg Week Goli-Nebbi'!C51+'Avg Week Nebbi-Goli'!C51</f>
        <v>1.7142857142857144</v>
      </c>
      <c r="D51" s="49">
        <f>'Avg Week Goli-Nebbi'!D51+'Avg Week Nebbi-Goli'!D51</f>
        <v>0.5714285714285714</v>
      </c>
      <c r="E51" s="49">
        <f>'Avg Week Goli-Nebbi'!E51+'Avg Week Nebbi-Goli'!E51</f>
        <v>2.5714285714285716</v>
      </c>
      <c r="F51" s="49">
        <f>'Avg Week Goli-Nebbi'!F51+'Avg Week Nebbi-Goli'!F51</f>
        <v>1.1428571428571428</v>
      </c>
      <c r="G51" s="49">
        <f>'Avg Week Goli-Nebbi'!G51+'Avg Week Nebbi-Goli'!G51</f>
        <v>0</v>
      </c>
      <c r="H51" s="49">
        <f>'Avg Week Goli-Nebbi'!H51+'Avg Week Nebbi-Goli'!H51</f>
        <v>0</v>
      </c>
      <c r="I51" s="49">
        <f>'Avg Week Goli-Nebbi'!I51+'Avg Week Nebbi-Goli'!I51</f>
        <v>1.5714285714285716</v>
      </c>
      <c r="J51" s="49">
        <f>'Avg Week Goli-Nebbi'!J51+'Avg Week Nebbi-Goli'!J51</f>
        <v>0</v>
      </c>
      <c r="K51" s="49">
        <f>'Avg Week Goli-Nebbi'!K51+'Avg Week Nebbi-Goli'!K51</f>
        <v>0.42857142857142855</v>
      </c>
      <c r="L51" s="49">
        <f>'Avg Week Goli-Nebbi'!L51+'Avg Week Nebbi-Goli'!L51</f>
        <v>1.8571428571428572</v>
      </c>
      <c r="M51" s="49">
        <f>'Avg Week Goli-Nebbi'!M51+'Avg Week Nebbi-Goli'!M51</f>
        <v>19.714285714285715</v>
      </c>
      <c r="N51" s="49">
        <f>'Avg Week Goli-Nebbi'!N51+'Avg Week Nebbi-Goli'!N51</f>
        <v>0</v>
      </c>
      <c r="O51" s="15">
        <f t="shared" si="0"/>
        <v>9.8571428571428577</v>
      </c>
      <c r="P51" s="15">
        <f t="shared" si="1"/>
        <v>29.571428571428573</v>
      </c>
      <c r="R51" s="8"/>
      <c r="T51"/>
    </row>
    <row r="52" spans="2:20" ht="23.1" customHeight="1" x14ac:dyDescent="0.25">
      <c r="B52" s="24" t="s">
        <v>79</v>
      </c>
      <c r="C52" s="49">
        <f>'Avg Week Goli-Nebbi'!C52+'Avg Week Nebbi-Goli'!C52</f>
        <v>2.4285714285714288</v>
      </c>
      <c r="D52" s="49">
        <f>'Avg Week Goli-Nebbi'!D52+'Avg Week Nebbi-Goli'!D52</f>
        <v>0.5714285714285714</v>
      </c>
      <c r="E52" s="49">
        <f>'Avg Week Goli-Nebbi'!E52+'Avg Week Nebbi-Goli'!E52</f>
        <v>1.8571428571428572</v>
      </c>
      <c r="F52" s="49">
        <f>'Avg Week Goli-Nebbi'!F52+'Avg Week Nebbi-Goli'!F52</f>
        <v>1.2857142857142856</v>
      </c>
      <c r="G52" s="49">
        <f>'Avg Week Goli-Nebbi'!G52+'Avg Week Nebbi-Goli'!G52</f>
        <v>0</v>
      </c>
      <c r="H52" s="49">
        <f>'Avg Week Goli-Nebbi'!H52+'Avg Week Nebbi-Goli'!H52</f>
        <v>0</v>
      </c>
      <c r="I52" s="49">
        <f>'Avg Week Goli-Nebbi'!I52+'Avg Week Nebbi-Goli'!I52</f>
        <v>1.2857142857142856</v>
      </c>
      <c r="J52" s="49">
        <f>'Avg Week Goli-Nebbi'!J52+'Avg Week Nebbi-Goli'!J52</f>
        <v>0</v>
      </c>
      <c r="K52" s="49">
        <f>'Avg Week Goli-Nebbi'!K52+'Avg Week Nebbi-Goli'!K52</f>
        <v>0.14285714285714285</v>
      </c>
      <c r="L52" s="49">
        <f>'Avg Week Goli-Nebbi'!L52+'Avg Week Nebbi-Goli'!L52</f>
        <v>0.71428571428571419</v>
      </c>
      <c r="M52" s="49">
        <f>'Avg Week Goli-Nebbi'!M52+'Avg Week Nebbi-Goli'!M52</f>
        <v>23.428571428571431</v>
      </c>
      <c r="N52" s="49">
        <f>'Avg Week Goli-Nebbi'!N52+'Avg Week Nebbi-Goli'!N52</f>
        <v>0</v>
      </c>
      <c r="O52" s="15">
        <f t="shared" si="0"/>
        <v>8.2857142857142865</v>
      </c>
      <c r="P52" s="15">
        <f t="shared" si="1"/>
        <v>31.714285714285715</v>
      </c>
      <c r="R52" s="8"/>
      <c r="T52"/>
    </row>
    <row r="53" spans="2:20" ht="23.1" customHeight="1" x14ac:dyDescent="0.25">
      <c r="B53" s="23" t="s">
        <v>80</v>
      </c>
      <c r="C53" s="49">
        <f>'Avg Week Goli-Nebbi'!C53+'Avg Week Nebbi-Goli'!C53</f>
        <v>1.7142857142857142</v>
      </c>
      <c r="D53" s="49">
        <f>'Avg Week Goli-Nebbi'!D53+'Avg Week Nebbi-Goli'!D53</f>
        <v>0.2857142857142857</v>
      </c>
      <c r="E53" s="49">
        <f>'Avg Week Goli-Nebbi'!E53+'Avg Week Nebbi-Goli'!E53</f>
        <v>1.2857142857142856</v>
      </c>
      <c r="F53" s="49">
        <f>'Avg Week Goli-Nebbi'!F53+'Avg Week Nebbi-Goli'!F53</f>
        <v>1</v>
      </c>
      <c r="G53" s="49">
        <f>'Avg Week Goli-Nebbi'!G53+'Avg Week Nebbi-Goli'!G53</f>
        <v>0.14285714285714285</v>
      </c>
      <c r="H53" s="49">
        <f>'Avg Week Goli-Nebbi'!H53+'Avg Week Nebbi-Goli'!H53</f>
        <v>0.14285714285714285</v>
      </c>
      <c r="I53" s="49">
        <f>'Avg Week Goli-Nebbi'!I53+'Avg Week Nebbi-Goli'!I53</f>
        <v>1.4285714285714284</v>
      </c>
      <c r="J53" s="49">
        <f>'Avg Week Goli-Nebbi'!J53+'Avg Week Nebbi-Goli'!J53</f>
        <v>0.2857142857142857</v>
      </c>
      <c r="K53" s="49">
        <f>'Avg Week Goli-Nebbi'!K53+'Avg Week Nebbi-Goli'!K53</f>
        <v>0</v>
      </c>
      <c r="L53" s="49">
        <f>'Avg Week Goli-Nebbi'!L53+'Avg Week Nebbi-Goli'!L53</f>
        <v>0.8571428571428571</v>
      </c>
      <c r="M53" s="49">
        <f>'Avg Week Goli-Nebbi'!M53+'Avg Week Nebbi-Goli'!M53</f>
        <v>27</v>
      </c>
      <c r="N53" s="49">
        <f>'Avg Week Goli-Nebbi'!N53+'Avg Week Nebbi-Goli'!N53</f>
        <v>0</v>
      </c>
      <c r="O53" s="15">
        <f t="shared" si="0"/>
        <v>7.1428571428571423</v>
      </c>
      <c r="P53" s="15">
        <f t="shared" si="1"/>
        <v>34.142857142857139</v>
      </c>
      <c r="R53" s="8"/>
      <c r="T53"/>
    </row>
    <row r="54" spans="2:20" ht="23.1" customHeight="1" x14ac:dyDescent="0.25">
      <c r="B54" s="23" t="s">
        <v>81</v>
      </c>
      <c r="C54" s="49">
        <f>'Avg Week Goli-Nebbi'!C54+'Avg Week Nebbi-Goli'!C54</f>
        <v>2.5714285714285712</v>
      </c>
      <c r="D54" s="49">
        <f>'Avg Week Goli-Nebbi'!D54+'Avg Week Nebbi-Goli'!D54</f>
        <v>0.42857142857142855</v>
      </c>
      <c r="E54" s="49">
        <f>'Avg Week Goli-Nebbi'!E54+'Avg Week Nebbi-Goli'!E54</f>
        <v>1.8571428571428572</v>
      </c>
      <c r="F54" s="49">
        <f>'Avg Week Goli-Nebbi'!F54+'Avg Week Nebbi-Goli'!F54</f>
        <v>1.2857142857142856</v>
      </c>
      <c r="G54" s="49">
        <f>'Avg Week Goli-Nebbi'!G54+'Avg Week Nebbi-Goli'!G54</f>
        <v>0.5714285714285714</v>
      </c>
      <c r="H54" s="49">
        <f>'Avg Week Goli-Nebbi'!H54+'Avg Week Nebbi-Goli'!H54</f>
        <v>0.14285714285714285</v>
      </c>
      <c r="I54" s="49">
        <f>'Avg Week Goli-Nebbi'!I54+'Avg Week Nebbi-Goli'!I54</f>
        <v>1.2857142857142856</v>
      </c>
      <c r="J54" s="49">
        <f>'Avg Week Goli-Nebbi'!J54+'Avg Week Nebbi-Goli'!J54</f>
        <v>0.42857142857142855</v>
      </c>
      <c r="K54" s="49">
        <f>'Avg Week Goli-Nebbi'!K54+'Avg Week Nebbi-Goli'!K54</f>
        <v>0.14285714285714285</v>
      </c>
      <c r="L54" s="49">
        <f>'Avg Week Goli-Nebbi'!L54+'Avg Week Nebbi-Goli'!L54</f>
        <v>0.42857142857142855</v>
      </c>
      <c r="M54" s="49">
        <f>'Avg Week Goli-Nebbi'!M54+'Avg Week Nebbi-Goli'!M54</f>
        <v>22.571428571428569</v>
      </c>
      <c r="N54" s="49">
        <f>'Avg Week Goli-Nebbi'!N54+'Avg Week Nebbi-Goli'!N54</f>
        <v>0</v>
      </c>
      <c r="O54" s="15">
        <f t="shared" si="0"/>
        <v>9.1428571428571423</v>
      </c>
      <c r="P54" s="15">
        <f t="shared" si="1"/>
        <v>31.714285714285712</v>
      </c>
      <c r="R54" s="8"/>
      <c r="T54"/>
    </row>
    <row r="55" spans="2:20" ht="23.1" customHeight="1" x14ac:dyDescent="0.25">
      <c r="B55" s="23" t="s">
        <v>82</v>
      </c>
      <c r="C55" s="49">
        <f>'Avg Week Goli-Nebbi'!C55+'Avg Week Nebbi-Goli'!C55</f>
        <v>1.4285714285714286</v>
      </c>
      <c r="D55" s="49">
        <f>'Avg Week Goli-Nebbi'!D55+'Avg Week Nebbi-Goli'!D55</f>
        <v>0.7142857142857143</v>
      </c>
      <c r="E55" s="49">
        <f>'Avg Week Goli-Nebbi'!E55+'Avg Week Nebbi-Goli'!E55</f>
        <v>2.1428571428571428</v>
      </c>
      <c r="F55" s="49">
        <f>'Avg Week Goli-Nebbi'!F55+'Avg Week Nebbi-Goli'!F55</f>
        <v>0.8571428571428571</v>
      </c>
      <c r="G55" s="49">
        <f>'Avg Week Goli-Nebbi'!G55+'Avg Week Nebbi-Goli'!G55</f>
        <v>0</v>
      </c>
      <c r="H55" s="49">
        <f>'Avg Week Goli-Nebbi'!H55+'Avg Week Nebbi-Goli'!H55</f>
        <v>0.14285714285714285</v>
      </c>
      <c r="I55" s="49">
        <f>'Avg Week Goli-Nebbi'!I55+'Avg Week Nebbi-Goli'!I55</f>
        <v>1.1428571428571428</v>
      </c>
      <c r="J55" s="49">
        <f>'Avg Week Goli-Nebbi'!J55+'Avg Week Nebbi-Goli'!J55</f>
        <v>0.14285714285714285</v>
      </c>
      <c r="K55" s="49">
        <f>'Avg Week Goli-Nebbi'!K55+'Avg Week Nebbi-Goli'!K55</f>
        <v>0</v>
      </c>
      <c r="L55" s="49">
        <f>'Avg Week Goli-Nebbi'!L55+'Avg Week Nebbi-Goli'!L55</f>
        <v>0.71428571428571419</v>
      </c>
      <c r="M55" s="49">
        <f>'Avg Week Goli-Nebbi'!M55+'Avg Week Nebbi-Goli'!M55</f>
        <v>27.428571428571431</v>
      </c>
      <c r="N55" s="49">
        <f>'Avg Week Goli-Nebbi'!N55+'Avg Week Nebbi-Goli'!N55</f>
        <v>0</v>
      </c>
      <c r="O55" s="15">
        <f t="shared" si="0"/>
        <v>7.2857142857142865</v>
      </c>
      <c r="P55" s="15">
        <f t="shared" si="1"/>
        <v>34.714285714285715</v>
      </c>
      <c r="R55" s="8"/>
      <c r="T55"/>
    </row>
    <row r="56" spans="2:20" ht="23.1" customHeight="1" x14ac:dyDescent="0.25">
      <c r="B56" s="23" t="s">
        <v>83</v>
      </c>
      <c r="C56" s="49">
        <f>'Avg Week Goli-Nebbi'!C56+'Avg Week Nebbi-Goli'!C56</f>
        <v>2.7142857142857144</v>
      </c>
      <c r="D56" s="49">
        <f>'Avg Week Goli-Nebbi'!D56+'Avg Week Nebbi-Goli'!D56</f>
        <v>0.5714285714285714</v>
      </c>
      <c r="E56" s="49">
        <f>'Avg Week Goli-Nebbi'!E56+'Avg Week Nebbi-Goli'!E56</f>
        <v>1.5714285714285714</v>
      </c>
      <c r="F56" s="49">
        <f>'Avg Week Goli-Nebbi'!F56+'Avg Week Nebbi-Goli'!F56</f>
        <v>0.71428571428571419</v>
      </c>
      <c r="G56" s="49">
        <f>'Avg Week Goli-Nebbi'!G56+'Avg Week Nebbi-Goli'!G56</f>
        <v>0</v>
      </c>
      <c r="H56" s="49">
        <f>'Avg Week Goli-Nebbi'!H56+'Avg Week Nebbi-Goli'!H56</f>
        <v>0</v>
      </c>
      <c r="I56" s="49">
        <f>'Avg Week Goli-Nebbi'!I56+'Avg Week Nebbi-Goli'!I56</f>
        <v>1.8571428571428572</v>
      </c>
      <c r="J56" s="49">
        <f>'Avg Week Goli-Nebbi'!J56+'Avg Week Nebbi-Goli'!J56</f>
        <v>0</v>
      </c>
      <c r="K56" s="49">
        <f>'Avg Week Goli-Nebbi'!K56+'Avg Week Nebbi-Goli'!K56</f>
        <v>0.5714285714285714</v>
      </c>
      <c r="L56" s="49">
        <f>'Avg Week Goli-Nebbi'!L56+'Avg Week Nebbi-Goli'!L56</f>
        <v>1</v>
      </c>
      <c r="M56" s="49">
        <f>'Avg Week Goli-Nebbi'!M56+'Avg Week Nebbi-Goli'!M56</f>
        <v>29.142857142857142</v>
      </c>
      <c r="N56" s="49">
        <f>'Avg Week Goli-Nebbi'!N56+'Avg Week Nebbi-Goli'!N56</f>
        <v>0</v>
      </c>
      <c r="O56" s="15">
        <f t="shared" si="0"/>
        <v>9</v>
      </c>
      <c r="P56" s="15">
        <f t="shared" si="1"/>
        <v>38.142857142857139</v>
      </c>
      <c r="R56" s="8"/>
      <c r="T56"/>
    </row>
    <row r="57" spans="2:20" ht="23.1" customHeight="1" x14ac:dyDescent="0.25">
      <c r="B57" s="23" t="s">
        <v>84</v>
      </c>
      <c r="C57" s="49">
        <f>'Avg Week Goli-Nebbi'!C57+'Avg Week Nebbi-Goli'!C57</f>
        <v>2</v>
      </c>
      <c r="D57" s="49">
        <f>'Avg Week Goli-Nebbi'!D57+'Avg Week Nebbi-Goli'!D57</f>
        <v>0.42857142857142855</v>
      </c>
      <c r="E57" s="49">
        <f>'Avg Week Goli-Nebbi'!E57+'Avg Week Nebbi-Goli'!E57</f>
        <v>1.4285714285714286</v>
      </c>
      <c r="F57" s="49">
        <f>'Avg Week Goli-Nebbi'!F57+'Avg Week Nebbi-Goli'!F57</f>
        <v>0.85714285714285721</v>
      </c>
      <c r="G57" s="49">
        <f>'Avg Week Goli-Nebbi'!G57+'Avg Week Nebbi-Goli'!G57</f>
        <v>0</v>
      </c>
      <c r="H57" s="49">
        <f>'Avg Week Goli-Nebbi'!H57+'Avg Week Nebbi-Goli'!H57</f>
        <v>0.14285714285714285</v>
      </c>
      <c r="I57" s="49">
        <f>'Avg Week Goli-Nebbi'!I57+'Avg Week Nebbi-Goli'!I57</f>
        <v>0.5714285714285714</v>
      </c>
      <c r="J57" s="49">
        <f>'Avg Week Goli-Nebbi'!J57+'Avg Week Nebbi-Goli'!J57</f>
        <v>0</v>
      </c>
      <c r="K57" s="49">
        <f>'Avg Week Goli-Nebbi'!K57+'Avg Week Nebbi-Goli'!K57</f>
        <v>0.2857142857142857</v>
      </c>
      <c r="L57" s="49">
        <f>'Avg Week Goli-Nebbi'!L57+'Avg Week Nebbi-Goli'!L57</f>
        <v>3.1428571428571428</v>
      </c>
      <c r="M57" s="49">
        <f>'Avg Week Goli-Nebbi'!M57+'Avg Week Nebbi-Goli'!M57</f>
        <v>23.857142857142858</v>
      </c>
      <c r="N57" s="49">
        <f>'Avg Week Goli-Nebbi'!N57+'Avg Week Nebbi-Goli'!N57</f>
        <v>0</v>
      </c>
      <c r="O57" s="15">
        <f t="shared" si="0"/>
        <v>8.8571428571428559</v>
      </c>
      <c r="P57" s="15">
        <f t="shared" si="1"/>
        <v>32.714285714285715</v>
      </c>
      <c r="R57" s="8"/>
      <c r="T57"/>
    </row>
    <row r="58" spans="2:20" ht="23.1" customHeight="1" x14ac:dyDescent="0.25">
      <c r="B58" s="23" t="s">
        <v>99</v>
      </c>
      <c r="C58" s="49">
        <f>'Avg Week Goli-Nebbi'!C58+'Avg Week Nebbi-Goli'!C58</f>
        <v>1.5</v>
      </c>
      <c r="D58" s="49">
        <f>'Avg Week Goli-Nebbi'!D58+'Avg Week Nebbi-Goli'!D58</f>
        <v>0.5</v>
      </c>
      <c r="E58" s="49">
        <f>'Avg Week Goli-Nebbi'!E58+'Avg Week Nebbi-Goli'!E58</f>
        <v>1.3333333333333333</v>
      </c>
      <c r="F58" s="49">
        <f>'Avg Week Goli-Nebbi'!F58+'Avg Week Nebbi-Goli'!F58</f>
        <v>1.5</v>
      </c>
      <c r="G58" s="49">
        <f>'Avg Week Goli-Nebbi'!G58+'Avg Week Nebbi-Goli'!G58</f>
        <v>0</v>
      </c>
      <c r="H58" s="49">
        <f>'Avg Week Goli-Nebbi'!H58+'Avg Week Nebbi-Goli'!H58</f>
        <v>0</v>
      </c>
      <c r="I58" s="49">
        <f>'Avg Week Goli-Nebbi'!I58+'Avg Week Nebbi-Goli'!I58</f>
        <v>0.33333333333333331</v>
      </c>
      <c r="J58" s="49">
        <f>'Avg Week Goli-Nebbi'!J58+'Avg Week Nebbi-Goli'!J58</f>
        <v>0</v>
      </c>
      <c r="K58" s="49">
        <f>'Avg Week Goli-Nebbi'!K58+'Avg Week Nebbi-Goli'!K58</f>
        <v>0.5</v>
      </c>
      <c r="L58" s="49">
        <f>'Avg Week Goli-Nebbi'!L58+'Avg Week Nebbi-Goli'!L58</f>
        <v>0</v>
      </c>
      <c r="M58" s="49">
        <f>'Avg Week Goli-Nebbi'!M58+'Avg Week Nebbi-Goli'!M58</f>
        <v>27.833333333333336</v>
      </c>
      <c r="N58" s="49">
        <f>'Avg Week Goli-Nebbi'!N58+'Avg Week Nebbi-Goli'!N58</f>
        <v>0</v>
      </c>
      <c r="O58" s="15">
        <f t="shared" si="0"/>
        <v>5.6666666666666661</v>
      </c>
      <c r="P58" s="15">
        <f t="shared" si="1"/>
        <v>33.5</v>
      </c>
      <c r="R58" s="8"/>
      <c r="T58"/>
    </row>
    <row r="59" spans="2:20" ht="23.1" customHeight="1" x14ac:dyDescent="0.25">
      <c r="B59" s="23" t="s">
        <v>100</v>
      </c>
      <c r="C59" s="49">
        <f>'Avg Week Goli-Nebbi'!C59+'Avg Week Nebbi-Goli'!C59</f>
        <v>1.6666666666666665</v>
      </c>
      <c r="D59" s="49">
        <f>'Avg Week Goli-Nebbi'!D59+'Avg Week Nebbi-Goli'!D59</f>
        <v>0</v>
      </c>
      <c r="E59" s="49">
        <f>'Avg Week Goli-Nebbi'!E59+'Avg Week Nebbi-Goli'!E59</f>
        <v>0</v>
      </c>
      <c r="F59" s="49">
        <f>'Avg Week Goli-Nebbi'!F59+'Avg Week Nebbi-Goli'!F59</f>
        <v>0.33333333333333331</v>
      </c>
      <c r="G59" s="49">
        <f>'Avg Week Goli-Nebbi'!G59+'Avg Week Nebbi-Goli'!G59</f>
        <v>0</v>
      </c>
      <c r="H59" s="49">
        <f>'Avg Week Goli-Nebbi'!H59+'Avg Week Nebbi-Goli'!H59</f>
        <v>0.33333333333333331</v>
      </c>
      <c r="I59" s="49">
        <f>'Avg Week Goli-Nebbi'!I59+'Avg Week Nebbi-Goli'!I59</f>
        <v>0.33333333333333331</v>
      </c>
      <c r="J59" s="49">
        <f>'Avg Week Goli-Nebbi'!J59+'Avg Week Nebbi-Goli'!J59</f>
        <v>1</v>
      </c>
      <c r="K59" s="49">
        <f>'Avg Week Goli-Nebbi'!K59+'Avg Week Nebbi-Goli'!K59</f>
        <v>0</v>
      </c>
      <c r="L59" s="49">
        <f>'Avg Week Goli-Nebbi'!L59+'Avg Week Nebbi-Goli'!L59</f>
        <v>1.1666666666666665</v>
      </c>
      <c r="M59" s="49">
        <f>'Avg Week Goli-Nebbi'!M59+'Avg Week Nebbi-Goli'!M59</f>
        <v>41.5</v>
      </c>
      <c r="N59" s="49">
        <f>'Avg Week Goli-Nebbi'!N59+'Avg Week Nebbi-Goli'!N59</f>
        <v>0</v>
      </c>
      <c r="O59" s="15">
        <f t="shared" si="0"/>
        <v>4.833333333333333</v>
      </c>
      <c r="P59" s="15">
        <f t="shared" si="1"/>
        <v>46.333333333333336</v>
      </c>
      <c r="R59" s="8"/>
      <c r="T59"/>
    </row>
    <row r="60" spans="2:20" ht="23.1" customHeight="1" x14ac:dyDescent="0.25">
      <c r="B60" s="23" t="s">
        <v>101</v>
      </c>
      <c r="C60" s="49">
        <f>'Avg Week Goli-Nebbi'!C60+'Avg Week Nebbi-Goli'!C60</f>
        <v>1.5</v>
      </c>
      <c r="D60" s="49">
        <f>'Avg Week Goli-Nebbi'!D60+'Avg Week Nebbi-Goli'!D60</f>
        <v>0</v>
      </c>
      <c r="E60" s="49">
        <f>'Avg Week Goli-Nebbi'!E60+'Avg Week Nebbi-Goli'!E60</f>
        <v>0.5</v>
      </c>
      <c r="F60" s="49">
        <f>'Avg Week Goli-Nebbi'!F60+'Avg Week Nebbi-Goli'!F60</f>
        <v>0</v>
      </c>
      <c r="G60" s="49">
        <f>'Avg Week Goli-Nebbi'!G60+'Avg Week Nebbi-Goli'!G60</f>
        <v>0.33333333333333331</v>
      </c>
      <c r="H60" s="49">
        <f>'Avg Week Goli-Nebbi'!H60+'Avg Week Nebbi-Goli'!H60</f>
        <v>0.33333333333333331</v>
      </c>
      <c r="I60" s="49">
        <f>'Avg Week Goli-Nebbi'!I60+'Avg Week Nebbi-Goli'!I60</f>
        <v>2</v>
      </c>
      <c r="J60" s="49">
        <f>'Avg Week Goli-Nebbi'!J60+'Avg Week Nebbi-Goli'!J60</f>
        <v>0</v>
      </c>
      <c r="K60" s="49">
        <f>'Avg Week Goli-Nebbi'!K60+'Avg Week Nebbi-Goli'!K60</f>
        <v>0</v>
      </c>
      <c r="L60" s="49">
        <f>'Avg Week Goli-Nebbi'!L60+'Avg Week Nebbi-Goli'!L60</f>
        <v>1.5</v>
      </c>
      <c r="M60" s="49">
        <f>'Avg Week Goli-Nebbi'!M60+'Avg Week Nebbi-Goli'!M60</f>
        <v>19.833333333333336</v>
      </c>
      <c r="N60" s="49">
        <f>'Avg Week Goli-Nebbi'!N60+'Avg Week Nebbi-Goli'!N60</f>
        <v>0</v>
      </c>
      <c r="O60" s="15">
        <f t="shared" si="0"/>
        <v>6.166666666666667</v>
      </c>
      <c r="P60" s="15">
        <f t="shared" si="1"/>
        <v>26.000000000000004</v>
      </c>
      <c r="R60" s="8"/>
      <c r="T60"/>
    </row>
    <row r="61" spans="2:20" ht="23.1" customHeight="1" x14ac:dyDescent="0.25">
      <c r="B61" s="23" t="s">
        <v>102</v>
      </c>
      <c r="C61" s="49">
        <f>'Avg Week Goli-Nebbi'!C61+'Avg Week Nebbi-Goli'!C61</f>
        <v>1</v>
      </c>
      <c r="D61" s="49">
        <f>'Avg Week Goli-Nebbi'!D61+'Avg Week Nebbi-Goli'!D61</f>
        <v>0</v>
      </c>
      <c r="E61" s="49">
        <f>'Avg Week Goli-Nebbi'!E61+'Avg Week Nebbi-Goli'!E61</f>
        <v>0</v>
      </c>
      <c r="F61" s="49">
        <f>'Avg Week Goli-Nebbi'!F61+'Avg Week Nebbi-Goli'!F61</f>
        <v>0</v>
      </c>
      <c r="G61" s="49">
        <f>'Avg Week Goli-Nebbi'!G61+'Avg Week Nebbi-Goli'!G61</f>
        <v>0</v>
      </c>
      <c r="H61" s="49">
        <f>'Avg Week Goli-Nebbi'!H61+'Avg Week Nebbi-Goli'!H61</f>
        <v>1.1666666666666665</v>
      </c>
      <c r="I61" s="49">
        <f>'Avg Week Goli-Nebbi'!I61+'Avg Week Nebbi-Goli'!I61</f>
        <v>0.33333333333333331</v>
      </c>
      <c r="J61" s="49">
        <f>'Avg Week Goli-Nebbi'!J61+'Avg Week Nebbi-Goli'!J61</f>
        <v>0</v>
      </c>
      <c r="K61" s="49">
        <f>'Avg Week Goli-Nebbi'!K61+'Avg Week Nebbi-Goli'!K61</f>
        <v>0</v>
      </c>
      <c r="L61" s="49">
        <f>'Avg Week Goli-Nebbi'!L61+'Avg Week Nebbi-Goli'!L61</f>
        <v>0</v>
      </c>
      <c r="M61" s="49">
        <f>'Avg Week Goli-Nebbi'!M61+'Avg Week Nebbi-Goli'!M61</f>
        <v>10.833333333333334</v>
      </c>
      <c r="N61" s="49">
        <f>'Avg Week Goli-Nebbi'!N61+'Avg Week Nebbi-Goli'!N61</f>
        <v>0</v>
      </c>
      <c r="O61" s="15">
        <f t="shared" si="0"/>
        <v>2.5</v>
      </c>
      <c r="P61" s="15">
        <f t="shared" si="1"/>
        <v>13.333333333333334</v>
      </c>
      <c r="R61" s="8"/>
      <c r="T61"/>
    </row>
    <row r="62" spans="2:20" ht="23.1" customHeight="1" x14ac:dyDescent="0.25">
      <c r="B62" s="23" t="s">
        <v>107</v>
      </c>
      <c r="C62" s="49">
        <f>'Avg Week Goli-Nebbi'!C62+'Avg Week Nebbi-Goli'!C62</f>
        <v>2</v>
      </c>
      <c r="D62" s="49">
        <f>'Avg Week Goli-Nebbi'!D62+'Avg Week Nebbi-Goli'!D62</f>
        <v>0.5</v>
      </c>
      <c r="E62" s="49">
        <f>'Avg Week Goli-Nebbi'!E62+'Avg Week Nebbi-Goli'!E62</f>
        <v>1.5</v>
      </c>
      <c r="F62" s="49">
        <f>'Avg Week Goli-Nebbi'!F62+'Avg Week Nebbi-Goli'!F62</f>
        <v>0</v>
      </c>
      <c r="G62" s="49">
        <f>'Avg Week Goli-Nebbi'!G62+'Avg Week Nebbi-Goli'!G62</f>
        <v>0</v>
      </c>
      <c r="H62" s="49">
        <f>'Avg Week Goli-Nebbi'!H62+'Avg Week Nebbi-Goli'!H62</f>
        <v>0</v>
      </c>
      <c r="I62" s="49">
        <f>'Avg Week Goli-Nebbi'!I62+'Avg Week Nebbi-Goli'!I62</f>
        <v>2</v>
      </c>
      <c r="J62" s="49">
        <f>'Avg Week Goli-Nebbi'!J62+'Avg Week Nebbi-Goli'!J62</f>
        <v>0</v>
      </c>
      <c r="K62" s="49">
        <f>'Avg Week Goli-Nebbi'!K62+'Avg Week Nebbi-Goli'!K62</f>
        <v>0</v>
      </c>
      <c r="L62" s="49">
        <f>'Avg Week Goli-Nebbi'!L62+'Avg Week Nebbi-Goli'!L62</f>
        <v>0.33333333333333331</v>
      </c>
      <c r="M62" s="49">
        <f>'Avg Week Goli-Nebbi'!M62+'Avg Week Nebbi-Goli'!M62</f>
        <v>20.166666666666668</v>
      </c>
      <c r="N62" s="49">
        <f>'Avg Week Goli-Nebbi'!N62+'Avg Week Nebbi-Goli'!N62</f>
        <v>0</v>
      </c>
      <c r="O62" s="15">
        <f t="shared" si="0"/>
        <v>6.333333333333333</v>
      </c>
      <c r="P62" s="15">
        <f t="shared" si="1"/>
        <v>26.5</v>
      </c>
      <c r="R62" s="8"/>
      <c r="T62"/>
    </row>
    <row r="63" spans="2:20" ht="23.1" customHeight="1" x14ac:dyDescent="0.25">
      <c r="B63" s="23" t="s">
        <v>108</v>
      </c>
      <c r="C63" s="49">
        <f>'Avg Week Goli-Nebbi'!C63+'Avg Week Nebbi-Goli'!C63</f>
        <v>1.1666666666666665</v>
      </c>
      <c r="D63" s="49">
        <f>'Avg Week Goli-Nebbi'!D63+'Avg Week Nebbi-Goli'!D63</f>
        <v>0</v>
      </c>
      <c r="E63" s="49">
        <f>'Avg Week Goli-Nebbi'!E63+'Avg Week Nebbi-Goli'!E63</f>
        <v>1</v>
      </c>
      <c r="F63" s="49">
        <f>'Avg Week Goli-Nebbi'!F63+'Avg Week Nebbi-Goli'!F63</f>
        <v>0</v>
      </c>
      <c r="G63" s="49">
        <f>'Avg Week Goli-Nebbi'!G63+'Avg Week Nebbi-Goli'!G63</f>
        <v>0</v>
      </c>
      <c r="H63" s="49">
        <f>'Avg Week Goli-Nebbi'!H63+'Avg Week Nebbi-Goli'!H63</f>
        <v>0</v>
      </c>
      <c r="I63" s="49">
        <f>'Avg Week Goli-Nebbi'!I63+'Avg Week Nebbi-Goli'!I63</f>
        <v>0</v>
      </c>
      <c r="J63" s="49">
        <f>'Avg Week Goli-Nebbi'!J63+'Avg Week Nebbi-Goli'!J63</f>
        <v>0.5</v>
      </c>
      <c r="K63" s="49">
        <f>'Avg Week Goli-Nebbi'!K63+'Avg Week Nebbi-Goli'!K63</f>
        <v>0</v>
      </c>
      <c r="L63" s="49">
        <f>'Avg Week Goli-Nebbi'!L63+'Avg Week Nebbi-Goli'!L63</f>
        <v>0</v>
      </c>
      <c r="M63" s="49">
        <f>'Avg Week Goli-Nebbi'!M63+'Avg Week Nebbi-Goli'!M63</f>
        <v>16.166666666666668</v>
      </c>
      <c r="N63" s="49">
        <f>'Avg Week Goli-Nebbi'!N63+'Avg Week Nebbi-Goli'!N63</f>
        <v>0</v>
      </c>
      <c r="O63" s="15">
        <f t="shared" si="0"/>
        <v>2.6666666666666665</v>
      </c>
      <c r="P63" s="15">
        <f t="shared" si="1"/>
        <v>18.833333333333336</v>
      </c>
      <c r="R63" s="8"/>
      <c r="T63"/>
    </row>
    <row r="64" spans="2:20" ht="23.1" customHeight="1" x14ac:dyDescent="0.25">
      <c r="B64" s="23" t="s">
        <v>109</v>
      </c>
      <c r="C64" s="49">
        <f>'Avg Week Goli-Nebbi'!C64+'Avg Week Nebbi-Goli'!C64</f>
        <v>1.1666666666666665</v>
      </c>
      <c r="D64" s="49">
        <f>'Avg Week Goli-Nebbi'!D64+'Avg Week Nebbi-Goli'!D64</f>
        <v>0</v>
      </c>
      <c r="E64" s="49">
        <f>'Avg Week Goli-Nebbi'!E64+'Avg Week Nebbi-Goli'!E64</f>
        <v>0.5</v>
      </c>
      <c r="F64" s="49">
        <f>'Avg Week Goli-Nebbi'!F64+'Avg Week Nebbi-Goli'!F64</f>
        <v>0</v>
      </c>
      <c r="G64" s="49">
        <f>'Avg Week Goli-Nebbi'!G64+'Avg Week Nebbi-Goli'!G64</f>
        <v>0.66666666666666663</v>
      </c>
      <c r="H64" s="49">
        <f>'Avg Week Goli-Nebbi'!H64+'Avg Week Nebbi-Goli'!H64</f>
        <v>0</v>
      </c>
      <c r="I64" s="49">
        <f>'Avg Week Goli-Nebbi'!I64+'Avg Week Nebbi-Goli'!I64</f>
        <v>1.3333333333333333</v>
      </c>
      <c r="J64" s="49">
        <f>'Avg Week Goli-Nebbi'!J64+'Avg Week Nebbi-Goli'!J64</f>
        <v>0.5</v>
      </c>
      <c r="K64" s="49">
        <f>'Avg Week Goli-Nebbi'!K64+'Avg Week Nebbi-Goli'!K64</f>
        <v>0</v>
      </c>
      <c r="L64" s="49">
        <f>'Avg Week Goli-Nebbi'!L64+'Avg Week Nebbi-Goli'!L64</f>
        <v>0.83333333333333326</v>
      </c>
      <c r="M64" s="49">
        <f>'Avg Week Goli-Nebbi'!M64+'Avg Week Nebbi-Goli'!M64</f>
        <v>16.833333333333332</v>
      </c>
      <c r="N64" s="49">
        <f>'Avg Week Goli-Nebbi'!N64+'Avg Week Nebbi-Goli'!N64</f>
        <v>0</v>
      </c>
      <c r="O64" s="15">
        <f t="shared" si="0"/>
        <v>4.9999999999999991</v>
      </c>
      <c r="P64" s="15">
        <f t="shared" si="1"/>
        <v>21.833333333333332</v>
      </c>
      <c r="R64" s="8"/>
      <c r="T64"/>
    </row>
    <row r="65" spans="2:20" ht="23.1" customHeight="1" x14ac:dyDescent="0.25">
      <c r="B65" s="23" t="s">
        <v>158</v>
      </c>
      <c r="C65" s="49">
        <f>'Avg Week Goli-Nebbi'!C65+'Avg Week Nebbi-Goli'!C65</f>
        <v>0.83333333333333326</v>
      </c>
      <c r="D65" s="49">
        <f>'Avg Week Goli-Nebbi'!D65+'Avg Week Nebbi-Goli'!D65</f>
        <v>0</v>
      </c>
      <c r="E65" s="49">
        <f>'Avg Week Goli-Nebbi'!E65+'Avg Week Nebbi-Goli'!E65</f>
        <v>0.33333333333333331</v>
      </c>
      <c r="F65" s="49">
        <f>'Avg Week Goli-Nebbi'!F65+'Avg Week Nebbi-Goli'!F65</f>
        <v>0.5</v>
      </c>
      <c r="G65" s="49">
        <f>'Avg Week Goli-Nebbi'!G65+'Avg Week Nebbi-Goli'!G65</f>
        <v>0</v>
      </c>
      <c r="H65" s="49">
        <f>'Avg Week Goli-Nebbi'!H65+'Avg Week Nebbi-Goli'!H65</f>
        <v>0</v>
      </c>
      <c r="I65" s="49">
        <f>'Avg Week Goli-Nebbi'!I65+'Avg Week Nebbi-Goli'!I65</f>
        <v>0.33333333333333331</v>
      </c>
      <c r="J65" s="49">
        <f>'Avg Week Goli-Nebbi'!J65+'Avg Week Nebbi-Goli'!J65</f>
        <v>0</v>
      </c>
      <c r="K65" s="49">
        <f>'Avg Week Goli-Nebbi'!K65+'Avg Week Nebbi-Goli'!K65</f>
        <v>0</v>
      </c>
      <c r="L65" s="49">
        <f>'Avg Week Goli-Nebbi'!L65+'Avg Week Nebbi-Goli'!L65</f>
        <v>1.1666666666666665</v>
      </c>
      <c r="M65" s="49">
        <f>'Avg Week Goli-Nebbi'!M65+'Avg Week Nebbi-Goli'!M65</f>
        <v>11.166666666666668</v>
      </c>
      <c r="N65" s="49">
        <f>'Avg Week Goli-Nebbi'!N65+'Avg Week Nebbi-Goli'!N65</f>
        <v>0</v>
      </c>
      <c r="O65" s="15">
        <f t="shared" si="0"/>
        <v>3.1666666666666661</v>
      </c>
      <c r="P65" s="15">
        <f t="shared" si="1"/>
        <v>14.333333333333334</v>
      </c>
      <c r="R65" s="8"/>
      <c r="T65"/>
    </row>
    <row r="66" spans="2:20" ht="23.1" customHeight="1" x14ac:dyDescent="0.25">
      <c r="B66" s="23" t="s">
        <v>103</v>
      </c>
      <c r="C66" s="49">
        <f>'Avg Week Goli-Nebbi'!C66+'Avg Week Nebbi-Goli'!C66</f>
        <v>0.66666666666666663</v>
      </c>
      <c r="D66" s="49">
        <f>'Avg Week Goli-Nebbi'!D66+'Avg Week Nebbi-Goli'!D66</f>
        <v>0.5</v>
      </c>
      <c r="E66" s="49">
        <f>'Avg Week Goli-Nebbi'!E66+'Avg Week Nebbi-Goli'!E66</f>
        <v>1</v>
      </c>
      <c r="F66" s="49">
        <f>'Avg Week Goli-Nebbi'!F66+'Avg Week Nebbi-Goli'!F66</f>
        <v>0</v>
      </c>
      <c r="G66" s="49">
        <f>'Avg Week Goli-Nebbi'!G66+'Avg Week Nebbi-Goli'!G66</f>
        <v>0</v>
      </c>
      <c r="H66" s="49">
        <f>'Avg Week Goli-Nebbi'!H66+'Avg Week Nebbi-Goli'!H66</f>
        <v>0.5</v>
      </c>
      <c r="I66" s="49">
        <f>'Avg Week Goli-Nebbi'!I66+'Avg Week Nebbi-Goli'!I66</f>
        <v>0.83333333333333326</v>
      </c>
      <c r="J66" s="49">
        <f>'Avg Week Goli-Nebbi'!J66+'Avg Week Nebbi-Goli'!J66</f>
        <v>0</v>
      </c>
      <c r="K66" s="49">
        <f>'Avg Week Goli-Nebbi'!K66+'Avg Week Nebbi-Goli'!K66</f>
        <v>0</v>
      </c>
      <c r="L66" s="49">
        <f>'Avg Week Goli-Nebbi'!L66+'Avg Week Nebbi-Goli'!L66</f>
        <v>0.5</v>
      </c>
      <c r="M66" s="49">
        <f>'Avg Week Goli-Nebbi'!M66+'Avg Week Nebbi-Goli'!M66</f>
        <v>9.3333333333333321</v>
      </c>
      <c r="N66" s="49">
        <f>'Avg Week Goli-Nebbi'!N66+'Avg Week Nebbi-Goli'!N66</f>
        <v>0</v>
      </c>
      <c r="O66" s="15">
        <f t="shared" si="0"/>
        <v>4</v>
      </c>
      <c r="P66" s="15">
        <f t="shared" si="1"/>
        <v>13.333333333333332</v>
      </c>
      <c r="R66" s="8"/>
      <c r="T66"/>
    </row>
    <row r="67" spans="2:20" ht="23.1" customHeight="1" x14ac:dyDescent="0.25">
      <c r="B67" s="23" t="s">
        <v>104</v>
      </c>
      <c r="C67" s="49">
        <f>'Avg Week Goli-Nebbi'!C67+'Avg Week Nebbi-Goli'!C67</f>
        <v>2.333333333333333</v>
      </c>
      <c r="D67" s="49">
        <f>'Avg Week Goli-Nebbi'!D67+'Avg Week Nebbi-Goli'!D67</f>
        <v>0</v>
      </c>
      <c r="E67" s="49">
        <f>'Avg Week Goli-Nebbi'!E67+'Avg Week Nebbi-Goli'!E67</f>
        <v>0</v>
      </c>
      <c r="F67" s="49">
        <f>'Avg Week Goli-Nebbi'!F67+'Avg Week Nebbi-Goli'!F67</f>
        <v>0.33333333333333331</v>
      </c>
      <c r="G67" s="49">
        <f>'Avg Week Goli-Nebbi'!G67+'Avg Week Nebbi-Goli'!G67</f>
        <v>0</v>
      </c>
      <c r="H67" s="49">
        <f>'Avg Week Goli-Nebbi'!H67+'Avg Week Nebbi-Goli'!H67</f>
        <v>0.5</v>
      </c>
      <c r="I67" s="49">
        <f>'Avg Week Goli-Nebbi'!I67+'Avg Week Nebbi-Goli'!I67</f>
        <v>1</v>
      </c>
      <c r="J67" s="49">
        <f>'Avg Week Goli-Nebbi'!J67+'Avg Week Nebbi-Goli'!J67</f>
        <v>0</v>
      </c>
      <c r="K67" s="49">
        <f>'Avg Week Goli-Nebbi'!K67+'Avg Week Nebbi-Goli'!K67</f>
        <v>0.33333333333333331</v>
      </c>
      <c r="L67" s="49">
        <f>'Avg Week Goli-Nebbi'!L67+'Avg Week Nebbi-Goli'!L67</f>
        <v>0.5</v>
      </c>
      <c r="M67" s="49">
        <f>'Avg Week Goli-Nebbi'!M67+'Avg Week Nebbi-Goli'!M67</f>
        <v>8.1666666666666679</v>
      </c>
      <c r="N67" s="49">
        <f>'Avg Week Goli-Nebbi'!N67+'Avg Week Nebbi-Goli'!N67</f>
        <v>0</v>
      </c>
      <c r="O67" s="15">
        <f t="shared" si="0"/>
        <v>4.9999999999999991</v>
      </c>
      <c r="P67" s="15">
        <f t="shared" si="1"/>
        <v>13.166666666666668</v>
      </c>
      <c r="R67" s="8"/>
      <c r="T67"/>
    </row>
    <row r="68" spans="2:20" ht="23.1" customHeight="1" x14ac:dyDescent="0.25">
      <c r="B68" s="23" t="s">
        <v>105</v>
      </c>
      <c r="C68" s="49">
        <f>'Avg Week Goli-Nebbi'!C68+'Avg Week Nebbi-Goli'!C68</f>
        <v>0.66666666666666663</v>
      </c>
      <c r="D68" s="49">
        <f>'Avg Week Goli-Nebbi'!D68+'Avg Week Nebbi-Goli'!D68</f>
        <v>0</v>
      </c>
      <c r="E68" s="49">
        <f>'Avg Week Goli-Nebbi'!E68+'Avg Week Nebbi-Goli'!E68</f>
        <v>0</v>
      </c>
      <c r="F68" s="49">
        <f>'Avg Week Goli-Nebbi'!F68+'Avg Week Nebbi-Goli'!F68</f>
        <v>0</v>
      </c>
      <c r="G68" s="49">
        <f>'Avg Week Goli-Nebbi'!G68+'Avg Week Nebbi-Goli'!G68</f>
        <v>0</v>
      </c>
      <c r="H68" s="49">
        <f>'Avg Week Goli-Nebbi'!H68+'Avg Week Nebbi-Goli'!H68</f>
        <v>1</v>
      </c>
      <c r="I68" s="49">
        <f>'Avg Week Goli-Nebbi'!I68+'Avg Week Nebbi-Goli'!I68</f>
        <v>0.5</v>
      </c>
      <c r="J68" s="49">
        <f>'Avg Week Goli-Nebbi'!J68+'Avg Week Nebbi-Goli'!J68</f>
        <v>0</v>
      </c>
      <c r="K68" s="49">
        <f>'Avg Week Goli-Nebbi'!K68+'Avg Week Nebbi-Goli'!K68</f>
        <v>0</v>
      </c>
      <c r="L68" s="49">
        <f>'Avg Week Goli-Nebbi'!L68+'Avg Week Nebbi-Goli'!L68</f>
        <v>0.33333333333333331</v>
      </c>
      <c r="M68" s="49">
        <f>'Avg Week Goli-Nebbi'!M68+'Avg Week Nebbi-Goli'!M68</f>
        <v>13.833333333333334</v>
      </c>
      <c r="N68" s="49">
        <f>'Avg Week Goli-Nebbi'!N68+'Avg Week Nebbi-Goli'!N68</f>
        <v>0</v>
      </c>
      <c r="O68" s="15">
        <f t="shared" si="0"/>
        <v>2.5</v>
      </c>
      <c r="P68" s="15">
        <f t="shared" si="1"/>
        <v>16.333333333333336</v>
      </c>
      <c r="R68" s="8"/>
      <c r="T68"/>
    </row>
    <row r="69" spans="2:20" ht="23.1" customHeight="1" x14ac:dyDescent="0.25">
      <c r="B69" s="23" t="s">
        <v>106</v>
      </c>
      <c r="C69" s="49">
        <f>'Avg Week Goli-Nebbi'!C69+'Avg Week Nebbi-Goli'!C69</f>
        <v>2</v>
      </c>
      <c r="D69" s="49">
        <f>'Avg Week Goli-Nebbi'!D69+'Avg Week Nebbi-Goli'!D69</f>
        <v>0</v>
      </c>
      <c r="E69" s="49">
        <f>'Avg Week Goli-Nebbi'!E69+'Avg Week Nebbi-Goli'!E69</f>
        <v>1</v>
      </c>
      <c r="F69" s="49">
        <f>'Avg Week Goli-Nebbi'!F69+'Avg Week Nebbi-Goli'!F69</f>
        <v>0.33333333333333331</v>
      </c>
      <c r="G69" s="49">
        <f>'Avg Week Goli-Nebbi'!G69+'Avg Week Nebbi-Goli'!G69</f>
        <v>0</v>
      </c>
      <c r="H69" s="49">
        <f>'Avg Week Goli-Nebbi'!H69+'Avg Week Nebbi-Goli'!H69</f>
        <v>0.5</v>
      </c>
      <c r="I69" s="49">
        <f>'Avg Week Goli-Nebbi'!I69+'Avg Week Nebbi-Goli'!I69</f>
        <v>0.5</v>
      </c>
      <c r="J69" s="49">
        <f>'Avg Week Goli-Nebbi'!J69+'Avg Week Nebbi-Goli'!J69</f>
        <v>0</v>
      </c>
      <c r="K69" s="49">
        <f>'Avg Week Goli-Nebbi'!K69+'Avg Week Nebbi-Goli'!K69</f>
        <v>0</v>
      </c>
      <c r="L69" s="49">
        <f>'Avg Week Goli-Nebbi'!L69+'Avg Week Nebbi-Goli'!L69</f>
        <v>0.33333333333333331</v>
      </c>
      <c r="M69" s="49">
        <f>'Avg Week Goli-Nebbi'!M69+'Avg Week Nebbi-Goli'!M69</f>
        <v>6.5</v>
      </c>
      <c r="N69" s="49">
        <f>'Avg Week Goli-Nebbi'!N69+'Avg Week Nebbi-Goli'!N69</f>
        <v>0</v>
      </c>
      <c r="O69" s="15">
        <f t="shared" si="0"/>
        <v>4.666666666666667</v>
      </c>
      <c r="P69" s="15">
        <f t="shared" si="1"/>
        <v>11.166666666666668</v>
      </c>
      <c r="R69" s="8"/>
      <c r="T69"/>
    </row>
    <row r="70" spans="2:20" ht="23.1" customHeight="1" x14ac:dyDescent="0.25">
      <c r="B70" s="23" t="s">
        <v>110</v>
      </c>
      <c r="C70" s="49">
        <f>'Avg Week Goli-Nebbi'!C70+'Avg Week Nebbi-Goli'!C70</f>
        <v>0.5</v>
      </c>
      <c r="D70" s="49">
        <f>'Avg Week Goli-Nebbi'!D70+'Avg Week Nebbi-Goli'!D70</f>
        <v>0</v>
      </c>
      <c r="E70" s="49">
        <f>'Avg Week Goli-Nebbi'!E70+'Avg Week Nebbi-Goli'!E70</f>
        <v>0.83333333333333326</v>
      </c>
      <c r="F70" s="49">
        <f>'Avg Week Goli-Nebbi'!F70+'Avg Week Nebbi-Goli'!F70</f>
        <v>0.5</v>
      </c>
      <c r="G70" s="49">
        <f>'Avg Week Goli-Nebbi'!G70+'Avg Week Nebbi-Goli'!G70</f>
        <v>0</v>
      </c>
      <c r="H70" s="49">
        <f>'Avg Week Goli-Nebbi'!H70+'Avg Week Nebbi-Goli'!H70</f>
        <v>0.83333333333333326</v>
      </c>
      <c r="I70" s="49">
        <f>'Avg Week Goli-Nebbi'!I70+'Avg Week Nebbi-Goli'!I70</f>
        <v>1.3333333333333333</v>
      </c>
      <c r="J70" s="49">
        <f>'Avg Week Goli-Nebbi'!J70+'Avg Week Nebbi-Goli'!J70</f>
        <v>0.5</v>
      </c>
      <c r="K70" s="49">
        <f>'Avg Week Goli-Nebbi'!K70+'Avg Week Nebbi-Goli'!K70</f>
        <v>0</v>
      </c>
      <c r="L70" s="49">
        <f>'Avg Week Goli-Nebbi'!L70+'Avg Week Nebbi-Goli'!L70</f>
        <v>0</v>
      </c>
      <c r="M70" s="49">
        <f>'Avg Week Goli-Nebbi'!M70+'Avg Week Nebbi-Goli'!M70</f>
        <v>5.833333333333333</v>
      </c>
      <c r="N70" s="49">
        <f>'Avg Week Goli-Nebbi'!N70+'Avg Week Nebbi-Goli'!N70</f>
        <v>0</v>
      </c>
      <c r="O70" s="15">
        <f t="shared" si="0"/>
        <v>4.5</v>
      </c>
      <c r="P70" s="15">
        <f t="shared" si="1"/>
        <v>10.333333333333332</v>
      </c>
      <c r="R70" s="8"/>
      <c r="T70"/>
    </row>
    <row r="71" spans="2:20" ht="23.1" customHeight="1" x14ac:dyDescent="0.25">
      <c r="B71" s="23" t="s">
        <v>111</v>
      </c>
      <c r="C71" s="49">
        <f>'Avg Week Goli-Nebbi'!C71+'Avg Week Nebbi-Goli'!C71</f>
        <v>0</v>
      </c>
      <c r="D71" s="49">
        <f>'Avg Week Goli-Nebbi'!D71+'Avg Week Nebbi-Goli'!D71</f>
        <v>0</v>
      </c>
      <c r="E71" s="49">
        <f>'Avg Week Goli-Nebbi'!E71+'Avg Week Nebbi-Goli'!E71</f>
        <v>0.33333333333333331</v>
      </c>
      <c r="F71" s="49">
        <f>'Avg Week Goli-Nebbi'!F71+'Avg Week Nebbi-Goli'!F71</f>
        <v>0</v>
      </c>
      <c r="G71" s="49">
        <f>'Avg Week Goli-Nebbi'!G71+'Avg Week Nebbi-Goli'!G71</f>
        <v>0</v>
      </c>
      <c r="H71" s="49">
        <f>'Avg Week Goli-Nebbi'!H71+'Avg Week Nebbi-Goli'!H71</f>
        <v>0</v>
      </c>
      <c r="I71" s="49">
        <f>'Avg Week Goli-Nebbi'!I71+'Avg Week Nebbi-Goli'!I71</f>
        <v>0.5</v>
      </c>
      <c r="J71" s="49">
        <f>'Avg Week Goli-Nebbi'!J71+'Avg Week Nebbi-Goli'!J71</f>
        <v>0</v>
      </c>
      <c r="K71" s="49">
        <f>'Avg Week Goli-Nebbi'!K71+'Avg Week Nebbi-Goli'!K71</f>
        <v>0</v>
      </c>
      <c r="L71" s="49">
        <f>'Avg Week Goli-Nebbi'!L71+'Avg Week Nebbi-Goli'!L71</f>
        <v>0</v>
      </c>
      <c r="M71" s="49">
        <f>'Avg Week Goli-Nebbi'!M71+'Avg Week Nebbi-Goli'!M71</f>
        <v>4.8333333333333339</v>
      </c>
      <c r="N71" s="49">
        <f>'Avg Week Goli-Nebbi'!N71+'Avg Week Nebbi-Goli'!N71</f>
        <v>0</v>
      </c>
      <c r="O71" s="15">
        <f t="shared" si="0"/>
        <v>0.83333333333333326</v>
      </c>
      <c r="P71" s="15">
        <f t="shared" si="1"/>
        <v>5.666666666666667</v>
      </c>
      <c r="R71" s="8"/>
      <c r="T71"/>
    </row>
    <row r="72" spans="2:20" ht="23.1" customHeight="1" x14ac:dyDescent="0.25">
      <c r="B72" s="23" t="s">
        <v>112</v>
      </c>
      <c r="C72" s="49">
        <f>'Avg Week Goli-Nebbi'!C72+'Avg Week Nebbi-Goli'!C72</f>
        <v>0.33333333333333331</v>
      </c>
      <c r="D72" s="49">
        <f>'Avg Week Goli-Nebbi'!D72+'Avg Week Nebbi-Goli'!D72</f>
        <v>0</v>
      </c>
      <c r="E72" s="49">
        <f>'Avg Week Goli-Nebbi'!E72+'Avg Week Nebbi-Goli'!E72</f>
        <v>0</v>
      </c>
      <c r="F72" s="49">
        <f>'Avg Week Goli-Nebbi'!F72+'Avg Week Nebbi-Goli'!F72</f>
        <v>0.33333333333333331</v>
      </c>
      <c r="G72" s="49">
        <f>'Avg Week Goli-Nebbi'!G72+'Avg Week Nebbi-Goli'!G72</f>
        <v>0</v>
      </c>
      <c r="H72" s="49">
        <f>'Avg Week Goli-Nebbi'!H72+'Avg Week Nebbi-Goli'!H72</f>
        <v>0</v>
      </c>
      <c r="I72" s="49">
        <f>'Avg Week Goli-Nebbi'!I72+'Avg Week Nebbi-Goli'!I72</f>
        <v>0.5</v>
      </c>
      <c r="J72" s="49">
        <f>'Avg Week Goli-Nebbi'!J72+'Avg Week Nebbi-Goli'!J72</f>
        <v>0</v>
      </c>
      <c r="K72" s="49">
        <f>'Avg Week Goli-Nebbi'!K72+'Avg Week Nebbi-Goli'!K72</f>
        <v>0</v>
      </c>
      <c r="L72" s="49">
        <f>'Avg Week Goli-Nebbi'!L72+'Avg Week Nebbi-Goli'!L72</f>
        <v>0.33333333333333331</v>
      </c>
      <c r="M72" s="49">
        <f>'Avg Week Goli-Nebbi'!M72+'Avg Week Nebbi-Goli'!M72</f>
        <v>10.5</v>
      </c>
      <c r="N72" s="49">
        <f>'Avg Week Goli-Nebbi'!N72+'Avg Week Nebbi-Goli'!N72</f>
        <v>0</v>
      </c>
      <c r="O72" s="15">
        <f t="shared" si="0"/>
        <v>1.4999999999999998</v>
      </c>
      <c r="P72" s="15">
        <f t="shared" si="1"/>
        <v>12</v>
      </c>
      <c r="R72" s="8"/>
      <c r="T72"/>
    </row>
    <row r="73" spans="2:20" ht="23.1" customHeight="1" x14ac:dyDescent="0.25">
      <c r="B73" s="23" t="s">
        <v>113</v>
      </c>
      <c r="C73" s="49">
        <f>'Avg Week Goli-Nebbi'!C73+'Avg Week Nebbi-Goli'!C73</f>
        <v>0.5</v>
      </c>
      <c r="D73" s="49">
        <f>'Avg Week Goli-Nebbi'!D73+'Avg Week Nebbi-Goli'!D73</f>
        <v>0</v>
      </c>
      <c r="E73" s="49">
        <f>'Avg Week Goli-Nebbi'!E73+'Avg Week Nebbi-Goli'!E73</f>
        <v>0.5</v>
      </c>
      <c r="F73" s="49">
        <f>'Avg Week Goli-Nebbi'!F73+'Avg Week Nebbi-Goli'!F73</f>
        <v>0</v>
      </c>
      <c r="G73" s="49">
        <f>'Avg Week Goli-Nebbi'!G73+'Avg Week Nebbi-Goli'!G73</f>
        <v>0</v>
      </c>
      <c r="H73" s="49">
        <f>'Avg Week Goli-Nebbi'!H73+'Avg Week Nebbi-Goli'!H73</f>
        <v>0</v>
      </c>
      <c r="I73" s="49">
        <f>'Avg Week Goli-Nebbi'!I73+'Avg Week Nebbi-Goli'!I73</f>
        <v>0.33333333333333331</v>
      </c>
      <c r="J73" s="49">
        <f>'Avg Week Goli-Nebbi'!J73+'Avg Week Nebbi-Goli'!J73</f>
        <v>0</v>
      </c>
      <c r="K73" s="49">
        <f>'Avg Week Goli-Nebbi'!K73+'Avg Week Nebbi-Goli'!K73</f>
        <v>0</v>
      </c>
      <c r="L73" s="49">
        <f>'Avg Week Goli-Nebbi'!L73+'Avg Week Nebbi-Goli'!L73</f>
        <v>0.5</v>
      </c>
      <c r="M73" s="49">
        <f>'Avg Week Goli-Nebbi'!M73+'Avg Week Nebbi-Goli'!M73</f>
        <v>5.8333333333333339</v>
      </c>
      <c r="N73" s="49">
        <f>'Avg Week Goli-Nebbi'!N73+'Avg Week Nebbi-Goli'!N73</f>
        <v>0</v>
      </c>
      <c r="O73" s="15">
        <f t="shared" si="0"/>
        <v>1.8333333333333333</v>
      </c>
      <c r="P73" s="15">
        <f t="shared" si="1"/>
        <v>7.666666666666667</v>
      </c>
      <c r="R73" s="8"/>
      <c r="T73"/>
    </row>
    <row r="74" spans="2:20" ht="23.1" customHeight="1" x14ac:dyDescent="0.25">
      <c r="B74" s="23" t="s">
        <v>114</v>
      </c>
      <c r="C74" s="49">
        <f>'Avg Week Goli-Nebbi'!C74+'Avg Week Nebbi-Goli'!C74</f>
        <v>0.66666666666666663</v>
      </c>
      <c r="D74" s="49">
        <f>'Avg Week Goli-Nebbi'!D74+'Avg Week Nebbi-Goli'!D74</f>
        <v>0</v>
      </c>
      <c r="E74" s="49">
        <f>'Avg Week Goli-Nebbi'!E74+'Avg Week Nebbi-Goli'!E74</f>
        <v>0</v>
      </c>
      <c r="F74" s="49">
        <f>'Avg Week Goli-Nebbi'!F74+'Avg Week Nebbi-Goli'!F74</f>
        <v>0</v>
      </c>
      <c r="G74" s="49">
        <f>'Avg Week Goli-Nebbi'!G74+'Avg Week Nebbi-Goli'!G74</f>
        <v>0</v>
      </c>
      <c r="H74" s="49">
        <f>'Avg Week Goli-Nebbi'!H74+'Avg Week Nebbi-Goli'!H74</f>
        <v>0</v>
      </c>
      <c r="I74" s="49">
        <f>'Avg Week Goli-Nebbi'!I74+'Avg Week Nebbi-Goli'!I74</f>
        <v>0</v>
      </c>
      <c r="J74" s="49">
        <f>'Avg Week Goli-Nebbi'!J74+'Avg Week Nebbi-Goli'!J74</f>
        <v>0</v>
      </c>
      <c r="K74" s="49">
        <f>'Avg Week Goli-Nebbi'!K74+'Avg Week Nebbi-Goli'!K74</f>
        <v>0</v>
      </c>
      <c r="L74" s="49">
        <f>'Avg Week Goli-Nebbi'!L74+'Avg Week Nebbi-Goli'!L74</f>
        <v>0.66666666666666663</v>
      </c>
      <c r="M74" s="49">
        <f>'Avg Week Goli-Nebbi'!M74+'Avg Week Nebbi-Goli'!M74</f>
        <v>6.8333333333333339</v>
      </c>
      <c r="N74" s="49">
        <f>'Avg Week Goli-Nebbi'!N74+'Avg Week Nebbi-Goli'!N74</f>
        <v>0</v>
      </c>
      <c r="O74" s="15">
        <f t="shared" ref="O74:O105" si="35">SUM(C74:L74,N74)</f>
        <v>1.3333333333333333</v>
      </c>
      <c r="P74" s="15">
        <f t="shared" ref="P74:P105" si="36">SUM(C74:N74)</f>
        <v>8.1666666666666679</v>
      </c>
      <c r="R74" s="8"/>
      <c r="T74"/>
    </row>
    <row r="75" spans="2:20" ht="23.1" customHeight="1" x14ac:dyDescent="0.25">
      <c r="B75" s="23" t="s">
        <v>115</v>
      </c>
      <c r="C75" s="49">
        <f>'Avg Week Goli-Nebbi'!C75+'Avg Week Nebbi-Goli'!C75</f>
        <v>1</v>
      </c>
      <c r="D75" s="49">
        <f>'Avg Week Goli-Nebbi'!D75+'Avg Week Nebbi-Goli'!D75</f>
        <v>0</v>
      </c>
      <c r="E75" s="49">
        <f>'Avg Week Goli-Nebbi'!E75+'Avg Week Nebbi-Goli'!E75</f>
        <v>0</v>
      </c>
      <c r="F75" s="49">
        <f>'Avg Week Goli-Nebbi'!F75+'Avg Week Nebbi-Goli'!F75</f>
        <v>0</v>
      </c>
      <c r="G75" s="49">
        <f>'Avg Week Goli-Nebbi'!G75+'Avg Week Nebbi-Goli'!G75</f>
        <v>0</v>
      </c>
      <c r="H75" s="49">
        <f>'Avg Week Goli-Nebbi'!H75+'Avg Week Nebbi-Goli'!H75</f>
        <v>0</v>
      </c>
      <c r="I75" s="49">
        <f>'Avg Week Goli-Nebbi'!I75+'Avg Week Nebbi-Goli'!I75</f>
        <v>0</v>
      </c>
      <c r="J75" s="49">
        <f>'Avg Week Goli-Nebbi'!J75+'Avg Week Nebbi-Goli'!J75</f>
        <v>0</v>
      </c>
      <c r="K75" s="49">
        <f>'Avg Week Goli-Nebbi'!K75+'Avg Week Nebbi-Goli'!K75</f>
        <v>0</v>
      </c>
      <c r="L75" s="49">
        <f>'Avg Week Goli-Nebbi'!L75+'Avg Week Nebbi-Goli'!L75</f>
        <v>0</v>
      </c>
      <c r="M75" s="49">
        <f>'Avg Week Goli-Nebbi'!M75+'Avg Week Nebbi-Goli'!M75</f>
        <v>1</v>
      </c>
      <c r="N75" s="49">
        <f>'Avg Week Goli-Nebbi'!N75+'Avg Week Nebbi-Goli'!N75</f>
        <v>0</v>
      </c>
      <c r="O75" s="15">
        <f t="shared" si="35"/>
        <v>1</v>
      </c>
      <c r="P75" s="15">
        <f t="shared" si="36"/>
        <v>2</v>
      </c>
      <c r="R75" s="8"/>
      <c r="T75"/>
    </row>
    <row r="76" spans="2:20" ht="23.1" customHeight="1" x14ac:dyDescent="0.25">
      <c r="B76" s="23" t="s">
        <v>116</v>
      </c>
      <c r="C76" s="49">
        <f>'Avg Week Goli-Nebbi'!C76+'Avg Week Nebbi-Goli'!C76</f>
        <v>0.33333333333333331</v>
      </c>
      <c r="D76" s="49">
        <f>'Avg Week Goli-Nebbi'!D76+'Avg Week Nebbi-Goli'!D76</f>
        <v>0</v>
      </c>
      <c r="E76" s="49">
        <f>'Avg Week Goli-Nebbi'!E76+'Avg Week Nebbi-Goli'!E76</f>
        <v>0.83333333333333326</v>
      </c>
      <c r="F76" s="49">
        <f>'Avg Week Goli-Nebbi'!F76+'Avg Week Nebbi-Goli'!F76</f>
        <v>0</v>
      </c>
      <c r="G76" s="49">
        <f>'Avg Week Goli-Nebbi'!G76+'Avg Week Nebbi-Goli'!G76</f>
        <v>0</v>
      </c>
      <c r="H76" s="49">
        <f>'Avg Week Goli-Nebbi'!H76+'Avg Week Nebbi-Goli'!H76</f>
        <v>0</v>
      </c>
      <c r="I76" s="49">
        <f>'Avg Week Goli-Nebbi'!I76+'Avg Week Nebbi-Goli'!I76</f>
        <v>0</v>
      </c>
      <c r="J76" s="49">
        <f>'Avg Week Goli-Nebbi'!J76+'Avg Week Nebbi-Goli'!J76</f>
        <v>0</v>
      </c>
      <c r="K76" s="49">
        <f>'Avg Week Goli-Nebbi'!K76+'Avg Week Nebbi-Goli'!K76</f>
        <v>0</v>
      </c>
      <c r="L76" s="49">
        <f>'Avg Week Goli-Nebbi'!L76+'Avg Week Nebbi-Goli'!L76</f>
        <v>0</v>
      </c>
      <c r="M76" s="49">
        <f>'Avg Week Goli-Nebbi'!M76+'Avg Week Nebbi-Goli'!M76</f>
        <v>3.166666666666667</v>
      </c>
      <c r="N76" s="49">
        <f>'Avg Week Goli-Nebbi'!N76+'Avg Week Nebbi-Goli'!N76</f>
        <v>0</v>
      </c>
      <c r="O76" s="15">
        <f t="shared" si="35"/>
        <v>1.1666666666666665</v>
      </c>
      <c r="P76" s="15">
        <f t="shared" si="36"/>
        <v>4.3333333333333339</v>
      </c>
      <c r="R76" s="8"/>
      <c r="T76"/>
    </row>
    <row r="77" spans="2:20" ht="23.1" customHeight="1" x14ac:dyDescent="0.25">
      <c r="B77" s="23" t="s">
        <v>117</v>
      </c>
      <c r="C77" s="49">
        <f>'Avg Week Goli-Nebbi'!C77+'Avg Week Nebbi-Goli'!C77</f>
        <v>0.33333333333333331</v>
      </c>
      <c r="D77" s="49">
        <f>'Avg Week Goli-Nebbi'!D77+'Avg Week Nebbi-Goli'!D77</f>
        <v>0</v>
      </c>
      <c r="E77" s="49">
        <f>'Avg Week Goli-Nebbi'!E77+'Avg Week Nebbi-Goli'!E77</f>
        <v>0.33333333333333331</v>
      </c>
      <c r="F77" s="49">
        <f>'Avg Week Goli-Nebbi'!F77+'Avg Week Nebbi-Goli'!F77</f>
        <v>0</v>
      </c>
      <c r="G77" s="49">
        <f>'Avg Week Goli-Nebbi'!G77+'Avg Week Nebbi-Goli'!G77</f>
        <v>0</v>
      </c>
      <c r="H77" s="49">
        <f>'Avg Week Goli-Nebbi'!H77+'Avg Week Nebbi-Goli'!H77</f>
        <v>0</v>
      </c>
      <c r="I77" s="49">
        <f>'Avg Week Goli-Nebbi'!I77+'Avg Week Nebbi-Goli'!I77</f>
        <v>0</v>
      </c>
      <c r="J77" s="49">
        <f>'Avg Week Goli-Nebbi'!J77+'Avg Week Nebbi-Goli'!J77</f>
        <v>0</v>
      </c>
      <c r="K77" s="49">
        <f>'Avg Week Goli-Nebbi'!K77+'Avg Week Nebbi-Goli'!K77</f>
        <v>0</v>
      </c>
      <c r="L77" s="49">
        <f>'Avg Week Goli-Nebbi'!L77+'Avg Week Nebbi-Goli'!L77</f>
        <v>1</v>
      </c>
      <c r="M77" s="49">
        <f>'Avg Week Goli-Nebbi'!M77+'Avg Week Nebbi-Goli'!M77</f>
        <v>0.5</v>
      </c>
      <c r="N77" s="49">
        <f>'Avg Week Goli-Nebbi'!N77+'Avg Week Nebbi-Goli'!N77</f>
        <v>0</v>
      </c>
      <c r="O77" s="15">
        <f t="shared" si="35"/>
        <v>1.6666666666666665</v>
      </c>
      <c r="P77" s="15">
        <f t="shared" si="36"/>
        <v>2.1666666666666665</v>
      </c>
      <c r="R77" s="8"/>
      <c r="T77"/>
    </row>
    <row r="78" spans="2:20" ht="23.1" customHeight="1" x14ac:dyDescent="0.25">
      <c r="B78" s="24" t="s">
        <v>118</v>
      </c>
      <c r="C78" s="49">
        <f>'Avg Week Goli-Nebbi'!C78+'Avg Week Nebbi-Goli'!C78</f>
        <v>0</v>
      </c>
      <c r="D78" s="49">
        <f>'Avg Week Goli-Nebbi'!D78+'Avg Week Nebbi-Goli'!D78</f>
        <v>0</v>
      </c>
      <c r="E78" s="49">
        <f>'Avg Week Goli-Nebbi'!E78+'Avg Week Nebbi-Goli'!E78</f>
        <v>0</v>
      </c>
      <c r="F78" s="49">
        <f>'Avg Week Goli-Nebbi'!F78+'Avg Week Nebbi-Goli'!F78</f>
        <v>0</v>
      </c>
      <c r="G78" s="49">
        <f>'Avg Week Goli-Nebbi'!G78+'Avg Week Nebbi-Goli'!G78</f>
        <v>0</v>
      </c>
      <c r="H78" s="49">
        <f>'Avg Week Goli-Nebbi'!H78+'Avg Week Nebbi-Goli'!H78</f>
        <v>0</v>
      </c>
      <c r="I78" s="49">
        <f>'Avg Week Goli-Nebbi'!I78+'Avg Week Nebbi-Goli'!I78</f>
        <v>0.33333333333333331</v>
      </c>
      <c r="J78" s="49">
        <f>'Avg Week Goli-Nebbi'!J78+'Avg Week Nebbi-Goli'!J78</f>
        <v>0</v>
      </c>
      <c r="K78" s="49">
        <f>'Avg Week Goli-Nebbi'!K78+'Avg Week Nebbi-Goli'!K78</f>
        <v>0</v>
      </c>
      <c r="L78" s="49">
        <f>'Avg Week Goli-Nebbi'!L78+'Avg Week Nebbi-Goli'!L78</f>
        <v>0</v>
      </c>
      <c r="M78" s="49">
        <f>'Avg Week Goli-Nebbi'!M78+'Avg Week Nebbi-Goli'!M78</f>
        <v>2.5</v>
      </c>
      <c r="N78" s="49">
        <f>'Avg Week Goli-Nebbi'!N78+'Avg Week Nebbi-Goli'!N78</f>
        <v>0</v>
      </c>
      <c r="O78" s="15">
        <f t="shared" si="35"/>
        <v>0.33333333333333331</v>
      </c>
      <c r="P78" s="15">
        <f t="shared" si="36"/>
        <v>2.8333333333333335</v>
      </c>
      <c r="R78" s="8"/>
      <c r="T78"/>
    </row>
    <row r="79" spans="2:20" ht="23.1" customHeight="1" x14ac:dyDescent="0.25">
      <c r="B79" s="23" t="s">
        <v>119</v>
      </c>
      <c r="C79" s="49">
        <f>'Avg Week Goli-Nebbi'!C79+'Avg Week Nebbi-Goli'!C79</f>
        <v>0</v>
      </c>
      <c r="D79" s="49">
        <f>'Avg Week Goli-Nebbi'!D79+'Avg Week Nebbi-Goli'!D79</f>
        <v>0</v>
      </c>
      <c r="E79" s="49">
        <f>'Avg Week Goli-Nebbi'!E79+'Avg Week Nebbi-Goli'!E79</f>
        <v>0.33333333333333331</v>
      </c>
      <c r="F79" s="49">
        <f>'Avg Week Goli-Nebbi'!F79+'Avg Week Nebbi-Goli'!F79</f>
        <v>0</v>
      </c>
      <c r="G79" s="49">
        <f>'Avg Week Goli-Nebbi'!G79+'Avg Week Nebbi-Goli'!G79</f>
        <v>0</v>
      </c>
      <c r="H79" s="49">
        <f>'Avg Week Goli-Nebbi'!H79+'Avg Week Nebbi-Goli'!H79</f>
        <v>0</v>
      </c>
      <c r="I79" s="49">
        <f>'Avg Week Goli-Nebbi'!I79+'Avg Week Nebbi-Goli'!I79</f>
        <v>0</v>
      </c>
      <c r="J79" s="49">
        <f>'Avg Week Goli-Nebbi'!J79+'Avg Week Nebbi-Goli'!J79</f>
        <v>0</v>
      </c>
      <c r="K79" s="49">
        <f>'Avg Week Goli-Nebbi'!K79+'Avg Week Nebbi-Goli'!K79</f>
        <v>0</v>
      </c>
      <c r="L79" s="49">
        <f>'Avg Week Goli-Nebbi'!L79+'Avg Week Nebbi-Goli'!L79</f>
        <v>0.33333333333333331</v>
      </c>
      <c r="M79" s="49">
        <f>'Avg Week Goli-Nebbi'!M79+'Avg Week Nebbi-Goli'!M79</f>
        <v>2.1666666666666665</v>
      </c>
      <c r="N79" s="49">
        <f>'Avg Week Goli-Nebbi'!N79+'Avg Week Nebbi-Goli'!N79</f>
        <v>0</v>
      </c>
      <c r="O79" s="15">
        <f t="shared" si="35"/>
        <v>0.66666666666666663</v>
      </c>
      <c r="P79" s="15">
        <f t="shared" si="36"/>
        <v>2.833333333333333</v>
      </c>
      <c r="R79" s="8"/>
      <c r="T79"/>
    </row>
    <row r="80" spans="2:20" ht="23.1" customHeight="1" x14ac:dyDescent="0.25">
      <c r="B80" s="25" t="s">
        <v>120</v>
      </c>
      <c r="C80" s="49">
        <f>'Avg Week Goli-Nebbi'!C80+'Avg Week Nebbi-Goli'!C80</f>
        <v>0.5</v>
      </c>
      <c r="D80" s="49">
        <f>'Avg Week Goli-Nebbi'!D80+'Avg Week Nebbi-Goli'!D80</f>
        <v>0</v>
      </c>
      <c r="E80" s="49">
        <f>'Avg Week Goli-Nebbi'!E80+'Avg Week Nebbi-Goli'!E80</f>
        <v>0</v>
      </c>
      <c r="F80" s="49">
        <f>'Avg Week Goli-Nebbi'!F80+'Avg Week Nebbi-Goli'!F80</f>
        <v>0</v>
      </c>
      <c r="G80" s="49">
        <f>'Avg Week Goli-Nebbi'!G80+'Avg Week Nebbi-Goli'!G80</f>
        <v>0</v>
      </c>
      <c r="H80" s="49">
        <f>'Avg Week Goli-Nebbi'!H80+'Avg Week Nebbi-Goli'!H80</f>
        <v>0</v>
      </c>
      <c r="I80" s="49">
        <f>'Avg Week Goli-Nebbi'!I80+'Avg Week Nebbi-Goli'!I80</f>
        <v>0</v>
      </c>
      <c r="J80" s="49">
        <f>'Avg Week Goli-Nebbi'!J80+'Avg Week Nebbi-Goli'!J80</f>
        <v>0</v>
      </c>
      <c r="K80" s="49">
        <f>'Avg Week Goli-Nebbi'!K80+'Avg Week Nebbi-Goli'!K80</f>
        <v>0</v>
      </c>
      <c r="L80" s="49">
        <f>'Avg Week Goli-Nebbi'!L80+'Avg Week Nebbi-Goli'!L80</f>
        <v>0</v>
      </c>
      <c r="M80" s="49">
        <f>'Avg Week Goli-Nebbi'!M80+'Avg Week Nebbi-Goli'!M80</f>
        <v>1.1666666666666665</v>
      </c>
      <c r="N80" s="49">
        <f>'Avg Week Goli-Nebbi'!N80+'Avg Week Nebbi-Goli'!N80</f>
        <v>0</v>
      </c>
      <c r="O80" s="15">
        <f t="shared" si="35"/>
        <v>0.5</v>
      </c>
      <c r="P80" s="15">
        <f t="shared" si="36"/>
        <v>1.6666666666666665</v>
      </c>
      <c r="R80" s="8"/>
      <c r="T80"/>
    </row>
    <row r="81" spans="2:20" ht="23.1" customHeight="1" x14ac:dyDescent="0.25">
      <c r="B81" s="23" t="s">
        <v>121</v>
      </c>
      <c r="C81" s="49">
        <f>'Avg Week Goli-Nebbi'!C81+'Avg Week Nebbi-Goli'!C81</f>
        <v>0.66666666666666663</v>
      </c>
      <c r="D81" s="49">
        <f>'Avg Week Goli-Nebbi'!D81+'Avg Week Nebbi-Goli'!D81</f>
        <v>0</v>
      </c>
      <c r="E81" s="49">
        <f>'Avg Week Goli-Nebbi'!E81+'Avg Week Nebbi-Goli'!E81</f>
        <v>0.33333333333333331</v>
      </c>
      <c r="F81" s="49">
        <f>'Avg Week Goli-Nebbi'!F81+'Avg Week Nebbi-Goli'!F81</f>
        <v>0</v>
      </c>
      <c r="G81" s="49">
        <f>'Avg Week Goli-Nebbi'!G81+'Avg Week Nebbi-Goli'!G81</f>
        <v>0</v>
      </c>
      <c r="H81" s="49">
        <f>'Avg Week Goli-Nebbi'!H81+'Avg Week Nebbi-Goli'!H81</f>
        <v>0</v>
      </c>
      <c r="I81" s="49">
        <f>'Avg Week Goli-Nebbi'!I81+'Avg Week Nebbi-Goli'!I81</f>
        <v>0.5</v>
      </c>
      <c r="J81" s="49">
        <f>'Avg Week Goli-Nebbi'!J81+'Avg Week Nebbi-Goli'!J81</f>
        <v>0</v>
      </c>
      <c r="K81" s="49">
        <f>'Avg Week Goli-Nebbi'!K81+'Avg Week Nebbi-Goli'!K81</f>
        <v>0</v>
      </c>
      <c r="L81" s="49">
        <f>'Avg Week Goli-Nebbi'!L81+'Avg Week Nebbi-Goli'!L81</f>
        <v>0</v>
      </c>
      <c r="M81" s="49">
        <f>'Avg Week Goli-Nebbi'!M81+'Avg Week Nebbi-Goli'!M81</f>
        <v>1.6666666666666665</v>
      </c>
      <c r="N81" s="49">
        <f>'Avg Week Goli-Nebbi'!N81+'Avg Week Nebbi-Goli'!N81</f>
        <v>0</v>
      </c>
      <c r="O81" s="15">
        <f t="shared" si="35"/>
        <v>1.5</v>
      </c>
      <c r="P81" s="15">
        <f t="shared" si="36"/>
        <v>3.1666666666666665</v>
      </c>
      <c r="R81" s="8"/>
      <c r="T81"/>
    </row>
    <row r="82" spans="2:20" ht="23.1" customHeight="1" x14ac:dyDescent="0.25">
      <c r="B82" s="24" t="s">
        <v>122</v>
      </c>
      <c r="C82" s="49">
        <f>'Avg Week Goli-Nebbi'!C82+'Avg Week Nebbi-Goli'!C82</f>
        <v>0</v>
      </c>
      <c r="D82" s="49">
        <f>'Avg Week Goli-Nebbi'!D82+'Avg Week Nebbi-Goli'!D82</f>
        <v>0</v>
      </c>
      <c r="E82" s="49">
        <f>'Avg Week Goli-Nebbi'!E82+'Avg Week Nebbi-Goli'!E82</f>
        <v>0</v>
      </c>
      <c r="F82" s="49">
        <f>'Avg Week Goli-Nebbi'!F82+'Avg Week Nebbi-Goli'!F82</f>
        <v>0</v>
      </c>
      <c r="G82" s="49">
        <f>'Avg Week Goli-Nebbi'!G82+'Avg Week Nebbi-Goli'!G82</f>
        <v>0</v>
      </c>
      <c r="H82" s="49">
        <f>'Avg Week Goli-Nebbi'!H82+'Avg Week Nebbi-Goli'!H82</f>
        <v>0</v>
      </c>
      <c r="I82" s="49">
        <f>'Avg Week Goli-Nebbi'!I82+'Avg Week Nebbi-Goli'!I82</f>
        <v>0</v>
      </c>
      <c r="J82" s="49">
        <f>'Avg Week Goli-Nebbi'!J82+'Avg Week Nebbi-Goli'!J82</f>
        <v>0</v>
      </c>
      <c r="K82" s="49">
        <f>'Avg Week Goli-Nebbi'!K82+'Avg Week Nebbi-Goli'!K82</f>
        <v>0</v>
      </c>
      <c r="L82" s="49">
        <f>'Avg Week Goli-Nebbi'!L82+'Avg Week Nebbi-Goli'!L82</f>
        <v>0.83333333333333326</v>
      </c>
      <c r="M82" s="49">
        <f>'Avg Week Goli-Nebbi'!M82+'Avg Week Nebbi-Goli'!M82</f>
        <v>0.66666666666666663</v>
      </c>
      <c r="N82" s="49">
        <f>'Avg Week Goli-Nebbi'!N82+'Avg Week Nebbi-Goli'!N82</f>
        <v>0</v>
      </c>
      <c r="O82" s="15">
        <f t="shared" si="35"/>
        <v>0.83333333333333326</v>
      </c>
      <c r="P82" s="15">
        <f t="shared" si="36"/>
        <v>1.5</v>
      </c>
      <c r="R82" s="8"/>
      <c r="T82"/>
    </row>
    <row r="83" spans="2:20" ht="23.1" customHeight="1" x14ac:dyDescent="0.25">
      <c r="B83" s="23" t="s">
        <v>123</v>
      </c>
      <c r="C83" s="49">
        <f>'Avg Week Goli-Nebbi'!C83+'Avg Week Nebbi-Goli'!C83</f>
        <v>0</v>
      </c>
      <c r="D83" s="49">
        <f>'Avg Week Goli-Nebbi'!D83+'Avg Week Nebbi-Goli'!D83</f>
        <v>0</v>
      </c>
      <c r="E83" s="49">
        <f>'Avg Week Goli-Nebbi'!E83+'Avg Week Nebbi-Goli'!E83</f>
        <v>0.33333333333333331</v>
      </c>
      <c r="F83" s="49">
        <f>'Avg Week Goli-Nebbi'!F83+'Avg Week Nebbi-Goli'!F83</f>
        <v>0</v>
      </c>
      <c r="G83" s="49">
        <f>'Avg Week Goli-Nebbi'!G83+'Avg Week Nebbi-Goli'!G83</f>
        <v>0</v>
      </c>
      <c r="H83" s="49">
        <f>'Avg Week Goli-Nebbi'!H83+'Avg Week Nebbi-Goli'!H83</f>
        <v>0</v>
      </c>
      <c r="I83" s="49">
        <f>'Avg Week Goli-Nebbi'!I83+'Avg Week Nebbi-Goli'!I83</f>
        <v>0.33333333333333331</v>
      </c>
      <c r="J83" s="49">
        <f>'Avg Week Goli-Nebbi'!J83+'Avg Week Nebbi-Goli'!J83</f>
        <v>0</v>
      </c>
      <c r="K83" s="49">
        <f>'Avg Week Goli-Nebbi'!K83+'Avg Week Nebbi-Goli'!K83</f>
        <v>0</v>
      </c>
      <c r="L83" s="49">
        <f>'Avg Week Goli-Nebbi'!L83+'Avg Week Nebbi-Goli'!L83</f>
        <v>0</v>
      </c>
      <c r="M83" s="49">
        <f>'Avg Week Goli-Nebbi'!M83+'Avg Week Nebbi-Goli'!M83</f>
        <v>0.33333333333333331</v>
      </c>
      <c r="N83" s="49">
        <f>'Avg Week Goli-Nebbi'!N83+'Avg Week Nebbi-Goli'!N83</f>
        <v>0</v>
      </c>
      <c r="O83" s="15">
        <f t="shared" si="35"/>
        <v>0.66666666666666663</v>
      </c>
      <c r="P83" s="15">
        <f t="shared" si="36"/>
        <v>1</v>
      </c>
      <c r="R83" s="8"/>
      <c r="T83"/>
    </row>
    <row r="84" spans="2:20" ht="23.1" customHeight="1" x14ac:dyDescent="0.25">
      <c r="B84" s="25" t="s">
        <v>124</v>
      </c>
      <c r="C84" s="49">
        <f>'Avg Week Goli-Nebbi'!C84+'Avg Week Nebbi-Goli'!C84</f>
        <v>0</v>
      </c>
      <c r="D84" s="49">
        <f>'Avg Week Goli-Nebbi'!D84+'Avg Week Nebbi-Goli'!D84</f>
        <v>0</v>
      </c>
      <c r="E84" s="49">
        <f>'Avg Week Goli-Nebbi'!E84+'Avg Week Nebbi-Goli'!E84</f>
        <v>0</v>
      </c>
      <c r="F84" s="49">
        <f>'Avg Week Goli-Nebbi'!F84+'Avg Week Nebbi-Goli'!F84</f>
        <v>0</v>
      </c>
      <c r="G84" s="49">
        <f>'Avg Week Goli-Nebbi'!G84+'Avg Week Nebbi-Goli'!G84</f>
        <v>0</v>
      </c>
      <c r="H84" s="49">
        <f>'Avg Week Goli-Nebbi'!H84+'Avg Week Nebbi-Goli'!H84</f>
        <v>0</v>
      </c>
      <c r="I84" s="49">
        <f>'Avg Week Goli-Nebbi'!I84+'Avg Week Nebbi-Goli'!I84</f>
        <v>0</v>
      </c>
      <c r="J84" s="49">
        <f>'Avg Week Goli-Nebbi'!J84+'Avg Week Nebbi-Goli'!J84</f>
        <v>0.33333333333333331</v>
      </c>
      <c r="K84" s="49">
        <f>'Avg Week Goli-Nebbi'!K84+'Avg Week Nebbi-Goli'!K84</f>
        <v>0</v>
      </c>
      <c r="L84" s="49">
        <f>'Avg Week Goli-Nebbi'!L84+'Avg Week Nebbi-Goli'!L84</f>
        <v>0.33333333333333331</v>
      </c>
      <c r="M84" s="49">
        <f>'Avg Week Goli-Nebbi'!M84+'Avg Week Nebbi-Goli'!M84</f>
        <v>0.83333333333333326</v>
      </c>
      <c r="N84" s="49">
        <f>'Avg Week Goli-Nebbi'!N84+'Avg Week Nebbi-Goli'!N84</f>
        <v>0</v>
      </c>
      <c r="O84" s="15">
        <f t="shared" si="35"/>
        <v>0.66666666666666663</v>
      </c>
      <c r="P84" s="15">
        <f t="shared" si="36"/>
        <v>1.5</v>
      </c>
      <c r="R84" s="8"/>
      <c r="T84"/>
    </row>
    <row r="85" spans="2:20" ht="23.1" customHeight="1" x14ac:dyDescent="0.25">
      <c r="B85" s="23" t="s">
        <v>125</v>
      </c>
      <c r="C85" s="49">
        <f>'Avg Week Goli-Nebbi'!C85+'Avg Week Nebbi-Goli'!C85</f>
        <v>1.8333333333333333</v>
      </c>
      <c r="D85" s="49">
        <f>'Avg Week Goli-Nebbi'!D85+'Avg Week Nebbi-Goli'!D85</f>
        <v>0</v>
      </c>
      <c r="E85" s="49">
        <f>'Avg Week Goli-Nebbi'!E85+'Avg Week Nebbi-Goli'!E85</f>
        <v>0.5</v>
      </c>
      <c r="F85" s="49">
        <f>'Avg Week Goli-Nebbi'!F85+'Avg Week Nebbi-Goli'!F85</f>
        <v>0</v>
      </c>
      <c r="G85" s="49">
        <f>'Avg Week Goli-Nebbi'!G85+'Avg Week Nebbi-Goli'!G85</f>
        <v>0</v>
      </c>
      <c r="H85" s="49">
        <f>'Avg Week Goli-Nebbi'!H85+'Avg Week Nebbi-Goli'!H85</f>
        <v>0</v>
      </c>
      <c r="I85" s="49">
        <f>'Avg Week Goli-Nebbi'!I85+'Avg Week Nebbi-Goli'!I85</f>
        <v>0.5</v>
      </c>
      <c r="J85" s="49">
        <f>'Avg Week Goli-Nebbi'!J85+'Avg Week Nebbi-Goli'!J85</f>
        <v>0</v>
      </c>
      <c r="K85" s="49">
        <f>'Avg Week Goli-Nebbi'!K85+'Avg Week Nebbi-Goli'!K85</f>
        <v>0</v>
      </c>
      <c r="L85" s="49">
        <f>'Avg Week Goli-Nebbi'!L85+'Avg Week Nebbi-Goli'!L85</f>
        <v>0.5</v>
      </c>
      <c r="M85" s="49">
        <f>'Avg Week Goli-Nebbi'!M85+'Avg Week Nebbi-Goli'!M85</f>
        <v>0.83333333333333326</v>
      </c>
      <c r="N85" s="49">
        <f>'Avg Week Goli-Nebbi'!N85+'Avg Week Nebbi-Goli'!N85</f>
        <v>0</v>
      </c>
      <c r="O85" s="15">
        <f t="shared" si="35"/>
        <v>3.333333333333333</v>
      </c>
      <c r="P85" s="15">
        <f t="shared" si="36"/>
        <v>4.1666666666666661</v>
      </c>
      <c r="R85" s="8"/>
      <c r="T85"/>
    </row>
    <row r="86" spans="2:20" ht="23.1" customHeight="1" x14ac:dyDescent="0.25">
      <c r="B86" s="24" t="s">
        <v>126</v>
      </c>
      <c r="C86" s="49">
        <f>'Avg Week Goli-Nebbi'!C86+'Avg Week Nebbi-Goli'!C86</f>
        <v>0</v>
      </c>
      <c r="D86" s="49">
        <f>'Avg Week Goli-Nebbi'!D86+'Avg Week Nebbi-Goli'!D86</f>
        <v>0</v>
      </c>
      <c r="E86" s="49">
        <f>'Avg Week Goli-Nebbi'!E86+'Avg Week Nebbi-Goli'!E86</f>
        <v>0</v>
      </c>
      <c r="F86" s="49">
        <f>'Avg Week Goli-Nebbi'!F86+'Avg Week Nebbi-Goli'!F86</f>
        <v>0</v>
      </c>
      <c r="G86" s="49">
        <f>'Avg Week Goli-Nebbi'!G86+'Avg Week Nebbi-Goli'!G86</f>
        <v>0</v>
      </c>
      <c r="H86" s="49">
        <f>'Avg Week Goli-Nebbi'!H86+'Avg Week Nebbi-Goli'!H86</f>
        <v>0</v>
      </c>
      <c r="I86" s="49">
        <f>'Avg Week Goli-Nebbi'!I86+'Avg Week Nebbi-Goli'!I86</f>
        <v>0</v>
      </c>
      <c r="J86" s="49">
        <f>'Avg Week Goli-Nebbi'!J86+'Avg Week Nebbi-Goli'!J86</f>
        <v>0</v>
      </c>
      <c r="K86" s="49">
        <f>'Avg Week Goli-Nebbi'!K86+'Avg Week Nebbi-Goli'!K86</f>
        <v>0</v>
      </c>
      <c r="L86" s="49">
        <f>'Avg Week Goli-Nebbi'!L86+'Avg Week Nebbi-Goli'!L86</f>
        <v>0</v>
      </c>
      <c r="M86" s="49">
        <f>'Avg Week Goli-Nebbi'!M86+'Avg Week Nebbi-Goli'!M86</f>
        <v>1.1666666666666665</v>
      </c>
      <c r="N86" s="49">
        <f>'Avg Week Goli-Nebbi'!N86+'Avg Week Nebbi-Goli'!N86</f>
        <v>0</v>
      </c>
      <c r="O86" s="15">
        <f t="shared" si="35"/>
        <v>0</v>
      </c>
      <c r="P86" s="15">
        <f t="shared" si="36"/>
        <v>1.1666666666666665</v>
      </c>
      <c r="R86" s="8"/>
      <c r="T86"/>
    </row>
    <row r="87" spans="2:20" ht="23.1" customHeight="1" x14ac:dyDescent="0.25">
      <c r="B87" s="23" t="s">
        <v>127</v>
      </c>
      <c r="C87" s="49">
        <f>'Avg Week Goli-Nebbi'!C87+'Avg Week Nebbi-Goli'!C87</f>
        <v>0</v>
      </c>
      <c r="D87" s="49">
        <f>'Avg Week Goli-Nebbi'!D87+'Avg Week Nebbi-Goli'!D87</f>
        <v>0</v>
      </c>
      <c r="E87" s="49">
        <f>'Avg Week Goli-Nebbi'!E87+'Avg Week Nebbi-Goli'!E87</f>
        <v>0</v>
      </c>
      <c r="F87" s="49">
        <f>'Avg Week Goli-Nebbi'!F87+'Avg Week Nebbi-Goli'!F87</f>
        <v>0</v>
      </c>
      <c r="G87" s="49">
        <f>'Avg Week Goli-Nebbi'!G87+'Avg Week Nebbi-Goli'!G87</f>
        <v>0</v>
      </c>
      <c r="H87" s="49">
        <f>'Avg Week Goli-Nebbi'!H87+'Avg Week Nebbi-Goli'!H87</f>
        <v>0</v>
      </c>
      <c r="I87" s="49">
        <f>'Avg Week Goli-Nebbi'!I87+'Avg Week Nebbi-Goli'!I87</f>
        <v>0</v>
      </c>
      <c r="J87" s="49">
        <f>'Avg Week Goli-Nebbi'!J87+'Avg Week Nebbi-Goli'!J87</f>
        <v>0</v>
      </c>
      <c r="K87" s="49">
        <f>'Avg Week Goli-Nebbi'!K87+'Avg Week Nebbi-Goli'!K87</f>
        <v>0</v>
      </c>
      <c r="L87" s="49">
        <f>'Avg Week Goli-Nebbi'!L87+'Avg Week Nebbi-Goli'!L87</f>
        <v>0.33333333333333331</v>
      </c>
      <c r="M87" s="49">
        <f>'Avg Week Goli-Nebbi'!M87+'Avg Week Nebbi-Goli'!M87</f>
        <v>0.83333333333333326</v>
      </c>
      <c r="N87" s="49">
        <f>'Avg Week Goli-Nebbi'!N87+'Avg Week Nebbi-Goli'!N87</f>
        <v>0</v>
      </c>
      <c r="O87" s="15">
        <f t="shared" si="35"/>
        <v>0.33333333333333331</v>
      </c>
      <c r="P87" s="15">
        <f t="shared" si="36"/>
        <v>1.1666666666666665</v>
      </c>
      <c r="R87" s="8"/>
      <c r="T87"/>
    </row>
    <row r="88" spans="2:20" ht="23.1" customHeight="1" x14ac:dyDescent="0.25">
      <c r="B88" s="25" t="s">
        <v>128</v>
      </c>
      <c r="C88" s="49">
        <f>'Avg Week Goli-Nebbi'!C88+'Avg Week Nebbi-Goli'!C88</f>
        <v>0.33333333333333331</v>
      </c>
      <c r="D88" s="49">
        <f>'Avg Week Goli-Nebbi'!D88+'Avg Week Nebbi-Goli'!D88</f>
        <v>0</v>
      </c>
      <c r="E88" s="49">
        <f>'Avg Week Goli-Nebbi'!E88+'Avg Week Nebbi-Goli'!E88</f>
        <v>0</v>
      </c>
      <c r="F88" s="49">
        <f>'Avg Week Goli-Nebbi'!F88+'Avg Week Nebbi-Goli'!F88</f>
        <v>0</v>
      </c>
      <c r="G88" s="49">
        <f>'Avg Week Goli-Nebbi'!G88+'Avg Week Nebbi-Goli'!G88</f>
        <v>0</v>
      </c>
      <c r="H88" s="49">
        <f>'Avg Week Goli-Nebbi'!H88+'Avg Week Nebbi-Goli'!H88</f>
        <v>0</v>
      </c>
      <c r="I88" s="49">
        <f>'Avg Week Goli-Nebbi'!I88+'Avg Week Nebbi-Goli'!I88</f>
        <v>0</v>
      </c>
      <c r="J88" s="49">
        <f>'Avg Week Goli-Nebbi'!J88+'Avg Week Nebbi-Goli'!J88</f>
        <v>0</v>
      </c>
      <c r="K88" s="49">
        <f>'Avg Week Goli-Nebbi'!K88+'Avg Week Nebbi-Goli'!K88</f>
        <v>0</v>
      </c>
      <c r="L88" s="49">
        <f>'Avg Week Goli-Nebbi'!L88+'Avg Week Nebbi-Goli'!L88</f>
        <v>0</v>
      </c>
      <c r="M88" s="49">
        <f>'Avg Week Goli-Nebbi'!M88+'Avg Week Nebbi-Goli'!M88</f>
        <v>0.33333333333333331</v>
      </c>
      <c r="N88" s="49">
        <f>'Avg Week Goli-Nebbi'!N88+'Avg Week Nebbi-Goli'!N88</f>
        <v>0</v>
      </c>
      <c r="O88" s="15">
        <f t="shared" si="35"/>
        <v>0.33333333333333331</v>
      </c>
      <c r="P88" s="15">
        <f t="shared" si="36"/>
        <v>0.66666666666666663</v>
      </c>
      <c r="R88" s="8"/>
      <c r="T88"/>
    </row>
    <row r="89" spans="2:20" ht="23.1" customHeight="1" x14ac:dyDescent="0.25">
      <c r="B89" s="23" t="s">
        <v>129</v>
      </c>
      <c r="C89" s="49">
        <f>'Avg Week Goli-Nebbi'!C89+'Avg Week Nebbi-Goli'!C89</f>
        <v>0</v>
      </c>
      <c r="D89" s="49">
        <f>'Avg Week Goli-Nebbi'!D89+'Avg Week Nebbi-Goli'!D89</f>
        <v>0</v>
      </c>
      <c r="E89" s="49">
        <f>'Avg Week Goli-Nebbi'!E89+'Avg Week Nebbi-Goli'!E89</f>
        <v>0.83333333333333326</v>
      </c>
      <c r="F89" s="49">
        <f>'Avg Week Goli-Nebbi'!F89+'Avg Week Nebbi-Goli'!F89</f>
        <v>0</v>
      </c>
      <c r="G89" s="49">
        <f>'Avg Week Goli-Nebbi'!G89+'Avg Week Nebbi-Goli'!G89</f>
        <v>0</v>
      </c>
      <c r="H89" s="49">
        <f>'Avg Week Goli-Nebbi'!H89+'Avg Week Nebbi-Goli'!H89</f>
        <v>0</v>
      </c>
      <c r="I89" s="49">
        <f>'Avg Week Goli-Nebbi'!I89+'Avg Week Nebbi-Goli'!I89</f>
        <v>0</v>
      </c>
      <c r="J89" s="49">
        <f>'Avg Week Goli-Nebbi'!J89+'Avg Week Nebbi-Goli'!J89</f>
        <v>0.66666666666666663</v>
      </c>
      <c r="K89" s="49">
        <f>'Avg Week Goli-Nebbi'!K89+'Avg Week Nebbi-Goli'!K89</f>
        <v>0</v>
      </c>
      <c r="L89" s="49">
        <f>'Avg Week Goli-Nebbi'!L89+'Avg Week Nebbi-Goli'!L89</f>
        <v>0</v>
      </c>
      <c r="M89" s="49">
        <f>'Avg Week Goli-Nebbi'!M89+'Avg Week Nebbi-Goli'!M89</f>
        <v>0.5</v>
      </c>
      <c r="N89" s="49">
        <f>'Avg Week Goli-Nebbi'!N89+'Avg Week Nebbi-Goli'!N89</f>
        <v>0</v>
      </c>
      <c r="O89" s="15">
        <f t="shared" si="35"/>
        <v>1.5</v>
      </c>
      <c r="P89" s="15">
        <f t="shared" si="36"/>
        <v>2</v>
      </c>
      <c r="R89" s="8"/>
      <c r="T89"/>
    </row>
    <row r="90" spans="2:20" ht="23.1" customHeight="1" x14ac:dyDescent="0.25">
      <c r="B90" s="24" t="s">
        <v>130</v>
      </c>
      <c r="C90" s="49">
        <f>'Avg Week Goli-Nebbi'!C90+'Avg Week Nebbi-Goli'!C90</f>
        <v>0</v>
      </c>
      <c r="D90" s="49">
        <f>'Avg Week Goli-Nebbi'!D90+'Avg Week Nebbi-Goli'!D90</f>
        <v>0</v>
      </c>
      <c r="E90" s="49">
        <f>'Avg Week Goli-Nebbi'!E90+'Avg Week Nebbi-Goli'!E90</f>
        <v>0</v>
      </c>
      <c r="F90" s="49">
        <f>'Avg Week Goli-Nebbi'!F90+'Avg Week Nebbi-Goli'!F90</f>
        <v>0</v>
      </c>
      <c r="G90" s="49">
        <f>'Avg Week Goli-Nebbi'!G90+'Avg Week Nebbi-Goli'!G90</f>
        <v>0</v>
      </c>
      <c r="H90" s="49">
        <f>'Avg Week Goli-Nebbi'!H90+'Avg Week Nebbi-Goli'!H90</f>
        <v>0</v>
      </c>
      <c r="I90" s="49">
        <f>'Avg Week Goli-Nebbi'!I90+'Avg Week Nebbi-Goli'!I90</f>
        <v>0</v>
      </c>
      <c r="J90" s="49">
        <f>'Avg Week Goli-Nebbi'!J90+'Avg Week Nebbi-Goli'!J90</f>
        <v>0</v>
      </c>
      <c r="K90" s="49">
        <f>'Avg Week Goli-Nebbi'!K90+'Avg Week Nebbi-Goli'!K90</f>
        <v>0</v>
      </c>
      <c r="L90" s="49">
        <f>'Avg Week Goli-Nebbi'!L90+'Avg Week Nebbi-Goli'!L90</f>
        <v>0</v>
      </c>
      <c r="M90" s="49">
        <f>'Avg Week Goli-Nebbi'!M90+'Avg Week Nebbi-Goli'!M90</f>
        <v>0.33333333333333331</v>
      </c>
      <c r="N90" s="49">
        <f>'Avg Week Goli-Nebbi'!N90+'Avg Week Nebbi-Goli'!N90</f>
        <v>0</v>
      </c>
      <c r="O90" s="15">
        <f t="shared" si="35"/>
        <v>0</v>
      </c>
      <c r="P90" s="15">
        <f t="shared" si="36"/>
        <v>0.33333333333333331</v>
      </c>
      <c r="R90" s="8"/>
      <c r="T90"/>
    </row>
    <row r="91" spans="2:20" ht="23.1" customHeight="1" x14ac:dyDescent="0.25">
      <c r="B91" s="23" t="s">
        <v>131</v>
      </c>
      <c r="C91" s="49">
        <f>'Avg Week Goli-Nebbi'!C91+'Avg Week Nebbi-Goli'!C91</f>
        <v>0</v>
      </c>
      <c r="D91" s="49">
        <f>'Avg Week Goli-Nebbi'!D91+'Avg Week Nebbi-Goli'!D91</f>
        <v>0</v>
      </c>
      <c r="E91" s="49">
        <f>'Avg Week Goli-Nebbi'!E91+'Avg Week Nebbi-Goli'!E91</f>
        <v>0</v>
      </c>
      <c r="F91" s="49">
        <f>'Avg Week Goli-Nebbi'!F91+'Avg Week Nebbi-Goli'!F91</f>
        <v>0</v>
      </c>
      <c r="G91" s="49">
        <f>'Avg Week Goli-Nebbi'!G91+'Avg Week Nebbi-Goli'!G91</f>
        <v>0</v>
      </c>
      <c r="H91" s="49">
        <f>'Avg Week Goli-Nebbi'!H91+'Avg Week Nebbi-Goli'!H91</f>
        <v>0</v>
      </c>
      <c r="I91" s="49">
        <f>'Avg Week Goli-Nebbi'!I91+'Avg Week Nebbi-Goli'!I91</f>
        <v>0</v>
      </c>
      <c r="J91" s="49">
        <f>'Avg Week Goli-Nebbi'!J91+'Avg Week Nebbi-Goli'!J91</f>
        <v>0</v>
      </c>
      <c r="K91" s="49">
        <f>'Avg Week Goli-Nebbi'!K91+'Avg Week Nebbi-Goli'!K91</f>
        <v>0</v>
      </c>
      <c r="L91" s="49">
        <f>'Avg Week Goli-Nebbi'!L91+'Avg Week Nebbi-Goli'!L91</f>
        <v>0.66666666666666663</v>
      </c>
      <c r="M91" s="49">
        <f>'Avg Week Goli-Nebbi'!M91+'Avg Week Nebbi-Goli'!M91</f>
        <v>0.33333333333333331</v>
      </c>
      <c r="N91" s="49">
        <f>'Avg Week Goli-Nebbi'!N91+'Avg Week Nebbi-Goli'!N91</f>
        <v>0</v>
      </c>
      <c r="O91" s="15">
        <f t="shared" si="35"/>
        <v>0.66666666666666663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'Avg Week Goli-Nebbi'!C92+'Avg Week Nebbi-Goli'!C92</f>
        <v>0</v>
      </c>
      <c r="D92" s="49">
        <f>'Avg Week Goli-Nebbi'!D92+'Avg Week Nebbi-Goli'!D92</f>
        <v>0</v>
      </c>
      <c r="E92" s="49">
        <f>'Avg Week Goli-Nebbi'!E92+'Avg Week Nebbi-Goli'!E92</f>
        <v>0</v>
      </c>
      <c r="F92" s="49">
        <f>'Avg Week Goli-Nebbi'!F92+'Avg Week Nebbi-Goli'!F92</f>
        <v>0</v>
      </c>
      <c r="G92" s="49">
        <f>'Avg Week Goli-Nebbi'!G92+'Avg Week Nebbi-Goli'!G92</f>
        <v>0</v>
      </c>
      <c r="H92" s="49">
        <f>'Avg Week Goli-Nebbi'!H92+'Avg Week Nebbi-Goli'!H92</f>
        <v>0</v>
      </c>
      <c r="I92" s="49">
        <f>'Avg Week Goli-Nebbi'!I92+'Avg Week Nebbi-Goli'!I92</f>
        <v>0</v>
      </c>
      <c r="J92" s="49">
        <f>'Avg Week Goli-Nebbi'!J92+'Avg Week Nebbi-Goli'!J92</f>
        <v>0</v>
      </c>
      <c r="K92" s="49">
        <f>'Avg Week Goli-Nebbi'!K92+'Avg Week Nebbi-Goli'!K92</f>
        <v>0</v>
      </c>
      <c r="L92" s="49">
        <f>'Avg Week Goli-Nebbi'!L92+'Avg Week Nebbi-Goli'!L92</f>
        <v>0</v>
      </c>
      <c r="M92" s="49">
        <f>'Avg Week Goli-Nebbi'!M92+'Avg Week Nebbi-Goli'!M92</f>
        <v>1.6666666666666665</v>
      </c>
      <c r="N92" s="49">
        <f>'Avg Week Goli-Nebbi'!N92+'Avg Week Nebbi-Goli'!N92</f>
        <v>0</v>
      </c>
      <c r="O92" s="15">
        <f t="shared" si="35"/>
        <v>0</v>
      </c>
      <c r="P92" s="15">
        <f t="shared" si="36"/>
        <v>1.6666666666666665</v>
      </c>
      <c r="R92" s="8"/>
      <c r="T92"/>
    </row>
    <row r="93" spans="2:20" ht="23.1" customHeight="1" x14ac:dyDescent="0.25">
      <c r="B93" s="23" t="s">
        <v>133</v>
      </c>
      <c r="C93" s="49">
        <f>'Avg Week Goli-Nebbi'!C93+'Avg Week Nebbi-Goli'!C93</f>
        <v>0.33333333333333331</v>
      </c>
      <c r="D93" s="49">
        <f>'Avg Week Goli-Nebbi'!D93+'Avg Week Nebbi-Goli'!D93</f>
        <v>0</v>
      </c>
      <c r="E93" s="49">
        <f>'Avg Week Goli-Nebbi'!E93+'Avg Week Nebbi-Goli'!E93</f>
        <v>0.5</v>
      </c>
      <c r="F93" s="49">
        <f>'Avg Week Goli-Nebbi'!F93+'Avg Week Nebbi-Goli'!F93</f>
        <v>0</v>
      </c>
      <c r="G93" s="49">
        <f>'Avg Week Goli-Nebbi'!G93+'Avg Week Nebbi-Goli'!G93</f>
        <v>0.33333333333333331</v>
      </c>
      <c r="H93" s="49">
        <f>'Avg Week Goli-Nebbi'!H93+'Avg Week Nebbi-Goli'!H93</f>
        <v>0</v>
      </c>
      <c r="I93" s="49">
        <f>'Avg Week Goli-Nebbi'!I93+'Avg Week Nebbi-Goli'!I93</f>
        <v>0</v>
      </c>
      <c r="J93" s="49">
        <f>'Avg Week Goli-Nebbi'!J93+'Avg Week Nebbi-Goli'!J93</f>
        <v>0</v>
      </c>
      <c r="K93" s="49">
        <f>'Avg Week Goli-Nebbi'!K93+'Avg Week Nebbi-Goli'!K93</f>
        <v>0</v>
      </c>
      <c r="L93" s="49">
        <f>'Avg Week Goli-Nebbi'!L93+'Avg Week Nebbi-Goli'!L93</f>
        <v>0.5</v>
      </c>
      <c r="M93" s="49">
        <f>'Avg Week Goli-Nebbi'!M93+'Avg Week Nebbi-Goli'!M93</f>
        <v>2.666666666666667</v>
      </c>
      <c r="N93" s="49">
        <f>'Avg Week Goli-Nebbi'!N93+'Avg Week Nebbi-Goli'!N93</f>
        <v>0</v>
      </c>
      <c r="O93" s="15">
        <f t="shared" si="35"/>
        <v>1.6666666666666665</v>
      </c>
      <c r="P93" s="15">
        <f t="shared" si="36"/>
        <v>4.3333333333333339</v>
      </c>
      <c r="R93" s="8"/>
      <c r="T93"/>
    </row>
    <row r="94" spans="2:20" ht="23.1" customHeight="1" x14ac:dyDescent="0.25">
      <c r="B94" s="24" t="s">
        <v>134</v>
      </c>
      <c r="C94" s="49">
        <f>'Avg Week Goli-Nebbi'!C94+'Avg Week Nebbi-Goli'!C94</f>
        <v>0</v>
      </c>
      <c r="D94" s="49">
        <f>'Avg Week Goli-Nebbi'!D94+'Avg Week Nebbi-Goli'!D94</f>
        <v>0</v>
      </c>
      <c r="E94" s="49">
        <f>'Avg Week Goli-Nebbi'!E94+'Avg Week Nebbi-Goli'!E94</f>
        <v>0</v>
      </c>
      <c r="F94" s="49">
        <f>'Avg Week Goli-Nebbi'!F94+'Avg Week Nebbi-Goli'!F94</f>
        <v>0</v>
      </c>
      <c r="G94" s="49">
        <f>'Avg Week Goli-Nebbi'!G94+'Avg Week Nebbi-Goli'!G94</f>
        <v>0.5</v>
      </c>
      <c r="H94" s="49">
        <f>'Avg Week Goli-Nebbi'!H94+'Avg Week Nebbi-Goli'!H94</f>
        <v>0.66666666666666663</v>
      </c>
      <c r="I94" s="49">
        <f>'Avg Week Goli-Nebbi'!I94+'Avg Week Nebbi-Goli'!I94</f>
        <v>0</v>
      </c>
      <c r="J94" s="49">
        <f>'Avg Week Goli-Nebbi'!J94+'Avg Week Nebbi-Goli'!J94</f>
        <v>0</v>
      </c>
      <c r="K94" s="49">
        <f>'Avg Week Goli-Nebbi'!K94+'Avg Week Nebbi-Goli'!K94</f>
        <v>0</v>
      </c>
      <c r="L94" s="49">
        <f>'Avg Week Goli-Nebbi'!L94+'Avg Week Nebbi-Goli'!L94</f>
        <v>0</v>
      </c>
      <c r="M94" s="49">
        <f>'Avg Week Goli-Nebbi'!M94+'Avg Week Nebbi-Goli'!M94</f>
        <v>2</v>
      </c>
      <c r="N94" s="49">
        <f>'Avg Week Goli-Nebbi'!N94+'Avg Week Nebbi-Goli'!N94</f>
        <v>0</v>
      </c>
      <c r="O94" s="15">
        <f t="shared" si="35"/>
        <v>1.1666666666666665</v>
      </c>
      <c r="P94" s="15">
        <f t="shared" si="36"/>
        <v>3.1666666666666665</v>
      </c>
      <c r="R94" s="8"/>
      <c r="T94"/>
    </row>
    <row r="95" spans="2:20" ht="23.1" customHeight="1" x14ac:dyDescent="0.25">
      <c r="B95" s="23" t="s">
        <v>135</v>
      </c>
      <c r="C95" s="49">
        <f>'Avg Week Goli-Nebbi'!C95+'Avg Week Nebbi-Goli'!C95</f>
        <v>0</v>
      </c>
      <c r="D95" s="49">
        <f>'Avg Week Goli-Nebbi'!D95+'Avg Week Nebbi-Goli'!D95</f>
        <v>0</v>
      </c>
      <c r="E95" s="49">
        <f>'Avg Week Goli-Nebbi'!E95+'Avg Week Nebbi-Goli'!E95</f>
        <v>0</v>
      </c>
      <c r="F95" s="49">
        <f>'Avg Week Goli-Nebbi'!F95+'Avg Week Nebbi-Goli'!F95</f>
        <v>0.66666666666666663</v>
      </c>
      <c r="G95" s="49">
        <f>'Avg Week Goli-Nebbi'!G95+'Avg Week Nebbi-Goli'!G95</f>
        <v>0</v>
      </c>
      <c r="H95" s="49">
        <f>'Avg Week Goli-Nebbi'!H95+'Avg Week Nebbi-Goli'!H95</f>
        <v>0</v>
      </c>
      <c r="I95" s="49">
        <f>'Avg Week Goli-Nebbi'!I95+'Avg Week Nebbi-Goli'!I95</f>
        <v>0.5</v>
      </c>
      <c r="J95" s="49">
        <f>'Avg Week Goli-Nebbi'!J95+'Avg Week Nebbi-Goli'!J95</f>
        <v>0</v>
      </c>
      <c r="K95" s="49">
        <f>'Avg Week Goli-Nebbi'!K95+'Avg Week Nebbi-Goli'!K95</f>
        <v>0</v>
      </c>
      <c r="L95" s="49">
        <f>'Avg Week Goli-Nebbi'!L95+'Avg Week Nebbi-Goli'!L95</f>
        <v>0.83333333333333326</v>
      </c>
      <c r="M95" s="49">
        <f>'Avg Week Goli-Nebbi'!M95+'Avg Week Nebbi-Goli'!M95</f>
        <v>3</v>
      </c>
      <c r="N95" s="49">
        <f>'Avg Week Goli-Nebbi'!N95+'Avg Week Nebbi-Goli'!N95</f>
        <v>0</v>
      </c>
      <c r="O95" s="15">
        <f t="shared" si="35"/>
        <v>1.9999999999999998</v>
      </c>
      <c r="P95" s="15">
        <f t="shared" si="36"/>
        <v>5</v>
      </c>
      <c r="R95" s="8"/>
      <c r="T95"/>
    </row>
    <row r="96" spans="2:20" ht="23.1" customHeight="1" x14ac:dyDescent="0.25">
      <c r="B96" s="25" t="s">
        <v>136</v>
      </c>
      <c r="C96" s="49">
        <f>'Avg Week Goli-Nebbi'!C96+'Avg Week Nebbi-Goli'!C96</f>
        <v>0</v>
      </c>
      <c r="D96" s="49">
        <f>'Avg Week Goli-Nebbi'!D96+'Avg Week Nebbi-Goli'!D96</f>
        <v>0</v>
      </c>
      <c r="E96" s="49">
        <f>'Avg Week Goli-Nebbi'!E96+'Avg Week Nebbi-Goli'!E96</f>
        <v>0.33333333333333331</v>
      </c>
      <c r="F96" s="49">
        <f>'Avg Week Goli-Nebbi'!F96+'Avg Week Nebbi-Goli'!F96</f>
        <v>0.33333333333333331</v>
      </c>
      <c r="G96" s="49">
        <f>'Avg Week Goli-Nebbi'!G96+'Avg Week Nebbi-Goli'!G96</f>
        <v>0</v>
      </c>
      <c r="H96" s="49">
        <f>'Avg Week Goli-Nebbi'!H96+'Avg Week Nebbi-Goli'!H96</f>
        <v>0.33333333333333331</v>
      </c>
      <c r="I96" s="49">
        <f>'Avg Week Goli-Nebbi'!I96+'Avg Week Nebbi-Goli'!I96</f>
        <v>0</v>
      </c>
      <c r="J96" s="49">
        <f>'Avg Week Goli-Nebbi'!J96+'Avg Week Nebbi-Goli'!J96</f>
        <v>0</v>
      </c>
      <c r="K96" s="49">
        <f>'Avg Week Goli-Nebbi'!K96+'Avg Week Nebbi-Goli'!K96</f>
        <v>0</v>
      </c>
      <c r="L96" s="49">
        <f>'Avg Week Goli-Nebbi'!L96+'Avg Week Nebbi-Goli'!L96</f>
        <v>0.5</v>
      </c>
      <c r="M96" s="49">
        <f>'Avg Week Goli-Nebbi'!M96+'Avg Week Nebbi-Goli'!M96</f>
        <v>1.6666666666666665</v>
      </c>
      <c r="N96" s="49">
        <f>'Avg Week Goli-Nebbi'!N96+'Avg Week Nebbi-Goli'!N96</f>
        <v>0</v>
      </c>
      <c r="O96" s="15">
        <f t="shared" si="35"/>
        <v>1.5</v>
      </c>
      <c r="P96" s="15">
        <f t="shared" si="36"/>
        <v>3.1666666666666665</v>
      </c>
      <c r="R96" s="8"/>
      <c r="T96"/>
    </row>
    <row r="97" spans="2:20" ht="23.1" customHeight="1" x14ac:dyDescent="0.25">
      <c r="B97" s="23" t="s">
        <v>137</v>
      </c>
      <c r="C97" s="49">
        <f>'Avg Week Goli-Nebbi'!C97+'Avg Week Nebbi-Goli'!C97</f>
        <v>0.66666666666666663</v>
      </c>
      <c r="D97" s="49">
        <f>'Avg Week Goli-Nebbi'!D97+'Avg Week Nebbi-Goli'!D97</f>
        <v>0</v>
      </c>
      <c r="E97" s="49">
        <f>'Avg Week Goli-Nebbi'!E97+'Avg Week Nebbi-Goli'!E97</f>
        <v>0.33333333333333331</v>
      </c>
      <c r="F97" s="49">
        <f>'Avg Week Goli-Nebbi'!F97+'Avg Week Nebbi-Goli'!F97</f>
        <v>0</v>
      </c>
      <c r="G97" s="49">
        <f>'Avg Week Goli-Nebbi'!G97+'Avg Week Nebbi-Goli'!G97</f>
        <v>0</v>
      </c>
      <c r="H97" s="49">
        <f>'Avg Week Goli-Nebbi'!H97+'Avg Week Nebbi-Goli'!H97</f>
        <v>0.33333333333333331</v>
      </c>
      <c r="I97" s="49">
        <f>'Avg Week Goli-Nebbi'!I97+'Avg Week Nebbi-Goli'!I97</f>
        <v>0.5</v>
      </c>
      <c r="J97" s="49">
        <f>'Avg Week Goli-Nebbi'!J97+'Avg Week Nebbi-Goli'!J97</f>
        <v>0</v>
      </c>
      <c r="K97" s="49">
        <f>'Avg Week Goli-Nebbi'!K97+'Avg Week Nebbi-Goli'!K97</f>
        <v>0</v>
      </c>
      <c r="L97" s="49">
        <f>'Avg Week Goli-Nebbi'!L97+'Avg Week Nebbi-Goli'!L97</f>
        <v>0.33333333333333331</v>
      </c>
      <c r="M97" s="49">
        <f>'Avg Week Goli-Nebbi'!M97+'Avg Week Nebbi-Goli'!M97</f>
        <v>1.6666666666666665</v>
      </c>
      <c r="N97" s="49">
        <f>'Avg Week Goli-Nebbi'!N97+'Avg Week Nebbi-Goli'!N97</f>
        <v>0</v>
      </c>
      <c r="O97" s="15">
        <f t="shared" si="35"/>
        <v>2.1666666666666665</v>
      </c>
      <c r="P97" s="15">
        <f t="shared" si="36"/>
        <v>3.833333333333333</v>
      </c>
      <c r="R97" s="8"/>
      <c r="T97"/>
    </row>
    <row r="98" spans="2:20" ht="23.1" customHeight="1" x14ac:dyDescent="0.25">
      <c r="B98" s="24" t="s">
        <v>138</v>
      </c>
      <c r="C98" s="49">
        <f>'Avg Week Goli-Nebbi'!C98+'Avg Week Nebbi-Goli'!C98</f>
        <v>1.5</v>
      </c>
      <c r="D98" s="49">
        <f>'Avg Week Goli-Nebbi'!D98+'Avg Week Nebbi-Goli'!D98</f>
        <v>0</v>
      </c>
      <c r="E98" s="49">
        <f>'Avg Week Goli-Nebbi'!E98+'Avg Week Nebbi-Goli'!E98</f>
        <v>0</v>
      </c>
      <c r="F98" s="49">
        <f>'Avg Week Goli-Nebbi'!F98+'Avg Week Nebbi-Goli'!F98</f>
        <v>0</v>
      </c>
      <c r="G98" s="49">
        <f>'Avg Week Goli-Nebbi'!G98+'Avg Week Nebbi-Goli'!G98</f>
        <v>0</v>
      </c>
      <c r="H98" s="49">
        <f>'Avg Week Goli-Nebbi'!H98+'Avg Week Nebbi-Goli'!H98</f>
        <v>0</v>
      </c>
      <c r="I98" s="49">
        <f>'Avg Week Goli-Nebbi'!I98+'Avg Week Nebbi-Goli'!I98</f>
        <v>0</v>
      </c>
      <c r="J98" s="49">
        <f>'Avg Week Goli-Nebbi'!J98+'Avg Week Nebbi-Goli'!J98</f>
        <v>0</v>
      </c>
      <c r="K98" s="49">
        <f>'Avg Week Goli-Nebbi'!K98+'Avg Week Nebbi-Goli'!K98</f>
        <v>0</v>
      </c>
      <c r="L98" s="49">
        <f>'Avg Week Goli-Nebbi'!L98+'Avg Week Nebbi-Goli'!L98</f>
        <v>1</v>
      </c>
      <c r="M98" s="49">
        <f>'Avg Week Goli-Nebbi'!M98+'Avg Week Nebbi-Goli'!M98</f>
        <v>1.3333333333333333</v>
      </c>
      <c r="N98" s="49">
        <f>'Avg Week Goli-Nebbi'!N98+'Avg Week Nebbi-Goli'!N98</f>
        <v>0</v>
      </c>
      <c r="O98" s="15">
        <f t="shared" si="35"/>
        <v>2.5</v>
      </c>
      <c r="P98" s="15">
        <f t="shared" si="36"/>
        <v>3.833333333333333</v>
      </c>
      <c r="R98" s="8"/>
      <c r="T98"/>
    </row>
    <row r="99" spans="2:20" ht="23.1" customHeight="1" x14ac:dyDescent="0.25">
      <c r="B99" s="23" t="s">
        <v>139</v>
      </c>
      <c r="C99" s="49">
        <f>'Avg Week Goli-Nebbi'!C99+'Avg Week Nebbi-Goli'!C99</f>
        <v>0.33333333333333331</v>
      </c>
      <c r="D99" s="49">
        <f>'Avg Week Goli-Nebbi'!D99+'Avg Week Nebbi-Goli'!D99</f>
        <v>0</v>
      </c>
      <c r="E99" s="49">
        <f>'Avg Week Goli-Nebbi'!E99+'Avg Week Nebbi-Goli'!E99</f>
        <v>0</v>
      </c>
      <c r="F99" s="49">
        <f>'Avg Week Goli-Nebbi'!F99+'Avg Week Nebbi-Goli'!F99</f>
        <v>0</v>
      </c>
      <c r="G99" s="49">
        <f>'Avg Week Goli-Nebbi'!G99+'Avg Week Nebbi-Goli'!G99</f>
        <v>0</v>
      </c>
      <c r="H99" s="49">
        <f>'Avg Week Goli-Nebbi'!H99+'Avg Week Nebbi-Goli'!H99</f>
        <v>0</v>
      </c>
      <c r="I99" s="49">
        <f>'Avg Week Goli-Nebbi'!I99+'Avg Week Nebbi-Goli'!I99</f>
        <v>0.33333333333333331</v>
      </c>
      <c r="J99" s="49">
        <f>'Avg Week Goli-Nebbi'!J99+'Avg Week Nebbi-Goli'!J99</f>
        <v>0</v>
      </c>
      <c r="K99" s="49">
        <f>'Avg Week Goli-Nebbi'!K99+'Avg Week Nebbi-Goli'!K99</f>
        <v>0</v>
      </c>
      <c r="L99" s="49">
        <f>'Avg Week Goli-Nebbi'!L99+'Avg Week Nebbi-Goli'!L99</f>
        <v>0.5</v>
      </c>
      <c r="M99" s="49">
        <f>'Avg Week Goli-Nebbi'!M99+'Avg Week Nebbi-Goli'!M99</f>
        <v>2</v>
      </c>
      <c r="N99" s="49">
        <f>'Avg Week Goli-Nebbi'!N99+'Avg Week Nebbi-Goli'!N99</f>
        <v>0</v>
      </c>
      <c r="O99" s="15">
        <f t="shared" si="35"/>
        <v>1.1666666666666665</v>
      </c>
      <c r="P99" s="15">
        <f t="shared" si="36"/>
        <v>3.1666666666666665</v>
      </c>
      <c r="R99" s="8"/>
      <c r="T99"/>
    </row>
    <row r="100" spans="2:20" ht="23.1" customHeight="1" x14ac:dyDescent="0.25">
      <c r="B100" s="25" t="s">
        <v>140</v>
      </c>
      <c r="C100" s="49">
        <f>'Avg Week Goli-Nebbi'!C100+'Avg Week Nebbi-Goli'!C100</f>
        <v>0</v>
      </c>
      <c r="D100" s="49">
        <f>'Avg Week Goli-Nebbi'!D100+'Avg Week Nebbi-Goli'!D100</f>
        <v>0</v>
      </c>
      <c r="E100" s="49">
        <f>'Avg Week Goli-Nebbi'!E100+'Avg Week Nebbi-Goli'!E100</f>
        <v>0</v>
      </c>
      <c r="F100" s="49">
        <f>'Avg Week Goli-Nebbi'!F100+'Avg Week Nebbi-Goli'!F100</f>
        <v>0</v>
      </c>
      <c r="G100" s="49">
        <f>'Avg Week Goli-Nebbi'!G100+'Avg Week Nebbi-Goli'!G100</f>
        <v>0.33333333333333331</v>
      </c>
      <c r="H100" s="49">
        <f>'Avg Week Goli-Nebbi'!H100+'Avg Week Nebbi-Goli'!H100</f>
        <v>0.33333333333333331</v>
      </c>
      <c r="I100" s="49">
        <f>'Avg Week Goli-Nebbi'!I100+'Avg Week Nebbi-Goli'!I100</f>
        <v>0.33333333333333331</v>
      </c>
      <c r="J100" s="49">
        <f>'Avg Week Goli-Nebbi'!J100+'Avg Week Nebbi-Goli'!J100</f>
        <v>0</v>
      </c>
      <c r="K100" s="49">
        <f>'Avg Week Goli-Nebbi'!K100+'Avg Week Nebbi-Goli'!K100</f>
        <v>0</v>
      </c>
      <c r="L100" s="49">
        <f>'Avg Week Goli-Nebbi'!L100+'Avg Week Nebbi-Goli'!L100</f>
        <v>0.33333333333333331</v>
      </c>
      <c r="M100" s="49">
        <f>'Avg Week Goli-Nebbi'!M100+'Avg Week Nebbi-Goli'!M100</f>
        <v>1.6666666666666665</v>
      </c>
      <c r="N100" s="49">
        <f>'Avg Week Goli-Nebbi'!N100+'Avg Week Nebbi-Goli'!N100</f>
        <v>0</v>
      </c>
      <c r="O100" s="15">
        <f t="shared" si="35"/>
        <v>1.3333333333333333</v>
      </c>
      <c r="P100" s="15">
        <f t="shared" si="36"/>
        <v>3</v>
      </c>
      <c r="R100" s="8"/>
      <c r="T100"/>
    </row>
    <row r="101" spans="2:20" ht="23.1" customHeight="1" x14ac:dyDescent="0.25">
      <c r="B101" s="23" t="s">
        <v>141</v>
      </c>
      <c r="C101" s="49">
        <f>'Avg Week Goli-Nebbi'!C101+'Avg Week Nebbi-Goli'!C101</f>
        <v>0.33333333333333331</v>
      </c>
      <c r="D101" s="49">
        <f>'Avg Week Goli-Nebbi'!D101+'Avg Week Nebbi-Goli'!D101</f>
        <v>0</v>
      </c>
      <c r="E101" s="49">
        <f>'Avg Week Goli-Nebbi'!E101+'Avg Week Nebbi-Goli'!E101</f>
        <v>0</v>
      </c>
      <c r="F101" s="49">
        <f>'Avg Week Goli-Nebbi'!F101+'Avg Week Nebbi-Goli'!F101</f>
        <v>0</v>
      </c>
      <c r="G101" s="49">
        <f>'Avg Week Goli-Nebbi'!G101+'Avg Week Nebbi-Goli'!G101</f>
        <v>0</v>
      </c>
      <c r="H101" s="49">
        <f>'Avg Week Goli-Nebbi'!H101+'Avg Week Nebbi-Goli'!H101</f>
        <v>0</v>
      </c>
      <c r="I101" s="49">
        <f>'Avg Week Goli-Nebbi'!I101+'Avg Week Nebbi-Goli'!I101</f>
        <v>0.66666666666666663</v>
      </c>
      <c r="J101" s="49">
        <f>'Avg Week Goli-Nebbi'!J101+'Avg Week Nebbi-Goli'!J101</f>
        <v>0</v>
      </c>
      <c r="K101" s="49">
        <f>'Avg Week Goli-Nebbi'!K101+'Avg Week Nebbi-Goli'!K101</f>
        <v>0</v>
      </c>
      <c r="L101" s="49">
        <f>'Avg Week Goli-Nebbi'!L101+'Avg Week Nebbi-Goli'!L101</f>
        <v>0.33333333333333331</v>
      </c>
      <c r="M101" s="49">
        <f>'Avg Week Goli-Nebbi'!M101+'Avg Week Nebbi-Goli'!M101</f>
        <v>3.333333333333333</v>
      </c>
      <c r="N101" s="49">
        <f>'Avg Week Goli-Nebbi'!N101+'Avg Week Nebbi-Goli'!N101</f>
        <v>0</v>
      </c>
      <c r="O101" s="15">
        <f t="shared" si="35"/>
        <v>1.3333333333333333</v>
      </c>
      <c r="P101" s="15">
        <f t="shared" si="36"/>
        <v>4.6666666666666661</v>
      </c>
      <c r="R101" s="8"/>
      <c r="T101"/>
    </row>
    <row r="102" spans="2:20" ht="23.1" customHeight="1" x14ac:dyDescent="0.25">
      <c r="B102" s="24" t="s">
        <v>142</v>
      </c>
      <c r="C102" s="49">
        <f>'Avg Week Goli-Nebbi'!C102+'Avg Week Nebbi-Goli'!C102</f>
        <v>0.66666666666666663</v>
      </c>
      <c r="D102" s="49">
        <f>'Avg Week Goli-Nebbi'!D102+'Avg Week Nebbi-Goli'!D102</f>
        <v>0</v>
      </c>
      <c r="E102" s="49">
        <f>'Avg Week Goli-Nebbi'!E102+'Avg Week Nebbi-Goli'!E102</f>
        <v>0.5</v>
      </c>
      <c r="F102" s="49">
        <f>'Avg Week Goli-Nebbi'!F102+'Avg Week Nebbi-Goli'!F102</f>
        <v>0</v>
      </c>
      <c r="G102" s="49">
        <f>'Avg Week Goli-Nebbi'!G102+'Avg Week Nebbi-Goli'!G102</f>
        <v>0</v>
      </c>
      <c r="H102" s="49">
        <f>'Avg Week Goli-Nebbi'!H102+'Avg Week Nebbi-Goli'!H102</f>
        <v>0</v>
      </c>
      <c r="I102" s="49">
        <f>'Avg Week Goli-Nebbi'!I102+'Avg Week Nebbi-Goli'!I102</f>
        <v>0.66666666666666663</v>
      </c>
      <c r="J102" s="49">
        <f>'Avg Week Goli-Nebbi'!J102+'Avg Week Nebbi-Goli'!J102</f>
        <v>0</v>
      </c>
      <c r="K102" s="49">
        <f>'Avg Week Goli-Nebbi'!K102+'Avg Week Nebbi-Goli'!K102</f>
        <v>0</v>
      </c>
      <c r="L102" s="49">
        <f>'Avg Week Goli-Nebbi'!L102+'Avg Week Nebbi-Goli'!L102</f>
        <v>0</v>
      </c>
      <c r="M102" s="49">
        <f>'Avg Week Goli-Nebbi'!M102+'Avg Week Nebbi-Goli'!M102</f>
        <v>3.8333333333333335</v>
      </c>
      <c r="N102" s="49">
        <f>'Avg Week Goli-Nebbi'!N102+'Avg Week Nebbi-Goli'!N102</f>
        <v>0</v>
      </c>
      <c r="O102" s="15">
        <f t="shared" si="35"/>
        <v>1.833333333333333</v>
      </c>
      <c r="P102" s="15">
        <f t="shared" si="36"/>
        <v>5.6666666666666661</v>
      </c>
      <c r="R102" s="8"/>
      <c r="T102"/>
    </row>
    <row r="103" spans="2:20" ht="23.1" customHeight="1" x14ac:dyDescent="0.25">
      <c r="B103" s="23" t="s">
        <v>143</v>
      </c>
      <c r="C103" s="49">
        <f>'Avg Week Goli-Nebbi'!C103+'Avg Week Nebbi-Goli'!C103</f>
        <v>1.3333333333333333</v>
      </c>
      <c r="D103" s="49">
        <f>'Avg Week Goli-Nebbi'!D103+'Avg Week Nebbi-Goli'!D103</f>
        <v>0</v>
      </c>
      <c r="E103" s="49">
        <f>'Avg Week Goli-Nebbi'!E103+'Avg Week Nebbi-Goli'!E103</f>
        <v>0</v>
      </c>
      <c r="F103" s="49">
        <f>'Avg Week Goli-Nebbi'!F103+'Avg Week Nebbi-Goli'!F103</f>
        <v>0</v>
      </c>
      <c r="G103" s="49">
        <f>'Avg Week Goli-Nebbi'!G103+'Avg Week Nebbi-Goli'!G103</f>
        <v>0</v>
      </c>
      <c r="H103" s="49">
        <f>'Avg Week Goli-Nebbi'!H103+'Avg Week Nebbi-Goli'!H103</f>
        <v>0</v>
      </c>
      <c r="I103" s="49">
        <f>'Avg Week Goli-Nebbi'!I103+'Avg Week Nebbi-Goli'!I103</f>
        <v>0.66666666666666663</v>
      </c>
      <c r="J103" s="49">
        <f>'Avg Week Goli-Nebbi'!J103+'Avg Week Nebbi-Goli'!J103</f>
        <v>0</v>
      </c>
      <c r="K103" s="49">
        <f>'Avg Week Goli-Nebbi'!K103+'Avg Week Nebbi-Goli'!K103</f>
        <v>0</v>
      </c>
      <c r="L103" s="49">
        <f>'Avg Week Goli-Nebbi'!L103+'Avg Week Nebbi-Goli'!L103</f>
        <v>0.33333333333333331</v>
      </c>
      <c r="M103" s="49">
        <f>'Avg Week Goli-Nebbi'!M103+'Avg Week Nebbi-Goli'!M103</f>
        <v>4.1666666666666661</v>
      </c>
      <c r="N103" s="49">
        <f>'Avg Week Goli-Nebbi'!N103+'Avg Week Nebbi-Goli'!N103</f>
        <v>0</v>
      </c>
      <c r="O103" s="15">
        <f t="shared" si="35"/>
        <v>2.3333333333333335</v>
      </c>
      <c r="P103" s="15">
        <f t="shared" si="36"/>
        <v>6.5</v>
      </c>
      <c r="R103" s="8"/>
      <c r="T103"/>
    </row>
    <row r="104" spans="2:20" ht="23.1" customHeight="1" x14ac:dyDescent="0.25">
      <c r="B104" s="25" t="s">
        <v>144</v>
      </c>
      <c r="C104" s="49">
        <f>'Avg Week Goli-Nebbi'!C104+'Avg Week Nebbi-Goli'!C104</f>
        <v>1</v>
      </c>
      <c r="D104" s="49">
        <f>'Avg Week Goli-Nebbi'!D104+'Avg Week Nebbi-Goli'!D104</f>
        <v>0</v>
      </c>
      <c r="E104" s="49">
        <f>'Avg Week Goli-Nebbi'!E104+'Avg Week Nebbi-Goli'!E104</f>
        <v>0.5</v>
      </c>
      <c r="F104" s="49">
        <f>'Avg Week Goli-Nebbi'!F104+'Avg Week Nebbi-Goli'!F104</f>
        <v>0</v>
      </c>
      <c r="G104" s="49">
        <f>'Avg Week Goli-Nebbi'!G104+'Avg Week Nebbi-Goli'!G104</f>
        <v>0</v>
      </c>
      <c r="H104" s="49">
        <f>'Avg Week Goli-Nebbi'!H104+'Avg Week Nebbi-Goli'!H104</f>
        <v>0</v>
      </c>
      <c r="I104" s="49">
        <f>'Avg Week Goli-Nebbi'!I104+'Avg Week Nebbi-Goli'!I104</f>
        <v>1.5</v>
      </c>
      <c r="J104" s="49">
        <f>'Avg Week Goli-Nebbi'!J104+'Avg Week Nebbi-Goli'!J104</f>
        <v>0</v>
      </c>
      <c r="K104" s="49">
        <f>'Avg Week Goli-Nebbi'!K104+'Avg Week Nebbi-Goli'!K104</f>
        <v>0</v>
      </c>
      <c r="L104" s="49">
        <f>'Avg Week Goli-Nebbi'!L104+'Avg Week Nebbi-Goli'!L104</f>
        <v>0</v>
      </c>
      <c r="M104" s="49">
        <f>'Avg Week Goli-Nebbi'!M104+'Avg Week Nebbi-Goli'!M104</f>
        <v>9.8333333333333339</v>
      </c>
      <c r="N104" s="49">
        <f>'Avg Week Goli-Nebbi'!N104+'Avg Week Nebbi-Goli'!N104</f>
        <v>0</v>
      </c>
      <c r="O104" s="15">
        <f t="shared" si="35"/>
        <v>3</v>
      </c>
      <c r="P104" s="15">
        <f t="shared" si="36"/>
        <v>12.833333333333334</v>
      </c>
      <c r="R104" s="8"/>
      <c r="T104"/>
    </row>
    <row r="105" spans="2:20" ht="23.1" customHeight="1" x14ac:dyDescent="0.25">
      <c r="B105" s="23" t="s">
        <v>145</v>
      </c>
      <c r="C105" s="49">
        <f>'Avg Week Goli-Nebbi'!C105+'Avg Week Nebbi-Goli'!C105</f>
        <v>2.333333333333333</v>
      </c>
      <c r="D105" s="49">
        <f>'Avg Week Goli-Nebbi'!D105+'Avg Week Nebbi-Goli'!D105</f>
        <v>0</v>
      </c>
      <c r="E105" s="49">
        <f>'Avg Week Goli-Nebbi'!E105+'Avg Week Nebbi-Goli'!E105</f>
        <v>0.33333333333333331</v>
      </c>
      <c r="F105" s="49">
        <f>'Avg Week Goli-Nebbi'!F105+'Avg Week Nebbi-Goli'!F105</f>
        <v>0</v>
      </c>
      <c r="G105" s="49">
        <f>'Avg Week Goli-Nebbi'!G105+'Avg Week Nebbi-Goli'!G105</f>
        <v>0</v>
      </c>
      <c r="H105" s="49">
        <f>'Avg Week Goli-Nebbi'!H105+'Avg Week Nebbi-Goli'!H105</f>
        <v>0.66666666666666663</v>
      </c>
      <c r="I105" s="49">
        <f>'Avg Week Goli-Nebbi'!I105+'Avg Week Nebbi-Goli'!I105</f>
        <v>1.3333333333333333</v>
      </c>
      <c r="J105" s="49">
        <f>'Avg Week Goli-Nebbi'!J105+'Avg Week Nebbi-Goli'!J105</f>
        <v>0.33333333333333331</v>
      </c>
      <c r="K105" s="49">
        <f>'Avg Week Goli-Nebbi'!K105+'Avg Week Nebbi-Goli'!K105</f>
        <v>0</v>
      </c>
      <c r="L105" s="49">
        <f>'Avg Week Goli-Nebbi'!L105+'Avg Week Nebbi-Goli'!L105</f>
        <v>2.8333333333333335</v>
      </c>
      <c r="M105" s="49">
        <f>'Avg Week Goli-Nebbi'!M105+'Avg Week Nebbi-Goli'!M105</f>
        <v>12.166666666666668</v>
      </c>
      <c r="N105" s="49">
        <f>'Avg Week Goli-Nebbi'!N105+'Avg Week Nebbi-Goli'!N105</f>
        <v>0</v>
      </c>
      <c r="O105" s="15">
        <f t="shared" si="35"/>
        <v>7.8333333333333321</v>
      </c>
      <c r="P105" s="15">
        <f t="shared" si="36"/>
        <v>20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120.57142857142854</v>
      </c>
      <c r="D106" s="16">
        <f t="shared" ref="D106:P106" si="37">SUM(D10:D105)</f>
        <v>18.214285714285712</v>
      </c>
      <c r="E106" s="16">
        <f t="shared" si="37"/>
        <v>87.547619047619008</v>
      </c>
      <c r="F106" s="16">
        <f t="shared" si="37"/>
        <v>53.261904761904759</v>
      </c>
      <c r="G106" s="16">
        <f t="shared" si="37"/>
        <v>7.3095238095238084</v>
      </c>
      <c r="H106" s="16">
        <f t="shared" si="37"/>
        <v>10.642857142857144</v>
      </c>
      <c r="I106" s="16">
        <f t="shared" si="37"/>
        <v>86.476190476190425</v>
      </c>
      <c r="J106" s="16">
        <f t="shared" si="37"/>
        <v>12.547619047619049</v>
      </c>
      <c r="K106" s="16">
        <f t="shared" si="37"/>
        <v>8.4047619047619069</v>
      </c>
      <c r="L106" s="16">
        <f t="shared" si="37"/>
        <v>67.095238095238116</v>
      </c>
      <c r="M106" s="16">
        <f t="shared" si="37"/>
        <v>1424.0476190476186</v>
      </c>
      <c r="N106" s="16">
        <f t="shared" si="37"/>
        <v>0.71428571428571419</v>
      </c>
      <c r="O106" s="16">
        <f t="shared" si="37"/>
        <v>472.78571428571422</v>
      </c>
      <c r="P106" s="16">
        <f t="shared" si="37"/>
        <v>1896.8333333333337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6.3564587595867778E-2</v>
      </c>
      <c r="D107" s="43">
        <f t="shared" si="38"/>
        <v>9.6024702825511163E-3</v>
      </c>
      <c r="E107" s="43">
        <f t="shared" si="38"/>
        <v>4.6154618599922148E-2</v>
      </c>
      <c r="F107" s="43">
        <f t="shared" si="38"/>
        <v>2.8079380421002414E-2</v>
      </c>
      <c r="G107" s="43">
        <f t="shared" si="38"/>
        <v>3.8535403617558071E-3</v>
      </c>
      <c r="H107" s="43">
        <f t="shared" si="38"/>
        <v>5.6108551847063393E-3</v>
      </c>
      <c r="I107" s="43">
        <f t="shared" si="38"/>
        <v>4.5589767406830899E-2</v>
      </c>
      <c r="J107" s="43">
        <f t="shared" si="38"/>
        <v>6.6150350835352152E-3</v>
      </c>
      <c r="K107" s="43">
        <f t="shared" si="38"/>
        <v>4.4309438035824121E-3</v>
      </c>
      <c r="L107" s="43">
        <f t="shared" si="38"/>
        <v>3.537223693624713E-2</v>
      </c>
      <c r="M107" s="43">
        <f t="shared" si="38"/>
        <v>0.75074999686193744</v>
      </c>
      <c r="N107" s="43">
        <f t="shared" si="38"/>
        <v>3.7656746206082809E-4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0.25502341743465778</v>
      </c>
      <c r="D108" s="44">
        <f t="shared" ref="D108:N108" si="39">D106/$O$106</f>
        <v>3.8525457017676387E-2</v>
      </c>
      <c r="E108" s="44">
        <f t="shared" si="39"/>
        <v>0.18517399405751114</v>
      </c>
      <c r="F108" s="44">
        <f t="shared" si="39"/>
        <v>0.11265548673012037</v>
      </c>
      <c r="G108" s="44">
        <f t="shared" si="39"/>
        <v>1.5460542881603465E-2</v>
      </c>
      <c r="H108" s="44">
        <f t="shared" si="39"/>
        <v>2.2510953316210915E-2</v>
      </c>
      <c r="I108" s="44">
        <f t="shared" si="39"/>
        <v>0.18290779070353017</v>
      </c>
      <c r="J108" s="44">
        <f t="shared" si="39"/>
        <v>2.6539759278843739E-2</v>
      </c>
      <c r="K108" s="44">
        <f t="shared" si="39"/>
        <v>1.7777106310117346E-2</v>
      </c>
      <c r="L108" s="44">
        <f t="shared" si="39"/>
        <v>0.14191469003374133</v>
      </c>
      <c r="M108" s="44"/>
      <c r="N108" s="44">
        <f t="shared" si="39"/>
        <v>1.5108022359873092E-3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31.07 Goli-Nebbi</vt:lpstr>
      <vt:lpstr>31.07 Nebbi-Goli</vt:lpstr>
      <vt:lpstr>01.08 Goli-Nebbi</vt:lpstr>
      <vt:lpstr>01.08 Nebbi-Goli</vt:lpstr>
      <vt:lpstr>02.08 Goli-Nebbi-24h</vt:lpstr>
      <vt:lpstr>02.08 Nebbi-Goli-24h</vt:lpstr>
      <vt:lpstr>03.08 Goli-Nebbi-24h</vt:lpstr>
      <vt:lpstr>03.08 Nebbi-Goli-24h</vt:lpstr>
      <vt:lpstr>04.08 Goli-Nebbi</vt:lpstr>
      <vt:lpstr>04.08 Nebbi-Goli</vt:lpstr>
      <vt:lpstr>05.08 Goli-Nebbi</vt:lpstr>
      <vt:lpstr>05.08 Nebbi-Goli</vt:lpstr>
      <vt:lpstr>06.08 Goli-Nebbi</vt:lpstr>
      <vt:lpstr>06.08 Nebbi-Goli</vt:lpstr>
      <vt:lpstr>Avg Week Goli-Nebbi</vt:lpstr>
      <vt:lpstr>Avg Week Nebbi-Goli</vt:lpstr>
      <vt:lpstr>Avg Week Goli-Nebbi-2Dir</vt:lpstr>
      <vt:lpstr>'01.08 Goli-Nebbi'!Print_Area</vt:lpstr>
      <vt:lpstr>'01.08 Nebbi-Goli'!Print_Area</vt:lpstr>
      <vt:lpstr>'02.08 Goli-Nebbi-24h'!Print_Area</vt:lpstr>
      <vt:lpstr>'02.08 Nebbi-Goli-24h'!Print_Area</vt:lpstr>
      <vt:lpstr>'03.08 Goli-Nebbi-24h'!Print_Area</vt:lpstr>
      <vt:lpstr>'03.08 Nebbi-Goli-24h'!Print_Area</vt:lpstr>
      <vt:lpstr>'04.08 Goli-Nebbi'!Print_Area</vt:lpstr>
      <vt:lpstr>'04.08 Nebbi-Goli'!Print_Area</vt:lpstr>
      <vt:lpstr>'05.08 Goli-Nebbi'!Print_Area</vt:lpstr>
      <vt:lpstr>'05.08 Nebbi-Goli'!Print_Area</vt:lpstr>
      <vt:lpstr>'06.08 Goli-Nebbi'!Print_Area</vt:lpstr>
      <vt:lpstr>'06.08 Nebbi-Goli'!Print_Area</vt:lpstr>
      <vt:lpstr>'31.07 Goli-Nebbi'!Print_Area</vt:lpstr>
      <vt:lpstr>'31.07 Nebbi-Goli'!Print_Area</vt:lpstr>
      <vt:lpstr>'Avg Week Goli-Nebbi'!Print_Area</vt:lpstr>
      <vt:lpstr>'Avg Week Goli-Nebbi-2Dir'!Print_Area</vt:lpstr>
      <vt:lpstr>'Avg Week Nebbi-Goli'!Print_Area</vt:lpstr>
      <vt:lpstr>'01.08 Goli-Nebbi'!Print_Titles</vt:lpstr>
      <vt:lpstr>'01.08 Nebbi-Goli'!Print_Titles</vt:lpstr>
      <vt:lpstr>'02.08 Goli-Nebbi-24h'!Print_Titles</vt:lpstr>
      <vt:lpstr>'02.08 Nebbi-Goli-24h'!Print_Titles</vt:lpstr>
      <vt:lpstr>'03.08 Goli-Nebbi-24h'!Print_Titles</vt:lpstr>
      <vt:lpstr>'03.08 Nebbi-Goli-24h'!Print_Titles</vt:lpstr>
      <vt:lpstr>'04.08 Goli-Nebbi'!Print_Titles</vt:lpstr>
      <vt:lpstr>'04.08 Nebbi-Goli'!Print_Titles</vt:lpstr>
      <vt:lpstr>'05.08 Goli-Nebbi'!Print_Titles</vt:lpstr>
      <vt:lpstr>'05.08 Nebbi-Goli'!Print_Titles</vt:lpstr>
      <vt:lpstr>'06.08 Goli-Nebbi'!Print_Titles</vt:lpstr>
      <vt:lpstr>'06.08 Nebbi-Goli'!Print_Titles</vt:lpstr>
      <vt:lpstr>'31.07 Goli-Nebbi'!Print_Titles</vt:lpstr>
      <vt:lpstr>'31.07 Nebbi-Goli'!Print_Titles</vt:lpstr>
      <vt:lpstr>'Avg Week Goli-Nebbi'!Print_Titles</vt:lpstr>
      <vt:lpstr>'Avg Week Goli-Nebbi-2Dir'!Print_Titles</vt:lpstr>
      <vt:lpstr>'Avg Week Nebbi-Goli'!Print_Titles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2019-07-25T18:18:41Z</cp:lastPrinted>
  <dcterms:created xsi:type="dcterms:W3CDTF">2010-07-06T07:39:49Z</dcterms:created>
  <dcterms:modified xsi:type="dcterms:W3CDTF">2020-02-11T13:42:37Z</dcterms:modified>
</cp:coreProperties>
</file>