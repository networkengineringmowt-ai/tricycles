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11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5 Analysis Complete\STN130 KITGUM-ATIAK\MCC\"/>
    </mc:Choice>
  </mc:AlternateContent>
  <xr:revisionPtr revIDLastSave="0" documentId="13_ncr:1_{8B5C9013-99D4-4166-A475-0E1FFFD16972}" xr6:coauthVersionLast="45" xr6:coauthVersionMax="45" xr10:uidLastSave="{00000000-0000-0000-0000-000000000000}"/>
  <bookViews>
    <workbookView xWindow="-120" yWindow="-120" windowWidth="20730" windowHeight="11160" tabRatio="936" firstSheet="3" activeTab="7" xr2:uid="{00000000-000D-0000-FFFF-FFFF00000000}"/>
  </bookViews>
  <sheets>
    <sheet name="31.07 Atiak-Palabek" sheetId="93" r:id="rId1"/>
    <sheet name="31.07 Palabek-Atiak" sheetId="94" r:id="rId2"/>
    <sheet name="01.08 Atiak-Palabek" sheetId="95" r:id="rId3"/>
    <sheet name="01.08 Palabek-Atiak" sheetId="96" r:id="rId4"/>
    <sheet name="02.08 Atiak-Palabek-24h" sheetId="101" r:id="rId5"/>
    <sheet name="02.08 Palabek-Atiak-24h" sheetId="109" r:id="rId6"/>
    <sheet name="03.08 Atiak-Palabek-24h" sheetId="105" r:id="rId7"/>
    <sheet name="03.08 Palabek-Atiak-24h" sheetId="110" r:id="rId8"/>
    <sheet name="04.08 Atiak-Palabek" sheetId="103" r:id="rId9"/>
    <sheet name="04.08 Palabek-Atiak" sheetId="104" r:id="rId10"/>
    <sheet name="05.08 Atiak-Palabek" sheetId="97" r:id="rId11"/>
    <sheet name="05.08 Palabek-Atiak" sheetId="98" r:id="rId12"/>
    <sheet name="06.08 Atiak-Palabek" sheetId="99" r:id="rId13"/>
    <sheet name="06.08 Palabek-Atiak" sheetId="100" r:id="rId14"/>
    <sheet name="Avg Week Atiak-Palabek" sheetId="107" r:id="rId15"/>
    <sheet name="Avg Week Palabek-Atiak" sheetId="108" r:id="rId16"/>
    <sheet name="Avg Week Atiak-Palabek-2Dir" sheetId="111" r:id="rId17"/>
  </sheets>
  <externalReferences>
    <externalReference r:id="rId18"/>
  </externalReferences>
  <definedNames>
    <definedName name="_xlnm.Print_Area" localSheetId="2">'01.08 Atiak-Palabek'!$A$1:$AF$60</definedName>
    <definedName name="_xlnm.Print_Area" localSheetId="3">'01.08 Palabek-Atiak'!$A$1:$AF$60</definedName>
    <definedName name="_xlnm.Print_Area" localSheetId="4">'02.08 Atiak-Palabek-24h'!$A$1:$AF$108</definedName>
    <definedName name="_xlnm.Print_Area" localSheetId="5">'02.08 Palabek-Atiak-24h'!$A$1:$AF$108</definedName>
    <definedName name="_xlnm.Print_Area" localSheetId="6">'03.08 Atiak-Palabek-24h'!$A$1:$AF$108</definedName>
    <definedName name="_xlnm.Print_Area" localSheetId="7">'03.08 Palabek-Atiak-24h'!$A$1:$AF$108</definedName>
    <definedName name="_xlnm.Print_Area" localSheetId="8">'04.08 Atiak-Palabek'!$A$1:$AF$60</definedName>
    <definedName name="_xlnm.Print_Area" localSheetId="9">'04.08 Palabek-Atiak'!$A$1:$AF$60</definedName>
    <definedName name="_xlnm.Print_Area" localSheetId="10">'05.08 Atiak-Palabek'!$A$1:$AF$60</definedName>
    <definedName name="_xlnm.Print_Area" localSheetId="11">'05.08 Palabek-Atiak'!$A$1:$AF$60</definedName>
    <definedName name="_xlnm.Print_Area" localSheetId="12">'06.08 Atiak-Palabek'!$A$1:$AF$60</definedName>
    <definedName name="_xlnm.Print_Area" localSheetId="13">'06.08 Palabek-Atiak'!$A$1:$AF$60</definedName>
    <definedName name="_xlnm.Print_Area" localSheetId="0">'31.07 Atiak-Palabek'!$A$1:$AF$60</definedName>
    <definedName name="_xlnm.Print_Area" localSheetId="1">'31.07 Palabek-Atiak'!$A$1:$AF$60</definedName>
    <definedName name="_xlnm.Print_Area" localSheetId="14">'Avg Week Atiak-Palabek'!$A$1:$AF$108</definedName>
    <definedName name="_xlnm.Print_Area" localSheetId="16">'Avg Week Atiak-Palabek-2Dir'!$A$1:$AF$108</definedName>
    <definedName name="_xlnm.Print_Area" localSheetId="15">'Avg Week Palabek-Atiak'!$A$1:$AF$108</definedName>
    <definedName name="_xlnm.Print_Titles" localSheetId="2">'01.08 Atiak-Palabek'!$1:$8</definedName>
    <definedName name="_xlnm.Print_Titles" localSheetId="3">'01.08 Palabek-Atiak'!$1:$8</definedName>
    <definedName name="_xlnm.Print_Titles" localSheetId="4">'02.08 Atiak-Palabek-24h'!$1:$8</definedName>
    <definedName name="_xlnm.Print_Titles" localSheetId="5">'02.08 Palabek-Atiak-24h'!$1:$8</definedName>
    <definedName name="_xlnm.Print_Titles" localSheetId="6">'03.08 Atiak-Palabek-24h'!$1:$8</definedName>
    <definedName name="_xlnm.Print_Titles" localSheetId="7">'03.08 Palabek-Atiak-24h'!$1:$8</definedName>
    <definedName name="_xlnm.Print_Titles" localSheetId="8">'04.08 Atiak-Palabek'!$1:$8</definedName>
    <definedName name="_xlnm.Print_Titles" localSheetId="9">'04.08 Palabek-Atiak'!$1:$8</definedName>
    <definedName name="_xlnm.Print_Titles" localSheetId="10">'05.08 Atiak-Palabek'!$1:$8</definedName>
    <definedName name="_xlnm.Print_Titles" localSheetId="11">'05.08 Palabek-Atiak'!$1:$8</definedName>
    <definedName name="_xlnm.Print_Titles" localSheetId="12">'06.08 Atiak-Palabek'!$1:$8</definedName>
    <definedName name="_xlnm.Print_Titles" localSheetId="13">'06.08 Palabek-Atiak'!$1:$8</definedName>
    <definedName name="_xlnm.Print_Titles" localSheetId="0">'31.07 Atiak-Palabek'!$1:$8</definedName>
    <definedName name="_xlnm.Print_Titles" localSheetId="1">'31.07 Palabek-Atiak'!$1:$8</definedName>
    <definedName name="_xlnm.Print_Titles" localSheetId="14">'Avg Week Atiak-Palabek'!$1:$8</definedName>
    <definedName name="_xlnm.Print_Titles" localSheetId="16">'Avg Week Atiak-Palabek-2Dir'!$1:$8</definedName>
    <definedName name="_xlnm.Print_Titles" localSheetId="15">'Avg Week Palabek-Atiak'!$1:$8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2" i="111" l="1"/>
  <c r="I91" i="111"/>
  <c r="F93" i="111"/>
  <c r="C59" i="108"/>
  <c r="D59" i="108"/>
  <c r="T22" i="108" s="1"/>
  <c r="E59" i="108"/>
  <c r="F59" i="108"/>
  <c r="G59" i="108"/>
  <c r="H59" i="108"/>
  <c r="I59" i="108"/>
  <c r="J59" i="108"/>
  <c r="K59" i="108"/>
  <c r="M59" i="108"/>
  <c r="N59" i="108"/>
  <c r="C60" i="108"/>
  <c r="D60" i="108"/>
  <c r="E60" i="108"/>
  <c r="F60" i="108"/>
  <c r="G60" i="108"/>
  <c r="H60" i="108"/>
  <c r="I60" i="108"/>
  <c r="J60" i="108"/>
  <c r="K60" i="108"/>
  <c r="M60" i="108"/>
  <c r="N60" i="108"/>
  <c r="C61" i="108"/>
  <c r="D61" i="108"/>
  <c r="E61" i="108"/>
  <c r="F61" i="108"/>
  <c r="V22" i="108" s="1"/>
  <c r="G61" i="108"/>
  <c r="H61" i="108"/>
  <c r="I61" i="108"/>
  <c r="J61" i="108"/>
  <c r="K61" i="108"/>
  <c r="M61" i="108"/>
  <c r="N61" i="108"/>
  <c r="C62" i="108"/>
  <c r="D62" i="108"/>
  <c r="T23" i="108" s="1"/>
  <c r="E62" i="108"/>
  <c r="F62" i="108"/>
  <c r="G62" i="108"/>
  <c r="H62" i="108"/>
  <c r="I62" i="108"/>
  <c r="J62" i="108"/>
  <c r="K62" i="108"/>
  <c r="AA23" i="108" s="1"/>
  <c r="M62" i="108"/>
  <c r="N62" i="108"/>
  <c r="C63" i="108"/>
  <c r="D63" i="108"/>
  <c r="E63" i="108"/>
  <c r="F63" i="108"/>
  <c r="G63" i="108"/>
  <c r="H63" i="108"/>
  <c r="X23" i="108" s="1"/>
  <c r="I63" i="108"/>
  <c r="J63" i="108"/>
  <c r="K63" i="108"/>
  <c r="M63" i="108"/>
  <c r="N63" i="108"/>
  <c r="C64" i="108"/>
  <c r="D64" i="108"/>
  <c r="E64" i="108"/>
  <c r="F64" i="108"/>
  <c r="G64" i="108"/>
  <c r="H64" i="108"/>
  <c r="I64" i="108"/>
  <c r="J64" i="108"/>
  <c r="K64" i="108"/>
  <c r="M64" i="108"/>
  <c r="N64" i="108"/>
  <c r="C65" i="108"/>
  <c r="S23" i="108" s="1"/>
  <c r="D65" i="108"/>
  <c r="E65" i="108"/>
  <c r="F65" i="108"/>
  <c r="G65" i="108"/>
  <c r="H65" i="108"/>
  <c r="I65" i="108"/>
  <c r="J65" i="108"/>
  <c r="Z23" i="108" s="1"/>
  <c r="K65" i="108"/>
  <c r="M65" i="108"/>
  <c r="N65" i="108"/>
  <c r="C66" i="108"/>
  <c r="D66" i="108"/>
  <c r="E66" i="108"/>
  <c r="F66" i="108"/>
  <c r="G66" i="108"/>
  <c r="H66" i="108"/>
  <c r="X24" i="108" s="1"/>
  <c r="I66" i="108"/>
  <c r="J66" i="108"/>
  <c r="K66" i="108"/>
  <c r="M66" i="108"/>
  <c r="N66" i="108"/>
  <c r="C67" i="108"/>
  <c r="D67" i="108"/>
  <c r="T24" i="108" s="1"/>
  <c r="E67" i="108"/>
  <c r="F67" i="108"/>
  <c r="G67" i="108"/>
  <c r="H67" i="108"/>
  <c r="I67" i="108"/>
  <c r="J67" i="108"/>
  <c r="K67" i="108"/>
  <c r="M67" i="108"/>
  <c r="AC24" i="108" s="1"/>
  <c r="N67" i="108"/>
  <c r="C68" i="108"/>
  <c r="D68" i="108"/>
  <c r="E68" i="108"/>
  <c r="F68" i="108"/>
  <c r="G68" i="108"/>
  <c r="H68" i="108"/>
  <c r="I68" i="108"/>
  <c r="Y24" i="108" s="1"/>
  <c r="J68" i="108"/>
  <c r="K68" i="108"/>
  <c r="M68" i="108"/>
  <c r="N68" i="108"/>
  <c r="C69" i="108"/>
  <c r="D69" i="108"/>
  <c r="E69" i="108"/>
  <c r="F69" i="108"/>
  <c r="G69" i="108"/>
  <c r="W24" i="108" s="1"/>
  <c r="H69" i="108"/>
  <c r="I69" i="108"/>
  <c r="J69" i="108"/>
  <c r="K69" i="108"/>
  <c r="M69" i="108"/>
  <c r="N69" i="108"/>
  <c r="C70" i="108"/>
  <c r="S25" i="108" s="1"/>
  <c r="D70" i="108"/>
  <c r="T25" i="108" s="1"/>
  <c r="E70" i="108"/>
  <c r="F70" i="108"/>
  <c r="G70" i="108"/>
  <c r="H70" i="108"/>
  <c r="I70" i="108"/>
  <c r="J70" i="108"/>
  <c r="K70" i="108"/>
  <c r="AA25" i="108" s="1"/>
  <c r="M70" i="108"/>
  <c r="N70" i="108"/>
  <c r="C71" i="108"/>
  <c r="D71" i="108"/>
  <c r="E71" i="108"/>
  <c r="F71" i="108"/>
  <c r="G71" i="108"/>
  <c r="H71" i="108"/>
  <c r="X25" i="108" s="1"/>
  <c r="I71" i="108"/>
  <c r="J71" i="108"/>
  <c r="K71" i="108"/>
  <c r="M71" i="108"/>
  <c r="N71" i="108"/>
  <c r="C72" i="108"/>
  <c r="D72" i="108"/>
  <c r="E72" i="108"/>
  <c r="F72" i="108"/>
  <c r="G72" i="108"/>
  <c r="H72" i="108"/>
  <c r="I72" i="108"/>
  <c r="J72" i="108"/>
  <c r="K72" i="108"/>
  <c r="M72" i="108"/>
  <c r="N72" i="108"/>
  <c r="AD25" i="108" s="1"/>
  <c r="C73" i="108"/>
  <c r="D73" i="108"/>
  <c r="E73" i="108"/>
  <c r="F73" i="108"/>
  <c r="G73" i="108"/>
  <c r="H73" i="108"/>
  <c r="I73" i="108"/>
  <c r="J73" i="108"/>
  <c r="Z25" i="108" s="1"/>
  <c r="K73" i="108"/>
  <c r="M73" i="108"/>
  <c r="N73" i="108"/>
  <c r="C74" i="108"/>
  <c r="D74" i="108"/>
  <c r="E74" i="108"/>
  <c r="F74" i="108"/>
  <c r="G74" i="108"/>
  <c r="H74" i="108"/>
  <c r="X26" i="108" s="1"/>
  <c r="I74" i="108"/>
  <c r="J74" i="108"/>
  <c r="K74" i="108"/>
  <c r="M74" i="108"/>
  <c r="N74" i="108"/>
  <c r="C75" i="108"/>
  <c r="D75" i="108"/>
  <c r="T26" i="108" s="1"/>
  <c r="E75" i="108"/>
  <c r="F75" i="108"/>
  <c r="G75" i="108"/>
  <c r="H75" i="108"/>
  <c r="I75" i="108"/>
  <c r="J75" i="108"/>
  <c r="K75" i="108"/>
  <c r="M75" i="108"/>
  <c r="AC26" i="108" s="1"/>
  <c r="N75" i="108"/>
  <c r="C76" i="108"/>
  <c r="D76" i="108"/>
  <c r="E76" i="108"/>
  <c r="F76" i="108"/>
  <c r="G76" i="108"/>
  <c r="H76" i="108"/>
  <c r="I76" i="108"/>
  <c r="Y26" i="108" s="1"/>
  <c r="J76" i="108"/>
  <c r="K76" i="108"/>
  <c r="M76" i="108"/>
  <c r="N76" i="108"/>
  <c r="C77" i="108"/>
  <c r="D77" i="108"/>
  <c r="E77" i="108"/>
  <c r="F77" i="108"/>
  <c r="G77" i="108"/>
  <c r="W26" i="108" s="1"/>
  <c r="H77" i="108"/>
  <c r="I77" i="108"/>
  <c r="J77" i="108"/>
  <c r="K77" i="108"/>
  <c r="M77" i="108"/>
  <c r="N77" i="108"/>
  <c r="C78" i="108"/>
  <c r="S27" i="108" s="1"/>
  <c r="D78" i="108"/>
  <c r="T27" i="108" s="1"/>
  <c r="E78" i="108"/>
  <c r="F78" i="108"/>
  <c r="G78" i="108"/>
  <c r="H78" i="108"/>
  <c r="I78" i="108"/>
  <c r="J78" i="108"/>
  <c r="K78" i="108"/>
  <c r="AA27" i="108" s="1"/>
  <c r="M78" i="108"/>
  <c r="N78" i="108"/>
  <c r="C79" i="108"/>
  <c r="D79" i="108"/>
  <c r="E79" i="108"/>
  <c r="F79" i="108"/>
  <c r="G79" i="108"/>
  <c r="H79" i="108"/>
  <c r="X27" i="108" s="1"/>
  <c r="I79" i="108"/>
  <c r="J79" i="108"/>
  <c r="K79" i="108"/>
  <c r="M79" i="108"/>
  <c r="N79" i="108"/>
  <c r="C80" i="108"/>
  <c r="D80" i="108"/>
  <c r="E80" i="108"/>
  <c r="F80" i="108"/>
  <c r="G80" i="108"/>
  <c r="H80" i="108"/>
  <c r="I80" i="108"/>
  <c r="J80" i="108"/>
  <c r="K80" i="108"/>
  <c r="M80" i="108"/>
  <c r="N80" i="108"/>
  <c r="AD27" i="108" s="1"/>
  <c r="C81" i="108"/>
  <c r="D81" i="108"/>
  <c r="E81" i="108"/>
  <c r="F81" i="108"/>
  <c r="G81" i="108"/>
  <c r="H81" i="108"/>
  <c r="I81" i="108"/>
  <c r="J81" i="108"/>
  <c r="Z27" i="108" s="1"/>
  <c r="K81" i="108"/>
  <c r="M81" i="108"/>
  <c r="N81" i="108"/>
  <c r="C82" i="108"/>
  <c r="D82" i="108"/>
  <c r="E82" i="108"/>
  <c r="F82" i="108"/>
  <c r="G82" i="108"/>
  <c r="H82" i="108"/>
  <c r="I82" i="108"/>
  <c r="J82" i="108"/>
  <c r="K82" i="108"/>
  <c r="M82" i="108"/>
  <c r="N82" i="108"/>
  <c r="C83" i="108"/>
  <c r="D83" i="108"/>
  <c r="E83" i="108"/>
  <c r="U28" i="108" s="1"/>
  <c r="F83" i="108"/>
  <c r="G83" i="108"/>
  <c r="H83" i="108"/>
  <c r="I83" i="108"/>
  <c r="J83" i="108"/>
  <c r="K83" i="108"/>
  <c r="M83" i="108"/>
  <c r="AC28" i="108" s="1"/>
  <c r="N83" i="108"/>
  <c r="C84" i="108"/>
  <c r="D84" i="108"/>
  <c r="E84" i="108"/>
  <c r="F84" i="108"/>
  <c r="G84" i="108"/>
  <c r="H84" i="108"/>
  <c r="I84" i="108"/>
  <c r="J84" i="108"/>
  <c r="K84" i="108"/>
  <c r="M84" i="108"/>
  <c r="N84" i="108"/>
  <c r="C85" i="108"/>
  <c r="D85" i="108"/>
  <c r="E85" i="108"/>
  <c r="F85" i="108"/>
  <c r="G85" i="108"/>
  <c r="H85" i="108"/>
  <c r="I85" i="108"/>
  <c r="J85" i="108"/>
  <c r="K85" i="108"/>
  <c r="M85" i="108"/>
  <c r="N85" i="108"/>
  <c r="C86" i="108"/>
  <c r="S29" i="108" s="1"/>
  <c r="D86" i="108"/>
  <c r="T29" i="108" s="1"/>
  <c r="E86" i="108"/>
  <c r="F86" i="108"/>
  <c r="G86" i="108"/>
  <c r="H86" i="108"/>
  <c r="I86" i="108"/>
  <c r="J86" i="108"/>
  <c r="K86" i="108"/>
  <c r="M86" i="108"/>
  <c r="N86" i="108"/>
  <c r="C87" i="108"/>
  <c r="D87" i="108"/>
  <c r="E87" i="108"/>
  <c r="F87" i="108"/>
  <c r="G87" i="108"/>
  <c r="H87" i="108"/>
  <c r="I87" i="108"/>
  <c r="J87" i="108"/>
  <c r="K87" i="108"/>
  <c r="M87" i="108"/>
  <c r="N87" i="108"/>
  <c r="C88" i="108"/>
  <c r="D88" i="108"/>
  <c r="E88" i="108"/>
  <c r="F88" i="108"/>
  <c r="V29" i="108" s="1"/>
  <c r="G88" i="108"/>
  <c r="H88" i="108"/>
  <c r="I88" i="108"/>
  <c r="J88" i="108"/>
  <c r="K88" i="108"/>
  <c r="M88" i="108"/>
  <c r="N88" i="108"/>
  <c r="AD29" i="108" s="1"/>
  <c r="C89" i="108"/>
  <c r="D89" i="108"/>
  <c r="E89" i="108"/>
  <c r="F89" i="108"/>
  <c r="G89" i="108"/>
  <c r="H89" i="108"/>
  <c r="I89" i="108"/>
  <c r="J89" i="108"/>
  <c r="K89" i="108"/>
  <c r="AA29" i="108" s="1"/>
  <c r="M89" i="108"/>
  <c r="N89" i="108"/>
  <c r="C90" i="108"/>
  <c r="D90" i="108"/>
  <c r="E90" i="108"/>
  <c r="F90" i="108"/>
  <c r="G90" i="108"/>
  <c r="W30" i="108" s="1"/>
  <c r="H90" i="108"/>
  <c r="X30" i="108" s="1"/>
  <c r="I90" i="108"/>
  <c r="J90" i="108"/>
  <c r="K90" i="108"/>
  <c r="M90" i="108"/>
  <c r="N90" i="108"/>
  <c r="C91" i="108"/>
  <c r="D91" i="108"/>
  <c r="T30" i="108" s="1"/>
  <c r="E91" i="108"/>
  <c r="U30" i="108" s="1"/>
  <c r="F91" i="108"/>
  <c r="G91" i="108"/>
  <c r="H91" i="108"/>
  <c r="I91" i="108"/>
  <c r="J91" i="108"/>
  <c r="K91" i="108"/>
  <c r="M91" i="108"/>
  <c r="AC30" i="108" s="1"/>
  <c r="N91" i="108"/>
  <c r="C92" i="108"/>
  <c r="D92" i="108"/>
  <c r="E92" i="108"/>
  <c r="F92" i="108"/>
  <c r="G92" i="108"/>
  <c r="H92" i="108"/>
  <c r="I92" i="108"/>
  <c r="J92" i="108"/>
  <c r="K92" i="108"/>
  <c r="M92" i="108"/>
  <c r="N92" i="108"/>
  <c r="C93" i="108"/>
  <c r="D93" i="108"/>
  <c r="E93" i="108"/>
  <c r="F93" i="108"/>
  <c r="G93" i="108"/>
  <c r="H93" i="108"/>
  <c r="I93" i="108"/>
  <c r="J93" i="108"/>
  <c r="K93" i="108"/>
  <c r="M93" i="108"/>
  <c r="N93" i="108"/>
  <c r="C94" i="108"/>
  <c r="S31" i="108" s="1"/>
  <c r="D94" i="108"/>
  <c r="E94" i="108"/>
  <c r="F94" i="108"/>
  <c r="G94" i="108"/>
  <c r="H94" i="108"/>
  <c r="I94" i="108"/>
  <c r="J94" i="108"/>
  <c r="K94" i="108"/>
  <c r="M94" i="108"/>
  <c r="N94" i="108"/>
  <c r="C95" i="108"/>
  <c r="D95" i="108"/>
  <c r="E95" i="108"/>
  <c r="F95" i="108"/>
  <c r="G95" i="108"/>
  <c r="H95" i="108"/>
  <c r="X31" i="108" s="1"/>
  <c r="I95" i="108"/>
  <c r="J95" i="108"/>
  <c r="K95" i="108"/>
  <c r="M95" i="108"/>
  <c r="N95" i="108"/>
  <c r="C96" i="108"/>
  <c r="D96" i="108"/>
  <c r="E96" i="108"/>
  <c r="F96" i="108"/>
  <c r="V31" i="108" s="1"/>
  <c r="G96" i="108"/>
  <c r="H96" i="108"/>
  <c r="I96" i="108"/>
  <c r="J96" i="108"/>
  <c r="K96" i="108"/>
  <c r="M96" i="108"/>
  <c r="N96" i="108"/>
  <c r="C97" i="108"/>
  <c r="D97" i="108"/>
  <c r="E97" i="108"/>
  <c r="F97" i="108"/>
  <c r="G97" i="108"/>
  <c r="H97" i="108"/>
  <c r="I97" i="108"/>
  <c r="J97" i="108"/>
  <c r="Z31" i="108" s="1"/>
  <c r="K97" i="108"/>
  <c r="M97" i="108"/>
  <c r="N97" i="108"/>
  <c r="C98" i="108"/>
  <c r="D98" i="108"/>
  <c r="E98" i="108"/>
  <c r="F98" i="108"/>
  <c r="G98" i="108"/>
  <c r="W32" i="108" s="1"/>
  <c r="H98" i="108"/>
  <c r="X32" i="108" s="1"/>
  <c r="I98" i="108"/>
  <c r="J98" i="108"/>
  <c r="K98" i="108"/>
  <c r="M98" i="108"/>
  <c r="N98" i="108"/>
  <c r="C99" i="108"/>
  <c r="D99" i="108"/>
  <c r="T32" i="108" s="1"/>
  <c r="E99" i="108"/>
  <c r="U32" i="108" s="1"/>
  <c r="F99" i="108"/>
  <c r="G99" i="108"/>
  <c r="H99" i="108"/>
  <c r="I99" i="108"/>
  <c r="J99" i="108"/>
  <c r="K99" i="108"/>
  <c r="M99" i="108"/>
  <c r="N99" i="108"/>
  <c r="C100" i="108"/>
  <c r="D100" i="108"/>
  <c r="E100" i="108"/>
  <c r="F100" i="108"/>
  <c r="G100" i="108"/>
  <c r="H100" i="108"/>
  <c r="I100" i="108"/>
  <c r="Y32" i="108" s="1"/>
  <c r="J100" i="108"/>
  <c r="K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M101" i="108"/>
  <c r="N101" i="108"/>
  <c r="C102" i="108"/>
  <c r="S33" i="108" s="1"/>
  <c r="D102" i="108"/>
  <c r="E102" i="108"/>
  <c r="F102" i="108"/>
  <c r="G102" i="108"/>
  <c r="H102" i="108"/>
  <c r="I102" i="108"/>
  <c r="J102" i="108"/>
  <c r="K102" i="108"/>
  <c r="AA33" i="108" s="1"/>
  <c r="M102" i="108"/>
  <c r="N102" i="108"/>
  <c r="C103" i="108"/>
  <c r="D103" i="108"/>
  <c r="E103" i="108"/>
  <c r="F103" i="108"/>
  <c r="G103" i="108"/>
  <c r="H103" i="108"/>
  <c r="X33" i="108" s="1"/>
  <c r="I103" i="108"/>
  <c r="J103" i="108"/>
  <c r="K103" i="108"/>
  <c r="M103" i="108"/>
  <c r="N103" i="108"/>
  <c r="C104" i="108"/>
  <c r="D104" i="108"/>
  <c r="E104" i="108"/>
  <c r="F104" i="108"/>
  <c r="V33" i="108" s="1"/>
  <c r="G104" i="108"/>
  <c r="H104" i="108"/>
  <c r="I104" i="108"/>
  <c r="J104" i="108"/>
  <c r="K104" i="108"/>
  <c r="M104" i="108"/>
  <c r="N104" i="108"/>
  <c r="C105" i="108"/>
  <c r="D105" i="108"/>
  <c r="E105" i="108"/>
  <c r="F105" i="108"/>
  <c r="G105" i="108"/>
  <c r="H105" i="108"/>
  <c r="I105" i="108"/>
  <c r="J105" i="108"/>
  <c r="Z33" i="108" s="1"/>
  <c r="K105" i="108"/>
  <c r="M105" i="108"/>
  <c r="N105" i="108"/>
  <c r="D58" i="108"/>
  <c r="E58" i="108"/>
  <c r="F58" i="108"/>
  <c r="G58" i="108"/>
  <c r="H58" i="108"/>
  <c r="X22" i="108" s="1"/>
  <c r="I58" i="108"/>
  <c r="J58" i="108"/>
  <c r="K58" i="108"/>
  <c r="M58" i="108"/>
  <c r="N58" i="108"/>
  <c r="C58" i="108"/>
  <c r="C59" i="107"/>
  <c r="D59" i="107"/>
  <c r="D59" i="111" s="1"/>
  <c r="E59" i="107"/>
  <c r="E59" i="111" s="1"/>
  <c r="F59" i="107"/>
  <c r="G59" i="107"/>
  <c r="G59" i="111" s="1"/>
  <c r="H59" i="107"/>
  <c r="H59" i="111" s="1"/>
  <c r="I59" i="107"/>
  <c r="I59" i="111" s="1"/>
  <c r="J59" i="107"/>
  <c r="J59" i="111" s="1"/>
  <c r="K59" i="107"/>
  <c r="K59" i="111" s="1"/>
  <c r="M59" i="107"/>
  <c r="N59" i="107"/>
  <c r="C60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M61" i="107"/>
  <c r="M61" i="111" s="1"/>
  <c r="N61" i="107"/>
  <c r="N61" i="111" s="1"/>
  <c r="C62" i="107"/>
  <c r="D62" i="107"/>
  <c r="D62" i="111" s="1"/>
  <c r="E62" i="107"/>
  <c r="E62" i="111" s="1"/>
  <c r="F62" i="107"/>
  <c r="G62" i="107"/>
  <c r="H62" i="107"/>
  <c r="H62" i="111" s="1"/>
  <c r="I62" i="107"/>
  <c r="I62" i="111" s="1"/>
  <c r="J62" i="107"/>
  <c r="K62" i="107"/>
  <c r="M62" i="107"/>
  <c r="M62" i="111" s="1"/>
  <c r="N62" i="107"/>
  <c r="C63" i="107"/>
  <c r="D63" i="107"/>
  <c r="D63" i="111" s="1"/>
  <c r="T2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Y23" i="111" s="1"/>
  <c r="J63" i="107"/>
  <c r="J63" i="111" s="1"/>
  <c r="K63" i="107"/>
  <c r="K63" i="111" s="1"/>
  <c r="M63" i="107"/>
  <c r="M63" i="111" s="1"/>
  <c r="N63" i="107"/>
  <c r="N63" i="111" s="1"/>
  <c r="C64" i="107"/>
  <c r="D64" i="107"/>
  <c r="D64" i="111" s="1"/>
  <c r="E64" i="107"/>
  <c r="E64" i="111" s="1"/>
  <c r="U23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M65" i="107"/>
  <c r="M65" i="111" s="1"/>
  <c r="N65" i="107"/>
  <c r="N65" i="111" s="1"/>
  <c r="C66" i="107"/>
  <c r="D66" i="107"/>
  <c r="D66" i="111" s="1"/>
  <c r="E66" i="107"/>
  <c r="F66" i="107"/>
  <c r="G66" i="107"/>
  <c r="G66" i="111" s="1"/>
  <c r="H66" i="107"/>
  <c r="H66" i="111" s="1"/>
  <c r="I66" i="107"/>
  <c r="J66" i="107"/>
  <c r="K66" i="107"/>
  <c r="M66" i="107"/>
  <c r="N66" i="107"/>
  <c r="C67" i="107"/>
  <c r="C67" i="111" s="1"/>
  <c r="D67" i="107"/>
  <c r="D67" i="111" s="1"/>
  <c r="E67" i="107"/>
  <c r="E67" i="111" s="1"/>
  <c r="F67" i="107"/>
  <c r="F67" i="111" s="1"/>
  <c r="G67" i="107"/>
  <c r="H67" i="107"/>
  <c r="H67" i="111" s="1"/>
  <c r="I67" i="107"/>
  <c r="I67" i="111" s="1"/>
  <c r="J67" i="107"/>
  <c r="J67" i="111" s="1"/>
  <c r="K67" i="107"/>
  <c r="K67" i="111" s="1"/>
  <c r="M67" i="107"/>
  <c r="M67" i="111" s="1"/>
  <c r="N67" i="107"/>
  <c r="N67" i="111" s="1"/>
  <c r="C68" i="107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X24" i="111" s="1"/>
  <c r="I69" i="107"/>
  <c r="I69" i="111" s="1"/>
  <c r="J69" i="107"/>
  <c r="J69" i="111" s="1"/>
  <c r="K69" i="107"/>
  <c r="K69" i="111" s="1"/>
  <c r="M69" i="107"/>
  <c r="M69" i="111" s="1"/>
  <c r="N69" i="107"/>
  <c r="N69" i="111" s="1"/>
  <c r="C70" i="107"/>
  <c r="D70" i="107"/>
  <c r="D70" i="111" s="1"/>
  <c r="T25" i="111" s="1"/>
  <c r="E70" i="107"/>
  <c r="E70" i="111" s="1"/>
  <c r="F70" i="107"/>
  <c r="G70" i="107"/>
  <c r="H70" i="107"/>
  <c r="H70" i="111" s="1"/>
  <c r="I70" i="107"/>
  <c r="I70" i="111" s="1"/>
  <c r="J70" i="107"/>
  <c r="K70" i="107"/>
  <c r="M70" i="107"/>
  <c r="M70" i="111" s="1"/>
  <c r="N70" i="107"/>
  <c r="C71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X25" i="111" s="1"/>
  <c r="I71" i="107"/>
  <c r="I71" i="111" s="1"/>
  <c r="Y25" i="111" s="1"/>
  <c r="J71" i="107"/>
  <c r="J71" i="111" s="1"/>
  <c r="K71" i="107"/>
  <c r="K71" i="111" s="1"/>
  <c r="M71" i="107"/>
  <c r="M71" i="111" s="1"/>
  <c r="N71" i="107"/>
  <c r="N71" i="111" s="1"/>
  <c r="C72" i="107"/>
  <c r="D72" i="107"/>
  <c r="D72" i="111" s="1"/>
  <c r="E72" i="107"/>
  <c r="E72" i="111" s="1"/>
  <c r="U25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M72" i="107"/>
  <c r="N72" i="107"/>
  <c r="N72" i="111" s="1"/>
  <c r="C73" i="107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M73" i="107"/>
  <c r="M73" i="111" s="1"/>
  <c r="N73" i="107"/>
  <c r="N73" i="111" s="1"/>
  <c r="C74" i="107"/>
  <c r="D74" i="107"/>
  <c r="D74" i="111" s="1"/>
  <c r="E74" i="107"/>
  <c r="F74" i="107"/>
  <c r="G74" i="107"/>
  <c r="G74" i="111" s="1"/>
  <c r="H74" i="107"/>
  <c r="H74" i="111" s="1"/>
  <c r="X26" i="111" s="1"/>
  <c r="I74" i="107"/>
  <c r="J74" i="107"/>
  <c r="K74" i="107"/>
  <c r="K74" i="111" s="1"/>
  <c r="M74" i="107"/>
  <c r="N74" i="107"/>
  <c r="C75" i="107"/>
  <c r="D75" i="107"/>
  <c r="D75" i="111" s="1"/>
  <c r="T26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M77" i="107"/>
  <c r="M77" i="111" s="1"/>
  <c r="N77" i="107"/>
  <c r="N77" i="111" s="1"/>
  <c r="C78" i="107"/>
  <c r="D78" i="107"/>
  <c r="T27" i="107" s="1"/>
  <c r="E78" i="107"/>
  <c r="E78" i="111" s="1"/>
  <c r="F78" i="107"/>
  <c r="G78" i="107"/>
  <c r="H78" i="107"/>
  <c r="I78" i="107"/>
  <c r="I78" i="111" s="1"/>
  <c r="J78" i="107"/>
  <c r="K78" i="107"/>
  <c r="M78" i="107"/>
  <c r="M78" i="111" s="1"/>
  <c r="AC27" i="111" s="1"/>
  <c r="N78" i="107"/>
  <c r="C79" i="107"/>
  <c r="D79" i="107"/>
  <c r="E79" i="107"/>
  <c r="E79" i="111" s="1"/>
  <c r="F79" i="107"/>
  <c r="F79" i="111" s="1"/>
  <c r="G79" i="107"/>
  <c r="G79" i="111" s="1"/>
  <c r="H79" i="107"/>
  <c r="X27" i="107" s="1"/>
  <c r="I79" i="107"/>
  <c r="I79" i="111" s="1"/>
  <c r="J79" i="107"/>
  <c r="J79" i="111" s="1"/>
  <c r="K79" i="107"/>
  <c r="K79" i="111" s="1"/>
  <c r="M79" i="107"/>
  <c r="M79" i="111" s="1"/>
  <c r="N79" i="107"/>
  <c r="N79" i="111" s="1"/>
  <c r="C80" i="107"/>
  <c r="D80" i="107"/>
  <c r="E80" i="107"/>
  <c r="E80" i="111" s="1"/>
  <c r="U27" i="111" s="1"/>
  <c r="F80" i="107"/>
  <c r="F80" i="111" s="1"/>
  <c r="G80" i="107"/>
  <c r="G80" i="111" s="1"/>
  <c r="H80" i="107"/>
  <c r="I80" i="107"/>
  <c r="I80" i="111" s="1"/>
  <c r="J80" i="107"/>
  <c r="J80" i="111" s="1"/>
  <c r="K80" i="107"/>
  <c r="K80" i="111" s="1"/>
  <c r="M80" i="107"/>
  <c r="M80" i="111" s="1"/>
  <c r="N80" i="107"/>
  <c r="N80" i="111" s="1"/>
  <c r="C81" i="107"/>
  <c r="D81" i="107"/>
  <c r="E81" i="107"/>
  <c r="E81" i="111" s="1"/>
  <c r="F81" i="107"/>
  <c r="F81" i="111" s="1"/>
  <c r="G81" i="107"/>
  <c r="G81" i="111" s="1"/>
  <c r="H81" i="107"/>
  <c r="I81" i="107"/>
  <c r="I81" i="111" s="1"/>
  <c r="Y27" i="111" s="1"/>
  <c r="J81" i="107"/>
  <c r="J81" i="111" s="1"/>
  <c r="K81" i="107"/>
  <c r="K81" i="111" s="1"/>
  <c r="M81" i="107"/>
  <c r="M81" i="111" s="1"/>
  <c r="N81" i="107"/>
  <c r="N81" i="111" s="1"/>
  <c r="C82" i="107"/>
  <c r="D82" i="107"/>
  <c r="E82" i="107"/>
  <c r="F82" i="107"/>
  <c r="G82" i="107"/>
  <c r="G82" i="111" s="1"/>
  <c r="H82" i="107"/>
  <c r="X28" i="107" s="1"/>
  <c r="I82" i="107"/>
  <c r="J82" i="107"/>
  <c r="K82" i="107"/>
  <c r="K82" i="111" s="1"/>
  <c r="M82" i="107"/>
  <c r="N82" i="107"/>
  <c r="C83" i="107"/>
  <c r="D83" i="107"/>
  <c r="E83" i="107"/>
  <c r="E83" i="111" s="1"/>
  <c r="F83" i="107"/>
  <c r="F83" i="111" s="1"/>
  <c r="G83" i="107"/>
  <c r="G83" i="111" s="1"/>
  <c r="H83" i="107"/>
  <c r="I83" i="107"/>
  <c r="I83" i="111" s="1"/>
  <c r="J83" i="107"/>
  <c r="J83" i="111" s="1"/>
  <c r="K83" i="107"/>
  <c r="M83" i="107"/>
  <c r="M83" i="111" s="1"/>
  <c r="N83" i="107"/>
  <c r="N83" i="111" s="1"/>
  <c r="C84" i="107"/>
  <c r="D84" i="107"/>
  <c r="E84" i="107"/>
  <c r="E84" i="111" s="1"/>
  <c r="F84" i="107"/>
  <c r="F84" i="111" s="1"/>
  <c r="G84" i="107"/>
  <c r="G84" i="111" s="1"/>
  <c r="H84" i="107"/>
  <c r="I84" i="107"/>
  <c r="I84" i="111" s="1"/>
  <c r="J84" i="107"/>
  <c r="J84" i="111" s="1"/>
  <c r="K84" i="107"/>
  <c r="K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G85" i="111" s="1"/>
  <c r="H85" i="107"/>
  <c r="I85" i="107"/>
  <c r="I85" i="111" s="1"/>
  <c r="J85" i="107"/>
  <c r="J85" i="111" s="1"/>
  <c r="K85" i="107"/>
  <c r="K85" i="111" s="1"/>
  <c r="M85" i="107"/>
  <c r="M85" i="111" s="1"/>
  <c r="N85" i="107"/>
  <c r="N85" i="111" s="1"/>
  <c r="C86" i="107"/>
  <c r="D86" i="107"/>
  <c r="T29" i="107" s="1"/>
  <c r="E86" i="107"/>
  <c r="E86" i="111" s="1"/>
  <c r="U29" i="111" s="1"/>
  <c r="F86" i="107"/>
  <c r="G86" i="107"/>
  <c r="H86" i="107"/>
  <c r="I86" i="107"/>
  <c r="I86" i="111" s="1"/>
  <c r="J86" i="107"/>
  <c r="K86" i="107"/>
  <c r="M86" i="107"/>
  <c r="M86" i="111" s="1"/>
  <c r="N86" i="107"/>
  <c r="C87" i="107"/>
  <c r="D87" i="107"/>
  <c r="E87" i="107"/>
  <c r="E87" i="111" s="1"/>
  <c r="F87" i="107"/>
  <c r="F87" i="111" s="1"/>
  <c r="G87" i="107"/>
  <c r="G87" i="111" s="1"/>
  <c r="H87" i="107"/>
  <c r="X29" i="107" s="1"/>
  <c r="I87" i="107"/>
  <c r="I87" i="111" s="1"/>
  <c r="Y29" i="111" s="1"/>
  <c r="J87" i="107"/>
  <c r="J87" i="111" s="1"/>
  <c r="K87" i="107"/>
  <c r="K87" i="111" s="1"/>
  <c r="M87" i="107"/>
  <c r="M87" i="111" s="1"/>
  <c r="N87" i="107"/>
  <c r="N87" i="111" s="1"/>
  <c r="C88" i="107"/>
  <c r="D88" i="107"/>
  <c r="E88" i="107"/>
  <c r="E88" i="111" s="1"/>
  <c r="F88" i="107"/>
  <c r="F88" i="111" s="1"/>
  <c r="G88" i="107"/>
  <c r="G88" i="111" s="1"/>
  <c r="H88" i="107"/>
  <c r="I88" i="107"/>
  <c r="I88" i="111" s="1"/>
  <c r="J88" i="107"/>
  <c r="J88" i="111" s="1"/>
  <c r="K88" i="107"/>
  <c r="K88" i="111" s="1"/>
  <c r="M88" i="107"/>
  <c r="M88" i="111" s="1"/>
  <c r="N88" i="107"/>
  <c r="N88" i="111" s="1"/>
  <c r="C89" i="107"/>
  <c r="D89" i="107"/>
  <c r="E89" i="107"/>
  <c r="E89" i="111" s="1"/>
  <c r="F89" i="107"/>
  <c r="F89" i="111" s="1"/>
  <c r="G89" i="107"/>
  <c r="G89" i="111" s="1"/>
  <c r="H89" i="107"/>
  <c r="I89" i="107"/>
  <c r="I89" i="111" s="1"/>
  <c r="J89" i="107"/>
  <c r="J89" i="111" s="1"/>
  <c r="K89" i="107"/>
  <c r="K89" i="111" s="1"/>
  <c r="M89" i="107"/>
  <c r="M89" i="111" s="1"/>
  <c r="AC29" i="111" s="1"/>
  <c r="N89" i="107"/>
  <c r="N89" i="111" s="1"/>
  <c r="C90" i="107"/>
  <c r="D90" i="107"/>
  <c r="E90" i="107"/>
  <c r="F90" i="107"/>
  <c r="G90" i="107"/>
  <c r="H90" i="107"/>
  <c r="I90" i="107"/>
  <c r="J90" i="107"/>
  <c r="K90" i="107"/>
  <c r="K90" i="111" s="1"/>
  <c r="M90" i="107"/>
  <c r="N90" i="107"/>
  <c r="C91" i="107"/>
  <c r="D91" i="107"/>
  <c r="T30" i="107" s="1"/>
  <c r="E91" i="107"/>
  <c r="E91" i="111" s="1"/>
  <c r="F91" i="107"/>
  <c r="F91" i="111" s="1"/>
  <c r="G91" i="107"/>
  <c r="G91" i="111" s="1"/>
  <c r="H91" i="107"/>
  <c r="I91" i="107"/>
  <c r="J91" i="107"/>
  <c r="J91" i="111" s="1"/>
  <c r="K91" i="107"/>
  <c r="M91" i="107"/>
  <c r="M91" i="111" s="1"/>
  <c r="N91" i="107"/>
  <c r="N91" i="111" s="1"/>
  <c r="C92" i="107"/>
  <c r="D92" i="107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M92" i="107"/>
  <c r="M92" i="111" s="1"/>
  <c r="N92" i="107"/>
  <c r="N92" i="111" s="1"/>
  <c r="C93" i="107"/>
  <c r="D93" i="107"/>
  <c r="E93" i="107"/>
  <c r="E93" i="111" s="1"/>
  <c r="F93" i="107"/>
  <c r="G93" i="107"/>
  <c r="G93" i="111" s="1"/>
  <c r="H93" i="107"/>
  <c r="H93" i="111" s="1"/>
  <c r="I93" i="107"/>
  <c r="I93" i="111" s="1"/>
  <c r="J93" i="107"/>
  <c r="J93" i="111" s="1"/>
  <c r="K93" i="107"/>
  <c r="K93" i="111" s="1"/>
  <c r="M93" i="107"/>
  <c r="M93" i="111" s="1"/>
  <c r="N93" i="107"/>
  <c r="N93" i="111" s="1"/>
  <c r="C94" i="107"/>
  <c r="D94" i="107"/>
  <c r="T31" i="107" s="1"/>
  <c r="E94" i="107"/>
  <c r="E94" i="111" s="1"/>
  <c r="F94" i="107"/>
  <c r="G94" i="107"/>
  <c r="H94" i="107"/>
  <c r="I94" i="107"/>
  <c r="I94" i="111" s="1"/>
  <c r="J94" i="107"/>
  <c r="K94" i="107"/>
  <c r="M94" i="107"/>
  <c r="M94" i="111" s="1"/>
  <c r="N94" i="107"/>
  <c r="C95" i="107"/>
  <c r="D95" i="107"/>
  <c r="E95" i="107"/>
  <c r="E95" i="111" s="1"/>
  <c r="F95" i="107"/>
  <c r="F95" i="111" s="1"/>
  <c r="G95" i="107"/>
  <c r="G95" i="111" s="1"/>
  <c r="H95" i="107"/>
  <c r="X31" i="107" s="1"/>
  <c r="I95" i="107"/>
  <c r="I95" i="111" s="1"/>
  <c r="Y31" i="111" s="1"/>
  <c r="J95" i="107"/>
  <c r="J95" i="111" s="1"/>
  <c r="K95" i="107"/>
  <c r="K95" i="111" s="1"/>
  <c r="M95" i="107"/>
  <c r="M95" i="111" s="1"/>
  <c r="N95" i="107"/>
  <c r="N95" i="111" s="1"/>
  <c r="C96" i="107"/>
  <c r="D96" i="107"/>
  <c r="E96" i="107"/>
  <c r="E96" i="111" s="1"/>
  <c r="U31" i="111" s="1"/>
  <c r="F96" i="107"/>
  <c r="F96" i="111" s="1"/>
  <c r="G96" i="107"/>
  <c r="G96" i="111" s="1"/>
  <c r="H96" i="107"/>
  <c r="I96" i="107"/>
  <c r="I96" i="111" s="1"/>
  <c r="J96" i="107"/>
  <c r="J96" i="111" s="1"/>
  <c r="K96" i="107"/>
  <c r="K96" i="111" s="1"/>
  <c r="M96" i="107"/>
  <c r="M96" i="111" s="1"/>
  <c r="N96" i="107"/>
  <c r="N96" i="111" s="1"/>
  <c r="C97" i="107"/>
  <c r="D97" i="107"/>
  <c r="E97" i="107"/>
  <c r="E97" i="111" s="1"/>
  <c r="F97" i="107"/>
  <c r="F97" i="111" s="1"/>
  <c r="G97" i="107"/>
  <c r="G97" i="111" s="1"/>
  <c r="H97" i="107"/>
  <c r="I97" i="107"/>
  <c r="I97" i="111" s="1"/>
  <c r="J97" i="107"/>
  <c r="J97" i="111" s="1"/>
  <c r="K97" i="107"/>
  <c r="K97" i="111" s="1"/>
  <c r="M97" i="107"/>
  <c r="M97" i="111" s="1"/>
  <c r="N97" i="107"/>
  <c r="N97" i="111" s="1"/>
  <c r="C98" i="107"/>
  <c r="D98" i="107"/>
  <c r="E98" i="107"/>
  <c r="F98" i="107"/>
  <c r="G98" i="107"/>
  <c r="H98" i="107"/>
  <c r="X32" i="107" s="1"/>
  <c r="I98" i="107"/>
  <c r="J98" i="107"/>
  <c r="K98" i="107"/>
  <c r="K98" i="111" s="1"/>
  <c r="M98" i="107"/>
  <c r="N98" i="107"/>
  <c r="C99" i="107"/>
  <c r="D99" i="107"/>
  <c r="T32" i="107" s="1"/>
  <c r="E99" i="107"/>
  <c r="E99" i="111" s="1"/>
  <c r="F99" i="107"/>
  <c r="F99" i="111" s="1"/>
  <c r="G99" i="107"/>
  <c r="G99" i="111" s="1"/>
  <c r="H99" i="107"/>
  <c r="I99" i="107"/>
  <c r="I99" i="111" s="1"/>
  <c r="J99" i="107"/>
  <c r="J99" i="111" s="1"/>
  <c r="K99" i="107"/>
  <c r="K99" i="111" s="1"/>
  <c r="M99" i="107"/>
  <c r="M99" i="111" s="1"/>
  <c r="N99" i="107"/>
  <c r="N99" i="111" s="1"/>
  <c r="C100" i="107"/>
  <c r="D100" i="107"/>
  <c r="E100" i="107"/>
  <c r="E100" i="111" s="1"/>
  <c r="F100" i="107"/>
  <c r="F100" i="111" s="1"/>
  <c r="G100" i="107"/>
  <c r="G100" i="111" s="1"/>
  <c r="H100" i="107"/>
  <c r="I100" i="107"/>
  <c r="I100" i="111" s="1"/>
  <c r="J100" i="107"/>
  <c r="J100" i="111" s="1"/>
  <c r="K100" i="107"/>
  <c r="K100" i="111" s="1"/>
  <c r="M100" i="107"/>
  <c r="M100" i="111" s="1"/>
  <c r="N100" i="107"/>
  <c r="N100" i="111" s="1"/>
  <c r="C101" i="107"/>
  <c r="D101" i="107"/>
  <c r="E101" i="107"/>
  <c r="E101" i="111" s="1"/>
  <c r="F101" i="107"/>
  <c r="F101" i="111" s="1"/>
  <c r="G101" i="107"/>
  <c r="G101" i="111" s="1"/>
  <c r="H101" i="107"/>
  <c r="I101" i="107"/>
  <c r="I101" i="111" s="1"/>
  <c r="J101" i="107"/>
  <c r="J101" i="111" s="1"/>
  <c r="K101" i="107"/>
  <c r="K101" i="111" s="1"/>
  <c r="M101" i="107"/>
  <c r="M101" i="111" s="1"/>
  <c r="N101" i="107"/>
  <c r="N101" i="111" s="1"/>
  <c r="C102" i="107"/>
  <c r="D102" i="107"/>
  <c r="E102" i="107"/>
  <c r="E102" i="111" s="1"/>
  <c r="F102" i="107"/>
  <c r="G102" i="107"/>
  <c r="H102" i="107"/>
  <c r="X33" i="107" s="1"/>
  <c r="I102" i="107"/>
  <c r="J102" i="107"/>
  <c r="K102" i="107"/>
  <c r="M102" i="107"/>
  <c r="M102" i="111" s="1"/>
  <c r="N102" i="107"/>
  <c r="C103" i="107"/>
  <c r="D103" i="107"/>
  <c r="E103" i="107"/>
  <c r="E103" i="111" s="1"/>
  <c r="F103" i="107"/>
  <c r="F103" i="111" s="1"/>
  <c r="G103" i="107"/>
  <c r="G103" i="111" s="1"/>
  <c r="H103" i="107"/>
  <c r="I103" i="107"/>
  <c r="I103" i="111" s="1"/>
  <c r="J103" i="107"/>
  <c r="J103" i="111" s="1"/>
  <c r="K103" i="107"/>
  <c r="K103" i="111" s="1"/>
  <c r="M103" i="107"/>
  <c r="M103" i="111" s="1"/>
  <c r="N103" i="107"/>
  <c r="N103" i="111" s="1"/>
  <c r="C104" i="107"/>
  <c r="D104" i="107"/>
  <c r="D104" i="111" s="1"/>
  <c r="E104" i="107"/>
  <c r="E104" i="111" s="1"/>
  <c r="F104" i="107"/>
  <c r="F104" i="111" s="1"/>
  <c r="G104" i="107"/>
  <c r="G104" i="111" s="1"/>
  <c r="H104" i="107"/>
  <c r="I104" i="107"/>
  <c r="I104" i="111" s="1"/>
  <c r="J104" i="107"/>
  <c r="J104" i="111" s="1"/>
  <c r="K104" i="107"/>
  <c r="K104" i="111" s="1"/>
  <c r="M104" i="107"/>
  <c r="N104" i="107"/>
  <c r="N104" i="111" s="1"/>
  <c r="C105" i="107"/>
  <c r="D105" i="107"/>
  <c r="E105" i="107"/>
  <c r="E105" i="111" s="1"/>
  <c r="F105" i="107"/>
  <c r="F105" i="111" s="1"/>
  <c r="G105" i="107"/>
  <c r="G105" i="111" s="1"/>
  <c r="H105" i="107"/>
  <c r="I105" i="107"/>
  <c r="I105" i="111" s="1"/>
  <c r="J105" i="107"/>
  <c r="J105" i="111" s="1"/>
  <c r="K105" i="107"/>
  <c r="K105" i="111" s="1"/>
  <c r="M105" i="107"/>
  <c r="M105" i="111" s="1"/>
  <c r="N105" i="107"/>
  <c r="N105" i="111" s="1"/>
  <c r="D58" i="107"/>
  <c r="E58" i="107"/>
  <c r="F58" i="107"/>
  <c r="F58" i="111" s="1"/>
  <c r="G58" i="107"/>
  <c r="H58" i="107"/>
  <c r="H58" i="111" s="1"/>
  <c r="X22" i="111" s="1"/>
  <c r="I58" i="107"/>
  <c r="Y22" i="107" s="1"/>
  <c r="J58" i="107"/>
  <c r="K58" i="107"/>
  <c r="M58" i="107"/>
  <c r="M58" i="111" s="1"/>
  <c r="N58" i="107"/>
  <c r="N58" i="111" s="1"/>
  <c r="C58" i="107"/>
  <c r="U33" i="107"/>
  <c r="T33" i="107"/>
  <c r="X30" i="107"/>
  <c r="T28" i="107"/>
  <c r="T26" i="107"/>
  <c r="T24" i="107"/>
  <c r="AC23" i="107"/>
  <c r="AD33" i="108"/>
  <c r="W33" i="108"/>
  <c r="AC32" i="108"/>
  <c r="AA32" i="108"/>
  <c r="S32" i="108"/>
  <c r="AD31" i="108"/>
  <c r="AA31" i="108"/>
  <c r="W31" i="108"/>
  <c r="AA30" i="108"/>
  <c r="Y30" i="108"/>
  <c r="S30" i="108"/>
  <c r="Z29" i="108"/>
  <c r="W29" i="108"/>
  <c r="AA28" i="108"/>
  <c r="Y28" i="108"/>
  <c r="W28" i="108"/>
  <c r="S28" i="108"/>
  <c r="W27" i="108"/>
  <c r="V27" i="108"/>
  <c r="AA26" i="108"/>
  <c r="U26" i="108"/>
  <c r="S26" i="108"/>
  <c r="W25" i="108"/>
  <c r="V25" i="108"/>
  <c r="AA24" i="108"/>
  <c r="U24" i="108"/>
  <c r="S24" i="108"/>
  <c r="AD23" i="108"/>
  <c r="W23" i="108"/>
  <c r="V23" i="108"/>
  <c r="AC22" i="108"/>
  <c r="S22" i="108"/>
  <c r="AC31" i="111"/>
  <c r="W26" i="111"/>
  <c r="X23" i="111"/>
  <c r="AC25" i="111" l="1"/>
  <c r="X22" i="107"/>
  <c r="X24" i="107"/>
  <c r="X26" i="107"/>
  <c r="U31" i="107"/>
  <c r="AC23" i="111"/>
  <c r="D96" i="111"/>
  <c r="D88" i="111"/>
  <c r="T25" i="107"/>
  <c r="U29" i="107"/>
  <c r="W28" i="111"/>
  <c r="H105" i="111"/>
  <c r="H97" i="111"/>
  <c r="T23" i="107"/>
  <c r="U25" i="107"/>
  <c r="U27" i="107"/>
  <c r="Y31" i="107"/>
  <c r="U23" i="107"/>
  <c r="X25" i="107"/>
  <c r="Y29" i="107"/>
  <c r="AC31" i="107"/>
  <c r="U22" i="107"/>
  <c r="X23" i="107"/>
  <c r="Y25" i="107"/>
  <c r="Y27" i="107"/>
  <c r="AC29" i="107"/>
  <c r="T24" i="111"/>
  <c r="D100" i="111"/>
  <c r="W26" i="107"/>
  <c r="Y23" i="107"/>
  <c r="AC25" i="107"/>
  <c r="AC27" i="107"/>
  <c r="U33" i="111"/>
  <c r="AA32" i="111"/>
  <c r="H101" i="111"/>
  <c r="S22" i="107"/>
  <c r="C58" i="111"/>
  <c r="I102" i="111"/>
  <c r="Y33" i="111" s="1"/>
  <c r="Y33" i="107"/>
  <c r="AD32" i="107"/>
  <c r="N98" i="111"/>
  <c r="AD32" i="111" s="1"/>
  <c r="AD30" i="107"/>
  <c r="N90" i="111"/>
  <c r="AD30" i="111" s="1"/>
  <c r="AD29" i="107"/>
  <c r="N86" i="111"/>
  <c r="AD29" i="111" s="1"/>
  <c r="AD28" i="107"/>
  <c r="N82" i="111"/>
  <c r="AD28" i="111" s="1"/>
  <c r="AD27" i="107"/>
  <c r="N78" i="111"/>
  <c r="AD27" i="111" s="1"/>
  <c r="AD26" i="107"/>
  <c r="N74" i="111"/>
  <c r="AD26" i="111" s="1"/>
  <c r="AD25" i="107"/>
  <c r="N70" i="111"/>
  <c r="AD25" i="111" s="1"/>
  <c r="AD24" i="107"/>
  <c r="N66" i="111"/>
  <c r="AD24" i="111" s="1"/>
  <c r="C64" i="111"/>
  <c r="AD23" i="107"/>
  <c r="N62" i="111"/>
  <c r="AD23" i="111" s="1"/>
  <c r="W28" i="107"/>
  <c r="AA32" i="107"/>
  <c r="T33" i="108"/>
  <c r="T31" i="108"/>
  <c r="X29" i="108"/>
  <c r="X28" i="108"/>
  <c r="T28" i="108"/>
  <c r="D79" i="111"/>
  <c r="C104" i="111"/>
  <c r="J58" i="111"/>
  <c r="Z22" i="111" s="1"/>
  <c r="Z22" i="107"/>
  <c r="AD33" i="107"/>
  <c r="N102" i="111"/>
  <c r="AD33" i="111" s="1"/>
  <c r="C100" i="111"/>
  <c r="AD31" i="107"/>
  <c r="N94" i="111"/>
  <c r="AD31" i="111" s="1"/>
  <c r="C92" i="111"/>
  <c r="C88" i="111"/>
  <c r="C84" i="111"/>
  <c r="C80" i="111"/>
  <c r="C76" i="111"/>
  <c r="C72" i="111"/>
  <c r="C68" i="111"/>
  <c r="C60" i="111"/>
  <c r="F59" i="111"/>
  <c r="V22" i="111" s="1"/>
  <c r="C96" i="111"/>
  <c r="S30" i="107"/>
  <c r="K58" i="111"/>
  <c r="G58" i="111"/>
  <c r="M104" i="111"/>
  <c r="AC33" i="111" s="1"/>
  <c r="AC33" i="107"/>
  <c r="C103" i="111"/>
  <c r="Z33" i="107"/>
  <c r="J102" i="111"/>
  <c r="Z33" i="111" s="1"/>
  <c r="V33" i="107"/>
  <c r="F102" i="111"/>
  <c r="V33" i="111" s="1"/>
  <c r="C99" i="111"/>
  <c r="S32" i="107"/>
  <c r="Z32" i="107"/>
  <c r="J98" i="111"/>
  <c r="Z32" i="111" s="1"/>
  <c r="V32" i="107"/>
  <c r="F98" i="111"/>
  <c r="V32" i="111" s="1"/>
  <c r="C95" i="111"/>
  <c r="Z31" i="107"/>
  <c r="J94" i="111"/>
  <c r="Z31" i="111" s="1"/>
  <c r="V31" i="107"/>
  <c r="F94" i="111"/>
  <c r="V31" i="111" s="1"/>
  <c r="K91" i="111"/>
  <c r="AA30" i="111" s="1"/>
  <c r="AA30" i="107"/>
  <c r="C91" i="111"/>
  <c r="Z30" i="107"/>
  <c r="J90" i="111"/>
  <c r="Z30" i="111" s="1"/>
  <c r="V30" i="107"/>
  <c r="F90" i="111"/>
  <c r="V30" i="111" s="1"/>
  <c r="C87" i="111"/>
  <c r="Z29" i="107"/>
  <c r="J86" i="111"/>
  <c r="Z29" i="111" s="1"/>
  <c r="V29" i="107"/>
  <c r="F86" i="111"/>
  <c r="V29" i="111" s="1"/>
  <c r="K83" i="111"/>
  <c r="AA28" i="111" s="1"/>
  <c r="AA28" i="107"/>
  <c r="C83" i="111"/>
  <c r="S28" i="107"/>
  <c r="Z28" i="107"/>
  <c r="J82" i="111"/>
  <c r="Z28" i="111" s="1"/>
  <c r="V28" i="107"/>
  <c r="F82" i="111"/>
  <c r="V28" i="111" s="1"/>
  <c r="C79" i="111"/>
  <c r="Z27" i="107"/>
  <c r="J78" i="111"/>
  <c r="Z27" i="111" s="1"/>
  <c r="V27" i="107"/>
  <c r="F78" i="111"/>
  <c r="V27" i="111" s="1"/>
  <c r="K75" i="111"/>
  <c r="AA26" i="111" s="1"/>
  <c r="AA26" i="107"/>
  <c r="C75" i="111"/>
  <c r="S26" i="107"/>
  <c r="Z26" i="107"/>
  <c r="J74" i="111"/>
  <c r="Z26" i="111" s="1"/>
  <c r="V26" i="107"/>
  <c r="F74" i="111"/>
  <c r="V26" i="111" s="1"/>
  <c r="C71" i="111"/>
  <c r="Z25" i="107"/>
  <c r="J70" i="111"/>
  <c r="Z25" i="111" s="1"/>
  <c r="V25" i="107"/>
  <c r="F70" i="111"/>
  <c r="V25" i="111" s="1"/>
  <c r="G67" i="111"/>
  <c r="W24" i="111" s="1"/>
  <c r="W24" i="107"/>
  <c r="Z24" i="107"/>
  <c r="J66" i="111"/>
  <c r="Z24" i="111" s="1"/>
  <c r="V24" i="107"/>
  <c r="F66" i="111"/>
  <c r="V24" i="111" s="1"/>
  <c r="C63" i="111"/>
  <c r="Z23" i="107"/>
  <c r="J62" i="111"/>
  <c r="Z23" i="111" s="1"/>
  <c r="V23" i="107"/>
  <c r="F62" i="111"/>
  <c r="V23" i="111" s="1"/>
  <c r="C59" i="111"/>
  <c r="D86" i="111"/>
  <c r="E58" i="111"/>
  <c r="U22" i="111" s="1"/>
  <c r="C105" i="111"/>
  <c r="D102" i="111"/>
  <c r="C101" i="111"/>
  <c r="D98" i="111"/>
  <c r="C97" i="111"/>
  <c r="D94" i="111"/>
  <c r="C93" i="111"/>
  <c r="C89" i="111"/>
  <c r="C85" i="111"/>
  <c r="C81" i="111"/>
  <c r="C77" i="111"/>
  <c r="C73" i="111"/>
  <c r="C69" i="111"/>
  <c r="C65" i="111"/>
  <c r="C61" i="111"/>
  <c r="AD22" i="107"/>
  <c r="D58" i="111"/>
  <c r="T22" i="111" s="1"/>
  <c r="T22" i="107"/>
  <c r="H103" i="111"/>
  <c r="AA33" i="107"/>
  <c r="W33" i="107"/>
  <c r="G102" i="111"/>
  <c r="W33" i="111" s="1"/>
  <c r="S33" i="107"/>
  <c r="C102" i="111"/>
  <c r="H99" i="111"/>
  <c r="G98" i="111"/>
  <c r="W32" i="111" s="1"/>
  <c r="W32" i="107"/>
  <c r="C98" i="111"/>
  <c r="H95" i="111"/>
  <c r="AA31" i="107"/>
  <c r="W31" i="107"/>
  <c r="G94" i="111"/>
  <c r="W31" i="111" s="1"/>
  <c r="S31" i="107"/>
  <c r="C94" i="111"/>
  <c r="G90" i="111"/>
  <c r="W30" i="111" s="1"/>
  <c r="W30" i="107"/>
  <c r="C90" i="111"/>
  <c r="D87" i="111"/>
  <c r="AA29" i="107"/>
  <c r="K86" i="111"/>
  <c r="AA29" i="111" s="1"/>
  <c r="W29" i="107"/>
  <c r="G86" i="111"/>
  <c r="W29" i="111" s="1"/>
  <c r="S29" i="107"/>
  <c r="C86" i="111"/>
  <c r="C82" i="111"/>
  <c r="AA27" i="107"/>
  <c r="K78" i="111"/>
  <c r="AA27" i="111" s="1"/>
  <c r="W27" i="107"/>
  <c r="G78" i="111"/>
  <c r="W27" i="111" s="1"/>
  <c r="S27" i="107"/>
  <c r="C78" i="111"/>
  <c r="C74" i="111"/>
  <c r="AA25" i="107"/>
  <c r="K70" i="111"/>
  <c r="AA25" i="111" s="1"/>
  <c r="W25" i="107"/>
  <c r="G70" i="111"/>
  <c r="W25" i="111" s="1"/>
  <c r="S25" i="107"/>
  <c r="C70" i="111"/>
  <c r="K66" i="111"/>
  <c r="AA24" i="111" s="1"/>
  <c r="AA24" i="107"/>
  <c r="C66" i="111"/>
  <c r="S24" i="107"/>
  <c r="AA23" i="107"/>
  <c r="K62" i="111"/>
  <c r="AA23" i="111" s="1"/>
  <c r="W23" i="107"/>
  <c r="G62" i="111"/>
  <c r="W23" i="111" s="1"/>
  <c r="S23" i="107"/>
  <c r="C62" i="111"/>
  <c r="K102" i="111"/>
  <c r="AA33" i="111" s="1"/>
  <c r="K94" i="111"/>
  <c r="AA31" i="111" s="1"/>
  <c r="N59" i="111"/>
  <c r="AD22" i="111" s="1"/>
  <c r="AC32" i="107"/>
  <c r="M98" i="111"/>
  <c r="AC32" i="111" s="1"/>
  <c r="Y32" i="107"/>
  <c r="I98" i="111"/>
  <c r="Y32" i="111" s="1"/>
  <c r="U32" i="107"/>
  <c r="E98" i="111"/>
  <c r="U32" i="111" s="1"/>
  <c r="AC30" i="107"/>
  <c r="M90" i="111"/>
  <c r="AC30" i="111" s="1"/>
  <c r="Y30" i="107"/>
  <c r="I90" i="111"/>
  <c r="Y30" i="111" s="1"/>
  <c r="U30" i="107"/>
  <c r="E90" i="111"/>
  <c r="U30" i="111" s="1"/>
  <c r="AC28" i="107"/>
  <c r="M82" i="111"/>
  <c r="AC28" i="111" s="1"/>
  <c r="Y28" i="107"/>
  <c r="U28" i="107"/>
  <c r="E82" i="111"/>
  <c r="U28" i="111" s="1"/>
  <c r="AC26" i="107"/>
  <c r="M74" i="111"/>
  <c r="AC26" i="111" s="1"/>
  <c r="Y26" i="107"/>
  <c r="I74" i="111"/>
  <c r="Y26" i="111" s="1"/>
  <c r="U26" i="107"/>
  <c r="AC24" i="107"/>
  <c r="M66" i="111"/>
  <c r="AC24" i="111" s="1"/>
  <c r="Y24" i="107"/>
  <c r="I66" i="111"/>
  <c r="Y24" i="111" s="1"/>
  <c r="U24" i="107"/>
  <c r="E66" i="111"/>
  <c r="U24" i="111" s="1"/>
  <c r="M59" i="111"/>
  <c r="I58" i="111"/>
  <c r="Y22" i="111" s="1"/>
  <c r="D105" i="111"/>
  <c r="H104" i="111"/>
  <c r="D103" i="111"/>
  <c r="H102" i="111"/>
  <c r="D101" i="111"/>
  <c r="H100" i="111"/>
  <c r="D99" i="111"/>
  <c r="H98" i="111"/>
  <c r="X32" i="111" s="1"/>
  <c r="D97" i="111"/>
  <c r="H96" i="111"/>
  <c r="D95" i="111"/>
  <c r="H94" i="111"/>
  <c r="D93" i="111"/>
  <c r="D92" i="111"/>
  <c r="H91" i="111"/>
  <c r="D91" i="111"/>
  <c r="H90" i="111"/>
  <c r="D90" i="111"/>
  <c r="H89" i="111"/>
  <c r="D89" i="111"/>
  <c r="H88" i="111"/>
  <c r="H87" i="111"/>
  <c r="H86" i="111"/>
  <c r="X29" i="111" s="1"/>
  <c r="H85" i="111"/>
  <c r="H84" i="111"/>
  <c r="D84" i="111"/>
  <c r="H83" i="111"/>
  <c r="D83" i="111"/>
  <c r="H82" i="111"/>
  <c r="D82" i="111"/>
  <c r="H81" i="111"/>
  <c r="D81" i="111"/>
  <c r="H80" i="111"/>
  <c r="D80" i="111"/>
  <c r="H79" i="111"/>
  <c r="H78" i="111"/>
  <c r="D78" i="111"/>
  <c r="I82" i="111"/>
  <c r="Y28" i="111" s="1"/>
  <c r="E74" i="111"/>
  <c r="U26" i="111" s="1"/>
  <c r="AC33" i="108"/>
  <c r="Y33" i="108"/>
  <c r="U33" i="108"/>
  <c r="AC31" i="108"/>
  <c r="Y31" i="108"/>
  <c r="U31" i="108"/>
  <c r="AC29" i="108"/>
  <c r="Y29" i="108"/>
  <c r="U29" i="108"/>
  <c r="AC27" i="108"/>
  <c r="Y27" i="108"/>
  <c r="U27" i="108"/>
  <c r="AC25" i="108"/>
  <c r="Y25" i="108"/>
  <c r="U25" i="108"/>
  <c r="AC23" i="108"/>
  <c r="Y23" i="108"/>
  <c r="U23" i="108"/>
  <c r="U22" i="108"/>
  <c r="AA22" i="108"/>
  <c r="W22" i="108"/>
  <c r="AD32" i="108"/>
  <c r="Z32" i="108"/>
  <c r="V32" i="108"/>
  <c r="AD30" i="108"/>
  <c r="Z30" i="108"/>
  <c r="V30" i="108"/>
  <c r="AD28" i="108"/>
  <c r="Z28" i="108"/>
  <c r="V28" i="108"/>
  <c r="AD26" i="108"/>
  <c r="Z26" i="108"/>
  <c r="V26" i="108"/>
  <c r="AD24" i="108"/>
  <c r="Z24" i="108"/>
  <c r="V24" i="108"/>
  <c r="Z22" i="108"/>
  <c r="W22" i="111"/>
  <c r="AD22" i="108"/>
  <c r="Y22" i="108"/>
  <c r="AC22" i="107"/>
  <c r="V22" i="107"/>
  <c r="W22" i="107"/>
  <c r="AA22" i="107"/>
  <c r="X27" i="111" l="1"/>
  <c r="X31" i="111"/>
  <c r="X33" i="111"/>
  <c r="S24" i="111"/>
  <c r="S27" i="111"/>
  <c r="S28" i="111"/>
  <c r="S33" i="111"/>
  <c r="S29" i="111"/>
  <c r="S31" i="111"/>
  <c r="T33" i="111"/>
  <c r="AC22" i="111"/>
  <c r="T28" i="111"/>
  <c r="T30" i="111"/>
  <c r="S30" i="111"/>
  <c r="T32" i="111"/>
  <c r="S22" i="111"/>
  <c r="S32" i="111"/>
  <c r="T29" i="111"/>
  <c r="AA22" i="111"/>
  <c r="T27" i="111"/>
  <c r="X28" i="111"/>
  <c r="X30" i="111"/>
  <c r="S23" i="111"/>
  <c r="S25" i="111"/>
  <c r="S26" i="111"/>
  <c r="T31" i="111"/>
  <c r="K11" i="100"/>
  <c r="K12" i="100"/>
  <c r="K13" i="100"/>
  <c r="K14" i="100"/>
  <c r="K15" i="100"/>
  <c r="K16" i="100"/>
  <c r="K17" i="100"/>
  <c r="K18" i="100"/>
  <c r="K19" i="100"/>
  <c r="K20" i="100"/>
  <c r="K21" i="100"/>
  <c r="K22" i="100"/>
  <c r="K23" i="100"/>
  <c r="K24" i="100"/>
  <c r="K25" i="100"/>
  <c r="K26" i="100"/>
  <c r="K27" i="100"/>
  <c r="K28" i="100"/>
  <c r="K29" i="100"/>
  <c r="K30" i="100"/>
  <c r="K31" i="100"/>
  <c r="K32" i="100"/>
  <c r="K33" i="100"/>
  <c r="K34" i="100"/>
  <c r="K35" i="100"/>
  <c r="K36" i="100"/>
  <c r="K37" i="100"/>
  <c r="K38" i="100"/>
  <c r="K39" i="100"/>
  <c r="K40" i="100"/>
  <c r="K41" i="100"/>
  <c r="K42" i="100"/>
  <c r="K43" i="100"/>
  <c r="K44" i="100"/>
  <c r="K45" i="100"/>
  <c r="K46" i="100"/>
  <c r="K47" i="100"/>
  <c r="K48" i="100"/>
  <c r="K49" i="100"/>
  <c r="K50" i="100"/>
  <c r="K51" i="100"/>
  <c r="K52" i="100"/>
  <c r="K53" i="100"/>
  <c r="K54" i="100"/>
  <c r="K55" i="100"/>
  <c r="K56" i="100"/>
  <c r="K57" i="100"/>
  <c r="K10" i="100"/>
  <c r="L11" i="99"/>
  <c r="L12" i="99"/>
  <c r="L13" i="99"/>
  <c r="L14" i="99"/>
  <c r="L15" i="99"/>
  <c r="L16" i="99"/>
  <c r="L17" i="99"/>
  <c r="L18" i="99"/>
  <c r="L19" i="99"/>
  <c r="L20" i="99"/>
  <c r="L21" i="99"/>
  <c r="L22" i="99"/>
  <c r="L23" i="99"/>
  <c r="L24" i="99"/>
  <c r="L25" i="99"/>
  <c r="L26" i="99"/>
  <c r="L27" i="99"/>
  <c r="L28" i="99"/>
  <c r="L29" i="99"/>
  <c r="L30" i="99"/>
  <c r="L31" i="99"/>
  <c r="L32" i="99"/>
  <c r="L33" i="99"/>
  <c r="L34" i="99"/>
  <c r="L35" i="99"/>
  <c r="L36" i="99"/>
  <c r="L37" i="99"/>
  <c r="L38" i="99"/>
  <c r="L39" i="99"/>
  <c r="L40" i="99"/>
  <c r="L41" i="99"/>
  <c r="L42" i="99"/>
  <c r="L43" i="99"/>
  <c r="L44" i="99"/>
  <c r="L45" i="99"/>
  <c r="L46" i="99"/>
  <c r="L47" i="99"/>
  <c r="L48" i="99"/>
  <c r="L49" i="99"/>
  <c r="L50" i="99"/>
  <c r="L51" i="99"/>
  <c r="L52" i="99"/>
  <c r="L53" i="99"/>
  <c r="L54" i="99"/>
  <c r="L55" i="99"/>
  <c r="L56" i="99"/>
  <c r="L57" i="99"/>
  <c r="L10" i="99"/>
  <c r="L11" i="98"/>
  <c r="L12" i="98"/>
  <c r="L13" i="98"/>
  <c r="L14" i="98"/>
  <c r="L15" i="98"/>
  <c r="L16" i="98"/>
  <c r="L17" i="98"/>
  <c r="L18" i="98"/>
  <c r="L19" i="98"/>
  <c r="L20" i="98"/>
  <c r="L21" i="98"/>
  <c r="L22" i="98"/>
  <c r="L23" i="98"/>
  <c r="L24" i="98"/>
  <c r="L25" i="98"/>
  <c r="L26" i="98"/>
  <c r="L27" i="98"/>
  <c r="L28" i="98"/>
  <c r="L29" i="98"/>
  <c r="L30" i="98"/>
  <c r="L31" i="98"/>
  <c r="L32" i="98"/>
  <c r="L33" i="98"/>
  <c r="L34" i="98"/>
  <c r="L35" i="98"/>
  <c r="L36" i="98"/>
  <c r="L37" i="98"/>
  <c r="L38" i="98"/>
  <c r="L39" i="98"/>
  <c r="L40" i="98"/>
  <c r="L41" i="98"/>
  <c r="L42" i="98"/>
  <c r="L43" i="98"/>
  <c r="L44" i="98"/>
  <c r="L45" i="98"/>
  <c r="L46" i="98"/>
  <c r="L47" i="98"/>
  <c r="L48" i="98"/>
  <c r="L49" i="98"/>
  <c r="L50" i="98"/>
  <c r="L51" i="98"/>
  <c r="L52" i="98"/>
  <c r="L53" i="98"/>
  <c r="L54" i="98"/>
  <c r="L55" i="98"/>
  <c r="L56" i="98"/>
  <c r="L57" i="98"/>
  <c r="L10" i="98"/>
  <c r="L11" i="97"/>
  <c r="L12" i="97"/>
  <c r="L13" i="97"/>
  <c r="L14" i="97"/>
  <c r="L15" i="97"/>
  <c r="L16" i="97"/>
  <c r="L17" i="97"/>
  <c r="L18" i="97"/>
  <c r="L19" i="97"/>
  <c r="L20" i="97"/>
  <c r="L21" i="97"/>
  <c r="L22" i="97"/>
  <c r="L23" i="97"/>
  <c r="L24" i="97"/>
  <c r="L25" i="97"/>
  <c r="L26" i="97"/>
  <c r="L27" i="97"/>
  <c r="L28" i="97"/>
  <c r="L29" i="97"/>
  <c r="L30" i="97"/>
  <c r="L31" i="97"/>
  <c r="L32" i="97"/>
  <c r="L33" i="97"/>
  <c r="L34" i="97"/>
  <c r="L35" i="97"/>
  <c r="L36" i="97"/>
  <c r="L37" i="97"/>
  <c r="L38" i="97"/>
  <c r="L39" i="97"/>
  <c r="L40" i="97"/>
  <c r="L41" i="97"/>
  <c r="L42" i="97"/>
  <c r="L43" i="97"/>
  <c r="L44" i="97"/>
  <c r="L45" i="97"/>
  <c r="L46" i="97"/>
  <c r="L47" i="97"/>
  <c r="L48" i="97"/>
  <c r="L49" i="97"/>
  <c r="L50" i="97"/>
  <c r="L51" i="97"/>
  <c r="L52" i="97"/>
  <c r="L53" i="97"/>
  <c r="L54" i="97"/>
  <c r="L55" i="97"/>
  <c r="L56" i="97"/>
  <c r="L57" i="97"/>
  <c r="L10" i="97"/>
  <c r="L11" i="104"/>
  <c r="L12" i="104"/>
  <c r="L13" i="104"/>
  <c r="L14" i="104"/>
  <c r="L15" i="104"/>
  <c r="L16" i="104"/>
  <c r="L17" i="104"/>
  <c r="L18" i="104"/>
  <c r="L19" i="104"/>
  <c r="L20" i="104"/>
  <c r="L21" i="104"/>
  <c r="L22" i="104"/>
  <c r="L23" i="104"/>
  <c r="L24" i="104"/>
  <c r="L25" i="104"/>
  <c r="L26" i="104"/>
  <c r="L27" i="104"/>
  <c r="L28" i="104"/>
  <c r="L29" i="104"/>
  <c r="L30" i="104"/>
  <c r="L31" i="104"/>
  <c r="L32" i="104"/>
  <c r="L33" i="104"/>
  <c r="L34" i="104"/>
  <c r="L35" i="104"/>
  <c r="L36" i="104"/>
  <c r="L37" i="104"/>
  <c r="L38" i="104"/>
  <c r="L39" i="104"/>
  <c r="L40" i="104"/>
  <c r="L41" i="104"/>
  <c r="L42" i="104"/>
  <c r="L43" i="104"/>
  <c r="L44" i="104"/>
  <c r="L45" i="104"/>
  <c r="L46" i="104"/>
  <c r="L47" i="104"/>
  <c r="L48" i="104"/>
  <c r="L49" i="104"/>
  <c r="L50" i="104"/>
  <c r="L51" i="104"/>
  <c r="L52" i="104"/>
  <c r="L53" i="104"/>
  <c r="L54" i="104"/>
  <c r="L55" i="104"/>
  <c r="L56" i="104"/>
  <c r="L57" i="104"/>
  <c r="L10" i="104"/>
  <c r="L11" i="103"/>
  <c r="L12" i="103"/>
  <c r="L13" i="103"/>
  <c r="L14" i="103"/>
  <c r="L15" i="103"/>
  <c r="L16" i="103"/>
  <c r="L17" i="103"/>
  <c r="L18" i="103"/>
  <c r="L19" i="103"/>
  <c r="L20" i="103"/>
  <c r="L21" i="103"/>
  <c r="L22" i="103"/>
  <c r="L23" i="103"/>
  <c r="L24" i="103"/>
  <c r="L25" i="103"/>
  <c r="L26" i="103"/>
  <c r="L27" i="103"/>
  <c r="L28" i="103"/>
  <c r="L29" i="103"/>
  <c r="L30" i="103"/>
  <c r="L31" i="103"/>
  <c r="L32" i="103"/>
  <c r="L33" i="103"/>
  <c r="L34" i="103"/>
  <c r="L35" i="103"/>
  <c r="L36" i="103"/>
  <c r="L37" i="103"/>
  <c r="L38" i="103"/>
  <c r="L39" i="103"/>
  <c r="L40" i="103"/>
  <c r="L41" i="103"/>
  <c r="L42" i="103"/>
  <c r="L43" i="103"/>
  <c r="L44" i="103"/>
  <c r="L45" i="103"/>
  <c r="L46" i="103"/>
  <c r="L47" i="103"/>
  <c r="L48" i="103"/>
  <c r="L49" i="103"/>
  <c r="L50" i="103"/>
  <c r="L51" i="103"/>
  <c r="L52" i="103"/>
  <c r="L53" i="103"/>
  <c r="L54" i="103"/>
  <c r="L55" i="103"/>
  <c r="L56" i="103"/>
  <c r="L57" i="103"/>
  <c r="L10" i="103"/>
  <c r="L11" i="110"/>
  <c r="L12" i="110"/>
  <c r="L13" i="110"/>
  <c r="L14" i="110"/>
  <c r="L15" i="110"/>
  <c r="L16" i="110"/>
  <c r="L17" i="110"/>
  <c r="L18" i="110"/>
  <c r="L19" i="110"/>
  <c r="L20" i="110"/>
  <c r="L21" i="110"/>
  <c r="L22" i="110"/>
  <c r="L23" i="110"/>
  <c r="L24" i="110"/>
  <c r="L25" i="110"/>
  <c r="L26" i="110"/>
  <c r="L27" i="110"/>
  <c r="L28" i="110"/>
  <c r="L29" i="110"/>
  <c r="L30" i="110"/>
  <c r="L31" i="110"/>
  <c r="L32" i="110"/>
  <c r="L33" i="110"/>
  <c r="L34" i="110"/>
  <c r="L35" i="110"/>
  <c r="L36" i="110"/>
  <c r="L37" i="110"/>
  <c r="L38" i="110"/>
  <c r="L39" i="110"/>
  <c r="L40" i="110"/>
  <c r="L41" i="110"/>
  <c r="L42" i="110"/>
  <c r="L43" i="110"/>
  <c r="L44" i="110"/>
  <c r="L45" i="110"/>
  <c r="L46" i="110"/>
  <c r="L47" i="110"/>
  <c r="L48" i="110"/>
  <c r="L49" i="110"/>
  <c r="L50" i="110"/>
  <c r="L51" i="110"/>
  <c r="L52" i="110"/>
  <c r="L53" i="110"/>
  <c r="L54" i="110"/>
  <c r="L55" i="110"/>
  <c r="L56" i="110"/>
  <c r="L57" i="110"/>
  <c r="L58" i="110"/>
  <c r="L59" i="110"/>
  <c r="L60" i="110"/>
  <c r="L61" i="110"/>
  <c r="L62" i="110"/>
  <c r="L63" i="110"/>
  <c r="L64" i="110"/>
  <c r="L65" i="110"/>
  <c r="L66" i="110"/>
  <c r="L67" i="110"/>
  <c r="L68" i="110"/>
  <c r="L69" i="110"/>
  <c r="L70" i="110"/>
  <c r="L71" i="110"/>
  <c r="L72" i="110"/>
  <c r="L73" i="110"/>
  <c r="L74" i="110"/>
  <c r="L75" i="110"/>
  <c r="L76" i="110"/>
  <c r="L77" i="110"/>
  <c r="L78" i="110"/>
  <c r="L79" i="110"/>
  <c r="L80" i="110"/>
  <c r="L81" i="110"/>
  <c r="L82" i="110"/>
  <c r="L83" i="110"/>
  <c r="L84" i="110"/>
  <c r="L85" i="110"/>
  <c r="L86" i="110"/>
  <c r="L87" i="110"/>
  <c r="L88" i="110"/>
  <c r="L89" i="110"/>
  <c r="L90" i="110"/>
  <c r="L91" i="110"/>
  <c r="L92" i="110"/>
  <c r="L93" i="110"/>
  <c r="L94" i="110"/>
  <c r="L95" i="110"/>
  <c r="L96" i="110"/>
  <c r="L97" i="110"/>
  <c r="L98" i="110"/>
  <c r="L99" i="110"/>
  <c r="L100" i="110"/>
  <c r="L101" i="110"/>
  <c r="L102" i="110"/>
  <c r="L103" i="110"/>
  <c r="L104" i="110"/>
  <c r="L105" i="110"/>
  <c r="L10" i="110"/>
  <c r="L11" i="105"/>
  <c r="L12" i="105"/>
  <c r="L13" i="105"/>
  <c r="L14" i="105"/>
  <c r="L15" i="105"/>
  <c r="L16" i="105"/>
  <c r="L17" i="105"/>
  <c r="L18" i="105"/>
  <c r="L19" i="105"/>
  <c r="L20" i="105"/>
  <c r="L21" i="105"/>
  <c r="L22" i="105"/>
  <c r="L23" i="105"/>
  <c r="L24" i="105"/>
  <c r="L25" i="105"/>
  <c r="L26" i="105"/>
  <c r="L27" i="105"/>
  <c r="L28" i="105"/>
  <c r="L29" i="105"/>
  <c r="L30" i="105"/>
  <c r="L31" i="105"/>
  <c r="L32" i="105"/>
  <c r="L33" i="105"/>
  <c r="L34" i="105"/>
  <c r="L35" i="105"/>
  <c r="L36" i="105"/>
  <c r="L37" i="105"/>
  <c r="L38" i="105"/>
  <c r="L39" i="105"/>
  <c r="L40" i="105"/>
  <c r="L41" i="105"/>
  <c r="L42" i="105"/>
  <c r="L43" i="105"/>
  <c r="L44" i="105"/>
  <c r="L45" i="105"/>
  <c r="L46" i="105"/>
  <c r="L47" i="105"/>
  <c r="L48" i="105"/>
  <c r="L49" i="105"/>
  <c r="L50" i="105"/>
  <c r="L51" i="105"/>
  <c r="L52" i="105"/>
  <c r="L53" i="105"/>
  <c r="L54" i="105"/>
  <c r="L55" i="105"/>
  <c r="L56" i="105"/>
  <c r="L57" i="105"/>
  <c r="L58" i="105"/>
  <c r="L59" i="105"/>
  <c r="L60" i="105"/>
  <c r="L61" i="105"/>
  <c r="L62" i="105"/>
  <c r="L63" i="105"/>
  <c r="L64" i="105"/>
  <c r="L65" i="105"/>
  <c r="L66" i="105"/>
  <c r="L67" i="105"/>
  <c r="L68" i="105"/>
  <c r="L69" i="105"/>
  <c r="L70" i="105"/>
  <c r="L71" i="105"/>
  <c r="L72" i="105"/>
  <c r="L73" i="105"/>
  <c r="L74" i="105"/>
  <c r="L75" i="105"/>
  <c r="L76" i="105"/>
  <c r="L77" i="105"/>
  <c r="L78" i="105"/>
  <c r="L79" i="105"/>
  <c r="L80" i="105"/>
  <c r="L81" i="105"/>
  <c r="L82" i="105"/>
  <c r="L83" i="105"/>
  <c r="L84" i="105"/>
  <c r="L85" i="105"/>
  <c r="L86" i="105"/>
  <c r="L87" i="105"/>
  <c r="L88" i="105"/>
  <c r="L89" i="105"/>
  <c r="L90" i="105"/>
  <c r="L91" i="105"/>
  <c r="L92" i="105"/>
  <c r="L93" i="105"/>
  <c r="L94" i="105"/>
  <c r="L95" i="105"/>
  <c r="L96" i="105"/>
  <c r="L97" i="105"/>
  <c r="L98" i="105"/>
  <c r="L99" i="105"/>
  <c r="L100" i="105"/>
  <c r="L101" i="105"/>
  <c r="L102" i="105"/>
  <c r="L103" i="105"/>
  <c r="L104" i="105"/>
  <c r="L105" i="105"/>
  <c r="L10" i="105"/>
  <c r="L11" i="109"/>
  <c r="L12" i="109"/>
  <c r="L13" i="109"/>
  <c r="L14" i="109"/>
  <c r="L15" i="109"/>
  <c r="L16" i="109"/>
  <c r="L17" i="109"/>
  <c r="L18" i="109"/>
  <c r="L19" i="109"/>
  <c r="L20" i="109"/>
  <c r="L21" i="109"/>
  <c r="L22" i="109"/>
  <c r="L23" i="109"/>
  <c r="L24" i="109"/>
  <c r="L25" i="109"/>
  <c r="L26" i="109"/>
  <c r="L27" i="109"/>
  <c r="L28" i="109"/>
  <c r="L29" i="109"/>
  <c r="L30" i="109"/>
  <c r="L31" i="109"/>
  <c r="L32" i="109"/>
  <c r="L33" i="109"/>
  <c r="L34" i="109"/>
  <c r="L35" i="109"/>
  <c r="L36" i="109"/>
  <c r="L37" i="109"/>
  <c r="L38" i="109"/>
  <c r="L39" i="109"/>
  <c r="L40" i="109"/>
  <c r="L41" i="109"/>
  <c r="L42" i="109"/>
  <c r="L43" i="109"/>
  <c r="L44" i="109"/>
  <c r="L45" i="109"/>
  <c r="L46" i="109"/>
  <c r="L47" i="109"/>
  <c r="L48" i="109"/>
  <c r="L49" i="109"/>
  <c r="L50" i="109"/>
  <c r="L51" i="109"/>
  <c r="L52" i="109"/>
  <c r="L53" i="109"/>
  <c r="L54" i="109"/>
  <c r="L55" i="109"/>
  <c r="L56" i="109"/>
  <c r="L57" i="109"/>
  <c r="L58" i="109"/>
  <c r="L58" i="108" s="1"/>
  <c r="L59" i="109"/>
  <c r="L59" i="108" s="1"/>
  <c r="L60" i="109"/>
  <c r="L60" i="108" s="1"/>
  <c r="L61" i="109"/>
  <c r="L61" i="108" s="1"/>
  <c r="L62" i="109"/>
  <c r="L62" i="108" s="1"/>
  <c r="L63" i="109"/>
  <c r="L63" i="108" s="1"/>
  <c r="L64" i="109"/>
  <c r="L64" i="108" s="1"/>
  <c r="L65" i="109"/>
  <c r="L65" i="108" s="1"/>
  <c r="L66" i="109"/>
  <c r="L66" i="108" s="1"/>
  <c r="L67" i="109"/>
  <c r="L67" i="108" s="1"/>
  <c r="L68" i="109"/>
  <c r="L68" i="108" s="1"/>
  <c r="L69" i="109"/>
  <c r="L69" i="108" s="1"/>
  <c r="L70" i="109"/>
  <c r="L70" i="108" s="1"/>
  <c r="L71" i="109"/>
  <c r="L71" i="108" s="1"/>
  <c r="L72" i="109"/>
  <c r="L72" i="108" s="1"/>
  <c r="L73" i="109"/>
  <c r="L73" i="108" s="1"/>
  <c r="L74" i="109"/>
  <c r="L74" i="108" s="1"/>
  <c r="L75" i="109"/>
  <c r="L75" i="108" s="1"/>
  <c r="L76" i="109"/>
  <c r="L76" i="108" s="1"/>
  <c r="L77" i="109"/>
  <c r="L77" i="108" s="1"/>
  <c r="L78" i="109"/>
  <c r="L78" i="108" s="1"/>
  <c r="L79" i="109"/>
  <c r="L79" i="108" s="1"/>
  <c r="L80" i="109"/>
  <c r="L80" i="108" s="1"/>
  <c r="L81" i="109"/>
  <c r="L81" i="108" s="1"/>
  <c r="L82" i="109"/>
  <c r="L82" i="108" s="1"/>
  <c r="L83" i="109"/>
  <c r="L83" i="108" s="1"/>
  <c r="L84" i="109"/>
  <c r="L84" i="108" s="1"/>
  <c r="L85" i="109"/>
  <c r="L85" i="108" s="1"/>
  <c r="L86" i="109"/>
  <c r="L86" i="108" s="1"/>
  <c r="L87" i="109"/>
  <c r="L87" i="108" s="1"/>
  <c r="L88" i="109"/>
  <c r="L88" i="108" s="1"/>
  <c r="L89" i="109"/>
  <c r="L89" i="108" s="1"/>
  <c r="L90" i="109"/>
  <c r="L90" i="108" s="1"/>
  <c r="L91" i="109"/>
  <c r="L91" i="108" s="1"/>
  <c r="L92" i="109"/>
  <c r="L92" i="108" s="1"/>
  <c r="L93" i="109"/>
  <c r="L93" i="108" s="1"/>
  <c r="L94" i="109"/>
  <c r="L94" i="108" s="1"/>
  <c r="L95" i="109"/>
  <c r="L95" i="108" s="1"/>
  <c r="L96" i="109"/>
  <c r="L96" i="108" s="1"/>
  <c r="L97" i="109"/>
  <c r="L97" i="108" s="1"/>
  <c r="L98" i="109"/>
  <c r="L98" i="108" s="1"/>
  <c r="L99" i="109"/>
  <c r="L99" i="108" s="1"/>
  <c r="L100" i="109"/>
  <c r="L100" i="108" s="1"/>
  <c r="L101" i="109"/>
  <c r="L101" i="108" s="1"/>
  <c r="L102" i="109"/>
  <c r="L102" i="108" s="1"/>
  <c r="L103" i="109"/>
  <c r="L103" i="108" s="1"/>
  <c r="L104" i="109"/>
  <c r="L104" i="108" s="1"/>
  <c r="L105" i="109"/>
  <c r="L105" i="108" s="1"/>
  <c r="L10" i="109"/>
  <c r="L11" i="101"/>
  <c r="L12" i="101"/>
  <c r="L13" i="101"/>
  <c r="L14" i="101"/>
  <c r="L15" i="101"/>
  <c r="L16" i="101"/>
  <c r="L17" i="101"/>
  <c r="L18" i="101"/>
  <c r="L19" i="101"/>
  <c r="L20" i="101"/>
  <c r="L21" i="101"/>
  <c r="L22" i="101"/>
  <c r="L23" i="101"/>
  <c r="L24" i="101"/>
  <c r="L25" i="101"/>
  <c r="L26" i="101"/>
  <c r="L27" i="101"/>
  <c r="L28" i="101"/>
  <c r="L29" i="101"/>
  <c r="L30" i="101"/>
  <c r="L31" i="101"/>
  <c r="L32" i="101"/>
  <c r="L33" i="101"/>
  <c r="L34" i="101"/>
  <c r="L35" i="101"/>
  <c r="L36" i="101"/>
  <c r="L37" i="101"/>
  <c r="L38" i="101"/>
  <c r="L39" i="101"/>
  <c r="L40" i="101"/>
  <c r="L41" i="101"/>
  <c r="L42" i="101"/>
  <c r="L43" i="101"/>
  <c r="L44" i="101"/>
  <c r="L45" i="101"/>
  <c r="L46" i="101"/>
  <c r="L47" i="101"/>
  <c r="L48" i="101"/>
  <c r="L49" i="101"/>
  <c r="L50" i="101"/>
  <c r="L51" i="101"/>
  <c r="L52" i="101"/>
  <c r="L53" i="101"/>
  <c r="L54" i="101"/>
  <c r="L55" i="101"/>
  <c r="L56" i="101"/>
  <c r="L57" i="101"/>
  <c r="L58" i="101"/>
  <c r="L58" i="107" s="1"/>
  <c r="L59" i="101"/>
  <c r="L59" i="107" s="1"/>
  <c r="L60" i="101"/>
  <c r="L60" i="107" s="1"/>
  <c r="L61" i="101"/>
  <c r="L61" i="107" s="1"/>
  <c r="L62" i="101"/>
  <c r="L62" i="107" s="1"/>
  <c r="L63" i="101"/>
  <c r="L63" i="107" s="1"/>
  <c r="L64" i="101"/>
  <c r="L64" i="107" s="1"/>
  <c r="L65" i="101"/>
  <c r="L65" i="107" s="1"/>
  <c r="L66" i="101"/>
  <c r="L66" i="107" s="1"/>
  <c r="L67" i="101"/>
  <c r="L67" i="107" s="1"/>
  <c r="L68" i="101"/>
  <c r="L68" i="107" s="1"/>
  <c r="L69" i="101"/>
  <c r="L69" i="107" s="1"/>
  <c r="L70" i="101"/>
  <c r="L70" i="107" s="1"/>
  <c r="L71" i="101"/>
  <c r="L71" i="107" s="1"/>
  <c r="L72" i="101"/>
  <c r="L72" i="107" s="1"/>
  <c r="L73" i="101"/>
  <c r="L73" i="107" s="1"/>
  <c r="L74" i="101"/>
  <c r="L74" i="107" s="1"/>
  <c r="L75" i="101"/>
  <c r="L75" i="107" s="1"/>
  <c r="L76" i="101"/>
  <c r="L76" i="107" s="1"/>
  <c r="L77" i="101"/>
  <c r="L77" i="107" s="1"/>
  <c r="L78" i="101"/>
  <c r="L78" i="107" s="1"/>
  <c r="L79" i="101"/>
  <c r="L79" i="107" s="1"/>
  <c r="L80" i="101"/>
  <c r="L80" i="107" s="1"/>
  <c r="L81" i="101"/>
  <c r="L81" i="107" s="1"/>
  <c r="L82" i="101"/>
  <c r="L82" i="107" s="1"/>
  <c r="L83" i="101"/>
  <c r="L83" i="107" s="1"/>
  <c r="L84" i="101"/>
  <c r="L84" i="107" s="1"/>
  <c r="L85" i="101"/>
  <c r="L85" i="107" s="1"/>
  <c r="L86" i="101"/>
  <c r="L86" i="107" s="1"/>
  <c r="L87" i="101"/>
  <c r="L87" i="107" s="1"/>
  <c r="L88" i="101"/>
  <c r="L88" i="107" s="1"/>
  <c r="L89" i="101"/>
  <c r="L89" i="107" s="1"/>
  <c r="L90" i="101"/>
  <c r="L90" i="107" s="1"/>
  <c r="L91" i="101"/>
  <c r="L91" i="107" s="1"/>
  <c r="L92" i="101"/>
  <c r="L92" i="107" s="1"/>
  <c r="L93" i="101"/>
  <c r="L93" i="107" s="1"/>
  <c r="L94" i="101"/>
  <c r="L94" i="107" s="1"/>
  <c r="L95" i="101"/>
  <c r="L95" i="107" s="1"/>
  <c r="L96" i="101"/>
  <c r="L96" i="107" s="1"/>
  <c r="L97" i="101"/>
  <c r="L97" i="107" s="1"/>
  <c r="L98" i="101"/>
  <c r="L98" i="107" s="1"/>
  <c r="L99" i="101"/>
  <c r="L99" i="107" s="1"/>
  <c r="L100" i="101"/>
  <c r="L100" i="107" s="1"/>
  <c r="L101" i="101"/>
  <c r="L101" i="107" s="1"/>
  <c r="L102" i="101"/>
  <c r="L102" i="107" s="1"/>
  <c r="L103" i="101"/>
  <c r="L103" i="107" s="1"/>
  <c r="L104" i="101"/>
  <c r="L104" i="107" s="1"/>
  <c r="L105" i="101"/>
  <c r="L105" i="107" s="1"/>
  <c r="L10" i="101"/>
  <c r="L11" i="96"/>
  <c r="L12" i="96"/>
  <c r="L13" i="96"/>
  <c r="L14" i="96"/>
  <c r="L15" i="96"/>
  <c r="L16" i="96"/>
  <c r="L17" i="96"/>
  <c r="L18" i="96"/>
  <c r="L19" i="96"/>
  <c r="L20" i="96"/>
  <c r="L21" i="96"/>
  <c r="L22" i="96"/>
  <c r="L23" i="96"/>
  <c r="L24" i="96"/>
  <c r="L25" i="96"/>
  <c r="L26" i="96"/>
  <c r="L27" i="96"/>
  <c r="L28" i="96"/>
  <c r="L29" i="96"/>
  <c r="L30" i="96"/>
  <c r="L31" i="96"/>
  <c r="L32" i="96"/>
  <c r="L33" i="96"/>
  <c r="L34" i="96"/>
  <c r="L35" i="96"/>
  <c r="L36" i="96"/>
  <c r="L37" i="96"/>
  <c r="L38" i="96"/>
  <c r="L39" i="96"/>
  <c r="L40" i="96"/>
  <c r="L41" i="96"/>
  <c r="L42" i="96"/>
  <c r="L43" i="96"/>
  <c r="L44" i="96"/>
  <c r="L45" i="96"/>
  <c r="L46" i="96"/>
  <c r="L47" i="96"/>
  <c r="L48" i="96"/>
  <c r="L49" i="96"/>
  <c r="L50" i="96"/>
  <c r="L51" i="96"/>
  <c r="L52" i="96"/>
  <c r="L53" i="96"/>
  <c r="L54" i="96"/>
  <c r="L55" i="96"/>
  <c r="L56" i="96"/>
  <c r="L57" i="96"/>
  <c r="L10" i="96"/>
  <c r="L11" i="95"/>
  <c r="L12" i="95"/>
  <c r="L13" i="95"/>
  <c r="L14" i="95"/>
  <c r="L15" i="95"/>
  <c r="L16" i="95"/>
  <c r="L17" i="95"/>
  <c r="L18" i="95"/>
  <c r="L19" i="95"/>
  <c r="L20" i="95"/>
  <c r="L21" i="95"/>
  <c r="L22" i="95"/>
  <c r="L23" i="95"/>
  <c r="L24" i="95"/>
  <c r="L25" i="95"/>
  <c r="L26" i="95"/>
  <c r="L27" i="95"/>
  <c r="L28" i="95"/>
  <c r="L29" i="95"/>
  <c r="L30" i="95"/>
  <c r="L31" i="95"/>
  <c r="L32" i="95"/>
  <c r="L33" i="95"/>
  <c r="L34" i="95"/>
  <c r="L35" i="95"/>
  <c r="L36" i="95"/>
  <c r="L37" i="95"/>
  <c r="L38" i="95"/>
  <c r="L39" i="95"/>
  <c r="L40" i="95"/>
  <c r="L41" i="95"/>
  <c r="L42" i="95"/>
  <c r="L43" i="95"/>
  <c r="L44" i="95"/>
  <c r="L45" i="95"/>
  <c r="L46" i="95"/>
  <c r="L47" i="95"/>
  <c r="L48" i="95"/>
  <c r="L49" i="95"/>
  <c r="L50" i="95"/>
  <c r="L51" i="95"/>
  <c r="L52" i="95"/>
  <c r="L53" i="95"/>
  <c r="L54" i="95"/>
  <c r="L55" i="95"/>
  <c r="L56" i="95"/>
  <c r="L57" i="95"/>
  <c r="L10" i="95"/>
  <c r="L11" i="94"/>
  <c r="L12" i="94"/>
  <c r="L13" i="94"/>
  <c r="L14" i="94"/>
  <c r="L15" i="94"/>
  <c r="L16" i="94"/>
  <c r="L17" i="94"/>
  <c r="L18" i="94"/>
  <c r="L19" i="94"/>
  <c r="L20" i="94"/>
  <c r="L21" i="94"/>
  <c r="L22" i="94"/>
  <c r="L23" i="94"/>
  <c r="L24" i="94"/>
  <c r="L25" i="94"/>
  <c r="L26" i="94"/>
  <c r="L27" i="94"/>
  <c r="L28" i="94"/>
  <c r="L29" i="94"/>
  <c r="L30" i="94"/>
  <c r="L31" i="94"/>
  <c r="L32" i="94"/>
  <c r="L33" i="94"/>
  <c r="L34" i="94"/>
  <c r="L35" i="94"/>
  <c r="L36" i="94"/>
  <c r="L37" i="94"/>
  <c r="L38" i="94"/>
  <c r="L39" i="94"/>
  <c r="L40" i="94"/>
  <c r="L41" i="94"/>
  <c r="L42" i="94"/>
  <c r="L43" i="94"/>
  <c r="L44" i="94"/>
  <c r="L45" i="94"/>
  <c r="L46" i="94"/>
  <c r="L47" i="94"/>
  <c r="L48" i="94"/>
  <c r="L49" i="94"/>
  <c r="L50" i="94"/>
  <c r="L51" i="94"/>
  <c r="L52" i="94"/>
  <c r="L53" i="94"/>
  <c r="L54" i="94"/>
  <c r="L55" i="94"/>
  <c r="L56" i="94"/>
  <c r="L57" i="94"/>
  <c r="L10" i="94"/>
  <c r="L11" i="93"/>
  <c r="L12" i="93"/>
  <c r="L13" i="93"/>
  <c r="L14" i="93"/>
  <c r="L15" i="93"/>
  <c r="L16" i="93"/>
  <c r="L17" i="93"/>
  <c r="L18" i="93"/>
  <c r="L19" i="93"/>
  <c r="L20" i="93"/>
  <c r="L21" i="93"/>
  <c r="L22" i="93"/>
  <c r="L23" i="93"/>
  <c r="L24" i="93"/>
  <c r="L25" i="93"/>
  <c r="L26" i="93"/>
  <c r="L27" i="93"/>
  <c r="L28" i="93"/>
  <c r="L29" i="93"/>
  <c r="L30" i="93"/>
  <c r="L31" i="93"/>
  <c r="L32" i="93"/>
  <c r="L33" i="93"/>
  <c r="L34" i="93"/>
  <c r="L35" i="93"/>
  <c r="L36" i="93"/>
  <c r="L37" i="93"/>
  <c r="L38" i="93"/>
  <c r="L39" i="93"/>
  <c r="L40" i="93"/>
  <c r="L41" i="93"/>
  <c r="L42" i="93"/>
  <c r="L43" i="93"/>
  <c r="L44" i="93"/>
  <c r="L45" i="93"/>
  <c r="L46" i="93"/>
  <c r="L47" i="93"/>
  <c r="L48" i="93"/>
  <c r="L49" i="93"/>
  <c r="L50" i="93"/>
  <c r="L51" i="93"/>
  <c r="L52" i="93"/>
  <c r="L53" i="93"/>
  <c r="L54" i="93"/>
  <c r="L55" i="93"/>
  <c r="L56" i="93"/>
  <c r="L57" i="93"/>
  <c r="L10" i="93"/>
  <c r="L105" i="111" l="1"/>
  <c r="O105" i="107"/>
  <c r="P105" i="107"/>
  <c r="L101" i="111"/>
  <c r="P101" i="107"/>
  <c r="O101" i="107"/>
  <c r="L97" i="111"/>
  <c r="O97" i="107"/>
  <c r="P97" i="107"/>
  <c r="L93" i="111"/>
  <c r="O93" i="107"/>
  <c r="P93" i="107"/>
  <c r="L89" i="111"/>
  <c r="O89" i="107"/>
  <c r="P89" i="107"/>
  <c r="L85" i="111"/>
  <c r="P85" i="107"/>
  <c r="O85" i="107"/>
  <c r="L81" i="111"/>
  <c r="O81" i="107"/>
  <c r="P81" i="107"/>
  <c r="L77" i="111"/>
  <c r="P77" i="107"/>
  <c r="O77" i="107"/>
  <c r="L73" i="111"/>
  <c r="P73" i="107"/>
  <c r="O73" i="107"/>
  <c r="L69" i="111"/>
  <c r="P69" i="107"/>
  <c r="O69" i="107"/>
  <c r="L65" i="111"/>
  <c r="O65" i="107"/>
  <c r="P65" i="107"/>
  <c r="L61" i="111"/>
  <c r="O61" i="107"/>
  <c r="P61" i="107"/>
  <c r="P105" i="108"/>
  <c r="O105" i="108"/>
  <c r="P101" i="108"/>
  <c r="O101" i="108"/>
  <c r="P97" i="108"/>
  <c r="O97" i="108"/>
  <c r="P93" i="108"/>
  <c r="O93" i="108"/>
  <c r="P89" i="108"/>
  <c r="O89" i="108"/>
  <c r="P85" i="108"/>
  <c r="O85" i="108"/>
  <c r="P81" i="108"/>
  <c r="O81" i="108"/>
  <c r="P77" i="108"/>
  <c r="O77" i="108"/>
  <c r="P73" i="108"/>
  <c r="O73" i="108"/>
  <c r="P69" i="108"/>
  <c r="O69" i="108"/>
  <c r="P65" i="108"/>
  <c r="O65" i="108"/>
  <c r="P61" i="108"/>
  <c r="O61" i="108"/>
  <c r="L104" i="111"/>
  <c r="P104" i="107"/>
  <c r="O104" i="107"/>
  <c r="L100" i="111"/>
  <c r="P100" i="107"/>
  <c r="O100" i="107"/>
  <c r="L96" i="111"/>
  <c r="O96" i="107"/>
  <c r="P96" i="107"/>
  <c r="L92" i="111"/>
  <c r="P92" i="107"/>
  <c r="O92" i="107"/>
  <c r="L88" i="111"/>
  <c r="O88" i="107"/>
  <c r="P88" i="107"/>
  <c r="L84" i="111"/>
  <c r="P84" i="107"/>
  <c r="O84" i="107"/>
  <c r="L80" i="111"/>
  <c r="P80" i="107"/>
  <c r="O80" i="107"/>
  <c r="L76" i="111"/>
  <c r="P76" i="107"/>
  <c r="O76" i="107"/>
  <c r="L72" i="111"/>
  <c r="O72" i="107"/>
  <c r="P72" i="107"/>
  <c r="L68" i="111"/>
  <c r="O68" i="107"/>
  <c r="P68" i="107"/>
  <c r="L64" i="111"/>
  <c r="O64" i="107"/>
  <c r="P64" i="107"/>
  <c r="L60" i="111"/>
  <c r="O60" i="107"/>
  <c r="P60" i="107"/>
  <c r="P104" i="108"/>
  <c r="O104" i="108"/>
  <c r="P100" i="108"/>
  <c r="O100" i="108"/>
  <c r="P96" i="108"/>
  <c r="O96" i="108"/>
  <c r="P92" i="108"/>
  <c r="O92" i="108"/>
  <c r="P88" i="108"/>
  <c r="O88" i="108"/>
  <c r="P84" i="108"/>
  <c r="O84" i="108"/>
  <c r="P80" i="108"/>
  <c r="O80" i="108"/>
  <c r="P76" i="108"/>
  <c r="O76" i="108"/>
  <c r="P72" i="108"/>
  <c r="O72" i="108"/>
  <c r="P68" i="108"/>
  <c r="O68" i="108"/>
  <c r="P64" i="108"/>
  <c r="O64" i="108"/>
  <c r="P60" i="108"/>
  <c r="O60" i="108"/>
  <c r="L103" i="111"/>
  <c r="P103" i="107"/>
  <c r="O103" i="107"/>
  <c r="L99" i="111"/>
  <c r="P99" i="107"/>
  <c r="O99" i="107"/>
  <c r="L95" i="111"/>
  <c r="P95" i="107"/>
  <c r="O95" i="107"/>
  <c r="L91" i="111"/>
  <c r="O91" i="107"/>
  <c r="P91" i="107"/>
  <c r="L87" i="111"/>
  <c r="O87" i="107"/>
  <c r="P87" i="107"/>
  <c r="L83" i="111"/>
  <c r="P83" i="107"/>
  <c r="O83" i="107"/>
  <c r="L79" i="111"/>
  <c r="P79" i="107"/>
  <c r="O79" i="107"/>
  <c r="L75" i="111"/>
  <c r="O75" i="107"/>
  <c r="P75" i="107"/>
  <c r="L71" i="111"/>
  <c r="O71" i="107"/>
  <c r="P71" i="107"/>
  <c r="L67" i="111"/>
  <c r="P67" i="107"/>
  <c r="O67" i="107"/>
  <c r="L63" i="111"/>
  <c r="P63" i="107"/>
  <c r="O63" i="107"/>
  <c r="L59" i="111"/>
  <c r="P59" i="107"/>
  <c r="O59" i="107"/>
  <c r="O103" i="108"/>
  <c r="P103" i="108"/>
  <c r="P99" i="108"/>
  <c r="O99" i="108"/>
  <c r="P95" i="108"/>
  <c r="O95" i="108"/>
  <c r="O91" i="108"/>
  <c r="P91" i="108"/>
  <c r="P87" i="108"/>
  <c r="O87" i="108"/>
  <c r="P83" i="108"/>
  <c r="O83" i="108"/>
  <c r="P79" i="108"/>
  <c r="O79" i="108"/>
  <c r="O75" i="108"/>
  <c r="P75" i="108"/>
  <c r="P71" i="108"/>
  <c r="O71" i="108"/>
  <c r="O67" i="108"/>
  <c r="P67" i="108"/>
  <c r="P63" i="108"/>
  <c r="O63" i="108"/>
  <c r="O59" i="108"/>
  <c r="P59" i="108"/>
  <c r="AB33" i="107"/>
  <c r="L102" i="111"/>
  <c r="P102" i="107"/>
  <c r="AF33" i="107" s="1"/>
  <c r="O102" i="107"/>
  <c r="AB32" i="107"/>
  <c r="L98" i="111"/>
  <c r="O98" i="107"/>
  <c r="P98" i="107"/>
  <c r="AB31" i="107"/>
  <c r="L94" i="111"/>
  <c r="P94" i="107"/>
  <c r="O94" i="107"/>
  <c r="L90" i="111"/>
  <c r="AB30" i="107"/>
  <c r="P90" i="107"/>
  <c r="O90" i="107"/>
  <c r="L86" i="111"/>
  <c r="AB29" i="107"/>
  <c r="P86" i="107"/>
  <c r="AF29" i="107" s="1"/>
  <c r="O86" i="107"/>
  <c r="L82" i="111"/>
  <c r="AB28" i="107"/>
  <c r="P82" i="107"/>
  <c r="O82" i="107"/>
  <c r="L78" i="111"/>
  <c r="AB27" i="107"/>
  <c r="O78" i="107"/>
  <c r="P78" i="107"/>
  <c r="L74" i="111"/>
  <c r="AB26" i="107"/>
  <c r="P74" i="107"/>
  <c r="O74" i="107"/>
  <c r="L70" i="111"/>
  <c r="O70" i="107"/>
  <c r="AB25" i="107"/>
  <c r="P70" i="107"/>
  <c r="L66" i="111"/>
  <c r="AB24" i="107"/>
  <c r="P66" i="107"/>
  <c r="O66" i="107"/>
  <c r="L62" i="111"/>
  <c r="AB23" i="107"/>
  <c r="P62" i="107"/>
  <c r="O62" i="107"/>
  <c r="AB22" i="107"/>
  <c r="L58" i="111"/>
  <c r="P58" i="107"/>
  <c r="O58" i="107"/>
  <c r="AB33" i="108"/>
  <c r="P102" i="108"/>
  <c r="AF33" i="108" s="1"/>
  <c r="O102" i="108"/>
  <c r="AB32" i="108"/>
  <c r="P98" i="108"/>
  <c r="O98" i="108"/>
  <c r="AB31" i="108"/>
  <c r="P94" i="108"/>
  <c r="AF31" i="108" s="1"/>
  <c r="O94" i="108"/>
  <c r="AB30" i="108"/>
  <c r="O90" i="108"/>
  <c r="P90" i="108"/>
  <c r="AB29" i="108"/>
  <c r="P86" i="108"/>
  <c r="O86" i="108"/>
  <c r="AB28" i="108"/>
  <c r="P82" i="108"/>
  <c r="O82" i="108"/>
  <c r="AB27" i="108"/>
  <c r="O78" i="108"/>
  <c r="P78" i="108"/>
  <c r="AB26" i="108"/>
  <c r="O74" i="108"/>
  <c r="P74" i="108"/>
  <c r="P70" i="108"/>
  <c r="O70" i="108"/>
  <c r="AB25" i="108"/>
  <c r="AB24" i="108"/>
  <c r="P66" i="108"/>
  <c r="O66" i="108"/>
  <c r="P62" i="108"/>
  <c r="O62" i="108"/>
  <c r="AB23" i="108"/>
  <c r="AB22" i="108"/>
  <c r="P58" i="108"/>
  <c r="O58" i="108"/>
  <c r="AB11" i="94"/>
  <c r="AB12" i="94"/>
  <c r="O10" i="94"/>
  <c r="S10" i="94"/>
  <c r="T10" i="94"/>
  <c r="U10" i="94"/>
  <c r="V10" i="94"/>
  <c r="W10" i="94"/>
  <c r="X10" i="94"/>
  <c r="Y10" i="94"/>
  <c r="Z10" i="94"/>
  <c r="AA10" i="94"/>
  <c r="AC10" i="94"/>
  <c r="AD10" i="94"/>
  <c r="O11" i="94"/>
  <c r="P11" i="94"/>
  <c r="S11" i="94"/>
  <c r="T11" i="94"/>
  <c r="U11" i="94"/>
  <c r="V11" i="94"/>
  <c r="W11" i="94"/>
  <c r="X11" i="94"/>
  <c r="Y11" i="94"/>
  <c r="Z11" i="94"/>
  <c r="AA11" i="94"/>
  <c r="AC11" i="94"/>
  <c r="AD11" i="94"/>
  <c r="O12" i="94"/>
  <c r="P12" i="94"/>
  <c r="S12" i="94"/>
  <c r="T12" i="94"/>
  <c r="U12" i="94"/>
  <c r="V12" i="94"/>
  <c r="W12" i="94"/>
  <c r="X12" i="94"/>
  <c r="Y12" i="94"/>
  <c r="Z12" i="94"/>
  <c r="AA12" i="94"/>
  <c r="AC12" i="94"/>
  <c r="AD12" i="94"/>
  <c r="AF27" i="107" l="1"/>
  <c r="AE28" i="108"/>
  <c r="AE32" i="108"/>
  <c r="AE23" i="107"/>
  <c r="AE31" i="107"/>
  <c r="AF22" i="107"/>
  <c r="P63" i="111"/>
  <c r="O63" i="111"/>
  <c r="P95" i="111"/>
  <c r="O95" i="111"/>
  <c r="P68" i="111"/>
  <c r="O68" i="111"/>
  <c r="AE30" i="107"/>
  <c r="O85" i="111"/>
  <c r="P85" i="111"/>
  <c r="AB22" i="111"/>
  <c r="P58" i="111"/>
  <c r="O58" i="111"/>
  <c r="AB32" i="111"/>
  <c r="P98" i="111"/>
  <c r="O98" i="111"/>
  <c r="P59" i="111"/>
  <c r="O59" i="111"/>
  <c r="P91" i="111"/>
  <c r="O91" i="111"/>
  <c r="AE25" i="108"/>
  <c r="O80" i="111"/>
  <c r="P80" i="111"/>
  <c r="AF30" i="107"/>
  <c r="P96" i="111"/>
  <c r="O96" i="111"/>
  <c r="AF22" i="108"/>
  <c r="AF30" i="108"/>
  <c r="P81" i="111"/>
  <c r="O81" i="111"/>
  <c r="P97" i="111"/>
  <c r="O97" i="111"/>
  <c r="AF24" i="108"/>
  <c r="AE31" i="108"/>
  <c r="AB23" i="111"/>
  <c r="P62" i="111"/>
  <c r="O62" i="111"/>
  <c r="AB24" i="111"/>
  <c r="P66" i="111"/>
  <c r="O66" i="111"/>
  <c r="AB25" i="111"/>
  <c r="P70" i="111"/>
  <c r="O70" i="111"/>
  <c r="AB26" i="111"/>
  <c r="P74" i="111"/>
  <c r="O74" i="111"/>
  <c r="AB27" i="111"/>
  <c r="O78" i="111"/>
  <c r="P78" i="111"/>
  <c r="AB28" i="111"/>
  <c r="P82" i="111"/>
  <c r="AF28" i="111" s="1"/>
  <c r="O82" i="111"/>
  <c r="P86" i="111"/>
  <c r="O86" i="111"/>
  <c r="AB30" i="111"/>
  <c r="P90" i="111"/>
  <c r="O90" i="111"/>
  <c r="O71" i="111"/>
  <c r="P71" i="111"/>
  <c r="P87" i="111"/>
  <c r="O87" i="111"/>
  <c r="P103" i="111"/>
  <c r="O103" i="111"/>
  <c r="AE29" i="108"/>
  <c r="AE33" i="108"/>
  <c r="P60" i="111"/>
  <c r="O60" i="111"/>
  <c r="AE25" i="107"/>
  <c r="O76" i="111"/>
  <c r="P76" i="111"/>
  <c r="AE28" i="107"/>
  <c r="AE29" i="107"/>
  <c r="O92" i="111"/>
  <c r="P92" i="111"/>
  <c r="AE32" i="107"/>
  <c r="O61" i="111"/>
  <c r="P61" i="111"/>
  <c r="O77" i="111"/>
  <c r="P77" i="111"/>
  <c r="O93" i="111"/>
  <c r="P93" i="111"/>
  <c r="P79" i="111"/>
  <c r="O79" i="111"/>
  <c r="AE26" i="107"/>
  <c r="P84" i="111"/>
  <c r="O84" i="111"/>
  <c r="P100" i="111"/>
  <c r="O100" i="111"/>
  <c r="AE26" i="108"/>
  <c r="AE30" i="108"/>
  <c r="O69" i="111"/>
  <c r="P69" i="111"/>
  <c r="P101" i="111"/>
  <c r="O101" i="111"/>
  <c r="AB31" i="111"/>
  <c r="P94" i="111"/>
  <c r="O94" i="111"/>
  <c r="AB33" i="111"/>
  <c r="P102" i="111"/>
  <c r="O102" i="111"/>
  <c r="P75" i="111"/>
  <c r="O75" i="111"/>
  <c r="O64" i="111"/>
  <c r="P64" i="111"/>
  <c r="AF26" i="107"/>
  <c r="AE33" i="107"/>
  <c r="AF28" i="108"/>
  <c r="AF32" i="108"/>
  <c r="P65" i="111"/>
  <c r="O65" i="111"/>
  <c r="AE22" i="108"/>
  <c r="AE23" i="108"/>
  <c r="AF26" i="108"/>
  <c r="AE27" i="108"/>
  <c r="AE22" i="107"/>
  <c r="AF25" i="107"/>
  <c r="P67" i="111"/>
  <c r="O67" i="111"/>
  <c r="O83" i="111"/>
  <c r="P83" i="111"/>
  <c r="P99" i="111"/>
  <c r="O99" i="111"/>
  <c r="AE24" i="108"/>
  <c r="AF23" i="107"/>
  <c r="AE24" i="107"/>
  <c r="O72" i="111"/>
  <c r="P72" i="111"/>
  <c r="AE27" i="107"/>
  <c r="O88" i="111"/>
  <c r="P88" i="111"/>
  <c r="AF31" i="107"/>
  <c r="P104" i="111"/>
  <c r="O104" i="111"/>
  <c r="AF23" i="108"/>
  <c r="AF25" i="108"/>
  <c r="AF27" i="108"/>
  <c r="AF29" i="108"/>
  <c r="AF24" i="107"/>
  <c r="O73" i="111"/>
  <c r="P73" i="111"/>
  <c r="AF28" i="107"/>
  <c r="AB29" i="111"/>
  <c r="P89" i="111"/>
  <c r="O89" i="111"/>
  <c r="AF32" i="107"/>
  <c r="P105" i="111"/>
  <c r="O105" i="111"/>
  <c r="AB10" i="94"/>
  <c r="P10" i="94"/>
  <c r="AF24" i="111" l="1"/>
  <c r="AE23" i="111"/>
  <c r="AF22" i="111"/>
  <c r="AF32" i="111"/>
  <c r="AE29" i="111"/>
  <c r="AF31" i="111"/>
  <c r="AF29" i="111"/>
  <c r="AF27" i="111"/>
  <c r="AF26" i="111"/>
  <c r="AE32" i="111"/>
  <c r="AE26" i="111"/>
  <c r="AF25" i="111"/>
  <c r="AE27" i="111"/>
  <c r="AE33" i="111"/>
  <c r="AE25" i="111"/>
  <c r="AF33" i="111"/>
  <c r="AE24" i="111"/>
  <c r="AE30" i="111"/>
  <c r="AF30" i="111"/>
  <c r="AF23" i="111"/>
  <c r="AE31" i="111"/>
  <c r="AE22" i="111"/>
  <c r="AE28" i="111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X19" i="103"/>
  <c r="X27" i="103" s="1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V27" i="103" l="1"/>
  <c r="AD27" i="103"/>
  <c r="Z39" i="105"/>
  <c r="X27" i="97"/>
  <c r="V27" i="99"/>
  <c r="AD27" i="99"/>
  <c r="V39" i="101"/>
  <c r="W27" i="103"/>
  <c r="AA39" i="105"/>
  <c r="U39" i="109"/>
  <c r="Y27" i="103"/>
  <c r="Y39" i="109"/>
  <c r="AA27" i="99"/>
  <c r="X39" i="105"/>
  <c r="AA39" i="101"/>
  <c r="AD38" i="101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6" i="108" s="1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X13" i="108" s="1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P16" i="94"/>
  <c r="P18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F58" i="94"/>
  <c r="J58" i="94"/>
  <c r="N58" i="94"/>
  <c r="P13" i="94"/>
  <c r="AF10" i="94" s="1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O13" i="94"/>
  <c r="AE10" i="94" s="1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X12" i="108" l="1"/>
  <c r="AC19" i="108"/>
  <c r="AD13" i="108"/>
  <c r="W38" i="110"/>
  <c r="AB26" i="103"/>
  <c r="AA13" i="108"/>
  <c r="AC20" i="108"/>
  <c r="U38" i="110"/>
  <c r="AA19" i="108"/>
  <c r="T26" i="103"/>
  <c r="X11" i="108"/>
  <c r="W14" i="108"/>
  <c r="S21" i="108"/>
  <c r="U13" i="108"/>
  <c r="S19" i="108"/>
  <c r="Y19" i="108"/>
  <c r="Y14" i="108"/>
  <c r="V19" i="108"/>
  <c r="W15" i="108"/>
  <c r="W21" i="108"/>
  <c r="S13" i="108"/>
  <c r="L106" i="107"/>
  <c r="AB10" i="107"/>
  <c r="AA21" i="107"/>
  <c r="AA20" i="107"/>
  <c r="AA19" i="107"/>
  <c r="AA18" i="107"/>
  <c r="AA17" i="107"/>
  <c r="AA16" i="107"/>
  <c r="AA15" i="107"/>
  <c r="AA14" i="107"/>
  <c r="AA13" i="107"/>
  <c r="AA12" i="107"/>
  <c r="AA11" i="107"/>
  <c r="X15" i="108"/>
  <c r="V10" i="108"/>
  <c r="F106" i="108"/>
  <c r="AC18" i="108"/>
  <c r="Y17" i="108"/>
  <c r="U10" i="108"/>
  <c r="E106" i="108"/>
  <c r="Z12" i="108"/>
  <c r="S10" i="107"/>
  <c r="C106" i="107"/>
  <c r="V21" i="107"/>
  <c r="V20" i="107"/>
  <c r="V19" i="107"/>
  <c r="V18" i="107"/>
  <c r="V17" i="107"/>
  <c r="Z16" i="107"/>
  <c r="Z15" i="107"/>
  <c r="Z14" i="107"/>
  <c r="Z13" i="107"/>
  <c r="AD12" i="107"/>
  <c r="AD11" i="107"/>
  <c r="T10" i="108"/>
  <c r="D106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20" i="108"/>
  <c r="V12" i="108"/>
  <c r="S14" i="108"/>
  <c r="AA14" i="108"/>
  <c r="U19" i="108"/>
  <c r="Y18" i="108"/>
  <c r="U17" i="108"/>
  <c r="Y16" i="108"/>
  <c r="U14" i="108"/>
  <c r="W12" i="108"/>
  <c r="W11" i="108"/>
  <c r="K106" i="108"/>
  <c r="AA10" i="108"/>
  <c r="AD21" i="108"/>
  <c r="V21" i="108"/>
  <c r="AD20" i="108"/>
  <c r="V20" i="108"/>
  <c r="V39" i="108" s="1"/>
  <c r="AD19" i="108"/>
  <c r="Z13" i="108"/>
  <c r="H106" i="107"/>
  <c r="X10" i="107"/>
  <c r="W21" i="107"/>
  <c r="W20" i="107"/>
  <c r="S19" i="107"/>
  <c r="W18" i="107"/>
  <c r="S17" i="107"/>
  <c r="W16" i="107"/>
  <c r="W15" i="107"/>
  <c r="W14" i="107"/>
  <c r="W13" i="107"/>
  <c r="W12" i="107"/>
  <c r="W11" i="107"/>
  <c r="X18" i="108"/>
  <c r="X17" i="108"/>
  <c r="X35" i="108" s="1"/>
  <c r="X16" i="108"/>
  <c r="X14" i="108"/>
  <c r="AC10" i="108"/>
  <c r="M106" i="108"/>
  <c r="W10" i="107"/>
  <c r="G106" i="107"/>
  <c r="AD21" i="107"/>
  <c r="Z20" i="107"/>
  <c r="Z19" i="107"/>
  <c r="AD18" i="107"/>
  <c r="Z17" i="107"/>
  <c r="AD16" i="107"/>
  <c r="AD15" i="107"/>
  <c r="V14" i="107"/>
  <c r="V13" i="107"/>
  <c r="Z12" i="107"/>
  <c r="Z11" i="107"/>
  <c r="AD10" i="107"/>
  <c r="N106" i="107"/>
  <c r="J106" i="107"/>
  <c r="Z10" i="107"/>
  <c r="V10" i="107"/>
  <c r="F106" i="107"/>
  <c r="AC21" i="107"/>
  <c r="Y21" i="107"/>
  <c r="U21" i="107"/>
  <c r="AC20" i="107"/>
  <c r="Y20" i="107"/>
  <c r="U20" i="107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S38" i="105"/>
  <c r="X10" i="108"/>
  <c r="H106" i="108"/>
  <c r="T19" i="108"/>
  <c r="AB18" i="108"/>
  <c r="T18" i="108"/>
  <c r="AB17" i="108"/>
  <c r="T17" i="108"/>
  <c r="AB16" i="108"/>
  <c r="T16" i="108"/>
  <c r="AB15" i="108"/>
  <c r="T15" i="108"/>
  <c r="AB14" i="108"/>
  <c r="T14" i="108"/>
  <c r="W17" i="108"/>
  <c r="W20" i="108"/>
  <c r="Y13" i="108"/>
  <c r="Y20" i="108"/>
  <c r="S15" i="108"/>
  <c r="U21" i="108"/>
  <c r="AD10" i="108"/>
  <c r="N106" i="108"/>
  <c r="S16" i="108"/>
  <c r="AC21" i="108"/>
  <c r="AC36" i="108" s="1"/>
  <c r="W18" i="108"/>
  <c r="AC17" i="108"/>
  <c r="W16" i="108"/>
  <c r="AC15" i="108"/>
  <c r="AC12" i="108"/>
  <c r="U12" i="108"/>
  <c r="AC11" i="108"/>
  <c r="U11" i="108"/>
  <c r="Y10" i="108"/>
  <c r="I106" i="108"/>
  <c r="AB21" i="108"/>
  <c r="T21" i="108"/>
  <c r="AB20" i="108"/>
  <c r="T20" i="108"/>
  <c r="AB19" i="108"/>
  <c r="AD11" i="108"/>
  <c r="D106" i="107"/>
  <c r="T10" i="107"/>
  <c r="S21" i="107"/>
  <c r="S20" i="107"/>
  <c r="W19" i="107"/>
  <c r="S18" i="107"/>
  <c r="W17" i="107"/>
  <c r="S16" i="107"/>
  <c r="S15" i="107"/>
  <c r="S14" i="107"/>
  <c r="S13" i="107"/>
  <c r="S12" i="107"/>
  <c r="S11" i="107"/>
  <c r="S10" i="108"/>
  <c r="C106" i="108"/>
  <c r="S36" i="108"/>
  <c r="S39" i="108"/>
  <c r="S38" i="110"/>
  <c r="AC16" i="108"/>
  <c r="U15" i="108"/>
  <c r="Y12" i="108"/>
  <c r="Y11" i="108"/>
  <c r="X21" i="108"/>
  <c r="X20" i="108"/>
  <c r="X19" i="108"/>
  <c r="AA10" i="107"/>
  <c r="K106" i="107"/>
  <c r="Z21" i="107"/>
  <c r="AD20" i="107"/>
  <c r="AD19" i="107"/>
  <c r="Z18" i="107"/>
  <c r="AD17" i="107"/>
  <c r="V16" i="107"/>
  <c r="V15" i="107"/>
  <c r="AD14" i="107"/>
  <c r="AD13" i="107"/>
  <c r="V12" i="107"/>
  <c r="V11" i="107"/>
  <c r="AC10" i="107"/>
  <c r="M106" i="107"/>
  <c r="I106" i="107"/>
  <c r="Y10" i="107"/>
  <c r="U10" i="107"/>
  <c r="E106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AB10" i="108"/>
  <c r="L106" i="108"/>
  <c r="Z18" i="108"/>
  <c r="Z17" i="108"/>
  <c r="Z16" i="108"/>
  <c r="Z15" i="108"/>
  <c r="Z14" i="108"/>
  <c r="AB13" i="108"/>
  <c r="AB12" i="108"/>
  <c r="AB11" i="108"/>
  <c r="V13" i="108"/>
  <c r="W19" i="108"/>
  <c r="AA20" i="108"/>
  <c r="AA36" i="108" s="1"/>
  <c r="W13" i="108"/>
  <c r="AA21" i="108"/>
  <c r="S17" i="108"/>
  <c r="Z10" i="108"/>
  <c r="J106" i="108"/>
  <c r="S18" i="108"/>
  <c r="AA18" i="108"/>
  <c r="AA15" i="108"/>
  <c r="U18" i="108"/>
  <c r="AA17" i="108"/>
  <c r="U16" i="108"/>
  <c r="Y15" i="108"/>
  <c r="AC14" i="108"/>
  <c r="AC38" i="108" s="1"/>
  <c r="AA12" i="108"/>
  <c r="S12" i="108"/>
  <c r="AA11" i="108"/>
  <c r="S11" i="108"/>
  <c r="G106" i="108"/>
  <c r="W10" i="108"/>
  <c r="Z21" i="108"/>
  <c r="Z20" i="108"/>
  <c r="Z19" i="108"/>
  <c r="AD12" i="108"/>
  <c r="Z11" i="108"/>
  <c r="AD26" i="97"/>
  <c r="S35" i="110"/>
  <c r="V39" i="109"/>
  <c r="AF32" i="101"/>
  <c r="AF33" i="101"/>
  <c r="AF25" i="101"/>
  <c r="AF28" i="101"/>
  <c r="AE12" i="94"/>
  <c r="AE11" i="94"/>
  <c r="AF12" i="94"/>
  <c r="AF11" i="94"/>
  <c r="Y38" i="105"/>
  <c r="U38" i="109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AE12" i="107" s="1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W28" i="94"/>
  <c r="AE19" i="95"/>
  <c r="AE17" i="95"/>
  <c r="AE18" i="95"/>
  <c r="AF15" i="95"/>
  <c r="AF14" i="95"/>
  <c r="AF13" i="95"/>
  <c r="AF11" i="96"/>
  <c r="S27" i="95"/>
  <c r="S28" i="94"/>
  <c r="AA28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5" i="107" l="1"/>
  <c r="AF18" i="107"/>
  <c r="AF19" i="107"/>
  <c r="AF20" i="107"/>
  <c r="AE21" i="107"/>
  <c r="AF18" i="108"/>
  <c r="AF11" i="108"/>
  <c r="Y11" i="111"/>
  <c r="Y13" i="111"/>
  <c r="AC15" i="111"/>
  <c r="W18" i="111"/>
  <c r="Y20" i="111"/>
  <c r="AA12" i="111"/>
  <c r="AA14" i="111"/>
  <c r="AD11" i="111"/>
  <c r="AA17" i="111"/>
  <c r="W19" i="111"/>
  <c r="Y21" i="111"/>
  <c r="AB11" i="111"/>
  <c r="Z13" i="111"/>
  <c r="U35" i="108"/>
  <c r="S37" i="107"/>
  <c r="AC38" i="107"/>
  <c r="U36" i="107"/>
  <c r="AF14" i="107"/>
  <c r="AF12" i="107"/>
  <c r="AE16" i="108"/>
  <c r="Y12" i="111"/>
  <c r="AC16" i="111"/>
  <c r="Y39" i="111"/>
  <c r="AA11" i="111"/>
  <c r="AA13" i="111"/>
  <c r="AA38" i="111" s="1"/>
  <c r="Y18" i="111"/>
  <c r="U20" i="111"/>
  <c r="AA37" i="108"/>
  <c r="AC36" i="107"/>
  <c r="AC21" i="111"/>
  <c r="AC39" i="108"/>
  <c r="Y36" i="108"/>
  <c r="X38" i="108"/>
  <c r="AA35" i="108"/>
  <c r="AD35" i="108"/>
  <c r="AE11" i="107"/>
  <c r="Y35" i="107"/>
  <c r="S38" i="108"/>
  <c r="Y36" i="111"/>
  <c r="X10" i="111"/>
  <c r="H106" i="111"/>
  <c r="Y15" i="111"/>
  <c r="C106" i="111"/>
  <c r="S10" i="111"/>
  <c r="Z10" i="111"/>
  <c r="J106" i="111"/>
  <c r="Z34" i="108"/>
  <c r="Z40" i="108"/>
  <c r="Z37" i="108"/>
  <c r="Z41" i="108"/>
  <c r="AB40" i="108"/>
  <c r="AB41" i="108"/>
  <c r="AB37" i="108"/>
  <c r="AB34" i="108"/>
  <c r="X38" i="107"/>
  <c r="X35" i="107"/>
  <c r="AD39" i="107"/>
  <c r="AD36" i="107"/>
  <c r="Y40" i="108"/>
  <c r="Y37" i="108"/>
  <c r="Y41" i="108"/>
  <c r="Y34" i="108"/>
  <c r="AD37" i="108"/>
  <c r="AD34" i="108"/>
  <c r="AD40" i="108"/>
  <c r="AD41" i="108"/>
  <c r="Y35" i="108"/>
  <c r="Z41" i="107"/>
  <c r="Z34" i="107"/>
  <c r="Z37" i="107"/>
  <c r="Z40" i="107"/>
  <c r="Z42" i="107" s="1"/>
  <c r="Z39" i="107"/>
  <c r="Z36" i="107"/>
  <c r="W40" i="107"/>
  <c r="W37" i="107"/>
  <c r="W34" i="107"/>
  <c r="W41" i="107"/>
  <c r="AC34" i="108"/>
  <c r="AC37" i="108"/>
  <c r="AC41" i="108"/>
  <c r="AC40" i="108"/>
  <c r="W38" i="107"/>
  <c r="W35" i="107"/>
  <c r="AD39" i="108"/>
  <c r="AD36" i="108"/>
  <c r="S35" i="108"/>
  <c r="T40" i="108"/>
  <c r="T41" i="108"/>
  <c r="T37" i="108"/>
  <c r="T34" i="108"/>
  <c r="U34" i="108"/>
  <c r="U40" i="108"/>
  <c r="U41" i="108"/>
  <c r="U42" i="108" s="1"/>
  <c r="U37" i="108"/>
  <c r="AF10" i="107"/>
  <c r="P106" i="107"/>
  <c r="C107" i="107" s="1"/>
  <c r="AF16" i="107"/>
  <c r="AE18" i="107"/>
  <c r="AE19" i="107"/>
  <c r="AE20" i="107"/>
  <c r="AF21" i="107"/>
  <c r="AF11" i="107"/>
  <c r="AE18" i="108"/>
  <c r="AF20" i="108"/>
  <c r="AF15" i="108"/>
  <c r="AE20" i="108"/>
  <c r="AE14" i="108"/>
  <c r="AF10" i="108"/>
  <c r="P106" i="108"/>
  <c r="AC11" i="111"/>
  <c r="AC12" i="111"/>
  <c r="AC13" i="111"/>
  <c r="Y17" i="111"/>
  <c r="AC18" i="111"/>
  <c r="AA19" i="111"/>
  <c r="AD10" i="111"/>
  <c r="N106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15" i="111"/>
  <c r="T16" i="111"/>
  <c r="T17" i="111"/>
  <c r="T18" i="111"/>
  <c r="T19" i="111"/>
  <c r="T20" i="111"/>
  <c r="T21" i="111"/>
  <c r="E106" i="111"/>
  <c r="U10" i="111"/>
  <c r="AA18" i="111"/>
  <c r="AA20" i="111"/>
  <c r="AA21" i="111"/>
  <c r="L106" i="111"/>
  <c r="AB10" i="111"/>
  <c r="W40" i="108"/>
  <c r="W41" i="108"/>
  <c r="W37" i="108"/>
  <c r="W34" i="108"/>
  <c r="W39" i="108"/>
  <c r="W36" i="108"/>
  <c r="AB38" i="108"/>
  <c r="AB35" i="108"/>
  <c r="AB38" i="107"/>
  <c r="AB35" i="107"/>
  <c r="T36" i="107"/>
  <c r="T39" i="107"/>
  <c r="X36" i="108"/>
  <c r="X39" i="108"/>
  <c r="Y39" i="108"/>
  <c r="AC35" i="108"/>
  <c r="T36" i="108"/>
  <c r="T39" i="108"/>
  <c r="AC35" i="107"/>
  <c r="U39" i="107"/>
  <c r="Y36" i="107"/>
  <c r="AD38" i="108"/>
  <c r="X40" i="107"/>
  <c r="X41" i="107"/>
  <c r="X34" i="107"/>
  <c r="X37" i="107"/>
  <c r="AA40" i="108"/>
  <c r="AA34" i="108"/>
  <c r="AA41" i="108"/>
  <c r="AA42" i="108" s="1"/>
  <c r="U38" i="108"/>
  <c r="U39" i="108"/>
  <c r="U36" i="108"/>
  <c r="AA38" i="108"/>
  <c r="V36" i="108"/>
  <c r="V39" i="107"/>
  <c r="V36" i="107"/>
  <c r="S40" i="107"/>
  <c r="S34" i="107"/>
  <c r="S41" i="107"/>
  <c r="Y38" i="108"/>
  <c r="V40" i="108"/>
  <c r="V37" i="108"/>
  <c r="V41" i="108"/>
  <c r="V34" i="108"/>
  <c r="AA35" i="107"/>
  <c r="AA38" i="107"/>
  <c r="AE13" i="108"/>
  <c r="AF15" i="107"/>
  <c r="AE13" i="107"/>
  <c r="AE21" i="108"/>
  <c r="AF21" i="108"/>
  <c r="AF14" i="108"/>
  <c r="AE11" i="108"/>
  <c r="AE15" i="108"/>
  <c r="AE17" i="108"/>
  <c r="AF13" i="108"/>
  <c r="S15" i="111"/>
  <c r="S16" i="111"/>
  <c r="AC17" i="111"/>
  <c r="AC39" i="111"/>
  <c r="AB12" i="111"/>
  <c r="Z14" i="111"/>
  <c r="Z35" i="111" s="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Y10" i="111"/>
  <c r="I106" i="111"/>
  <c r="S17" i="111"/>
  <c r="S18" i="111"/>
  <c r="AC20" i="111"/>
  <c r="AC36" i="111" s="1"/>
  <c r="Z39" i="108"/>
  <c r="Z36" i="108"/>
  <c r="V35" i="108"/>
  <c r="V38" i="108"/>
  <c r="X36" i="107"/>
  <c r="X39" i="107"/>
  <c r="AD35" i="107"/>
  <c r="AD38" i="107"/>
  <c r="S38" i="107"/>
  <c r="S35" i="107"/>
  <c r="AB36" i="108"/>
  <c r="AB39" i="108"/>
  <c r="U38" i="107"/>
  <c r="Y39" i="107"/>
  <c r="V35" i="107"/>
  <c r="V38" i="107"/>
  <c r="S36" i="107"/>
  <c r="S39" i="107"/>
  <c r="T38" i="108"/>
  <c r="T35" i="108"/>
  <c r="AA39" i="108"/>
  <c r="AB40" i="107"/>
  <c r="AB41" i="107"/>
  <c r="AB42" i="107" s="1"/>
  <c r="AB34" i="107"/>
  <c r="AB37" i="107"/>
  <c r="AE10" i="107"/>
  <c r="O106" i="107"/>
  <c r="AF36" i="107"/>
  <c r="AF39" i="107"/>
  <c r="AF17" i="108"/>
  <c r="AA10" i="111"/>
  <c r="AA37" i="111" s="1"/>
  <c r="K106" i="111"/>
  <c r="Y16" i="111"/>
  <c r="Y38" i="111" s="1"/>
  <c r="Y40" i="107"/>
  <c r="Y34" i="107"/>
  <c r="Y37" i="107"/>
  <c r="Y41" i="107"/>
  <c r="AA40" i="107"/>
  <c r="AA34" i="107"/>
  <c r="AA41" i="107"/>
  <c r="W39" i="107"/>
  <c r="W36" i="107"/>
  <c r="AF17" i="107"/>
  <c r="AE14" i="107"/>
  <c r="AE16" i="107"/>
  <c r="AE17" i="107"/>
  <c r="AF13" i="107"/>
  <c r="AF12" i="108"/>
  <c r="AF16" i="108"/>
  <c r="AE19" i="108"/>
  <c r="AE12" i="108"/>
  <c r="AF19" i="108"/>
  <c r="AE10" i="108"/>
  <c r="O106" i="108"/>
  <c r="AA42" i="110"/>
  <c r="W10" i="111"/>
  <c r="G106" i="111"/>
  <c r="U11" i="111"/>
  <c r="U12" i="111"/>
  <c r="U13" i="111"/>
  <c r="W14" i="111"/>
  <c r="U15" i="111"/>
  <c r="S19" i="111"/>
  <c r="W20" i="111"/>
  <c r="W39" i="111" s="1"/>
  <c r="S21" i="111"/>
  <c r="F106" i="111"/>
  <c r="V10" i="111"/>
  <c r="AB13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W15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AC10" i="111"/>
  <c r="M106" i="111"/>
  <c r="U17" i="111"/>
  <c r="U18" i="111"/>
  <c r="U19" i="111"/>
  <c r="U39" i="111" s="1"/>
  <c r="S20" i="111"/>
  <c r="W21" i="111"/>
  <c r="D106" i="111"/>
  <c r="T10" i="111"/>
  <c r="W38" i="108"/>
  <c r="W35" i="108"/>
  <c r="T38" i="107"/>
  <c r="T35" i="107"/>
  <c r="AB36" i="107"/>
  <c r="AB39" i="107"/>
  <c r="U34" i="107"/>
  <c r="U40" i="107"/>
  <c r="U37" i="107"/>
  <c r="U41" i="107"/>
  <c r="AC34" i="107"/>
  <c r="AC40" i="107"/>
  <c r="AC37" i="107"/>
  <c r="AC41" i="107"/>
  <c r="S40" i="108"/>
  <c r="S34" i="108"/>
  <c r="S37" i="108"/>
  <c r="S41" i="108"/>
  <c r="T40" i="107"/>
  <c r="T34" i="107"/>
  <c r="T37" i="107"/>
  <c r="T41" i="107"/>
  <c r="X40" i="108"/>
  <c r="X41" i="108"/>
  <c r="X37" i="108"/>
  <c r="X34" i="108"/>
  <c r="U35" i="107"/>
  <c r="Y38" i="107"/>
  <c r="AC39" i="107"/>
  <c r="V40" i="107"/>
  <c r="V34" i="107"/>
  <c r="V37" i="107"/>
  <c r="V41" i="107"/>
  <c r="V42" i="107" s="1"/>
  <c r="AD40" i="107"/>
  <c r="AD41" i="107"/>
  <c r="AD34" i="107"/>
  <c r="AD37" i="107"/>
  <c r="Z35" i="108"/>
  <c r="Z38" i="108"/>
  <c r="Z35" i="107"/>
  <c r="Z38" i="107"/>
  <c r="AA37" i="107"/>
  <c r="AA36" i="107"/>
  <c r="AA39" i="107"/>
  <c r="S42" i="110"/>
  <c r="X42" i="109"/>
  <c r="V22" i="93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T38" i="111" l="1"/>
  <c r="W42" i="107"/>
  <c r="AF15" i="111"/>
  <c r="AE11" i="111"/>
  <c r="AE16" i="111"/>
  <c r="W36" i="111"/>
  <c r="V42" i="108"/>
  <c r="AA35" i="111"/>
  <c r="AE13" i="111"/>
  <c r="Y42" i="107"/>
  <c r="AC42" i="108"/>
  <c r="Y35" i="111"/>
  <c r="AF20" i="111"/>
  <c r="AF19" i="111"/>
  <c r="AB36" i="111"/>
  <c r="AB39" i="111"/>
  <c r="V34" i="111"/>
  <c r="V41" i="111"/>
  <c r="V37" i="111"/>
  <c r="V40" i="111"/>
  <c r="AF38" i="107"/>
  <c r="AF35" i="107"/>
  <c r="X36" i="111"/>
  <c r="X39" i="111"/>
  <c r="AF38" i="108"/>
  <c r="AF35" i="108"/>
  <c r="AA39" i="111"/>
  <c r="AA36" i="111"/>
  <c r="AE36" i="107"/>
  <c r="AE39" i="107"/>
  <c r="AF40" i="107"/>
  <c r="AF37" i="107"/>
  <c r="AF34" i="107"/>
  <c r="AF41" i="107"/>
  <c r="AF12" i="111"/>
  <c r="AE12" i="111"/>
  <c r="AE20" i="111"/>
  <c r="AF18" i="111"/>
  <c r="AE15" i="111"/>
  <c r="AF17" i="111"/>
  <c r="AF14" i="111"/>
  <c r="AF38" i="111" s="1"/>
  <c r="X42" i="108"/>
  <c r="T40" i="111"/>
  <c r="T37" i="111"/>
  <c r="T41" i="111"/>
  <c r="T42" i="111" s="1"/>
  <c r="T34" i="111"/>
  <c r="AC40" i="111"/>
  <c r="AC37" i="111"/>
  <c r="AC34" i="111"/>
  <c r="AC41" i="111"/>
  <c r="AD39" i="111"/>
  <c r="AD36" i="111"/>
  <c r="AE39" i="108"/>
  <c r="AE36" i="108"/>
  <c r="Y40" i="111"/>
  <c r="Y41" i="111"/>
  <c r="Y42" i="111" s="1"/>
  <c r="Y37" i="111"/>
  <c r="Y34" i="111"/>
  <c r="Z38" i="111"/>
  <c r="U36" i="111"/>
  <c r="X42" i="107"/>
  <c r="AB40" i="111"/>
  <c r="AB41" i="111"/>
  <c r="AB34" i="111"/>
  <c r="AB37" i="111"/>
  <c r="V39" i="111"/>
  <c r="V36" i="111"/>
  <c r="AD42" i="108"/>
  <c r="S40" i="111"/>
  <c r="S34" i="111"/>
  <c r="S37" i="111"/>
  <c r="X40" i="111"/>
  <c r="X34" i="111"/>
  <c r="X41" i="111"/>
  <c r="X37" i="111"/>
  <c r="AE10" i="111"/>
  <c r="O106" i="111"/>
  <c r="AF21" i="111"/>
  <c r="AE14" i="111"/>
  <c r="AD35" i="111"/>
  <c r="AD38" i="111"/>
  <c r="AE40" i="108"/>
  <c r="AE37" i="108"/>
  <c r="AE34" i="108"/>
  <c r="AE41" i="108"/>
  <c r="T35" i="111"/>
  <c r="AA40" i="111"/>
  <c r="AA41" i="111"/>
  <c r="AA42" i="111" s="1"/>
  <c r="AA34" i="111"/>
  <c r="X38" i="111"/>
  <c r="X35" i="111"/>
  <c r="S38" i="111"/>
  <c r="S35" i="111"/>
  <c r="AE38" i="108"/>
  <c r="AE35" i="108"/>
  <c r="S42" i="107"/>
  <c r="U41" i="111"/>
  <c r="U40" i="111"/>
  <c r="U37" i="111"/>
  <c r="U34" i="111"/>
  <c r="T36" i="111"/>
  <c r="T39" i="111"/>
  <c r="AC38" i="111"/>
  <c r="Y42" i="108"/>
  <c r="Z40" i="111"/>
  <c r="Z37" i="111"/>
  <c r="Z41" i="111"/>
  <c r="Z34" i="111"/>
  <c r="W38" i="111"/>
  <c r="W35" i="111"/>
  <c r="S36" i="111"/>
  <c r="S39" i="111"/>
  <c r="S41" i="111"/>
  <c r="S42" i="111" s="1"/>
  <c r="AF11" i="111"/>
  <c r="AE19" i="111"/>
  <c r="AE17" i="111"/>
  <c r="AF16" i="111"/>
  <c r="AE21" i="111"/>
  <c r="AE18" i="111"/>
  <c r="P106" i="111"/>
  <c r="N107" i="111" s="1"/>
  <c r="AF10" i="111"/>
  <c r="AD42" i="107"/>
  <c r="T42" i="107"/>
  <c r="S42" i="108"/>
  <c r="AC42" i="107"/>
  <c r="U42" i="107"/>
  <c r="U38" i="111"/>
  <c r="AB38" i="111"/>
  <c r="AB35" i="111"/>
  <c r="U35" i="111"/>
  <c r="W40" i="111"/>
  <c r="W37" i="111"/>
  <c r="W34" i="111"/>
  <c r="W41" i="111"/>
  <c r="W42" i="111" s="1"/>
  <c r="AF36" i="108"/>
  <c r="AF39" i="108"/>
  <c r="AA42" i="107"/>
  <c r="AE40" i="107"/>
  <c r="AE34" i="107"/>
  <c r="AE41" i="107"/>
  <c r="AE42" i="107" s="1"/>
  <c r="AE37" i="107"/>
  <c r="Z39" i="111"/>
  <c r="Z36" i="111"/>
  <c r="AE38" i="107"/>
  <c r="AE35" i="107"/>
  <c r="W42" i="108"/>
  <c r="V35" i="111"/>
  <c r="V38" i="111"/>
  <c r="AD41" i="111"/>
  <c r="AD34" i="111"/>
  <c r="AD40" i="111"/>
  <c r="AD37" i="111"/>
  <c r="AC35" i="111"/>
  <c r="AF40" i="108"/>
  <c r="AF37" i="108"/>
  <c r="AF34" i="108"/>
  <c r="AF41" i="108"/>
  <c r="T42" i="108"/>
  <c r="AB42" i="108"/>
  <c r="Z42" i="108"/>
  <c r="K108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D42" i="111" l="1"/>
  <c r="AE35" i="111"/>
  <c r="U42" i="111"/>
  <c r="X42" i="111"/>
  <c r="AC42" i="111"/>
  <c r="AF42" i="107"/>
  <c r="AE36" i="111"/>
  <c r="AE39" i="111"/>
  <c r="AE38" i="111"/>
  <c r="AE40" i="111"/>
  <c r="AE37" i="111"/>
  <c r="AE34" i="111"/>
  <c r="AE41" i="111"/>
  <c r="V42" i="111"/>
  <c r="AF35" i="111"/>
  <c r="AF36" i="111"/>
  <c r="AF39" i="111"/>
  <c r="AF42" i="108"/>
  <c r="AF40" i="111"/>
  <c r="AF37" i="111"/>
  <c r="AF41" i="111"/>
  <c r="AF42" i="111" s="1"/>
  <c r="AF34" i="111"/>
  <c r="Z42" i="111"/>
  <c r="AE42" i="108"/>
  <c r="AB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<sst xmlns="http://schemas.openxmlformats.org/spreadsheetml/2006/main" count="2324" uniqueCount="175">
  <si>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</si>
  <si>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</si>
  <si>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</si>
  <si>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</si>
  <si>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</si>
  <si>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</si>
  <si>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</si>
  <si>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</si>
  <si>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</si>
  <si>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</si>
  <si>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</si>
  <si>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</si>
  <si>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</si>
  <si>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</si>
  <si>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</si>
  <si>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</si>
  <si>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</si>
  <si>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</si>
  <si>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</si>
  <si>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</si>
  <si>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</si>
  <si>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</si>
  <si>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</si>
  <si>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</si>
  <si>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</si>
  <si>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</si>
  <si>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</si>
  <si>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</si>
  <si>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</si>
  <si>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</si>
  <si>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</si>
  <si>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</si>
  <si>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</si>
  <si>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</si>
  <si>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</si>
  <si>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</si>
  <si>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</si>
  <si>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</si>
  <si>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</si>
  <si>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</si>
  <si>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</si>
  <si>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</si>
  <si>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</si>
  <si>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</si>
  <si>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</si>
  <si>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</si>
  <si>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</si>
  <si>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</si>
  <si>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</si>
  <si>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</si>
  <si>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</si>
  <si>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</si>
  <si>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</si>
  <si>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</si>
  <si>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</si>
  <si>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</si>
  <si>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</si>
  <si>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</si>
  <si>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</si>
  <si>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</si>
  <si>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</si>
  <si>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</si>
  <si>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</si>
  <si>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</si>
  <si>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</si>
  <si>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</si>
  <si>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</si>
  <si>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</si>
  <si>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</si>
  <si>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</si>
  <si>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</si>
  <si>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</si>
  <si>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</si>
  <si>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</si>
  <si>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</si>
  <si>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</si>
  <si>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</si>
  <si>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</si>
  <si>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</si>
  <si>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</si>
  <si>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</si>
  <si>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</si>
  <si>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</si>
  <si>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</si>
  <si>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</si>
  <si>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</si>
  <si>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</si>
  <si>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</si>
  <si>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</si>
  <si>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</si>
  <si>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</si>
  <si>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</si>
  <si>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</si>
  <si>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</si>
  <si>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</si>
  <si>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</si>
  <si>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</si>
  <si>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</si>
  <si>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</si>
  <si>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</si>
  <si>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</si>
  <si>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</si>
  <si>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</si>
  <si>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</si>
  <si>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</si>
  <si>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</si>
  <si>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</si>
  <si>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</si>
  <si>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</si>
  <si>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</si>
  <si>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</si>
  <si>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</si>
  <si>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</si>
  <si>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</si>
  <si>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</si>
  <si>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</si>
  <si>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</si>
  <si>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</si>
  <si>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</si>
  <si>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</si>
  <si>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</si>
  <si>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</si>
  <si>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</si>
  <si>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</si>
  <si>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</si>
  <si>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</si>
  <si>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</si>
  <si>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</si>
  <si>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</si>
  <si>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</si>
  <si>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</si>
  <si>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</si>
  <si>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</si>
  <si>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</si>
  <si>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</si>
  <si>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</si>
  <si>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</si>
  <si>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</si>
  <si>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</si>
  <si>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</si>
  <si>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</si>
  <si>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</si>
  <si>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</si>
  <si>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</si>
  <si>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</si>
  <si>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</si>
  <si>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</si>
  <si>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</si>
  <si>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</si>
  <si>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</si>
  <si>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</si>
  <si>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</si>
  <si>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</si>
  <si>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</si>
  <si>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</si>
  <si>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</si>
  <si>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</si>
  <si>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</si>
  <si>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</si>
  <si>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</si>
  <si>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</si>
  <si>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</si>
  <si>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</si>
  <si>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</si>
  <si>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MCC - C5 - STN130 - ATIAK-PALABEK ROAD</t>
  </si>
  <si>
    <t>Atiak</t>
  </si>
  <si>
    <t>Palabek</t>
  </si>
  <si>
    <t>02.08.19</t>
  </si>
  <si>
    <t>31.07.19</t>
  </si>
  <si>
    <t>01.08.19</t>
  </si>
  <si>
    <t>03.08.19</t>
  </si>
  <si>
    <t>05.08.19</t>
  </si>
  <si>
    <t>06.08.19</t>
  </si>
  <si>
    <t>04.08.19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</si>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</sst>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Atiak-Palabek'!$AE$9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Atiak-Palabek'!$AE$10:$AE$21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'31.07 Atiak-Palabek'!$AF$9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Atiak-Palabek'!$AF$10:$AF$21</c:f>
              <c:numCache>
                <c:formatCode>0</c:formatCode>
                <c:ptCount val="12"/>
                <c:pt idx="0">
                  <c:v>9</c:v>
                </c:pt>
                <c:pt idx="1">
                  <c:v>9</c:v>
                </c:pt>
                <c:pt idx="2">
                  <c:v>12</c:v>
                </c:pt>
                <c:pt idx="3">
                  <c:v>11</c:v>
                </c:pt>
                <c:pt idx="4">
                  <c:v>12</c:v>
                </c:pt>
                <c:pt idx="5">
                  <c:v>12</c:v>
                </c:pt>
                <c:pt idx="6">
                  <c:v>14</c:v>
                </c:pt>
                <c:pt idx="7">
                  <c:v>13</c:v>
                </c:pt>
                <c:pt idx="8">
                  <c:v>18</c:v>
                </c:pt>
                <c:pt idx="9">
                  <c:v>15</c:v>
                </c:pt>
                <c:pt idx="10">
                  <c:v>22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627456"/>
        <c:axId val="88633728"/>
      </c:lineChart>
      <c:catAx>
        <c:axId val="88627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8633728"/>
        <c:crosses val="autoZero"/>
        <c:auto val="1"/>
        <c:lblAlgn val="ctr"/>
        <c:lblOffset val="100"/>
        <c:noMultiLvlLbl val="0"/>
      </c:catAx>
      <c:valAx>
        <c:axId val="88633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862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Atiak-Palabek'!$C$59:$N$59</c:f>
              <c:numCache>
                <c:formatCode>0.0%</c:formatCode>
                <c:ptCount val="12"/>
                <c:pt idx="0">
                  <c:v>1.2345679012345678E-2</c:v>
                </c:pt>
                <c:pt idx="1">
                  <c:v>0</c:v>
                </c:pt>
                <c:pt idx="2">
                  <c:v>4.9382716049382713E-2</c:v>
                </c:pt>
                <c:pt idx="3">
                  <c:v>6.1728395061728392E-3</c:v>
                </c:pt>
                <c:pt idx="4">
                  <c:v>0</c:v>
                </c:pt>
                <c:pt idx="5">
                  <c:v>0</c:v>
                </c:pt>
                <c:pt idx="6">
                  <c:v>8.0246913580246909E-2</c:v>
                </c:pt>
                <c:pt idx="7">
                  <c:v>6.1728395061728392E-3</c:v>
                </c:pt>
                <c:pt idx="8">
                  <c:v>0</c:v>
                </c:pt>
                <c:pt idx="9">
                  <c:v>0</c:v>
                </c:pt>
                <c:pt idx="10">
                  <c:v>0.84567901234567899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Atiak-Palabek'!$C$60:$N$60</c:f>
              <c:numCache>
                <c:formatCode>0.00%</c:formatCode>
                <c:ptCount val="12"/>
                <c:pt idx="0">
                  <c:v>0.08</c:v>
                </c:pt>
                <c:pt idx="1">
                  <c:v>0</c:v>
                </c:pt>
                <c:pt idx="2">
                  <c:v>0.32</c:v>
                </c:pt>
                <c:pt idx="3">
                  <c:v>0.04</c:v>
                </c:pt>
                <c:pt idx="4">
                  <c:v>0</c:v>
                </c:pt>
                <c:pt idx="5">
                  <c:v>0</c:v>
                </c:pt>
                <c:pt idx="6">
                  <c:v>0.52</c:v>
                </c:pt>
                <c:pt idx="7">
                  <c:v>0.04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Palabek-Atiak'!$AE$9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Palabek-Atiak'!$AE$10:$AE$21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'31.07 Palabek-Atiak'!$AF$9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Palabek-Atiak'!$AF$10:$AF$21</c:f>
              <c:numCache>
                <c:formatCode>0</c:formatCode>
                <c:ptCount val="12"/>
                <c:pt idx="0">
                  <c:v>2</c:v>
                </c:pt>
                <c:pt idx="1">
                  <c:v>10</c:v>
                </c:pt>
                <c:pt idx="2">
                  <c:v>14</c:v>
                </c:pt>
                <c:pt idx="3">
                  <c:v>20</c:v>
                </c:pt>
                <c:pt idx="4">
                  <c:v>9</c:v>
                </c:pt>
                <c:pt idx="5">
                  <c:v>19</c:v>
                </c:pt>
                <c:pt idx="6">
                  <c:v>19</c:v>
                </c:pt>
                <c:pt idx="7">
                  <c:v>12</c:v>
                </c:pt>
                <c:pt idx="8">
                  <c:v>15</c:v>
                </c:pt>
                <c:pt idx="9">
                  <c:v>17</c:v>
                </c:pt>
                <c:pt idx="10">
                  <c:v>21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0944"/>
        <c:axId val="88532864"/>
      </c:lineChart>
      <c:catAx>
        <c:axId val="88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8532864"/>
        <c:crosses val="autoZero"/>
        <c:auto val="1"/>
        <c:lblAlgn val="ctr"/>
        <c:lblOffset val="100"/>
        <c:noMultiLvlLbl val="0"/>
      </c:catAx>
      <c:valAx>
        <c:axId val="88532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8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Palabek-Atiak'!$C$59:$N$59</c:f>
              <c:numCache>
                <c:formatCode>0.0%</c:formatCode>
                <c:ptCount val="12"/>
                <c:pt idx="0">
                  <c:v>2.9411764705882353E-2</c:v>
                </c:pt>
                <c:pt idx="1">
                  <c:v>0</c:v>
                </c:pt>
                <c:pt idx="2">
                  <c:v>3.5294117647058823E-2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7.6470588235294124E-2</c:v>
                </c:pt>
                <c:pt idx="7">
                  <c:v>1.1764705882352941E-2</c:v>
                </c:pt>
                <c:pt idx="8">
                  <c:v>0</c:v>
                </c:pt>
                <c:pt idx="9">
                  <c:v>0</c:v>
                </c:pt>
                <c:pt idx="10">
                  <c:v>0.84705882352941175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Palabek-Atiak'!$S$9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Palabek-Atiak'!$S$10:$S$21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'31.07 Palabek-Atiak'!$T$9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Palabek-Atiak'!$T$10:$T$21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'31.07 Palabek-Atiak'!$U$9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'31.07 Palabek-Atiak'!$V$9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'31.07 Palabek-Atiak'!$W$9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'31.07 Palabek-Atiak'!$X$9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'31.07 Palabek-Atiak'!$Y$9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'31.07 Palabek-Atiak'!$Z$9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'31.07 Palabek-Atiak'!$AA$9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'31.07 Palabek-Atiak'!$AB$9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'31.07 Palabek-Atiak'!$AC$9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Palabek-Atiak'!$AC$10:$AC$21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12</c:v>
                </c:pt>
                <c:pt idx="3">
                  <c:v>15</c:v>
                </c:pt>
                <c:pt idx="4">
                  <c:v>8</c:v>
                </c:pt>
                <c:pt idx="5">
                  <c:v>15</c:v>
                </c:pt>
                <c:pt idx="6">
                  <c:v>15</c:v>
                </c:pt>
                <c:pt idx="7">
                  <c:v>10</c:v>
                </c:pt>
                <c:pt idx="8">
                  <c:v>13</c:v>
                </c:pt>
                <c:pt idx="9">
                  <c:v>17</c:v>
                </c:pt>
                <c:pt idx="10">
                  <c:v>17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'31.07 Palabek-Atiak'!$AD$9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Palabek-Atiak'!$AD$10:$AD$21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971904"/>
        <c:axId val="88973696"/>
      </c:lineChart>
      <c:catAx>
        <c:axId val="8897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8973696"/>
        <c:crosses val="autoZero"/>
        <c:auto val="1"/>
        <c:lblAlgn val="ctr"/>
        <c:lblOffset val="100"/>
        <c:noMultiLvlLbl val="0"/>
      </c:catAx>
      <c:valAx>
        <c:axId val="8897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897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Palabek-Atiak'!$C$60:$N$60</c:f>
              <c:numCache>
                <c:formatCode>0.00%</c:formatCode>
                <c:ptCount val="12"/>
                <c:pt idx="0">
                  <c:v>0.19230769230769232</c:v>
                </c:pt>
                <c:pt idx="1">
                  <c:v>0</c:v>
                </c:pt>
                <c:pt idx="2">
                  <c:v>0.23076923076923078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</c:v>
                </c:pt>
                <c:pt idx="7">
                  <c:v>7.6923076923076927E-2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Atiak-Palabek'!$AE$9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Atiak-Palabek'!$AE$10:$AE$21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'01.08 Atiak-Palabek'!$AF$9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Atiak-Palabek'!$AF$10:$AF$21</c:f>
              <c:numCache>
                <c:formatCode>0</c:formatCode>
                <c:ptCount val="12"/>
                <c:pt idx="0">
                  <c:v>2</c:v>
                </c:pt>
                <c:pt idx="1">
                  <c:v>18</c:v>
                </c:pt>
                <c:pt idx="2">
                  <c:v>22</c:v>
                </c:pt>
                <c:pt idx="3">
                  <c:v>17</c:v>
                </c:pt>
                <c:pt idx="4">
                  <c:v>32</c:v>
                </c:pt>
                <c:pt idx="5">
                  <c:v>27</c:v>
                </c:pt>
                <c:pt idx="6">
                  <c:v>16</c:v>
                </c:pt>
                <c:pt idx="7">
                  <c:v>22</c:v>
                </c:pt>
                <c:pt idx="8">
                  <c:v>14</c:v>
                </c:pt>
                <c:pt idx="9">
                  <c:v>20</c:v>
                </c:pt>
                <c:pt idx="10">
                  <c:v>21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41536"/>
        <c:axId val="90643456"/>
      </c:lineChart>
      <c:catAx>
        <c:axId val="90641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0643456"/>
        <c:crosses val="autoZero"/>
        <c:auto val="1"/>
        <c:lblAlgn val="ctr"/>
        <c:lblOffset val="100"/>
        <c:noMultiLvlLbl val="0"/>
      </c:catAx>
      <c:valAx>
        <c:axId val="906434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064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Atiak-Palabek'!$C$59:$N$59</c:f>
              <c:numCache>
                <c:formatCode>0.0%</c:formatCode>
                <c:ptCount val="12"/>
                <c:pt idx="0">
                  <c:v>4.4843049327354259E-3</c:v>
                </c:pt>
                <c:pt idx="1">
                  <c:v>0</c:v>
                </c:pt>
                <c:pt idx="2">
                  <c:v>4.9327354260089683E-2</c:v>
                </c:pt>
                <c:pt idx="3">
                  <c:v>3.1390134529147982E-2</c:v>
                </c:pt>
                <c:pt idx="4">
                  <c:v>0</c:v>
                </c:pt>
                <c:pt idx="5">
                  <c:v>4.4843049327354259E-3</c:v>
                </c:pt>
                <c:pt idx="6">
                  <c:v>5.829596412556054E-2</c:v>
                </c:pt>
                <c:pt idx="7">
                  <c:v>4.4843049327354259E-3</c:v>
                </c:pt>
                <c:pt idx="8">
                  <c:v>0</c:v>
                </c:pt>
                <c:pt idx="9">
                  <c:v>0</c:v>
                </c:pt>
                <c:pt idx="10">
                  <c:v>0.84753363228699552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Atiak-Palabek'!$S$9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Atiak-Palabek'!$S$10:$S$21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'01.08 Atiak-Palabek'!$T$9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Atiak-Palabek'!$T$10:$T$21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'01.08 Atiak-Palabek'!$U$9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'01.08 Atiak-Palabek'!$V$9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'01.08 Atiak-Palabek'!$W$9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'01.08 Atiak-Palabek'!$X$9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'01.08 Atiak-Palabek'!$Y$9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'01.08 Atiak-Palabek'!$Z$9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'01.08 Atiak-Palabek'!$AA$9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'01.08 Atiak-Palabek'!$AB$9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'01.08 Atiak-Palabek'!$AC$9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Atiak-Palabek'!$AC$10:$AC$21</c:f>
              <c:numCache>
                <c:formatCode>0</c:formatCode>
                <c:ptCount val="12"/>
                <c:pt idx="0">
                  <c:v>2</c:v>
                </c:pt>
                <c:pt idx="1">
                  <c:v>18</c:v>
                </c:pt>
                <c:pt idx="2">
                  <c:v>19</c:v>
                </c:pt>
                <c:pt idx="3">
                  <c:v>12</c:v>
                </c:pt>
                <c:pt idx="4">
                  <c:v>25</c:v>
                </c:pt>
                <c:pt idx="5">
                  <c:v>23</c:v>
                </c:pt>
                <c:pt idx="6">
                  <c:v>12</c:v>
                </c:pt>
                <c:pt idx="7">
                  <c:v>21</c:v>
                </c:pt>
                <c:pt idx="8">
                  <c:v>11</c:v>
                </c:pt>
                <c:pt idx="9">
                  <c:v>19</c:v>
                </c:pt>
                <c:pt idx="10">
                  <c:v>17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'01.08 Atiak-Palabek'!$AD$9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Atiak-Palabek'!$AD$10:$AD$21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885120"/>
        <c:axId val="90891008"/>
      </c:lineChart>
      <c:catAx>
        <c:axId val="9088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0891008"/>
        <c:crosses val="autoZero"/>
        <c:auto val="1"/>
        <c:lblAlgn val="ctr"/>
        <c:lblOffset val="100"/>
        <c:noMultiLvlLbl val="0"/>
      </c:catAx>
      <c:valAx>
        <c:axId val="908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088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Atiak-Palabek'!$C$60:$N$60</c:f>
              <c:numCache>
                <c:formatCode>0.00%</c:formatCode>
                <c:ptCount val="12"/>
                <c:pt idx="0">
                  <c:v>2.9411764705882353E-2</c:v>
                </c:pt>
                <c:pt idx="1">
                  <c:v>0</c:v>
                </c:pt>
                <c:pt idx="2">
                  <c:v>0.3235294117647059</c:v>
                </c:pt>
                <c:pt idx="3">
                  <c:v>0.20588235294117646</c:v>
                </c:pt>
                <c:pt idx="4">
                  <c:v>0</c:v>
                </c:pt>
                <c:pt idx="5">
                  <c:v>2.9411764705882353E-2</c:v>
                </c:pt>
                <c:pt idx="6">
                  <c:v>0.38235294117647056</c:v>
                </c:pt>
                <c:pt idx="7">
                  <c:v>2.9411764705882353E-2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Palabek-Atiak'!$AE$9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Palabek-Atiak'!$AE$10:$AE$21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'01.08 Palabek-Atiak'!$AF$9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Palabek-Atiak'!$AF$10:$AF$21</c:f>
              <c:numCache>
                <c:formatCode>0</c:formatCode>
                <c:ptCount val="12"/>
                <c:pt idx="0">
                  <c:v>2</c:v>
                </c:pt>
                <c:pt idx="1">
                  <c:v>13</c:v>
                </c:pt>
                <c:pt idx="2">
                  <c:v>29</c:v>
                </c:pt>
                <c:pt idx="3">
                  <c:v>20</c:v>
                </c:pt>
                <c:pt idx="4">
                  <c:v>23</c:v>
                </c:pt>
                <c:pt idx="5">
                  <c:v>14</c:v>
                </c:pt>
                <c:pt idx="6">
                  <c:v>17</c:v>
                </c:pt>
                <c:pt idx="7">
                  <c:v>24</c:v>
                </c:pt>
                <c:pt idx="8">
                  <c:v>23</c:v>
                </c:pt>
                <c:pt idx="9">
                  <c:v>22</c:v>
                </c:pt>
                <c:pt idx="10">
                  <c:v>33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497024"/>
        <c:axId val="90498944"/>
      </c:lineChart>
      <c:catAx>
        <c:axId val="90497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0498944"/>
        <c:crosses val="autoZero"/>
        <c:auto val="1"/>
        <c:lblAlgn val="ctr"/>
        <c:lblOffset val="100"/>
        <c:noMultiLvlLbl val="0"/>
      </c:catAx>
      <c:valAx>
        <c:axId val="90498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049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Palabek-Atiak'!$C$59:$N$59</c:f>
              <c:numCache>
                <c:formatCode>0.0%</c:formatCode>
                <c:ptCount val="12"/>
                <c:pt idx="0">
                  <c:v>8.0645161290322578E-3</c:v>
                </c:pt>
                <c:pt idx="1">
                  <c:v>0</c:v>
                </c:pt>
                <c:pt idx="2">
                  <c:v>4.8387096774193547E-2</c:v>
                </c:pt>
                <c:pt idx="3">
                  <c:v>2.4193548387096774E-2</c:v>
                </c:pt>
                <c:pt idx="4">
                  <c:v>0</c:v>
                </c:pt>
                <c:pt idx="5">
                  <c:v>4.0322580645161289E-3</c:v>
                </c:pt>
                <c:pt idx="6">
                  <c:v>5.2419354838709679E-2</c:v>
                </c:pt>
                <c:pt idx="7">
                  <c:v>4.0322580645161289E-3</c:v>
                </c:pt>
                <c:pt idx="8">
                  <c:v>0</c:v>
                </c:pt>
                <c:pt idx="9">
                  <c:v>0</c:v>
                </c:pt>
                <c:pt idx="10">
                  <c:v>0.8588709677419355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Palabek-Atiak'!$S$9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Palabek-Atiak'!$S$10:$S$21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'01.08 Palabek-Atiak'!$T$9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Palabek-Atiak'!$T$10:$T$21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'01.08 Palabek-Atiak'!$U$9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'01.08 Palabek-Atiak'!$V$9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'01.08 Palabek-Atiak'!$W$9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'01.08 Palabek-Atiak'!$X$9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'01.08 Palabek-Atiak'!$Y$9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'01.08 Palabek-Atiak'!$Z$9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'01.08 Palabek-Atiak'!$AA$9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'01.08 Palabek-Atiak'!$AB$9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'01.08 Palabek-Atiak'!$AC$9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Palabek-Atiak'!$AC$10:$AC$21</c:f>
              <c:numCache>
                <c:formatCode>0</c:formatCode>
                <c:ptCount val="12"/>
                <c:pt idx="0">
                  <c:v>2</c:v>
                </c:pt>
                <c:pt idx="1">
                  <c:v>13</c:v>
                </c:pt>
                <c:pt idx="2">
                  <c:v>26</c:v>
                </c:pt>
                <c:pt idx="3">
                  <c:v>16</c:v>
                </c:pt>
                <c:pt idx="4">
                  <c:v>15</c:v>
                </c:pt>
                <c:pt idx="5">
                  <c:v>10</c:v>
                </c:pt>
                <c:pt idx="6">
                  <c:v>13</c:v>
                </c:pt>
                <c:pt idx="7">
                  <c:v>23</c:v>
                </c:pt>
                <c:pt idx="8">
                  <c:v>20</c:v>
                </c:pt>
                <c:pt idx="9">
                  <c:v>21</c:v>
                </c:pt>
                <c:pt idx="10">
                  <c:v>28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'01.08 Palabek-Atiak'!$AD$9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Palabek-Atiak'!$AD$10:$AD$21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273088"/>
        <c:axId val="91274624"/>
      </c:lineChart>
      <c:catAx>
        <c:axId val="91273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1274624"/>
        <c:crosses val="autoZero"/>
        <c:auto val="1"/>
        <c:lblAlgn val="ctr"/>
        <c:lblOffset val="100"/>
        <c:noMultiLvlLbl val="0"/>
      </c:catAx>
      <c:valAx>
        <c:axId val="912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127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Palabek-Atiak'!$C$60:$N$60</c:f>
              <c:numCache>
                <c:formatCode>0.00%</c:formatCode>
                <c:ptCount val="12"/>
                <c:pt idx="0">
                  <c:v>5.7142857142857141E-2</c:v>
                </c:pt>
                <c:pt idx="1">
                  <c:v>0</c:v>
                </c:pt>
                <c:pt idx="2">
                  <c:v>0.34285714285714286</c:v>
                </c:pt>
                <c:pt idx="3">
                  <c:v>0.17142857142857143</c:v>
                </c:pt>
                <c:pt idx="4">
                  <c:v>0</c:v>
                </c:pt>
                <c:pt idx="5">
                  <c:v>2.8571428571428571E-2</c:v>
                </c:pt>
                <c:pt idx="6">
                  <c:v>0.37142857142857144</c:v>
                </c:pt>
                <c:pt idx="7">
                  <c:v>2.8571428571428571E-2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Atiak-Palabek-24h'!$AE$9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Atiak-Palabek-24h'!$R$10:$R$33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Atiak-Palabek-24h'!$AE$10:$AE$33</c:f>
              <c:numCache>
                <c:formatCode>0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6</c:v>
                </c:pt>
                <c:pt idx="6">
                  <c:v>10</c:v>
                </c:pt>
                <c:pt idx="7">
                  <c:v>13</c:v>
                </c:pt>
                <c:pt idx="8">
                  <c:v>9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  <c:pt idx="12">
                  <c:v>7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'02.08 Atiak-Palabek-24h'!$AF$9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Atiak-Palabek-24h'!$R$10:$R$33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Atiak-Palabek-24h'!$AF$10:$AF$33</c:f>
              <c:numCache>
                <c:formatCode>0</c:formatCode>
                <c:ptCount val="24"/>
                <c:pt idx="0">
                  <c:v>19</c:v>
                </c:pt>
                <c:pt idx="1">
                  <c:v>21</c:v>
                </c:pt>
                <c:pt idx="2">
                  <c:v>21</c:v>
                </c:pt>
                <c:pt idx="3">
                  <c:v>15</c:v>
                </c:pt>
                <c:pt idx="4">
                  <c:v>25</c:v>
                </c:pt>
                <c:pt idx="5">
                  <c:v>21</c:v>
                </c:pt>
                <c:pt idx="6">
                  <c:v>25</c:v>
                </c:pt>
                <c:pt idx="7">
                  <c:v>26</c:v>
                </c:pt>
                <c:pt idx="8">
                  <c:v>17</c:v>
                </c:pt>
                <c:pt idx="9">
                  <c:v>29</c:v>
                </c:pt>
                <c:pt idx="10">
                  <c:v>22</c:v>
                </c:pt>
                <c:pt idx="11">
                  <c:v>25</c:v>
                </c:pt>
                <c:pt idx="12">
                  <c:v>25</c:v>
                </c:pt>
                <c:pt idx="13">
                  <c:v>23</c:v>
                </c:pt>
                <c:pt idx="14">
                  <c:v>22</c:v>
                </c:pt>
                <c:pt idx="15">
                  <c:v>11</c:v>
                </c:pt>
                <c:pt idx="16">
                  <c:v>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708032"/>
        <c:axId val="87709568"/>
      </c:lineChart>
      <c:catAx>
        <c:axId val="87708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7709568"/>
        <c:crosses val="autoZero"/>
        <c:auto val="1"/>
        <c:lblAlgn val="ctr"/>
        <c:lblOffset val="100"/>
        <c:noMultiLvlLbl val="0"/>
      </c:catAx>
      <c:valAx>
        <c:axId val="87709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770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Atiak-Palabek-24h'!$C$9:$N$9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Atiak-Palabek-24h'!$C$107:$N$107</c:f>
              <c:numCache>
                <c:formatCode>0.0%</c:formatCode>
                <c:ptCount val="12"/>
                <c:pt idx="0">
                  <c:v>2.5280898876404494E-2</c:v>
                </c:pt>
                <c:pt idx="1">
                  <c:v>0</c:v>
                </c:pt>
                <c:pt idx="2">
                  <c:v>5.8988764044943819E-2</c:v>
                </c:pt>
                <c:pt idx="3">
                  <c:v>0.1348314606741573</c:v>
                </c:pt>
                <c:pt idx="4">
                  <c:v>0</c:v>
                </c:pt>
                <c:pt idx="5">
                  <c:v>0</c:v>
                </c:pt>
                <c:pt idx="6">
                  <c:v>6.741573033707865E-2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0.7134831460674157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Atiak-Palabek-24h'!$C$9:$N$9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Atiak-Palabek-24h'!$C$108:$N$108</c:f>
              <c:numCache>
                <c:formatCode>0.00%</c:formatCode>
                <c:ptCount val="12"/>
                <c:pt idx="0">
                  <c:v>8.8235294117647065E-2</c:v>
                </c:pt>
                <c:pt idx="1">
                  <c:v>0</c:v>
                </c:pt>
                <c:pt idx="2">
                  <c:v>0.20588235294117646</c:v>
                </c:pt>
                <c:pt idx="3">
                  <c:v>0.47058823529411764</c:v>
                </c:pt>
                <c:pt idx="4">
                  <c:v>0</c:v>
                </c:pt>
                <c:pt idx="5">
                  <c:v>0</c:v>
                </c:pt>
                <c:pt idx="6">
                  <c:v>0.23529411764705882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Palabek-Atiak-24h'!$AE$9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Palabek-Atiak-24h'!$R$10:$R$33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Palabek-Atiak-24h'!$AE$10:$AE$33</c:f>
              <c:numCache>
                <c:formatCode>0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6</c:v>
                </c:pt>
                <c:pt idx="6">
                  <c:v>10</c:v>
                </c:pt>
                <c:pt idx="7">
                  <c:v>13</c:v>
                </c:pt>
                <c:pt idx="8">
                  <c:v>9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  <c:pt idx="12">
                  <c:v>7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'02.08 Palabek-Atiak-24h'!$AF$9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Palabek-Atiak-24h'!$R$10:$R$33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Palabek-Atiak-24h'!$AF$10:$AF$33</c:f>
              <c:numCache>
                <c:formatCode>0</c:formatCode>
                <c:ptCount val="24"/>
                <c:pt idx="0">
                  <c:v>1</c:v>
                </c:pt>
                <c:pt idx="1">
                  <c:v>13</c:v>
                </c:pt>
                <c:pt idx="2">
                  <c:v>21</c:v>
                </c:pt>
                <c:pt idx="3">
                  <c:v>23</c:v>
                </c:pt>
                <c:pt idx="4">
                  <c:v>23</c:v>
                </c:pt>
                <c:pt idx="5">
                  <c:v>18</c:v>
                </c:pt>
                <c:pt idx="6">
                  <c:v>21</c:v>
                </c:pt>
                <c:pt idx="7">
                  <c:v>27</c:v>
                </c:pt>
                <c:pt idx="8">
                  <c:v>20</c:v>
                </c:pt>
                <c:pt idx="9">
                  <c:v>24</c:v>
                </c:pt>
                <c:pt idx="10">
                  <c:v>28</c:v>
                </c:pt>
                <c:pt idx="11">
                  <c:v>18</c:v>
                </c:pt>
                <c:pt idx="12">
                  <c:v>26</c:v>
                </c:pt>
                <c:pt idx="13">
                  <c:v>24</c:v>
                </c:pt>
                <c:pt idx="14">
                  <c:v>11</c:v>
                </c:pt>
                <c:pt idx="15">
                  <c:v>6</c:v>
                </c:pt>
                <c:pt idx="16">
                  <c:v>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00384"/>
        <c:axId val="91602304"/>
      </c:lineChart>
      <c:catAx>
        <c:axId val="91600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1602304"/>
        <c:crosses val="autoZero"/>
        <c:auto val="1"/>
        <c:lblAlgn val="ctr"/>
        <c:lblOffset val="100"/>
        <c:noMultiLvlLbl val="0"/>
      </c:catAx>
      <c:valAx>
        <c:axId val="91602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160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Palabek-Atiak-24h'!$C$9:$N$9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Palabek-Atiak-24h'!$C$107:$N$107</c:f>
              <c:numCache>
                <c:formatCode>0.0%</c:formatCode>
                <c:ptCount val="12"/>
                <c:pt idx="0">
                  <c:v>2.8846153846153848E-2</c:v>
                </c:pt>
                <c:pt idx="1">
                  <c:v>0</c:v>
                </c:pt>
                <c:pt idx="2">
                  <c:v>6.7307692307692304E-2</c:v>
                </c:pt>
                <c:pt idx="3">
                  <c:v>0.15384615384615385</c:v>
                </c:pt>
                <c:pt idx="4">
                  <c:v>0</c:v>
                </c:pt>
                <c:pt idx="5">
                  <c:v>0</c:v>
                </c:pt>
                <c:pt idx="6">
                  <c:v>7.6923076923076927E-2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0.67307692307692313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Palabek-Atiak-24h'!$C$9:$N$9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Palabek-Atiak-24h'!$C$108:$N$108</c:f>
              <c:numCache>
                <c:formatCode>0.00%</c:formatCode>
                <c:ptCount val="12"/>
                <c:pt idx="0">
                  <c:v>8.8235294117647065E-2</c:v>
                </c:pt>
                <c:pt idx="1">
                  <c:v>0</c:v>
                </c:pt>
                <c:pt idx="2">
                  <c:v>0.20588235294117646</c:v>
                </c:pt>
                <c:pt idx="3">
                  <c:v>0.47058823529411764</c:v>
                </c:pt>
                <c:pt idx="4">
                  <c:v>0</c:v>
                </c:pt>
                <c:pt idx="5">
                  <c:v>0</c:v>
                </c:pt>
                <c:pt idx="6">
                  <c:v>0.23529411764705882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Atiak-Palabek-24h'!$AE$9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Atiak-Palabek-24h'!$R$10:$R$33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Atiak-Palabek-24h'!$AE$10:$AE$33</c:f>
              <c:numCache>
                <c:formatCode>0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2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Atiak-Palabek-24h'!$AF$9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Atiak-Palabek-24h'!$R$10:$R$33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Atiak-Palabek-24h'!$AF$10:$AF$33</c:f>
              <c:numCache>
                <c:formatCode>0</c:formatCode>
                <c:ptCount val="24"/>
                <c:pt idx="0">
                  <c:v>11</c:v>
                </c:pt>
                <c:pt idx="1">
                  <c:v>18</c:v>
                </c:pt>
                <c:pt idx="2">
                  <c:v>26</c:v>
                </c:pt>
                <c:pt idx="3">
                  <c:v>32</c:v>
                </c:pt>
                <c:pt idx="4">
                  <c:v>19</c:v>
                </c:pt>
                <c:pt idx="5">
                  <c:v>16</c:v>
                </c:pt>
                <c:pt idx="6">
                  <c:v>22</c:v>
                </c:pt>
                <c:pt idx="7">
                  <c:v>30</c:v>
                </c:pt>
                <c:pt idx="8">
                  <c:v>25</c:v>
                </c:pt>
                <c:pt idx="9">
                  <c:v>32</c:v>
                </c:pt>
                <c:pt idx="10">
                  <c:v>36</c:v>
                </c:pt>
                <c:pt idx="11">
                  <c:v>32</c:v>
                </c:pt>
                <c:pt idx="12">
                  <c:v>22</c:v>
                </c:pt>
                <c:pt idx="13">
                  <c:v>29</c:v>
                </c:pt>
                <c:pt idx="14">
                  <c:v>6</c:v>
                </c:pt>
                <c:pt idx="15">
                  <c:v>12</c:v>
                </c:pt>
                <c:pt idx="16">
                  <c:v>10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398528"/>
        <c:axId val="91400448"/>
      </c:lineChart>
      <c:catAx>
        <c:axId val="91398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1400448"/>
        <c:crosses val="autoZero"/>
        <c:auto val="1"/>
        <c:lblAlgn val="ctr"/>
        <c:lblOffset val="100"/>
        <c:noMultiLvlLbl val="0"/>
      </c:catAx>
      <c:valAx>
        <c:axId val="91400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139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Atiak-Palabek-24h'!$C$9:$N$9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Atiak-Palabek-24h'!$C$107:$N$107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1.832460732984293E-2</c:v>
                </c:pt>
                <c:pt idx="3">
                  <c:v>5.235602094240838E-3</c:v>
                </c:pt>
                <c:pt idx="4">
                  <c:v>2.617801047120419E-3</c:v>
                </c:pt>
                <c:pt idx="5">
                  <c:v>5.235602094240838E-3</c:v>
                </c:pt>
                <c:pt idx="6">
                  <c:v>3.6649214659685861E-2</c:v>
                </c:pt>
                <c:pt idx="7">
                  <c:v>0</c:v>
                </c:pt>
                <c:pt idx="8">
                  <c:v>2.617801047120419E-3</c:v>
                </c:pt>
                <c:pt idx="9">
                  <c:v>0</c:v>
                </c:pt>
                <c:pt idx="10">
                  <c:v>0.9293193717277487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Atiak-Palabek-24h'!$C$9:$N$9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Atiak-Palabek-24h'!$C$108:$N$108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0.25925925925925924</c:v>
                </c:pt>
                <c:pt idx="3">
                  <c:v>7.407407407407407E-2</c:v>
                </c:pt>
                <c:pt idx="4">
                  <c:v>3.7037037037037035E-2</c:v>
                </c:pt>
                <c:pt idx="5">
                  <c:v>7.407407407407407E-2</c:v>
                </c:pt>
                <c:pt idx="6">
                  <c:v>0.51851851851851849</c:v>
                </c:pt>
                <c:pt idx="7">
                  <c:v>0</c:v>
                </c:pt>
                <c:pt idx="8">
                  <c:v>3.7037037037037035E-2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Palabek-Atiak-24h'!$AE$9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Palabek-Atiak-24h'!$R$10:$R$33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Palabek-Atiak-24h'!$AE$10:$AE$33</c:f>
              <c:numCache>
                <c:formatCode>0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2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Palabek-Atiak-24h'!$AF$9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Palabek-Atiak-24h'!$R$10:$R$33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Palabek-Atiak-24h'!$AF$10:$AF$33</c:f>
              <c:numCache>
                <c:formatCode>0</c:formatCode>
                <c:ptCount val="24"/>
                <c:pt idx="0">
                  <c:v>7</c:v>
                </c:pt>
                <c:pt idx="1">
                  <c:v>16</c:v>
                </c:pt>
                <c:pt idx="2">
                  <c:v>19</c:v>
                </c:pt>
                <c:pt idx="3">
                  <c:v>27</c:v>
                </c:pt>
                <c:pt idx="4">
                  <c:v>24</c:v>
                </c:pt>
                <c:pt idx="5">
                  <c:v>17</c:v>
                </c:pt>
                <c:pt idx="6">
                  <c:v>25</c:v>
                </c:pt>
                <c:pt idx="7">
                  <c:v>28</c:v>
                </c:pt>
                <c:pt idx="8">
                  <c:v>16</c:v>
                </c:pt>
                <c:pt idx="9">
                  <c:v>14</c:v>
                </c:pt>
                <c:pt idx="10">
                  <c:v>16</c:v>
                </c:pt>
                <c:pt idx="11">
                  <c:v>11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7</c:v>
                </c:pt>
                <c:pt idx="16">
                  <c:v>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330432"/>
        <c:axId val="93336704"/>
      </c:lineChart>
      <c:catAx>
        <c:axId val="933304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336704"/>
        <c:crosses val="autoZero"/>
        <c:auto val="1"/>
        <c:lblAlgn val="ctr"/>
        <c:lblOffset val="100"/>
        <c:noMultiLvlLbl val="0"/>
      </c:catAx>
      <c:valAx>
        <c:axId val="93336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33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Palabek-Atiak-24h'!$C$9:$N$9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Palabek-Atiak-24h'!$C$107:$N$107</c:f>
              <c:numCache>
                <c:formatCode>0.0%</c:formatCode>
                <c:ptCount val="12"/>
                <c:pt idx="0">
                  <c:v>3.8167938931297708E-3</c:v>
                </c:pt>
                <c:pt idx="1">
                  <c:v>0</c:v>
                </c:pt>
                <c:pt idx="2">
                  <c:v>2.6717557251908396E-2</c:v>
                </c:pt>
                <c:pt idx="3">
                  <c:v>7.6335877862595417E-3</c:v>
                </c:pt>
                <c:pt idx="4">
                  <c:v>3.8167938931297708E-3</c:v>
                </c:pt>
                <c:pt idx="5">
                  <c:v>7.6335877862595417E-3</c:v>
                </c:pt>
                <c:pt idx="6">
                  <c:v>5.3435114503816793E-2</c:v>
                </c:pt>
                <c:pt idx="7">
                  <c:v>0</c:v>
                </c:pt>
                <c:pt idx="8">
                  <c:v>3.8167938931297708E-3</c:v>
                </c:pt>
                <c:pt idx="9">
                  <c:v>0</c:v>
                </c:pt>
                <c:pt idx="10">
                  <c:v>0.89312977099236646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Palabek-Atiak-24h'!$C$9:$N$9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Palabek-Atiak-24h'!$C$108:$N$108</c:f>
              <c:numCache>
                <c:formatCode>0.00%</c:formatCode>
                <c:ptCount val="12"/>
                <c:pt idx="0">
                  <c:v>3.5714285714285712E-2</c:v>
                </c:pt>
                <c:pt idx="1">
                  <c:v>0</c:v>
                </c:pt>
                <c:pt idx="2">
                  <c:v>0.25</c:v>
                </c:pt>
                <c:pt idx="3">
                  <c:v>7.1428571428571425E-2</c:v>
                </c:pt>
                <c:pt idx="4">
                  <c:v>3.5714285714285712E-2</c:v>
                </c:pt>
                <c:pt idx="5">
                  <c:v>7.1428571428571425E-2</c:v>
                </c:pt>
                <c:pt idx="6">
                  <c:v>0.5</c:v>
                </c:pt>
                <c:pt idx="7">
                  <c:v>0</c:v>
                </c:pt>
                <c:pt idx="8">
                  <c:v>3.5714285714285712E-2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Atiak-Palabek'!$AE$9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Atiak-Palabek'!$AE$10:$AE$21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6</c:v>
                </c:pt>
                <c:pt idx="4">
                  <c:v>10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  <c:pt idx="8">
                  <c:v>5</c:v>
                </c:pt>
                <c:pt idx="9">
                  <c:v>1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Atiak-Palabek'!$AF$9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Atiak-Palabek'!$AF$10:$AF$21</c:f>
              <c:numCache>
                <c:formatCode>0</c:formatCode>
                <c:ptCount val="12"/>
                <c:pt idx="0">
                  <c:v>2</c:v>
                </c:pt>
                <c:pt idx="1">
                  <c:v>14</c:v>
                </c:pt>
                <c:pt idx="2">
                  <c:v>29</c:v>
                </c:pt>
                <c:pt idx="3">
                  <c:v>22</c:v>
                </c:pt>
                <c:pt idx="4">
                  <c:v>30</c:v>
                </c:pt>
                <c:pt idx="5">
                  <c:v>23</c:v>
                </c:pt>
                <c:pt idx="6">
                  <c:v>18</c:v>
                </c:pt>
                <c:pt idx="7">
                  <c:v>13</c:v>
                </c:pt>
                <c:pt idx="8">
                  <c:v>17</c:v>
                </c:pt>
                <c:pt idx="9">
                  <c:v>19</c:v>
                </c:pt>
                <c:pt idx="10">
                  <c:v>14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94752"/>
        <c:axId val="93596672"/>
      </c:lineChart>
      <c:catAx>
        <c:axId val="93594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96672"/>
        <c:crosses val="autoZero"/>
        <c:auto val="1"/>
        <c:lblAlgn val="ctr"/>
        <c:lblOffset val="100"/>
        <c:noMultiLvlLbl val="0"/>
      </c:catAx>
      <c:valAx>
        <c:axId val="93596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9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Atiak-Palabek'!$C$59:$N$59</c:f>
              <c:numCache>
                <c:formatCode>0.0%</c:formatCode>
                <c:ptCount val="12"/>
                <c:pt idx="0">
                  <c:v>4.5248868778280547E-3</c:v>
                </c:pt>
                <c:pt idx="1">
                  <c:v>0</c:v>
                </c:pt>
                <c:pt idx="2">
                  <c:v>8.1447963800904979E-2</c:v>
                </c:pt>
                <c:pt idx="3">
                  <c:v>4.5248868778280542E-2</c:v>
                </c:pt>
                <c:pt idx="4">
                  <c:v>0</c:v>
                </c:pt>
                <c:pt idx="5">
                  <c:v>9.0497737556561094E-3</c:v>
                </c:pt>
                <c:pt idx="6">
                  <c:v>6.3348416289592757E-2</c:v>
                </c:pt>
                <c:pt idx="7">
                  <c:v>9.0497737556561094E-3</c:v>
                </c:pt>
                <c:pt idx="8">
                  <c:v>0</c:v>
                </c:pt>
                <c:pt idx="9">
                  <c:v>0</c:v>
                </c:pt>
                <c:pt idx="10">
                  <c:v>0.78733031674208143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Atiak-Palabek'!$S$9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Atiak-Palabek'!$S$10:$S$21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Atiak-Palabek'!$T$9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Atiak-Palabek'!$T$10:$T$21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Atiak-Palabek'!$U$9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Atiak-Palabek'!$V$9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Atiak-Palabek'!$W$9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Atiak-Palabek'!$X$9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Atiak-Palabek'!$Y$9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Atiak-Palabek'!$Z$9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Atiak-Palabek'!$AA$9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Atiak-Palabek'!$AB$9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Atiak-Palabek'!$AC$9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Atiak-Palabek'!$AC$10:$AC$21</c:f>
              <c:numCache>
                <c:formatCode>0</c:formatCode>
                <c:ptCount val="12"/>
                <c:pt idx="0">
                  <c:v>2</c:v>
                </c:pt>
                <c:pt idx="1">
                  <c:v>14</c:v>
                </c:pt>
                <c:pt idx="2">
                  <c:v>25</c:v>
                </c:pt>
                <c:pt idx="3">
                  <c:v>16</c:v>
                </c:pt>
                <c:pt idx="4">
                  <c:v>20</c:v>
                </c:pt>
                <c:pt idx="5">
                  <c:v>17</c:v>
                </c:pt>
                <c:pt idx="6">
                  <c:v>14</c:v>
                </c:pt>
                <c:pt idx="7">
                  <c:v>11</c:v>
                </c:pt>
                <c:pt idx="8">
                  <c:v>12</c:v>
                </c:pt>
                <c:pt idx="9">
                  <c:v>18</c:v>
                </c:pt>
                <c:pt idx="10">
                  <c:v>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Atiak-Palabek'!$AD$9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Atiak-Palabek'!$AD$10:$AD$21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772800"/>
        <c:axId val="93983488"/>
      </c:lineChart>
      <c:catAx>
        <c:axId val="937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983488"/>
        <c:crosses val="autoZero"/>
        <c:auto val="1"/>
        <c:lblAlgn val="ctr"/>
        <c:lblOffset val="100"/>
        <c:noMultiLvlLbl val="0"/>
      </c:catAx>
      <c:valAx>
        <c:axId val="9398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7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Atiak-Palabek'!$C$60:$N$60</c:f>
              <c:numCache>
                <c:formatCode>0.00%</c:formatCode>
                <c:ptCount val="12"/>
                <c:pt idx="0">
                  <c:v>2.1276595744680851E-2</c:v>
                </c:pt>
                <c:pt idx="1">
                  <c:v>0</c:v>
                </c:pt>
                <c:pt idx="2">
                  <c:v>0.38297872340425532</c:v>
                </c:pt>
                <c:pt idx="3">
                  <c:v>0.21276595744680851</c:v>
                </c:pt>
                <c:pt idx="4">
                  <c:v>0</c:v>
                </c:pt>
                <c:pt idx="5">
                  <c:v>4.2553191489361701E-2</c:v>
                </c:pt>
                <c:pt idx="6">
                  <c:v>0.2978723404255319</c:v>
                </c:pt>
                <c:pt idx="7">
                  <c:v>4.2553191489361701E-2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Palabek-Atiak'!$AE$9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Palabek-Atiak'!$AE$10:$AE$21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8</c:v>
                </c:pt>
                <c:pt idx="4">
                  <c:v>11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Palabek-Atiak'!$AF$9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Palabek-Atiak'!$AF$10:$AF$21</c:f>
              <c:numCache>
                <c:formatCode>0</c:formatCode>
                <c:ptCount val="12"/>
                <c:pt idx="0">
                  <c:v>2</c:v>
                </c:pt>
                <c:pt idx="1">
                  <c:v>14</c:v>
                </c:pt>
                <c:pt idx="2">
                  <c:v>23</c:v>
                </c:pt>
                <c:pt idx="3">
                  <c:v>24</c:v>
                </c:pt>
                <c:pt idx="4">
                  <c:v>19</c:v>
                </c:pt>
                <c:pt idx="5">
                  <c:v>17</c:v>
                </c:pt>
                <c:pt idx="6">
                  <c:v>10</c:v>
                </c:pt>
                <c:pt idx="7">
                  <c:v>23</c:v>
                </c:pt>
                <c:pt idx="8">
                  <c:v>16</c:v>
                </c:pt>
                <c:pt idx="9">
                  <c:v>13</c:v>
                </c:pt>
                <c:pt idx="10">
                  <c:v>17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367744"/>
        <c:axId val="94369664"/>
      </c:lineChart>
      <c:catAx>
        <c:axId val="94367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369664"/>
        <c:crosses val="autoZero"/>
        <c:auto val="1"/>
        <c:lblAlgn val="ctr"/>
        <c:lblOffset val="100"/>
        <c:noMultiLvlLbl val="0"/>
      </c:catAx>
      <c:valAx>
        <c:axId val="94369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36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Palabek-Atiak'!$C$59:$N$59</c:f>
              <c:numCache>
                <c:formatCode>0.0%</c:formatCode>
                <c:ptCount val="12"/>
                <c:pt idx="0">
                  <c:v>1.0309278350515464E-2</c:v>
                </c:pt>
                <c:pt idx="1">
                  <c:v>0</c:v>
                </c:pt>
                <c:pt idx="2">
                  <c:v>8.7628865979381437E-2</c:v>
                </c:pt>
                <c:pt idx="3">
                  <c:v>4.6391752577319589E-2</c:v>
                </c:pt>
                <c:pt idx="4">
                  <c:v>0</c:v>
                </c:pt>
                <c:pt idx="5">
                  <c:v>5.1546391752577319E-3</c:v>
                </c:pt>
                <c:pt idx="6">
                  <c:v>9.2783505154639179E-2</c:v>
                </c:pt>
                <c:pt idx="7">
                  <c:v>5.1546391752577319E-3</c:v>
                </c:pt>
                <c:pt idx="8">
                  <c:v>0</c:v>
                </c:pt>
                <c:pt idx="9">
                  <c:v>0</c:v>
                </c:pt>
                <c:pt idx="10">
                  <c:v>0.75257731958762886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Palabek-Atiak'!$S$9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Palabek-Atiak'!$S$10:$S$21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Palabek-Atiak'!$T$9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Palabek-Atiak'!$T$10:$T$21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Palabek-Atiak'!$U$9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Palabek-Atiak'!$V$9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Palabek-Atiak'!$W$9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Palabek-Atiak'!$X$9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Palabek-Atiak'!$Y$9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Palabek-Atiak'!$Z$9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Palabek-Atiak'!$AA$9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Palabek-Atiak'!$AB$9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Palabek-Atiak'!$AC$9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Palabek-Atiak'!$AC$10:$AC$21</c:f>
              <c:numCache>
                <c:formatCode>0</c:formatCode>
                <c:ptCount val="12"/>
                <c:pt idx="0">
                  <c:v>2</c:v>
                </c:pt>
                <c:pt idx="1">
                  <c:v>14</c:v>
                </c:pt>
                <c:pt idx="2">
                  <c:v>18</c:v>
                </c:pt>
                <c:pt idx="3">
                  <c:v>16</c:v>
                </c:pt>
                <c:pt idx="4">
                  <c:v>8</c:v>
                </c:pt>
                <c:pt idx="5">
                  <c:v>12</c:v>
                </c:pt>
                <c:pt idx="6">
                  <c:v>6</c:v>
                </c:pt>
                <c:pt idx="7">
                  <c:v>21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Palabek-Atiak'!$AD$9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Palabek-Atiak'!$AD$10:$AD$21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676864"/>
        <c:axId val="94678400"/>
      </c:lineChart>
      <c:catAx>
        <c:axId val="94676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678400"/>
        <c:crosses val="autoZero"/>
        <c:auto val="1"/>
        <c:lblAlgn val="ctr"/>
        <c:lblOffset val="100"/>
        <c:noMultiLvlLbl val="0"/>
      </c:catAx>
      <c:valAx>
        <c:axId val="9467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67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Palabek-Atiak'!$C$60:$N$60</c:f>
              <c:numCache>
                <c:formatCode>0.00%</c:formatCode>
                <c:ptCount val="12"/>
                <c:pt idx="0">
                  <c:v>4.1666666666666664E-2</c:v>
                </c:pt>
                <c:pt idx="1">
                  <c:v>0</c:v>
                </c:pt>
                <c:pt idx="2">
                  <c:v>0.35416666666666669</c:v>
                </c:pt>
                <c:pt idx="3">
                  <c:v>0.1875</c:v>
                </c:pt>
                <c:pt idx="4">
                  <c:v>0</c:v>
                </c:pt>
                <c:pt idx="5">
                  <c:v>2.0833333333333332E-2</c:v>
                </c:pt>
                <c:pt idx="6">
                  <c:v>0.375</c:v>
                </c:pt>
                <c:pt idx="7">
                  <c:v>2.0833333333333332E-2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Atiak-Palabek'!$AE$9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Atiak-Palabek'!$AE$10:$AE$21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'05.08 Atiak-Palabek'!$AF$9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Atiak-Palabek'!$AF$10:$AF$21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28</c:v>
                </c:pt>
                <c:pt idx="3">
                  <c:v>27</c:v>
                </c:pt>
                <c:pt idx="4">
                  <c:v>29</c:v>
                </c:pt>
                <c:pt idx="5">
                  <c:v>28</c:v>
                </c:pt>
                <c:pt idx="6">
                  <c:v>32</c:v>
                </c:pt>
                <c:pt idx="7">
                  <c:v>38</c:v>
                </c:pt>
                <c:pt idx="8">
                  <c:v>25</c:v>
                </c:pt>
                <c:pt idx="9">
                  <c:v>29</c:v>
                </c:pt>
                <c:pt idx="10">
                  <c:v>25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116480"/>
        <c:axId val="94118656"/>
      </c:lineChart>
      <c:catAx>
        <c:axId val="94116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118656"/>
        <c:crosses val="autoZero"/>
        <c:auto val="1"/>
        <c:lblAlgn val="ctr"/>
        <c:lblOffset val="100"/>
        <c:noMultiLvlLbl val="0"/>
      </c:catAx>
      <c:valAx>
        <c:axId val="94118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11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Atiak-Palabek'!$C$59:$N$59</c:f>
              <c:numCache>
                <c:formatCode>0.0%</c:formatCode>
                <c:ptCount val="12"/>
                <c:pt idx="0">
                  <c:v>1.3468013468013467E-2</c:v>
                </c:pt>
                <c:pt idx="1">
                  <c:v>0</c:v>
                </c:pt>
                <c:pt idx="2">
                  <c:v>3.7037037037037035E-2</c:v>
                </c:pt>
                <c:pt idx="3">
                  <c:v>1.0101010101010102E-2</c:v>
                </c:pt>
                <c:pt idx="4">
                  <c:v>0</c:v>
                </c:pt>
                <c:pt idx="5">
                  <c:v>0</c:v>
                </c:pt>
                <c:pt idx="6">
                  <c:v>3.0303030303030304E-2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0.90909090909090906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Atiak-Palabek'!$S$9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Atiak-Palabek'!$S$10:$S$21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'05.08 Atiak-Palabek'!$T$9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Atiak-Palabek'!$T$10:$T$21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'05.08 Atiak-Palabek'!$U$9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'05.08 Atiak-Palabek'!$V$9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'05.08 Atiak-Palabek'!$W$9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'05.08 Atiak-Palabek'!$X$9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'05.08 Atiak-Palabek'!$Y$9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'05.08 Atiak-Palabek'!$Z$9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'05.08 Atiak-Palabek'!$AA$9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'05.08 Atiak-Palabek'!$AB$9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'05.08 Atiak-Palabek'!$AC$9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Atiak-Palabek'!$AC$10:$AC$21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25</c:v>
                </c:pt>
                <c:pt idx="3">
                  <c:v>26</c:v>
                </c:pt>
                <c:pt idx="4">
                  <c:v>24</c:v>
                </c:pt>
                <c:pt idx="5">
                  <c:v>28</c:v>
                </c:pt>
                <c:pt idx="6">
                  <c:v>32</c:v>
                </c:pt>
                <c:pt idx="7">
                  <c:v>33</c:v>
                </c:pt>
                <c:pt idx="8">
                  <c:v>23</c:v>
                </c:pt>
                <c:pt idx="9">
                  <c:v>27</c:v>
                </c:pt>
                <c:pt idx="10">
                  <c:v>22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'05.08 Atiak-Palabek'!$AD$9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Atiak-Palabek'!$AD$10:$AD$21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27968"/>
        <c:axId val="95029504"/>
      </c:lineChart>
      <c:catAx>
        <c:axId val="9502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5029504"/>
        <c:crosses val="autoZero"/>
        <c:auto val="1"/>
        <c:lblAlgn val="ctr"/>
        <c:lblOffset val="100"/>
        <c:noMultiLvlLbl val="0"/>
      </c:catAx>
      <c:valAx>
        <c:axId val="9502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502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Atiak-Palabek'!$C$60:$N$60</c:f>
              <c:numCache>
                <c:formatCode>0.00%</c:formatCode>
                <c:ptCount val="12"/>
                <c:pt idx="0">
                  <c:v>0.14814814814814814</c:v>
                </c:pt>
                <c:pt idx="1">
                  <c:v>0</c:v>
                </c:pt>
                <c:pt idx="2">
                  <c:v>0.40740740740740738</c:v>
                </c:pt>
                <c:pt idx="3">
                  <c:v>0.1111111111111111</c:v>
                </c:pt>
                <c:pt idx="4">
                  <c:v>0</c:v>
                </c:pt>
                <c:pt idx="5">
                  <c:v>0</c:v>
                </c:pt>
                <c:pt idx="6">
                  <c:v>0.33333333333333331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Palabek-Atiak'!$AE$9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Palabek-Atiak'!$AE$10:$AE$21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'05.08 Palabek-Atiak'!$AF$9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Palabek-Atiak'!$AF$10:$AF$21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21</c:v>
                </c:pt>
                <c:pt idx="3">
                  <c:v>19</c:v>
                </c:pt>
                <c:pt idx="4">
                  <c:v>26</c:v>
                </c:pt>
                <c:pt idx="5">
                  <c:v>19</c:v>
                </c:pt>
                <c:pt idx="6">
                  <c:v>16</c:v>
                </c:pt>
                <c:pt idx="7">
                  <c:v>25</c:v>
                </c:pt>
                <c:pt idx="8">
                  <c:v>18</c:v>
                </c:pt>
                <c:pt idx="9">
                  <c:v>15</c:v>
                </c:pt>
                <c:pt idx="10">
                  <c:v>16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381568"/>
        <c:axId val="94383488"/>
      </c:lineChart>
      <c:catAx>
        <c:axId val="94381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383488"/>
        <c:crosses val="autoZero"/>
        <c:auto val="1"/>
        <c:lblAlgn val="ctr"/>
        <c:lblOffset val="100"/>
        <c:noMultiLvlLbl val="0"/>
      </c:catAx>
      <c:valAx>
        <c:axId val="94383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38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Palabek-Atiak'!$C$59:$N$59</c:f>
              <c:numCache>
                <c:formatCode>0.0%</c:formatCode>
                <c:ptCount val="12"/>
                <c:pt idx="0">
                  <c:v>1.5544041450777202E-2</c:v>
                </c:pt>
                <c:pt idx="1">
                  <c:v>0</c:v>
                </c:pt>
                <c:pt idx="2">
                  <c:v>2.072538860103627E-2</c:v>
                </c:pt>
                <c:pt idx="3">
                  <c:v>1.5544041450777202E-2</c:v>
                </c:pt>
                <c:pt idx="4">
                  <c:v>0</c:v>
                </c:pt>
                <c:pt idx="5">
                  <c:v>0</c:v>
                </c:pt>
                <c:pt idx="6">
                  <c:v>4.145077720207254E-2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0.90673575129533679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Palabek-Atiak'!$C$60:$N$60</c:f>
              <c:numCache>
                <c:formatCode>0.00%</c:formatCode>
                <c:ptCount val="12"/>
                <c:pt idx="0">
                  <c:v>0.16666666666666666</c:v>
                </c:pt>
                <c:pt idx="1">
                  <c:v>0</c:v>
                </c:pt>
                <c:pt idx="2">
                  <c:v>0.22222222222222221</c:v>
                </c:pt>
                <c:pt idx="3">
                  <c:v>0.16666666666666666</c:v>
                </c:pt>
                <c:pt idx="4">
                  <c:v>0</c:v>
                </c:pt>
                <c:pt idx="5">
                  <c:v>0</c:v>
                </c:pt>
                <c:pt idx="6">
                  <c:v>0.44444444444444442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Atiak-Palabek'!$AE$9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Atiak-Palabek'!$AE$10:$AE$21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7</c:v>
                </c:pt>
                <c:pt idx="5">
                  <c:v>4</c:v>
                </c:pt>
                <c:pt idx="6">
                  <c:v>2</c:v>
                </c:pt>
                <c:pt idx="7">
                  <c:v>9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'06.08 Atiak-Palabek'!$AF$9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Atiak-Palabek'!$AF$10:$AF$21</c:f>
              <c:numCache>
                <c:formatCode>0</c:formatCode>
                <c:ptCount val="12"/>
                <c:pt idx="0">
                  <c:v>13</c:v>
                </c:pt>
                <c:pt idx="1">
                  <c:v>15</c:v>
                </c:pt>
                <c:pt idx="2">
                  <c:v>28</c:v>
                </c:pt>
                <c:pt idx="3">
                  <c:v>31</c:v>
                </c:pt>
                <c:pt idx="4">
                  <c:v>29</c:v>
                </c:pt>
                <c:pt idx="5">
                  <c:v>33</c:v>
                </c:pt>
                <c:pt idx="6">
                  <c:v>29</c:v>
                </c:pt>
                <c:pt idx="7">
                  <c:v>35</c:v>
                </c:pt>
                <c:pt idx="8">
                  <c:v>23</c:v>
                </c:pt>
                <c:pt idx="9">
                  <c:v>24</c:v>
                </c:pt>
                <c:pt idx="10">
                  <c:v>27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892416"/>
        <c:axId val="94894336"/>
      </c:lineChart>
      <c:catAx>
        <c:axId val="948924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894336"/>
        <c:crosses val="autoZero"/>
        <c:auto val="1"/>
        <c:lblAlgn val="ctr"/>
        <c:lblOffset val="100"/>
        <c:noMultiLvlLbl val="0"/>
      </c:catAx>
      <c:valAx>
        <c:axId val="94894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489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Atiak-Palabek'!$C$59:$N$59</c:f>
              <c:numCache>
                <c:formatCode>0.0%</c:formatCode>
                <c:ptCount val="12"/>
                <c:pt idx="0">
                  <c:v>9.5238095238095247E-3</c:v>
                </c:pt>
                <c:pt idx="1">
                  <c:v>0</c:v>
                </c:pt>
                <c:pt idx="2">
                  <c:v>2.5396825396825397E-2</c:v>
                </c:pt>
                <c:pt idx="3">
                  <c:v>3.1746031746031746E-3</c:v>
                </c:pt>
                <c:pt idx="4">
                  <c:v>0</c:v>
                </c:pt>
                <c:pt idx="5">
                  <c:v>0</c:v>
                </c:pt>
                <c:pt idx="6">
                  <c:v>6.9841269841269843E-2</c:v>
                </c:pt>
                <c:pt idx="7">
                  <c:v>0</c:v>
                </c:pt>
                <c:pt idx="8">
                  <c:v>3.1746031746031746E-3</c:v>
                </c:pt>
                <c:pt idx="9">
                  <c:v>0</c:v>
                </c:pt>
                <c:pt idx="10">
                  <c:v>0.88888888888888884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Atiak-Palabek'!$S$9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Atiak-Palabek'!$S$10:$S$21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'06.08 Atiak-Palabek'!$T$9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Atiak-Palabek'!$R$10:$R$21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Atiak-Palabek'!$T$10:$T$21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'06.08 Atiak-Palabek'!$U$9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'06.08 Atiak-Palabek'!$V$9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'06.08 Atiak-Palabek'!$W$9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'06.08 Atiak-Palabek'!$X$9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'06.08 Atiak-Palabek'!$Y$9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'06.08 Atiak-Palabek'!$Z$9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'06.08 Atiak-Palabek'!$AA$9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'06.08 Atiak-Palabek'!$AB$9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'06.08 Atiak-Palabek'!$AC$9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Atiak-Palabek'!$AC$10:$AC$21</c:f>
              <c:numCache>
                <c:formatCode>0</c:formatCode>
                <c:ptCount val="12"/>
                <c:pt idx="0">
                  <c:v>13</c:v>
                </c:pt>
                <c:pt idx="1">
                  <c:v>14</c:v>
                </c:pt>
                <c:pt idx="2">
                  <c:v>26</c:v>
                </c:pt>
                <c:pt idx="3">
                  <c:v>27</c:v>
                </c:pt>
                <c:pt idx="4">
                  <c:v>22</c:v>
                </c:pt>
                <c:pt idx="5">
                  <c:v>29</c:v>
                </c:pt>
                <c:pt idx="6">
                  <c:v>27</c:v>
                </c:pt>
                <c:pt idx="7">
                  <c:v>26</c:v>
                </c:pt>
                <c:pt idx="8">
                  <c:v>21</c:v>
                </c:pt>
                <c:pt idx="9">
                  <c:v>24</c:v>
                </c:pt>
                <c:pt idx="10">
                  <c:v>24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'06.08 Atiak-Palabek'!$AD$9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Atiak-Palabek'!$AD$10:$AD$21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09568"/>
        <c:axId val="96911360"/>
      </c:lineChart>
      <c:catAx>
        <c:axId val="9690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6911360"/>
        <c:crosses val="autoZero"/>
        <c:auto val="1"/>
        <c:lblAlgn val="ctr"/>
        <c:lblOffset val="100"/>
        <c:noMultiLvlLbl val="0"/>
      </c:catAx>
      <c:valAx>
        <c:axId val="96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690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Atiak-Palabek'!$C$60:$N$60</c:f>
              <c:numCache>
                <c:formatCode>0.00%</c:formatCode>
                <c:ptCount val="12"/>
                <c:pt idx="0">
                  <c:v>8.5714285714285715E-2</c:v>
                </c:pt>
                <c:pt idx="1">
                  <c:v>0</c:v>
                </c:pt>
                <c:pt idx="2">
                  <c:v>0.22857142857142856</c:v>
                </c:pt>
                <c:pt idx="3">
                  <c:v>2.8571428571428571E-2</c:v>
                </c:pt>
                <c:pt idx="4">
                  <c:v>0</c:v>
                </c:pt>
                <c:pt idx="5">
                  <c:v>0</c:v>
                </c:pt>
                <c:pt idx="6">
                  <c:v>0.62857142857142856</c:v>
                </c:pt>
                <c:pt idx="7">
                  <c:v>0</c:v>
                </c:pt>
                <c:pt idx="8">
                  <c:v>2.8571428571428571E-2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Palabek-Atiak'!$AE$9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Palabek-Atiak'!$AE$10:$AE$21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13</c:v>
                </c:pt>
                <c:pt idx="3">
                  <c:v>20</c:v>
                </c:pt>
                <c:pt idx="4">
                  <c:v>14</c:v>
                </c:pt>
                <c:pt idx="5">
                  <c:v>21</c:v>
                </c:pt>
                <c:pt idx="6">
                  <c:v>9</c:v>
                </c:pt>
                <c:pt idx="7">
                  <c:v>15</c:v>
                </c:pt>
                <c:pt idx="8">
                  <c:v>13</c:v>
                </c:pt>
                <c:pt idx="9">
                  <c:v>9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'06.08 Palabek-Atiak'!$AF$9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Palabek-Atiak'!$AF$10:$AF$21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13</c:v>
                </c:pt>
                <c:pt idx="3">
                  <c:v>20</c:v>
                </c:pt>
                <c:pt idx="4">
                  <c:v>14</c:v>
                </c:pt>
                <c:pt idx="5">
                  <c:v>21</c:v>
                </c:pt>
                <c:pt idx="6">
                  <c:v>9</c:v>
                </c:pt>
                <c:pt idx="7">
                  <c:v>15</c:v>
                </c:pt>
                <c:pt idx="8">
                  <c:v>13</c:v>
                </c:pt>
                <c:pt idx="9">
                  <c:v>9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66976"/>
        <c:axId val="96769152"/>
      </c:lineChart>
      <c:catAx>
        <c:axId val="96766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6769152"/>
        <c:crosses val="autoZero"/>
        <c:auto val="1"/>
        <c:lblAlgn val="ctr"/>
        <c:lblOffset val="100"/>
        <c:noMultiLvlLbl val="0"/>
      </c:catAx>
      <c:valAx>
        <c:axId val="96769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676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Palabek-Atiak'!$C$59:$N$59</c:f>
              <c:numCache>
                <c:formatCode>0.0%</c:formatCode>
                <c:ptCount val="12"/>
                <c:pt idx="0">
                  <c:v>1.4285714285714285E-2</c:v>
                </c:pt>
                <c:pt idx="1">
                  <c:v>0</c:v>
                </c:pt>
                <c:pt idx="2">
                  <c:v>2.1428571428571429E-2</c:v>
                </c:pt>
                <c:pt idx="3">
                  <c:v>7.1428571428571426E-3</c:v>
                </c:pt>
                <c:pt idx="4">
                  <c:v>0</c:v>
                </c:pt>
                <c:pt idx="5">
                  <c:v>0</c:v>
                </c:pt>
                <c:pt idx="6">
                  <c:v>0.10714285714285714</c:v>
                </c:pt>
                <c:pt idx="7">
                  <c:v>0</c:v>
                </c:pt>
                <c:pt idx="8">
                  <c:v>7.1428571428571426E-3</c:v>
                </c:pt>
                <c:pt idx="9">
                  <c:v>0.84285714285714286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Palabek-Atiak'!$S$9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Palabek-Atiak'!$S$10:$S$21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'06.08 Palabek-Atiak'!$T$9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Palabek-Atiak'!$R$10:$R$21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Palabek-Atiak'!$T$10:$T$21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'06.08 Palabek-Atiak'!$U$9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'06.08 Palabek-Atiak'!$V$9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'06.08 Palabek-Atiak'!$W$9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'06.08 Palabek-Atiak'!$X$9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'06.08 Palabek-Atiak'!$Y$9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'06.08 Palabek-Atiak'!$Z$9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'06.08 Palabek-Atiak'!$AA$9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'06.08 Palabek-Atiak'!$AB$9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Palabek-Atiak'!$AB$10:$AB$21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12</c:v>
                </c:pt>
                <c:pt idx="3">
                  <c:v>17</c:v>
                </c:pt>
                <c:pt idx="4">
                  <c:v>9</c:v>
                </c:pt>
                <c:pt idx="5">
                  <c:v>19</c:v>
                </c:pt>
                <c:pt idx="6">
                  <c:v>7</c:v>
                </c:pt>
                <c:pt idx="7">
                  <c:v>9</c:v>
                </c:pt>
                <c:pt idx="8">
                  <c:v>12</c:v>
                </c:pt>
                <c:pt idx="9">
                  <c:v>9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'06.08 Palabek-Atiak'!$AC$9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'06.08 Palabek-Atiak'!$AD$9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Palabek-Atiak'!$AD$10:$AD$21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50784"/>
        <c:axId val="97352320"/>
      </c:lineChart>
      <c:catAx>
        <c:axId val="97350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352320"/>
        <c:crosses val="autoZero"/>
        <c:auto val="1"/>
        <c:lblAlgn val="ctr"/>
        <c:lblOffset val="100"/>
        <c:noMultiLvlLbl val="0"/>
      </c:catAx>
      <c:valAx>
        <c:axId val="9735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35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Palabek-Atiak'!$C$60:$N$60</c:f>
              <c:numCache>
                <c:formatCode>0.00%</c:formatCode>
                <c:ptCount val="12"/>
                <c:pt idx="0">
                  <c:v>1.4285714285714285E-2</c:v>
                </c:pt>
                <c:pt idx="1">
                  <c:v>0</c:v>
                </c:pt>
                <c:pt idx="2">
                  <c:v>2.1428571428571429E-2</c:v>
                </c:pt>
                <c:pt idx="3">
                  <c:v>7.1428571428571426E-3</c:v>
                </c:pt>
                <c:pt idx="4">
                  <c:v>0</c:v>
                </c:pt>
                <c:pt idx="5">
                  <c:v>0</c:v>
                </c:pt>
                <c:pt idx="6">
                  <c:v>0.10714285714285714</c:v>
                </c:pt>
                <c:pt idx="7">
                  <c:v>0</c:v>
                </c:pt>
                <c:pt idx="8">
                  <c:v>7.1428571428571426E-3</c:v>
                </c:pt>
                <c:pt idx="9">
                  <c:v>0.84285714285714286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Atiak-Palabek'!$AE$9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Atiak-Palabek'!$R$10:$R$33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Atiak-Palabek'!$AE$10:$AE$33</c:f>
              <c:numCache>
                <c:formatCode>0</c:formatCode>
                <c:ptCount val="24"/>
                <c:pt idx="0">
                  <c:v>0.14285714285714285</c:v>
                </c:pt>
                <c:pt idx="1">
                  <c:v>1.5714285714285714</c:v>
                </c:pt>
                <c:pt idx="2">
                  <c:v>2.714285714285714</c:v>
                </c:pt>
                <c:pt idx="3">
                  <c:v>3.7142857142857144</c:v>
                </c:pt>
                <c:pt idx="4">
                  <c:v>5.5714285714285712</c:v>
                </c:pt>
                <c:pt idx="5">
                  <c:v>3.2857142857142856</c:v>
                </c:pt>
                <c:pt idx="6">
                  <c:v>3.1428571428571423</c:v>
                </c:pt>
                <c:pt idx="7">
                  <c:v>4.9999999999999991</c:v>
                </c:pt>
                <c:pt idx="8">
                  <c:v>3.9523809523809526</c:v>
                </c:pt>
                <c:pt idx="9">
                  <c:v>2.5714285714285712</c:v>
                </c:pt>
                <c:pt idx="10">
                  <c:v>4.7142857142857135</c:v>
                </c:pt>
                <c:pt idx="11">
                  <c:v>2.7142857142857144</c:v>
                </c:pt>
                <c:pt idx="12">
                  <c:v>3.5</c:v>
                </c:pt>
                <c:pt idx="13">
                  <c:v>3</c:v>
                </c:pt>
                <c:pt idx="14">
                  <c:v>0</c:v>
                </c:pt>
                <c:pt idx="15">
                  <c:v>2</c:v>
                </c:pt>
                <c:pt idx="16">
                  <c:v>2.5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Atiak-Palabek'!$AF$9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Atiak-Palabek'!$R$10:$R$33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Atiak-Palabek'!$AF$10:$AF$33</c:f>
              <c:numCache>
                <c:formatCode>0</c:formatCode>
                <c:ptCount val="24"/>
                <c:pt idx="0">
                  <c:v>9.2857142857142865</c:v>
                </c:pt>
                <c:pt idx="1">
                  <c:v>15.142857142857142</c:v>
                </c:pt>
                <c:pt idx="2">
                  <c:v>23.714285714285712</c:v>
                </c:pt>
                <c:pt idx="3">
                  <c:v>22.142857142857142</c:v>
                </c:pt>
                <c:pt idx="4">
                  <c:v>25.142857142857142</c:v>
                </c:pt>
                <c:pt idx="5">
                  <c:v>22.857142857142854</c:v>
                </c:pt>
                <c:pt idx="6">
                  <c:v>22.285714285714285</c:v>
                </c:pt>
                <c:pt idx="7">
                  <c:v>25.285714285714285</c:v>
                </c:pt>
                <c:pt idx="8">
                  <c:v>19.952380952380953</c:v>
                </c:pt>
                <c:pt idx="9">
                  <c:v>24</c:v>
                </c:pt>
                <c:pt idx="10">
                  <c:v>23.857142857142861</c:v>
                </c:pt>
                <c:pt idx="11">
                  <c:v>21.142857142857146</c:v>
                </c:pt>
                <c:pt idx="12">
                  <c:v>25.5</c:v>
                </c:pt>
                <c:pt idx="13">
                  <c:v>26</c:v>
                </c:pt>
                <c:pt idx="14">
                  <c:v>14</c:v>
                </c:pt>
                <c:pt idx="15">
                  <c:v>11.5</c:v>
                </c:pt>
                <c:pt idx="16">
                  <c:v>8.5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421184"/>
        <c:axId val="97423360"/>
      </c:lineChart>
      <c:catAx>
        <c:axId val="97421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423360"/>
        <c:crosses val="autoZero"/>
        <c:auto val="1"/>
        <c:lblAlgn val="ctr"/>
        <c:lblOffset val="100"/>
        <c:noMultiLvlLbl val="0"/>
      </c:catAx>
      <c:valAx>
        <c:axId val="97423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742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Atiak-Palabek'!$C$107:$N$107</c:f>
              <c:numCache>
                <c:formatCode>0.0%</c:formatCode>
                <c:ptCount val="12"/>
                <c:pt idx="0">
                  <c:v>1.0402940564532908E-2</c:v>
                </c:pt>
                <c:pt idx="1">
                  <c:v>0</c:v>
                </c:pt>
                <c:pt idx="2">
                  <c:v>4.1195644635550324E-2</c:v>
                </c:pt>
                <c:pt idx="3">
                  <c:v>3.5161939108121237E-2</c:v>
                </c:pt>
                <c:pt idx="4">
                  <c:v>4.1611762258131639E-4</c:v>
                </c:pt>
                <c:pt idx="5">
                  <c:v>3.1208821693598731E-3</c:v>
                </c:pt>
                <c:pt idx="6">
                  <c:v>5.6037173174283937E-2</c:v>
                </c:pt>
                <c:pt idx="7">
                  <c:v>1.6644704903252656E-3</c:v>
                </c:pt>
                <c:pt idx="8">
                  <c:v>8.3223524516263278E-4</c:v>
                </c:pt>
                <c:pt idx="9">
                  <c:v>0</c:v>
                </c:pt>
                <c:pt idx="10">
                  <c:v>0.85116859699008252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Atiak-Palabek'!$C$9:$N$9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Atiak-Palabek'!$C$108:$N$108</c:f>
              <c:numCache>
                <c:formatCode>0.00%</c:formatCode>
                <c:ptCount val="12"/>
                <c:pt idx="0">
                  <c:v>6.9897483690587112E-2</c:v>
                </c:pt>
                <c:pt idx="1">
                  <c:v>0</c:v>
                </c:pt>
                <c:pt idx="2">
                  <c:v>0.27679403541472497</c:v>
                </c:pt>
                <c:pt idx="3">
                  <c:v>0.23625349487418448</c:v>
                </c:pt>
                <c:pt idx="4">
                  <c:v>2.7958993476234848E-3</c:v>
                </c:pt>
                <c:pt idx="5">
                  <c:v>2.0969245107176137E-2</c:v>
                </c:pt>
                <c:pt idx="6">
                  <c:v>0.3765144454799626</c:v>
                </c:pt>
                <c:pt idx="7">
                  <c:v>1.1183597390493939E-2</c:v>
                </c:pt>
                <c:pt idx="8">
                  <c:v>5.5917986952469696E-3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Palabek-Atiak'!$AE$9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Palabek-Atiak'!$R$10:$R$33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Palabek-Atiak'!$AE$10:$AE$33</c:f>
              <c:numCache>
                <c:formatCode>0</c:formatCode>
                <c:ptCount val="24"/>
                <c:pt idx="0">
                  <c:v>0.71428571428571419</c:v>
                </c:pt>
                <c:pt idx="1">
                  <c:v>1.9999999999999998</c:v>
                </c:pt>
                <c:pt idx="2">
                  <c:v>4.4285714285714288</c:v>
                </c:pt>
                <c:pt idx="3">
                  <c:v>6.5714285714285712</c:v>
                </c:pt>
                <c:pt idx="4">
                  <c:v>6.5714285714285712</c:v>
                </c:pt>
                <c:pt idx="5">
                  <c:v>5.8571428571428559</c:v>
                </c:pt>
                <c:pt idx="6">
                  <c:v>4.4285714285714279</c:v>
                </c:pt>
                <c:pt idx="7">
                  <c:v>5.5714285714285712</c:v>
                </c:pt>
                <c:pt idx="8">
                  <c:v>4.4285714285714288</c:v>
                </c:pt>
                <c:pt idx="9">
                  <c:v>3.4285714285714279</c:v>
                </c:pt>
                <c:pt idx="10">
                  <c:v>5.7142857142857144</c:v>
                </c:pt>
                <c:pt idx="11">
                  <c:v>3.5714285714285712</c:v>
                </c:pt>
                <c:pt idx="12">
                  <c:v>3.5</c:v>
                </c:pt>
                <c:pt idx="13">
                  <c:v>3</c:v>
                </c:pt>
                <c:pt idx="14">
                  <c:v>0</c:v>
                </c:pt>
                <c:pt idx="15">
                  <c:v>2</c:v>
                </c:pt>
                <c:pt idx="16">
                  <c:v>2.5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Palabek-Atiak'!$AF$9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Palabek-Atiak'!$R$10:$R$33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Palabek-Atiak'!$AF$10:$AF$33</c:f>
              <c:numCache>
                <c:formatCode>0</c:formatCode>
                <c:ptCount val="24"/>
                <c:pt idx="0">
                  <c:v>2.8571428571428568</c:v>
                </c:pt>
                <c:pt idx="1">
                  <c:v>11.142857142857142</c:v>
                </c:pt>
                <c:pt idx="2">
                  <c:v>20</c:v>
                </c:pt>
                <c:pt idx="3">
                  <c:v>21.857142857142858</c:v>
                </c:pt>
                <c:pt idx="4">
                  <c:v>19.714285714285715</c:v>
                </c:pt>
                <c:pt idx="5">
                  <c:v>17.857142857142854</c:v>
                </c:pt>
                <c:pt idx="6">
                  <c:v>16.714285714285715</c:v>
                </c:pt>
                <c:pt idx="7">
                  <c:v>22</c:v>
                </c:pt>
                <c:pt idx="8">
                  <c:v>17.285714285714285</c:v>
                </c:pt>
                <c:pt idx="9">
                  <c:v>16.285714285714285</c:v>
                </c:pt>
                <c:pt idx="10">
                  <c:v>20.285714285714285</c:v>
                </c:pt>
                <c:pt idx="11">
                  <c:v>14.285714285714285</c:v>
                </c:pt>
                <c:pt idx="12">
                  <c:v>17.5</c:v>
                </c:pt>
                <c:pt idx="13">
                  <c:v>16</c:v>
                </c:pt>
                <c:pt idx="14">
                  <c:v>8</c:v>
                </c:pt>
                <c:pt idx="15">
                  <c:v>6.5</c:v>
                </c:pt>
                <c:pt idx="16">
                  <c:v>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1.5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71296"/>
        <c:axId val="98073216"/>
      </c:lineChart>
      <c:catAx>
        <c:axId val="98071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8073216"/>
        <c:crosses val="autoZero"/>
        <c:auto val="1"/>
        <c:lblAlgn val="ctr"/>
        <c:lblOffset val="100"/>
        <c:noMultiLvlLbl val="0"/>
      </c:catAx>
      <c:valAx>
        <c:axId val="98073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807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Palabek-Atiak'!$C$107:$N$107</c:f>
              <c:numCache>
                <c:formatCode>0.0%</c:formatCode>
                <c:ptCount val="12"/>
                <c:pt idx="0">
                  <c:v>1.6008832459287886E-2</c:v>
                </c:pt>
                <c:pt idx="1">
                  <c:v>0</c:v>
                </c:pt>
                <c:pt idx="2">
                  <c:v>4.6922439966878289E-2</c:v>
                </c:pt>
                <c:pt idx="3">
                  <c:v>4.4990339497653901E-2</c:v>
                </c:pt>
                <c:pt idx="4">
                  <c:v>5.5202870549268574E-4</c:v>
                </c:pt>
                <c:pt idx="5">
                  <c:v>3.5881865857024576E-3</c:v>
                </c:pt>
                <c:pt idx="6">
                  <c:v>7.1763731714049164E-2</c:v>
                </c:pt>
                <c:pt idx="7">
                  <c:v>2.2081148219707429E-3</c:v>
                </c:pt>
                <c:pt idx="8">
                  <c:v>1.1040574109853715E-3</c:v>
                </c:pt>
                <c:pt idx="9">
                  <c:v>6.5139387248136907E-2</c:v>
                </c:pt>
                <c:pt idx="10">
                  <c:v>0.7477228815898429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Palabek-Atiak'!$C$9:$N$9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Palabek-Atiak'!$C$108:$N$108</c:f>
              <c:numCache>
                <c:formatCode>0.00%</c:formatCode>
                <c:ptCount val="12"/>
                <c:pt idx="0">
                  <c:v>6.3457330415754923E-2</c:v>
                </c:pt>
                <c:pt idx="1">
                  <c:v>0</c:v>
                </c:pt>
                <c:pt idx="2">
                  <c:v>0.18599562363238514</c:v>
                </c:pt>
                <c:pt idx="3">
                  <c:v>0.17833698030634579</c:v>
                </c:pt>
                <c:pt idx="4">
                  <c:v>2.1881838074398253E-3</c:v>
                </c:pt>
                <c:pt idx="5">
                  <c:v>1.4223194748358864E-2</c:v>
                </c:pt>
                <c:pt idx="6">
                  <c:v>0.28446389496717733</c:v>
                </c:pt>
                <c:pt idx="7">
                  <c:v>8.7527352297593012E-3</c:v>
                </c:pt>
                <c:pt idx="8">
                  <c:v>4.3763676148796506E-3</c:v>
                </c:pt>
                <c:pt idx="9">
                  <c:v>0.25820568927789933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Atiak-Palabek-2Dir'!$C$9:$N$9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Atiak-Palabek-2Dir'!$C$107:$N$107</c:f>
              <c:numCache>
                <c:formatCode>0.0%</c:formatCode>
                <c:ptCount val="12"/>
                <c:pt idx="0">
                  <c:v>1.2812401138880103E-2</c:v>
                </c:pt>
                <c:pt idx="1">
                  <c:v>0</c:v>
                </c:pt>
                <c:pt idx="2">
                  <c:v>4.3657070547295167E-2</c:v>
                </c:pt>
                <c:pt idx="3">
                  <c:v>3.9386270167668484E-2</c:v>
                </c:pt>
                <c:pt idx="4">
                  <c:v>4.7453337551407791E-4</c:v>
                </c:pt>
                <c:pt idx="5">
                  <c:v>3.3217336285985455E-3</c:v>
                </c:pt>
                <c:pt idx="6">
                  <c:v>6.2796583359696317E-2</c:v>
                </c:pt>
                <c:pt idx="7">
                  <c:v>1.8981335020563117E-3</c:v>
                </c:pt>
                <c:pt idx="8">
                  <c:v>9.4906675102815583E-4</c:v>
                </c:pt>
                <c:pt idx="9">
                  <c:v>2.7997469155330593E-2</c:v>
                </c:pt>
                <c:pt idx="10">
                  <c:v>0.80670673837393236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Atiak-Palabek-2Dir'!$C$9:$N$9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Atiak-Palabek-2Dir'!$C$108:$N$108</c:f>
              <c:numCache>
                <c:formatCode>0.00%</c:formatCode>
                <c:ptCount val="12"/>
                <c:pt idx="0">
                  <c:v>6.6284779050736514E-2</c:v>
                </c:pt>
                <c:pt idx="1">
                  <c:v>0</c:v>
                </c:pt>
                <c:pt idx="2">
                  <c:v>0.22585924713584293</c:v>
                </c:pt>
                <c:pt idx="3">
                  <c:v>0.2037643207855975</c:v>
                </c:pt>
                <c:pt idx="4">
                  <c:v>2.4549918166939448E-3</c:v>
                </c:pt>
                <c:pt idx="5">
                  <c:v>1.7184942716857617E-2</c:v>
                </c:pt>
                <c:pt idx="6">
                  <c:v>0.32487725040916537</c:v>
                </c:pt>
                <c:pt idx="7">
                  <c:v>9.8199672667757792E-3</c:v>
                </c:pt>
                <c:pt idx="8">
                  <c:v>4.9099836333878896E-3</c:v>
                </c:pt>
                <c:pt idx="9">
                  <c:v>0.14484451718494273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Atiak-Palabek-2Dir'!$AE$9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Atiak-Palabek-2Dir'!$R$10:$R$33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Atiak-Palabek-2Dir'!$AE$10:$AE$33</c:f>
              <c:numCache>
                <c:formatCode>0</c:formatCode>
                <c:ptCount val="24"/>
                <c:pt idx="0">
                  <c:v>0.8571428571428571</c:v>
                </c:pt>
                <c:pt idx="1">
                  <c:v>3.5714285714285712</c:v>
                </c:pt>
                <c:pt idx="2">
                  <c:v>7.1428571428571432</c:v>
                </c:pt>
                <c:pt idx="3">
                  <c:v>10.285714285714285</c:v>
                </c:pt>
                <c:pt idx="4">
                  <c:v>12.142857142857142</c:v>
                </c:pt>
                <c:pt idx="5">
                  <c:v>9.1428571428571423</c:v>
                </c:pt>
                <c:pt idx="6">
                  <c:v>7.5714285714285712</c:v>
                </c:pt>
                <c:pt idx="7">
                  <c:v>10.571428571428571</c:v>
                </c:pt>
                <c:pt idx="8">
                  <c:v>8.3809523809523796</c:v>
                </c:pt>
                <c:pt idx="9">
                  <c:v>5.9999999999999991</c:v>
                </c:pt>
                <c:pt idx="10">
                  <c:v>10.428571428571427</c:v>
                </c:pt>
                <c:pt idx="11">
                  <c:v>6.2857142857142847</c:v>
                </c:pt>
                <c:pt idx="12">
                  <c:v>7</c:v>
                </c:pt>
                <c:pt idx="13">
                  <c:v>6</c:v>
                </c:pt>
                <c:pt idx="14">
                  <c:v>0</c:v>
                </c:pt>
                <c:pt idx="15">
                  <c:v>4</c:v>
                </c:pt>
                <c:pt idx="16">
                  <c:v>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30-4226-BD8D-5F1D51C68FD3}"/>
            </c:ext>
          </c:extLst>
        </c:ser>
        <c:ser>
          <c:idx val="1"/>
          <c:order val="1"/>
          <c:tx>
            <c:strRef>
              <c:f>'Avg Week Atiak-Palabek-2Dir'!$AF$9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Atiak-Palabek-2Dir'!$R$10:$R$33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Atiak-Palabek-2Dir'!$AF$10:$AF$33</c:f>
              <c:numCache>
                <c:formatCode>0</c:formatCode>
                <c:ptCount val="24"/>
                <c:pt idx="0">
                  <c:v>12.142857142857142</c:v>
                </c:pt>
                <c:pt idx="1">
                  <c:v>26.285714285714285</c:v>
                </c:pt>
                <c:pt idx="2">
                  <c:v>43.714285714285708</c:v>
                </c:pt>
                <c:pt idx="3">
                  <c:v>44</c:v>
                </c:pt>
                <c:pt idx="4">
                  <c:v>44.857142857142847</c:v>
                </c:pt>
                <c:pt idx="5">
                  <c:v>40.714285714285715</c:v>
                </c:pt>
                <c:pt idx="6">
                  <c:v>39</c:v>
                </c:pt>
                <c:pt idx="7">
                  <c:v>47.285714285714285</c:v>
                </c:pt>
                <c:pt idx="8">
                  <c:v>37.238095238095241</c:v>
                </c:pt>
                <c:pt idx="9">
                  <c:v>40.285714285714285</c:v>
                </c:pt>
                <c:pt idx="10">
                  <c:v>44.142857142857139</c:v>
                </c:pt>
                <c:pt idx="11">
                  <c:v>35.428571428571423</c:v>
                </c:pt>
                <c:pt idx="12">
                  <c:v>43</c:v>
                </c:pt>
                <c:pt idx="13">
                  <c:v>42</c:v>
                </c:pt>
                <c:pt idx="14">
                  <c:v>22</c:v>
                </c:pt>
                <c:pt idx="15">
                  <c:v>18</c:v>
                </c:pt>
                <c:pt idx="16">
                  <c:v>14.5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1.5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30-4226-BD8D-5F1D51C68FD3}"/>
            </c:ext>
          </c:extLst>
        </c:ser>
        <c:ser>
          <c:idx val="5"/>
          <c:order val="2"/>
          <c:tx>
            <c:strRef>
              <c:f>'Avg Week Atiak-Palabek-2Dir'!$AC$9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Atiak-Palabek-2Dir'!$R$10:$R$33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Atiak-Palabek-2Dir'!$AC$10:$AC$33</c:f>
              <c:numCache>
                <c:formatCode>0</c:formatCode>
                <c:ptCount val="24"/>
                <c:pt idx="0">
                  <c:v>11.285714285714286</c:v>
                </c:pt>
                <c:pt idx="1">
                  <c:v>22.714285714285712</c:v>
                </c:pt>
                <c:pt idx="2">
                  <c:v>36.571428571428569</c:v>
                </c:pt>
                <c:pt idx="3">
                  <c:v>33.714285714285715</c:v>
                </c:pt>
                <c:pt idx="4">
                  <c:v>32.714285714285708</c:v>
                </c:pt>
                <c:pt idx="5">
                  <c:v>31.571428571428573</c:v>
                </c:pt>
                <c:pt idx="6">
                  <c:v>31.428571428571431</c:v>
                </c:pt>
                <c:pt idx="7">
                  <c:v>36.714285714285715</c:v>
                </c:pt>
                <c:pt idx="8">
                  <c:v>28.857142857142854</c:v>
                </c:pt>
                <c:pt idx="9">
                  <c:v>34.285714285714292</c:v>
                </c:pt>
                <c:pt idx="10">
                  <c:v>33.714285714285708</c:v>
                </c:pt>
                <c:pt idx="11">
                  <c:v>29.142857142857146</c:v>
                </c:pt>
                <c:pt idx="12">
                  <c:v>36</c:v>
                </c:pt>
                <c:pt idx="13">
                  <c:v>36</c:v>
                </c:pt>
                <c:pt idx="14">
                  <c:v>22</c:v>
                </c:pt>
                <c:pt idx="15">
                  <c:v>14</c:v>
                </c:pt>
                <c:pt idx="16">
                  <c:v>9.5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1.5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30-4226-BD8D-5F1D51C68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Atiak-Palabek-2Dir'!$S$9:$AF$9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Atiak-Palabek-2Dir'!$S$41:$AF$41</c:f>
              <c:numCache>
                <c:formatCode>0</c:formatCode>
                <c:ptCount val="14"/>
                <c:pt idx="0">
                  <c:v>7.7142857142857144</c:v>
                </c:pt>
                <c:pt idx="1">
                  <c:v>0</c:v>
                </c:pt>
                <c:pt idx="2">
                  <c:v>26.285714285714285</c:v>
                </c:pt>
                <c:pt idx="3">
                  <c:v>23.714285714285712</c:v>
                </c:pt>
                <c:pt idx="4">
                  <c:v>0.2857142857142857</c:v>
                </c:pt>
                <c:pt idx="5">
                  <c:v>2</c:v>
                </c:pt>
                <c:pt idx="6">
                  <c:v>37.80952380952381</c:v>
                </c:pt>
                <c:pt idx="7">
                  <c:v>1.1428571428571428</c:v>
                </c:pt>
                <c:pt idx="8">
                  <c:v>0.5714285714285714</c:v>
                </c:pt>
                <c:pt idx="9">
                  <c:v>16.857142857142854</c:v>
                </c:pt>
                <c:pt idx="10">
                  <c:v>485.71428571428572</c:v>
                </c:pt>
                <c:pt idx="11">
                  <c:v>0</c:v>
                </c:pt>
                <c:pt idx="12">
                  <c:v>116.38095238095238</c:v>
                </c:pt>
                <c:pt idx="13">
                  <c:v>602.09523809523807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E-4D42-A4E4-64AE259E8B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Atiak-Palabek-2Dir'!$S$9:$AF$9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Atiak-Palabek-2Dir'!$S$42:$AF$42</c:f>
              <c:numCache>
                <c:formatCode>0.000</c:formatCode>
                <c:ptCount val="14"/>
                <c:pt idx="0">
                  <c:v>1.35</c:v>
                </c:pt>
                <c:pt idx="1">
                  <c:v>0</c:v>
                </c:pt>
                <c:pt idx="2">
                  <c:v>1.295774647887324</c:v>
                </c:pt>
                <c:pt idx="3">
                  <c:v>1.2671755725190841</c:v>
                </c:pt>
                <c:pt idx="4">
                  <c:v>1</c:v>
                </c:pt>
                <c:pt idx="5">
                  <c:v>2.0000000000000004</c:v>
                </c:pt>
                <c:pt idx="6">
                  <c:v>1.3595890410958906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1.3391098857818038</c:v>
                </c:pt>
                <c:pt idx="11">
                  <c:v>0</c:v>
                </c:pt>
                <c:pt idx="12">
                  <c:v>1.2597938144329897</c:v>
                </c:pt>
                <c:pt idx="13">
                  <c:v>1.323009312545778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22-48CF-923A-D75E408AF7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5.xml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9.xml"/><Relationship Id="rId1" Type="http://schemas.openxmlformats.org/officeDocument/2006/relationships/chart" Target="../charts/chart3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7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27</xdr:col>
      <xdr:colOff>698499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24</xdr:col>
      <xdr:colOff>0</xdr:colOff>
      <xdr:row>73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59</xdr:row>
      <xdr:rowOff>0</xdr:rowOff>
    </xdr:from>
    <xdr:to>
      <xdr:col>31</xdr:col>
      <xdr:colOff>190499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42</xdr:row>
      <xdr:rowOff>276224</xdr:rowOff>
    </xdr:from>
    <xdr:to>
      <xdr:col>28</xdr:col>
      <xdr:colOff>0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24</xdr:col>
      <xdr:colOff>15875</xdr:colOff>
      <xdr:row>73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59</xdr:row>
      <xdr:rowOff>0</xdr:rowOff>
    </xdr:from>
    <xdr:to>
      <xdr:col>31</xdr:col>
      <xdr:colOff>190499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231775</xdr:rowOff>
    </xdr:from>
    <xdr:to>
      <xdr:col>23</xdr:col>
      <xdr:colOff>682625</xdr:colOff>
      <xdr:row>74</xdr:row>
      <xdr:rowOff>238125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238125</xdr:rowOff>
    </xdr:from>
    <xdr:to>
      <xdr:col>24</xdr:col>
      <xdr:colOff>0</xdr:colOff>
      <xdr:row>90</xdr:row>
      <xdr:rowOff>254000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58</xdr:row>
      <xdr:rowOff>215903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52C4F7C-6699-4AA8-B4F5-0C85C77AA8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698500</xdr:colOff>
      <xdr:row>58</xdr:row>
      <xdr:rowOff>222250</xdr:rowOff>
    </xdr:from>
    <xdr:to>
      <xdr:col>31</xdr:col>
      <xdr:colOff>0</xdr:colOff>
      <xdr:row>74</xdr:row>
      <xdr:rowOff>220663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E264072-4304-49D4-94A5-DBCFD24B57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714374</xdr:colOff>
      <xdr:row>74</xdr:row>
      <xdr:rowOff>238125</xdr:rowOff>
    </xdr:from>
    <xdr:to>
      <xdr:col>30</xdr:col>
      <xdr:colOff>714374</xdr:colOff>
      <xdr:row>90</xdr:row>
      <xdr:rowOff>252413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2812E49-5CC9-48B4-AB6B-6F079DE591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KURE/Desktop/EDMP-N&amp;E-DATA/NTMP/Master%20Plan/6.%20Atiak-Palabek-fu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edule "/>
      <sheetName val="RD130 MCC"/>
      <sheetName val="Axle Loads"/>
      <sheetName val="OD"/>
      <sheetName val="AV1 Air Inquiry"/>
      <sheetName val="IW1 OD Ferries"/>
      <sheetName val="EntExit Bus"/>
      <sheetName val="PT2 OD Bus"/>
      <sheetName val="SP"/>
      <sheetName val="Reference Data Codes"/>
      <sheetName val="District Codes"/>
      <sheetName val="Border Codes"/>
      <sheetName val="Zones"/>
    </sheetNames>
    <sheetDataSet>
      <sheetData sheetId="0"/>
      <sheetData sheetId="1">
        <row r="822">
          <cell r="R822">
            <v>0</v>
          </cell>
          <cell r="S822">
            <v>0</v>
          </cell>
          <cell r="T822">
            <v>0</v>
          </cell>
          <cell r="U822">
            <v>0</v>
          </cell>
        </row>
        <row r="823">
          <cell r="R823">
            <v>0</v>
          </cell>
          <cell r="S823">
            <v>0</v>
          </cell>
          <cell r="T823">
            <v>0</v>
          </cell>
          <cell r="U823">
            <v>0</v>
          </cell>
        </row>
        <row r="824">
          <cell r="R824">
            <v>0</v>
          </cell>
          <cell r="S824">
            <v>0</v>
          </cell>
          <cell r="T824">
            <v>0</v>
          </cell>
          <cell r="U824">
            <v>0</v>
          </cell>
        </row>
        <row r="825">
          <cell r="R825">
            <v>0</v>
          </cell>
          <cell r="S825">
            <v>0</v>
          </cell>
          <cell r="T825">
            <v>0</v>
          </cell>
          <cell r="U825">
            <v>0</v>
          </cell>
        </row>
        <row r="826">
          <cell r="R826">
            <v>0</v>
          </cell>
          <cell r="S826">
            <v>0</v>
          </cell>
          <cell r="T826">
            <v>0</v>
          </cell>
          <cell r="U826">
            <v>0</v>
          </cell>
        </row>
        <row r="827">
          <cell r="R827">
            <v>0</v>
          </cell>
          <cell r="S827">
            <v>0</v>
          </cell>
          <cell r="T827">
            <v>0</v>
          </cell>
          <cell r="U827">
            <v>0</v>
          </cell>
        </row>
        <row r="828">
          <cell r="R828">
            <v>0</v>
          </cell>
          <cell r="S828">
            <v>0</v>
          </cell>
          <cell r="T828">
            <v>0</v>
          </cell>
          <cell r="U828">
            <v>0</v>
          </cell>
        </row>
        <row r="829">
          <cell r="R829">
            <v>0</v>
          </cell>
          <cell r="S829">
            <v>0</v>
          </cell>
          <cell r="T829">
            <v>0</v>
          </cell>
          <cell r="U829">
            <v>0</v>
          </cell>
        </row>
        <row r="830">
          <cell r="R830">
            <v>0</v>
          </cell>
          <cell r="S830">
            <v>0</v>
          </cell>
          <cell r="T830">
            <v>0</v>
          </cell>
          <cell r="U830">
            <v>0</v>
          </cell>
        </row>
        <row r="831">
          <cell r="R831">
            <v>0</v>
          </cell>
          <cell r="S831">
            <v>0</v>
          </cell>
          <cell r="T831">
            <v>0</v>
          </cell>
          <cell r="U831">
            <v>0</v>
          </cell>
        </row>
        <row r="832">
          <cell r="R832">
            <v>0</v>
          </cell>
          <cell r="S832">
            <v>0</v>
          </cell>
          <cell r="T832">
            <v>0</v>
          </cell>
          <cell r="U832">
            <v>0</v>
          </cell>
        </row>
        <row r="833">
          <cell r="R833">
            <v>0</v>
          </cell>
          <cell r="S833">
            <v>0</v>
          </cell>
          <cell r="T833">
            <v>0</v>
          </cell>
          <cell r="U833">
            <v>0</v>
          </cell>
        </row>
        <row r="834">
          <cell r="R834">
            <v>0</v>
          </cell>
          <cell r="S834">
            <v>0</v>
          </cell>
          <cell r="T834">
            <v>0</v>
          </cell>
          <cell r="U834">
            <v>0</v>
          </cell>
        </row>
        <row r="835">
          <cell r="R835">
            <v>0</v>
          </cell>
          <cell r="S835">
            <v>0</v>
          </cell>
          <cell r="T835">
            <v>0</v>
          </cell>
          <cell r="U835">
            <v>0</v>
          </cell>
        </row>
        <row r="836">
          <cell r="R836">
            <v>1</v>
          </cell>
          <cell r="S836">
            <v>0</v>
          </cell>
          <cell r="T836">
            <v>0</v>
          </cell>
          <cell r="U836">
            <v>0</v>
          </cell>
        </row>
        <row r="837">
          <cell r="R837">
            <v>0</v>
          </cell>
          <cell r="S837">
            <v>0</v>
          </cell>
          <cell r="T837">
            <v>0</v>
          </cell>
          <cell r="U837">
            <v>0</v>
          </cell>
        </row>
        <row r="838">
          <cell r="R838">
            <v>0</v>
          </cell>
          <cell r="S838">
            <v>0</v>
          </cell>
          <cell r="T838">
            <v>0</v>
          </cell>
          <cell r="U838">
            <v>0</v>
          </cell>
        </row>
        <row r="839">
          <cell r="R839">
            <v>0</v>
          </cell>
          <cell r="S839">
            <v>0</v>
          </cell>
          <cell r="T839">
            <v>0</v>
          </cell>
          <cell r="U839">
            <v>0</v>
          </cell>
        </row>
        <row r="840">
          <cell r="R840">
            <v>0</v>
          </cell>
          <cell r="S840">
            <v>0</v>
          </cell>
          <cell r="T840">
            <v>0</v>
          </cell>
          <cell r="U840">
            <v>0</v>
          </cell>
        </row>
        <row r="841">
          <cell r="R841">
            <v>0</v>
          </cell>
          <cell r="S841">
            <v>0</v>
          </cell>
          <cell r="T841">
            <v>0</v>
          </cell>
          <cell r="U841">
            <v>0</v>
          </cell>
        </row>
        <row r="842">
          <cell r="R842">
            <v>0</v>
          </cell>
          <cell r="S842">
            <v>0</v>
          </cell>
          <cell r="T842">
            <v>0</v>
          </cell>
          <cell r="U842">
            <v>0</v>
          </cell>
        </row>
        <row r="843">
          <cell r="R843">
            <v>0</v>
          </cell>
          <cell r="S843">
            <v>0</v>
          </cell>
          <cell r="T843">
            <v>0</v>
          </cell>
          <cell r="U843">
            <v>0</v>
          </cell>
        </row>
        <row r="844">
          <cell r="R844">
            <v>0</v>
          </cell>
          <cell r="S844">
            <v>0</v>
          </cell>
          <cell r="T844">
            <v>0</v>
          </cell>
          <cell r="U844">
            <v>0</v>
          </cell>
        </row>
        <row r="845">
          <cell r="R845">
            <v>0</v>
          </cell>
          <cell r="S845">
            <v>0</v>
          </cell>
          <cell r="T845">
            <v>0</v>
          </cell>
          <cell r="U845">
            <v>0</v>
          </cell>
        </row>
        <row r="846">
          <cell r="R846">
            <v>0</v>
          </cell>
          <cell r="S846">
            <v>0</v>
          </cell>
          <cell r="T846">
            <v>0</v>
          </cell>
          <cell r="U846">
            <v>0</v>
          </cell>
        </row>
        <row r="847">
          <cell r="R847">
            <v>0</v>
          </cell>
          <cell r="S847">
            <v>0</v>
          </cell>
          <cell r="T847">
            <v>0</v>
          </cell>
          <cell r="U847">
            <v>0</v>
          </cell>
        </row>
        <row r="848">
          <cell r="R848">
            <v>0</v>
          </cell>
          <cell r="S848">
            <v>0</v>
          </cell>
          <cell r="T848">
            <v>0</v>
          </cell>
          <cell r="U848">
            <v>0</v>
          </cell>
        </row>
        <row r="849">
          <cell r="R849">
            <v>0</v>
          </cell>
          <cell r="S849">
            <v>0</v>
          </cell>
          <cell r="T849">
            <v>0</v>
          </cell>
          <cell r="U849">
            <v>0</v>
          </cell>
        </row>
        <row r="850">
          <cell r="R850">
            <v>0</v>
          </cell>
          <cell r="S850">
            <v>0</v>
          </cell>
          <cell r="T850">
            <v>0</v>
          </cell>
          <cell r="U850">
            <v>0</v>
          </cell>
        </row>
        <row r="851">
          <cell r="R851">
            <v>0</v>
          </cell>
          <cell r="S851">
            <v>0</v>
          </cell>
          <cell r="T851">
            <v>0</v>
          </cell>
          <cell r="U851">
            <v>0</v>
          </cell>
        </row>
        <row r="852">
          <cell r="R852">
            <v>0</v>
          </cell>
          <cell r="S852">
            <v>0</v>
          </cell>
          <cell r="T852">
            <v>0</v>
          </cell>
          <cell r="U852">
            <v>0</v>
          </cell>
        </row>
        <row r="853">
          <cell r="R853">
            <v>0</v>
          </cell>
          <cell r="S853">
            <v>0</v>
          </cell>
          <cell r="T853">
            <v>0</v>
          </cell>
          <cell r="U853">
            <v>0</v>
          </cell>
        </row>
        <row r="854">
          <cell r="R854">
            <v>0</v>
          </cell>
          <cell r="S854">
            <v>0</v>
          </cell>
          <cell r="T854">
            <v>0</v>
          </cell>
          <cell r="U854">
            <v>0</v>
          </cell>
        </row>
        <row r="855">
          <cell r="R855">
            <v>0</v>
          </cell>
          <cell r="S855">
            <v>0</v>
          </cell>
          <cell r="T855">
            <v>0</v>
          </cell>
          <cell r="U855">
            <v>0</v>
          </cell>
        </row>
        <row r="856">
          <cell r="R856">
            <v>0</v>
          </cell>
          <cell r="S856">
            <v>0</v>
          </cell>
          <cell r="T856">
            <v>0</v>
          </cell>
          <cell r="U856">
            <v>0</v>
          </cell>
        </row>
        <row r="857">
          <cell r="R857">
            <v>0</v>
          </cell>
          <cell r="S857">
            <v>0</v>
          </cell>
          <cell r="T857">
            <v>0</v>
          </cell>
          <cell r="U857">
            <v>0</v>
          </cell>
        </row>
        <row r="858">
          <cell r="R858">
            <v>0</v>
          </cell>
          <cell r="S858">
            <v>0</v>
          </cell>
          <cell r="T858">
            <v>0</v>
          </cell>
          <cell r="U858">
            <v>0</v>
          </cell>
        </row>
        <row r="859">
          <cell r="R859">
            <v>0</v>
          </cell>
          <cell r="S859">
            <v>0</v>
          </cell>
          <cell r="T859">
            <v>0</v>
          </cell>
          <cell r="U859">
            <v>0</v>
          </cell>
        </row>
        <row r="860">
          <cell r="R860">
            <v>0</v>
          </cell>
          <cell r="S860">
            <v>0</v>
          </cell>
          <cell r="T860">
            <v>0</v>
          </cell>
          <cell r="U860">
            <v>0</v>
          </cell>
        </row>
        <row r="861">
          <cell r="R861">
            <v>0</v>
          </cell>
          <cell r="S861">
            <v>0</v>
          </cell>
          <cell r="T861">
            <v>0</v>
          </cell>
          <cell r="U861">
            <v>0</v>
          </cell>
        </row>
        <row r="862">
          <cell r="R862">
            <v>0</v>
          </cell>
          <cell r="S862">
            <v>0</v>
          </cell>
          <cell r="T862">
            <v>0</v>
          </cell>
          <cell r="U862">
            <v>0</v>
          </cell>
        </row>
        <row r="863">
          <cell r="R863">
            <v>0</v>
          </cell>
          <cell r="S863">
            <v>0</v>
          </cell>
          <cell r="T863">
            <v>0</v>
          </cell>
          <cell r="U863">
            <v>0</v>
          </cell>
        </row>
        <row r="864">
          <cell r="R864">
            <v>0</v>
          </cell>
          <cell r="S864">
            <v>0</v>
          </cell>
          <cell r="T864">
            <v>0</v>
          </cell>
          <cell r="U864">
            <v>0</v>
          </cell>
        </row>
        <row r="865">
          <cell r="R865">
            <v>0</v>
          </cell>
          <cell r="S865">
            <v>0</v>
          </cell>
          <cell r="T865">
            <v>0</v>
          </cell>
          <cell r="U865">
            <v>0</v>
          </cell>
        </row>
        <row r="866">
          <cell r="R866">
            <v>0</v>
          </cell>
          <cell r="S866">
            <v>0</v>
          </cell>
          <cell r="T866">
            <v>0</v>
          </cell>
          <cell r="U866">
            <v>0</v>
          </cell>
        </row>
        <row r="867">
          <cell r="R867">
            <v>0</v>
          </cell>
          <cell r="S867">
            <v>0</v>
          </cell>
          <cell r="T867">
            <v>0</v>
          </cell>
          <cell r="U867">
            <v>0</v>
          </cell>
        </row>
        <row r="868">
          <cell r="R868">
            <v>0</v>
          </cell>
          <cell r="S868">
            <v>0</v>
          </cell>
          <cell r="T868">
            <v>0</v>
          </cell>
          <cell r="U868">
            <v>0</v>
          </cell>
        </row>
        <row r="869">
          <cell r="R869">
            <v>0</v>
          </cell>
          <cell r="S869">
            <v>0</v>
          </cell>
          <cell r="T869">
            <v>0</v>
          </cell>
          <cell r="U869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D10" sqref="D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164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54" t="s">
        <v>162</v>
      </c>
      <c r="H5" s="55"/>
      <c r="I5" s="14"/>
      <c r="J5" s="2" t="s">
        <v>5</v>
      </c>
      <c r="K5" s="54" t="s">
        <v>162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165</v>
      </c>
      <c r="E6" s="55"/>
      <c r="F6" s="2" t="s">
        <v>2</v>
      </c>
      <c r="G6" s="54" t="s">
        <v>166</v>
      </c>
      <c r="H6" s="55"/>
      <c r="J6" s="2" t="s">
        <v>21</v>
      </c>
      <c r="K6" s="54" t="s">
        <v>162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MCC'!R6:U6)</f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9</v>
      </c>
      <c r="AD10" s="17">
        <f t="shared" si="2"/>
        <v>0</v>
      </c>
      <c r="AE10" s="31">
        <f t="shared" si="2"/>
        <v>0</v>
      </c>
      <c r="AF10" s="31">
        <f t="shared" si="2"/>
        <v>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MCC'!R7:U7)</f>
        <v>0</v>
      </c>
      <c r="M11" s="50">
        <v>1</v>
      </c>
      <c r="N11" s="50">
        <v>0</v>
      </c>
      <c r="O11" s="15">
        <f t="shared" si="0"/>
        <v>0</v>
      </c>
      <c r="P11" s="15">
        <f t="shared" si="1"/>
        <v>1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</v>
      </c>
      <c r="AD11" s="17">
        <f t="shared" si="3"/>
        <v>0</v>
      </c>
      <c r="AE11" s="31">
        <f t="shared" si="3"/>
        <v>1</v>
      </c>
      <c r="AF11" s="31">
        <f t="shared" si="3"/>
        <v>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MCC'!R8:U8)</f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11</v>
      </c>
      <c r="AD12" s="17">
        <f t="shared" si="4"/>
        <v>0</v>
      </c>
      <c r="AE12" s="31">
        <f t="shared" si="4"/>
        <v>1</v>
      </c>
      <c r="AF12" s="31">
        <f t="shared" si="4"/>
        <v>12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MCC'!R9:U9)</f>
        <v>0</v>
      </c>
      <c r="M13" s="50">
        <v>3</v>
      </c>
      <c r="N13" s="50">
        <v>0</v>
      </c>
      <c r="O13" s="15">
        <f t="shared" si="0"/>
        <v>0</v>
      </c>
      <c r="P13" s="15">
        <f t="shared" si="1"/>
        <v>3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1</v>
      </c>
      <c r="AF13" s="31">
        <f t="shared" si="5"/>
        <v>11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MCC'!R10:U10)</f>
        <v>0</v>
      </c>
      <c r="M14" s="50">
        <v>1</v>
      </c>
      <c r="N14" s="50">
        <v>0</v>
      </c>
      <c r="O14" s="15">
        <f t="shared" si="0"/>
        <v>0</v>
      </c>
      <c r="P14" s="15">
        <f t="shared" si="1"/>
        <v>1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10</v>
      </c>
      <c r="AD14" s="17">
        <f t="shared" si="6"/>
        <v>0</v>
      </c>
      <c r="AE14" s="31">
        <f t="shared" si="6"/>
        <v>2</v>
      </c>
      <c r="AF14" s="31">
        <f t="shared" si="6"/>
        <v>12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MCC'!R11:U11)</f>
        <v>0</v>
      </c>
      <c r="M15" s="50">
        <v>3</v>
      </c>
      <c r="N15" s="50">
        <v>0</v>
      </c>
      <c r="O15" s="15">
        <f t="shared" si="0"/>
        <v>1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10</v>
      </c>
      <c r="AD15" s="17">
        <f t="shared" si="7"/>
        <v>0</v>
      </c>
      <c r="AE15" s="31">
        <f t="shared" si="7"/>
        <v>2</v>
      </c>
      <c r="AF15" s="31">
        <f t="shared" si="7"/>
        <v>12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MCC'!R12:U12)</f>
        <v>0</v>
      </c>
      <c r="M16" s="50">
        <v>1</v>
      </c>
      <c r="N16" s="50">
        <v>0</v>
      </c>
      <c r="O16" s="15">
        <f t="shared" si="0"/>
        <v>0</v>
      </c>
      <c r="P16" s="15">
        <f t="shared" si="1"/>
        <v>1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12</v>
      </c>
      <c r="AD16" s="17">
        <f t="shared" si="8"/>
        <v>0</v>
      </c>
      <c r="AE16" s="31">
        <f t="shared" si="8"/>
        <v>2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MCC'!R13:U13)</f>
        <v>0</v>
      </c>
      <c r="M17" s="50">
        <v>3</v>
      </c>
      <c r="N17" s="50">
        <v>0</v>
      </c>
      <c r="O17" s="15">
        <f t="shared" si="0"/>
        <v>0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</v>
      </c>
      <c r="AD17" s="17">
        <f t="shared" si="9"/>
        <v>0</v>
      </c>
      <c r="AE17" s="31">
        <f t="shared" si="9"/>
        <v>2</v>
      </c>
      <c r="AF17" s="31">
        <f t="shared" si="9"/>
        <v>13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MCC'!R14:U14)</f>
        <v>0</v>
      </c>
      <c r="M18" s="50">
        <v>2</v>
      </c>
      <c r="N18" s="50">
        <v>0</v>
      </c>
      <c r="O18" s="15">
        <f t="shared" si="0"/>
        <v>0</v>
      </c>
      <c r="P18" s="15">
        <f t="shared" si="1"/>
        <v>2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6</v>
      </c>
      <c r="AF18" s="31">
        <f t="shared" si="10"/>
        <v>18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MCC'!R15:U15)</f>
        <v>0</v>
      </c>
      <c r="M19" s="50">
        <v>4</v>
      </c>
      <c r="N19" s="50">
        <v>0</v>
      </c>
      <c r="O19" s="15">
        <f t="shared" si="0"/>
        <v>0</v>
      </c>
      <c r="P19" s="15">
        <f t="shared" si="1"/>
        <v>4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11</v>
      </c>
      <c r="AD19" s="17">
        <f t="shared" si="11"/>
        <v>0</v>
      </c>
      <c r="AE19" s="31">
        <f t="shared" si="11"/>
        <v>4</v>
      </c>
      <c r="AF19" s="31">
        <f t="shared" si="11"/>
        <v>15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MCC'!R16:U16)</f>
        <v>0</v>
      </c>
      <c r="M20" s="50">
        <v>3</v>
      </c>
      <c r="N20" s="50">
        <v>0</v>
      </c>
      <c r="O20" s="15">
        <f t="shared" si="0"/>
        <v>1</v>
      </c>
      <c r="P20" s="15">
        <f t="shared" si="1"/>
        <v>4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19</v>
      </c>
      <c r="AD20" s="17">
        <f t="shared" si="12"/>
        <v>0</v>
      </c>
      <c r="AE20" s="31">
        <f t="shared" si="12"/>
        <v>3</v>
      </c>
      <c r="AF20" s="31">
        <f t="shared" si="12"/>
        <v>22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MCC'!R17:U17)</f>
        <v>0</v>
      </c>
      <c r="M21" s="50">
        <v>2</v>
      </c>
      <c r="N21" s="50">
        <v>0</v>
      </c>
      <c r="O21" s="15">
        <f t="shared" si="0"/>
        <v>0</v>
      </c>
      <c r="P21" s="15">
        <f t="shared" si="1"/>
        <v>2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14</v>
      </c>
      <c r="AD21" s="17">
        <f t="shared" si="13"/>
        <v>0</v>
      </c>
      <c r="AE21" s="31">
        <f t="shared" si="13"/>
        <v>1</v>
      </c>
      <c r="AF21" s="31">
        <f t="shared" si="13"/>
        <v>15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MCC'!R18:U18)</f>
        <v>0</v>
      </c>
      <c r="M22" s="50">
        <v>1</v>
      </c>
      <c r="N22" s="50">
        <v>0</v>
      </c>
      <c r="O22" s="15">
        <f t="shared" si="0"/>
        <v>0</v>
      </c>
      <c r="P22" s="15">
        <f t="shared" si="1"/>
        <v>1</v>
      </c>
      <c r="R22" s="38" t="s">
        <v>90</v>
      </c>
      <c r="S22" s="39">
        <f>MAX(S10:S12)</f>
        <v>1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11</v>
      </c>
      <c r="AD22" s="39">
        <f t="shared" si="14"/>
        <v>0</v>
      </c>
      <c r="AE22" s="40">
        <f t="shared" si="14"/>
        <v>1</v>
      </c>
      <c r="AF22" s="40">
        <f t="shared" si="14"/>
        <v>12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MCC'!R19:U19)</f>
        <v>0</v>
      </c>
      <c r="M23" s="50">
        <v>2</v>
      </c>
      <c r="N23" s="50">
        <v>0</v>
      </c>
      <c r="O23" s="15">
        <f t="shared" si="0"/>
        <v>0</v>
      </c>
      <c r="P23" s="15">
        <f t="shared" si="1"/>
        <v>2</v>
      </c>
      <c r="R23" s="38" t="s">
        <v>91</v>
      </c>
      <c r="S23" s="39">
        <f>MAX(S13:S18)</f>
        <v>0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12</v>
      </c>
      <c r="AD23" s="39">
        <f t="shared" si="15"/>
        <v>0</v>
      </c>
      <c r="AE23" s="40">
        <f t="shared" si="15"/>
        <v>6</v>
      </c>
      <c r="AF23" s="40">
        <f t="shared" si="15"/>
        <v>18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f>SUM('[1]RD130 MCC'!R20:U20)</f>
        <v>0</v>
      </c>
      <c r="M24" s="50">
        <v>4</v>
      </c>
      <c r="N24" s="50">
        <v>0</v>
      </c>
      <c r="O24" s="15">
        <f t="shared" si="0"/>
        <v>1</v>
      </c>
      <c r="P24" s="15">
        <f t="shared" si="1"/>
        <v>5</v>
      </c>
      <c r="R24" s="38" t="s">
        <v>92</v>
      </c>
      <c r="S24" s="39">
        <f>MAX(S19:S21)</f>
        <v>1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19</v>
      </c>
      <c r="AD24" s="39">
        <f t="shared" si="16"/>
        <v>0</v>
      </c>
      <c r="AE24" s="40">
        <f t="shared" si="16"/>
        <v>4</v>
      </c>
      <c r="AF24" s="40">
        <f t="shared" si="16"/>
        <v>22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MCC'!R21:U21)</f>
        <v>0</v>
      </c>
      <c r="M25" s="50">
        <v>3</v>
      </c>
      <c r="N25" s="50">
        <v>0</v>
      </c>
      <c r="O25" s="15">
        <f t="shared" si="0"/>
        <v>0</v>
      </c>
      <c r="P25" s="15">
        <f t="shared" si="1"/>
        <v>3</v>
      </c>
      <c r="R25" s="37" t="s">
        <v>85</v>
      </c>
      <c r="S25" s="35">
        <f t="shared" ref="S25:AF25" si="17">SUM(S10:S12)</f>
        <v>1</v>
      </c>
      <c r="T25" s="16">
        <f t="shared" si="17"/>
        <v>0</v>
      </c>
      <c r="U25" s="16">
        <f t="shared" si="17"/>
        <v>1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28</v>
      </c>
      <c r="AD25" s="16">
        <f t="shared" si="17"/>
        <v>0</v>
      </c>
      <c r="AE25" s="32">
        <f t="shared" si="17"/>
        <v>2</v>
      </c>
      <c r="AF25" s="32">
        <f t="shared" si="17"/>
        <v>30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f>SUM('[1]RD130 MCC'!R22:U22)</f>
        <v>0</v>
      </c>
      <c r="M26" s="50">
        <v>2</v>
      </c>
      <c r="N26" s="50">
        <v>0</v>
      </c>
      <c r="O26" s="15">
        <f t="shared" si="0"/>
        <v>1</v>
      </c>
      <c r="P26" s="15">
        <f t="shared" si="1"/>
        <v>3</v>
      </c>
      <c r="R26" s="28" t="s">
        <v>86</v>
      </c>
      <c r="S26" s="16">
        <f t="shared" ref="S26:AF26" si="18">SUM(S13:S18)</f>
        <v>0</v>
      </c>
      <c r="T26" s="16">
        <f t="shared" si="18"/>
        <v>0</v>
      </c>
      <c r="U26" s="16">
        <f t="shared" si="18"/>
        <v>4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10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65</v>
      </c>
      <c r="AD26" s="16">
        <f t="shared" si="18"/>
        <v>0</v>
      </c>
      <c r="AE26" s="32">
        <f t="shared" si="18"/>
        <v>15</v>
      </c>
      <c r="AF26" s="32">
        <f t="shared" si="18"/>
        <v>80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MCC'!R23:U23)</f>
        <v>0</v>
      </c>
      <c r="M27" s="50">
        <v>3</v>
      </c>
      <c r="N27" s="50">
        <v>0</v>
      </c>
      <c r="O27" s="15">
        <f t="shared" si="0"/>
        <v>0</v>
      </c>
      <c r="P27" s="15">
        <f t="shared" si="1"/>
        <v>3</v>
      </c>
      <c r="R27" s="29" t="s">
        <v>87</v>
      </c>
      <c r="S27" s="16">
        <f t="shared" ref="S27:AF27" si="19">SUM(S19:S21)</f>
        <v>1</v>
      </c>
      <c r="T27" s="16">
        <f t="shared" si="19"/>
        <v>0</v>
      </c>
      <c r="U27" s="16">
        <f t="shared" si="19"/>
        <v>3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44</v>
      </c>
      <c r="AD27" s="16">
        <f t="shared" si="19"/>
        <v>0</v>
      </c>
      <c r="AE27" s="32">
        <f t="shared" si="19"/>
        <v>8</v>
      </c>
      <c r="AF27" s="32">
        <f t="shared" si="19"/>
        <v>52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MCC'!R24:U24)</f>
        <v>0</v>
      </c>
      <c r="M28" s="50">
        <v>3</v>
      </c>
      <c r="N28" s="50">
        <v>0</v>
      </c>
      <c r="O28" s="15">
        <f t="shared" si="0"/>
        <v>0</v>
      </c>
      <c r="P28" s="15">
        <f t="shared" si="1"/>
        <v>3</v>
      </c>
      <c r="R28" s="5" t="s">
        <v>17</v>
      </c>
      <c r="S28" s="16">
        <f t="shared" ref="S28:AF28" si="20">SUM(S10:S21)</f>
        <v>2</v>
      </c>
      <c r="T28" s="16">
        <f t="shared" si="20"/>
        <v>0</v>
      </c>
      <c r="U28" s="16">
        <f t="shared" si="20"/>
        <v>8</v>
      </c>
      <c r="V28" s="16">
        <f t="shared" si="20"/>
        <v>1</v>
      </c>
      <c r="W28" s="16">
        <f t="shared" si="20"/>
        <v>0</v>
      </c>
      <c r="X28" s="16">
        <f t="shared" si="20"/>
        <v>0</v>
      </c>
      <c r="Y28" s="16">
        <f t="shared" si="20"/>
        <v>13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137</v>
      </c>
      <c r="AD28" s="16">
        <f t="shared" si="20"/>
        <v>0</v>
      </c>
      <c r="AE28" s="32">
        <f t="shared" si="20"/>
        <v>25</v>
      </c>
      <c r="AF28" s="32">
        <f t="shared" si="20"/>
        <v>162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SUM('[1]RD130 MCC'!R25:U25)</f>
        <v>0</v>
      </c>
      <c r="M29" s="50">
        <v>2</v>
      </c>
      <c r="N29" s="50">
        <v>0</v>
      </c>
      <c r="O29" s="15">
        <f t="shared" si="0"/>
        <v>1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f>SUM('[1]RD130 MCC'!R26:U26)</f>
        <v>0</v>
      </c>
      <c r="M30" s="50">
        <v>3</v>
      </c>
      <c r="N30" s="50">
        <v>0</v>
      </c>
      <c r="O30" s="15">
        <f t="shared" si="0"/>
        <v>1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MCC'!R27:U27)</f>
        <v>0</v>
      </c>
      <c r="M31" s="50">
        <v>4</v>
      </c>
      <c r="N31" s="50">
        <v>0</v>
      </c>
      <c r="O31" s="15">
        <f t="shared" si="0"/>
        <v>0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MCC'!R28:U28)</f>
        <v>0</v>
      </c>
      <c r="M32" s="50">
        <v>1</v>
      </c>
      <c r="N32" s="50">
        <v>0</v>
      </c>
      <c r="O32" s="15">
        <f t="shared" si="0"/>
        <v>1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MCC'!R29:U29)</f>
        <v>0</v>
      </c>
      <c r="M33" s="50">
        <v>2</v>
      </c>
      <c r="N33" s="50">
        <v>0</v>
      </c>
      <c r="O33" s="15">
        <f t="shared" si="0"/>
        <v>0</v>
      </c>
      <c r="P33" s="15">
        <f t="shared" si="1"/>
        <v>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f>SUM('[1]RD130 MCC'!R30:U30)</f>
        <v>0</v>
      </c>
      <c r="M34" s="50">
        <v>4</v>
      </c>
      <c r="N34" s="50">
        <v>0</v>
      </c>
      <c r="O34" s="15">
        <f t="shared" si="0"/>
        <v>1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MCC'!R31:U31)</f>
        <v>0</v>
      </c>
      <c r="M35" s="50">
        <v>3</v>
      </c>
      <c r="N35" s="50">
        <v>0</v>
      </c>
      <c r="O35" s="15">
        <f t="shared" si="0"/>
        <v>0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MCC'!R32:U32)</f>
        <v>0</v>
      </c>
      <c r="M36" s="50">
        <v>4</v>
      </c>
      <c r="N36" s="50">
        <v>0</v>
      </c>
      <c r="O36" s="15">
        <f t="shared" si="0"/>
        <v>1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MCC'!R33:U33)</f>
        <v>0</v>
      </c>
      <c r="M37" s="50">
        <v>1</v>
      </c>
      <c r="N37" s="50">
        <v>0</v>
      </c>
      <c r="O37" s="15">
        <f t="shared" si="0"/>
        <v>0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f>SUM('[1]RD130 MCC'!R34:U34)</f>
        <v>0</v>
      </c>
      <c r="M38" s="50">
        <v>2</v>
      </c>
      <c r="N38" s="50">
        <v>0</v>
      </c>
      <c r="O38" s="15">
        <f t="shared" si="0"/>
        <v>1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MCC'!R35:U35)</f>
        <v>0</v>
      </c>
      <c r="M39" s="50">
        <v>4</v>
      </c>
      <c r="N39" s="50">
        <v>0</v>
      </c>
      <c r="O39" s="15">
        <f t="shared" si="0"/>
        <v>0</v>
      </c>
      <c r="P39" s="15">
        <f t="shared" si="1"/>
        <v>4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f>SUM('[1]RD130 MCC'!R36:U36)</f>
        <v>0</v>
      </c>
      <c r="M40" s="50">
        <v>3</v>
      </c>
      <c r="N40" s="50">
        <v>0</v>
      </c>
      <c r="O40" s="15">
        <f t="shared" si="0"/>
        <v>1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MCC'!R37:U37)</f>
        <v>0</v>
      </c>
      <c r="M41" s="50">
        <v>2</v>
      </c>
      <c r="N41" s="50">
        <v>0</v>
      </c>
      <c r="O41" s="15">
        <f t="shared" si="0"/>
        <v>0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MCC'!R38:U38)</f>
        <v>0</v>
      </c>
      <c r="M42" s="50">
        <v>2</v>
      </c>
      <c r="N42" s="50">
        <v>0</v>
      </c>
      <c r="O42" s="15">
        <f t="shared" si="0"/>
        <v>1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f>SUM('[1]RD130 MCC'!R39:U39)</f>
        <v>0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f>SUM('[1]RD130 MCC'!R40:U40)</f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SUM('[1]RD130 MCC'!R41:U41)</f>
        <v>0</v>
      </c>
      <c r="M45" s="50">
        <v>6</v>
      </c>
      <c r="N45" s="50">
        <v>0</v>
      </c>
      <c r="O45" s="15">
        <f t="shared" si="0"/>
        <v>0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MCC'!R42:U42)</f>
        <v>0</v>
      </c>
      <c r="M46" s="50">
        <v>4</v>
      </c>
      <c r="N46" s="50">
        <v>0</v>
      </c>
      <c r="O46" s="15">
        <f t="shared" si="0"/>
        <v>2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MCC'!R43:U43)</f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MCC'!R44:U44)</f>
        <v>0</v>
      </c>
      <c r="M48" s="50">
        <v>3</v>
      </c>
      <c r="N48" s="50">
        <v>0</v>
      </c>
      <c r="O48" s="15">
        <f t="shared" si="0"/>
        <v>1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f>SUM('[1]RD130 MCC'!R45:U45)</f>
        <v>0</v>
      </c>
      <c r="M49" s="50">
        <v>2</v>
      </c>
      <c r="N49" s="50">
        <v>0</v>
      </c>
      <c r="O49" s="15">
        <f t="shared" si="0"/>
        <v>1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f>SUM('[1]RD130 MCC'!R46:U46)</f>
        <v>0</v>
      </c>
      <c r="M50" s="50">
        <v>2</v>
      </c>
      <c r="N50" s="50">
        <v>0</v>
      </c>
      <c r="O50" s="15">
        <f t="shared" si="0"/>
        <v>1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f>SUM('[1]RD130 MCC'!R47:U47)</f>
        <v>0</v>
      </c>
      <c r="M51" s="50">
        <v>4</v>
      </c>
      <c r="N51" s="50">
        <v>0</v>
      </c>
      <c r="O51" s="15">
        <f t="shared" si="0"/>
        <v>1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MCC'!R48:U48)</f>
        <v>0</v>
      </c>
      <c r="M52" s="50">
        <v>9</v>
      </c>
      <c r="N52" s="50">
        <v>0</v>
      </c>
      <c r="O52" s="15">
        <f t="shared" si="0"/>
        <v>0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MCC'!R49:U49)</f>
        <v>0</v>
      </c>
      <c r="M53" s="50">
        <v>4</v>
      </c>
      <c r="N53" s="50">
        <v>0</v>
      </c>
      <c r="O53" s="15">
        <f t="shared" si="0"/>
        <v>1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MCC'!R50:U50)</f>
        <v>0</v>
      </c>
      <c r="M54" s="50">
        <v>6</v>
      </c>
      <c r="N54" s="50">
        <v>0</v>
      </c>
      <c r="O54" s="15">
        <f t="shared" si="0"/>
        <v>0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f>SUM('[1]RD130 MCC'!R51:U51)</f>
        <v>0</v>
      </c>
      <c r="M55" s="50">
        <v>5</v>
      </c>
      <c r="N55" s="50">
        <v>0</v>
      </c>
      <c r="O55" s="15">
        <f t="shared" si="0"/>
        <v>1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MCC'!R52:U52)</f>
        <v>0</v>
      </c>
      <c r="M56" s="50">
        <v>2</v>
      </c>
      <c r="N56" s="50">
        <v>0</v>
      </c>
      <c r="O56" s="15">
        <f t="shared" si="0"/>
        <v>0</v>
      </c>
      <c r="P56" s="15">
        <f t="shared" si="1"/>
        <v>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MCC'!R53:U53)</f>
        <v>0</v>
      </c>
      <c r="M57" s="50">
        <v>1</v>
      </c>
      <c r="N57" s="50">
        <v>0</v>
      </c>
      <c r="O57" s="15">
        <f t="shared" si="0"/>
        <v>0</v>
      </c>
      <c r="P57" s="15">
        <f t="shared" si="1"/>
        <v>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0</v>
      </c>
      <c r="E58" s="16">
        <f t="shared" si="21"/>
        <v>8</v>
      </c>
      <c r="F58" s="16">
        <f t="shared" si="21"/>
        <v>1</v>
      </c>
      <c r="G58" s="16">
        <f t="shared" si="21"/>
        <v>0</v>
      </c>
      <c r="H58" s="16">
        <f t="shared" si="21"/>
        <v>0</v>
      </c>
      <c r="I58" s="16">
        <f t="shared" si="21"/>
        <v>13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137</v>
      </c>
      <c r="N58" s="16">
        <f t="shared" si="21"/>
        <v>0</v>
      </c>
      <c r="O58" s="16">
        <f t="shared" si="21"/>
        <v>25</v>
      </c>
      <c r="P58" s="16">
        <f t="shared" si="21"/>
        <v>162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1.2345679012345678E-2</v>
      </c>
      <c r="D59" s="43">
        <f t="shared" si="22"/>
        <v>0</v>
      </c>
      <c r="E59" s="43">
        <f t="shared" si="22"/>
        <v>4.9382716049382713E-2</v>
      </c>
      <c r="F59" s="43">
        <f t="shared" si="22"/>
        <v>6.1728395061728392E-3</v>
      </c>
      <c r="G59" s="43">
        <f t="shared" si="22"/>
        <v>0</v>
      </c>
      <c r="H59" s="43">
        <f t="shared" si="22"/>
        <v>0</v>
      </c>
      <c r="I59" s="43">
        <f t="shared" si="22"/>
        <v>8.0246913580246909E-2</v>
      </c>
      <c r="J59" s="43">
        <f t="shared" si="22"/>
        <v>6.1728395061728392E-3</v>
      </c>
      <c r="K59" s="43">
        <f t="shared" si="22"/>
        <v>0</v>
      </c>
      <c r="L59" s="43">
        <f t="shared" si="22"/>
        <v>0</v>
      </c>
      <c r="M59" s="43">
        <f t="shared" si="22"/>
        <v>0.84567901234567899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0.08</v>
      </c>
      <c r="D60" s="44">
        <f t="shared" ref="D60:N60" si="23">D58/$O$58</f>
        <v>0</v>
      </c>
      <c r="E60" s="44">
        <f t="shared" si="23"/>
        <v>0.32</v>
      </c>
      <c r="F60" s="44">
        <f t="shared" si="23"/>
        <v>0.04</v>
      </c>
      <c r="G60" s="44">
        <f t="shared" si="23"/>
        <v>0</v>
      </c>
      <c r="H60" s="44">
        <f t="shared" si="23"/>
        <v>0</v>
      </c>
      <c r="I60" s="44">
        <f t="shared" si="23"/>
        <v>0.52</v>
      </c>
      <c r="J60" s="44">
        <f t="shared" si="23"/>
        <v>0.04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" zoomScale="60" workbookViewId="0">
      <selection activeCell="L48" sqref="L4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Atiak-Palabek'!D5</f>
        <v>31.07.19</v>
      </c>
      <c r="E5" s="3"/>
      <c r="F5" s="41" t="s">
        <v>1</v>
      </c>
      <c r="G5" s="60" t="str">
        <f>'31.07 Atiak-Palabek'!G5:H5</f>
        <v>xxx</v>
      </c>
      <c r="H5" s="61"/>
      <c r="I5" s="14"/>
      <c r="J5" s="2" t="s">
        <v>5</v>
      </c>
      <c r="K5" s="60" t="str">
        <f>'31.07 Atiak-Palabek'!K5:L5</f>
        <v>xxx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166</v>
      </c>
      <c r="E6" s="55"/>
      <c r="F6" s="2" t="s">
        <v>2</v>
      </c>
      <c r="G6" s="54" t="s">
        <v>165</v>
      </c>
      <c r="H6" s="55"/>
      <c r="J6" s="2" t="s">
        <v>21</v>
      </c>
      <c r="K6" s="60" t="str">
        <f>'31.07 Atiak-Palabek'!K6:L6</f>
        <v>xxx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MCC'!R54:U54)</f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0</v>
      </c>
      <c r="AF10" s="31">
        <f t="shared" si="2"/>
        <v>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MCC'!R55:U55)</f>
        <v>0</v>
      </c>
      <c r="M11" s="50">
        <v>1</v>
      </c>
      <c r="N11" s="50">
        <v>0</v>
      </c>
      <c r="O11" s="15">
        <f t="shared" si="0"/>
        <v>0</v>
      </c>
      <c r="P11" s="15">
        <f t="shared" si="1"/>
        <v>1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</v>
      </c>
      <c r="AD11" s="17">
        <f t="shared" si="3"/>
        <v>0</v>
      </c>
      <c r="AE11" s="31">
        <f t="shared" si="3"/>
        <v>1</v>
      </c>
      <c r="AF11" s="31">
        <f t="shared" si="3"/>
        <v>10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MCC'!R56:U56)</f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</v>
      </c>
      <c r="AD12" s="17">
        <f t="shared" si="4"/>
        <v>0</v>
      </c>
      <c r="AE12" s="31">
        <f t="shared" si="4"/>
        <v>2</v>
      </c>
      <c r="AF12" s="31">
        <f t="shared" si="4"/>
        <v>14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MCC'!R57:U57)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15</v>
      </c>
      <c r="AD13" s="17">
        <f t="shared" si="5"/>
        <v>0</v>
      </c>
      <c r="AE13" s="31">
        <f t="shared" si="5"/>
        <v>5</v>
      </c>
      <c r="AF13" s="31">
        <f t="shared" si="5"/>
        <v>20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MCC'!R58:U58)</f>
        <v>0</v>
      </c>
      <c r="M14" s="50">
        <v>3</v>
      </c>
      <c r="N14" s="50">
        <v>0</v>
      </c>
      <c r="O14" s="15">
        <f t="shared" si="0"/>
        <v>0</v>
      </c>
      <c r="P14" s="15">
        <f t="shared" si="1"/>
        <v>3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</v>
      </c>
      <c r="AD14" s="17">
        <f t="shared" si="6"/>
        <v>0</v>
      </c>
      <c r="AE14" s="31">
        <f t="shared" si="6"/>
        <v>1</v>
      </c>
      <c r="AF14" s="31">
        <f t="shared" si="6"/>
        <v>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MCC'!R59:U59)</f>
        <v>0</v>
      </c>
      <c r="M15" s="50">
        <v>2</v>
      </c>
      <c r="N15" s="50">
        <v>0</v>
      </c>
      <c r="O15" s="15">
        <f t="shared" si="0"/>
        <v>0</v>
      </c>
      <c r="P15" s="15">
        <f t="shared" si="1"/>
        <v>2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15</v>
      </c>
      <c r="AD15" s="17">
        <f t="shared" si="7"/>
        <v>0</v>
      </c>
      <c r="AE15" s="31">
        <f t="shared" si="7"/>
        <v>4</v>
      </c>
      <c r="AF15" s="31">
        <f t="shared" si="7"/>
        <v>19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MCC'!R60:U60)</f>
        <v>0</v>
      </c>
      <c r="M16" s="50">
        <v>1</v>
      </c>
      <c r="N16" s="50">
        <v>0</v>
      </c>
      <c r="O16" s="15">
        <f t="shared" si="0"/>
        <v>1</v>
      </c>
      <c r="P16" s="15">
        <f t="shared" si="1"/>
        <v>2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4</v>
      </c>
      <c r="AF16" s="31">
        <f t="shared" si="8"/>
        <v>19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MCC'!R61:U61)</f>
        <v>0</v>
      </c>
      <c r="M17" s="50">
        <v>3</v>
      </c>
      <c r="N17" s="50">
        <v>0</v>
      </c>
      <c r="O17" s="15">
        <f t="shared" si="0"/>
        <v>0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10</v>
      </c>
      <c r="AD17" s="17">
        <f t="shared" si="9"/>
        <v>0</v>
      </c>
      <c r="AE17" s="31">
        <f t="shared" si="9"/>
        <v>2</v>
      </c>
      <c r="AF17" s="31">
        <f t="shared" si="9"/>
        <v>12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MCC'!R62:U62)</f>
        <v>0</v>
      </c>
      <c r="M18" s="50">
        <v>4</v>
      </c>
      <c r="N18" s="50">
        <v>0</v>
      </c>
      <c r="O18" s="15">
        <f t="shared" si="0"/>
        <v>1</v>
      </c>
      <c r="P18" s="15">
        <f t="shared" si="1"/>
        <v>5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13</v>
      </c>
      <c r="AD18" s="17">
        <f t="shared" si="10"/>
        <v>0</v>
      </c>
      <c r="AE18" s="31">
        <f t="shared" si="10"/>
        <v>2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MCC'!R63:U63)</f>
        <v>0</v>
      </c>
      <c r="M19" s="50">
        <v>2</v>
      </c>
      <c r="N19" s="50">
        <v>0</v>
      </c>
      <c r="O19" s="15">
        <f t="shared" si="0"/>
        <v>1</v>
      </c>
      <c r="P19" s="15">
        <f t="shared" si="1"/>
        <v>3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17</v>
      </c>
      <c r="AD19" s="17">
        <f t="shared" si="11"/>
        <v>0</v>
      </c>
      <c r="AE19" s="31">
        <f t="shared" si="11"/>
        <v>0</v>
      </c>
      <c r="AF19" s="31">
        <f t="shared" si="11"/>
        <v>17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MCC'!R64:U64)</f>
        <v>0</v>
      </c>
      <c r="M20" s="50">
        <v>1</v>
      </c>
      <c r="N20" s="50">
        <v>0</v>
      </c>
      <c r="O20" s="15">
        <f t="shared" si="0"/>
        <v>0</v>
      </c>
      <c r="P20" s="15">
        <f t="shared" si="1"/>
        <v>1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4</v>
      </c>
      <c r="AF20" s="31">
        <f t="shared" si="12"/>
        <v>21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MCC'!R65:U65)</f>
        <v>0</v>
      </c>
      <c r="M21" s="50">
        <v>5</v>
      </c>
      <c r="N21" s="50">
        <v>0</v>
      </c>
      <c r="O21" s="15">
        <f t="shared" si="0"/>
        <v>0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11</v>
      </c>
      <c r="AD21" s="17">
        <f t="shared" si="13"/>
        <v>0</v>
      </c>
      <c r="AE21" s="31">
        <f t="shared" si="13"/>
        <v>1</v>
      </c>
      <c r="AF21" s="31">
        <f t="shared" si="13"/>
        <v>12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f>SUM('[1]RD130 MCC'!R66:U66)</f>
        <v>0</v>
      </c>
      <c r="M22" s="50">
        <v>4</v>
      </c>
      <c r="N22" s="50">
        <v>0</v>
      </c>
      <c r="O22" s="15">
        <f t="shared" si="0"/>
        <v>1</v>
      </c>
      <c r="P22" s="15">
        <f t="shared" si="1"/>
        <v>5</v>
      </c>
      <c r="R22" s="38" t="s">
        <v>90</v>
      </c>
      <c r="S22" s="39">
        <f>MAX(S10:S12)</f>
        <v>1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12</v>
      </c>
      <c r="AD22" s="39">
        <f t="shared" si="14"/>
        <v>0</v>
      </c>
      <c r="AE22" s="40">
        <f t="shared" si="14"/>
        <v>2</v>
      </c>
      <c r="AF22" s="40">
        <f t="shared" si="14"/>
        <v>14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MCC'!R67:U67)</f>
        <v>0</v>
      </c>
      <c r="M23" s="50">
        <v>6</v>
      </c>
      <c r="N23" s="50">
        <v>0</v>
      </c>
      <c r="O23" s="15">
        <f t="shared" si="0"/>
        <v>0</v>
      </c>
      <c r="P23" s="15">
        <f t="shared" si="1"/>
        <v>6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15</v>
      </c>
      <c r="AD23" s="39">
        <f t="shared" si="15"/>
        <v>0</v>
      </c>
      <c r="AE23" s="40">
        <f t="shared" si="15"/>
        <v>5</v>
      </c>
      <c r="AF23" s="40">
        <f t="shared" si="15"/>
        <v>20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f>SUM('[1]RD130 MCC'!R68:U68)</f>
        <v>0</v>
      </c>
      <c r="M24" s="50">
        <v>1</v>
      </c>
      <c r="N24" s="50">
        <v>0</v>
      </c>
      <c r="O24" s="15">
        <f t="shared" si="0"/>
        <v>3</v>
      </c>
      <c r="P24" s="15">
        <f t="shared" si="1"/>
        <v>4</v>
      </c>
      <c r="R24" s="38" t="s">
        <v>92</v>
      </c>
      <c r="S24" s="39">
        <f>MAX(S19:S21)</f>
        <v>1</v>
      </c>
      <c r="T24" s="39">
        <f t="shared" ref="T24:AF24" si="16">MAX(T19:T21)</f>
        <v>0</v>
      </c>
      <c r="U24" s="39">
        <f t="shared" si="16"/>
        <v>0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17</v>
      </c>
      <c r="AD24" s="39">
        <f t="shared" si="16"/>
        <v>0</v>
      </c>
      <c r="AE24" s="40">
        <f t="shared" si="16"/>
        <v>4</v>
      </c>
      <c r="AF24" s="40">
        <f t="shared" si="16"/>
        <v>21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MCC'!R69:U69)</f>
        <v>0</v>
      </c>
      <c r="M25" s="50">
        <v>4</v>
      </c>
      <c r="N25" s="50">
        <v>0</v>
      </c>
      <c r="O25" s="15">
        <f t="shared" si="0"/>
        <v>1</v>
      </c>
      <c r="P25" s="15">
        <f t="shared" si="1"/>
        <v>5</v>
      </c>
      <c r="R25" s="37" t="s">
        <v>85</v>
      </c>
      <c r="S25" s="35">
        <f t="shared" ref="S25:AF25" si="17">SUM(S10:S12)</f>
        <v>2</v>
      </c>
      <c r="T25" s="16">
        <f t="shared" si="17"/>
        <v>0</v>
      </c>
      <c r="U25" s="16">
        <f t="shared" si="17"/>
        <v>1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23</v>
      </c>
      <c r="AD25" s="16">
        <f t="shared" si="17"/>
        <v>0</v>
      </c>
      <c r="AE25" s="32">
        <f t="shared" si="17"/>
        <v>3</v>
      </c>
      <c r="AF25" s="32">
        <f t="shared" si="17"/>
        <v>26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MCC'!R70:U70)</f>
        <v>0</v>
      </c>
      <c r="M26" s="50">
        <v>0</v>
      </c>
      <c r="N26" s="50">
        <v>0</v>
      </c>
      <c r="O26" s="15">
        <f t="shared" si="0"/>
        <v>0</v>
      </c>
      <c r="P26" s="15">
        <f t="shared" si="1"/>
        <v>0</v>
      </c>
      <c r="R26" s="28" t="s">
        <v>86</v>
      </c>
      <c r="S26" s="16">
        <f t="shared" ref="S26:AF26" si="18">SUM(S13:S18)</f>
        <v>2</v>
      </c>
      <c r="T26" s="16">
        <f t="shared" si="18"/>
        <v>0</v>
      </c>
      <c r="U26" s="16">
        <f t="shared" si="18"/>
        <v>5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9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76</v>
      </c>
      <c r="AD26" s="16">
        <f t="shared" si="18"/>
        <v>0</v>
      </c>
      <c r="AE26" s="32">
        <f t="shared" si="18"/>
        <v>18</v>
      </c>
      <c r="AF26" s="32">
        <f t="shared" si="18"/>
        <v>94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MCC'!R71:U71)</f>
        <v>0</v>
      </c>
      <c r="M27" s="50">
        <v>2</v>
      </c>
      <c r="N27" s="50">
        <v>0</v>
      </c>
      <c r="O27" s="15">
        <f t="shared" si="0"/>
        <v>0</v>
      </c>
      <c r="P27" s="15">
        <f t="shared" si="1"/>
        <v>2</v>
      </c>
      <c r="R27" s="29" t="s">
        <v>87</v>
      </c>
      <c r="S27" s="16">
        <f t="shared" ref="S27:AF27" si="19">SUM(S19:S21)</f>
        <v>1</v>
      </c>
      <c r="T27" s="16">
        <f t="shared" si="19"/>
        <v>0</v>
      </c>
      <c r="U27" s="16">
        <f t="shared" si="19"/>
        <v>0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45</v>
      </c>
      <c r="AD27" s="16">
        <f t="shared" si="19"/>
        <v>0</v>
      </c>
      <c r="AE27" s="32">
        <f t="shared" si="19"/>
        <v>5</v>
      </c>
      <c r="AF27" s="32">
        <f t="shared" si="19"/>
        <v>50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MCC'!R72:U72)</f>
        <v>0</v>
      </c>
      <c r="M28" s="50">
        <v>4</v>
      </c>
      <c r="N28" s="50">
        <v>0</v>
      </c>
      <c r="O28" s="15">
        <f t="shared" si="0"/>
        <v>1</v>
      </c>
      <c r="P28" s="15">
        <f t="shared" si="1"/>
        <v>5</v>
      </c>
      <c r="R28" s="5" t="s">
        <v>17</v>
      </c>
      <c r="S28" s="16">
        <f t="shared" ref="S28:AF28" si="20">SUM(S10:S21)</f>
        <v>5</v>
      </c>
      <c r="T28" s="16">
        <f t="shared" si="20"/>
        <v>0</v>
      </c>
      <c r="U28" s="16">
        <f t="shared" si="20"/>
        <v>6</v>
      </c>
      <c r="V28" s="16">
        <f t="shared" si="20"/>
        <v>0</v>
      </c>
      <c r="W28" s="16">
        <f t="shared" si="20"/>
        <v>0</v>
      </c>
      <c r="X28" s="16">
        <f t="shared" si="20"/>
        <v>0</v>
      </c>
      <c r="Y28" s="16">
        <f t="shared" si="20"/>
        <v>13</v>
      </c>
      <c r="Z28" s="16">
        <f t="shared" si="20"/>
        <v>2</v>
      </c>
      <c r="AA28" s="16">
        <f t="shared" si="20"/>
        <v>0</v>
      </c>
      <c r="AB28" s="16">
        <f t="shared" si="20"/>
        <v>0</v>
      </c>
      <c r="AC28" s="16">
        <f t="shared" si="20"/>
        <v>144</v>
      </c>
      <c r="AD28" s="16">
        <f t="shared" si="20"/>
        <v>0</v>
      </c>
      <c r="AE28" s="32">
        <f t="shared" si="20"/>
        <v>26</v>
      </c>
      <c r="AF28" s="32">
        <f t="shared" si="20"/>
        <v>170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f>SUM('[1]RD130 MCC'!R73:U73)</f>
        <v>0</v>
      </c>
      <c r="M29" s="50">
        <v>2</v>
      </c>
      <c r="N29" s="50">
        <v>0</v>
      </c>
      <c r="O29" s="15">
        <f t="shared" si="0"/>
        <v>0</v>
      </c>
      <c r="P29" s="15">
        <f t="shared" si="1"/>
        <v>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MCC'!R74:U74)</f>
        <v>0</v>
      </c>
      <c r="M30" s="50">
        <v>3</v>
      </c>
      <c r="N30" s="50">
        <v>0</v>
      </c>
      <c r="O30" s="15">
        <f t="shared" si="0"/>
        <v>1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MCC'!R75:U75)</f>
        <v>0</v>
      </c>
      <c r="M31" s="50">
        <v>2</v>
      </c>
      <c r="N31" s="50">
        <v>0</v>
      </c>
      <c r="O31" s="15">
        <f t="shared" si="0"/>
        <v>1</v>
      </c>
      <c r="P31" s="15">
        <f t="shared" si="1"/>
        <v>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MCC'!R76:U76)</f>
        <v>0</v>
      </c>
      <c r="M32" s="50">
        <v>5</v>
      </c>
      <c r="N32" s="50">
        <v>0</v>
      </c>
      <c r="O32" s="15">
        <f t="shared" si="0"/>
        <v>1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f>SUM('[1]RD130 MCC'!R77:U77)</f>
        <v>0</v>
      </c>
      <c r="M33" s="50">
        <v>5</v>
      </c>
      <c r="N33" s="50">
        <v>0</v>
      </c>
      <c r="O33" s="15">
        <f t="shared" si="0"/>
        <v>1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f>SUM('[1]RD130 MCC'!R78:U78)</f>
        <v>0</v>
      </c>
      <c r="M34" s="50">
        <v>4</v>
      </c>
      <c r="N34" s="50">
        <v>0</v>
      </c>
      <c r="O34" s="15">
        <f t="shared" si="0"/>
        <v>1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2</v>
      </c>
      <c r="K35" s="50">
        <v>0</v>
      </c>
      <c r="L35" s="50">
        <f>SUM('[1]RD130 MCC'!R79:U79)</f>
        <v>0</v>
      </c>
      <c r="M35" s="50">
        <v>4</v>
      </c>
      <c r="N35" s="50">
        <v>0</v>
      </c>
      <c r="O35" s="15">
        <f t="shared" si="0"/>
        <v>2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MCC'!R80:U80)</f>
        <v>0</v>
      </c>
      <c r="M36" s="50">
        <v>2</v>
      </c>
      <c r="N36" s="50">
        <v>0</v>
      </c>
      <c r="O36" s="15">
        <f t="shared" si="0"/>
        <v>0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MCC'!R81:U81)</f>
        <v>0</v>
      </c>
      <c r="M37" s="50">
        <v>5</v>
      </c>
      <c r="N37" s="50">
        <v>0</v>
      </c>
      <c r="O37" s="15">
        <f t="shared" si="0"/>
        <v>1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MCC'!R82:U82)</f>
        <v>0</v>
      </c>
      <c r="M38" s="50">
        <v>3</v>
      </c>
      <c r="N38" s="50">
        <v>0</v>
      </c>
      <c r="O38" s="15">
        <f t="shared" si="0"/>
        <v>0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MCC'!R83:U83)</f>
        <v>0</v>
      </c>
      <c r="M39" s="50">
        <v>1</v>
      </c>
      <c r="N39" s="50">
        <v>0</v>
      </c>
      <c r="O39" s="15">
        <f t="shared" si="0"/>
        <v>0</v>
      </c>
      <c r="P39" s="15">
        <f t="shared" si="1"/>
        <v>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f>SUM('[1]RD130 MCC'!R84:U84)</f>
        <v>0</v>
      </c>
      <c r="M40" s="50">
        <v>2</v>
      </c>
      <c r="N40" s="50">
        <v>0</v>
      </c>
      <c r="O40" s="15">
        <f t="shared" si="0"/>
        <v>1</v>
      </c>
      <c r="P40" s="15">
        <f t="shared" si="1"/>
        <v>3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f>SUM('[1]RD130 MCC'!R85:U85)</f>
        <v>0</v>
      </c>
      <c r="M41" s="50">
        <v>4</v>
      </c>
      <c r="N41" s="50">
        <v>0</v>
      </c>
      <c r="O41" s="15">
        <f t="shared" si="0"/>
        <v>1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MCC'!R86:U86)</f>
        <v>0</v>
      </c>
      <c r="M42" s="50">
        <v>0</v>
      </c>
      <c r="N42" s="50">
        <v>0</v>
      </c>
      <c r="O42" s="15">
        <f t="shared" si="0"/>
        <v>0</v>
      </c>
      <c r="P42" s="15">
        <f t="shared" si="1"/>
        <v>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MCC'!R87:U87)</f>
        <v>0</v>
      </c>
      <c r="M43" s="50">
        <v>3</v>
      </c>
      <c r="N43" s="50">
        <v>0</v>
      </c>
      <c r="O43" s="15">
        <f t="shared" si="0"/>
        <v>0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MCC'!R88:U88)</f>
        <v>0</v>
      </c>
      <c r="M44" s="50">
        <v>3</v>
      </c>
      <c r="N44" s="50">
        <v>0</v>
      </c>
      <c r="O44" s="15">
        <f t="shared" si="0"/>
        <v>0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f>SUM('[1]RD130 MCC'!R89:U89)</f>
        <v>0</v>
      </c>
      <c r="M45" s="50">
        <v>7</v>
      </c>
      <c r="N45" s="50">
        <v>0</v>
      </c>
      <c r="O45" s="15">
        <f t="shared" si="0"/>
        <v>2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MCC'!R90:U90)</f>
        <v>0</v>
      </c>
      <c r="M46" s="50">
        <v>3</v>
      </c>
      <c r="N46" s="50">
        <v>0</v>
      </c>
      <c r="O46" s="15">
        <f t="shared" si="0"/>
        <v>0</v>
      </c>
      <c r="P46" s="15">
        <f t="shared" si="1"/>
        <v>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MCC'!R91:U91)</f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MCC'!R92:U92)</f>
        <v>0</v>
      </c>
      <c r="M48" s="50">
        <v>4</v>
      </c>
      <c r="N48" s="50">
        <v>0</v>
      </c>
      <c r="O48" s="15">
        <f t="shared" si="0"/>
        <v>0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MCC'!R93:U93)</f>
        <v>0</v>
      </c>
      <c r="M49" s="50">
        <v>8</v>
      </c>
      <c r="N49" s="50">
        <v>0</v>
      </c>
      <c r="O49" s="15">
        <f t="shared" si="0"/>
        <v>0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MCC'!R94:U94)</f>
        <v>0</v>
      </c>
      <c r="M50" s="50">
        <v>5</v>
      </c>
      <c r="N50" s="50">
        <v>0</v>
      </c>
      <c r="O50" s="15">
        <f t="shared" si="0"/>
        <v>0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f>SUM('[1]RD130 MCC'!R95:U95)</f>
        <v>0</v>
      </c>
      <c r="M51" s="50">
        <v>4</v>
      </c>
      <c r="N51" s="50">
        <v>0</v>
      </c>
      <c r="O51" s="15">
        <f t="shared" si="0"/>
        <v>2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f>SUM('[1]RD130 MCC'!R96:U96)</f>
        <v>0</v>
      </c>
      <c r="M52" s="50">
        <v>3</v>
      </c>
      <c r="N52" s="50">
        <v>0</v>
      </c>
      <c r="O52" s="15">
        <f t="shared" si="0"/>
        <v>2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MCC'!R97:U97)</f>
        <v>0</v>
      </c>
      <c r="M53" s="50">
        <v>5</v>
      </c>
      <c r="N53" s="50">
        <v>0</v>
      </c>
      <c r="O53" s="15">
        <f t="shared" si="0"/>
        <v>0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MCC'!R98:U98)</f>
        <v>0</v>
      </c>
      <c r="M54" s="50">
        <v>1</v>
      </c>
      <c r="N54" s="50">
        <v>0</v>
      </c>
      <c r="O54" s="15">
        <f t="shared" si="0"/>
        <v>0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MCC'!R99:U99)</f>
        <v>0</v>
      </c>
      <c r="M55" s="50">
        <v>1</v>
      </c>
      <c r="N55" s="50">
        <v>0</v>
      </c>
      <c r="O55" s="15">
        <f t="shared" si="0"/>
        <v>0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MCC'!R100:U100)</f>
        <v>0</v>
      </c>
      <c r="M56" s="50">
        <v>4</v>
      </c>
      <c r="N56" s="50">
        <v>0</v>
      </c>
      <c r="O56" s="15">
        <f t="shared" si="0"/>
        <v>0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f>SUM('[1]RD130 MCC'!R101:U101)</f>
        <v>0</v>
      </c>
      <c r="M57" s="50">
        <v>5</v>
      </c>
      <c r="N57" s="50">
        <v>0</v>
      </c>
      <c r="O57" s="15">
        <f t="shared" si="0"/>
        <v>1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</v>
      </c>
      <c r="D58" s="16">
        <f t="shared" si="21"/>
        <v>0</v>
      </c>
      <c r="E58" s="16">
        <f t="shared" si="21"/>
        <v>6</v>
      </c>
      <c r="F58" s="16">
        <f t="shared" si="21"/>
        <v>0</v>
      </c>
      <c r="G58" s="16">
        <f t="shared" si="21"/>
        <v>0</v>
      </c>
      <c r="H58" s="16">
        <f t="shared" si="21"/>
        <v>0</v>
      </c>
      <c r="I58" s="16">
        <f t="shared" si="21"/>
        <v>13</v>
      </c>
      <c r="J58" s="16">
        <f t="shared" si="21"/>
        <v>2</v>
      </c>
      <c r="K58" s="16">
        <f t="shared" si="21"/>
        <v>0</v>
      </c>
      <c r="L58" s="16">
        <f t="shared" si="21"/>
        <v>0</v>
      </c>
      <c r="M58" s="16">
        <f t="shared" si="21"/>
        <v>144</v>
      </c>
      <c r="N58" s="16">
        <f t="shared" si="21"/>
        <v>0</v>
      </c>
      <c r="O58" s="16">
        <f t="shared" si="21"/>
        <v>26</v>
      </c>
      <c r="P58" s="16">
        <f t="shared" si="21"/>
        <v>170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2.9411764705882353E-2</v>
      </c>
      <c r="D59" s="43">
        <f t="shared" si="22"/>
        <v>0</v>
      </c>
      <c r="E59" s="43">
        <f t="shared" si="22"/>
        <v>3.5294117647058823E-2</v>
      </c>
      <c r="F59" s="43">
        <f t="shared" si="22"/>
        <v>0</v>
      </c>
      <c r="G59" s="43">
        <f t="shared" si="22"/>
        <v>0</v>
      </c>
      <c r="H59" s="43">
        <f t="shared" si="22"/>
        <v>0</v>
      </c>
      <c r="I59" s="43">
        <f t="shared" si="22"/>
        <v>7.6470588235294124E-2</v>
      </c>
      <c r="J59" s="43">
        <f t="shared" si="22"/>
        <v>1.1764705882352941E-2</v>
      </c>
      <c r="K59" s="43">
        <f t="shared" si="22"/>
        <v>0</v>
      </c>
      <c r="L59" s="43">
        <f t="shared" si="22"/>
        <v>0</v>
      </c>
      <c r="M59" s="43">
        <f t="shared" si="22"/>
        <v>0.84705882352941175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0.19230769230769232</v>
      </c>
      <c r="D60" s="44">
        <f t="shared" ref="D60:N60" si="23">D58/$O$58</f>
        <v>0</v>
      </c>
      <c r="E60" s="44">
        <f t="shared" si="23"/>
        <v>0.23076923076923078</v>
      </c>
      <c r="F60" s="44">
        <f t="shared" si="23"/>
        <v>0</v>
      </c>
      <c r="G60" s="44">
        <f t="shared" si="23"/>
        <v>0</v>
      </c>
      <c r="H60" s="44">
        <f t="shared" si="23"/>
        <v>0</v>
      </c>
      <c r="I60" s="44">
        <f t="shared" si="23"/>
        <v>0.5</v>
      </c>
      <c r="J60" s="44">
        <f t="shared" si="23"/>
        <v>7.6923076923076927E-2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37" zoomScale="60" workbookViewId="0">
      <selection activeCell="L50" sqref="L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3" t="str">
        <f>'31.07 Atiak-Palabek'!G5:H5</f>
        <v>xxx</v>
      </c>
      <c r="H5" s="64"/>
      <c r="I5" s="14"/>
      <c r="J5" s="2" t="s">
        <v>5</v>
      </c>
      <c r="K5" s="63" t="str">
        <f>'31.07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Atiak-Palabek'!D6:E6</f>
        <v>Atiak</v>
      </c>
      <c r="E6" s="64"/>
      <c r="F6" s="2" t="s">
        <v>2</v>
      </c>
      <c r="G6" s="63" t="str">
        <f>'31.07 Atiak-Palabek'!G6:H6</f>
        <v>Palabek</v>
      </c>
      <c r="H6" s="64"/>
      <c r="J6" s="2" t="s">
        <v>21</v>
      </c>
      <c r="K6" s="63" t="str">
        <f>'31.07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MCC'!R102:U102)</f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0</v>
      </c>
      <c r="AF10" s="31">
        <f t="shared" si="2"/>
        <v>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MCC'!R103:U103)</f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18</v>
      </c>
      <c r="AD11" s="17">
        <f t="shared" si="3"/>
        <v>0</v>
      </c>
      <c r="AE11" s="31">
        <f t="shared" si="3"/>
        <v>0</v>
      </c>
      <c r="AF11" s="31">
        <f t="shared" si="3"/>
        <v>18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MCC'!R104:U104)</f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19</v>
      </c>
      <c r="AD12" s="17">
        <f t="shared" si="4"/>
        <v>0</v>
      </c>
      <c r="AE12" s="31">
        <f t="shared" si="4"/>
        <v>3</v>
      </c>
      <c r="AF12" s="31">
        <f t="shared" si="4"/>
        <v>22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MCC'!R105:U105)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5</v>
      </c>
      <c r="AF13" s="31">
        <f t="shared" si="5"/>
        <v>17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MCC'!R106:U106)</f>
        <v>0</v>
      </c>
      <c r="M14" s="50">
        <v>2</v>
      </c>
      <c r="N14" s="50">
        <v>0</v>
      </c>
      <c r="O14" s="15">
        <f t="shared" si="0"/>
        <v>0</v>
      </c>
      <c r="P14" s="15">
        <f t="shared" si="1"/>
        <v>2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25</v>
      </c>
      <c r="AD14" s="17">
        <f t="shared" si="6"/>
        <v>0</v>
      </c>
      <c r="AE14" s="31">
        <f t="shared" si="6"/>
        <v>7</v>
      </c>
      <c r="AF14" s="31">
        <f t="shared" si="6"/>
        <v>32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MCC'!R107:U107)</f>
        <v>0</v>
      </c>
      <c r="M15" s="50">
        <v>4</v>
      </c>
      <c r="N15" s="50">
        <v>0</v>
      </c>
      <c r="O15" s="15">
        <f t="shared" si="0"/>
        <v>0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23</v>
      </c>
      <c r="AD15" s="17">
        <f t="shared" si="7"/>
        <v>0</v>
      </c>
      <c r="AE15" s="31">
        <f t="shared" si="7"/>
        <v>4</v>
      </c>
      <c r="AF15" s="31">
        <f t="shared" si="7"/>
        <v>27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MCC'!R108:U108)</f>
        <v>0</v>
      </c>
      <c r="M16" s="50">
        <v>8</v>
      </c>
      <c r="N16" s="50">
        <v>0</v>
      </c>
      <c r="O16" s="15">
        <f t="shared" si="0"/>
        <v>0</v>
      </c>
      <c r="P16" s="15">
        <f t="shared" si="1"/>
        <v>8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12</v>
      </c>
      <c r="AD16" s="17">
        <f t="shared" si="8"/>
        <v>0</v>
      </c>
      <c r="AE16" s="31">
        <f t="shared" si="8"/>
        <v>4</v>
      </c>
      <c r="AF16" s="31">
        <f t="shared" si="8"/>
        <v>16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MCC'!R109:U109)</f>
        <v>0</v>
      </c>
      <c r="M17" s="50">
        <v>4</v>
      </c>
      <c r="N17" s="50">
        <v>0</v>
      </c>
      <c r="O17" s="15">
        <f t="shared" si="0"/>
        <v>0</v>
      </c>
      <c r="P17" s="15">
        <f t="shared" si="1"/>
        <v>4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21</v>
      </c>
      <c r="AD17" s="17">
        <f t="shared" si="9"/>
        <v>0</v>
      </c>
      <c r="AE17" s="31">
        <f t="shared" si="9"/>
        <v>1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MCC'!R110:U110)</f>
        <v>0</v>
      </c>
      <c r="M18" s="50">
        <v>6</v>
      </c>
      <c r="N18" s="50">
        <v>0</v>
      </c>
      <c r="O18" s="15">
        <f t="shared" si="0"/>
        <v>1</v>
      </c>
      <c r="P18" s="15">
        <f t="shared" si="1"/>
        <v>7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11</v>
      </c>
      <c r="AD18" s="17">
        <f t="shared" si="10"/>
        <v>0</v>
      </c>
      <c r="AE18" s="31">
        <f t="shared" si="10"/>
        <v>3</v>
      </c>
      <c r="AF18" s="31">
        <f t="shared" si="10"/>
        <v>14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MCC'!R111:U111)</f>
        <v>0</v>
      </c>
      <c r="M19" s="50">
        <v>5</v>
      </c>
      <c r="N19" s="50">
        <v>0</v>
      </c>
      <c r="O19" s="15">
        <f t="shared" si="0"/>
        <v>0</v>
      </c>
      <c r="P19" s="15">
        <f t="shared" si="1"/>
        <v>5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19</v>
      </c>
      <c r="AD19" s="17">
        <f t="shared" si="11"/>
        <v>0</v>
      </c>
      <c r="AE19" s="31">
        <f t="shared" si="11"/>
        <v>1</v>
      </c>
      <c r="AF19" s="31">
        <f t="shared" si="11"/>
        <v>20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f>SUM('[1]RD130 MCC'!R112:U112)</f>
        <v>0</v>
      </c>
      <c r="M20" s="50">
        <v>3</v>
      </c>
      <c r="N20" s="50">
        <v>0</v>
      </c>
      <c r="O20" s="15">
        <f t="shared" si="0"/>
        <v>1</v>
      </c>
      <c r="P20" s="15">
        <f t="shared" si="1"/>
        <v>4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4</v>
      </c>
      <c r="AF20" s="31">
        <f t="shared" si="12"/>
        <v>21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MCC'!R113:U113)</f>
        <v>0</v>
      </c>
      <c r="M21" s="50">
        <v>5</v>
      </c>
      <c r="N21" s="50">
        <v>0</v>
      </c>
      <c r="O21" s="15">
        <f t="shared" si="0"/>
        <v>1</v>
      </c>
      <c r="P21" s="15">
        <f t="shared" si="1"/>
        <v>6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2</v>
      </c>
      <c r="AF21" s="31">
        <f t="shared" si="13"/>
        <v>12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MCC'!R114:U114)</f>
        <v>0</v>
      </c>
      <c r="M22" s="50">
        <v>4</v>
      </c>
      <c r="N22" s="50">
        <v>0</v>
      </c>
      <c r="O22" s="15">
        <f t="shared" si="0"/>
        <v>1</v>
      </c>
      <c r="P22" s="15">
        <f t="shared" si="1"/>
        <v>5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19</v>
      </c>
      <c r="AD22" s="39">
        <f t="shared" si="14"/>
        <v>0</v>
      </c>
      <c r="AE22" s="40">
        <f t="shared" si="14"/>
        <v>3</v>
      </c>
      <c r="AF22" s="40">
        <f t="shared" si="14"/>
        <v>22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f>SUM('[1]RD130 MCC'!R115:U115)</f>
        <v>0</v>
      </c>
      <c r="M23" s="50">
        <v>2</v>
      </c>
      <c r="N23" s="50">
        <v>0</v>
      </c>
      <c r="O23" s="15">
        <f t="shared" si="0"/>
        <v>1</v>
      </c>
      <c r="P23" s="15">
        <f t="shared" si="1"/>
        <v>3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2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25</v>
      </c>
      <c r="AD23" s="39">
        <f t="shared" si="15"/>
        <v>0</v>
      </c>
      <c r="AE23" s="40">
        <f t="shared" si="15"/>
        <v>7</v>
      </c>
      <c r="AF23" s="40">
        <f t="shared" si="15"/>
        <v>32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f>SUM('[1]RD130 MCC'!R116:U116)</f>
        <v>0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8" t="s">
        <v>92</v>
      </c>
      <c r="S24" s="39">
        <f>MAX(S19:S21)</f>
        <v>0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19</v>
      </c>
      <c r="AD24" s="39">
        <f t="shared" si="16"/>
        <v>0</v>
      </c>
      <c r="AE24" s="40">
        <f t="shared" si="16"/>
        <v>4</v>
      </c>
      <c r="AF24" s="40">
        <f t="shared" si="16"/>
        <v>21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MCC'!R117:U117)</f>
        <v>0</v>
      </c>
      <c r="M25" s="50">
        <v>4</v>
      </c>
      <c r="N25" s="50">
        <v>0</v>
      </c>
      <c r="O25" s="15">
        <f t="shared" si="0"/>
        <v>1</v>
      </c>
      <c r="P25" s="15">
        <f t="shared" si="1"/>
        <v>5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39</v>
      </c>
      <c r="AD25" s="16">
        <f t="shared" si="17"/>
        <v>0</v>
      </c>
      <c r="AE25" s="32">
        <f t="shared" si="17"/>
        <v>3</v>
      </c>
      <c r="AF25" s="32">
        <f t="shared" si="17"/>
        <v>42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MCC'!R118:U118)</f>
        <v>0</v>
      </c>
      <c r="M26" s="50">
        <v>3</v>
      </c>
      <c r="N26" s="50">
        <v>0</v>
      </c>
      <c r="O26" s="15">
        <f t="shared" si="0"/>
        <v>1</v>
      </c>
      <c r="P26" s="15">
        <f t="shared" si="1"/>
        <v>4</v>
      </c>
      <c r="R26" s="28" t="s">
        <v>86</v>
      </c>
      <c r="S26" s="16">
        <f t="shared" ref="S26:AF26" si="18">SUM(S13:S18)</f>
        <v>1</v>
      </c>
      <c r="T26" s="16">
        <f t="shared" si="18"/>
        <v>0</v>
      </c>
      <c r="U26" s="16">
        <f t="shared" si="18"/>
        <v>7</v>
      </c>
      <c r="V26" s="16">
        <f t="shared" si="18"/>
        <v>4</v>
      </c>
      <c r="W26" s="16">
        <f t="shared" si="18"/>
        <v>0</v>
      </c>
      <c r="X26" s="16">
        <f t="shared" si="18"/>
        <v>1</v>
      </c>
      <c r="Y26" s="16">
        <f t="shared" si="18"/>
        <v>10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104</v>
      </c>
      <c r="AD26" s="16">
        <f t="shared" si="18"/>
        <v>0</v>
      </c>
      <c r="AE26" s="32">
        <f t="shared" si="18"/>
        <v>24</v>
      </c>
      <c r="AF26" s="32">
        <f t="shared" si="18"/>
        <v>128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MCC'!R119:U119)</f>
        <v>0</v>
      </c>
      <c r="M27" s="50">
        <v>8</v>
      </c>
      <c r="N27" s="50">
        <v>0</v>
      </c>
      <c r="O27" s="15">
        <f t="shared" si="0"/>
        <v>2</v>
      </c>
      <c r="P27" s="15">
        <f t="shared" si="1"/>
        <v>10</v>
      </c>
      <c r="R27" s="29" t="s">
        <v>87</v>
      </c>
      <c r="S27" s="16">
        <f t="shared" ref="S27:AF27" si="19">SUM(S19:S21)</f>
        <v>0</v>
      </c>
      <c r="T27" s="16">
        <f t="shared" si="19"/>
        <v>0</v>
      </c>
      <c r="U27" s="16">
        <f t="shared" si="19"/>
        <v>3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46</v>
      </c>
      <c r="AD27" s="16">
        <f t="shared" si="19"/>
        <v>0</v>
      </c>
      <c r="AE27" s="32">
        <f t="shared" si="19"/>
        <v>7</v>
      </c>
      <c r="AF27" s="32">
        <f t="shared" si="19"/>
        <v>53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f>SUM('[1]RD130 MCC'!R120:U120)</f>
        <v>0</v>
      </c>
      <c r="M28" s="50">
        <v>8</v>
      </c>
      <c r="N28" s="50">
        <v>0</v>
      </c>
      <c r="O28" s="15">
        <f t="shared" si="0"/>
        <v>1</v>
      </c>
      <c r="P28" s="15">
        <f t="shared" si="1"/>
        <v>9</v>
      </c>
      <c r="R28" s="5" t="s">
        <v>17</v>
      </c>
      <c r="S28" s="16">
        <f t="shared" ref="S28:AF28" si="20">SUM(S10:S21)</f>
        <v>1</v>
      </c>
      <c r="T28" s="16">
        <f t="shared" si="20"/>
        <v>0</v>
      </c>
      <c r="U28" s="16">
        <f t="shared" si="20"/>
        <v>11</v>
      </c>
      <c r="V28" s="16">
        <f t="shared" si="20"/>
        <v>7</v>
      </c>
      <c r="W28" s="16">
        <f t="shared" si="20"/>
        <v>0</v>
      </c>
      <c r="X28" s="16">
        <f t="shared" si="20"/>
        <v>1</v>
      </c>
      <c r="Y28" s="16">
        <f t="shared" si="20"/>
        <v>13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189</v>
      </c>
      <c r="AD28" s="16">
        <f t="shared" si="20"/>
        <v>0</v>
      </c>
      <c r="AE28" s="32">
        <f t="shared" si="20"/>
        <v>34</v>
      </c>
      <c r="AF28" s="32">
        <f t="shared" si="20"/>
        <v>223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SUM('[1]RD130 MCC'!R121:U121)</f>
        <v>0</v>
      </c>
      <c r="M29" s="50">
        <v>6</v>
      </c>
      <c r="N29" s="50">
        <v>0</v>
      </c>
      <c r="O29" s="15">
        <f t="shared" si="0"/>
        <v>3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MCC'!R122:U122)</f>
        <v>0</v>
      </c>
      <c r="M30" s="50">
        <v>4</v>
      </c>
      <c r="N30" s="50">
        <v>0</v>
      </c>
      <c r="O30" s="15">
        <f t="shared" si="0"/>
        <v>2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MCC'!R123:U123)</f>
        <v>0</v>
      </c>
      <c r="M31" s="50">
        <v>6</v>
      </c>
      <c r="N31" s="50">
        <v>0</v>
      </c>
      <c r="O31" s="15">
        <f t="shared" si="0"/>
        <v>1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f>SUM('[1]RD130 MCC'!R124:U124)</f>
        <v>0</v>
      </c>
      <c r="M32" s="50">
        <v>8</v>
      </c>
      <c r="N32" s="50">
        <v>0</v>
      </c>
      <c r="O32" s="15">
        <f t="shared" si="0"/>
        <v>1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MCC'!R125:U125)</f>
        <v>0</v>
      </c>
      <c r="M33" s="50">
        <v>5</v>
      </c>
      <c r="N33" s="50">
        <v>0</v>
      </c>
      <c r="O33" s="15">
        <f t="shared" si="0"/>
        <v>0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f>SUM('[1]RD130 MCC'!R126:U126)</f>
        <v>0</v>
      </c>
      <c r="M34" s="50">
        <v>4</v>
      </c>
      <c r="N34" s="50">
        <v>0</v>
      </c>
      <c r="O34" s="15">
        <f t="shared" si="0"/>
        <v>1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MCC'!R127:U127)</f>
        <v>0</v>
      </c>
      <c r="M35" s="50">
        <v>1</v>
      </c>
      <c r="N35" s="50">
        <v>0</v>
      </c>
      <c r="O35" s="15">
        <f t="shared" si="0"/>
        <v>0</v>
      </c>
      <c r="P35" s="15">
        <f t="shared" si="1"/>
        <v>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MCC'!R128:U128)</f>
        <v>0</v>
      </c>
      <c r="M36" s="50">
        <v>5</v>
      </c>
      <c r="N36" s="50">
        <v>0</v>
      </c>
      <c r="O36" s="15">
        <f t="shared" si="0"/>
        <v>2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f>SUM('[1]RD130 MCC'!R129:U129)</f>
        <v>0</v>
      </c>
      <c r="M37" s="50">
        <v>2</v>
      </c>
      <c r="N37" s="50">
        <v>0</v>
      </c>
      <c r="O37" s="15">
        <f t="shared" si="0"/>
        <v>1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MCC'!R130:U130)</f>
        <v>0</v>
      </c>
      <c r="M38" s="50">
        <v>7</v>
      </c>
      <c r="N38" s="50">
        <v>0</v>
      </c>
      <c r="O38" s="15">
        <f t="shared" si="0"/>
        <v>0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MCC'!R131:U131)</f>
        <v>0</v>
      </c>
      <c r="M39" s="50">
        <v>4</v>
      </c>
      <c r="N39" s="50">
        <v>0</v>
      </c>
      <c r="O39" s="15">
        <f t="shared" si="0"/>
        <v>0</v>
      </c>
      <c r="P39" s="15">
        <f t="shared" si="1"/>
        <v>4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f>SUM('[1]RD130 MCC'!R132:U132)</f>
        <v>0</v>
      </c>
      <c r="M40" s="50">
        <v>5</v>
      </c>
      <c r="N40" s="50">
        <v>0</v>
      </c>
      <c r="O40" s="15">
        <f t="shared" si="0"/>
        <v>1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MCC'!R133:U133)</f>
        <v>0</v>
      </c>
      <c r="M41" s="50">
        <v>5</v>
      </c>
      <c r="N41" s="50">
        <v>0</v>
      </c>
      <c r="O41" s="15">
        <f t="shared" si="0"/>
        <v>0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MCC'!R134:U134)</f>
        <v>0</v>
      </c>
      <c r="M42" s="50">
        <v>2</v>
      </c>
      <c r="N42" s="50">
        <v>0</v>
      </c>
      <c r="O42" s="15">
        <f t="shared" si="0"/>
        <v>0</v>
      </c>
      <c r="P42" s="15">
        <f t="shared" si="1"/>
        <v>2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MCC'!R135:U135)</f>
        <v>0</v>
      </c>
      <c r="M43" s="50">
        <v>4</v>
      </c>
      <c r="N43" s="50">
        <v>0</v>
      </c>
      <c r="O43" s="15">
        <f t="shared" si="0"/>
        <v>0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f>SUM('[1]RD130 MCC'!R136:U136)</f>
        <v>0</v>
      </c>
      <c r="M44" s="50">
        <v>2</v>
      </c>
      <c r="N44" s="50">
        <v>0</v>
      </c>
      <c r="O44" s="15">
        <f t="shared" si="0"/>
        <v>1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1</v>
      </c>
      <c r="I45" s="50">
        <v>1</v>
      </c>
      <c r="J45" s="50">
        <v>0</v>
      </c>
      <c r="K45" s="50">
        <v>0</v>
      </c>
      <c r="L45" s="50">
        <f>SUM('[1]RD130 MCC'!R137:U137)</f>
        <v>0</v>
      </c>
      <c r="M45" s="50">
        <v>3</v>
      </c>
      <c r="N45" s="50">
        <v>0</v>
      </c>
      <c r="O45" s="15">
        <f t="shared" si="0"/>
        <v>2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MCC'!R138:U138)</f>
        <v>0</v>
      </c>
      <c r="M46" s="50">
        <v>5</v>
      </c>
      <c r="N46" s="50">
        <v>0</v>
      </c>
      <c r="O46" s="15">
        <f t="shared" si="0"/>
        <v>0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MCC'!R139:U139)</f>
        <v>0</v>
      </c>
      <c r="M47" s="50">
        <v>1</v>
      </c>
      <c r="N47" s="50">
        <v>0</v>
      </c>
      <c r="O47" s="15">
        <f t="shared" si="0"/>
        <v>0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MCC'!R140:U140)</f>
        <v>0</v>
      </c>
      <c r="M48" s="50">
        <v>7</v>
      </c>
      <c r="N48" s="50">
        <v>0</v>
      </c>
      <c r="O48" s="15">
        <f t="shared" si="0"/>
        <v>1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MCC'!R141:U141)</f>
        <v>0</v>
      </c>
      <c r="M49" s="50">
        <v>6</v>
      </c>
      <c r="N49" s="50">
        <v>0</v>
      </c>
      <c r="O49" s="15">
        <f t="shared" si="0"/>
        <v>0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MCC'!R142:U142)</f>
        <v>0</v>
      </c>
      <c r="M50" s="50">
        <v>4</v>
      </c>
      <c r="N50" s="50">
        <v>0</v>
      </c>
      <c r="O50" s="15">
        <f t="shared" si="0"/>
        <v>1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MCC'!R143:U143)</f>
        <v>0</v>
      </c>
      <c r="M51" s="50">
        <v>3</v>
      </c>
      <c r="N51" s="50">
        <v>0</v>
      </c>
      <c r="O51" s="15">
        <f t="shared" si="0"/>
        <v>1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MCC'!R144:U144)</f>
        <v>0</v>
      </c>
      <c r="M52" s="50">
        <v>2</v>
      </c>
      <c r="N52" s="50">
        <v>0</v>
      </c>
      <c r="O52" s="15">
        <f t="shared" si="0"/>
        <v>0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f>SUM('[1]RD130 MCC'!R145:U145)</f>
        <v>0</v>
      </c>
      <c r="M53" s="50">
        <v>8</v>
      </c>
      <c r="N53" s="50">
        <v>0</v>
      </c>
      <c r="O53" s="15">
        <f t="shared" si="0"/>
        <v>2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MCC'!R146:U146)</f>
        <v>0</v>
      </c>
      <c r="M54" s="50">
        <v>1</v>
      </c>
      <c r="N54" s="50">
        <v>0</v>
      </c>
      <c r="O54" s="15">
        <f t="shared" si="0"/>
        <v>0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MCC'!R147:U147)</f>
        <v>0</v>
      </c>
      <c r="M55" s="50">
        <v>1</v>
      </c>
      <c r="N55" s="50">
        <v>0</v>
      </c>
      <c r="O55" s="15">
        <f t="shared" si="0"/>
        <v>0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f>SUM('[1]RD130 MCC'!R148:U148)</f>
        <v>0</v>
      </c>
      <c r="M56" s="50">
        <v>5</v>
      </c>
      <c r="N56" s="50">
        <v>0</v>
      </c>
      <c r="O56" s="15">
        <f t="shared" si="0"/>
        <v>1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MCC'!R149:U149)</f>
        <v>0</v>
      </c>
      <c r="M57" s="50">
        <v>3</v>
      </c>
      <c r="N57" s="50">
        <v>0</v>
      </c>
      <c r="O57" s="15">
        <f t="shared" si="0"/>
        <v>1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0</v>
      </c>
      <c r="E58" s="16">
        <f t="shared" si="21"/>
        <v>11</v>
      </c>
      <c r="F58" s="16">
        <f t="shared" si="21"/>
        <v>7</v>
      </c>
      <c r="G58" s="16">
        <f t="shared" si="21"/>
        <v>0</v>
      </c>
      <c r="H58" s="16">
        <f t="shared" si="21"/>
        <v>1</v>
      </c>
      <c r="I58" s="16">
        <f t="shared" si="21"/>
        <v>13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189</v>
      </c>
      <c r="N58" s="16">
        <f t="shared" si="21"/>
        <v>0</v>
      </c>
      <c r="O58" s="16">
        <f t="shared" si="21"/>
        <v>34</v>
      </c>
      <c r="P58" s="16">
        <f t="shared" si="21"/>
        <v>223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4.4843049327354259E-3</v>
      </c>
      <c r="D59" s="43">
        <f t="shared" si="22"/>
        <v>0</v>
      </c>
      <c r="E59" s="43">
        <f t="shared" si="22"/>
        <v>4.9327354260089683E-2</v>
      </c>
      <c r="F59" s="43">
        <f t="shared" si="22"/>
        <v>3.1390134529147982E-2</v>
      </c>
      <c r="G59" s="43">
        <f t="shared" si="22"/>
        <v>0</v>
      </c>
      <c r="H59" s="43">
        <f t="shared" si="22"/>
        <v>4.4843049327354259E-3</v>
      </c>
      <c r="I59" s="43">
        <f t="shared" si="22"/>
        <v>5.829596412556054E-2</v>
      </c>
      <c r="J59" s="43">
        <f t="shared" si="22"/>
        <v>4.4843049327354259E-3</v>
      </c>
      <c r="K59" s="43">
        <f t="shared" si="22"/>
        <v>0</v>
      </c>
      <c r="L59" s="43">
        <f t="shared" si="22"/>
        <v>0</v>
      </c>
      <c r="M59" s="43">
        <f t="shared" si="22"/>
        <v>0.84753363228699552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2.9411764705882353E-2</v>
      </c>
      <c r="D60" s="44">
        <f t="shared" ref="D60:N60" si="23">D58/$O$58</f>
        <v>0</v>
      </c>
      <c r="E60" s="44">
        <f t="shared" si="23"/>
        <v>0.3235294117647059</v>
      </c>
      <c r="F60" s="44">
        <f t="shared" si="23"/>
        <v>0.20588235294117646</v>
      </c>
      <c r="G60" s="44">
        <f t="shared" si="23"/>
        <v>0</v>
      </c>
      <c r="H60" s="44">
        <f t="shared" si="23"/>
        <v>2.9411764705882353E-2</v>
      </c>
      <c r="I60" s="44">
        <f t="shared" si="23"/>
        <v>0.38235294117647056</v>
      </c>
      <c r="J60" s="44">
        <f t="shared" si="23"/>
        <v>2.9411764705882353E-2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0" zoomScale="60" workbookViewId="0">
      <selection activeCell="L52" sqref="L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Atiak-Palabek'!D5</f>
        <v>01.08.19</v>
      </c>
      <c r="E5" s="3"/>
      <c r="F5" s="41" t="s">
        <v>1</v>
      </c>
      <c r="G5" s="63" t="str">
        <f>'31.07 Atiak-Palabek'!G5:H5</f>
        <v>xxx</v>
      </c>
      <c r="H5" s="64"/>
      <c r="I5" s="14"/>
      <c r="J5" s="2" t="s">
        <v>5</v>
      </c>
      <c r="K5" s="63" t="str">
        <f>'31.07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Palabek-Atiak'!D6:E6</f>
        <v>Palabek</v>
      </c>
      <c r="E6" s="64"/>
      <c r="F6" s="2" t="s">
        <v>2</v>
      </c>
      <c r="G6" s="63" t="str">
        <f>'31.07 Palabek-Atiak'!G6:H6</f>
        <v>Atiak</v>
      </c>
      <c r="H6" s="64"/>
      <c r="J6" s="2" t="s">
        <v>21</v>
      </c>
      <c r="K6" s="63" t="str">
        <f>'31.07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MCC'!R150:U150)</f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0</v>
      </c>
      <c r="AF10" s="31">
        <f t="shared" si="2"/>
        <v>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MCC'!R151:U151)</f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13</v>
      </c>
      <c r="AD11" s="17">
        <f t="shared" si="3"/>
        <v>0</v>
      </c>
      <c r="AE11" s="31">
        <f t="shared" si="3"/>
        <v>0</v>
      </c>
      <c r="AF11" s="31">
        <f t="shared" si="3"/>
        <v>13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MCC'!R152:U152)</f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26</v>
      </c>
      <c r="AD12" s="17">
        <f t="shared" si="4"/>
        <v>0</v>
      </c>
      <c r="AE12" s="31">
        <f t="shared" si="4"/>
        <v>3</v>
      </c>
      <c r="AF12" s="31">
        <f t="shared" si="4"/>
        <v>29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MCC'!R153:U153)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4</v>
      </c>
      <c r="AF13" s="31">
        <f t="shared" si="5"/>
        <v>20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MCC'!R154:U154)</f>
        <v>0</v>
      </c>
      <c r="M14" s="50">
        <v>2</v>
      </c>
      <c r="N14" s="50">
        <v>0</v>
      </c>
      <c r="O14" s="15">
        <f t="shared" si="0"/>
        <v>0</v>
      </c>
      <c r="P14" s="15">
        <f t="shared" si="1"/>
        <v>2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8</v>
      </c>
      <c r="AF14" s="31">
        <f t="shared" si="6"/>
        <v>23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MCC'!R155:U155)</f>
        <v>0</v>
      </c>
      <c r="M15" s="50">
        <v>4</v>
      </c>
      <c r="N15" s="50">
        <v>0</v>
      </c>
      <c r="O15" s="15">
        <f t="shared" si="0"/>
        <v>0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10</v>
      </c>
      <c r="AD15" s="17">
        <f t="shared" si="7"/>
        <v>0</v>
      </c>
      <c r="AE15" s="31">
        <f t="shared" si="7"/>
        <v>4</v>
      </c>
      <c r="AF15" s="31">
        <f t="shared" si="7"/>
        <v>14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MCC'!R156:U156)</f>
        <v>0</v>
      </c>
      <c r="M16" s="50">
        <v>3</v>
      </c>
      <c r="N16" s="50">
        <v>0</v>
      </c>
      <c r="O16" s="15">
        <f t="shared" si="0"/>
        <v>0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13</v>
      </c>
      <c r="AD16" s="17">
        <f t="shared" si="8"/>
        <v>0</v>
      </c>
      <c r="AE16" s="31">
        <f t="shared" si="8"/>
        <v>4</v>
      </c>
      <c r="AF16" s="31">
        <f t="shared" si="8"/>
        <v>17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MCC'!R157:U157)</f>
        <v>0</v>
      </c>
      <c r="M17" s="50">
        <v>4</v>
      </c>
      <c r="N17" s="50">
        <v>0</v>
      </c>
      <c r="O17" s="15">
        <f t="shared" si="0"/>
        <v>0</v>
      </c>
      <c r="P17" s="15">
        <f t="shared" si="1"/>
        <v>4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23</v>
      </c>
      <c r="AD17" s="17">
        <f t="shared" si="9"/>
        <v>0</v>
      </c>
      <c r="AE17" s="31">
        <f t="shared" si="9"/>
        <v>1</v>
      </c>
      <c r="AF17" s="31">
        <f t="shared" si="9"/>
        <v>24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MCC'!R158:U158)</f>
        <v>0</v>
      </c>
      <c r="M18" s="50">
        <v>7</v>
      </c>
      <c r="N18" s="50">
        <v>0</v>
      </c>
      <c r="O18" s="15">
        <f t="shared" si="0"/>
        <v>1</v>
      </c>
      <c r="P18" s="15">
        <f t="shared" si="1"/>
        <v>8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20</v>
      </c>
      <c r="AD18" s="17">
        <f t="shared" si="10"/>
        <v>0</v>
      </c>
      <c r="AE18" s="31">
        <f t="shared" si="10"/>
        <v>3</v>
      </c>
      <c r="AF18" s="31">
        <f t="shared" si="10"/>
        <v>23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MCC'!R159:U159)</f>
        <v>0</v>
      </c>
      <c r="M19" s="50">
        <v>9</v>
      </c>
      <c r="N19" s="50">
        <v>0</v>
      </c>
      <c r="O19" s="15">
        <f t="shared" si="0"/>
        <v>0</v>
      </c>
      <c r="P19" s="15">
        <f t="shared" si="1"/>
        <v>9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1</v>
      </c>
      <c r="AF19" s="31">
        <f t="shared" si="11"/>
        <v>22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MCC'!R160:U160)</f>
        <v>0</v>
      </c>
      <c r="M20" s="50">
        <v>5</v>
      </c>
      <c r="N20" s="50">
        <v>0</v>
      </c>
      <c r="O20" s="15">
        <f t="shared" si="0"/>
        <v>1</v>
      </c>
      <c r="P20" s="15">
        <f t="shared" si="1"/>
        <v>6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28</v>
      </c>
      <c r="AD20" s="17">
        <f t="shared" si="12"/>
        <v>0</v>
      </c>
      <c r="AE20" s="31">
        <f t="shared" si="12"/>
        <v>5</v>
      </c>
      <c r="AF20" s="31">
        <f t="shared" si="12"/>
        <v>33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f>SUM('[1]RD130 MCC'!R161:U161)</f>
        <v>0</v>
      </c>
      <c r="M21" s="50">
        <v>5</v>
      </c>
      <c r="N21" s="50">
        <v>0</v>
      </c>
      <c r="O21" s="15">
        <f t="shared" si="0"/>
        <v>1</v>
      </c>
      <c r="P21" s="15">
        <f t="shared" si="1"/>
        <v>6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26</v>
      </c>
      <c r="AD21" s="17">
        <f t="shared" si="13"/>
        <v>0</v>
      </c>
      <c r="AE21" s="31">
        <f t="shared" si="13"/>
        <v>2</v>
      </c>
      <c r="AF21" s="31">
        <f t="shared" si="13"/>
        <v>28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MCC'!R162:U162)</f>
        <v>0</v>
      </c>
      <c r="M22" s="50">
        <v>4</v>
      </c>
      <c r="N22" s="50">
        <v>0</v>
      </c>
      <c r="O22" s="15">
        <f t="shared" si="0"/>
        <v>1</v>
      </c>
      <c r="P22" s="15">
        <f t="shared" si="1"/>
        <v>5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26</v>
      </c>
      <c r="AD22" s="39">
        <f t="shared" si="14"/>
        <v>0</v>
      </c>
      <c r="AE22" s="40">
        <f t="shared" si="14"/>
        <v>3</v>
      </c>
      <c r="AF22" s="40">
        <f t="shared" si="14"/>
        <v>29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f>SUM('[1]RD130 MCC'!R163:U163)</f>
        <v>0</v>
      </c>
      <c r="M23" s="50">
        <v>3</v>
      </c>
      <c r="N23" s="50">
        <v>0</v>
      </c>
      <c r="O23" s="15">
        <f t="shared" si="0"/>
        <v>1</v>
      </c>
      <c r="P23" s="15">
        <f t="shared" si="1"/>
        <v>4</v>
      </c>
      <c r="R23" s="38" t="s">
        <v>91</v>
      </c>
      <c r="S23" s="39">
        <f>MAX(S13:S18)</f>
        <v>2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2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23</v>
      </c>
      <c r="AD23" s="39">
        <f t="shared" si="15"/>
        <v>0</v>
      </c>
      <c r="AE23" s="40">
        <f t="shared" si="15"/>
        <v>8</v>
      </c>
      <c r="AF23" s="40">
        <f t="shared" si="15"/>
        <v>24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f>SUM('[1]RD130 MCC'!R164:U164)</f>
        <v>0</v>
      </c>
      <c r="M24" s="50">
        <v>2</v>
      </c>
      <c r="N24" s="50">
        <v>0</v>
      </c>
      <c r="O24" s="15">
        <f t="shared" si="0"/>
        <v>1</v>
      </c>
      <c r="P24" s="15">
        <f t="shared" si="1"/>
        <v>3</v>
      </c>
      <c r="R24" s="38" t="s">
        <v>92</v>
      </c>
      <c r="S24" s="39">
        <f>MAX(S19:S21)</f>
        <v>0</v>
      </c>
      <c r="T24" s="39">
        <f t="shared" ref="T24:AF24" si="16">MAX(T19:T21)</f>
        <v>0</v>
      </c>
      <c r="U24" s="39">
        <f t="shared" si="16"/>
        <v>4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28</v>
      </c>
      <c r="AD24" s="39">
        <f t="shared" si="16"/>
        <v>0</v>
      </c>
      <c r="AE24" s="40">
        <f t="shared" si="16"/>
        <v>5</v>
      </c>
      <c r="AF24" s="40">
        <f t="shared" si="16"/>
        <v>33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MCC'!R165:U165)</f>
        <v>0</v>
      </c>
      <c r="M25" s="50">
        <v>7</v>
      </c>
      <c r="N25" s="50">
        <v>0</v>
      </c>
      <c r="O25" s="15">
        <f t="shared" si="0"/>
        <v>1</v>
      </c>
      <c r="P25" s="15">
        <f t="shared" si="1"/>
        <v>8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41</v>
      </c>
      <c r="AD25" s="16">
        <f t="shared" si="17"/>
        <v>0</v>
      </c>
      <c r="AE25" s="32">
        <f t="shared" si="17"/>
        <v>3</v>
      </c>
      <c r="AF25" s="32">
        <f t="shared" si="17"/>
        <v>44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MCC'!R166:U166)</f>
        <v>0</v>
      </c>
      <c r="M26" s="50">
        <v>3</v>
      </c>
      <c r="N26" s="50">
        <v>0</v>
      </c>
      <c r="O26" s="15">
        <f t="shared" si="0"/>
        <v>0</v>
      </c>
      <c r="P26" s="15">
        <f t="shared" si="1"/>
        <v>3</v>
      </c>
      <c r="R26" s="28" t="s">
        <v>86</v>
      </c>
      <c r="S26" s="16">
        <f t="shared" ref="S26:AF26" si="18">SUM(S13:S18)</f>
        <v>2</v>
      </c>
      <c r="T26" s="16">
        <f t="shared" si="18"/>
        <v>0</v>
      </c>
      <c r="U26" s="16">
        <f t="shared" si="18"/>
        <v>7</v>
      </c>
      <c r="V26" s="16">
        <f t="shared" si="18"/>
        <v>3</v>
      </c>
      <c r="W26" s="16">
        <f t="shared" si="18"/>
        <v>0</v>
      </c>
      <c r="X26" s="16">
        <f t="shared" si="18"/>
        <v>1</v>
      </c>
      <c r="Y26" s="16">
        <f t="shared" si="18"/>
        <v>10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97</v>
      </c>
      <c r="AD26" s="16">
        <f t="shared" si="18"/>
        <v>0</v>
      </c>
      <c r="AE26" s="32">
        <f t="shared" si="18"/>
        <v>24</v>
      </c>
      <c r="AF26" s="32">
        <f t="shared" si="18"/>
        <v>121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MCC'!R167:U167)</f>
        <v>0</v>
      </c>
      <c r="M27" s="50">
        <v>4</v>
      </c>
      <c r="N27" s="50">
        <v>0</v>
      </c>
      <c r="O27" s="15">
        <f t="shared" si="0"/>
        <v>2</v>
      </c>
      <c r="P27" s="15">
        <f t="shared" si="1"/>
        <v>6</v>
      </c>
      <c r="R27" s="29" t="s">
        <v>87</v>
      </c>
      <c r="S27" s="16">
        <f t="shared" ref="S27:AF27" si="19">SUM(S19:S21)</f>
        <v>0</v>
      </c>
      <c r="T27" s="16">
        <f t="shared" si="19"/>
        <v>0</v>
      </c>
      <c r="U27" s="16">
        <f t="shared" si="19"/>
        <v>4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75</v>
      </c>
      <c r="AD27" s="16">
        <f t="shared" si="19"/>
        <v>0</v>
      </c>
      <c r="AE27" s="32">
        <f t="shared" si="19"/>
        <v>8</v>
      </c>
      <c r="AF27" s="32">
        <f t="shared" si="19"/>
        <v>83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f>SUM('[1]RD130 MCC'!R168:U168)</f>
        <v>0</v>
      </c>
      <c r="M28" s="50">
        <v>6</v>
      </c>
      <c r="N28" s="50">
        <v>0</v>
      </c>
      <c r="O28" s="15">
        <f t="shared" si="0"/>
        <v>2</v>
      </c>
      <c r="P28" s="15">
        <f t="shared" si="1"/>
        <v>8</v>
      </c>
      <c r="R28" s="5" t="s">
        <v>17</v>
      </c>
      <c r="S28" s="16">
        <f t="shared" ref="S28:AF28" si="20">SUM(S10:S21)</f>
        <v>2</v>
      </c>
      <c r="T28" s="16">
        <f t="shared" si="20"/>
        <v>0</v>
      </c>
      <c r="U28" s="16">
        <f t="shared" si="20"/>
        <v>12</v>
      </c>
      <c r="V28" s="16">
        <f t="shared" si="20"/>
        <v>6</v>
      </c>
      <c r="W28" s="16">
        <f t="shared" si="20"/>
        <v>0</v>
      </c>
      <c r="X28" s="16">
        <f t="shared" si="20"/>
        <v>1</v>
      </c>
      <c r="Y28" s="16">
        <f t="shared" si="20"/>
        <v>13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213</v>
      </c>
      <c r="AD28" s="16">
        <f t="shared" si="20"/>
        <v>0</v>
      </c>
      <c r="AE28" s="32">
        <f t="shared" si="20"/>
        <v>35</v>
      </c>
      <c r="AF28" s="32">
        <f t="shared" si="20"/>
        <v>248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SUM('[1]RD130 MCC'!R169:U169)</f>
        <v>0</v>
      </c>
      <c r="M29" s="50">
        <v>2</v>
      </c>
      <c r="N29" s="50">
        <v>0</v>
      </c>
      <c r="O29" s="15">
        <f t="shared" si="0"/>
        <v>4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MCC'!R170:U170)</f>
        <v>0</v>
      </c>
      <c r="M30" s="50">
        <v>0</v>
      </c>
      <c r="N30" s="50">
        <v>0</v>
      </c>
      <c r="O30" s="15">
        <f t="shared" si="0"/>
        <v>2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MCC'!R171:U171)</f>
        <v>0</v>
      </c>
      <c r="M31" s="50">
        <v>4</v>
      </c>
      <c r="N31" s="50">
        <v>0</v>
      </c>
      <c r="O31" s="15">
        <f t="shared" si="0"/>
        <v>1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f>SUM('[1]RD130 MCC'!R172:U172)</f>
        <v>0</v>
      </c>
      <c r="M32" s="50">
        <v>3</v>
      </c>
      <c r="N32" s="50">
        <v>0</v>
      </c>
      <c r="O32" s="15">
        <f t="shared" si="0"/>
        <v>1</v>
      </c>
      <c r="P32" s="15">
        <f t="shared" si="1"/>
        <v>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MCC'!R173:U173)</f>
        <v>0</v>
      </c>
      <c r="M33" s="50">
        <v>3</v>
      </c>
      <c r="N33" s="50">
        <v>0</v>
      </c>
      <c r="O33" s="15">
        <f t="shared" si="0"/>
        <v>0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f>SUM('[1]RD130 MCC'!R174:U174)</f>
        <v>0</v>
      </c>
      <c r="M34" s="50">
        <v>4</v>
      </c>
      <c r="N34" s="50">
        <v>0</v>
      </c>
      <c r="O34" s="15">
        <f t="shared" si="0"/>
        <v>2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MCC'!R175:U175)</f>
        <v>0</v>
      </c>
      <c r="M35" s="50">
        <v>2</v>
      </c>
      <c r="N35" s="50">
        <v>0</v>
      </c>
      <c r="O35" s="15">
        <f t="shared" si="0"/>
        <v>0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MCC'!R176:U176)</f>
        <v>0</v>
      </c>
      <c r="M36" s="50">
        <v>7</v>
      </c>
      <c r="N36" s="50">
        <v>0</v>
      </c>
      <c r="O36" s="15">
        <f t="shared" si="0"/>
        <v>2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MCC'!R177:U177)</f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MCC'!R178:U178)</f>
        <v>0</v>
      </c>
      <c r="M38" s="50">
        <v>4</v>
      </c>
      <c r="N38" s="50">
        <v>0</v>
      </c>
      <c r="O38" s="15">
        <f t="shared" si="0"/>
        <v>0</v>
      </c>
      <c r="P38" s="15">
        <f t="shared" si="1"/>
        <v>4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MCC'!R179:U179)</f>
        <v>0</v>
      </c>
      <c r="M39" s="50">
        <v>6</v>
      </c>
      <c r="N39" s="50">
        <v>0</v>
      </c>
      <c r="O39" s="15">
        <f t="shared" si="0"/>
        <v>0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f>SUM('[1]RD130 MCC'!R180:U180)</f>
        <v>0</v>
      </c>
      <c r="M40" s="50">
        <v>4</v>
      </c>
      <c r="N40" s="50">
        <v>0</v>
      </c>
      <c r="O40" s="15">
        <f t="shared" si="0"/>
        <v>1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MCC'!R181:U181)</f>
        <v>0</v>
      </c>
      <c r="M41" s="50">
        <v>9</v>
      </c>
      <c r="N41" s="50">
        <v>0</v>
      </c>
      <c r="O41" s="15">
        <f t="shared" si="0"/>
        <v>0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MCC'!R182:U182)</f>
        <v>0</v>
      </c>
      <c r="M42" s="50">
        <v>6</v>
      </c>
      <c r="N42" s="50">
        <v>0</v>
      </c>
      <c r="O42" s="15">
        <f t="shared" si="0"/>
        <v>0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MCC'!R183:U183)</f>
        <v>0</v>
      </c>
      <c r="M43" s="50">
        <v>8</v>
      </c>
      <c r="N43" s="50">
        <v>0</v>
      </c>
      <c r="O43" s="15">
        <f t="shared" si="0"/>
        <v>0</v>
      </c>
      <c r="P43" s="15">
        <f t="shared" si="1"/>
        <v>8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f>SUM('[1]RD130 MCC'!R184:U184)</f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1</v>
      </c>
      <c r="I45" s="50">
        <v>0</v>
      </c>
      <c r="J45" s="50">
        <v>1</v>
      </c>
      <c r="K45" s="50">
        <v>0</v>
      </c>
      <c r="L45" s="50">
        <f>SUM('[1]RD130 MCC'!R185:U185)</f>
        <v>0</v>
      </c>
      <c r="M45" s="50">
        <v>3</v>
      </c>
      <c r="N45" s="50">
        <v>0</v>
      </c>
      <c r="O45" s="15">
        <f t="shared" si="0"/>
        <v>2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MCC'!R186:U186)</f>
        <v>0</v>
      </c>
      <c r="M46" s="50">
        <v>4</v>
      </c>
      <c r="N46" s="50">
        <v>0</v>
      </c>
      <c r="O46" s="15">
        <f t="shared" si="0"/>
        <v>0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MCC'!R187:U187)</f>
        <v>0</v>
      </c>
      <c r="M47" s="50">
        <v>4</v>
      </c>
      <c r="N47" s="50">
        <v>0</v>
      </c>
      <c r="O47" s="15">
        <f t="shared" si="0"/>
        <v>0</v>
      </c>
      <c r="P47" s="15">
        <f t="shared" si="1"/>
        <v>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MCC'!R188:U188)</f>
        <v>0</v>
      </c>
      <c r="M48" s="50">
        <v>7</v>
      </c>
      <c r="N48" s="50">
        <v>0</v>
      </c>
      <c r="O48" s="15">
        <f t="shared" si="0"/>
        <v>1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MCC'!R189:U189)</f>
        <v>0</v>
      </c>
      <c r="M49" s="50">
        <v>6</v>
      </c>
      <c r="N49" s="50">
        <v>0</v>
      </c>
      <c r="O49" s="15">
        <f t="shared" si="0"/>
        <v>0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MCC'!R190:U190)</f>
        <v>0</v>
      </c>
      <c r="M50" s="50">
        <v>6</v>
      </c>
      <c r="N50" s="50">
        <v>0</v>
      </c>
      <c r="O50" s="15">
        <f t="shared" si="0"/>
        <v>2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MCC'!R191:U191)</f>
        <v>0</v>
      </c>
      <c r="M51" s="50">
        <v>5</v>
      </c>
      <c r="N51" s="50">
        <v>0</v>
      </c>
      <c r="O51" s="15">
        <f t="shared" si="0"/>
        <v>1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f>SUM('[1]RD130 MCC'!R192:U192)</f>
        <v>0</v>
      </c>
      <c r="M52" s="50">
        <v>9</v>
      </c>
      <c r="N52" s="50">
        <v>0</v>
      </c>
      <c r="O52" s="15">
        <f t="shared" si="0"/>
        <v>1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MCC'!R193:U193)</f>
        <v>0</v>
      </c>
      <c r="M53" s="50">
        <v>8</v>
      </c>
      <c r="N53" s="50">
        <v>0</v>
      </c>
      <c r="O53" s="15">
        <f t="shared" si="0"/>
        <v>1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MCC'!R194:U194)</f>
        <v>0</v>
      </c>
      <c r="M54" s="50">
        <v>9</v>
      </c>
      <c r="N54" s="50">
        <v>0</v>
      </c>
      <c r="O54" s="15">
        <f t="shared" si="0"/>
        <v>0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MCC'!R195:U195)</f>
        <v>0</v>
      </c>
      <c r="M55" s="50">
        <v>9</v>
      </c>
      <c r="N55" s="50">
        <v>0</v>
      </c>
      <c r="O55" s="15">
        <f t="shared" si="0"/>
        <v>0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f>SUM('[1]RD130 MCC'!R196:U196)</f>
        <v>0</v>
      </c>
      <c r="M56" s="50">
        <v>4</v>
      </c>
      <c r="N56" s="50">
        <v>0</v>
      </c>
      <c r="O56" s="15">
        <f t="shared" si="0"/>
        <v>1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MCC'!R197:U197)</f>
        <v>0</v>
      </c>
      <c r="M57" s="50">
        <v>4</v>
      </c>
      <c r="N57" s="50">
        <v>0</v>
      </c>
      <c r="O57" s="15">
        <f t="shared" si="0"/>
        <v>1</v>
      </c>
      <c r="P57" s="15">
        <f t="shared" si="1"/>
        <v>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0</v>
      </c>
      <c r="E58" s="16">
        <f t="shared" si="21"/>
        <v>12</v>
      </c>
      <c r="F58" s="16">
        <f t="shared" si="21"/>
        <v>6</v>
      </c>
      <c r="G58" s="16">
        <f t="shared" si="21"/>
        <v>0</v>
      </c>
      <c r="H58" s="16">
        <f t="shared" si="21"/>
        <v>1</v>
      </c>
      <c r="I58" s="16">
        <f t="shared" si="21"/>
        <v>13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213</v>
      </c>
      <c r="N58" s="16">
        <f t="shared" si="21"/>
        <v>0</v>
      </c>
      <c r="O58" s="16">
        <f t="shared" si="21"/>
        <v>35</v>
      </c>
      <c r="P58" s="16">
        <f t="shared" si="21"/>
        <v>248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8.0645161290322578E-3</v>
      </c>
      <c r="D59" s="43">
        <f t="shared" si="22"/>
        <v>0</v>
      </c>
      <c r="E59" s="43">
        <f t="shared" si="22"/>
        <v>4.8387096774193547E-2</v>
      </c>
      <c r="F59" s="43">
        <f t="shared" si="22"/>
        <v>2.4193548387096774E-2</v>
      </c>
      <c r="G59" s="43">
        <f t="shared" si="22"/>
        <v>0</v>
      </c>
      <c r="H59" s="43">
        <f t="shared" si="22"/>
        <v>4.0322580645161289E-3</v>
      </c>
      <c r="I59" s="43">
        <f t="shared" si="22"/>
        <v>5.2419354838709679E-2</v>
      </c>
      <c r="J59" s="43">
        <f t="shared" si="22"/>
        <v>4.0322580645161289E-3</v>
      </c>
      <c r="K59" s="43">
        <f t="shared" si="22"/>
        <v>0</v>
      </c>
      <c r="L59" s="43">
        <f t="shared" si="22"/>
        <v>0</v>
      </c>
      <c r="M59" s="43">
        <f t="shared" si="22"/>
        <v>0.8588709677419355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5.7142857142857141E-2</v>
      </c>
      <c r="D60" s="44">
        <f t="shared" ref="D60:N60" si="23">D58/$O$58</f>
        <v>0</v>
      </c>
      <c r="E60" s="44">
        <f t="shared" si="23"/>
        <v>0.34285714285714286</v>
      </c>
      <c r="F60" s="44">
        <f t="shared" si="23"/>
        <v>0.17142857142857143</v>
      </c>
      <c r="G60" s="44">
        <f t="shared" si="23"/>
        <v>0</v>
      </c>
      <c r="H60" s="44">
        <f t="shared" si="23"/>
        <v>2.8571428571428571E-2</v>
      </c>
      <c r="I60" s="44">
        <f t="shared" si="23"/>
        <v>0.37142857142857144</v>
      </c>
      <c r="J60" s="44">
        <f t="shared" si="23"/>
        <v>2.8571428571428571E-2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91" zoomScale="60" workbookViewId="0"/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3" t="str">
        <f>'06.08 Palabek-Atiak'!G5:H5</f>
        <v>xxx</v>
      </c>
      <c r="H5" s="64"/>
      <c r="I5" s="14"/>
      <c r="J5" s="2" t="s">
        <v>5</v>
      </c>
      <c r="K5" s="63" t="str">
        <f>'06.08 Palabek-Atiak'!K5:L5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Atiak-Palabek'!D6:E6</f>
        <v>Atiak</v>
      </c>
      <c r="E6" s="64"/>
      <c r="F6" s="2" t="s">
        <v>2</v>
      </c>
      <c r="G6" s="63" t="str">
        <f>'31.07 Atiak-Palabek'!G6:H6</f>
        <v>Palabek</v>
      </c>
      <c r="H6" s="64"/>
      <c r="J6" s="2" t="s">
        <v>21</v>
      </c>
      <c r="K6" s="63" t="str">
        <f>'06.08 Palabek-Atiak'!K6:L6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MCC'!R198:U198)</f>
        <v>0</v>
      </c>
      <c r="M10" s="50">
        <v>4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18</v>
      </c>
      <c r="AD10" s="17">
        <f t="shared" si="2"/>
        <v>0</v>
      </c>
      <c r="AE10" s="31">
        <f t="shared" si="2"/>
        <v>1</v>
      </c>
      <c r="AF10" s="31">
        <f t="shared" si="2"/>
        <v>19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f>SUM('[1]RD130 MCC'!R199:U199)</f>
        <v>0</v>
      </c>
      <c r="M11" s="50">
        <v>7</v>
      </c>
      <c r="N11" s="50">
        <v>0</v>
      </c>
      <c r="O11" s="15">
        <f t="shared" si="0"/>
        <v>1</v>
      </c>
      <c r="P11" s="15">
        <f t="shared" si="1"/>
        <v>8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19</v>
      </c>
      <c r="AD11" s="17">
        <f t="shared" si="3"/>
        <v>0</v>
      </c>
      <c r="AE11" s="31">
        <f t="shared" si="3"/>
        <v>2</v>
      </c>
      <c r="AF11" s="31">
        <f t="shared" si="3"/>
        <v>21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MCC'!R200:U200)</f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4</v>
      </c>
      <c r="AF12" s="31">
        <f t="shared" si="4"/>
        <v>21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MCC'!R201:U201)</f>
        <v>0</v>
      </c>
      <c r="M13" s="50">
        <v>4</v>
      </c>
      <c r="N13" s="50">
        <v>0</v>
      </c>
      <c r="O13" s="15">
        <f t="shared" si="0"/>
        <v>0</v>
      </c>
      <c r="P13" s="15">
        <f t="shared" si="1"/>
        <v>4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3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9</v>
      </c>
      <c r="AD13" s="17">
        <f t="shared" si="5"/>
        <v>0</v>
      </c>
      <c r="AE13" s="31">
        <f t="shared" si="5"/>
        <v>6</v>
      </c>
      <c r="AF13" s="31">
        <f t="shared" si="5"/>
        <v>15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MCC'!R202:U202)</f>
        <v>0</v>
      </c>
      <c r="M14" s="50">
        <v>8</v>
      </c>
      <c r="N14" s="50">
        <v>0</v>
      </c>
      <c r="O14" s="15">
        <f t="shared" si="0"/>
        <v>0</v>
      </c>
      <c r="P14" s="15">
        <f t="shared" si="1"/>
        <v>8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17</v>
      </c>
      <c r="AD14" s="17">
        <f t="shared" si="6"/>
        <v>0</v>
      </c>
      <c r="AE14" s="31">
        <f t="shared" si="6"/>
        <v>8</v>
      </c>
      <c r="AF14" s="31">
        <f t="shared" si="6"/>
        <v>25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MCC'!R203:U203)</f>
        <v>0</v>
      </c>
      <c r="M15" s="50">
        <v>2</v>
      </c>
      <c r="N15" s="50">
        <v>0</v>
      </c>
      <c r="O15" s="15">
        <f t="shared" si="0"/>
        <v>0</v>
      </c>
      <c r="P15" s="15">
        <f t="shared" si="1"/>
        <v>2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15</v>
      </c>
      <c r="AD15" s="17">
        <f t="shared" si="7"/>
        <v>0</v>
      </c>
      <c r="AE15" s="31">
        <f t="shared" si="7"/>
        <v>6</v>
      </c>
      <c r="AF15" s="31">
        <f t="shared" si="7"/>
        <v>21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MCC'!R204:U204)</f>
        <v>0</v>
      </c>
      <c r="M16" s="50">
        <v>4</v>
      </c>
      <c r="N16" s="50">
        <v>0</v>
      </c>
      <c r="O16" s="15">
        <f t="shared" si="0"/>
        <v>1</v>
      </c>
      <c r="P16" s="15">
        <f t="shared" si="1"/>
        <v>5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3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10</v>
      </c>
      <c r="AF16" s="31">
        <f t="shared" si="8"/>
        <v>25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MCC'!R205:U205)</f>
        <v>0</v>
      </c>
      <c r="M17" s="50">
        <v>5</v>
      </c>
      <c r="N17" s="50">
        <v>0</v>
      </c>
      <c r="O17" s="15">
        <f t="shared" si="0"/>
        <v>1</v>
      </c>
      <c r="P17" s="15">
        <f t="shared" si="1"/>
        <v>6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2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13</v>
      </c>
      <c r="AD17" s="17">
        <f t="shared" si="9"/>
        <v>0</v>
      </c>
      <c r="AE17" s="31">
        <f t="shared" si="9"/>
        <v>13</v>
      </c>
      <c r="AF17" s="31">
        <f t="shared" si="9"/>
        <v>26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MCC'!R206:U206)</f>
        <v>0</v>
      </c>
      <c r="M18" s="50">
        <v>6</v>
      </c>
      <c r="N18" s="50">
        <v>0</v>
      </c>
      <c r="O18" s="15">
        <f t="shared" si="0"/>
        <v>0</v>
      </c>
      <c r="P18" s="15">
        <f t="shared" si="1"/>
        <v>6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3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9</v>
      </c>
      <c r="AF18" s="31">
        <f t="shared" si="10"/>
        <v>17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MCC'!R207:U207)</f>
        <v>0</v>
      </c>
      <c r="M19" s="50">
        <v>6</v>
      </c>
      <c r="N19" s="50">
        <v>0</v>
      </c>
      <c r="O19" s="15">
        <f t="shared" si="0"/>
        <v>1</v>
      </c>
      <c r="P19" s="15">
        <f t="shared" si="1"/>
        <v>7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1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8</v>
      </c>
      <c r="AF19" s="31">
        <f t="shared" si="11"/>
        <v>29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f>SUM('[1]RD130 MCC'!R208:U208)</f>
        <v>0</v>
      </c>
      <c r="M20" s="50">
        <v>3</v>
      </c>
      <c r="N20" s="50">
        <v>0</v>
      </c>
      <c r="O20" s="15">
        <f t="shared" si="0"/>
        <v>2</v>
      </c>
      <c r="P20" s="15">
        <f t="shared" si="1"/>
        <v>5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4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11</v>
      </c>
      <c r="AD20" s="17">
        <f t="shared" si="12"/>
        <v>0</v>
      </c>
      <c r="AE20" s="31">
        <f t="shared" si="12"/>
        <v>11</v>
      </c>
      <c r="AF20" s="31">
        <f t="shared" si="12"/>
        <v>22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MCC'!R209:U209)</f>
        <v>0</v>
      </c>
      <c r="M21" s="50">
        <v>2</v>
      </c>
      <c r="N21" s="50">
        <v>0</v>
      </c>
      <c r="O21" s="15">
        <f t="shared" si="0"/>
        <v>1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8</v>
      </c>
      <c r="AF21" s="31">
        <f t="shared" si="13"/>
        <v>25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MCC'!R210:U210)</f>
        <v>0</v>
      </c>
      <c r="M22" s="50">
        <v>4</v>
      </c>
      <c r="N22" s="50">
        <v>0</v>
      </c>
      <c r="O22" s="15">
        <f t="shared" si="0"/>
        <v>2</v>
      </c>
      <c r="P22" s="15">
        <f t="shared" si="1"/>
        <v>6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18</v>
      </c>
      <c r="AD22" s="34">
        <f t="shared" si="14"/>
        <v>0</v>
      </c>
      <c r="AE22" s="31">
        <f t="shared" si="14"/>
        <v>7</v>
      </c>
      <c r="AF22" s="31">
        <f t="shared" si="14"/>
        <v>25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MCC'!R211:U211)</f>
        <v>0</v>
      </c>
      <c r="M23" s="50">
        <v>1</v>
      </c>
      <c r="N23" s="50">
        <v>0</v>
      </c>
      <c r="O23" s="15">
        <f t="shared" si="0"/>
        <v>2</v>
      </c>
      <c r="P23" s="15">
        <f t="shared" si="1"/>
        <v>3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19</v>
      </c>
      <c r="AD23" s="34">
        <f t="shared" si="15"/>
        <v>0</v>
      </c>
      <c r="AE23" s="31">
        <f t="shared" si="15"/>
        <v>4</v>
      </c>
      <c r="AF23" s="31">
        <f t="shared" si="15"/>
        <v>23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f>SUM('[1]RD130 MCC'!R212:U212)</f>
        <v>0</v>
      </c>
      <c r="M24" s="50">
        <v>0</v>
      </c>
      <c r="N24" s="50">
        <v>0</v>
      </c>
      <c r="O24" s="15">
        <f t="shared" si="0"/>
        <v>2</v>
      </c>
      <c r="P24" s="15">
        <f t="shared" si="1"/>
        <v>2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22</v>
      </c>
      <c r="AD24" s="34">
        <f t="shared" si="16"/>
        <v>0</v>
      </c>
      <c r="AE24" s="31">
        <f t="shared" si="16"/>
        <v>0</v>
      </c>
      <c r="AF24" s="31">
        <f t="shared" si="16"/>
        <v>22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MCC'!R213:U213)</f>
        <v>0</v>
      </c>
      <c r="M25" s="50">
        <v>4</v>
      </c>
      <c r="N25" s="50">
        <v>0</v>
      </c>
      <c r="O25" s="15">
        <f t="shared" si="0"/>
        <v>0</v>
      </c>
      <c r="P25" s="15">
        <f t="shared" si="1"/>
        <v>4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9</v>
      </c>
      <c r="AD25" s="34">
        <f t="shared" si="17"/>
        <v>0</v>
      </c>
      <c r="AE25" s="31">
        <f t="shared" si="17"/>
        <v>2</v>
      </c>
      <c r="AF25" s="31">
        <f t="shared" si="17"/>
        <v>11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f>SUM('[1]RD130 MCC'!R214:U214)</f>
        <v>0</v>
      </c>
      <c r="M26" s="50">
        <v>2</v>
      </c>
      <c r="N26" s="50">
        <v>0</v>
      </c>
      <c r="O26" s="15">
        <f t="shared" si="0"/>
        <v>3</v>
      </c>
      <c r="P26" s="15">
        <f t="shared" si="1"/>
        <v>5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</v>
      </c>
      <c r="AD26" s="34">
        <f t="shared" si="18"/>
        <v>0</v>
      </c>
      <c r="AE26" s="31">
        <f t="shared" si="18"/>
        <v>2</v>
      </c>
      <c r="AF26" s="31">
        <f t="shared" si="18"/>
        <v>7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MCC'!R215:U215)</f>
        <v>0</v>
      </c>
      <c r="M27" s="50">
        <v>4</v>
      </c>
      <c r="N27" s="50">
        <v>0</v>
      </c>
      <c r="O27" s="15">
        <f t="shared" si="0"/>
        <v>0</v>
      </c>
      <c r="P27" s="15">
        <f t="shared" si="1"/>
        <v>4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MCC'!R216:U216)</f>
        <v>0</v>
      </c>
      <c r="M28" s="50">
        <v>6</v>
      </c>
      <c r="N28" s="50">
        <v>0</v>
      </c>
      <c r="O28" s="15">
        <f t="shared" si="0"/>
        <v>4</v>
      </c>
      <c r="P28" s="15">
        <f t="shared" si="1"/>
        <v>10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f>SUM('[1]RD130 MCC'!R217:U217)</f>
        <v>0</v>
      </c>
      <c r="M29" s="50">
        <v>5</v>
      </c>
      <c r="N29" s="50">
        <v>0</v>
      </c>
      <c r="O29" s="15">
        <f t="shared" si="0"/>
        <v>1</v>
      </c>
      <c r="P29" s="15">
        <f t="shared" si="1"/>
        <v>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f>SUM('[1]RD130 MCC'!R218:U218)</f>
        <v>0</v>
      </c>
      <c r="M30" s="50">
        <v>8</v>
      </c>
      <c r="N30" s="50">
        <v>0</v>
      </c>
      <c r="O30" s="15">
        <f t="shared" si="0"/>
        <v>1</v>
      </c>
      <c r="P30" s="15">
        <f t="shared" si="1"/>
        <v>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MCC'!R219:U219)</f>
        <v>0</v>
      </c>
      <c r="M31" s="50">
        <v>1</v>
      </c>
      <c r="N31" s="50">
        <v>0</v>
      </c>
      <c r="O31" s="15">
        <f t="shared" si="0"/>
        <v>0</v>
      </c>
      <c r="P31" s="15">
        <f t="shared" si="1"/>
        <v>1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MCC'!R220:U220)</f>
        <v>0</v>
      </c>
      <c r="M32" s="50">
        <v>2</v>
      </c>
      <c r="N32" s="50">
        <v>0</v>
      </c>
      <c r="O32" s="15">
        <f t="shared" si="0"/>
        <v>3</v>
      </c>
      <c r="P32" s="15">
        <f t="shared" si="1"/>
        <v>5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f>SUM('[1]RD130 MCC'!R221:U221)</f>
        <v>0</v>
      </c>
      <c r="M33" s="50">
        <v>4</v>
      </c>
      <c r="N33" s="50">
        <v>0</v>
      </c>
      <c r="O33" s="15">
        <f t="shared" si="0"/>
        <v>2</v>
      </c>
      <c r="P33" s="15">
        <f t="shared" si="1"/>
        <v>6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</v>
      </c>
      <c r="AD33" s="34">
        <f t="shared" si="25"/>
        <v>0</v>
      </c>
      <c r="AE33" s="31">
        <f t="shared" si="25"/>
        <v>1</v>
      </c>
      <c r="AF33" s="31">
        <f t="shared" si="25"/>
        <v>2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MCC'!R222:U222)</f>
        <v>0</v>
      </c>
      <c r="M34" s="50">
        <v>6</v>
      </c>
      <c r="N34" s="50">
        <v>0</v>
      </c>
      <c r="O34" s="15">
        <f t="shared" si="0"/>
        <v>3</v>
      </c>
      <c r="P34" s="15">
        <f t="shared" si="1"/>
        <v>9</v>
      </c>
      <c r="R34" s="38" t="s">
        <v>90</v>
      </c>
      <c r="S34" s="39">
        <f t="shared" ref="S34:AF34" si="26">MAX(S10:S12)</f>
        <v>0</v>
      </c>
      <c r="T34" s="39">
        <f t="shared" si="26"/>
        <v>0</v>
      </c>
      <c r="U34" s="39">
        <f t="shared" si="26"/>
        <v>0</v>
      </c>
      <c r="V34" s="39">
        <f t="shared" si="26"/>
        <v>3</v>
      </c>
      <c r="W34" s="39">
        <f t="shared" si="26"/>
        <v>0</v>
      </c>
      <c r="X34" s="39">
        <f t="shared" si="26"/>
        <v>0</v>
      </c>
      <c r="Y34" s="39">
        <f t="shared" si="26"/>
        <v>1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19</v>
      </c>
      <c r="AD34" s="39">
        <f t="shared" si="26"/>
        <v>0</v>
      </c>
      <c r="AE34" s="40">
        <f t="shared" si="26"/>
        <v>4</v>
      </c>
      <c r="AF34" s="40">
        <f t="shared" si="26"/>
        <v>21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f>SUM('[1]RD130 MCC'!R223:U223)</f>
        <v>0</v>
      </c>
      <c r="M35" s="50">
        <v>2</v>
      </c>
      <c r="N35" s="50">
        <v>0</v>
      </c>
      <c r="O35" s="15">
        <f t="shared" si="0"/>
        <v>3</v>
      </c>
      <c r="P35" s="15">
        <f t="shared" si="1"/>
        <v>5</v>
      </c>
      <c r="R35" s="38" t="s">
        <v>91</v>
      </c>
      <c r="S35" s="39">
        <f t="shared" ref="S35:AF35" si="27">MAX(S13:S18)</f>
        <v>3</v>
      </c>
      <c r="T35" s="39">
        <f t="shared" si="27"/>
        <v>0</v>
      </c>
      <c r="U35" s="39">
        <f t="shared" si="27"/>
        <v>3</v>
      </c>
      <c r="V35" s="39">
        <f t="shared" si="27"/>
        <v>6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17</v>
      </c>
      <c r="AD35" s="39">
        <f t="shared" si="27"/>
        <v>0</v>
      </c>
      <c r="AE35" s="40">
        <f t="shared" si="27"/>
        <v>13</v>
      </c>
      <c r="AF35" s="40">
        <f t="shared" si="27"/>
        <v>26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MCC'!R224:U224)</f>
        <v>0</v>
      </c>
      <c r="M36" s="50">
        <v>4</v>
      </c>
      <c r="N36" s="50">
        <v>0</v>
      </c>
      <c r="O36" s="15">
        <f t="shared" si="0"/>
        <v>2</v>
      </c>
      <c r="P36" s="15">
        <f t="shared" si="1"/>
        <v>6</v>
      </c>
      <c r="R36" s="38" t="s">
        <v>92</v>
      </c>
      <c r="S36" s="39">
        <f t="shared" ref="S36:AF36" si="28">MAX(S19:S21)</f>
        <v>1</v>
      </c>
      <c r="T36" s="39">
        <f t="shared" si="28"/>
        <v>0</v>
      </c>
      <c r="U36" s="39">
        <f t="shared" si="28"/>
        <v>4</v>
      </c>
      <c r="V36" s="39">
        <f t="shared" si="28"/>
        <v>7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21</v>
      </c>
      <c r="AD36" s="39">
        <f t="shared" si="28"/>
        <v>0</v>
      </c>
      <c r="AE36" s="40">
        <f t="shared" si="28"/>
        <v>11</v>
      </c>
      <c r="AF36" s="40">
        <f t="shared" si="28"/>
        <v>29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f>SUM('[1]RD130 MCC'!R225:U225)</f>
        <v>0</v>
      </c>
      <c r="M37" s="50">
        <v>3</v>
      </c>
      <c r="N37" s="50">
        <v>0</v>
      </c>
      <c r="O37" s="15">
        <f t="shared" si="0"/>
        <v>2</v>
      </c>
      <c r="P37" s="15">
        <f t="shared" si="1"/>
        <v>5</v>
      </c>
      <c r="R37" s="37" t="s">
        <v>85</v>
      </c>
      <c r="S37" s="35">
        <f t="shared" ref="S37:AF37" si="29">SUM(S10:S12)</f>
        <v>0</v>
      </c>
      <c r="T37" s="16">
        <f t="shared" si="29"/>
        <v>0</v>
      </c>
      <c r="U37" s="16">
        <f t="shared" si="29"/>
        <v>0</v>
      </c>
      <c r="V37" s="16">
        <f t="shared" si="29"/>
        <v>5</v>
      </c>
      <c r="W37" s="16">
        <f t="shared" si="29"/>
        <v>0</v>
      </c>
      <c r="X37" s="16">
        <f t="shared" si="29"/>
        <v>0</v>
      </c>
      <c r="Y37" s="16">
        <f t="shared" si="29"/>
        <v>2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54</v>
      </c>
      <c r="AD37" s="16">
        <f t="shared" si="29"/>
        <v>0</v>
      </c>
      <c r="AE37" s="32">
        <f t="shared" si="29"/>
        <v>7</v>
      </c>
      <c r="AF37" s="32">
        <f t="shared" si="29"/>
        <v>61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MCC'!R226:U226)</f>
        <v>0</v>
      </c>
      <c r="M38" s="50">
        <v>6</v>
      </c>
      <c r="N38" s="50">
        <v>0</v>
      </c>
      <c r="O38" s="15">
        <f t="shared" si="0"/>
        <v>3</v>
      </c>
      <c r="P38" s="15">
        <f t="shared" si="1"/>
        <v>9</v>
      </c>
      <c r="R38" s="28" t="s">
        <v>86</v>
      </c>
      <c r="S38" s="16">
        <f t="shared" ref="S38:AF38" si="30">SUM(S13:S18)</f>
        <v>5</v>
      </c>
      <c r="T38" s="16">
        <f t="shared" si="30"/>
        <v>0</v>
      </c>
      <c r="U38" s="16">
        <f t="shared" si="30"/>
        <v>12</v>
      </c>
      <c r="V38" s="16">
        <f t="shared" si="30"/>
        <v>26</v>
      </c>
      <c r="W38" s="16">
        <f t="shared" si="30"/>
        <v>0</v>
      </c>
      <c r="X38" s="16">
        <f t="shared" si="30"/>
        <v>0</v>
      </c>
      <c r="Y38" s="16">
        <f t="shared" si="30"/>
        <v>9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77</v>
      </c>
      <c r="AD38" s="16">
        <f t="shared" si="30"/>
        <v>0</v>
      </c>
      <c r="AE38" s="32">
        <f t="shared" si="30"/>
        <v>52</v>
      </c>
      <c r="AF38" s="32">
        <f t="shared" si="30"/>
        <v>129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MCC'!R227:U227)</f>
        <v>0</v>
      </c>
      <c r="M39" s="50">
        <v>1</v>
      </c>
      <c r="N39" s="50">
        <v>0</v>
      </c>
      <c r="O39" s="15">
        <f t="shared" si="0"/>
        <v>5</v>
      </c>
      <c r="P39" s="15">
        <f t="shared" si="1"/>
        <v>6</v>
      </c>
      <c r="R39" s="29" t="s">
        <v>87</v>
      </c>
      <c r="S39" s="16">
        <f t="shared" ref="S39:AF39" si="31">SUM(S19:S21)</f>
        <v>2</v>
      </c>
      <c r="T39" s="16">
        <f t="shared" si="31"/>
        <v>0</v>
      </c>
      <c r="U39" s="16">
        <f t="shared" si="31"/>
        <v>5</v>
      </c>
      <c r="V39" s="16">
        <f t="shared" si="31"/>
        <v>13</v>
      </c>
      <c r="W39" s="16">
        <f t="shared" si="31"/>
        <v>0</v>
      </c>
      <c r="X39" s="16">
        <f t="shared" si="31"/>
        <v>0</v>
      </c>
      <c r="Y39" s="16">
        <f t="shared" si="31"/>
        <v>7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49</v>
      </c>
      <c r="AD39" s="16">
        <f t="shared" si="31"/>
        <v>0</v>
      </c>
      <c r="AE39" s="32">
        <f t="shared" si="31"/>
        <v>27</v>
      </c>
      <c r="AF39" s="32">
        <f t="shared" si="31"/>
        <v>76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f>SUM('[1]RD130 MCC'!R228:U228)</f>
        <v>0</v>
      </c>
      <c r="M40" s="50">
        <v>2</v>
      </c>
      <c r="N40" s="50">
        <v>0</v>
      </c>
      <c r="O40" s="15">
        <f t="shared" si="0"/>
        <v>2</v>
      </c>
      <c r="P40" s="15">
        <f t="shared" si="1"/>
        <v>4</v>
      </c>
      <c r="R40" s="5" t="s">
        <v>17</v>
      </c>
      <c r="S40" s="16">
        <f t="shared" ref="S40:AF40" si="32">SUM(S10:S21)</f>
        <v>7</v>
      </c>
      <c r="T40" s="16">
        <f t="shared" si="32"/>
        <v>0</v>
      </c>
      <c r="U40" s="16">
        <f t="shared" si="32"/>
        <v>17</v>
      </c>
      <c r="V40" s="16">
        <f t="shared" si="32"/>
        <v>44</v>
      </c>
      <c r="W40" s="16">
        <f t="shared" si="32"/>
        <v>0</v>
      </c>
      <c r="X40" s="16">
        <f t="shared" si="32"/>
        <v>0</v>
      </c>
      <c r="Y40" s="16">
        <f t="shared" si="32"/>
        <v>18</v>
      </c>
      <c r="Z40" s="16">
        <f t="shared" si="32"/>
        <v>0</v>
      </c>
      <c r="AA40" s="16">
        <f t="shared" si="32"/>
        <v>0</v>
      </c>
      <c r="AB40" s="16">
        <f t="shared" si="32"/>
        <v>0</v>
      </c>
      <c r="AC40" s="16">
        <f t="shared" si="32"/>
        <v>180</v>
      </c>
      <c r="AD40" s="16">
        <f t="shared" si="32"/>
        <v>0</v>
      </c>
      <c r="AE40" s="32">
        <f t="shared" si="32"/>
        <v>86</v>
      </c>
      <c r="AF40" s="32">
        <f t="shared" si="32"/>
        <v>266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f>SUM('[1]RD130 MCC'!R229:U229)</f>
        <v>0</v>
      </c>
      <c r="M41" s="50">
        <v>4</v>
      </c>
      <c r="N41" s="50">
        <v>0</v>
      </c>
      <c r="O41" s="15">
        <f t="shared" si="0"/>
        <v>3</v>
      </c>
      <c r="P41" s="15">
        <f t="shared" si="1"/>
        <v>7</v>
      </c>
      <c r="R41" s="5" t="s">
        <v>159</v>
      </c>
      <c r="S41" s="16">
        <f>SUM(S10:S33)</f>
        <v>9</v>
      </c>
      <c r="T41" s="16">
        <f t="shared" ref="T41:AF41" si="33">SUM(T10:T33)</f>
        <v>0</v>
      </c>
      <c r="U41" s="16">
        <f t="shared" si="33"/>
        <v>21</v>
      </c>
      <c r="V41" s="16">
        <f t="shared" si="33"/>
        <v>48</v>
      </c>
      <c r="W41" s="16">
        <f t="shared" si="33"/>
        <v>0</v>
      </c>
      <c r="X41" s="16">
        <f t="shared" si="33"/>
        <v>0</v>
      </c>
      <c r="Y41" s="16">
        <f t="shared" si="33"/>
        <v>24</v>
      </c>
      <c r="Z41" s="16">
        <f t="shared" si="33"/>
        <v>0</v>
      </c>
      <c r="AA41" s="16">
        <f t="shared" si="33"/>
        <v>0</v>
      </c>
      <c r="AB41" s="16">
        <f t="shared" si="33"/>
        <v>0</v>
      </c>
      <c r="AC41" s="16">
        <f t="shared" si="33"/>
        <v>254</v>
      </c>
      <c r="AD41" s="16">
        <f t="shared" si="33"/>
        <v>0</v>
      </c>
      <c r="AE41" s="32">
        <f t="shared" si="33"/>
        <v>102</v>
      </c>
      <c r="AF41" s="32">
        <f t="shared" si="33"/>
        <v>356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MCC'!R230:U230)</f>
        <v>0</v>
      </c>
      <c r="M42" s="50">
        <v>2</v>
      </c>
      <c r="N42" s="50">
        <v>0</v>
      </c>
      <c r="O42" s="15">
        <f t="shared" si="0"/>
        <v>3</v>
      </c>
      <c r="P42" s="15">
        <f t="shared" si="1"/>
        <v>5</v>
      </c>
      <c r="R42" s="5" t="s">
        <v>160</v>
      </c>
      <c r="S42" s="48">
        <f>S41/S40</f>
        <v>1.2857142857142858</v>
      </c>
      <c r="T42" s="48" t="e">
        <f t="shared" ref="T42:AF42" si="34">T41/T40</f>
        <v>#DIV/0!</v>
      </c>
      <c r="U42" s="48">
        <f t="shared" si="34"/>
        <v>1.2352941176470589</v>
      </c>
      <c r="V42" s="48">
        <f t="shared" si="34"/>
        <v>1.0909090909090908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1.3333333333333333</v>
      </c>
      <c r="Z42" s="48" t="e">
        <f t="shared" si="34"/>
        <v>#DIV/0!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1.4111111111111112</v>
      </c>
      <c r="AD42" s="48" t="e">
        <f t="shared" si="34"/>
        <v>#DIV/0!</v>
      </c>
      <c r="AE42" s="48">
        <f t="shared" si="34"/>
        <v>1.1860465116279071</v>
      </c>
      <c r="AF42" s="48">
        <f t="shared" si="34"/>
        <v>1.3383458646616542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MCC'!R231:U231)</f>
        <v>0</v>
      </c>
      <c r="M43" s="50">
        <v>1</v>
      </c>
      <c r="N43" s="50">
        <v>0</v>
      </c>
      <c r="O43" s="15">
        <f t="shared" si="0"/>
        <v>2</v>
      </c>
      <c r="P43" s="15">
        <f t="shared" si="1"/>
        <v>3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MCC'!R232:U232)</f>
        <v>0</v>
      </c>
      <c r="M44" s="50">
        <v>2</v>
      </c>
      <c r="N44" s="50">
        <v>0</v>
      </c>
      <c r="O44" s="15">
        <f t="shared" si="0"/>
        <v>0</v>
      </c>
      <c r="P44" s="15">
        <f t="shared" si="1"/>
        <v>2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f>SUM('[1]RD130 MCC'!R233:U233)</f>
        <v>0</v>
      </c>
      <c r="M45" s="50">
        <v>3</v>
      </c>
      <c r="N45" s="50">
        <v>0</v>
      </c>
      <c r="O45" s="15">
        <f t="shared" si="0"/>
        <v>4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MCC'!R234:U234)</f>
        <v>0</v>
      </c>
      <c r="M46" s="50">
        <v>6</v>
      </c>
      <c r="N46" s="50">
        <v>0</v>
      </c>
      <c r="O46" s="15">
        <f t="shared" si="0"/>
        <v>1</v>
      </c>
      <c r="P46" s="15">
        <f t="shared" si="1"/>
        <v>7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2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f>SUM('[1]RD130 MCC'!R235:U235)</f>
        <v>0</v>
      </c>
      <c r="M47" s="50">
        <v>5</v>
      </c>
      <c r="N47" s="50">
        <v>0</v>
      </c>
      <c r="O47" s="15">
        <f t="shared" si="0"/>
        <v>5</v>
      </c>
      <c r="P47" s="15">
        <f t="shared" si="1"/>
        <v>10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f>SUM('[1]RD130 MCC'!R236:U236)</f>
        <v>0</v>
      </c>
      <c r="M48" s="50">
        <v>6</v>
      </c>
      <c r="N48" s="50">
        <v>0</v>
      </c>
      <c r="O48" s="15">
        <f t="shared" si="0"/>
        <v>2</v>
      </c>
      <c r="P48" s="15">
        <f t="shared" si="1"/>
        <v>8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MCC'!R237:U237)</f>
        <v>0</v>
      </c>
      <c r="M49" s="50">
        <v>4</v>
      </c>
      <c r="N49" s="50">
        <v>0</v>
      </c>
      <c r="O49" s="15">
        <f t="shared" si="0"/>
        <v>0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f>SUM('[1]RD130 MCC'!R238:U238)</f>
        <v>0</v>
      </c>
      <c r="M50" s="50">
        <v>3</v>
      </c>
      <c r="N50" s="50">
        <v>0</v>
      </c>
      <c r="O50" s="15">
        <f t="shared" si="0"/>
        <v>4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MCC'!R239:U239)</f>
        <v>0</v>
      </c>
      <c r="M51" s="50">
        <v>2</v>
      </c>
      <c r="N51" s="50">
        <v>0</v>
      </c>
      <c r="O51" s="15">
        <f t="shared" si="0"/>
        <v>1</v>
      </c>
      <c r="P51" s="15">
        <f t="shared" si="1"/>
        <v>3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f>SUM('[1]RD130 MCC'!R240:U240)</f>
        <v>0</v>
      </c>
      <c r="M52" s="50">
        <v>4</v>
      </c>
      <c r="N52" s="50">
        <v>0</v>
      </c>
      <c r="O52" s="15">
        <f t="shared" si="0"/>
        <v>5</v>
      </c>
      <c r="P52" s="15">
        <f t="shared" si="1"/>
        <v>9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MCC'!R241:U241)</f>
        <v>0</v>
      </c>
      <c r="M53" s="50">
        <v>2</v>
      </c>
      <c r="N53" s="50">
        <v>0</v>
      </c>
      <c r="O53" s="15">
        <f t="shared" si="0"/>
        <v>1</v>
      </c>
      <c r="P53" s="15">
        <f t="shared" si="1"/>
        <v>3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MCC'!R242:U242)</f>
        <v>0</v>
      </c>
      <c r="M54" s="50">
        <v>3</v>
      </c>
      <c r="N54" s="50">
        <v>0</v>
      </c>
      <c r="O54" s="15">
        <f t="shared" si="0"/>
        <v>3</v>
      </c>
      <c r="P54" s="15">
        <f t="shared" si="1"/>
        <v>6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MCC'!R243:U243)</f>
        <v>0</v>
      </c>
      <c r="M55" s="50">
        <v>5</v>
      </c>
      <c r="N55" s="50">
        <v>0</v>
      </c>
      <c r="O55" s="15">
        <f t="shared" si="0"/>
        <v>1</v>
      </c>
      <c r="P55" s="15">
        <f t="shared" si="1"/>
        <v>6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MCC'!R244:U244)</f>
        <v>0</v>
      </c>
      <c r="M56" s="50">
        <v>6</v>
      </c>
      <c r="N56" s="50">
        <v>0</v>
      </c>
      <c r="O56" s="15">
        <f t="shared" si="0"/>
        <v>0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f>SUM('[1]RD130 MCC'!R245:U245)</f>
        <v>0</v>
      </c>
      <c r="M57" s="50">
        <v>3</v>
      </c>
      <c r="N57" s="50">
        <v>0</v>
      </c>
      <c r="O57" s="15">
        <f t="shared" si="0"/>
        <v>4</v>
      </c>
      <c r="P57" s="15">
        <f t="shared" si="1"/>
        <v>7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f>SUM('[1]RD130 MCC'!R246:U246)</f>
        <v>0</v>
      </c>
      <c r="M58" s="50">
        <v>4</v>
      </c>
      <c r="N58" s="50">
        <v>0</v>
      </c>
      <c r="O58" s="15">
        <f t="shared" ref="O58:O105" si="35">SUM(C58:L58,N58)</f>
        <v>1</v>
      </c>
      <c r="P58" s="15">
        <f t="shared" ref="P58:P105" si="36">SUM(C58:N58)</f>
        <v>5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1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f>SUM('[1]RD130 MCC'!R247:U247)</f>
        <v>0</v>
      </c>
      <c r="M59" s="50">
        <v>5</v>
      </c>
      <c r="N59" s="50">
        <v>0</v>
      </c>
      <c r="O59" s="15">
        <f t="shared" si="35"/>
        <v>2</v>
      </c>
      <c r="P59" s="15">
        <f t="shared" si="36"/>
        <v>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f>SUM('[1]RD130 MCC'!R248:U248)</f>
        <v>0</v>
      </c>
      <c r="M60" s="50">
        <v>6</v>
      </c>
      <c r="N60" s="50">
        <v>0</v>
      </c>
      <c r="O60" s="15">
        <f t="shared" si="35"/>
        <v>3</v>
      </c>
      <c r="P60" s="15">
        <f t="shared" si="36"/>
        <v>9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f>SUM('[1]RD130 MCC'!R249:U249)</f>
        <v>0</v>
      </c>
      <c r="M61" s="50">
        <v>3</v>
      </c>
      <c r="N61" s="50">
        <v>0</v>
      </c>
      <c r="O61" s="15">
        <f t="shared" si="35"/>
        <v>1</v>
      </c>
      <c r="P61" s="15">
        <f t="shared" si="36"/>
        <v>4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f>SUM('[1]RD130 MCC'!R250:U250)</f>
        <v>0</v>
      </c>
      <c r="M62" s="50">
        <v>2</v>
      </c>
      <c r="N62" s="50">
        <v>0</v>
      </c>
      <c r="O62" s="15">
        <f t="shared" si="35"/>
        <v>2</v>
      </c>
      <c r="P62" s="15">
        <f t="shared" si="36"/>
        <v>4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f>SUM('[1]RD130 MCC'!R251:U251)</f>
        <v>0</v>
      </c>
      <c r="M63" s="50">
        <v>6</v>
      </c>
      <c r="N63" s="50">
        <v>0</v>
      </c>
      <c r="O63" s="15">
        <f t="shared" si="35"/>
        <v>0</v>
      </c>
      <c r="P63" s="15">
        <f t="shared" si="36"/>
        <v>6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f>SUM('[1]RD130 MCC'!R252:U252)</f>
        <v>0</v>
      </c>
      <c r="M64" s="50">
        <v>6</v>
      </c>
      <c r="N64" s="50">
        <v>0</v>
      </c>
      <c r="O64" s="15">
        <f t="shared" si="35"/>
        <v>1</v>
      </c>
      <c r="P64" s="15">
        <f t="shared" si="36"/>
        <v>7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f>SUM('[1]RD130 MCC'!R253:U253)</f>
        <v>0</v>
      </c>
      <c r="M65" s="50">
        <v>5</v>
      </c>
      <c r="N65" s="50">
        <v>0</v>
      </c>
      <c r="O65" s="15">
        <f t="shared" si="35"/>
        <v>1</v>
      </c>
      <c r="P65" s="15">
        <f t="shared" si="36"/>
        <v>6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f>SUM('[1]RD130 MCC'!R254:U254)</f>
        <v>0</v>
      </c>
      <c r="M66" s="50">
        <v>4</v>
      </c>
      <c r="N66" s="50">
        <v>0</v>
      </c>
      <c r="O66" s="15">
        <f t="shared" si="35"/>
        <v>0</v>
      </c>
      <c r="P66" s="15">
        <f t="shared" si="36"/>
        <v>4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f>SUM('[1]RD130 MCC'!R255:U255)</f>
        <v>0</v>
      </c>
      <c r="M67" s="50">
        <v>8</v>
      </c>
      <c r="N67" s="50">
        <v>0</v>
      </c>
      <c r="O67" s="15">
        <f t="shared" si="35"/>
        <v>0</v>
      </c>
      <c r="P67" s="15">
        <f t="shared" si="36"/>
        <v>8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f>SUM('[1]RD130 MCC'!R256:U256)</f>
        <v>0</v>
      </c>
      <c r="M68" s="50">
        <v>5</v>
      </c>
      <c r="N68" s="50">
        <v>0</v>
      </c>
      <c r="O68" s="15">
        <f t="shared" si="35"/>
        <v>0</v>
      </c>
      <c r="P68" s="15">
        <f t="shared" si="36"/>
        <v>5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f>SUM('[1]RD130 MCC'!R257:U257)</f>
        <v>0</v>
      </c>
      <c r="M69" s="50">
        <v>5</v>
      </c>
      <c r="N69" s="50">
        <v>0</v>
      </c>
      <c r="O69" s="15">
        <f t="shared" si="35"/>
        <v>0</v>
      </c>
      <c r="P69" s="15">
        <f t="shared" si="36"/>
        <v>5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f>SUM('[1]RD130 MCC'!R258:U258)</f>
        <v>0</v>
      </c>
      <c r="M70" s="50">
        <v>4</v>
      </c>
      <c r="N70" s="50">
        <v>0</v>
      </c>
      <c r="O70" s="15">
        <f t="shared" si="35"/>
        <v>0</v>
      </c>
      <c r="P70" s="15">
        <f t="shared" si="36"/>
        <v>4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f>SUM('[1]RD130 MCC'!R259:U259)</f>
        <v>0</v>
      </c>
      <c r="M71" s="50">
        <v>3</v>
      </c>
      <c r="N71" s="50">
        <v>0</v>
      </c>
      <c r="O71" s="15">
        <f t="shared" si="35"/>
        <v>2</v>
      </c>
      <c r="P71" s="15">
        <f t="shared" si="36"/>
        <v>5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f>SUM('[1]RD130 MCC'!R260:U260)</f>
        <v>0</v>
      </c>
      <c r="M72" s="50">
        <v>0</v>
      </c>
      <c r="N72" s="50">
        <v>0</v>
      </c>
      <c r="O72" s="15">
        <f t="shared" si="35"/>
        <v>0</v>
      </c>
      <c r="P72" s="15">
        <f t="shared" si="36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f>SUM('[1]RD130 MCC'!R261:U261)</f>
        <v>0</v>
      </c>
      <c r="M73" s="50">
        <v>2</v>
      </c>
      <c r="N73" s="50">
        <v>0</v>
      </c>
      <c r="O73" s="15">
        <f t="shared" si="35"/>
        <v>0</v>
      </c>
      <c r="P73" s="15">
        <f t="shared" si="36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f>SUM('[1]RD130 MCC'!R262:U262)</f>
        <v>0</v>
      </c>
      <c r="M74" s="50">
        <v>1</v>
      </c>
      <c r="N74" s="50">
        <v>0</v>
      </c>
      <c r="O74" s="15">
        <f t="shared" si="35"/>
        <v>1</v>
      </c>
      <c r="P74" s="15">
        <f t="shared" si="36"/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f>SUM('[1]RD130 MCC'!R263:U263)</f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f>SUM('[1]RD130 MCC'!R264:U264)</f>
        <v>0</v>
      </c>
      <c r="M76" s="50">
        <v>3</v>
      </c>
      <c r="N76" s="50">
        <v>0</v>
      </c>
      <c r="O76" s="15">
        <f t="shared" si="35"/>
        <v>0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f>SUM('[1]RD130 MCC'!R265:U265)</f>
        <v>0</v>
      </c>
      <c r="M77" s="50">
        <v>1</v>
      </c>
      <c r="N77" s="50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f>SUM('[1]RD130 MCC'!R266:U266)</f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f>SUM('[1]RD130 MCC'!R267:U267)</f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f>SUM('[1]RD130 MCC'!R268:U268)</f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f>SUM('[1]RD130 MCC'!R269:U269)</f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f>SUM('[1]RD130 MCC'!R270:U270)</f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f>SUM('[1]RD130 MCC'!R271:U271)</f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f>SUM('[1]RD130 MCC'!R272:U272)</f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f>SUM('[1]RD130 MCC'!R273:U273)</f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f>SUM('[1]RD130 MCC'!R274:U274)</f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f>SUM('[1]RD130 MCC'!R275:U275)</f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f>SUM('[1]RD130 MCC'!R276:U276)</f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f>SUM('[1]RD130 MCC'!R277:U277)</f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f>SUM('[1]RD130 MCC'!R278:U278)</f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f>SUM('[1]RD130 MCC'!R279:U279)</f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f>SUM('[1]RD130 MCC'!R280:U280)</f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f>SUM('[1]RD130 MCC'!R281:U281)</f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f>SUM('[1]RD130 MCC'!R282:U282)</f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f>SUM('[1]RD130 MCC'!R283:U283)</f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f>SUM('[1]RD130 MCC'!R284:U284)</f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f>SUM('[1]RD130 MCC'!R285:U285)</f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f>SUM('[1]RD130 MCC'!R286:U286)</f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f>SUM('[1]RD130 MCC'!R287:U287)</f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f>SUM('[1]RD130 MCC'!R288:U288)</f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f>SUM('[1]RD130 MCC'!R289:U289)</f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f>SUM('[1]RD130 MCC'!R290:U290)</f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f>SUM('[1]RD130 MCC'!R291:U291)</f>
        <v>0</v>
      </c>
      <c r="M103" s="50">
        <v>0</v>
      </c>
      <c r="N103" s="50">
        <v>0</v>
      </c>
      <c r="O103" s="15">
        <f t="shared" si="35"/>
        <v>1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f>SUM('[1]RD130 MCC'!R292:U292)</f>
        <v>0</v>
      </c>
      <c r="M104" s="50">
        <v>1</v>
      </c>
      <c r="N104" s="50">
        <v>0</v>
      </c>
      <c r="O104" s="15">
        <f t="shared" si="35"/>
        <v>0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f>SUM('[1]RD130 MCC'!R293:U293)</f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</v>
      </c>
      <c r="D106" s="16">
        <f t="shared" ref="D106:P106" si="37">SUM(D10:D105)</f>
        <v>0</v>
      </c>
      <c r="E106" s="16">
        <f t="shared" si="37"/>
        <v>21</v>
      </c>
      <c r="F106" s="16">
        <f t="shared" si="37"/>
        <v>48</v>
      </c>
      <c r="G106" s="16">
        <f t="shared" si="37"/>
        <v>0</v>
      </c>
      <c r="H106" s="16">
        <f t="shared" si="37"/>
        <v>0</v>
      </c>
      <c r="I106" s="16">
        <f t="shared" si="37"/>
        <v>24</v>
      </c>
      <c r="J106" s="16">
        <f t="shared" si="37"/>
        <v>0</v>
      </c>
      <c r="K106" s="16">
        <f t="shared" si="37"/>
        <v>0</v>
      </c>
      <c r="L106" s="16">
        <f t="shared" si="37"/>
        <v>0</v>
      </c>
      <c r="M106" s="16">
        <f t="shared" si="37"/>
        <v>254</v>
      </c>
      <c r="N106" s="16">
        <f t="shared" si="37"/>
        <v>0</v>
      </c>
      <c r="O106" s="16">
        <f t="shared" si="37"/>
        <v>102</v>
      </c>
      <c r="P106" s="16">
        <f t="shared" si="37"/>
        <v>356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2.5280898876404494E-2</v>
      </c>
      <c r="D107" s="43">
        <f t="shared" si="38"/>
        <v>0</v>
      </c>
      <c r="E107" s="43">
        <f t="shared" si="38"/>
        <v>5.8988764044943819E-2</v>
      </c>
      <c r="F107" s="43">
        <f t="shared" si="38"/>
        <v>0.1348314606741573</v>
      </c>
      <c r="G107" s="43">
        <f t="shared" si="38"/>
        <v>0</v>
      </c>
      <c r="H107" s="43">
        <f t="shared" si="38"/>
        <v>0</v>
      </c>
      <c r="I107" s="43">
        <f t="shared" si="38"/>
        <v>6.741573033707865E-2</v>
      </c>
      <c r="J107" s="43">
        <f t="shared" si="38"/>
        <v>0</v>
      </c>
      <c r="K107" s="43">
        <f t="shared" si="38"/>
        <v>0</v>
      </c>
      <c r="L107" s="43">
        <f t="shared" si="38"/>
        <v>0</v>
      </c>
      <c r="M107" s="43">
        <f t="shared" si="38"/>
        <v>0.7134831460674157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8.8235294117647065E-2</v>
      </c>
      <c r="D108" s="44">
        <f t="shared" ref="D108:N108" si="39">D106/$O$106</f>
        <v>0</v>
      </c>
      <c r="E108" s="44">
        <f t="shared" si="39"/>
        <v>0.20588235294117646</v>
      </c>
      <c r="F108" s="44">
        <f t="shared" si="39"/>
        <v>0.47058823529411764</v>
      </c>
      <c r="G108" s="44">
        <f t="shared" si="39"/>
        <v>0</v>
      </c>
      <c r="H108" s="44">
        <f t="shared" si="39"/>
        <v>0</v>
      </c>
      <c r="I108" s="44">
        <f t="shared" si="39"/>
        <v>0.23529411764705882</v>
      </c>
      <c r="J108" s="44">
        <f t="shared" si="39"/>
        <v>0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115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Atiak-Palabek-24h'!D5</f>
        <v>02.08.19</v>
      </c>
      <c r="E5" s="3"/>
      <c r="F5" s="41" t="s">
        <v>1</v>
      </c>
      <c r="G5" s="63" t="str">
        <f>'02.08 Atiak-Palabek-24h'!G5:H5</f>
        <v>xxx</v>
      </c>
      <c r="H5" s="64"/>
      <c r="I5" s="14"/>
      <c r="J5" s="2" t="s">
        <v>5</v>
      </c>
      <c r="K5" s="63" t="str">
        <f>'02.08 Atiak-Palabek-24h'!K5:L5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Palabek-Atiak'!D6:E6</f>
        <v>Palabek</v>
      </c>
      <c r="E6" s="64"/>
      <c r="F6" s="2" t="s">
        <v>2</v>
      </c>
      <c r="G6" s="63" t="str">
        <f>'01.08 Palabek-Atiak'!G6:H6</f>
        <v>Atiak</v>
      </c>
      <c r="H6" s="64"/>
      <c r="J6" s="2" t="s">
        <v>21</v>
      </c>
      <c r="K6" s="63" t="str">
        <f>'02.08 Atiak-Palabek-24h'!K6:L6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MCC'!R294:U294)</f>
        <v>0</v>
      </c>
      <c r="M10" s="50">
        <v>0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1</v>
      </c>
      <c r="AF10" s="31">
        <f t="shared" si="2"/>
        <v>1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f>SUM('[1]RD130 MCC'!R295:U295)</f>
        <v>0</v>
      </c>
      <c r="M11" s="50">
        <v>0</v>
      </c>
      <c r="N11" s="50">
        <v>0</v>
      </c>
      <c r="O11" s="15">
        <f t="shared" si="0"/>
        <v>1</v>
      </c>
      <c r="P11" s="15">
        <f t="shared" si="1"/>
        <v>1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11</v>
      </c>
      <c r="AD11" s="17">
        <f t="shared" si="3"/>
        <v>0</v>
      </c>
      <c r="AE11" s="31">
        <f t="shared" si="3"/>
        <v>2</v>
      </c>
      <c r="AF11" s="31">
        <f t="shared" si="3"/>
        <v>13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MCC'!R296:U296)</f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4</v>
      </c>
      <c r="AF12" s="31">
        <f t="shared" si="4"/>
        <v>21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MCC'!R297:U297)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3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17</v>
      </c>
      <c r="AD13" s="17">
        <f t="shared" si="5"/>
        <v>0</v>
      </c>
      <c r="AE13" s="31">
        <f t="shared" si="5"/>
        <v>6</v>
      </c>
      <c r="AF13" s="31">
        <f t="shared" si="5"/>
        <v>23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MCC'!R298:U298)</f>
        <v>0</v>
      </c>
      <c r="M14" s="50">
        <v>3</v>
      </c>
      <c r="N14" s="50">
        <v>0</v>
      </c>
      <c r="O14" s="15">
        <f t="shared" si="0"/>
        <v>0</v>
      </c>
      <c r="P14" s="15">
        <f t="shared" si="1"/>
        <v>3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8</v>
      </c>
      <c r="AF14" s="31">
        <f t="shared" si="6"/>
        <v>23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MCC'!R299:U299)</f>
        <v>0</v>
      </c>
      <c r="M15" s="50">
        <v>3</v>
      </c>
      <c r="N15" s="50">
        <v>0</v>
      </c>
      <c r="O15" s="15">
        <f t="shared" si="0"/>
        <v>0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6</v>
      </c>
      <c r="AF15" s="31">
        <f t="shared" si="7"/>
        <v>18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MCC'!R300:U300)</f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3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11</v>
      </c>
      <c r="AD16" s="17">
        <f t="shared" si="8"/>
        <v>0</v>
      </c>
      <c r="AE16" s="31">
        <f t="shared" si="8"/>
        <v>10</v>
      </c>
      <c r="AF16" s="31">
        <f t="shared" si="8"/>
        <v>21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MCC'!R301:U301)</f>
        <v>0</v>
      </c>
      <c r="M17" s="50">
        <v>3</v>
      </c>
      <c r="N17" s="50">
        <v>0</v>
      </c>
      <c r="O17" s="15">
        <f t="shared" si="0"/>
        <v>1</v>
      </c>
      <c r="P17" s="15">
        <f t="shared" si="1"/>
        <v>4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2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13</v>
      </c>
      <c r="AF17" s="31">
        <f t="shared" si="9"/>
        <v>27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MCC'!R302:U302)</f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3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11</v>
      </c>
      <c r="AD18" s="17">
        <f t="shared" si="10"/>
        <v>0</v>
      </c>
      <c r="AE18" s="31">
        <f t="shared" si="10"/>
        <v>9</v>
      </c>
      <c r="AF18" s="31">
        <f t="shared" si="10"/>
        <v>20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MCC'!R303:U303)</f>
        <v>0</v>
      </c>
      <c r="M19" s="50">
        <v>13</v>
      </c>
      <c r="N19" s="50">
        <v>0</v>
      </c>
      <c r="O19" s="15">
        <f t="shared" si="0"/>
        <v>1</v>
      </c>
      <c r="P19" s="15">
        <f t="shared" si="1"/>
        <v>14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1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16</v>
      </c>
      <c r="AD19" s="17">
        <f t="shared" si="11"/>
        <v>0</v>
      </c>
      <c r="AE19" s="31">
        <f t="shared" si="11"/>
        <v>8</v>
      </c>
      <c r="AF19" s="31">
        <f t="shared" si="11"/>
        <v>24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f>SUM('[1]RD130 MCC'!R304:U304)</f>
        <v>0</v>
      </c>
      <c r="M20" s="50">
        <v>4</v>
      </c>
      <c r="N20" s="50">
        <v>0</v>
      </c>
      <c r="O20" s="15">
        <f t="shared" si="0"/>
        <v>2</v>
      </c>
      <c r="P20" s="15">
        <f t="shared" si="1"/>
        <v>6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4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11</v>
      </c>
      <c r="AF20" s="31">
        <f t="shared" si="12"/>
        <v>28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MCC'!R305:U305)</f>
        <v>0</v>
      </c>
      <c r="M21" s="50">
        <v>0</v>
      </c>
      <c r="N21" s="50">
        <v>0</v>
      </c>
      <c r="O21" s="15">
        <f t="shared" si="0"/>
        <v>1</v>
      </c>
      <c r="P21" s="15">
        <f t="shared" si="1"/>
        <v>1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8</v>
      </c>
      <c r="AF21" s="31">
        <f t="shared" si="13"/>
        <v>18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MCC'!R306:U306)</f>
        <v>0</v>
      </c>
      <c r="M22" s="50">
        <v>3</v>
      </c>
      <c r="N22" s="50">
        <v>0</v>
      </c>
      <c r="O22" s="15">
        <f t="shared" si="0"/>
        <v>2</v>
      </c>
      <c r="P22" s="15">
        <f t="shared" si="1"/>
        <v>5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19</v>
      </c>
      <c r="AD22" s="34">
        <f t="shared" si="14"/>
        <v>0</v>
      </c>
      <c r="AE22" s="31">
        <f t="shared" si="14"/>
        <v>7</v>
      </c>
      <c r="AF22" s="31">
        <f t="shared" si="14"/>
        <v>26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MCC'!R307:U307)</f>
        <v>0</v>
      </c>
      <c r="M23" s="50">
        <v>4</v>
      </c>
      <c r="N23" s="50">
        <v>0</v>
      </c>
      <c r="O23" s="15">
        <f t="shared" si="0"/>
        <v>2</v>
      </c>
      <c r="P23" s="15">
        <f t="shared" si="1"/>
        <v>6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20</v>
      </c>
      <c r="AD23" s="34">
        <f t="shared" si="15"/>
        <v>0</v>
      </c>
      <c r="AE23" s="31">
        <f t="shared" si="15"/>
        <v>4</v>
      </c>
      <c r="AF23" s="31">
        <f t="shared" si="15"/>
        <v>24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f>SUM('[1]RD130 MCC'!R308:U308)</f>
        <v>0</v>
      </c>
      <c r="M24" s="50">
        <v>0</v>
      </c>
      <c r="N24" s="50">
        <v>0</v>
      </c>
      <c r="O24" s="15">
        <f t="shared" si="0"/>
        <v>2</v>
      </c>
      <c r="P24" s="15">
        <f t="shared" si="1"/>
        <v>2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11</v>
      </c>
      <c r="AD24" s="34">
        <f t="shared" si="16"/>
        <v>0</v>
      </c>
      <c r="AE24" s="31">
        <f t="shared" si="16"/>
        <v>0</v>
      </c>
      <c r="AF24" s="31">
        <f t="shared" si="16"/>
        <v>11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MCC'!R309:U309)</f>
        <v>0</v>
      </c>
      <c r="M25" s="50">
        <v>10</v>
      </c>
      <c r="N25" s="50">
        <v>0</v>
      </c>
      <c r="O25" s="15">
        <f t="shared" si="0"/>
        <v>0</v>
      </c>
      <c r="P25" s="15">
        <f t="shared" si="1"/>
        <v>10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2</v>
      </c>
      <c r="AF25" s="31">
        <f t="shared" si="17"/>
        <v>6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f>SUM('[1]RD130 MCC'!R310:U310)</f>
        <v>0</v>
      </c>
      <c r="M26" s="50">
        <v>4</v>
      </c>
      <c r="N26" s="50">
        <v>0</v>
      </c>
      <c r="O26" s="15">
        <f t="shared" si="0"/>
        <v>3</v>
      </c>
      <c r="P26" s="15">
        <f t="shared" si="1"/>
        <v>7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4</v>
      </c>
      <c r="AD26" s="34">
        <f t="shared" si="18"/>
        <v>0</v>
      </c>
      <c r="AE26" s="31">
        <f t="shared" si="18"/>
        <v>2</v>
      </c>
      <c r="AF26" s="31">
        <f t="shared" si="18"/>
        <v>6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MCC'!R311:U311)</f>
        <v>0</v>
      </c>
      <c r="M27" s="50">
        <v>3</v>
      </c>
      <c r="N27" s="50">
        <v>0</v>
      </c>
      <c r="O27" s="15">
        <f t="shared" si="0"/>
        <v>0</v>
      </c>
      <c r="P27" s="15">
        <f t="shared" si="1"/>
        <v>3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MCC'!R312:U312)</f>
        <v>0</v>
      </c>
      <c r="M28" s="50">
        <v>8</v>
      </c>
      <c r="N28" s="50">
        <v>0</v>
      </c>
      <c r="O28" s="15">
        <f t="shared" si="0"/>
        <v>4</v>
      </c>
      <c r="P28" s="15">
        <f t="shared" si="1"/>
        <v>12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f>SUM('[1]RD130 MCC'!R313:U313)</f>
        <v>0</v>
      </c>
      <c r="M29" s="50">
        <v>0</v>
      </c>
      <c r="N29" s="50">
        <v>0</v>
      </c>
      <c r="O29" s="15">
        <f t="shared" si="0"/>
        <v>1</v>
      </c>
      <c r="P29" s="15">
        <f t="shared" si="1"/>
        <v>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f>SUM('[1]RD130 MCC'!R314:U314)</f>
        <v>0</v>
      </c>
      <c r="M30" s="50">
        <v>0</v>
      </c>
      <c r="N30" s="50">
        <v>0</v>
      </c>
      <c r="O30" s="15">
        <f t="shared" si="0"/>
        <v>1</v>
      </c>
      <c r="P30" s="15">
        <f t="shared" si="1"/>
        <v>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MCC'!R315:U315)</f>
        <v>0</v>
      </c>
      <c r="M31" s="50">
        <v>6</v>
      </c>
      <c r="N31" s="50">
        <v>0</v>
      </c>
      <c r="O31" s="15">
        <f t="shared" si="0"/>
        <v>0</v>
      </c>
      <c r="P31" s="15">
        <f t="shared" si="1"/>
        <v>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MCC'!R316:U316)</f>
        <v>0</v>
      </c>
      <c r="M32" s="50">
        <v>4</v>
      </c>
      <c r="N32" s="50">
        <v>0</v>
      </c>
      <c r="O32" s="15">
        <f t="shared" si="0"/>
        <v>3</v>
      </c>
      <c r="P32" s="15">
        <f t="shared" si="1"/>
        <v>7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f>SUM('[1]RD130 MCC'!R317:U317)</f>
        <v>0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</v>
      </c>
      <c r="AD33" s="34">
        <f t="shared" si="25"/>
        <v>0</v>
      </c>
      <c r="AE33" s="31">
        <f t="shared" si="25"/>
        <v>1</v>
      </c>
      <c r="AF33" s="31">
        <f t="shared" si="25"/>
        <v>2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MCC'!R318:U318)</f>
        <v>0</v>
      </c>
      <c r="M34" s="50">
        <v>6</v>
      </c>
      <c r="N34" s="50">
        <v>0</v>
      </c>
      <c r="O34" s="15">
        <f t="shared" si="0"/>
        <v>3</v>
      </c>
      <c r="P34" s="15">
        <f t="shared" si="1"/>
        <v>9</v>
      </c>
      <c r="R34" s="38" t="s">
        <v>90</v>
      </c>
      <c r="S34" s="39">
        <f t="shared" ref="S34:AF34" si="26">MAX(S10:S12)</f>
        <v>0</v>
      </c>
      <c r="T34" s="39">
        <f t="shared" si="26"/>
        <v>0</v>
      </c>
      <c r="U34" s="39">
        <f t="shared" si="26"/>
        <v>0</v>
      </c>
      <c r="V34" s="39">
        <f t="shared" si="26"/>
        <v>3</v>
      </c>
      <c r="W34" s="39">
        <f t="shared" si="26"/>
        <v>0</v>
      </c>
      <c r="X34" s="39">
        <f t="shared" si="26"/>
        <v>0</v>
      </c>
      <c r="Y34" s="39">
        <f t="shared" si="26"/>
        <v>1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17</v>
      </c>
      <c r="AD34" s="39">
        <f t="shared" si="26"/>
        <v>0</v>
      </c>
      <c r="AE34" s="40">
        <f t="shared" si="26"/>
        <v>4</v>
      </c>
      <c r="AF34" s="40">
        <f t="shared" si="26"/>
        <v>21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f>SUM('[1]RD130 MCC'!R319:U319)</f>
        <v>0</v>
      </c>
      <c r="M35" s="50">
        <v>1</v>
      </c>
      <c r="N35" s="50">
        <v>0</v>
      </c>
      <c r="O35" s="15">
        <f t="shared" si="0"/>
        <v>3</v>
      </c>
      <c r="P35" s="15">
        <f t="shared" si="1"/>
        <v>4</v>
      </c>
      <c r="R35" s="38" t="s">
        <v>91</v>
      </c>
      <c r="S35" s="39">
        <f t="shared" ref="S35:AF35" si="27">MAX(S13:S18)</f>
        <v>3</v>
      </c>
      <c r="T35" s="39">
        <f t="shared" si="27"/>
        <v>0</v>
      </c>
      <c r="U35" s="39">
        <f t="shared" si="27"/>
        <v>3</v>
      </c>
      <c r="V35" s="39">
        <f t="shared" si="27"/>
        <v>6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17</v>
      </c>
      <c r="AD35" s="39">
        <f t="shared" si="27"/>
        <v>0</v>
      </c>
      <c r="AE35" s="40">
        <f t="shared" si="27"/>
        <v>13</v>
      </c>
      <c r="AF35" s="40">
        <f t="shared" si="27"/>
        <v>27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MCC'!R320:U320)</f>
        <v>0</v>
      </c>
      <c r="M36" s="50">
        <v>4</v>
      </c>
      <c r="N36" s="50">
        <v>0</v>
      </c>
      <c r="O36" s="15">
        <f t="shared" si="0"/>
        <v>2</v>
      </c>
      <c r="P36" s="15">
        <f t="shared" si="1"/>
        <v>6</v>
      </c>
      <c r="R36" s="38" t="s">
        <v>92</v>
      </c>
      <c r="S36" s="39">
        <f t="shared" ref="S36:AF36" si="28">MAX(S19:S21)</f>
        <v>1</v>
      </c>
      <c r="T36" s="39">
        <f t="shared" si="28"/>
        <v>0</v>
      </c>
      <c r="U36" s="39">
        <f t="shared" si="28"/>
        <v>4</v>
      </c>
      <c r="V36" s="39">
        <f t="shared" si="28"/>
        <v>7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17</v>
      </c>
      <c r="AD36" s="39">
        <f t="shared" si="28"/>
        <v>0</v>
      </c>
      <c r="AE36" s="40">
        <f t="shared" si="28"/>
        <v>11</v>
      </c>
      <c r="AF36" s="40">
        <f t="shared" si="28"/>
        <v>28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f>SUM('[1]RD130 MCC'!R321:U321)</f>
        <v>0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  <c r="R37" s="37" t="s">
        <v>85</v>
      </c>
      <c r="S37" s="35">
        <f t="shared" ref="S37:AF37" si="29">SUM(S10:S12)</f>
        <v>0</v>
      </c>
      <c r="T37" s="16">
        <f t="shared" si="29"/>
        <v>0</v>
      </c>
      <c r="U37" s="16">
        <f t="shared" si="29"/>
        <v>0</v>
      </c>
      <c r="V37" s="16">
        <f t="shared" si="29"/>
        <v>5</v>
      </c>
      <c r="W37" s="16">
        <f t="shared" si="29"/>
        <v>0</v>
      </c>
      <c r="X37" s="16">
        <f t="shared" si="29"/>
        <v>0</v>
      </c>
      <c r="Y37" s="16">
        <f t="shared" si="29"/>
        <v>2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28</v>
      </c>
      <c r="AD37" s="16">
        <f t="shared" si="29"/>
        <v>0</v>
      </c>
      <c r="AE37" s="32">
        <f t="shared" si="29"/>
        <v>7</v>
      </c>
      <c r="AF37" s="32">
        <f t="shared" si="29"/>
        <v>35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MCC'!R322:U322)</f>
        <v>0</v>
      </c>
      <c r="M38" s="50">
        <v>0</v>
      </c>
      <c r="N38" s="50">
        <v>0</v>
      </c>
      <c r="O38" s="15">
        <f t="shared" si="0"/>
        <v>3</v>
      </c>
      <c r="P38" s="15">
        <f t="shared" si="1"/>
        <v>3</v>
      </c>
      <c r="R38" s="28" t="s">
        <v>86</v>
      </c>
      <c r="S38" s="16">
        <f t="shared" ref="S38:AF38" si="30">SUM(S13:S18)</f>
        <v>5</v>
      </c>
      <c r="T38" s="16">
        <f t="shared" si="30"/>
        <v>0</v>
      </c>
      <c r="U38" s="16">
        <f t="shared" si="30"/>
        <v>12</v>
      </c>
      <c r="V38" s="16">
        <f t="shared" si="30"/>
        <v>26</v>
      </c>
      <c r="W38" s="16">
        <f t="shared" si="30"/>
        <v>0</v>
      </c>
      <c r="X38" s="16">
        <f t="shared" si="30"/>
        <v>0</v>
      </c>
      <c r="Y38" s="16">
        <f t="shared" si="30"/>
        <v>9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80</v>
      </c>
      <c r="AD38" s="16">
        <f t="shared" si="30"/>
        <v>0</v>
      </c>
      <c r="AE38" s="32">
        <f t="shared" si="30"/>
        <v>52</v>
      </c>
      <c r="AF38" s="32">
        <f t="shared" si="30"/>
        <v>132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MCC'!R323:U323)</f>
        <v>0</v>
      </c>
      <c r="M39" s="50">
        <v>8</v>
      </c>
      <c r="N39" s="50">
        <v>0</v>
      </c>
      <c r="O39" s="15">
        <f t="shared" si="0"/>
        <v>5</v>
      </c>
      <c r="P39" s="15">
        <f t="shared" si="1"/>
        <v>13</v>
      </c>
      <c r="R39" s="29" t="s">
        <v>87</v>
      </c>
      <c r="S39" s="16">
        <f t="shared" ref="S39:AF39" si="31">SUM(S19:S21)</f>
        <v>2</v>
      </c>
      <c r="T39" s="16">
        <f t="shared" si="31"/>
        <v>0</v>
      </c>
      <c r="U39" s="16">
        <f t="shared" si="31"/>
        <v>5</v>
      </c>
      <c r="V39" s="16">
        <f t="shared" si="31"/>
        <v>13</v>
      </c>
      <c r="W39" s="16">
        <f t="shared" si="31"/>
        <v>0</v>
      </c>
      <c r="X39" s="16">
        <f t="shared" si="31"/>
        <v>0</v>
      </c>
      <c r="Y39" s="16">
        <f t="shared" si="31"/>
        <v>7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43</v>
      </c>
      <c r="AD39" s="16">
        <f t="shared" si="31"/>
        <v>0</v>
      </c>
      <c r="AE39" s="32">
        <f t="shared" si="31"/>
        <v>27</v>
      </c>
      <c r="AF39" s="32">
        <f t="shared" si="31"/>
        <v>70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f>SUM('[1]RD130 MCC'!R324:U324)</f>
        <v>0</v>
      </c>
      <c r="M40" s="50">
        <v>6</v>
      </c>
      <c r="N40" s="50">
        <v>0</v>
      </c>
      <c r="O40" s="15">
        <f t="shared" si="0"/>
        <v>2</v>
      </c>
      <c r="P40" s="15">
        <f t="shared" si="1"/>
        <v>8</v>
      </c>
      <c r="R40" s="5" t="s">
        <v>17</v>
      </c>
      <c r="S40" s="16">
        <f t="shared" ref="S40:AF40" si="32">SUM(S10:S21)</f>
        <v>7</v>
      </c>
      <c r="T40" s="16">
        <f t="shared" si="32"/>
        <v>0</v>
      </c>
      <c r="U40" s="16">
        <f t="shared" si="32"/>
        <v>17</v>
      </c>
      <c r="V40" s="16">
        <f t="shared" si="32"/>
        <v>44</v>
      </c>
      <c r="W40" s="16">
        <f t="shared" si="32"/>
        <v>0</v>
      </c>
      <c r="X40" s="16">
        <f t="shared" si="32"/>
        <v>0</v>
      </c>
      <c r="Y40" s="16">
        <f t="shared" si="32"/>
        <v>18</v>
      </c>
      <c r="Z40" s="16">
        <f t="shared" si="32"/>
        <v>0</v>
      </c>
      <c r="AA40" s="16">
        <f t="shared" si="32"/>
        <v>0</v>
      </c>
      <c r="AB40" s="16">
        <f t="shared" si="32"/>
        <v>0</v>
      </c>
      <c r="AC40" s="16">
        <f t="shared" si="32"/>
        <v>151</v>
      </c>
      <c r="AD40" s="16">
        <f t="shared" si="32"/>
        <v>0</v>
      </c>
      <c r="AE40" s="32">
        <f t="shared" si="32"/>
        <v>86</v>
      </c>
      <c r="AF40" s="32">
        <f t="shared" si="32"/>
        <v>237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f>SUM('[1]RD130 MCC'!R325:U325)</f>
        <v>0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  <c r="R41" s="5" t="s">
        <v>159</v>
      </c>
      <c r="S41" s="16">
        <f>SUM(S10:S33)</f>
        <v>9</v>
      </c>
      <c r="T41" s="16">
        <f t="shared" ref="T41:AF41" si="33">SUM(T10:T33)</f>
        <v>0</v>
      </c>
      <c r="U41" s="16">
        <f t="shared" si="33"/>
        <v>21</v>
      </c>
      <c r="V41" s="16">
        <f t="shared" si="33"/>
        <v>48</v>
      </c>
      <c r="W41" s="16">
        <f t="shared" si="33"/>
        <v>0</v>
      </c>
      <c r="X41" s="16">
        <f t="shared" si="33"/>
        <v>0</v>
      </c>
      <c r="Y41" s="16">
        <f t="shared" si="33"/>
        <v>24</v>
      </c>
      <c r="Z41" s="16">
        <f t="shared" si="33"/>
        <v>0</v>
      </c>
      <c r="AA41" s="16">
        <f t="shared" si="33"/>
        <v>0</v>
      </c>
      <c r="AB41" s="16">
        <f t="shared" si="33"/>
        <v>0</v>
      </c>
      <c r="AC41" s="16">
        <f t="shared" si="33"/>
        <v>210</v>
      </c>
      <c r="AD41" s="16">
        <f t="shared" si="33"/>
        <v>0</v>
      </c>
      <c r="AE41" s="32">
        <f t="shared" si="33"/>
        <v>102</v>
      </c>
      <c r="AF41" s="32">
        <f t="shared" si="33"/>
        <v>312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MCC'!R326:U326)</f>
        <v>0</v>
      </c>
      <c r="M42" s="50">
        <v>4</v>
      </c>
      <c r="N42" s="50">
        <v>0</v>
      </c>
      <c r="O42" s="15">
        <f t="shared" si="0"/>
        <v>3</v>
      </c>
      <c r="P42" s="15">
        <f t="shared" si="1"/>
        <v>7</v>
      </c>
      <c r="R42" s="5" t="s">
        <v>160</v>
      </c>
      <c r="S42" s="48">
        <f>S41/S40</f>
        <v>1.2857142857142858</v>
      </c>
      <c r="T42" s="48" t="e">
        <f t="shared" ref="T42:AF42" si="34">T41/T40</f>
        <v>#DIV/0!</v>
      </c>
      <c r="U42" s="48">
        <f t="shared" si="34"/>
        <v>1.2352941176470589</v>
      </c>
      <c r="V42" s="48">
        <f t="shared" si="34"/>
        <v>1.0909090909090908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1.3333333333333333</v>
      </c>
      <c r="Z42" s="48" t="e">
        <f t="shared" si="34"/>
        <v>#DIV/0!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1.3907284768211921</v>
      </c>
      <c r="AD42" s="48" t="e">
        <f t="shared" si="34"/>
        <v>#DIV/0!</v>
      </c>
      <c r="AE42" s="48">
        <f t="shared" si="34"/>
        <v>1.1860465116279071</v>
      </c>
      <c r="AF42" s="48">
        <f t="shared" si="34"/>
        <v>1.3164556962025316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MCC'!R327:U327)</f>
        <v>0</v>
      </c>
      <c r="M43" s="50">
        <v>3</v>
      </c>
      <c r="N43" s="50">
        <v>0</v>
      </c>
      <c r="O43" s="15">
        <f t="shared" si="0"/>
        <v>2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MCC'!R328:U328)</f>
        <v>0</v>
      </c>
      <c r="M44" s="50">
        <v>4</v>
      </c>
      <c r="N44" s="50">
        <v>0</v>
      </c>
      <c r="O44" s="15">
        <f t="shared" si="0"/>
        <v>0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f>SUM('[1]RD130 MCC'!R329:U329)</f>
        <v>0</v>
      </c>
      <c r="M45" s="50">
        <v>0</v>
      </c>
      <c r="N45" s="50">
        <v>0</v>
      </c>
      <c r="O45" s="15">
        <f t="shared" si="0"/>
        <v>4</v>
      </c>
      <c r="P45" s="15">
        <f t="shared" si="1"/>
        <v>4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MCC'!R330:U330)</f>
        <v>0</v>
      </c>
      <c r="M46" s="50">
        <v>3</v>
      </c>
      <c r="N46" s="50">
        <v>0</v>
      </c>
      <c r="O46" s="15">
        <f t="shared" si="0"/>
        <v>1</v>
      </c>
      <c r="P46" s="15">
        <f t="shared" si="1"/>
        <v>4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2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f>SUM('[1]RD130 MCC'!R331:U331)</f>
        <v>0</v>
      </c>
      <c r="M47" s="50">
        <v>0</v>
      </c>
      <c r="N47" s="50">
        <v>0</v>
      </c>
      <c r="O47" s="15">
        <f t="shared" si="0"/>
        <v>5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f>SUM('[1]RD130 MCC'!R332:U332)</f>
        <v>0</v>
      </c>
      <c r="M48" s="50">
        <v>5</v>
      </c>
      <c r="N48" s="50">
        <v>0</v>
      </c>
      <c r="O48" s="15">
        <f t="shared" si="0"/>
        <v>2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MCC'!R333:U333)</f>
        <v>0</v>
      </c>
      <c r="M49" s="50">
        <v>8</v>
      </c>
      <c r="N49" s="50">
        <v>0</v>
      </c>
      <c r="O49" s="15">
        <f t="shared" si="0"/>
        <v>0</v>
      </c>
      <c r="P49" s="15">
        <f t="shared" si="1"/>
        <v>8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f>SUM('[1]RD130 MCC'!R334:U334)</f>
        <v>0</v>
      </c>
      <c r="M50" s="50">
        <v>4</v>
      </c>
      <c r="N50" s="50">
        <v>0</v>
      </c>
      <c r="O50" s="15">
        <f t="shared" si="0"/>
        <v>4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MCC'!R335:U335)</f>
        <v>0</v>
      </c>
      <c r="M51" s="50">
        <v>4</v>
      </c>
      <c r="N51" s="50">
        <v>0</v>
      </c>
      <c r="O51" s="15">
        <f t="shared" si="0"/>
        <v>1</v>
      </c>
      <c r="P51" s="15">
        <f t="shared" si="1"/>
        <v>5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f>SUM('[1]RD130 MCC'!R336:U336)</f>
        <v>0</v>
      </c>
      <c r="M52" s="50">
        <v>3</v>
      </c>
      <c r="N52" s="50">
        <v>0</v>
      </c>
      <c r="O52" s="15">
        <f t="shared" si="0"/>
        <v>5</v>
      </c>
      <c r="P52" s="15">
        <f t="shared" si="1"/>
        <v>8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MCC'!R337:U337)</f>
        <v>0</v>
      </c>
      <c r="M53" s="50">
        <v>6</v>
      </c>
      <c r="N53" s="50">
        <v>0</v>
      </c>
      <c r="O53" s="15">
        <f t="shared" si="0"/>
        <v>1</v>
      </c>
      <c r="P53" s="15">
        <f t="shared" si="1"/>
        <v>7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MCC'!R338:U338)</f>
        <v>0</v>
      </c>
      <c r="M54" s="50">
        <v>4</v>
      </c>
      <c r="N54" s="50">
        <v>0</v>
      </c>
      <c r="O54" s="15">
        <f t="shared" si="0"/>
        <v>3</v>
      </c>
      <c r="P54" s="15">
        <f t="shared" si="1"/>
        <v>7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MCC'!R339:U339)</f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MCC'!R340:U340)</f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f>SUM('[1]RD130 MCC'!R341:U341)</f>
        <v>0</v>
      </c>
      <c r="M57" s="50">
        <v>6</v>
      </c>
      <c r="N57" s="50">
        <v>0</v>
      </c>
      <c r="O57" s="15">
        <f t="shared" si="0"/>
        <v>4</v>
      </c>
      <c r="P57" s="15">
        <f t="shared" si="1"/>
        <v>10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f>SUM('[1]RD130 MCC'!R342:U342)</f>
        <v>0</v>
      </c>
      <c r="M58" s="50">
        <v>7</v>
      </c>
      <c r="N58" s="50">
        <v>0</v>
      </c>
      <c r="O58" s="15">
        <f t="shared" si="0"/>
        <v>1</v>
      </c>
      <c r="P58" s="15">
        <f t="shared" si="1"/>
        <v>8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1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f>SUM('[1]RD130 MCC'!R343:U343)</f>
        <v>0</v>
      </c>
      <c r="M59" s="50">
        <v>5</v>
      </c>
      <c r="N59" s="50">
        <v>0</v>
      </c>
      <c r="O59" s="15">
        <f t="shared" si="0"/>
        <v>2</v>
      </c>
      <c r="P59" s="15">
        <f t="shared" si="1"/>
        <v>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f>SUM('[1]RD130 MCC'!R344:U344)</f>
        <v>0</v>
      </c>
      <c r="M60" s="50">
        <v>4</v>
      </c>
      <c r="N60" s="50">
        <v>0</v>
      </c>
      <c r="O60" s="15">
        <f t="shared" si="0"/>
        <v>3</v>
      </c>
      <c r="P60" s="15">
        <f t="shared" si="1"/>
        <v>7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f>SUM('[1]RD130 MCC'!R345:U345)</f>
        <v>0</v>
      </c>
      <c r="M61" s="50">
        <v>3</v>
      </c>
      <c r="N61" s="50">
        <v>0</v>
      </c>
      <c r="O61" s="15">
        <f t="shared" si="0"/>
        <v>1</v>
      </c>
      <c r="P61" s="15">
        <f t="shared" si="1"/>
        <v>4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f>SUM('[1]RD130 MCC'!R346:U346)</f>
        <v>0</v>
      </c>
      <c r="M62" s="50">
        <v>4</v>
      </c>
      <c r="N62" s="50">
        <v>0</v>
      </c>
      <c r="O62" s="15">
        <f t="shared" si="0"/>
        <v>2</v>
      </c>
      <c r="P62" s="15">
        <f t="shared" si="1"/>
        <v>6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f>SUM('[1]RD130 MCC'!R347:U347)</f>
        <v>0</v>
      </c>
      <c r="M63" s="50">
        <v>6</v>
      </c>
      <c r="N63" s="50">
        <v>0</v>
      </c>
      <c r="O63" s="15">
        <f t="shared" si="0"/>
        <v>0</v>
      </c>
      <c r="P63" s="15">
        <f t="shared" si="1"/>
        <v>6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f>SUM('[1]RD130 MCC'!R348:U348)</f>
        <v>0</v>
      </c>
      <c r="M64" s="50">
        <v>5</v>
      </c>
      <c r="N64" s="50">
        <v>0</v>
      </c>
      <c r="O64" s="15">
        <f t="shared" si="0"/>
        <v>1</v>
      </c>
      <c r="P64" s="15">
        <f t="shared" si="1"/>
        <v>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f>SUM('[1]RD130 MCC'!R349:U349)</f>
        <v>0</v>
      </c>
      <c r="M65" s="50">
        <v>5</v>
      </c>
      <c r="N65" s="50">
        <v>0</v>
      </c>
      <c r="O65" s="15">
        <f t="shared" si="0"/>
        <v>1</v>
      </c>
      <c r="P65" s="15">
        <f t="shared" si="1"/>
        <v>6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f>SUM('[1]RD130 MCC'!R350:U350)</f>
        <v>0</v>
      </c>
      <c r="M66" s="50">
        <v>4</v>
      </c>
      <c r="N66" s="50">
        <v>0</v>
      </c>
      <c r="O66" s="15">
        <f t="shared" si="0"/>
        <v>0</v>
      </c>
      <c r="P66" s="15">
        <f t="shared" si="1"/>
        <v>4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f>SUM('[1]RD130 MCC'!R351:U351)</f>
        <v>0</v>
      </c>
      <c r="M67" s="50">
        <v>2</v>
      </c>
      <c r="N67" s="50">
        <v>0</v>
      </c>
      <c r="O67" s="15">
        <f t="shared" si="0"/>
        <v>0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f>SUM('[1]RD130 MCC'!R352:U352)</f>
        <v>0</v>
      </c>
      <c r="M68" s="50">
        <v>4</v>
      </c>
      <c r="N68" s="50">
        <v>0</v>
      </c>
      <c r="O68" s="15">
        <f t="shared" si="0"/>
        <v>0</v>
      </c>
      <c r="P68" s="15">
        <f t="shared" si="1"/>
        <v>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f>SUM('[1]RD130 MCC'!R353:U353)</f>
        <v>0</v>
      </c>
      <c r="M69" s="50">
        <v>1</v>
      </c>
      <c r="N69" s="50"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f>SUM('[1]RD130 MCC'!R354:U354)</f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f>SUM('[1]RD130 MCC'!R355:U355)</f>
        <v>0</v>
      </c>
      <c r="M71" s="50">
        <v>3</v>
      </c>
      <c r="N71" s="50">
        <v>0</v>
      </c>
      <c r="O71" s="15">
        <f t="shared" si="0"/>
        <v>2</v>
      </c>
      <c r="P71" s="15">
        <f t="shared" si="1"/>
        <v>5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f>SUM('[1]RD130 MCC'!R356:U356)</f>
        <v>0</v>
      </c>
      <c r="M72" s="50">
        <v>0</v>
      </c>
      <c r="N72" s="50">
        <v>0</v>
      </c>
      <c r="O72" s="15">
        <f t="shared" si="0"/>
        <v>0</v>
      </c>
      <c r="P72" s="15">
        <f t="shared" si="1"/>
        <v>0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f>SUM('[1]RD130 MCC'!R357:U357)</f>
        <v>0</v>
      </c>
      <c r="M73" s="50">
        <v>1</v>
      </c>
      <c r="N73" s="50">
        <v>0</v>
      </c>
      <c r="O73" s="15">
        <f t="shared" si="0"/>
        <v>0</v>
      </c>
      <c r="P73" s="15">
        <f t="shared" si="1"/>
        <v>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f>SUM('[1]RD130 MCC'!R358:U358)</f>
        <v>0</v>
      </c>
      <c r="M74" s="50">
        <v>1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f>SUM('[1]RD130 MCC'!R359:U359)</f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f>SUM('[1]RD130 MCC'!R360:U360)</f>
        <v>0</v>
      </c>
      <c r="M76" s="50">
        <v>2</v>
      </c>
      <c r="N76" s="50">
        <v>0</v>
      </c>
      <c r="O76" s="15">
        <f t="shared" si="35"/>
        <v>0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f>SUM('[1]RD130 MCC'!R361:U361)</f>
        <v>0</v>
      </c>
      <c r="M77" s="50">
        <v>1</v>
      </c>
      <c r="N77" s="50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f>SUM('[1]RD130 MCC'!R362:U362)</f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f>SUM('[1]RD130 MCC'!R363:U363)</f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f>SUM('[1]RD130 MCC'!R364:U364)</f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f>SUM('[1]RD130 MCC'!R365:U365)</f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f>SUM('[1]RD130 MCC'!R366:U366)</f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f>SUM('[1]RD130 MCC'!R367:U367)</f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f>SUM('[1]RD130 MCC'!R368:U368)</f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f>SUM('[1]RD130 MCC'!R369:U369)</f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f>SUM('[1]RD130 MCC'!R370:U370)</f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f>SUM('[1]RD130 MCC'!R371:U371)</f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f>SUM('[1]RD130 MCC'!R372:U372)</f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f>SUM('[1]RD130 MCC'!R373:U373)</f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f>SUM('[1]RD130 MCC'!R374:U374)</f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f>SUM('[1]RD130 MCC'!R375:U375)</f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f>SUM('[1]RD130 MCC'!R376:U376)</f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f>SUM('[1]RD130 MCC'!R377:U377)</f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f>SUM('[1]RD130 MCC'!R378:U378)</f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f>SUM('[1]RD130 MCC'!R379:U379)</f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f>SUM('[1]RD130 MCC'!R380:U380)</f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f>SUM('[1]RD130 MCC'!R381:U381)</f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f>SUM('[1]RD130 MCC'!R382:U382)</f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f>SUM('[1]RD130 MCC'!R383:U383)</f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f>SUM('[1]RD130 MCC'!R384:U384)</f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f>SUM('[1]RD130 MCC'!R385:U385)</f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f>SUM('[1]RD130 MCC'!R386:U386)</f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f>SUM('[1]RD130 MCC'!R387:U387)</f>
        <v>0</v>
      </c>
      <c r="M103" s="50">
        <v>0</v>
      </c>
      <c r="N103" s="50">
        <v>0</v>
      </c>
      <c r="O103" s="15">
        <f t="shared" si="35"/>
        <v>1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f>SUM('[1]RD130 MCC'!R388:U388)</f>
        <v>0</v>
      </c>
      <c r="M104" s="50">
        <v>1</v>
      </c>
      <c r="N104" s="50">
        <v>0</v>
      </c>
      <c r="O104" s="15">
        <f t="shared" si="35"/>
        <v>0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f>SUM('[1]RD130 MCC'!R389:U389)</f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</v>
      </c>
      <c r="D106" s="16">
        <f t="shared" ref="D106:P106" si="37">SUM(D10:D105)</f>
        <v>0</v>
      </c>
      <c r="E106" s="16">
        <f t="shared" si="37"/>
        <v>21</v>
      </c>
      <c r="F106" s="16">
        <f t="shared" si="37"/>
        <v>48</v>
      </c>
      <c r="G106" s="16">
        <f t="shared" si="37"/>
        <v>0</v>
      </c>
      <c r="H106" s="16">
        <f t="shared" si="37"/>
        <v>0</v>
      </c>
      <c r="I106" s="16">
        <f t="shared" si="37"/>
        <v>24</v>
      </c>
      <c r="J106" s="16">
        <f t="shared" si="37"/>
        <v>0</v>
      </c>
      <c r="K106" s="16">
        <f t="shared" si="37"/>
        <v>0</v>
      </c>
      <c r="L106" s="16">
        <f t="shared" si="37"/>
        <v>0</v>
      </c>
      <c r="M106" s="16">
        <f t="shared" si="37"/>
        <v>210</v>
      </c>
      <c r="N106" s="16">
        <f t="shared" si="37"/>
        <v>0</v>
      </c>
      <c r="O106" s="16">
        <f t="shared" si="37"/>
        <v>102</v>
      </c>
      <c r="P106" s="16">
        <f t="shared" si="37"/>
        <v>312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2.8846153846153848E-2</v>
      </c>
      <c r="D107" s="43">
        <f t="shared" si="38"/>
        <v>0</v>
      </c>
      <c r="E107" s="43">
        <f t="shared" si="38"/>
        <v>6.7307692307692304E-2</v>
      </c>
      <c r="F107" s="43">
        <f t="shared" si="38"/>
        <v>0.15384615384615385</v>
      </c>
      <c r="G107" s="43">
        <f t="shared" si="38"/>
        <v>0</v>
      </c>
      <c r="H107" s="43">
        <f t="shared" si="38"/>
        <v>0</v>
      </c>
      <c r="I107" s="43">
        <f t="shared" si="38"/>
        <v>7.6923076923076927E-2</v>
      </c>
      <c r="J107" s="43">
        <f t="shared" si="38"/>
        <v>0</v>
      </c>
      <c r="K107" s="43">
        <f t="shared" si="38"/>
        <v>0</v>
      </c>
      <c r="L107" s="43">
        <f t="shared" si="38"/>
        <v>0</v>
      </c>
      <c r="M107" s="43">
        <f t="shared" si="38"/>
        <v>0.67307692307692313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8.8235294117647065E-2</v>
      </c>
      <c r="D108" s="44">
        <f t="shared" ref="D108:N108" si="39">D106/$O$106</f>
        <v>0</v>
      </c>
      <c r="E108" s="44">
        <f t="shared" si="39"/>
        <v>0.20588235294117646</v>
      </c>
      <c r="F108" s="44">
        <f t="shared" si="39"/>
        <v>0.47058823529411764</v>
      </c>
      <c r="G108" s="44">
        <f t="shared" si="39"/>
        <v>0</v>
      </c>
      <c r="H108" s="44">
        <f t="shared" si="39"/>
        <v>0</v>
      </c>
      <c r="I108" s="44">
        <f t="shared" si="39"/>
        <v>0.23529411764705882</v>
      </c>
      <c r="J108" s="44">
        <f t="shared" si="39"/>
        <v>0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91" zoomScale="60" workbookViewId="0">
      <selection activeCell="I80" sqref="I8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 t="str">
        <f>'02.08 Palabek-Atiak-24h'!G5:H5</f>
        <v>xxx</v>
      </c>
      <c r="H5" s="64"/>
      <c r="I5" s="14"/>
      <c r="J5" s="2" t="s">
        <v>5</v>
      </c>
      <c r="K5" s="63" t="str">
        <f>'02.08 Palabek-Atiak-24h'!K5:L5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Atiak-Palabek'!D6:E6</f>
        <v>Atiak</v>
      </c>
      <c r="E6" s="64"/>
      <c r="F6" s="2" t="s">
        <v>2</v>
      </c>
      <c r="G6" s="63" t="str">
        <f>'31.07 Atiak-Palabek'!G6:H6</f>
        <v>Palabek</v>
      </c>
      <c r="H6" s="64"/>
      <c r="J6" s="2" t="s">
        <v>21</v>
      </c>
      <c r="K6" s="63" t="str">
        <f>'02.08 Palabek-Atiak-24h'!K6:L6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MCC'!R390:U390)</f>
        <v>0</v>
      </c>
      <c r="M10" s="50">
        <v>1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0</v>
      </c>
      <c r="AF10" s="31">
        <f t="shared" si="2"/>
        <v>11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MCC'!R391:U391)</f>
        <v>0</v>
      </c>
      <c r="M11" s="50">
        <v>5</v>
      </c>
      <c r="N11" s="50">
        <v>0</v>
      </c>
      <c r="O11" s="15">
        <f t="shared" si="0"/>
        <v>0</v>
      </c>
      <c r="P11" s="15">
        <f t="shared" si="1"/>
        <v>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4</v>
      </c>
      <c r="AF11" s="31">
        <f t="shared" si="3"/>
        <v>18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MCC'!R392:U392)</f>
        <v>0</v>
      </c>
      <c r="M12" s="50">
        <v>2</v>
      </c>
      <c r="N12" s="50">
        <v>0</v>
      </c>
      <c r="O12" s="15">
        <f t="shared" si="0"/>
        <v>0</v>
      </c>
      <c r="P12" s="15">
        <f t="shared" si="1"/>
        <v>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24</v>
      </c>
      <c r="AD12" s="17">
        <f t="shared" si="4"/>
        <v>0</v>
      </c>
      <c r="AE12" s="31">
        <f t="shared" si="4"/>
        <v>2</v>
      </c>
      <c r="AF12" s="31">
        <f t="shared" si="4"/>
        <v>26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MCC'!R393:U393)</f>
        <v>0</v>
      </c>
      <c r="M13" s="50">
        <v>3</v>
      </c>
      <c r="N13" s="50">
        <v>0</v>
      </c>
      <c r="O13" s="15">
        <f t="shared" si="0"/>
        <v>0</v>
      </c>
      <c r="P13" s="15">
        <f t="shared" si="1"/>
        <v>3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29</v>
      </c>
      <c r="AD13" s="17">
        <f t="shared" si="5"/>
        <v>0</v>
      </c>
      <c r="AE13" s="31">
        <f t="shared" si="5"/>
        <v>3</v>
      </c>
      <c r="AF13" s="31">
        <f t="shared" si="5"/>
        <v>32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f>SUM('[1]RD130 MCC'!R394:U394)</f>
        <v>0</v>
      </c>
      <c r="M14" s="50">
        <v>4</v>
      </c>
      <c r="N14" s="50">
        <v>0</v>
      </c>
      <c r="O14" s="15">
        <f t="shared" si="0"/>
        <v>3</v>
      </c>
      <c r="P14" s="15">
        <f t="shared" si="1"/>
        <v>7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19</v>
      </c>
      <c r="AD14" s="17">
        <f t="shared" si="6"/>
        <v>0</v>
      </c>
      <c r="AE14" s="31">
        <f t="shared" si="6"/>
        <v>0</v>
      </c>
      <c r="AF14" s="31">
        <f t="shared" si="6"/>
        <v>19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MCC'!R395:U395)</f>
        <v>0</v>
      </c>
      <c r="M15" s="50">
        <v>3</v>
      </c>
      <c r="N15" s="50">
        <v>0</v>
      </c>
      <c r="O15" s="15">
        <f t="shared" si="0"/>
        <v>0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15</v>
      </c>
      <c r="AD15" s="17">
        <f t="shared" si="7"/>
        <v>0</v>
      </c>
      <c r="AE15" s="31">
        <f t="shared" si="7"/>
        <v>1</v>
      </c>
      <c r="AF15" s="31">
        <f t="shared" si="7"/>
        <v>16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MCC'!R396:U396)</f>
        <v>0</v>
      </c>
      <c r="M16" s="50">
        <v>2</v>
      </c>
      <c r="N16" s="50">
        <v>0</v>
      </c>
      <c r="O16" s="15">
        <f t="shared" si="0"/>
        <v>0</v>
      </c>
      <c r="P16" s="15">
        <f t="shared" si="1"/>
        <v>2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22</v>
      </c>
      <c r="AD16" s="17">
        <f t="shared" si="8"/>
        <v>0</v>
      </c>
      <c r="AE16" s="31">
        <f t="shared" si="8"/>
        <v>0</v>
      </c>
      <c r="AF16" s="31">
        <f t="shared" si="8"/>
        <v>22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f>SUM('[1]RD130 MCC'!R397:U397)</f>
        <v>0</v>
      </c>
      <c r="M17" s="50">
        <v>5</v>
      </c>
      <c r="N17" s="50">
        <v>0</v>
      </c>
      <c r="O17" s="15">
        <f t="shared" si="0"/>
        <v>1</v>
      </c>
      <c r="P17" s="15">
        <f t="shared" si="1"/>
        <v>6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27</v>
      </c>
      <c r="AD17" s="17">
        <f t="shared" si="9"/>
        <v>0</v>
      </c>
      <c r="AE17" s="31">
        <f t="shared" si="9"/>
        <v>3</v>
      </c>
      <c r="AF17" s="31">
        <f t="shared" si="9"/>
        <v>30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MCC'!R398:U398)</f>
        <v>0</v>
      </c>
      <c r="M18" s="50">
        <v>7</v>
      </c>
      <c r="N18" s="50">
        <v>0</v>
      </c>
      <c r="O18" s="15">
        <f t="shared" si="0"/>
        <v>0</v>
      </c>
      <c r="P18" s="15">
        <f t="shared" si="1"/>
        <v>7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25</v>
      </c>
      <c r="AD18" s="17">
        <f t="shared" si="10"/>
        <v>0</v>
      </c>
      <c r="AE18" s="31">
        <f t="shared" si="10"/>
        <v>0</v>
      </c>
      <c r="AF18" s="31">
        <f t="shared" si="10"/>
        <v>25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MCC'!R399:U399)</f>
        <v>0</v>
      </c>
      <c r="M19" s="50">
        <v>3</v>
      </c>
      <c r="N19" s="50">
        <v>0</v>
      </c>
      <c r="O19" s="15">
        <f t="shared" si="0"/>
        <v>0</v>
      </c>
      <c r="P19" s="15">
        <f t="shared" si="1"/>
        <v>3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30</v>
      </c>
      <c r="AD19" s="17">
        <f t="shared" si="11"/>
        <v>0</v>
      </c>
      <c r="AE19" s="31">
        <f t="shared" si="11"/>
        <v>2</v>
      </c>
      <c r="AF19" s="31">
        <f t="shared" si="11"/>
        <v>32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MCC'!R400:U400)</f>
        <v>0</v>
      </c>
      <c r="M20" s="50">
        <v>6</v>
      </c>
      <c r="N20" s="50">
        <v>0</v>
      </c>
      <c r="O20" s="15">
        <f t="shared" si="0"/>
        <v>0</v>
      </c>
      <c r="P20" s="15">
        <f t="shared" si="1"/>
        <v>6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34</v>
      </c>
      <c r="AD20" s="17">
        <f t="shared" si="12"/>
        <v>0</v>
      </c>
      <c r="AE20" s="31">
        <f t="shared" si="12"/>
        <v>2</v>
      </c>
      <c r="AF20" s="31">
        <f t="shared" si="12"/>
        <v>36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f>SUM('[1]RD130 MCC'!R401:U401)</f>
        <v>0</v>
      </c>
      <c r="M21" s="50">
        <v>8</v>
      </c>
      <c r="N21" s="50">
        <v>0</v>
      </c>
      <c r="O21" s="15">
        <f t="shared" si="0"/>
        <v>2</v>
      </c>
      <c r="P21" s="15">
        <f t="shared" si="1"/>
        <v>10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30</v>
      </c>
      <c r="AD21" s="17">
        <f t="shared" si="13"/>
        <v>0</v>
      </c>
      <c r="AE21" s="31">
        <f t="shared" si="13"/>
        <v>2</v>
      </c>
      <c r="AF21" s="31">
        <f t="shared" si="13"/>
        <v>32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MCC'!R402:U402)</f>
        <v>0</v>
      </c>
      <c r="M22" s="50">
        <v>10</v>
      </c>
      <c r="N22" s="50">
        <v>0</v>
      </c>
      <c r="O22" s="15">
        <f t="shared" si="0"/>
        <v>0</v>
      </c>
      <c r="P22" s="15">
        <f t="shared" si="1"/>
        <v>10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22</v>
      </c>
      <c r="AD22" s="34">
        <f t="shared" si="14"/>
        <v>0</v>
      </c>
      <c r="AE22" s="31">
        <f t="shared" si="14"/>
        <v>0</v>
      </c>
      <c r="AF22" s="31">
        <f t="shared" si="14"/>
        <v>22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MCC'!R403:U403)</f>
        <v>0</v>
      </c>
      <c r="M23" s="50">
        <v>3</v>
      </c>
      <c r="N23" s="50">
        <v>0</v>
      </c>
      <c r="O23" s="15">
        <f t="shared" si="0"/>
        <v>0</v>
      </c>
      <c r="P23" s="15">
        <f t="shared" si="1"/>
        <v>3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27</v>
      </c>
      <c r="AD23" s="34">
        <f t="shared" si="15"/>
        <v>0</v>
      </c>
      <c r="AE23" s="31">
        <f t="shared" si="15"/>
        <v>2</v>
      </c>
      <c r="AF23" s="31">
        <f t="shared" si="15"/>
        <v>29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f>SUM('[1]RD130 MCC'!R404:U404)</f>
        <v>0</v>
      </c>
      <c r="M24" s="50">
        <v>6</v>
      </c>
      <c r="N24" s="50">
        <v>0</v>
      </c>
      <c r="O24" s="15">
        <f t="shared" si="0"/>
        <v>2</v>
      </c>
      <c r="P24" s="15">
        <f t="shared" si="1"/>
        <v>8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6</v>
      </c>
      <c r="AD24" s="34">
        <f t="shared" si="16"/>
        <v>0</v>
      </c>
      <c r="AE24" s="31">
        <f t="shared" si="16"/>
        <v>0</v>
      </c>
      <c r="AF24" s="31">
        <f t="shared" si="16"/>
        <v>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MCC'!R405:U405)</f>
        <v>0</v>
      </c>
      <c r="M25" s="50">
        <v>10</v>
      </c>
      <c r="N25" s="50">
        <v>0</v>
      </c>
      <c r="O25" s="15">
        <f t="shared" si="0"/>
        <v>1</v>
      </c>
      <c r="P25" s="15">
        <f t="shared" si="1"/>
        <v>11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1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10</v>
      </c>
      <c r="AD25" s="34">
        <f t="shared" si="17"/>
        <v>0</v>
      </c>
      <c r="AE25" s="31">
        <f t="shared" si="17"/>
        <v>2</v>
      </c>
      <c r="AF25" s="31">
        <f t="shared" si="17"/>
        <v>12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MCC'!R406:U406)</f>
        <v>0</v>
      </c>
      <c r="M26" s="50">
        <v>6</v>
      </c>
      <c r="N26" s="50">
        <v>0</v>
      </c>
      <c r="O26" s="15">
        <f t="shared" si="0"/>
        <v>0</v>
      </c>
      <c r="P26" s="15">
        <f t="shared" si="1"/>
        <v>6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3</v>
      </c>
      <c r="AF26" s="31">
        <f t="shared" si="18"/>
        <v>10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MCC'!R407:U407)</f>
        <v>0</v>
      </c>
      <c r="M27" s="50">
        <v>7</v>
      </c>
      <c r="N27" s="50">
        <v>0</v>
      </c>
      <c r="O27" s="15">
        <f t="shared" si="0"/>
        <v>0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MCC'!R408:U408)</f>
        <v>0</v>
      </c>
      <c r="M28" s="50">
        <v>3</v>
      </c>
      <c r="N28" s="50">
        <v>0</v>
      </c>
      <c r="O28" s="15">
        <f t="shared" si="0"/>
        <v>0</v>
      </c>
      <c r="P28" s="15">
        <f t="shared" si="1"/>
        <v>3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f>SUM('[1]RD130 MCC'!R409:U409)</f>
        <v>0</v>
      </c>
      <c r="M29" s="50">
        <v>3</v>
      </c>
      <c r="N29" s="50">
        <v>0</v>
      </c>
      <c r="O29" s="15">
        <f t="shared" si="0"/>
        <v>0</v>
      </c>
      <c r="P29" s="15">
        <f t="shared" si="1"/>
        <v>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MCC'!R410:U410)</f>
        <v>0</v>
      </c>
      <c r="M30" s="50">
        <v>2</v>
      </c>
      <c r="N30" s="50">
        <v>0</v>
      </c>
      <c r="O30" s="15">
        <f t="shared" si="0"/>
        <v>0</v>
      </c>
      <c r="P30" s="15">
        <f t="shared" si="1"/>
        <v>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MCC'!R411:U411)</f>
        <v>0</v>
      </c>
      <c r="M31" s="50">
        <v>4</v>
      </c>
      <c r="N31" s="50">
        <v>0</v>
      </c>
      <c r="O31" s="15">
        <f t="shared" si="0"/>
        <v>0</v>
      </c>
      <c r="P31" s="15">
        <f t="shared" si="1"/>
        <v>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MCC'!R412:U412)</f>
        <v>0</v>
      </c>
      <c r="M32" s="50">
        <v>5</v>
      </c>
      <c r="N32" s="50">
        <v>0</v>
      </c>
      <c r="O32" s="15">
        <f t="shared" si="0"/>
        <v>0</v>
      </c>
      <c r="P32" s="15">
        <f t="shared" si="1"/>
        <v>5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MCC'!R413:U413)</f>
        <v>0</v>
      </c>
      <c r="M33" s="50">
        <v>4</v>
      </c>
      <c r="N33" s="50">
        <v>0</v>
      </c>
      <c r="O33" s="15">
        <f t="shared" si="0"/>
        <v>1</v>
      </c>
      <c r="P33" s="15">
        <f t="shared" si="1"/>
        <v>5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</v>
      </c>
      <c r="AD33" s="34">
        <f t="shared" si="25"/>
        <v>0</v>
      </c>
      <c r="AE33" s="31">
        <f t="shared" si="25"/>
        <v>1</v>
      </c>
      <c r="AF33" s="31">
        <f t="shared" si="25"/>
        <v>4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MCC'!R414:U414)</f>
        <v>0</v>
      </c>
      <c r="M34" s="50">
        <v>5</v>
      </c>
      <c r="N34" s="50">
        <v>0</v>
      </c>
      <c r="O34" s="15">
        <f t="shared" si="0"/>
        <v>0</v>
      </c>
      <c r="P34" s="15">
        <f t="shared" si="1"/>
        <v>5</v>
      </c>
      <c r="R34" s="38" t="s">
        <v>90</v>
      </c>
      <c r="S34" s="39">
        <f t="shared" ref="S34:AF34" si="26">MAX(S10:S12)</f>
        <v>0</v>
      </c>
      <c r="T34" s="39">
        <f t="shared" si="26"/>
        <v>0</v>
      </c>
      <c r="U34" s="39">
        <f t="shared" si="26"/>
        <v>0</v>
      </c>
      <c r="V34" s="39">
        <f t="shared" si="26"/>
        <v>0</v>
      </c>
      <c r="W34" s="39">
        <f t="shared" si="26"/>
        <v>0</v>
      </c>
      <c r="X34" s="39">
        <f t="shared" si="26"/>
        <v>1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24</v>
      </c>
      <c r="AD34" s="39">
        <f t="shared" si="26"/>
        <v>0</v>
      </c>
      <c r="AE34" s="40">
        <f t="shared" si="26"/>
        <v>4</v>
      </c>
      <c r="AF34" s="40">
        <f t="shared" si="26"/>
        <v>26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MCC'!R415:U415)</f>
        <v>0</v>
      </c>
      <c r="M35" s="50">
        <v>6</v>
      </c>
      <c r="N35" s="50">
        <v>0</v>
      </c>
      <c r="O35" s="15">
        <f t="shared" si="0"/>
        <v>0</v>
      </c>
      <c r="P35" s="15">
        <f t="shared" si="1"/>
        <v>6</v>
      </c>
      <c r="R35" s="38" t="s">
        <v>91</v>
      </c>
      <c r="S35" s="39">
        <f t="shared" ref="S35:AF35" si="27">MAX(S13:S18)</f>
        <v>0</v>
      </c>
      <c r="T35" s="39">
        <f t="shared" si="27"/>
        <v>0</v>
      </c>
      <c r="U35" s="39">
        <f t="shared" si="27"/>
        <v>1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29</v>
      </c>
      <c r="AD35" s="39">
        <f t="shared" si="27"/>
        <v>0</v>
      </c>
      <c r="AE35" s="40">
        <f t="shared" si="27"/>
        <v>3</v>
      </c>
      <c r="AF35" s="40">
        <f t="shared" si="27"/>
        <v>32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MCC'!R416:U416)</f>
        <v>0</v>
      </c>
      <c r="M36" s="50">
        <v>3</v>
      </c>
      <c r="N36" s="50">
        <v>0</v>
      </c>
      <c r="O36" s="15">
        <f t="shared" si="0"/>
        <v>0</v>
      </c>
      <c r="P36" s="15">
        <f t="shared" si="1"/>
        <v>3</v>
      </c>
      <c r="R36" s="38" t="s">
        <v>92</v>
      </c>
      <c r="S36" s="39">
        <f t="shared" ref="S36:AF36" si="28">MAX(S19:S21)</f>
        <v>0</v>
      </c>
      <c r="T36" s="39">
        <f t="shared" si="28"/>
        <v>0</v>
      </c>
      <c r="U36" s="39">
        <f t="shared" si="28"/>
        <v>1</v>
      </c>
      <c r="V36" s="39">
        <f t="shared" si="28"/>
        <v>1</v>
      </c>
      <c r="W36" s="39">
        <f t="shared" si="28"/>
        <v>1</v>
      </c>
      <c r="X36" s="39">
        <f t="shared" si="28"/>
        <v>0</v>
      </c>
      <c r="Y36" s="39">
        <f t="shared" si="28"/>
        <v>1</v>
      </c>
      <c r="Z36" s="39">
        <f t="shared" si="28"/>
        <v>0</v>
      </c>
      <c r="AA36" s="39">
        <f t="shared" si="28"/>
        <v>1</v>
      </c>
      <c r="AB36" s="39">
        <f t="shared" si="28"/>
        <v>0</v>
      </c>
      <c r="AC36" s="39">
        <f t="shared" si="28"/>
        <v>34</v>
      </c>
      <c r="AD36" s="39">
        <f t="shared" si="28"/>
        <v>0</v>
      </c>
      <c r="AE36" s="40">
        <f t="shared" si="28"/>
        <v>2</v>
      </c>
      <c r="AF36" s="40">
        <f t="shared" si="28"/>
        <v>36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MCC'!R417:U417)</f>
        <v>0</v>
      </c>
      <c r="M37" s="50">
        <v>8</v>
      </c>
      <c r="N37" s="50">
        <v>0</v>
      </c>
      <c r="O37" s="15">
        <f t="shared" si="0"/>
        <v>0</v>
      </c>
      <c r="P37" s="15">
        <f t="shared" si="1"/>
        <v>8</v>
      </c>
      <c r="R37" s="37" t="s">
        <v>85</v>
      </c>
      <c r="S37" s="35">
        <f t="shared" ref="S37:AF37" si="29">SUM(S10:S12)</f>
        <v>0</v>
      </c>
      <c r="T37" s="16">
        <f t="shared" si="29"/>
        <v>0</v>
      </c>
      <c r="U37" s="16">
        <f t="shared" si="29"/>
        <v>0</v>
      </c>
      <c r="V37" s="16">
        <f t="shared" si="29"/>
        <v>0</v>
      </c>
      <c r="W37" s="16">
        <f t="shared" si="29"/>
        <v>0</v>
      </c>
      <c r="X37" s="16">
        <f t="shared" si="29"/>
        <v>1</v>
      </c>
      <c r="Y37" s="16">
        <f t="shared" si="29"/>
        <v>5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49</v>
      </c>
      <c r="AD37" s="16">
        <f t="shared" si="29"/>
        <v>0</v>
      </c>
      <c r="AE37" s="32">
        <f t="shared" si="29"/>
        <v>6</v>
      </c>
      <c r="AF37" s="32">
        <f t="shared" si="29"/>
        <v>55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f>SUM('[1]RD130 MCC'!R418:U418)</f>
        <v>0</v>
      </c>
      <c r="M38" s="50">
        <v>7</v>
      </c>
      <c r="N38" s="50">
        <v>0</v>
      </c>
      <c r="O38" s="15">
        <f t="shared" si="0"/>
        <v>2</v>
      </c>
      <c r="P38" s="15">
        <f t="shared" si="1"/>
        <v>9</v>
      </c>
      <c r="R38" s="28" t="s">
        <v>86</v>
      </c>
      <c r="S38" s="16">
        <f t="shared" ref="S38:AF38" si="30">SUM(S13:S18)</f>
        <v>0</v>
      </c>
      <c r="T38" s="16">
        <f t="shared" si="30"/>
        <v>0</v>
      </c>
      <c r="U38" s="16">
        <f t="shared" si="30"/>
        <v>3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4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137</v>
      </c>
      <c r="AD38" s="16">
        <f t="shared" si="30"/>
        <v>0</v>
      </c>
      <c r="AE38" s="32">
        <f t="shared" si="30"/>
        <v>7</v>
      </c>
      <c r="AF38" s="32">
        <f t="shared" si="30"/>
        <v>144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f>SUM('[1]RD130 MCC'!R419:U419)</f>
        <v>0</v>
      </c>
      <c r="M39" s="50">
        <v>7</v>
      </c>
      <c r="N39" s="50">
        <v>0</v>
      </c>
      <c r="O39" s="15">
        <f t="shared" si="0"/>
        <v>1</v>
      </c>
      <c r="P39" s="15">
        <f t="shared" si="1"/>
        <v>8</v>
      </c>
      <c r="R39" s="29" t="s">
        <v>87</v>
      </c>
      <c r="S39" s="16">
        <f t="shared" ref="S39:AF39" si="31">SUM(S19:S21)</f>
        <v>0</v>
      </c>
      <c r="T39" s="16">
        <f t="shared" si="31"/>
        <v>0</v>
      </c>
      <c r="U39" s="16">
        <f t="shared" si="31"/>
        <v>2</v>
      </c>
      <c r="V39" s="16">
        <f t="shared" si="31"/>
        <v>1</v>
      </c>
      <c r="W39" s="16">
        <f t="shared" si="31"/>
        <v>1</v>
      </c>
      <c r="X39" s="16">
        <f t="shared" si="31"/>
        <v>0</v>
      </c>
      <c r="Y39" s="16">
        <f t="shared" si="31"/>
        <v>1</v>
      </c>
      <c r="Z39" s="16">
        <f t="shared" si="31"/>
        <v>0</v>
      </c>
      <c r="AA39" s="16">
        <f t="shared" si="31"/>
        <v>1</v>
      </c>
      <c r="AB39" s="16">
        <f t="shared" si="31"/>
        <v>0</v>
      </c>
      <c r="AC39" s="16">
        <f t="shared" si="31"/>
        <v>94</v>
      </c>
      <c r="AD39" s="16">
        <f t="shared" si="31"/>
        <v>0</v>
      </c>
      <c r="AE39" s="32">
        <f t="shared" si="31"/>
        <v>6</v>
      </c>
      <c r="AF39" s="32">
        <f t="shared" si="31"/>
        <v>100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f>SUM('[1]RD130 MCC'!R420:U420)</f>
        <v>0</v>
      </c>
      <c r="M40" s="50">
        <v>4</v>
      </c>
      <c r="N40" s="50">
        <v>0</v>
      </c>
      <c r="O40" s="15">
        <f t="shared" si="0"/>
        <v>0</v>
      </c>
      <c r="P40" s="15">
        <f t="shared" si="1"/>
        <v>4</v>
      </c>
      <c r="R40" s="5" t="s">
        <v>17</v>
      </c>
      <c r="S40" s="16">
        <f t="shared" ref="S40:AF40" si="32">SUM(S10:S21)</f>
        <v>0</v>
      </c>
      <c r="T40" s="16">
        <f t="shared" si="32"/>
        <v>0</v>
      </c>
      <c r="U40" s="16">
        <f t="shared" si="32"/>
        <v>5</v>
      </c>
      <c r="V40" s="16">
        <f t="shared" si="32"/>
        <v>1</v>
      </c>
      <c r="W40" s="16">
        <f t="shared" si="32"/>
        <v>1</v>
      </c>
      <c r="X40" s="16">
        <f t="shared" si="32"/>
        <v>1</v>
      </c>
      <c r="Y40" s="16">
        <f t="shared" si="32"/>
        <v>10</v>
      </c>
      <c r="Z40" s="16">
        <f t="shared" si="32"/>
        <v>0</v>
      </c>
      <c r="AA40" s="16">
        <f t="shared" si="32"/>
        <v>1</v>
      </c>
      <c r="AB40" s="16">
        <f t="shared" si="32"/>
        <v>0</v>
      </c>
      <c r="AC40" s="16">
        <f t="shared" si="32"/>
        <v>280</v>
      </c>
      <c r="AD40" s="16">
        <f t="shared" si="32"/>
        <v>0</v>
      </c>
      <c r="AE40" s="32">
        <f t="shared" si="32"/>
        <v>19</v>
      </c>
      <c r="AF40" s="32">
        <f t="shared" si="32"/>
        <v>299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MCC'!R421:U421)</f>
        <v>0</v>
      </c>
      <c r="M41" s="50">
        <v>9</v>
      </c>
      <c r="N41" s="50">
        <v>0</v>
      </c>
      <c r="O41" s="15">
        <f t="shared" si="0"/>
        <v>0</v>
      </c>
      <c r="P41" s="15">
        <f t="shared" si="1"/>
        <v>9</v>
      </c>
      <c r="R41" s="5" t="s">
        <v>159</v>
      </c>
      <c r="S41" s="16">
        <f>SUM(S10:S33)</f>
        <v>0</v>
      </c>
      <c r="T41" s="16">
        <f t="shared" ref="T41:AF41" si="33">SUM(T10:T33)</f>
        <v>0</v>
      </c>
      <c r="U41" s="16">
        <f t="shared" si="33"/>
        <v>7</v>
      </c>
      <c r="V41" s="16">
        <f t="shared" si="33"/>
        <v>2</v>
      </c>
      <c r="W41" s="16">
        <f t="shared" si="33"/>
        <v>1</v>
      </c>
      <c r="X41" s="16">
        <f t="shared" si="33"/>
        <v>2</v>
      </c>
      <c r="Y41" s="16">
        <f t="shared" si="33"/>
        <v>14</v>
      </c>
      <c r="Z41" s="16">
        <f t="shared" si="33"/>
        <v>0</v>
      </c>
      <c r="AA41" s="16">
        <f t="shared" si="33"/>
        <v>1</v>
      </c>
      <c r="AB41" s="16">
        <f t="shared" si="33"/>
        <v>0</v>
      </c>
      <c r="AC41" s="16">
        <f t="shared" si="33"/>
        <v>355</v>
      </c>
      <c r="AD41" s="16">
        <f t="shared" si="33"/>
        <v>0</v>
      </c>
      <c r="AE41" s="32">
        <f t="shared" si="33"/>
        <v>27</v>
      </c>
      <c r="AF41" s="32">
        <f t="shared" si="33"/>
        <v>382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MCC'!R422:U422)</f>
        <v>0</v>
      </c>
      <c r="M42" s="50">
        <v>6</v>
      </c>
      <c r="N42" s="50">
        <v>0</v>
      </c>
      <c r="O42" s="15">
        <f t="shared" si="0"/>
        <v>0</v>
      </c>
      <c r="P42" s="15">
        <f t="shared" si="1"/>
        <v>6</v>
      </c>
      <c r="R42" s="5" t="s">
        <v>160</v>
      </c>
      <c r="S42" s="48" t="e">
        <f>S41/S40</f>
        <v>#DIV/0!</v>
      </c>
      <c r="T42" s="48" t="e">
        <f t="shared" ref="T42:AF42" si="34">T41/T40</f>
        <v>#DIV/0!</v>
      </c>
      <c r="U42" s="48">
        <f t="shared" si="34"/>
        <v>1.4</v>
      </c>
      <c r="V42" s="48">
        <f t="shared" si="34"/>
        <v>2</v>
      </c>
      <c r="W42" s="48">
        <f t="shared" si="34"/>
        <v>1</v>
      </c>
      <c r="X42" s="48">
        <f t="shared" si="34"/>
        <v>2</v>
      </c>
      <c r="Y42" s="48">
        <f t="shared" si="34"/>
        <v>1.4</v>
      </c>
      <c r="Z42" s="48" t="e">
        <f t="shared" si="34"/>
        <v>#DIV/0!</v>
      </c>
      <c r="AA42" s="48">
        <f t="shared" si="34"/>
        <v>1</v>
      </c>
      <c r="AB42" s="48" t="e">
        <f t="shared" si="34"/>
        <v>#DIV/0!</v>
      </c>
      <c r="AC42" s="48">
        <f t="shared" si="34"/>
        <v>1.2678571428571428</v>
      </c>
      <c r="AD42" s="48" t="e">
        <f t="shared" si="34"/>
        <v>#DIV/0!</v>
      </c>
      <c r="AE42" s="48">
        <f t="shared" si="34"/>
        <v>1.4210526315789473</v>
      </c>
      <c r="AF42" s="48">
        <f t="shared" si="34"/>
        <v>1.2775919732441472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/>
      <c r="J43" s="50">
        <v>0</v>
      </c>
      <c r="K43" s="50">
        <v>0</v>
      </c>
      <c r="L43" s="50">
        <f>SUM('[1]RD130 MCC'!R423:U423)</f>
        <v>0</v>
      </c>
      <c r="M43" s="50">
        <v>4</v>
      </c>
      <c r="N43" s="50">
        <v>0</v>
      </c>
      <c r="O43" s="15">
        <f t="shared" si="0"/>
        <v>0</v>
      </c>
      <c r="P43" s="15">
        <f t="shared" si="1"/>
        <v>4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MCC'!R424:U424)</f>
        <v>0</v>
      </c>
      <c r="M44" s="50">
        <v>8</v>
      </c>
      <c r="N44" s="50">
        <v>0</v>
      </c>
      <c r="O44" s="15">
        <f t="shared" si="0"/>
        <v>0</v>
      </c>
      <c r="P44" s="15">
        <f t="shared" si="1"/>
        <v>8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SUM('[1]RD130 MCC'!R425:U425)</f>
        <v>0</v>
      </c>
      <c r="M45" s="50">
        <v>7</v>
      </c>
      <c r="N45" s="50">
        <v>0</v>
      </c>
      <c r="O45" s="15">
        <f t="shared" si="0"/>
        <v>0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f>SUM('[1]RD130 MCC'!R426:U426)</f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MCC'!R427:U427)</f>
        <v>0</v>
      </c>
      <c r="M47" s="50">
        <v>9</v>
      </c>
      <c r="N47" s="50">
        <v>0</v>
      </c>
      <c r="O47" s="15">
        <f t="shared" si="0"/>
        <v>0</v>
      </c>
      <c r="P47" s="15">
        <f t="shared" si="1"/>
        <v>9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MCC'!R428:U428)</f>
        <v>0</v>
      </c>
      <c r="M48" s="50">
        <v>10</v>
      </c>
      <c r="N48" s="50">
        <v>0</v>
      </c>
      <c r="O48" s="15">
        <f t="shared" si="0"/>
        <v>0</v>
      </c>
      <c r="P48" s="15">
        <f t="shared" si="1"/>
        <v>10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MCC'!R429:U429)</f>
        <v>0</v>
      </c>
      <c r="M49" s="50">
        <v>3</v>
      </c>
      <c r="N49" s="50">
        <v>0</v>
      </c>
      <c r="O49" s="15">
        <f t="shared" si="0"/>
        <v>0</v>
      </c>
      <c r="P49" s="15">
        <f t="shared" si="1"/>
        <v>3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MCC'!R430:U430)</f>
        <v>0</v>
      </c>
      <c r="M50" s="50">
        <v>9</v>
      </c>
      <c r="N50" s="50">
        <v>0</v>
      </c>
      <c r="O50" s="15">
        <f t="shared" si="0"/>
        <v>0</v>
      </c>
      <c r="P50" s="15">
        <f t="shared" si="1"/>
        <v>9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MCC'!R431:U431)</f>
        <v>0</v>
      </c>
      <c r="M51" s="50">
        <v>7</v>
      </c>
      <c r="N51" s="50">
        <v>0</v>
      </c>
      <c r="O51" s="15">
        <f t="shared" si="0"/>
        <v>1</v>
      </c>
      <c r="P51" s="15">
        <f t="shared" si="1"/>
        <v>8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MCC'!R432:U432)</f>
        <v>0</v>
      </c>
      <c r="M52" s="50">
        <v>8</v>
      </c>
      <c r="N52" s="50">
        <v>0</v>
      </c>
      <c r="O52" s="15">
        <f t="shared" si="0"/>
        <v>0</v>
      </c>
      <c r="P52" s="15">
        <f t="shared" si="1"/>
        <v>8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MCC'!R433:U433)</f>
        <v>0</v>
      </c>
      <c r="M53" s="50">
        <v>10</v>
      </c>
      <c r="N53" s="50">
        <v>0</v>
      </c>
      <c r="O53" s="15">
        <f t="shared" si="0"/>
        <v>1</v>
      </c>
      <c r="P53" s="15">
        <f t="shared" si="1"/>
        <v>11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MCC'!R434:U434)</f>
        <v>0</v>
      </c>
      <c r="M54" s="50">
        <v>8</v>
      </c>
      <c r="N54" s="50">
        <v>0</v>
      </c>
      <c r="O54" s="15">
        <f t="shared" si="0"/>
        <v>0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MCC'!R435:U435)</f>
        <v>0</v>
      </c>
      <c r="M55" s="50">
        <v>6</v>
      </c>
      <c r="N55" s="50">
        <v>0</v>
      </c>
      <c r="O55" s="15">
        <f t="shared" si="0"/>
        <v>1</v>
      </c>
      <c r="P55" s="15">
        <f t="shared" si="1"/>
        <v>7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MCC'!R436:U436)</f>
        <v>0</v>
      </c>
      <c r="M56" s="50">
        <v>8</v>
      </c>
      <c r="N56" s="50">
        <v>0</v>
      </c>
      <c r="O56" s="15">
        <f t="shared" si="0"/>
        <v>0</v>
      </c>
      <c r="P56" s="15">
        <f t="shared" si="1"/>
        <v>8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MCC'!R437:U437)</f>
        <v>0</v>
      </c>
      <c r="M57" s="50">
        <v>8</v>
      </c>
      <c r="N57" s="50">
        <v>0</v>
      </c>
      <c r="O57" s="15">
        <f t="shared" si="0"/>
        <v>1</v>
      </c>
      <c r="P57" s="15">
        <f t="shared" si="1"/>
        <v>9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f>SUM('[1]RD130 MCC'!R438:U438)</f>
        <v>0</v>
      </c>
      <c r="M58" s="50"/>
      <c r="N58" s="50">
        <v>0</v>
      </c>
      <c r="O58" s="15">
        <f t="shared" si="0"/>
        <v>0</v>
      </c>
      <c r="P58" s="15">
        <f t="shared" si="1"/>
        <v>0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f>SUM('[1]RD130 MCC'!R439:U439)</f>
        <v>0</v>
      </c>
      <c r="M59" s="50">
        <v>9</v>
      </c>
      <c r="N59" s="50">
        <v>0</v>
      </c>
      <c r="O59" s="15">
        <f t="shared" si="0"/>
        <v>0</v>
      </c>
      <c r="P59" s="15">
        <f t="shared" si="1"/>
        <v>9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f>SUM('[1]RD130 MCC'!R440:U440)</f>
        <v>0</v>
      </c>
      <c r="M60" s="50">
        <v>7</v>
      </c>
      <c r="N60" s="50">
        <v>0</v>
      </c>
      <c r="O60" s="15">
        <f t="shared" si="0"/>
        <v>0</v>
      </c>
      <c r="P60" s="15">
        <f t="shared" si="1"/>
        <v>7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f>SUM('[1]RD130 MCC'!R441:U441)</f>
        <v>0</v>
      </c>
      <c r="M61" s="50">
        <v>6</v>
      </c>
      <c r="N61" s="50">
        <v>0</v>
      </c>
      <c r="O61" s="15">
        <f t="shared" si="0"/>
        <v>0</v>
      </c>
      <c r="P61" s="15">
        <f t="shared" si="1"/>
        <v>6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f>SUM('[1]RD130 MCC'!R442:U442)</f>
        <v>0</v>
      </c>
      <c r="M62" s="50">
        <v>4</v>
      </c>
      <c r="N62" s="50">
        <v>0</v>
      </c>
      <c r="O62" s="15">
        <f t="shared" si="0"/>
        <v>0</v>
      </c>
      <c r="P62" s="15">
        <f t="shared" si="1"/>
        <v>4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f>SUM('[1]RD130 MCC'!R443:U443)</f>
        <v>0</v>
      </c>
      <c r="M63" s="50">
        <v>8</v>
      </c>
      <c r="N63" s="50">
        <v>0</v>
      </c>
      <c r="O63" s="15">
        <f t="shared" si="0"/>
        <v>0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f>SUM('[1]RD130 MCC'!R444:U444)</f>
        <v>0</v>
      </c>
      <c r="M64" s="50">
        <v>8</v>
      </c>
      <c r="N64" s="50">
        <v>0</v>
      </c>
      <c r="O64" s="15">
        <f t="shared" si="0"/>
        <v>1</v>
      </c>
      <c r="P64" s="15">
        <f t="shared" si="1"/>
        <v>9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f>SUM('[1]RD130 MCC'!R445:U445)</f>
        <v>0</v>
      </c>
      <c r="M65" s="50">
        <v>7</v>
      </c>
      <c r="N65" s="50">
        <v>0</v>
      </c>
      <c r="O65" s="15">
        <f t="shared" si="0"/>
        <v>1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f>SUM('[1]RD130 MCC'!R446:U446)</f>
        <v>0</v>
      </c>
      <c r="M66" s="50">
        <v>2</v>
      </c>
      <c r="N66" s="50">
        <v>0</v>
      </c>
      <c r="O66" s="15">
        <f t="shared" si="0"/>
        <v>0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f>SUM('[1]RD130 MCC'!R447:U447)</f>
        <v>0</v>
      </c>
      <c r="M67" s="50">
        <v>3</v>
      </c>
      <c r="N67" s="50">
        <v>0</v>
      </c>
      <c r="O67" s="15">
        <f t="shared" si="0"/>
        <v>0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f>SUM('[1]RD130 MCC'!R448:U448)</f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f>SUM('[1]RD130 MCC'!R449:U449)</f>
        <v>0</v>
      </c>
      <c r="M69" s="50">
        <v>1</v>
      </c>
      <c r="N69" s="50"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f>SUM('[1]RD130 MCC'!R450:U450)</f>
        <v>0</v>
      </c>
      <c r="M70" s="50">
        <v>5</v>
      </c>
      <c r="N70" s="50">
        <v>0</v>
      </c>
      <c r="O70" s="15">
        <f t="shared" si="0"/>
        <v>0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f>SUM('[1]RD130 MCC'!R451:U451)</f>
        <v>0</v>
      </c>
      <c r="M71" s="50">
        <v>3</v>
      </c>
      <c r="N71" s="50">
        <v>0</v>
      </c>
      <c r="O71" s="15">
        <f t="shared" si="0"/>
        <v>0</v>
      </c>
      <c r="P71" s="15">
        <f t="shared" si="1"/>
        <v>3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1</v>
      </c>
      <c r="G72" s="50">
        <v>0</v>
      </c>
      <c r="H72" s="50">
        <v>1</v>
      </c>
      <c r="I72" s="50">
        <v>0</v>
      </c>
      <c r="J72" s="50">
        <v>0</v>
      </c>
      <c r="K72" s="50">
        <v>0</v>
      </c>
      <c r="L72" s="50">
        <f>SUM('[1]RD130 MCC'!R452:U452)</f>
        <v>0</v>
      </c>
      <c r="M72" s="50">
        <v>0</v>
      </c>
      <c r="N72" s="50">
        <v>0</v>
      </c>
      <c r="O72" s="15">
        <f t="shared" si="0"/>
        <v>2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f>SUM('[1]RD130 MCC'!R453:U453)</f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f>SUM('[1]RD130 MCC'!R454:U454)</f>
        <v>0</v>
      </c>
      <c r="M74" s="50">
        <v>1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f>SUM('[1]RD130 MCC'!R455:U455)</f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f>SUM('[1]RD130 MCC'!R456:U456)</f>
        <v>0</v>
      </c>
      <c r="M76" s="50">
        <v>5</v>
      </c>
      <c r="N76" s="50">
        <v>0</v>
      </c>
      <c r="O76" s="15">
        <f t="shared" si="35"/>
        <v>1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f>SUM('[1]RD130 MCC'!R457:U457)</f>
        <v>0</v>
      </c>
      <c r="M77" s="50">
        <v>1</v>
      </c>
      <c r="N77" s="50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f>SUM('[1]RD130 MCC'!R458:U458)</f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f>SUM('[1]RD130 MCC'!R459:U459)</f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f>SUM('[1]RD130 MCC'!R460:U460)</f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f>SUM('[1]RD130 MCC'!R461:U461)</f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f>SUM('[1]RD130 MCC'!R462:U462)</f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f>SUM('[1]RD130 MCC'!R463:U463)</f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f>SUM('[1]RD130 MCC'!R464:U464)</f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f>SUM('[1]RD130 MCC'!R465:U465)</f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f>SUM('[1]RD130 MCC'!R466:U466)</f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f>SUM('[1]RD130 MCC'!R467:U467)</f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f>SUM('[1]RD130 MCC'!R468:U468)</f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f>SUM('[1]RD130 MCC'!R469:U469)</f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f>SUM('[1]RD130 MCC'!R470:U470)</f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f>SUM('[1]RD130 MCC'!R471:U471)</f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f>SUM('[1]RD130 MCC'!R472:U472)</f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f>SUM('[1]RD130 MCC'!R473:U473)</f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f>SUM('[1]RD130 MCC'!R474:U474)</f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f>SUM('[1]RD130 MCC'!R475:U475)</f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f>SUM('[1]RD130 MCC'!R476:U476)</f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f>SUM('[1]RD130 MCC'!R477:U477)</f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f>SUM('[1]RD130 MCC'!R478:U478)</f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f>SUM('[1]RD130 MCC'!R479:U479)</f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f>SUM('[1]RD130 MCC'!R480:U480)</f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f>SUM('[1]RD130 MCC'!R481:U481)</f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f>SUM('[1]RD130 MCC'!R482:U482)</f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f>SUM('[1]RD130 MCC'!R483:U483)</f>
        <v>0</v>
      </c>
      <c r="M103" s="50">
        <v>2</v>
      </c>
      <c r="N103" s="50">
        <v>0</v>
      </c>
      <c r="O103" s="15">
        <f t="shared" si="35"/>
        <v>0</v>
      </c>
      <c r="P103" s="15">
        <f t="shared" si="36"/>
        <v>2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f>SUM('[1]RD130 MCC'!R484:U484)</f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f>SUM('[1]RD130 MCC'!R485:U485)</f>
        <v>0</v>
      </c>
      <c r="M105" s="50">
        <v>1</v>
      </c>
      <c r="N105" s="50">
        <v>0</v>
      </c>
      <c r="O105" s="15">
        <f t="shared" si="35"/>
        <v>0</v>
      </c>
      <c r="P105" s="15">
        <f t="shared" si="36"/>
        <v>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0</v>
      </c>
      <c r="D106" s="16">
        <f t="shared" ref="D106:P106" si="37">SUM(D10:D105)</f>
        <v>0</v>
      </c>
      <c r="E106" s="16">
        <f t="shared" si="37"/>
        <v>7</v>
      </c>
      <c r="F106" s="16">
        <f t="shared" si="37"/>
        <v>2</v>
      </c>
      <c r="G106" s="16">
        <f t="shared" si="37"/>
        <v>1</v>
      </c>
      <c r="H106" s="16">
        <f t="shared" si="37"/>
        <v>2</v>
      </c>
      <c r="I106" s="16">
        <f t="shared" si="37"/>
        <v>14</v>
      </c>
      <c r="J106" s="16">
        <f t="shared" si="37"/>
        <v>0</v>
      </c>
      <c r="K106" s="16">
        <f t="shared" si="37"/>
        <v>1</v>
      </c>
      <c r="L106" s="16">
        <f t="shared" si="37"/>
        <v>0</v>
      </c>
      <c r="M106" s="16">
        <f t="shared" si="37"/>
        <v>355</v>
      </c>
      <c r="N106" s="16">
        <f t="shared" si="37"/>
        <v>0</v>
      </c>
      <c r="O106" s="16">
        <f t="shared" si="37"/>
        <v>27</v>
      </c>
      <c r="P106" s="16">
        <f t="shared" si="37"/>
        <v>382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</v>
      </c>
      <c r="D107" s="43">
        <f t="shared" si="38"/>
        <v>0</v>
      </c>
      <c r="E107" s="43">
        <f t="shared" si="38"/>
        <v>1.832460732984293E-2</v>
      </c>
      <c r="F107" s="43">
        <f t="shared" si="38"/>
        <v>5.235602094240838E-3</v>
      </c>
      <c r="G107" s="43">
        <f t="shared" si="38"/>
        <v>2.617801047120419E-3</v>
      </c>
      <c r="H107" s="43">
        <f t="shared" si="38"/>
        <v>5.235602094240838E-3</v>
      </c>
      <c r="I107" s="43">
        <f t="shared" si="38"/>
        <v>3.6649214659685861E-2</v>
      </c>
      <c r="J107" s="43">
        <f t="shared" si="38"/>
        <v>0</v>
      </c>
      <c r="K107" s="43">
        <f t="shared" si="38"/>
        <v>2.617801047120419E-3</v>
      </c>
      <c r="L107" s="43">
        <f t="shared" si="38"/>
        <v>0</v>
      </c>
      <c r="M107" s="43">
        <f t="shared" si="38"/>
        <v>0.9293193717277487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</v>
      </c>
      <c r="D108" s="44">
        <f t="shared" ref="D108:N108" si="39">D106/$O$106</f>
        <v>0</v>
      </c>
      <c r="E108" s="44">
        <f t="shared" si="39"/>
        <v>0.25925925925925924</v>
      </c>
      <c r="F108" s="44">
        <f t="shared" si="39"/>
        <v>7.407407407407407E-2</v>
      </c>
      <c r="G108" s="44">
        <f t="shared" si="39"/>
        <v>3.7037037037037035E-2</v>
      </c>
      <c r="H108" s="44">
        <f t="shared" si="39"/>
        <v>7.407407407407407E-2</v>
      </c>
      <c r="I108" s="44">
        <f t="shared" si="39"/>
        <v>0.51851851851851849</v>
      </c>
      <c r="J108" s="44">
        <f t="shared" si="39"/>
        <v>0</v>
      </c>
      <c r="K108" s="44">
        <f t="shared" si="39"/>
        <v>3.7037037037037035E-2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tabSelected="1" view="pageBreakPreview" topLeftCell="A70" zoomScale="60" workbookViewId="0">
      <selection activeCell="K80" sqref="K8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Atiak-Palabek-24h'!D5</f>
        <v>03.08.19</v>
      </c>
      <c r="E5" s="3"/>
      <c r="F5" s="41" t="s">
        <v>1</v>
      </c>
      <c r="G5" s="63" t="str">
        <f>'03.08 Atiak-Palabek-24h'!G5:H5</f>
        <v>xxx</v>
      </c>
      <c r="H5" s="64"/>
      <c r="I5" s="14"/>
      <c r="J5" s="2" t="s">
        <v>5</v>
      </c>
      <c r="K5" s="63" t="str">
        <f>'03.08 Atiak-Palabek-24h'!K5:L5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Palabek-Atiak'!D6:E6</f>
        <v>Palabek</v>
      </c>
      <c r="E6" s="64"/>
      <c r="F6" s="2" t="s">
        <v>2</v>
      </c>
      <c r="G6" s="63" t="str">
        <f>'31.07 Palabek-Atiak'!G6:H6</f>
        <v>Atiak</v>
      </c>
      <c r="H6" s="64"/>
      <c r="J6" s="2" t="s">
        <v>21</v>
      </c>
      <c r="K6" s="63" t="str">
        <f>'03.08 Atiak-Palabek-24h'!K6:L6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MCC'!R486:U486)</f>
        <v>0</v>
      </c>
      <c r="M10" s="50">
        <v>1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</v>
      </c>
      <c r="AD10" s="17">
        <f t="shared" si="2"/>
        <v>0</v>
      </c>
      <c r="AE10" s="31">
        <f t="shared" si="2"/>
        <v>0</v>
      </c>
      <c r="AF10" s="31">
        <f t="shared" si="2"/>
        <v>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MCC'!R487:U487)</f>
        <v>0</v>
      </c>
      <c r="M11" s="50">
        <v>3</v>
      </c>
      <c r="N11" s="50">
        <v>0</v>
      </c>
      <c r="O11" s="15">
        <f t="shared" si="0"/>
        <v>0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12</v>
      </c>
      <c r="AD11" s="17">
        <f t="shared" si="3"/>
        <v>0</v>
      </c>
      <c r="AE11" s="31">
        <f t="shared" si="3"/>
        <v>4</v>
      </c>
      <c r="AF11" s="31">
        <f t="shared" si="3"/>
        <v>16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MCC'!R488:U488)</f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2</v>
      </c>
      <c r="AF12" s="31">
        <f t="shared" si="4"/>
        <v>19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MCC'!R489:U489)</f>
        <v>0</v>
      </c>
      <c r="M13" s="50">
        <v>2</v>
      </c>
      <c r="N13" s="50">
        <v>0</v>
      </c>
      <c r="O13" s="15">
        <f t="shared" si="0"/>
        <v>0</v>
      </c>
      <c r="P13" s="15">
        <f t="shared" si="1"/>
        <v>2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24</v>
      </c>
      <c r="AD13" s="17">
        <f t="shared" si="5"/>
        <v>0</v>
      </c>
      <c r="AE13" s="31">
        <f t="shared" si="5"/>
        <v>3</v>
      </c>
      <c r="AF13" s="31">
        <f t="shared" si="5"/>
        <v>27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f>SUM('[1]RD130 MCC'!R490:U490)</f>
        <v>0</v>
      </c>
      <c r="M14" s="50">
        <v>4</v>
      </c>
      <c r="N14" s="50">
        <v>0</v>
      </c>
      <c r="O14" s="15">
        <f t="shared" si="0"/>
        <v>3</v>
      </c>
      <c r="P14" s="15">
        <f t="shared" si="1"/>
        <v>7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24</v>
      </c>
      <c r="AD14" s="17">
        <f t="shared" si="6"/>
        <v>0</v>
      </c>
      <c r="AE14" s="31">
        <f t="shared" si="6"/>
        <v>0</v>
      </c>
      <c r="AF14" s="31">
        <f t="shared" si="6"/>
        <v>24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MCC'!R491:U491)</f>
        <v>0</v>
      </c>
      <c r="M15" s="50">
        <v>4</v>
      </c>
      <c r="N15" s="50">
        <v>0</v>
      </c>
      <c r="O15" s="15">
        <f t="shared" si="0"/>
        <v>0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16</v>
      </c>
      <c r="AD15" s="17">
        <f t="shared" si="7"/>
        <v>0</v>
      </c>
      <c r="AE15" s="31">
        <f t="shared" si="7"/>
        <v>1</v>
      </c>
      <c r="AF15" s="31">
        <f t="shared" si="7"/>
        <v>17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MCC'!R492:U492)</f>
        <v>0</v>
      </c>
      <c r="M16" s="50">
        <v>2</v>
      </c>
      <c r="N16" s="50">
        <v>0</v>
      </c>
      <c r="O16" s="15">
        <f t="shared" si="0"/>
        <v>0</v>
      </c>
      <c r="P16" s="15">
        <f t="shared" si="1"/>
        <v>2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25</v>
      </c>
      <c r="AD16" s="17">
        <f t="shared" si="8"/>
        <v>0</v>
      </c>
      <c r="AE16" s="31">
        <f t="shared" si="8"/>
        <v>0</v>
      </c>
      <c r="AF16" s="31">
        <f t="shared" si="8"/>
        <v>25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f>SUM('[1]RD130 MCC'!R493:U493)</f>
        <v>0</v>
      </c>
      <c r="M17" s="50">
        <v>2</v>
      </c>
      <c r="N17" s="50">
        <v>0</v>
      </c>
      <c r="O17" s="15">
        <f t="shared" si="0"/>
        <v>1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25</v>
      </c>
      <c r="AD17" s="17">
        <f t="shared" si="9"/>
        <v>0</v>
      </c>
      <c r="AE17" s="31">
        <f t="shared" si="9"/>
        <v>3</v>
      </c>
      <c r="AF17" s="31">
        <f t="shared" si="9"/>
        <v>28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MCC'!R494:U494)</f>
        <v>0</v>
      </c>
      <c r="M18" s="50">
        <v>5</v>
      </c>
      <c r="N18" s="50">
        <v>0</v>
      </c>
      <c r="O18" s="15">
        <f t="shared" si="0"/>
        <v>0</v>
      </c>
      <c r="P18" s="15">
        <f t="shared" si="1"/>
        <v>5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16</v>
      </c>
      <c r="AD18" s="17">
        <f t="shared" si="10"/>
        <v>0</v>
      </c>
      <c r="AE18" s="31">
        <f t="shared" si="10"/>
        <v>0</v>
      </c>
      <c r="AF18" s="31">
        <f t="shared" si="10"/>
        <v>16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MCC'!R495:U495)</f>
        <v>0</v>
      </c>
      <c r="M19" s="50">
        <v>1</v>
      </c>
      <c r="N19" s="50">
        <v>0</v>
      </c>
      <c r="O19" s="15">
        <f t="shared" si="0"/>
        <v>0</v>
      </c>
      <c r="P19" s="15">
        <f t="shared" si="1"/>
        <v>1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11</v>
      </c>
      <c r="AD19" s="17">
        <f t="shared" si="11"/>
        <v>0</v>
      </c>
      <c r="AE19" s="31">
        <f t="shared" si="11"/>
        <v>3</v>
      </c>
      <c r="AF19" s="31">
        <f t="shared" si="11"/>
        <v>14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MCC'!R496:U496)</f>
        <v>0</v>
      </c>
      <c r="M20" s="50">
        <v>3</v>
      </c>
      <c r="N20" s="50">
        <v>0</v>
      </c>
      <c r="O20" s="15">
        <f t="shared" si="0"/>
        <v>0</v>
      </c>
      <c r="P20" s="15">
        <f t="shared" si="1"/>
        <v>3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14</v>
      </c>
      <c r="AD20" s="17">
        <f t="shared" si="12"/>
        <v>0</v>
      </c>
      <c r="AE20" s="31">
        <f t="shared" si="12"/>
        <v>2</v>
      </c>
      <c r="AF20" s="31">
        <f t="shared" si="12"/>
        <v>16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f>SUM('[1]RD130 MCC'!R497:U497)</f>
        <v>0</v>
      </c>
      <c r="M21" s="50">
        <v>8</v>
      </c>
      <c r="N21" s="50">
        <v>0</v>
      </c>
      <c r="O21" s="15">
        <f t="shared" si="0"/>
        <v>2</v>
      </c>
      <c r="P21" s="15">
        <f t="shared" si="1"/>
        <v>10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</v>
      </c>
      <c r="AD21" s="17">
        <f t="shared" si="13"/>
        <v>0</v>
      </c>
      <c r="AE21" s="31">
        <f t="shared" si="13"/>
        <v>2</v>
      </c>
      <c r="AF21" s="31">
        <f t="shared" si="13"/>
        <v>11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MCC'!R498:U498)</f>
        <v>0</v>
      </c>
      <c r="M22" s="50">
        <v>6</v>
      </c>
      <c r="N22" s="50">
        <v>0</v>
      </c>
      <c r="O22" s="15">
        <f t="shared" si="0"/>
        <v>0</v>
      </c>
      <c r="P22" s="15">
        <f t="shared" si="1"/>
        <v>6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9</v>
      </c>
      <c r="AD22" s="34">
        <f t="shared" si="14"/>
        <v>0</v>
      </c>
      <c r="AE22" s="31">
        <f t="shared" si="14"/>
        <v>0</v>
      </c>
      <c r="AF22" s="31">
        <f t="shared" si="14"/>
        <v>9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MCC'!R499:U499)</f>
        <v>0</v>
      </c>
      <c r="M23" s="50">
        <v>8</v>
      </c>
      <c r="N23" s="50">
        <v>0</v>
      </c>
      <c r="O23" s="15">
        <f t="shared" si="0"/>
        <v>0</v>
      </c>
      <c r="P23" s="15">
        <f t="shared" si="1"/>
        <v>8</v>
      </c>
      <c r="R23" s="36" t="s">
        <v>147</v>
      </c>
      <c r="S23" s="34">
        <f>SUM(C62:C65)</f>
        <v>0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6</v>
      </c>
      <c r="AD23" s="34">
        <f t="shared" si="15"/>
        <v>0</v>
      </c>
      <c r="AE23" s="31">
        <f t="shared" si="15"/>
        <v>2</v>
      </c>
      <c r="AF23" s="31">
        <f t="shared" si="15"/>
        <v>8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f>SUM('[1]RD130 MCC'!R500:U500)</f>
        <v>0</v>
      </c>
      <c r="M24" s="50">
        <v>6</v>
      </c>
      <c r="N24" s="50">
        <v>0</v>
      </c>
      <c r="O24" s="15">
        <f t="shared" si="0"/>
        <v>2</v>
      </c>
      <c r="P24" s="15">
        <f t="shared" si="1"/>
        <v>8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5</v>
      </c>
      <c r="AD24" s="34">
        <f t="shared" si="16"/>
        <v>0</v>
      </c>
      <c r="AE24" s="31">
        <f t="shared" si="16"/>
        <v>0</v>
      </c>
      <c r="AF24" s="31">
        <f t="shared" si="16"/>
        <v>5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MCC'!R501:U501)</f>
        <v>0</v>
      </c>
      <c r="M25" s="50">
        <v>4</v>
      </c>
      <c r="N25" s="50">
        <v>0</v>
      </c>
      <c r="O25" s="15">
        <f t="shared" si="0"/>
        <v>1</v>
      </c>
      <c r="P25" s="15">
        <f t="shared" si="1"/>
        <v>5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1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5</v>
      </c>
      <c r="AD25" s="34">
        <f t="shared" si="17"/>
        <v>0</v>
      </c>
      <c r="AE25" s="31">
        <f t="shared" si="17"/>
        <v>2</v>
      </c>
      <c r="AF25" s="31">
        <f t="shared" si="17"/>
        <v>7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MCC'!R502:U502)</f>
        <v>0</v>
      </c>
      <c r="M26" s="50">
        <v>6</v>
      </c>
      <c r="N26" s="50">
        <v>0</v>
      </c>
      <c r="O26" s="15">
        <f t="shared" si="0"/>
        <v>0</v>
      </c>
      <c r="P26" s="15">
        <f t="shared" si="1"/>
        <v>6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3</v>
      </c>
      <c r="AF26" s="31">
        <f t="shared" si="18"/>
        <v>6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MCC'!R503:U503)</f>
        <v>0</v>
      </c>
      <c r="M27" s="50">
        <v>7</v>
      </c>
      <c r="N27" s="50">
        <v>0</v>
      </c>
      <c r="O27" s="15">
        <f t="shared" si="0"/>
        <v>0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MCC'!R504:U504)</f>
        <v>0</v>
      </c>
      <c r="M28" s="50">
        <v>3</v>
      </c>
      <c r="N28" s="50">
        <v>0</v>
      </c>
      <c r="O28" s="15">
        <f t="shared" si="0"/>
        <v>0</v>
      </c>
      <c r="P28" s="15">
        <f t="shared" si="1"/>
        <v>3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f>SUM('[1]RD130 MCC'!R505:U505)</f>
        <v>0</v>
      </c>
      <c r="M29" s="50">
        <v>8</v>
      </c>
      <c r="N29" s="50">
        <v>0</v>
      </c>
      <c r="O29" s="15">
        <f t="shared" si="0"/>
        <v>0</v>
      </c>
      <c r="P29" s="15">
        <f t="shared" si="1"/>
        <v>8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MCC'!R506:U506)</f>
        <v>0</v>
      </c>
      <c r="M30" s="50">
        <v>2</v>
      </c>
      <c r="N30" s="50">
        <v>0</v>
      </c>
      <c r="O30" s="15">
        <f t="shared" si="0"/>
        <v>0</v>
      </c>
      <c r="P30" s="15">
        <f t="shared" si="1"/>
        <v>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MCC'!R507:U507)</f>
        <v>0</v>
      </c>
      <c r="M31" s="50">
        <v>6</v>
      </c>
      <c r="N31" s="50">
        <v>0</v>
      </c>
      <c r="O31" s="15">
        <f t="shared" si="0"/>
        <v>0</v>
      </c>
      <c r="P31" s="15">
        <f t="shared" si="1"/>
        <v>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MCC'!R508:U508)</f>
        <v>0</v>
      </c>
      <c r="M32" s="50">
        <v>5</v>
      </c>
      <c r="N32" s="50">
        <v>0</v>
      </c>
      <c r="O32" s="15">
        <f t="shared" si="0"/>
        <v>0</v>
      </c>
      <c r="P32" s="15">
        <f t="shared" si="1"/>
        <v>5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0</v>
      </c>
      <c r="AF32" s="31">
        <f t="shared" si="24"/>
        <v>3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MCC'!R509:U509)</f>
        <v>0</v>
      </c>
      <c r="M33" s="50">
        <v>3</v>
      </c>
      <c r="N33" s="50">
        <v>0</v>
      </c>
      <c r="O33" s="15">
        <f t="shared" si="0"/>
        <v>1</v>
      </c>
      <c r="P33" s="15">
        <f t="shared" si="1"/>
        <v>4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</v>
      </c>
      <c r="AD33" s="34">
        <f t="shared" si="25"/>
        <v>0</v>
      </c>
      <c r="AE33" s="31">
        <f t="shared" si="25"/>
        <v>1</v>
      </c>
      <c r="AF33" s="31">
        <f t="shared" si="25"/>
        <v>4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MCC'!R510:U510)</f>
        <v>0</v>
      </c>
      <c r="M34" s="50">
        <v>6</v>
      </c>
      <c r="N34" s="50">
        <v>0</v>
      </c>
      <c r="O34" s="15">
        <f t="shared" si="0"/>
        <v>0</v>
      </c>
      <c r="P34" s="15">
        <f t="shared" si="1"/>
        <v>6</v>
      </c>
      <c r="R34" s="38" t="s">
        <v>90</v>
      </c>
      <c r="S34" s="39">
        <f t="shared" ref="S34:AF34" si="26">MAX(S10:S12)</f>
        <v>0</v>
      </c>
      <c r="T34" s="39">
        <f t="shared" si="26"/>
        <v>0</v>
      </c>
      <c r="U34" s="39">
        <f t="shared" si="26"/>
        <v>0</v>
      </c>
      <c r="V34" s="39">
        <f t="shared" si="26"/>
        <v>0</v>
      </c>
      <c r="W34" s="39">
        <f t="shared" si="26"/>
        <v>0</v>
      </c>
      <c r="X34" s="39">
        <f t="shared" si="26"/>
        <v>1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17</v>
      </c>
      <c r="AD34" s="39">
        <f t="shared" si="26"/>
        <v>0</v>
      </c>
      <c r="AE34" s="40">
        <f t="shared" si="26"/>
        <v>4</v>
      </c>
      <c r="AF34" s="40">
        <f t="shared" si="26"/>
        <v>19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MCC'!R511:U511)</f>
        <v>0</v>
      </c>
      <c r="M35" s="50">
        <v>9</v>
      </c>
      <c r="N35" s="50">
        <v>0</v>
      </c>
      <c r="O35" s="15">
        <f t="shared" si="0"/>
        <v>0</v>
      </c>
      <c r="P35" s="15">
        <f t="shared" si="1"/>
        <v>9</v>
      </c>
      <c r="R35" s="38" t="s">
        <v>91</v>
      </c>
      <c r="S35" s="39">
        <f t="shared" ref="S35:AF35" si="27">MAX(S13:S18)</f>
        <v>0</v>
      </c>
      <c r="T35" s="39">
        <f t="shared" si="27"/>
        <v>0</v>
      </c>
      <c r="U35" s="39">
        <f t="shared" si="27"/>
        <v>1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25</v>
      </c>
      <c r="AD35" s="39">
        <f t="shared" si="27"/>
        <v>0</v>
      </c>
      <c r="AE35" s="40">
        <f t="shared" si="27"/>
        <v>3</v>
      </c>
      <c r="AF35" s="40">
        <f t="shared" si="27"/>
        <v>28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MCC'!R512:U512)</f>
        <v>0</v>
      </c>
      <c r="M36" s="50">
        <v>4</v>
      </c>
      <c r="N36" s="50">
        <v>0</v>
      </c>
      <c r="O36" s="15">
        <f t="shared" si="0"/>
        <v>0</v>
      </c>
      <c r="P36" s="15">
        <f t="shared" si="1"/>
        <v>4</v>
      </c>
      <c r="R36" s="38" t="s">
        <v>92</v>
      </c>
      <c r="S36" s="39">
        <f t="shared" ref="S36:AF36" si="28">MAX(S19:S21)</f>
        <v>1</v>
      </c>
      <c r="T36" s="39">
        <f t="shared" si="28"/>
        <v>0</v>
      </c>
      <c r="U36" s="39">
        <f t="shared" si="28"/>
        <v>1</v>
      </c>
      <c r="V36" s="39">
        <f t="shared" si="28"/>
        <v>1</v>
      </c>
      <c r="W36" s="39">
        <f t="shared" si="28"/>
        <v>1</v>
      </c>
      <c r="X36" s="39">
        <f t="shared" si="28"/>
        <v>0</v>
      </c>
      <c r="Y36" s="39">
        <f t="shared" si="28"/>
        <v>1</v>
      </c>
      <c r="Z36" s="39">
        <f t="shared" si="28"/>
        <v>0</v>
      </c>
      <c r="AA36" s="39">
        <f t="shared" si="28"/>
        <v>1</v>
      </c>
      <c r="AB36" s="39">
        <f t="shared" si="28"/>
        <v>0</v>
      </c>
      <c r="AC36" s="39">
        <f t="shared" si="28"/>
        <v>14</v>
      </c>
      <c r="AD36" s="39">
        <f t="shared" si="28"/>
        <v>0</v>
      </c>
      <c r="AE36" s="40">
        <f t="shared" si="28"/>
        <v>3</v>
      </c>
      <c r="AF36" s="40">
        <f t="shared" si="28"/>
        <v>16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MCC'!R513:U513)</f>
        <v>0</v>
      </c>
      <c r="M37" s="50">
        <v>6</v>
      </c>
      <c r="N37" s="50">
        <v>0</v>
      </c>
      <c r="O37" s="15">
        <f t="shared" si="0"/>
        <v>0</v>
      </c>
      <c r="P37" s="15">
        <f t="shared" si="1"/>
        <v>6</v>
      </c>
      <c r="R37" s="37" t="s">
        <v>85</v>
      </c>
      <c r="S37" s="35">
        <f t="shared" ref="S37:AF37" si="29">SUM(S10:S12)</f>
        <v>0</v>
      </c>
      <c r="T37" s="16">
        <f t="shared" si="29"/>
        <v>0</v>
      </c>
      <c r="U37" s="16">
        <f t="shared" si="29"/>
        <v>0</v>
      </c>
      <c r="V37" s="16">
        <f t="shared" si="29"/>
        <v>0</v>
      </c>
      <c r="W37" s="16">
        <f t="shared" si="29"/>
        <v>0</v>
      </c>
      <c r="X37" s="16">
        <f t="shared" si="29"/>
        <v>1</v>
      </c>
      <c r="Y37" s="16">
        <f t="shared" si="29"/>
        <v>5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36</v>
      </c>
      <c r="AD37" s="16">
        <f t="shared" si="29"/>
        <v>0</v>
      </c>
      <c r="AE37" s="32">
        <f t="shared" si="29"/>
        <v>6</v>
      </c>
      <c r="AF37" s="32">
        <f t="shared" si="29"/>
        <v>42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f>SUM('[1]RD130 MCC'!R514:U514)</f>
        <v>0</v>
      </c>
      <c r="M38" s="50">
        <v>9</v>
      </c>
      <c r="N38" s="50">
        <v>0</v>
      </c>
      <c r="O38" s="15">
        <f t="shared" si="0"/>
        <v>2</v>
      </c>
      <c r="P38" s="15">
        <f t="shared" si="1"/>
        <v>11</v>
      </c>
      <c r="R38" s="28" t="s">
        <v>86</v>
      </c>
      <c r="S38" s="16">
        <f t="shared" ref="S38:AF38" si="30">SUM(S13:S18)</f>
        <v>0</v>
      </c>
      <c r="T38" s="16">
        <f t="shared" si="30"/>
        <v>0</v>
      </c>
      <c r="U38" s="16">
        <f t="shared" si="30"/>
        <v>3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4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130</v>
      </c>
      <c r="AD38" s="16">
        <f t="shared" si="30"/>
        <v>0</v>
      </c>
      <c r="AE38" s="32">
        <f t="shared" si="30"/>
        <v>7</v>
      </c>
      <c r="AF38" s="32">
        <f t="shared" si="30"/>
        <v>137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f>SUM('[1]RD130 MCC'!R515:U515)</f>
        <v>0</v>
      </c>
      <c r="M39" s="50">
        <v>8</v>
      </c>
      <c r="N39" s="50">
        <v>0</v>
      </c>
      <c r="O39" s="15">
        <f t="shared" si="0"/>
        <v>1</v>
      </c>
      <c r="P39" s="15">
        <f t="shared" si="1"/>
        <v>9</v>
      </c>
      <c r="R39" s="29" t="s">
        <v>87</v>
      </c>
      <c r="S39" s="16">
        <f t="shared" ref="S39:AF39" si="31">SUM(S19:S21)</f>
        <v>1</v>
      </c>
      <c r="T39" s="16">
        <f t="shared" si="31"/>
        <v>0</v>
      </c>
      <c r="U39" s="16">
        <f t="shared" si="31"/>
        <v>2</v>
      </c>
      <c r="V39" s="16">
        <f t="shared" si="31"/>
        <v>1</v>
      </c>
      <c r="W39" s="16">
        <f t="shared" si="31"/>
        <v>1</v>
      </c>
      <c r="X39" s="16">
        <f t="shared" si="31"/>
        <v>0</v>
      </c>
      <c r="Y39" s="16">
        <f t="shared" si="31"/>
        <v>1</v>
      </c>
      <c r="Z39" s="16">
        <f t="shared" si="31"/>
        <v>0</v>
      </c>
      <c r="AA39" s="16">
        <f t="shared" si="31"/>
        <v>1</v>
      </c>
      <c r="AB39" s="16">
        <f t="shared" si="31"/>
        <v>0</v>
      </c>
      <c r="AC39" s="16">
        <f t="shared" si="31"/>
        <v>34</v>
      </c>
      <c r="AD39" s="16">
        <f t="shared" si="31"/>
        <v>0</v>
      </c>
      <c r="AE39" s="32">
        <f t="shared" si="31"/>
        <v>7</v>
      </c>
      <c r="AF39" s="32">
        <f t="shared" si="31"/>
        <v>41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f>SUM('[1]RD130 MCC'!R516:U516)</f>
        <v>0</v>
      </c>
      <c r="M40" s="50">
        <v>6</v>
      </c>
      <c r="N40" s="50">
        <v>0</v>
      </c>
      <c r="O40" s="15">
        <f t="shared" si="0"/>
        <v>0</v>
      </c>
      <c r="P40" s="15">
        <f t="shared" si="1"/>
        <v>6</v>
      </c>
      <c r="R40" s="5" t="s">
        <v>17</v>
      </c>
      <c r="S40" s="16">
        <f t="shared" ref="S40:AF40" si="32">SUM(S10:S21)</f>
        <v>1</v>
      </c>
      <c r="T40" s="16">
        <f t="shared" si="32"/>
        <v>0</v>
      </c>
      <c r="U40" s="16">
        <f t="shared" si="32"/>
        <v>5</v>
      </c>
      <c r="V40" s="16">
        <f t="shared" si="32"/>
        <v>1</v>
      </c>
      <c r="W40" s="16">
        <f t="shared" si="32"/>
        <v>1</v>
      </c>
      <c r="X40" s="16">
        <f t="shared" si="32"/>
        <v>1</v>
      </c>
      <c r="Y40" s="16">
        <f t="shared" si="32"/>
        <v>10</v>
      </c>
      <c r="Z40" s="16">
        <f t="shared" si="32"/>
        <v>0</v>
      </c>
      <c r="AA40" s="16">
        <f t="shared" si="32"/>
        <v>1</v>
      </c>
      <c r="AB40" s="16">
        <f t="shared" si="32"/>
        <v>0</v>
      </c>
      <c r="AC40" s="16">
        <f t="shared" si="32"/>
        <v>200</v>
      </c>
      <c r="AD40" s="16">
        <f t="shared" si="32"/>
        <v>0</v>
      </c>
      <c r="AE40" s="32">
        <f t="shared" si="32"/>
        <v>20</v>
      </c>
      <c r="AF40" s="32">
        <f t="shared" si="32"/>
        <v>220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MCC'!R517:U517)</f>
        <v>0</v>
      </c>
      <c r="M41" s="50">
        <v>2</v>
      </c>
      <c r="N41" s="50">
        <v>0</v>
      </c>
      <c r="O41" s="15">
        <f t="shared" si="0"/>
        <v>0</v>
      </c>
      <c r="P41" s="15">
        <f t="shared" si="1"/>
        <v>2</v>
      </c>
      <c r="R41" s="5" t="s">
        <v>159</v>
      </c>
      <c r="S41" s="16">
        <f>SUM(S10:S33)</f>
        <v>1</v>
      </c>
      <c r="T41" s="16">
        <f t="shared" ref="T41:AF41" si="33">SUM(T10:T33)</f>
        <v>0</v>
      </c>
      <c r="U41" s="16">
        <f t="shared" si="33"/>
        <v>7</v>
      </c>
      <c r="V41" s="16">
        <f t="shared" si="33"/>
        <v>2</v>
      </c>
      <c r="W41" s="16">
        <f t="shared" si="33"/>
        <v>1</v>
      </c>
      <c r="X41" s="16">
        <f t="shared" si="33"/>
        <v>2</v>
      </c>
      <c r="Y41" s="16">
        <f t="shared" si="33"/>
        <v>14</v>
      </c>
      <c r="Z41" s="16">
        <f t="shared" si="33"/>
        <v>0</v>
      </c>
      <c r="AA41" s="16">
        <f t="shared" si="33"/>
        <v>1</v>
      </c>
      <c r="AB41" s="16">
        <f t="shared" si="33"/>
        <v>0</v>
      </c>
      <c r="AC41" s="16">
        <f t="shared" si="33"/>
        <v>234</v>
      </c>
      <c r="AD41" s="16">
        <f t="shared" si="33"/>
        <v>0</v>
      </c>
      <c r="AE41" s="32">
        <f t="shared" si="33"/>
        <v>28</v>
      </c>
      <c r="AF41" s="32">
        <f t="shared" si="33"/>
        <v>262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MCC'!R518:U518)</f>
        <v>0</v>
      </c>
      <c r="M42" s="50">
        <v>4</v>
      </c>
      <c r="N42" s="50">
        <v>0</v>
      </c>
      <c r="O42" s="15">
        <f t="shared" si="0"/>
        <v>0</v>
      </c>
      <c r="P42" s="15">
        <f t="shared" si="1"/>
        <v>4</v>
      </c>
      <c r="R42" s="5" t="s">
        <v>160</v>
      </c>
      <c r="S42" s="48">
        <f>S41/S40</f>
        <v>1</v>
      </c>
      <c r="T42" s="48" t="e">
        <f t="shared" ref="T42:AF42" si="34">T41/T40</f>
        <v>#DIV/0!</v>
      </c>
      <c r="U42" s="48">
        <f t="shared" si="34"/>
        <v>1.4</v>
      </c>
      <c r="V42" s="48">
        <f t="shared" si="34"/>
        <v>2</v>
      </c>
      <c r="W42" s="48">
        <f t="shared" si="34"/>
        <v>1</v>
      </c>
      <c r="X42" s="48">
        <f t="shared" si="34"/>
        <v>2</v>
      </c>
      <c r="Y42" s="48">
        <f t="shared" si="34"/>
        <v>1.4</v>
      </c>
      <c r="Z42" s="48" t="e">
        <f t="shared" si="34"/>
        <v>#DIV/0!</v>
      </c>
      <c r="AA42" s="48">
        <f t="shared" si="34"/>
        <v>1</v>
      </c>
      <c r="AB42" s="48" t="e">
        <f t="shared" si="34"/>
        <v>#DIV/0!</v>
      </c>
      <c r="AC42" s="48">
        <f t="shared" si="34"/>
        <v>1.17</v>
      </c>
      <c r="AD42" s="48" t="e">
        <f t="shared" si="34"/>
        <v>#DIV/0!</v>
      </c>
      <c r="AE42" s="48">
        <f t="shared" si="34"/>
        <v>1.4</v>
      </c>
      <c r="AF42" s="48">
        <f t="shared" si="34"/>
        <v>1.1909090909090909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MCC'!R519:U519)</f>
        <v>0</v>
      </c>
      <c r="M43" s="50">
        <v>5</v>
      </c>
      <c r="N43" s="50">
        <v>0</v>
      </c>
      <c r="O43" s="15">
        <f t="shared" si="0"/>
        <v>0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MCC'!R520:U520)</f>
        <v>0</v>
      </c>
      <c r="M44" s="50">
        <v>3</v>
      </c>
      <c r="N44" s="50">
        <v>0</v>
      </c>
      <c r="O44" s="15">
        <f t="shared" si="0"/>
        <v>0</v>
      </c>
      <c r="P44" s="15">
        <f t="shared" si="1"/>
        <v>3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SUM('[1]RD130 MCC'!R521:U521)</f>
        <v>0</v>
      </c>
      <c r="M45" s="50">
        <v>4</v>
      </c>
      <c r="N45" s="50">
        <v>0</v>
      </c>
      <c r="O45" s="15">
        <f t="shared" si="0"/>
        <v>0</v>
      </c>
      <c r="P45" s="15">
        <f t="shared" si="1"/>
        <v>4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f>SUM('[1]RD130 MCC'!R522:U522)</f>
        <v>0</v>
      </c>
      <c r="M46" s="50">
        <v>2</v>
      </c>
      <c r="N46" s="50">
        <v>0</v>
      </c>
      <c r="O46" s="15">
        <f t="shared" si="0"/>
        <v>2</v>
      </c>
      <c r="P46" s="15">
        <f t="shared" si="1"/>
        <v>4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MCC'!R523:U523)</f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MCC'!R524:U524)</f>
        <v>0</v>
      </c>
      <c r="M48" s="50">
        <v>2</v>
      </c>
      <c r="N48" s="50">
        <v>0</v>
      </c>
      <c r="O48" s="15">
        <f t="shared" si="0"/>
        <v>1</v>
      </c>
      <c r="P48" s="15">
        <f t="shared" si="1"/>
        <v>3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MCC'!R525:U525)</f>
        <v>0</v>
      </c>
      <c r="M49" s="50">
        <v>5</v>
      </c>
      <c r="N49" s="50">
        <v>0</v>
      </c>
      <c r="O49" s="15">
        <f t="shared" si="0"/>
        <v>0</v>
      </c>
      <c r="P49" s="15">
        <f t="shared" si="1"/>
        <v>5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MCC'!R526:U526)</f>
        <v>0</v>
      </c>
      <c r="M50" s="50">
        <v>2</v>
      </c>
      <c r="N50" s="50">
        <v>0</v>
      </c>
      <c r="O50" s="15">
        <f t="shared" si="0"/>
        <v>0</v>
      </c>
      <c r="P50" s="15">
        <f t="shared" si="1"/>
        <v>2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MCC'!R527:U527)</f>
        <v>0</v>
      </c>
      <c r="M51" s="50">
        <v>4</v>
      </c>
      <c r="N51" s="50">
        <v>0</v>
      </c>
      <c r="O51" s="15">
        <f t="shared" si="0"/>
        <v>1</v>
      </c>
      <c r="P51" s="15">
        <f t="shared" si="1"/>
        <v>5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MCC'!R528:U528)</f>
        <v>0</v>
      </c>
      <c r="M52" s="50">
        <v>5</v>
      </c>
      <c r="N52" s="50">
        <v>0</v>
      </c>
      <c r="O52" s="15">
        <f t="shared" si="0"/>
        <v>0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MCC'!R529:U529)</f>
        <v>0</v>
      </c>
      <c r="M53" s="50">
        <v>3</v>
      </c>
      <c r="N53" s="50">
        <v>0</v>
      </c>
      <c r="O53" s="15">
        <f t="shared" si="0"/>
        <v>1</v>
      </c>
      <c r="P53" s="15">
        <f t="shared" si="1"/>
        <v>4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MCC'!R530:U530)</f>
        <v>0</v>
      </c>
      <c r="M54" s="50">
        <v>2</v>
      </c>
      <c r="N54" s="50">
        <v>0</v>
      </c>
      <c r="O54" s="15">
        <f t="shared" si="0"/>
        <v>0</v>
      </c>
      <c r="P54" s="15">
        <f t="shared" si="1"/>
        <v>2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MCC'!R531:U531)</f>
        <v>0</v>
      </c>
      <c r="M55" s="50">
        <v>4</v>
      </c>
      <c r="N55" s="50">
        <v>0</v>
      </c>
      <c r="O55" s="15">
        <f t="shared" si="0"/>
        <v>1</v>
      </c>
      <c r="P55" s="15">
        <f t="shared" si="1"/>
        <v>5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MCC'!R532:U532)</f>
        <v>0</v>
      </c>
      <c r="M56" s="50">
        <v>1</v>
      </c>
      <c r="N56" s="50">
        <v>0</v>
      </c>
      <c r="O56" s="15">
        <f t="shared" si="0"/>
        <v>0</v>
      </c>
      <c r="P56" s="15">
        <f t="shared" si="1"/>
        <v>1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MCC'!R533:U533)</f>
        <v>0</v>
      </c>
      <c r="M57" s="50">
        <v>2</v>
      </c>
      <c r="N57" s="50">
        <v>0</v>
      </c>
      <c r="O57" s="15">
        <f t="shared" si="0"/>
        <v>1</v>
      </c>
      <c r="P57" s="15">
        <f t="shared" si="1"/>
        <v>3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f>SUM('[1]RD130 MCC'!R534:U534)</f>
        <v>0</v>
      </c>
      <c r="M58" s="50">
        <v>3</v>
      </c>
      <c r="N58" s="50">
        <v>0</v>
      </c>
      <c r="O58" s="15">
        <f t="shared" si="0"/>
        <v>0</v>
      </c>
      <c r="P58" s="15">
        <f t="shared" si="1"/>
        <v>3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f>SUM('[1]RD130 MCC'!R535:U535)</f>
        <v>0</v>
      </c>
      <c r="M59" s="50">
        <v>4</v>
      </c>
      <c r="N59" s="50">
        <v>0</v>
      </c>
      <c r="O59" s="15">
        <f t="shared" si="0"/>
        <v>0</v>
      </c>
      <c r="P59" s="15">
        <f t="shared" si="1"/>
        <v>4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f>SUM('[1]RD130 MCC'!R536:U536)</f>
        <v>0</v>
      </c>
      <c r="M60" s="50">
        <v>2</v>
      </c>
      <c r="N60" s="50">
        <v>0</v>
      </c>
      <c r="O60" s="15">
        <f t="shared" si="0"/>
        <v>0</v>
      </c>
      <c r="P60" s="15">
        <f t="shared" si="1"/>
        <v>2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f>SUM('[1]RD130 MCC'!R537:U537)</f>
        <v>0</v>
      </c>
      <c r="M61" s="50">
        <v>0</v>
      </c>
      <c r="N61" s="50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f>SUM('[1]RD130 MCC'!R538:U538)</f>
        <v>0</v>
      </c>
      <c r="M62" s="50">
        <v>1</v>
      </c>
      <c r="N62" s="50">
        <v>0</v>
      </c>
      <c r="O62" s="15">
        <f t="shared" si="0"/>
        <v>0</v>
      </c>
      <c r="P62" s="15">
        <f t="shared" si="1"/>
        <v>1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f>SUM('[1]RD130 MCC'!R539:U539)</f>
        <v>0</v>
      </c>
      <c r="M63" s="50">
        <v>1</v>
      </c>
      <c r="N63" s="50">
        <v>0</v>
      </c>
      <c r="O63" s="15">
        <f t="shared" si="0"/>
        <v>0</v>
      </c>
      <c r="P63" s="15">
        <f t="shared" si="1"/>
        <v>1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f>SUM('[1]RD130 MCC'!R540:U540)</f>
        <v>0</v>
      </c>
      <c r="M64" s="50">
        <v>2</v>
      </c>
      <c r="N64" s="50">
        <v>0</v>
      </c>
      <c r="O64" s="15">
        <f t="shared" si="0"/>
        <v>1</v>
      </c>
      <c r="P64" s="15">
        <f t="shared" si="1"/>
        <v>3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f>SUM('[1]RD130 MCC'!R541:U541)</f>
        <v>0</v>
      </c>
      <c r="M65" s="50">
        <v>2</v>
      </c>
      <c r="N65" s="50">
        <v>0</v>
      </c>
      <c r="O65" s="15">
        <f t="shared" si="0"/>
        <v>1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f>SUM('[1]RD130 MCC'!R542:U542)</f>
        <v>0</v>
      </c>
      <c r="M66" s="50">
        <v>3</v>
      </c>
      <c r="N66" s="50">
        <v>0</v>
      </c>
      <c r="O66" s="15">
        <f t="shared" si="0"/>
        <v>0</v>
      </c>
      <c r="P66" s="15">
        <f t="shared" si="1"/>
        <v>3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f>SUM('[1]RD130 MCC'!R543:U543)</f>
        <v>0</v>
      </c>
      <c r="M67" s="50">
        <v>1</v>
      </c>
      <c r="N67" s="50">
        <v>0</v>
      </c>
      <c r="O67" s="15">
        <f t="shared" si="0"/>
        <v>0</v>
      </c>
      <c r="P67" s="15">
        <f t="shared" si="1"/>
        <v>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f>SUM('[1]RD130 MCC'!R544:U544)</f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f>SUM('[1]RD130 MCC'!R545:U545)</f>
        <v>0</v>
      </c>
      <c r="M69" s="50">
        <v>1</v>
      </c>
      <c r="N69" s="50"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f>SUM('[1]RD130 MCC'!R546:U546)</f>
        <v>0</v>
      </c>
      <c r="M70" s="50">
        <v>2</v>
      </c>
      <c r="N70" s="50">
        <v>0</v>
      </c>
      <c r="O70" s="15">
        <f t="shared" si="0"/>
        <v>0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f>SUM('[1]RD130 MCC'!R547:U547)</f>
        <v>0</v>
      </c>
      <c r="M71" s="50">
        <v>1</v>
      </c>
      <c r="N71" s="50">
        <v>0</v>
      </c>
      <c r="O71" s="15">
        <f t="shared" si="0"/>
        <v>0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1</v>
      </c>
      <c r="G72" s="50">
        <v>0</v>
      </c>
      <c r="H72" s="50">
        <v>1</v>
      </c>
      <c r="I72" s="50">
        <v>0</v>
      </c>
      <c r="J72" s="50">
        <v>0</v>
      </c>
      <c r="K72" s="50">
        <v>0</v>
      </c>
      <c r="L72" s="50">
        <f>SUM('[1]RD130 MCC'!R548:U548)</f>
        <v>0</v>
      </c>
      <c r="M72" s="50">
        <v>0</v>
      </c>
      <c r="N72" s="50">
        <v>0</v>
      </c>
      <c r="O72" s="15">
        <f t="shared" si="0"/>
        <v>2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f>SUM('[1]RD130 MCC'!R549:U549)</f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f>SUM('[1]RD130 MCC'!R550:U550)</f>
        <v>0</v>
      </c>
      <c r="M74" s="50">
        <v>1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f>SUM('[1]RD130 MCC'!R551:U551)</f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f>SUM('[1]RD130 MCC'!R552:U552)</f>
        <v>0</v>
      </c>
      <c r="M76" s="50">
        <v>1</v>
      </c>
      <c r="N76" s="50">
        <v>0</v>
      </c>
      <c r="O76" s="15">
        <f t="shared" si="35"/>
        <v>1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f>SUM('[1]RD130 MCC'!R553:U553)</f>
        <v>0</v>
      </c>
      <c r="M77" s="50">
        <v>1</v>
      </c>
      <c r="N77" s="50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f>SUM('[1]RD130 MCC'!R554:U554)</f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f>SUM('[1]RD130 MCC'!R555:U555)</f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f>SUM('[1]RD130 MCC'!R556:U556)</f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f>SUM('[1]RD130 MCC'!R557:U557)</f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f>SUM('[1]RD130 MCC'!R558:U558)</f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f>SUM('[1]RD130 MCC'!R559:U559)</f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f>SUM('[1]RD130 MCC'!R560:U560)</f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f>SUM('[1]RD130 MCC'!R561:U561)</f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f>SUM('[1]RD130 MCC'!R562:U562)</f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f>SUM('[1]RD130 MCC'!R563:U563)</f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f>SUM('[1]RD130 MCC'!R564:U564)</f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f>SUM('[1]RD130 MCC'!R565:U565)</f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f>SUM('[1]RD130 MCC'!R566:U566)</f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f>SUM('[1]RD130 MCC'!R567:U567)</f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f>SUM('[1]RD130 MCC'!R568:U568)</f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f>SUM('[1]RD130 MCC'!R569:U569)</f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f>SUM('[1]RD130 MCC'!R570:U570)</f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f>SUM('[1]RD130 MCC'!R571:U571)</f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f>SUM('[1]RD130 MCC'!R572:U572)</f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f>SUM('[1]RD130 MCC'!R573:U573)</f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f>SUM('[1]RD130 MCC'!R574:U574)</f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f>SUM('[1]RD130 MCC'!R575:U575)</f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f>SUM('[1]RD130 MCC'!R576:U576)</f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f>SUM('[1]RD130 MCC'!R577:U577)</f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f>SUM('[1]RD130 MCC'!R578:U578)</f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f>SUM('[1]RD130 MCC'!R579:U579)</f>
        <v>0</v>
      </c>
      <c r="M103" s="50">
        <v>2</v>
      </c>
      <c r="N103" s="50">
        <v>0</v>
      </c>
      <c r="O103" s="15">
        <f t="shared" si="35"/>
        <v>0</v>
      </c>
      <c r="P103" s="15">
        <f t="shared" si="36"/>
        <v>2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f>SUM('[1]RD130 MCC'!R580:U580)</f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f>SUM('[1]RD130 MCC'!R581:U581)</f>
        <v>0</v>
      </c>
      <c r="M105" s="50">
        <v>1</v>
      </c>
      <c r="N105" s="50">
        <v>0</v>
      </c>
      <c r="O105" s="15">
        <f t="shared" si="35"/>
        <v>0</v>
      </c>
      <c r="P105" s="15">
        <f t="shared" si="36"/>
        <v>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</v>
      </c>
      <c r="D106" s="16">
        <f t="shared" ref="D106:P106" si="37">SUM(D10:D105)</f>
        <v>0</v>
      </c>
      <c r="E106" s="16">
        <f t="shared" si="37"/>
        <v>7</v>
      </c>
      <c r="F106" s="16">
        <f t="shared" si="37"/>
        <v>2</v>
      </c>
      <c r="G106" s="16">
        <f t="shared" si="37"/>
        <v>1</v>
      </c>
      <c r="H106" s="16">
        <f t="shared" si="37"/>
        <v>2</v>
      </c>
      <c r="I106" s="16">
        <f t="shared" si="37"/>
        <v>14</v>
      </c>
      <c r="J106" s="16">
        <f t="shared" si="37"/>
        <v>0</v>
      </c>
      <c r="K106" s="16">
        <f t="shared" si="37"/>
        <v>1</v>
      </c>
      <c r="L106" s="16">
        <f t="shared" si="37"/>
        <v>0</v>
      </c>
      <c r="M106" s="16">
        <f t="shared" si="37"/>
        <v>234</v>
      </c>
      <c r="N106" s="16">
        <f t="shared" si="37"/>
        <v>0</v>
      </c>
      <c r="O106" s="16">
        <f t="shared" si="37"/>
        <v>28</v>
      </c>
      <c r="P106" s="16">
        <f t="shared" si="37"/>
        <v>262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3.8167938931297708E-3</v>
      </c>
      <c r="D107" s="43">
        <f t="shared" si="38"/>
        <v>0</v>
      </c>
      <c r="E107" s="43">
        <f t="shared" si="38"/>
        <v>2.6717557251908396E-2</v>
      </c>
      <c r="F107" s="43">
        <f t="shared" si="38"/>
        <v>7.6335877862595417E-3</v>
      </c>
      <c r="G107" s="43">
        <f t="shared" si="38"/>
        <v>3.8167938931297708E-3</v>
      </c>
      <c r="H107" s="43">
        <f t="shared" si="38"/>
        <v>7.6335877862595417E-3</v>
      </c>
      <c r="I107" s="43">
        <f t="shared" si="38"/>
        <v>5.3435114503816793E-2</v>
      </c>
      <c r="J107" s="43">
        <f t="shared" si="38"/>
        <v>0</v>
      </c>
      <c r="K107" s="43">
        <f t="shared" si="38"/>
        <v>3.8167938931297708E-3</v>
      </c>
      <c r="L107" s="43">
        <f t="shared" si="38"/>
        <v>0</v>
      </c>
      <c r="M107" s="43">
        <f t="shared" si="38"/>
        <v>0.89312977099236646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3.5714285714285712E-2</v>
      </c>
      <c r="D108" s="44">
        <f t="shared" ref="D108:N108" si="39">D106/$O$106</f>
        <v>0</v>
      </c>
      <c r="E108" s="44">
        <f t="shared" si="39"/>
        <v>0.25</v>
      </c>
      <c r="F108" s="44">
        <f t="shared" si="39"/>
        <v>7.1428571428571425E-2</v>
      </c>
      <c r="G108" s="44">
        <f t="shared" si="39"/>
        <v>3.5714285714285712E-2</v>
      </c>
      <c r="H108" s="44">
        <f t="shared" si="39"/>
        <v>7.1428571428571425E-2</v>
      </c>
      <c r="I108" s="44">
        <f t="shared" si="39"/>
        <v>0.5</v>
      </c>
      <c r="J108" s="44">
        <f t="shared" si="39"/>
        <v>0</v>
      </c>
      <c r="K108" s="44">
        <f t="shared" si="39"/>
        <v>3.5714285714285712E-2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topLeftCell="A46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3" t="str">
        <f>'03.08 Palabek-Atiak-24h'!G5:H5</f>
        <v>xxx</v>
      </c>
      <c r="H5" s="64"/>
      <c r="I5" s="14"/>
      <c r="J5" s="2" t="s">
        <v>5</v>
      </c>
      <c r="K5" s="63" t="str">
        <f>'03.08 Palabek-Atiak-24h'!K5:L5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Atiak-Palabek'!D6:E6</f>
        <v>Atiak</v>
      </c>
      <c r="E6" s="64"/>
      <c r="F6" s="2" t="s">
        <v>2</v>
      </c>
      <c r="G6" s="63" t="str">
        <f>'31.07 Atiak-Palabek'!G6:H6</f>
        <v>Palabek</v>
      </c>
      <c r="H6" s="64"/>
      <c r="J6" s="2" t="s">
        <v>21</v>
      </c>
      <c r="K6" s="63" t="str">
        <f>'03.08 Palabek-Atiak-24h'!K6:L6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MCC'!$R$582:$U$582)</f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0</v>
      </c>
      <c r="AF10" s="31">
        <f t="shared" si="2"/>
        <v>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MCC'!$R$582:$U$582)</f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0</v>
      </c>
      <c r="AF11" s="31">
        <f t="shared" si="3"/>
        <v>14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MCC'!$R$582:$U$582)</f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25</v>
      </c>
      <c r="AD12" s="17">
        <f t="shared" si="4"/>
        <v>0</v>
      </c>
      <c r="AE12" s="31">
        <f t="shared" si="4"/>
        <v>4</v>
      </c>
      <c r="AF12" s="31">
        <f t="shared" si="4"/>
        <v>29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MCC'!$R$582:$U$582)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6</v>
      </c>
      <c r="AF13" s="31">
        <f t="shared" si="5"/>
        <v>22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MCC'!$R$582:$U$582)</f>
        <v>0</v>
      </c>
      <c r="M14" s="50">
        <v>2</v>
      </c>
      <c r="N14" s="50">
        <v>0</v>
      </c>
      <c r="O14" s="15">
        <f t="shared" si="0"/>
        <v>0</v>
      </c>
      <c r="P14" s="15">
        <f t="shared" si="1"/>
        <v>2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4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20</v>
      </c>
      <c r="AD14" s="17">
        <f t="shared" si="6"/>
        <v>0</v>
      </c>
      <c r="AE14" s="31">
        <f t="shared" si="6"/>
        <v>10</v>
      </c>
      <c r="AF14" s="31">
        <f t="shared" si="6"/>
        <v>30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MCC'!$R$582:$U$582)</f>
        <v>0</v>
      </c>
      <c r="M15" s="50">
        <v>6</v>
      </c>
      <c r="N15" s="50">
        <v>0</v>
      </c>
      <c r="O15" s="15">
        <f t="shared" si="0"/>
        <v>0</v>
      </c>
      <c r="P15" s="15">
        <f t="shared" si="1"/>
        <v>6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2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17</v>
      </c>
      <c r="AD15" s="17">
        <f t="shared" si="7"/>
        <v>0</v>
      </c>
      <c r="AE15" s="31">
        <f t="shared" si="7"/>
        <v>6</v>
      </c>
      <c r="AF15" s="31">
        <f t="shared" si="7"/>
        <v>23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MCC'!$R$582:$U$582)</f>
        <v>0</v>
      </c>
      <c r="M16" s="50">
        <v>3</v>
      </c>
      <c r="N16" s="50">
        <v>0</v>
      </c>
      <c r="O16" s="15">
        <f t="shared" si="0"/>
        <v>0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14</v>
      </c>
      <c r="AD16" s="17">
        <f t="shared" si="8"/>
        <v>0</v>
      </c>
      <c r="AE16" s="31">
        <f t="shared" si="8"/>
        <v>4</v>
      </c>
      <c r="AF16" s="31">
        <f t="shared" si="8"/>
        <v>18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MCC'!$R$582:$U$582)</f>
        <v>0</v>
      </c>
      <c r="M17" s="50">
        <v>3</v>
      </c>
      <c r="N17" s="50">
        <v>0</v>
      </c>
      <c r="O17" s="15">
        <f t="shared" si="0"/>
        <v>0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</v>
      </c>
      <c r="AD17" s="17">
        <f t="shared" si="9"/>
        <v>0</v>
      </c>
      <c r="AE17" s="31">
        <f t="shared" si="9"/>
        <v>2</v>
      </c>
      <c r="AF17" s="31">
        <f t="shared" si="9"/>
        <v>13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MCC'!$R$582:$U$582)</f>
        <v>0</v>
      </c>
      <c r="M18" s="50">
        <v>5</v>
      </c>
      <c r="N18" s="50">
        <v>0</v>
      </c>
      <c r="O18" s="15">
        <f t="shared" si="0"/>
        <v>2</v>
      </c>
      <c r="P18" s="15">
        <f t="shared" si="1"/>
        <v>7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2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5</v>
      </c>
      <c r="AF18" s="31">
        <f t="shared" si="10"/>
        <v>17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MCC'!$R$582:$U$582)</f>
        <v>0</v>
      </c>
      <c r="M19" s="50">
        <v>8</v>
      </c>
      <c r="N19" s="50">
        <v>0</v>
      </c>
      <c r="O19" s="15">
        <f t="shared" si="0"/>
        <v>0</v>
      </c>
      <c r="P19" s="15">
        <f t="shared" si="1"/>
        <v>8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18</v>
      </c>
      <c r="AD19" s="17">
        <f t="shared" si="11"/>
        <v>0</v>
      </c>
      <c r="AE19" s="31">
        <f t="shared" si="11"/>
        <v>1</v>
      </c>
      <c r="AF19" s="31">
        <f t="shared" si="11"/>
        <v>19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f>SUM('[1]RD130 MCC'!$R$582:$U$582)</f>
        <v>0</v>
      </c>
      <c r="M20" s="50">
        <v>4</v>
      </c>
      <c r="N20" s="50">
        <v>0</v>
      </c>
      <c r="O20" s="15">
        <f t="shared" si="0"/>
        <v>1</v>
      </c>
      <c r="P20" s="15">
        <f t="shared" si="1"/>
        <v>5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</v>
      </c>
      <c r="AD20" s="17">
        <f t="shared" si="12"/>
        <v>0</v>
      </c>
      <c r="AE20" s="31">
        <f t="shared" si="12"/>
        <v>7</v>
      </c>
      <c r="AF20" s="31">
        <f t="shared" si="12"/>
        <v>14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MCC'!$R$582:$U$582)</f>
        <v>0</v>
      </c>
      <c r="M21" s="50">
        <v>8</v>
      </c>
      <c r="N21" s="50">
        <v>0</v>
      </c>
      <c r="O21" s="15">
        <f t="shared" si="0"/>
        <v>1</v>
      </c>
      <c r="P21" s="15">
        <f t="shared" si="1"/>
        <v>9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18</v>
      </c>
      <c r="AD21" s="17">
        <f t="shared" si="13"/>
        <v>0</v>
      </c>
      <c r="AE21" s="31">
        <f t="shared" si="13"/>
        <v>2</v>
      </c>
      <c r="AF21" s="31">
        <f t="shared" si="13"/>
        <v>20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MCC'!$R$582:$U$582)</f>
        <v>0</v>
      </c>
      <c r="M22" s="50">
        <v>3</v>
      </c>
      <c r="N22" s="50">
        <v>0</v>
      </c>
      <c r="O22" s="15">
        <f t="shared" si="0"/>
        <v>2</v>
      </c>
      <c r="P22" s="15">
        <f t="shared" si="1"/>
        <v>5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25</v>
      </c>
      <c r="AD22" s="39">
        <f t="shared" si="14"/>
        <v>0</v>
      </c>
      <c r="AE22" s="40">
        <f t="shared" si="14"/>
        <v>4</v>
      </c>
      <c r="AF22" s="40">
        <f t="shared" si="14"/>
        <v>29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f>SUM('[1]RD130 MCC'!$R$582:$U$582)</f>
        <v>0</v>
      </c>
      <c r="M23" s="50">
        <v>8</v>
      </c>
      <c r="N23" s="50">
        <v>0</v>
      </c>
      <c r="O23" s="15">
        <f t="shared" si="0"/>
        <v>1</v>
      </c>
      <c r="P23" s="15">
        <f t="shared" si="1"/>
        <v>9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4</v>
      </c>
      <c r="V23" s="39">
        <f t="shared" si="15"/>
        <v>3</v>
      </c>
      <c r="W23" s="39">
        <f t="shared" si="15"/>
        <v>0</v>
      </c>
      <c r="X23" s="39">
        <f t="shared" si="15"/>
        <v>2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20</v>
      </c>
      <c r="AD23" s="39">
        <f t="shared" si="15"/>
        <v>0</v>
      </c>
      <c r="AE23" s="40">
        <f t="shared" si="15"/>
        <v>10</v>
      </c>
      <c r="AF23" s="40">
        <f t="shared" si="15"/>
        <v>30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f>SUM('[1]RD130 MCC'!$R$582:$U$582)</f>
        <v>0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8" t="s">
        <v>92</v>
      </c>
      <c r="S24" s="39">
        <f>MAX(S19:S21)</f>
        <v>0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18</v>
      </c>
      <c r="AD24" s="39">
        <f t="shared" si="16"/>
        <v>0</v>
      </c>
      <c r="AE24" s="40">
        <f t="shared" si="16"/>
        <v>7</v>
      </c>
      <c r="AF24" s="40">
        <f t="shared" si="16"/>
        <v>20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MCC'!$R$582:$U$582)</f>
        <v>0</v>
      </c>
      <c r="M25" s="50">
        <v>3</v>
      </c>
      <c r="N25" s="50">
        <v>0</v>
      </c>
      <c r="O25" s="15">
        <f t="shared" si="0"/>
        <v>1</v>
      </c>
      <c r="P25" s="15">
        <f t="shared" si="1"/>
        <v>4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1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41</v>
      </c>
      <c r="AD25" s="16">
        <f t="shared" si="17"/>
        <v>0</v>
      </c>
      <c r="AE25" s="32">
        <f t="shared" si="17"/>
        <v>4</v>
      </c>
      <c r="AF25" s="32">
        <f t="shared" si="17"/>
        <v>45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MCC'!$R$582:$U$582)</f>
        <v>0</v>
      </c>
      <c r="M26" s="50">
        <v>6</v>
      </c>
      <c r="N26" s="50">
        <v>0</v>
      </c>
      <c r="O26" s="15">
        <f t="shared" si="0"/>
        <v>2</v>
      </c>
      <c r="P26" s="15">
        <f t="shared" si="1"/>
        <v>8</v>
      </c>
      <c r="R26" s="28" t="s">
        <v>86</v>
      </c>
      <c r="S26" s="16">
        <f t="shared" ref="S26:AF26" si="18">SUM(S13:S18)</f>
        <v>1</v>
      </c>
      <c r="T26" s="16">
        <f t="shared" si="18"/>
        <v>0</v>
      </c>
      <c r="U26" s="16">
        <f t="shared" si="18"/>
        <v>11</v>
      </c>
      <c r="V26" s="16">
        <f t="shared" si="18"/>
        <v>6</v>
      </c>
      <c r="W26" s="16">
        <f t="shared" si="18"/>
        <v>0</v>
      </c>
      <c r="X26" s="16">
        <f t="shared" si="18"/>
        <v>2</v>
      </c>
      <c r="Y26" s="16">
        <f t="shared" si="18"/>
        <v>11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90</v>
      </c>
      <c r="AD26" s="16">
        <f t="shared" si="18"/>
        <v>0</v>
      </c>
      <c r="AE26" s="32">
        <f t="shared" si="18"/>
        <v>33</v>
      </c>
      <c r="AF26" s="32">
        <f t="shared" si="18"/>
        <v>123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MCC'!$R$582:$U$582)</f>
        <v>0</v>
      </c>
      <c r="M27" s="50">
        <v>5</v>
      </c>
      <c r="N27" s="50">
        <v>0</v>
      </c>
      <c r="O27" s="15">
        <f t="shared" si="0"/>
        <v>4</v>
      </c>
      <c r="P27" s="15">
        <f t="shared" si="1"/>
        <v>9</v>
      </c>
      <c r="R27" s="29" t="s">
        <v>87</v>
      </c>
      <c r="S27" s="16">
        <f t="shared" ref="S27:AF27" si="19">SUM(S19:S21)</f>
        <v>0</v>
      </c>
      <c r="T27" s="16">
        <f t="shared" si="19"/>
        <v>0</v>
      </c>
      <c r="U27" s="16">
        <f t="shared" si="19"/>
        <v>6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43</v>
      </c>
      <c r="AD27" s="16">
        <f t="shared" si="19"/>
        <v>0</v>
      </c>
      <c r="AE27" s="32">
        <f t="shared" si="19"/>
        <v>10</v>
      </c>
      <c r="AF27" s="32">
        <f t="shared" si="19"/>
        <v>53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f>SUM('[1]RD130 MCC'!$R$582:$U$582)</f>
        <v>0</v>
      </c>
      <c r="M28" s="50">
        <v>2</v>
      </c>
      <c r="N28" s="50">
        <v>0</v>
      </c>
      <c r="O28" s="15">
        <f t="shared" si="0"/>
        <v>1</v>
      </c>
      <c r="P28" s="15">
        <f t="shared" si="1"/>
        <v>3</v>
      </c>
      <c r="R28" s="5" t="s">
        <v>17</v>
      </c>
      <c r="S28" s="16">
        <f t="shared" ref="S28:AF28" si="20">SUM(S10:S21)</f>
        <v>1</v>
      </c>
      <c r="T28" s="16">
        <f t="shared" si="20"/>
        <v>0</v>
      </c>
      <c r="U28" s="16">
        <f t="shared" si="20"/>
        <v>18</v>
      </c>
      <c r="V28" s="16">
        <f t="shared" si="20"/>
        <v>10</v>
      </c>
      <c r="W28" s="16">
        <f t="shared" si="20"/>
        <v>0</v>
      </c>
      <c r="X28" s="16">
        <f t="shared" si="20"/>
        <v>2</v>
      </c>
      <c r="Y28" s="16">
        <f t="shared" si="20"/>
        <v>14</v>
      </c>
      <c r="Z28" s="16">
        <f t="shared" si="20"/>
        <v>2</v>
      </c>
      <c r="AA28" s="16">
        <f t="shared" si="20"/>
        <v>0</v>
      </c>
      <c r="AB28" s="16">
        <f t="shared" si="20"/>
        <v>0</v>
      </c>
      <c r="AC28" s="16">
        <f t="shared" si="20"/>
        <v>174</v>
      </c>
      <c r="AD28" s="16">
        <f t="shared" si="20"/>
        <v>0</v>
      </c>
      <c r="AE28" s="32">
        <f t="shared" si="20"/>
        <v>47</v>
      </c>
      <c r="AF28" s="32">
        <f t="shared" si="20"/>
        <v>221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SUM('[1]RD130 MCC'!$R$582:$U$582)</f>
        <v>0</v>
      </c>
      <c r="M29" s="50">
        <v>7</v>
      </c>
      <c r="N29" s="50">
        <v>0</v>
      </c>
      <c r="O29" s="15">
        <f t="shared" si="0"/>
        <v>3</v>
      </c>
      <c r="P29" s="15">
        <f t="shared" si="1"/>
        <v>10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MCC'!$R$582:$U$582)</f>
        <v>0</v>
      </c>
      <c r="M30" s="50">
        <v>3</v>
      </c>
      <c r="N30" s="50">
        <v>0</v>
      </c>
      <c r="O30" s="15">
        <f t="shared" si="0"/>
        <v>3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MCC'!$R$582:$U$582)</f>
        <v>0</v>
      </c>
      <c r="M31" s="50">
        <v>5</v>
      </c>
      <c r="N31" s="50">
        <v>0</v>
      </c>
      <c r="O31" s="15">
        <f t="shared" si="0"/>
        <v>2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f>SUM('[1]RD130 MCC'!$R$582:$U$582)</f>
        <v>0</v>
      </c>
      <c r="M32" s="50">
        <v>1</v>
      </c>
      <c r="N32" s="50">
        <v>0</v>
      </c>
      <c r="O32" s="15">
        <f t="shared" si="0"/>
        <v>1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MCC'!$R$582:$U$582)</f>
        <v>0</v>
      </c>
      <c r="M33" s="50">
        <v>8</v>
      </c>
      <c r="N33" s="50">
        <v>0</v>
      </c>
      <c r="O33" s="15">
        <f t="shared" si="0"/>
        <v>0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f>SUM('[1]RD130 MCC'!$R$582:$U$582)</f>
        <v>0</v>
      </c>
      <c r="M34" s="50">
        <v>6</v>
      </c>
      <c r="N34" s="50">
        <v>0</v>
      </c>
      <c r="O34" s="15">
        <f t="shared" si="0"/>
        <v>1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MCC'!$R$582:$U$582)</f>
        <v>0</v>
      </c>
      <c r="M35" s="50">
        <v>2</v>
      </c>
      <c r="N35" s="50">
        <v>0</v>
      </c>
      <c r="O35" s="15">
        <f t="shared" si="0"/>
        <v>0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MCC'!$R$582:$U$582)</f>
        <v>0</v>
      </c>
      <c r="M36" s="50">
        <v>4</v>
      </c>
      <c r="N36" s="50">
        <v>0</v>
      </c>
      <c r="O36" s="15">
        <f t="shared" si="0"/>
        <v>2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f>SUM('[1]RD130 MCC'!$R$582:$U$582)</f>
        <v>0</v>
      </c>
      <c r="M37" s="50">
        <v>2</v>
      </c>
      <c r="N37" s="50">
        <v>0</v>
      </c>
      <c r="O37" s="15">
        <f t="shared" si="0"/>
        <v>1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MCC'!$R$582:$U$582)</f>
        <v>0</v>
      </c>
      <c r="M38" s="50">
        <v>1</v>
      </c>
      <c r="N38" s="50">
        <v>0</v>
      </c>
      <c r="O38" s="15">
        <f t="shared" si="0"/>
        <v>0</v>
      </c>
      <c r="P38" s="15">
        <f t="shared" si="1"/>
        <v>1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MCC'!$R$582:$U$582)</f>
        <v>0</v>
      </c>
      <c r="M39" s="50">
        <v>2</v>
      </c>
      <c r="N39" s="50">
        <v>0</v>
      </c>
      <c r="O39" s="15">
        <f t="shared" si="0"/>
        <v>0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f>SUM('[1]RD130 MCC'!$R$582:$U$582)</f>
        <v>0</v>
      </c>
      <c r="M40" s="50">
        <v>4</v>
      </c>
      <c r="N40" s="50">
        <v>0</v>
      </c>
      <c r="O40" s="15">
        <f t="shared" si="0"/>
        <v>2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MCC'!$R$582:$U$582)</f>
        <v>0</v>
      </c>
      <c r="M41" s="50">
        <v>4</v>
      </c>
      <c r="N41" s="50">
        <v>0</v>
      </c>
      <c r="O41" s="15">
        <f t="shared" si="0"/>
        <v>0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MCC'!$R$582:$U$582)</f>
        <v>0</v>
      </c>
      <c r="M42" s="50">
        <v>1</v>
      </c>
      <c r="N42" s="50">
        <v>0</v>
      </c>
      <c r="O42" s="15">
        <f t="shared" si="0"/>
        <v>0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MCC'!$R$582:$U$582)</f>
        <v>0</v>
      </c>
      <c r="M43" s="50">
        <v>3</v>
      </c>
      <c r="N43" s="50">
        <v>0</v>
      </c>
      <c r="O43" s="15">
        <f t="shared" si="0"/>
        <v>0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f>SUM('[1]RD130 MCC'!$R$582:$U$582)</f>
        <v>0</v>
      </c>
      <c r="M44" s="50">
        <v>3</v>
      </c>
      <c r="N44" s="50">
        <v>0</v>
      </c>
      <c r="O44" s="15">
        <f t="shared" si="0"/>
        <v>2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2</v>
      </c>
      <c r="I45" s="50">
        <v>1</v>
      </c>
      <c r="J45" s="50">
        <v>0</v>
      </c>
      <c r="K45" s="50">
        <v>0</v>
      </c>
      <c r="L45" s="50">
        <f>SUM('[1]RD130 MCC'!$R$582:$U$582)</f>
        <v>0</v>
      </c>
      <c r="M45" s="50">
        <v>5</v>
      </c>
      <c r="N45" s="50">
        <v>0</v>
      </c>
      <c r="O45" s="15">
        <f t="shared" si="0"/>
        <v>3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MCC'!$R$582:$U$582)</f>
        <v>0</v>
      </c>
      <c r="M46" s="50">
        <v>8</v>
      </c>
      <c r="N46" s="50">
        <v>0</v>
      </c>
      <c r="O46" s="15">
        <f t="shared" si="0"/>
        <v>0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MCC'!$R$582:$U$582)</f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MCC'!$R$582:$U$582)</f>
        <v>0</v>
      </c>
      <c r="M48" s="50">
        <v>3</v>
      </c>
      <c r="N48" s="50">
        <v>0</v>
      </c>
      <c r="O48" s="15">
        <f t="shared" si="0"/>
        <v>1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MCC'!$R$582:$U$582)</f>
        <v>0</v>
      </c>
      <c r="M49" s="50">
        <v>5</v>
      </c>
      <c r="N49" s="50">
        <v>0</v>
      </c>
      <c r="O49" s="15">
        <f t="shared" si="0"/>
        <v>0</v>
      </c>
      <c r="P49" s="15">
        <f t="shared" si="1"/>
        <v>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MCC'!$R$582:$U$582)</f>
        <v>0</v>
      </c>
      <c r="M50" s="50">
        <v>3</v>
      </c>
      <c r="N50" s="50">
        <v>0</v>
      </c>
      <c r="O50" s="15">
        <f t="shared" si="0"/>
        <v>2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MCC'!$R$582:$U$582)</f>
        <v>0</v>
      </c>
      <c r="M51" s="50">
        <v>1</v>
      </c>
      <c r="N51" s="50">
        <v>0</v>
      </c>
      <c r="O51" s="15">
        <f t="shared" si="0"/>
        <v>2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MCC'!$R$582:$U$582)</f>
        <v>0</v>
      </c>
      <c r="M52" s="50">
        <v>1</v>
      </c>
      <c r="N52" s="50">
        <v>0</v>
      </c>
      <c r="O52" s="15">
        <f t="shared" si="0"/>
        <v>0</v>
      </c>
      <c r="P52" s="15">
        <f t="shared" si="1"/>
        <v>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f>SUM('[1]RD130 MCC'!$R$582:$U$582)</f>
        <v>0</v>
      </c>
      <c r="M53" s="50">
        <v>2</v>
      </c>
      <c r="N53" s="50">
        <v>0</v>
      </c>
      <c r="O53" s="15">
        <f t="shared" si="0"/>
        <v>3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MCC'!$R$582:$U$582)</f>
        <v>0</v>
      </c>
      <c r="M54" s="50">
        <v>4</v>
      </c>
      <c r="N54" s="50">
        <v>0</v>
      </c>
      <c r="O54" s="15">
        <f t="shared" si="0"/>
        <v>0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MCC'!$R$582:$U$582)</f>
        <v>0</v>
      </c>
      <c r="M55" s="50">
        <v>6</v>
      </c>
      <c r="N55" s="50">
        <v>0</v>
      </c>
      <c r="O55" s="15">
        <f t="shared" si="0"/>
        <v>0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f>SUM('[1]RD130 MCC'!$R$582:$U$582)</f>
        <v>0</v>
      </c>
      <c r="M56" s="50">
        <v>3</v>
      </c>
      <c r="N56" s="50">
        <v>0</v>
      </c>
      <c r="O56" s="15">
        <f t="shared" si="0"/>
        <v>1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MCC'!$R$582:$U$582)</f>
        <v>0</v>
      </c>
      <c r="M57" s="50">
        <v>5</v>
      </c>
      <c r="N57" s="50">
        <v>0</v>
      </c>
      <c r="O57" s="15">
        <f t="shared" si="0"/>
        <v>1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0</v>
      </c>
      <c r="E58" s="16">
        <f t="shared" si="21"/>
        <v>18</v>
      </c>
      <c r="F58" s="16">
        <f t="shared" si="21"/>
        <v>10</v>
      </c>
      <c r="G58" s="16">
        <f t="shared" si="21"/>
        <v>0</v>
      </c>
      <c r="H58" s="16">
        <f t="shared" si="21"/>
        <v>2</v>
      </c>
      <c r="I58" s="16">
        <f t="shared" si="21"/>
        <v>14</v>
      </c>
      <c r="J58" s="16">
        <f t="shared" si="21"/>
        <v>2</v>
      </c>
      <c r="K58" s="16">
        <f t="shared" si="21"/>
        <v>0</v>
      </c>
      <c r="L58" s="16">
        <f t="shared" si="21"/>
        <v>0</v>
      </c>
      <c r="M58" s="16">
        <f t="shared" si="21"/>
        <v>174</v>
      </c>
      <c r="N58" s="16">
        <f t="shared" si="21"/>
        <v>0</v>
      </c>
      <c r="O58" s="16">
        <f t="shared" si="21"/>
        <v>47</v>
      </c>
      <c r="P58" s="16">
        <f t="shared" si="21"/>
        <v>221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4.5248868778280547E-3</v>
      </c>
      <c r="D59" s="43">
        <f t="shared" si="22"/>
        <v>0</v>
      </c>
      <c r="E59" s="43">
        <f t="shared" si="22"/>
        <v>8.1447963800904979E-2</v>
      </c>
      <c r="F59" s="43">
        <f t="shared" si="22"/>
        <v>4.5248868778280542E-2</v>
      </c>
      <c r="G59" s="43">
        <f t="shared" si="22"/>
        <v>0</v>
      </c>
      <c r="H59" s="43">
        <f t="shared" si="22"/>
        <v>9.0497737556561094E-3</v>
      </c>
      <c r="I59" s="43">
        <f t="shared" si="22"/>
        <v>6.3348416289592757E-2</v>
      </c>
      <c r="J59" s="43">
        <f t="shared" si="22"/>
        <v>9.0497737556561094E-3</v>
      </c>
      <c r="K59" s="43">
        <f t="shared" si="22"/>
        <v>0</v>
      </c>
      <c r="L59" s="43">
        <f t="shared" si="22"/>
        <v>0</v>
      </c>
      <c r="M59" s="43">
        <f t="shared" si="22"/>
        <v>0.78733031674208143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2.1276595744680851E-2</v>
      </c>
      <c r="D60" s="44">
        <f t="shared" ref="D60:N60" si="23">D58/$O$58</f>
        <v>0</v>
      </c>
      <c r="E60" s="44">
        <f t="shared" si="23"/>
        <v>0.38297872340425532</v>
      </c>
      <c r="F60" s="44">
        <f t="shared" si="23"/>
        <v>0.21276595744680851</v>
      </c>
      <c r="G60" s="44">
        <f t="shared" si="23"/>
        <v>0</v>
      </c>
      <c r="H60" s="44">
        <f t="shared" si="23"/>
        <v>4.2553191489361701E-2</v>
      </c>
      <c r="I60" s="44">
        <f t="shared" si="23"/>
        <v>0.2978723404255319</v>
      </c>
      <c r="J60" s="44">
        <f t="shared" si="23"/>
        <v>4.2553191489361701E-2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B49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Atiak-Palabek'!D5</f>
        <v>04.08.19</v>
      </c>
      <c r="E5" s="3"/>
      <c r="F5" s="41" t="s">
        <v>1</v>
      </c>
      <c r="G5" s="63" t="str">
        <f>'04.08 Atiak-Palabek'!G5:H5</f>
        <v>xxx</v>
      </c>
      <c r="H5" s="64"/>
      <c r="I5" s="14"/>
      <c r="J5" s="2" t="s">
        <v>5</v>
      </c>
      <c r="K5" s="63" t="str">
        <f>'04.08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Palabek-Atiak'!D6:E6</f>
        <v>Palabek</v>
      </c>
      <c r="E6" s="64"/>
      <c r="F6" s="2" t="s">
        <v>2</v>
      </c>
      <c r="G6" s="63" t="str">
        <f>'31.07 Palabek-Atiak'!G6:H6</f>
        <v>Atiak</v>
      </c>
      <c r="H6" s="64"/>
      <c r="J6" s="2" t="s">
        <v>21</v>
      </c>
      <c r="K6" s="63" t="str">
        <f>'04.08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MCC'!R630:U630)</f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0</v>
      </c>
      <c r="AF10" s="31">
        <f t="shared" si="2"/>
        <v>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MCC'!R631:U631)</f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0</v>
      </c>
      <c r="AF11" s="31">
        <f t="shared" si="3"/>
        <v>14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MCC'!R632:U632)</f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2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18</v>
      </c>
      <c r="AD12" s="17">
        <f t="shared" si="4"/>
        <v>0</v>
      </c>
      <c r="AE12" s="31">
        <f t="shared" si="4"/>
        <v>5</v>
      </c>
      <c r="AF12" s="31">
        <f t="shared" si="4"/>
        <v>23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MCC'!R633:U633)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8</v>
      </c>
      <c r="AF13" s="31">
        <f t="shared" si="5"/>
        <v>24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MCC'!R634:U634)</f>
        <v>0</v>
      </c>
      <c r="M14" s="50">
        <v>3</v>
      </c>
      <c r="N14" s="50">
        <v>0</v>
      </c>
      <c r="O14" s="15">
        <f t="shared" si="0"/>
        <v>0</v>
      </c>
      <c r="P14" s="15">
        <f t="shared" si="1"/>
        <v>3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2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</v>
      </c>
      <c r="AD14" s="17">
        <f t="shared" si="6"/>
        <v>0</v>
      </c>
      <c r="AE14" s="31">
        <f t="shared" si="6"/>
        <v>11</v>
      </c>
      <c r="AF14" s="31">
        <f t="shared" si="6"/>
        <v>19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SUM('[1]RD130 MCC'!R635:U635)</f>
        <v>0</v>
      </c>
      <c r="M15" s="50">
        <v>3</v>
      </c>
      <c r="N15" s="50">
        <v>0</v>
      </c>
      <c r="O15" s="15">
        <f t="shared" si="0"/>
        <v>0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5</v>
      </c>
      <c r="AF15" s="31">
        <f t="shared" si="7"/>
        <v>17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MCC'!R636:U636)</f>
        <v>0</v>
      </c>
      <c r="M16" s="50">
        <v>2</v>
      </c>
      <c r="N16" s="50">
        <v>0</v>
      </c>
      <c r="O16" s="15">
        <f t="shared" si="0"/>
        <v>0</v>
      </c>
      <c r="P16" s="15">
        <f t="shared" si="1"/>
        <v>2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</v>
      </c>
      <c r="AD16" s="17">
        <f t="shared" si="8"/>
        <v>0</v>
      </c>
      <c r="AE16" s="31">
        <f t="shared" si="8"/>
        <v>4</v>
      </c>
      <c r="AF16" s="31">
        <f t="shared" si="8"/>
        <v>10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MCC'!R637:U637)</f>
        <v>0</v>
      </c>
      <c r="M17" s="50">
        <v>6</v>
      </c>
      <c r="N17" s="50">
        <v>0</v>
      </c>
      <c r="O17" s="15">
        <f t="shared" si="0"/>
        <v>0</v>
      </c>
      <c r="P17" s="15">
        <f t="shared" si="1"/>
        <v>6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21</v>
      </c>
      <c r="AD17" s="17">
        <f t="shared" si="9"/>
        <v>0</v>
      </c>
      <c r="AE17" s="31">
        <f t="shared" si="9"/>
        <v>2</v>
      </c>
      <c r="AF17" s="31">
        <f t="shared" si="9"/>
        <v>23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MCC'!R638:U638)</f>
        <v>0</v>
      </c>
      <c r="M18" s="50">
        <v>6</v>
      </c>
      <c r="N18" s="50">
        <v>0</v>
      </c>
      <c r="O18" s="15">
        <f t="shared" si="0"/>
        <v>2</v>
      </c>
      <c r="P18" s="15">
        <f t="shared" si="1"/>
        <v>8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13</v>
      </c>
      <c r="AD18" s="17">
        <f t="shared" si="10"/>
        <v>0</v>
      </c>
      <c r="AE18" s="31">
        <f t="shared" si="10"/>
        <v>3</v>
      </c>
      <c r="AF18" s="31">
        <f t="shared" si="10"/>
        <v>16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MCC'!R639:U639)</f>
        <v>0</v>
      </c>
      <c r="M19" s="50">
        <v>4</v>
      </c>
      <c r="N19" s="50">
        <v>0</v>
      </c>
      <c r="O19" s="15">
        <f t="shared" si="0"/>
        <v>0</v>
      </c>
      <c r="P19" s="15">
        <f t="shared" si="1"/>
        <v>4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1</v>
      </c>
      <c r="AF19" s="31">
        <f t="shared" si="11"/>
        <v>13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MCC'!R640:U640)</f>
        <v>0</v>
      </c>
      <c r="M20" s="50">
        <v>4</v>
      </c>
      <c r="N20" s="50">
        <v>0</v>
      </c>
      <c r="O20" s="15">
        <f t="shared" si="0"/>
        <v>2</v>
      </c>
      <c r="P20" s="15">
        <f t="shared" si="1"/>
        <v>6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5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11</v>
      </c>
      <c r="AD20" s="17">
        <f t="shared" si="12"/>
        <v>0</v>
      </c>
      <c r="AE20" s="31">
        <f t="shared" si="12"/>
        <v>6</v>
      </c>
      <c r="AF20" s="31">
        <f t="shared" si="12"/>
        <v>17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f>SUM('[1]RD130 MCC'!R641:U641)</f>
        <v>0</v>
      </c>
      <c r="M21" s="50">
        <v>4</v>
      </c>
      <c r="N21" s="50">
        <v>0</v>
      </c>
      <c r="O21" s="15">
        <f t="shared" si="0"/>
        <v>1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13</v>
      </c>
      <c r="AD21" s="17">
        <f t="shared" si="13"/>
        <v>0</v>
      </c>
      <c r="AE21" s="31">
        <f t="shared" si="13"/>
        <v>3</v>
      </c>
      <c r="AF21" s="31">
        <f t="shared" si="13"/>
        <v>16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MCC'!R642:U642)</f>
        <v>0</v>
      </c>
      <c r="M22" s="50">
        <v>3</v>
      </c>
      <c r="N22" s="50">
        <v>0</v>
      </c>
      <c r="O22" s="15">
        <f t="shared" si="0"/>
        <v>2</v>
      </c>
      <c r="P22" s="15">
        <f t="shared" si="1"/>
        <v>5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18</v>
      </c>
      <c r="AD22" s="39">
        <f t="shared" si="14"/>
        <v>0</v>
      </c>
      <c r="AE22" s="40">
        <f t="shared" si="14"/>
        <v>5</v>
      </c>
      <c r="AF22" s="40">
        <f t="shared" si="14"/>
        <v>23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f>SUM('[1]RD130 MCC'!R643:U643)</f>
        <v>0</v>
      </c>
      <c r="M23" s="50">
        <v>5</v>
      </c>
      <c r="N23" s="50">
        <v>0</v>
      </c>
      <c r="O23" s="15">
        <f t="shared" si="0"/>
        <v>2</v>
      </c>
      <c r="P23" s="15">
        <f t="shared" si="1"/>
        <v>7</v>
      </c>
      <c r="R23" s="38" t="s">
        <v>91</v>
      </c>
      <c r="S23" s="39">
        <f>MAX(S13:S18)</f>
        <v>2</v>
      </c>
      <c r="T23" s="39">
        <f t="shared" ref="T23:AF23" si="15">MAX(T13:T18)</f>
        <v>0</v>
      </c>
      <c r="U23" s="39">
        <f t="shared" si="15"/>
        <v>4</v>
      </c>
      <c r="V23" s="39">
        <f t="shared" si="15"/>
        <v>3</v>
      </c>
      <c r="W23" s="39">
        <f t="shared" si="15"/>
        <v>0</v>
      </c>
      <c r="X23" s="39">
        <f t="shared" si="15"/>
        <v>1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21</v>
      </c>
      <c r="AD23" s="39">
        <f t="shared" si="15"/>
        <v>0</v>
      </c>
      <c r="AE23" s="40">
        <f t="shared" si="15"/>
        <v>11</v>
      </c>
      <c r="AF23" s="40">
        <f t="shared" si="15"/>
        <v>24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f>SUM('[1]RD130 MCC'!R644:U644)</f>
        <v>0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8" t="s">
        <v>92</v>
      </c>
      <c r="S24" s="39">
        <f>MAX(S19:S21)</f>
        <v>0</v>
      </c>
      <c r="T24" s="39">
        <f t="shared" ref="T24:AF24" si="16">MAX(T19:T21)</f>
        <v>0</v>
      </c>
      <c r="U24" s="39">
        <f t="shared" si="16"/>
        <v>5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13</v>
      </c>
      <c r="AD24" s="39">
        <f t="shared" si="16"/>
        <v>0</v>
      </c>
      <c r="AE24" s="40">
        <f t="shared" si="16"/>
        <v>6</v>
      </c>
      <c r="AF24" s="40">
        <f t="shared" si="16"/>
        <v>17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MCC'!R645:U645)</f>
        <v>0</v>
      </c>
      <c r="M25" s="50">
        <v>6</v>
      </c>
      <c r="N25" s="50">
        <v>0</v>
      </c>
      <c r="O25" s="15">
        <f t="shared" si="0"/>
        <v>2</v>
      </c>
      <c r="P25" s="15">
        <f t="shared" si="1"/>
        <v>8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2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34</v>
      </c>
      <c r="AD25" s="16">
        <f t="shared" si="17"/>
        <v>0</v>
      </c>
      <c r="AE25" s="32">
        <f t="shared" si="17"/>
        <v>5</v>
      </c>
      <c r="AF25" s="32">
        <f t="shared" si="17"/>
        <v>39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MCC'!R646:U646)</f>
        <v>0</v>
      </c>
      <c r="M26" s="50">
        <v>2</v>
      </c>
      <c r="N26" s="50">
        <v>0</v>
      </c>
      <c r="O26" s="15">
        <f t="shared" si="0"/>
        <v>0</v>
      </c>
      <c r="P26" s="15">
        <f t="shared" si="1"/>
        <v>2</v>
      </c>
      <c r="R26" s="28" t="s">
        <v>86</v>
      </c>
      <c r="S26" s="16">
        <f t="shared" ref="S26:AF26" si="18">SUM(S13:S18)</f>
        <v>2</v>
      </c>
      <c r="T26" s="16">
        <f t="shared" si="18"/>
        <v>0</v>
      </c>
      <c r="U26" s="16">
        <f t="shared" si="18"/>
        <v>10</v>
      </c>
      <c r="V26" s="16">
        <f t="shared" si="18"/>
        <v>4</v>
      </c>
      <c r="W26" s="16">
        <f t="shared" si="18"/>
        <v>0</v>
      </c>
      <c r="X26" s="16">
        <f t="shared" si="18"/>
        <v>1</v>
      </c>
      <c r="Y26" s="16">
        <f t="shared" si="18"/>
        <v>15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76</v>
      </c>
      <c r="AD26" s="16">
        <f t="shared" si="18"/>
        <v>0</v>
      </c>
      <c r="AE26" s="32">
        <f t="shared" si="18"/>
        <v>33</v>
      </c>
      <c r="AF26" s="32">
        <f t="shared" si="18"/>
        <v>109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SUM('[1]RD130 MCC'!R647:U647)</f>
        <v>0</v>
      </c>
      <c r="M27" s="50">
        <v>3</v>
      </c>
      <c r="N27" s="50">
        <v>0</v>
      </c>
      <c r="O27" s="15">
        <f t="shared" si="0"/>
        <v>3</v>
      </c>
      <c r="P27" s="15">
        <f t="shared" si="1"/>
        <v>6</v>
      </c>
      <c r="R27" s="29" t="s">
        <v>87</v>
      </c>
      <c r="S27" s="16">
        <f t="shared" ref="S27:AF27" si="19">SUM(S19:S21)</f>
        <v>0</v>
      </c>
      <c r="T27" s="16">
        <f t="shared" si="19"/>
        <v>0</v>
      </c>
      <c r="U27" s="16">
        <f t="shared" si="19"/>
        <v>5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36</v>
      </c>
      <c r="AD27" s="16">
        <f t="shared" si="19"/>
        <v>0</v>
      </c>
      <c r="AE27" s="32">
        <f t="shared" si="19"/>
        <v>10</v>
      </c>
      <c r="AF27" s="32">
        <f t="shared" si="19"/>
        <v>46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f>SUM('[1]RD130 MCC'!R648:U648)</f>
        <v>0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5" t="s">
        <v>17</v>
      </c>
      <c r="S28" s="16">
        <f t="shared" ref="S28:AF28" si="20">SUM(S10:S21)</f>
        <v>2</v>
      </c>
      <c r="T28" s="16">
        <f t="shared" si="20"/>
        <v>0</v>
      </c>
      <c r="U28" s="16">
        <f t="shared" si="20"/>
        <v>17</v>
      </c>
      <c r="V28" s="16">
        <f t="shared" si="20"/>
        <v>9</v>
      </c>
      <c r="W28" s="16">
        <f t="shared" si="20"/>
        <v>0</v>
      </c>
      <c r="X28" s="16">
        <f t="shared" si="20"/>
        <v>1</v>
      </c>
      <c r="Y28" s="16">
        <f t="shared" si="20"/>
        <v>18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146</v>
      </c>
      <c r="AD28" s="16">
        <f t="shared" si="20"/>
        <v>0</v>
      </c>
      <c r="AE28" s="32">
        <f t="shared" si="20"/>
        <v>48</v>
      </c>
      <c r="AF28" s="32">
        <f t="shared" si="20"/>
        <v>194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f>SUM('[1]RD130 MCC'!R649:U649)</f>
        <v>0</v>
      </c>
      <c r="M29" s="50">
        <v>3</v>
      </c>
      <c r="N29" s="50">
        <v>0</v>
      </c>
      <c r="O29" s="15">
        <f t="shared" si="0"/>
        <v>6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MCC'!R650:U650)</f>
        <v>0</v>
      </c>
      <c r="M30" s="50">
        <v>0</v>
      </c>
      <c r="N30" s="50">
        <v>0</v>
      </c>
      <c r="O30" s="15">
        <f t="shared" si="0"/>
        <v>2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MCC'!R651:U651)</f>
        <v>0</v>
      </c>
      <c r="M31" s="50">
        <v>6</v>
      </c>
      <c r="N31" s="50">
        <v>0</v>
      </c>
      <c r="O31" s="15">
        <f t="shared" si="0"/>
        <v>1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f>SUM('[1]RD130 MCC'!R652:U652)</f>
        <v>0</v>
      </c>
      <c r="M32" s="50">
        <v>1</v>
      </c>
      <c r="N32" s="50">
        <v>0</v>
      </c>
      <c r="O32" s="15">
        <f t="shared" si="0"/>
        <v>2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MCC'!R653:U653)</f>
        <v>0</v>
      </c>
      <c r="M33" s="50">
        <v>5</v>
      </c>
      <c r="N33" s="50">
        <v>0</v>
      </c>
      <c r="O33" s="15">
        <f t="shared" si="0"/>
        <v>0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f>SUM('[1]RD130 MCC'!R654:U654)</f>
        <v>0</v>
      </c>
      <c r="M34" s="50">
        <v>3</v>
      </c>
      <c r="N34" s="50">
        <v>0</v>
      </c>
      <c r="O34" s="15">
        <f t="shared" si="0"/>
        <v>2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MCC'!R655:U655)</f>
        <v>0</v>
      </c>
      <c r="M35" s="50">
        <v>3</v>
      </c>
      <c r="N35" s="50">
        <v>0</v>
      </c>
      <c r="O35" s="15">
        <f t="shared" si="0"/>
        <v>0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MCC'!R656:U656)</f>
        <v>0</v>
      </c>
      <c r="M36" s="50">
        <v>0</v>
      </c>
      <c r="N36" s="50">
        <v>0</v>
      </c>
      <c r="O36" s="15">
        <f t="shared" si="0"/>
        <v>2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MCC'!R657:U657)</f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SUM('[1]RD130 MCC'!R658:U658)</f>
        <v>0</v>
      </c>
      <c r="M38" s="50">
        <v>6</v>
      </c>
      <c r="N38" s="50">
        <v>0</v>
      </c>
      <c r="O38" s="15">
        <f t="shared" si="0"/>
        <v>0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MCC'!R659:U659)</f>
        <v>0</v>
      </c>
      <c r="M39" s="50">
        <v>2</v>
      </c>
      <c r="N39" s="50">
        <v>0</v>
      </c>
      <c r="O39" s="15">
        <f t="shared" si="0"/>
        <v>0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f>SUM('[1]RD130 MCC'!R660:U660)</f>
        <v>0</v>
      </c>
      <c r="M40" s="50">
        <v>6</v>
      </c>
      <c r="N40" s="50">
        <v>0</v>
      </c>
      <c r="O40" s="15">
        <f t="shared" si="0"/>
        <v>2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MCC'!R661:U661)</f>
        <v>0</v>
      </c>
      <c r="M41" s="50">
        <v>7</v>
      </c>
      <c r="N41" s="50">
        <v>0</v>
      </c>
      <c r="O41" s="15">
        <f t="shared" si="0"/>
        <v>0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MCC'!R662:U662)</f>
        <v>0</v>
      </c>
      <c r="M42" s="50">
        <v>3</v>
      </c>
      <c r="N42" s="50">
        <v>0</v>
      </c>
      <c r="O42" s="15">
        <f t="shared" si="0"/>
        <v>0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MCC'!R663:U663)</f>
        <v>0</v>
      </c>
      <c r="M43" s="50">
        <v>6</v>
      </c>
      <c r="N43" s="50">
        <v>0</v>
      </c>
      <c r="O43" s="15">
        <f t="shared" si="0"/>
        <v>0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f>SUM('[1]RD130 MCC'!R664:U664)</f>
        <v>0</v>
      </c>
      <c r="M44" s="50">
        <v>2</v>
      </c>
      <c r="N44" s="50">
        <v>0</v>
      </c>
      <c r="O44" s="15">
        <f t="shared" si="0"/>
        <v>1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1</v>
      </c>
      <c r="I45" s="50">
        <v>0</v>
      </c>
      <c r="J45" s="50">
        <v>1</v>
      </c>
      <c r="K45" s="50">
        <v>0</v>
      </c>
      <c r="L45" s="50">
        <f>SUM('[1]RD130 MCC'!R665:U665)</f>
        <v>0</v>
      </c>
      <c r="M45" s="50">
        <v>2</v>
      </c>
      <c r="N45" s="50">
        <v>0</v>
      </c>
      <c r="O45" s="15">
        <f t="shared" si="0"/>
        <v>2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MCC'!R666:U666)</f>
        <v>0</v>
      </c>
      <c r="M46" s="50">
        <v>3</v>
      </c>
      <c r="N46" s="50">
        <v>0</v>
      </c>
      <c r="O46" s="15">
        <f t="shared" si="0"/>
        <v>0</v>
      </c>
      <c r="P46" s="15">
        <f t="shared" si="1"/>
        <v>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MCC'!R667:U667)</f>
        <v>0</v>
      </c>
      <c r="M47" s="50">
        <v>6</v>
      </c>
      <c r="N47" s="50">
        <v>0</v>
      </c>
      <c r="O47" s="15">
        <f t="shared" si="0"/>
        <v>0</v>
      </c>
      <c r="P47" s="15">
        <f t="shared" si="1"/>
        <v>6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MCC'!R668:U668)</f>
        <v>0</v>
      </c>
      <c r="M48" s="50">
        <v>3</v>
      </c>
      <c r="N48" s="50">
        <v>0</v>
      </c>
      <c r="O48" s="15">
        <f t="shared" si="0"/>
        <v>1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MCC'!R669:U669)</f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MCC'!R670:U670)</f>
        <v>0</v>
      </c>
      <c r="M50" s="50">
        <v>1</v>
      </c>
      <c r="N50" s="50">
        <v>0</v>
      </c>
      <c r="O50" s="15">
        <f t="shared" si="0"/>
        <v>3</v>
      </c>
      <c r="P50" s="15">
        <f t="shared" si="1"/>
        <v>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MCC'!R671:U671)</f>
        <v>0</v>
      </c>
      <c r="M51" s="50">
        <v>2</v>
      </c>
      <c r="N51" s="50">
        <v>0</v>
      </c>
      <c r="O51" s="15">
        <f t="shared" si="0"/>
        <v>1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f>SUM('[1]RD130 MCC'!R672:U672)</f>
        <v>0</v>
      </c>
      <c r="M52" s="50">
        <v>2</v>
      </c>
      <c r="N52" s="50">
        <v>0</v>
      </c>
      <c r="O52" s="15">
        <f t="shared" si="0"/>
        <v>1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MCC'!R673:U673)</f>
        <v>0</v>
      </c>
      <c r="M53" s="50">
        <v>6</v>
      </c>
      <c r="N53" s="50">
        <v>0</v>
      </c>
      <c r="O53" s="15">
        <f t="shared" si="0"/>
        <v>1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MCC'!R674:U674)</f>
        <v>0</v>
      </c>
      <c r="M54" s="50">
        <v>3</v>
      </c>
      <c r="N54" s="50">
        <v>0</v>
      </c>
      <c r="O54" s="15">
        <f t="shared" si="0"/>
        <v>0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MCC'!R675:U675)</f>
        <v>0</v>
      </c>
      <c r="M55" s="50">
        <v>1</v>
      </c>
      <c r="N55" s="50">
        <v>0</v>
      </c>
      <c r="O55" s="15">
        <f t="shared" si="0"/>
        <v>0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f>SUM('[1]RD130 MCC'!R676:U676)</f>
        <v>0</v>
      </c>
      <c r="M56" s="50">
        <v>3</v>
      </c>
      <c r="N56" s="50">
        <v>0</v>
      </c>
      <c r="O56" s="15">
        <f t="shared" si="0"/>
        <v>1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MCC'!R677:U677)</f>
        <v>0</v>
      </c>
      <c r="M57" s="50">
        <v>6</v>
      </c>
      <c r="N57" s="50">
        <v>0</v>
      </c>
      <c r="O57" s="15">
        <f t="shared" si="0"/>
        <v>2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0</v>
      </c>
      <c r="E58" s="16">
        <f t="shared" si="21"/>
        <v>17</v>
      </c>
      <c r="F58" s="16">
        <f t="shared" si="21"/>
        <v>9</v>
      </c>
      <c r="G58" s="16">
        <f t="shared" si="21"/>
        <v>0</v>
      </c>
      <c r="H58" s="16">
        <f t="shared" si="21"/>
        <v>1</v>
      </c>
      <c r="I58" s="16">
        <f t="shared" si="21"/>
        <v>18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146</v>
      </c>
      <c r="N58" s="16">
        <f t="shared" si="21"/>
        <v>0</v>
      </c>
      <c r="O58" s="16">
        <f t="shared" si="21"/>
        <v>48</v>
      </c>
      <c r="P58" s="16">
        <f t="shared" si="21"/>
        <v>194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1.0309278350515464E-2</v>
      </c>
      <c r="D59" s="43">
        <f t="shared" si="22"/>
        <v>0</v>
      </c>
      <c r="E59" s="43">
        <f t="shared" si="22"/>
        <v>8.7628865979381437E-2</v>
      </c>
      <c r="F59" s="43">
        <f t="shared" si="22"/>
        <v>4.6391752577319589E-2</v>
      </c>
      <c r="G59" s="43">
        <f t="shared" si="22"/>
        <v>0</v>
      </c>
      <c r="H59" s="43">
        <f t="shared" si="22"/>
        <v>5.1546391752577319E-3</v>
      </c>
      <c r="I59" s="43">
        <f t="shared" si="22"/>
        <v>9.2783505154639179E-2</v>
      </c>
      <c r="J59" s="43">
        <f t="shared" si="22"/>
        <v>5.1546391752577319E-3</v>
      </c>
      <c r="K59" s="43">
        <f t="shared" si="22"/>
        <v>0</v>
      </c>
      <c r="L59" s="43">
        <f t="shared" si="22"/>
        <v>0</v>
      </c>
      <c r="M59" s="43">
        <f t="shared" si="22"/>
        <v>0.75257731958762886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4.1666666666666664E-2</v>
      </c>
      <c r="D60" s="44">
        <f t="shared" ref="D60:N60" si="23">D58/$O$58</f>
        <v>0</v>
      </c>
      <c r="E60" s="44">
        <f t="shared" si="23"/>
        <v>0.35416666666666669</v>
      </c>
      <c r="F60" s="44">
        <f t="shared" si="23"/>
        <v>0.1875</v>
      </c>
      <c r="G60" s="44">
        <f t="shared" si="23"/>
        <v>0</v>
      </c>
      <c r="H60" s="44">
        <f t="shared" si="23"/>
        <v>2.0833333333333332E-2</v>
      </c>
      <c r="I60" s="44">
        <f t="shared" si="23"/>
        <v>0.375</v>
      </c>
      <c r="J60" s="44">
        <f t="shared" si="23"/>
        <v>2.0833333333333332E-2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topLeftCell="B43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'31.07 Atiak-Palabek'!G5:H5</f>
        <v>xxx</v>
      </c>
      <c r="H5" s="64"/>
      <c r="I5" s="14"/>
      <c r="J5" s="2" t="s">
        <v>5</v>
      </c>
      <c r="K5" s="63" t="str">
        <f>'31.07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Atiak-Palabek'!D6:E6</f>
        <v>Atiak</v>
      </c>
      <c r="E6" s="64"/>
      <c r="F6" s="2" t="s">
        <v>2</v>
      </c>
      <c r="G6" s="63" t="str">
        <f>'31.07 Atiak-Palabek'!G6:H6</f>
        <v>Palabek</v>
      </c>
      <c r="H6" s="64"/>
      <c r="J6" s="2" t="s">
        <v>21</v>
      </c>
      <c r="K6" s="63" t="str">
        <f>'31.07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MCC'!R678:U678)</f>
        <v>0</v>
      </c>
      <c r="M10" s="50">
        <v>1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9</v>
      </c>
      <c r="AD10" s="17">
        <f t="shared" si="2"/>
        <v>0</v>
      </c>
      <c r="AE10" s="31">
        <f t="shared" si="2"/>
        <v>0</v>
      </c>
      <c r="AF10" s="31">
        <f t="shared" si="2"/>
        <v>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MCC'!R679:U679)</f>
        <v>0</v>
      </c>
      <c r="M11" s="50">
        <v>4</v>
      </c>
      <c r="N11" s="50">
        <v>0</v>
      </c>
      <c r="O11" s="15">
        <f t="shared" si="0"/>
        <v>0</v>
      </c>
      <c r="P11" s="15">
        <f t="shared" si="1"/>
        <v>4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</v>
      </c>
      <c r="AD11" s="17">
        <f t="shared" si="3"/>
        <v>0</v>
      </c>
      <c r="AE11" s="31">
        <f t="shared" si="3"/>
        <v>3</v>
      </c>
      <c r="AF11" s="31">
        <f t="shared" si="3"/>
        <v>11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MCC'!R680:U680)</f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25</v>
      </c>
      <c r="AD12" s="17">
        <f t="shared" si="4"/>
        <v>0</v>
      </c>
      <c r="AE12" s="31">
        <f t="shared" si="4"/>
        <v>3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MCC'!R681:U681)</f>
        <v>0</v>
      </c>
      <c r="M13" s="50">
        <v>3</v>
      </c>
      <c r="N13" s="50">
        <v>0</v>
      </c>
      <c r="O13" s="15">
        <f t="shared" si="0"/>
        <v>0</v>
      </c>
      <c r="P13" s="15">
        <f t="shared" si="1"/>
        <v>3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26</v>
      </c>
      <c r="AD13" s="17">
        <f t="shared" si="5"/>
        <v>0</v>
      </c>
      <c r="AE13" s="31">
        <f t="shared" si="5"/>
        <v>1</v>
      </c>
      <c r="AF13" s="31">
        <f t="shared" si="5"/>
        <v>27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MCC'!R682:U682)</f>
        <v>0</v>
      </c>
      <c r="M14" s="50">
        <v>1</v>
      </c>
      <c r="N14" s="50">
        <v>0</v>
      </c>
      <c r="O14" s="15">
        <f t="shared" si="0"/>
        <v>0</v>
      </c>
      <c r="P14" s="15">
        <f t="shared" si="1"/>
        <v>1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24</v>
      </c>
      <c r="AD14" s="17">
        <f t="shared" si="6"/>
        <v>0</v>
      </c>
      <c r="AE14" s="31">
        <f t="shared" si="6"/>
        <v>5</v>
      </c>
      <c r="AF14" s="31">
        <f t="shared" si="6"/>
        <v>29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f>SUM('[1]RD130 MCC'!R683:U683)</f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28</v>
      </c>
      <c r="AD15" s="17">
        <f t="shared" si="7"/>
        <v>0</v>
      </c>
      <c r="AE15" s="31">
        <f t="shared" si="7"/>
        <v>0</v>
      </c>
      <c r="AF15" s="31">
        <f t="shared" si="7"/>
        <v>28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MCC'!R684:U684)</f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32</v>
      </c>
      <c r="AD16" s="17">
        <f t="shared" si="8"/>
        <v>0</v>
      </c>
      <c r="AE16" s="31">
        <f t="shared" si="8"/>
        <v>0</v>
      </c>
      <c r="AF16" s="31">
        <f t="shared" si="8"/>
        <v>32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f>SUM('[1]RD130 MCC'!R685:U685)</f>
        <v>0</v>
      </c>
      <c r="M17" s="50">
        <v>1</v>
      </c>
      <c r="N17" s="50">
        <v>0</v>
      </c>
      <c r="O17" s="15">
        <f t="shared" si="0"/>
        <v>1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5</v>
      </c>
      <c r="AF17" s="31">
        <f t="shared" si="9"/>
        <v>38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f>SUM('[1]RD130 MCC'!R686:U686)</f>
        <v>0</v>
      </c>
      <c r="M18" s="50">
        <v>2</v>
      </c>
      <c r="N18" s="50">
        <v>0</v>
      </c>
      <c r="O18" s="15">
        <f t="shared" si="0"/>
        <v>2</v>
      </c>
      <c r="P18" s="15">
        <f t="shared" si="1"/>
        <v>4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23</v>
      </c>
      <c r="AD18" s="17">
        <f t="shared" si="10"/>
        <v>0</v>
      </c>
      <c r="AE18" s="31">
        <f t="shared" si="10"/>
        <v>2</v>
      </c>
      <c r="AF18" s="31">
        <f t="shared" si="10"/>
        <v>25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MCC'!R687:U687)</f>
        <v>0</v>
      </c>
      <c r="M19" s="50">
        <v>11</v>
      </c>
      <c r="N19" s="50">
        <v>0</v>
      </c>
      <c r="O19" s="15">
        <f t="shared" si="0"/>
        <v>0</v>
      </c>
      <c r="P19" s="15">
        <f t="shared" si="1"/>
        <v>11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27</v>
      </c>
      <c r="AD19" s="17">
        <f t="shared" si="11"/>
        <v>0</v>
      </c>
      <c r="AE19" s="31">
        <f t="shared" si="11"/>
        <v>2</v>
      </c>
      <c r="AF19" s="31">
        <f t="shared" si="11"/>
        <v>29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MCC'!R688:U688)</f>
        <v>0</v>
      </c>
      <c r="M20" s="50">
        <v>6</v>
      </c>
      <c r="N20" s="50">
        <v>0</v>
      </c>
      <c r="O20" s="15">
        <f t="shared" si="0"/>
        <v>0</v>
      </c>
      <c r="P20" s="15">
        <f t="shared" si="1"/>
        <v>6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22</v>
      </c>
      <c r="AD20" s="17">
        <f t="shared" si="12"/>
        <v>0</v>
      </c>
      <c r="AE20" s="31">
        <f t="shared" si="12"/>
        <v>3</v>
      </c>
      <c r="AF20" s="31">
        <f t="shared" si="12"/>
        <v>25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f>SUM('[1]RD130 MCC'!R689:U689)</f>
        <v>0</v>
      </c>
      <c r="M21" s="50">
        <v>6</v>
      </c>
      <c r="N21" s="50">
        <v>0</v>
      </c>
      <c r="O21" s="15">
        <f t="shared" si="0"/>
        <v>1</v>
      </c>
      <c r="P21" s="15">
        <f t="shared" si="1"/>
        <v>7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2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13</v>
      </c>
      <c r="AD21" s="17">
        <f t="shared" si="13"/>
        <v>0</v>
      </c>
      <c r="AE21" s="31">
        <f t="shared" si="13"/>
        <v>3</v>
      </c>
      <c r="AF21" s="31">
        <f t="shared" si="13"/>
        <v>16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MCC'!R690:U690)</f>
        <v>0</v>
      </c>
      <c r="M22" s="50">
        <v>4</v>
      </c>
      <c r="N22" s="50">
        <v>0</v>
      </c>
      <c r="O22" s="15">
        <f t="shared" si="0"/>
        <v>0</v>
      </c>
      <c r="P22" s="15">
        <f t="shared" si="1"/>
        <v>4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25</v>
      </c>
      <c r="AD22" s="39">
        <f t="shared" si="14"/>
        <v>0</v>
      </c>
      <c r="AE22" s="40">
        <f t="shared" si="14"/>
        <v>3</v>
      </c>
      <c r="AF22" s="40">
        <f t="shared" si="14"/>
        <v>28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MCC'!R691:U691)</f>
        <v>0</v>
      </c>
      <c r="M23" s="50">
        <v>7</v>
      </c>
      <c r="N23" s="50">
        <v>0</v>
      </c>
      <c r="O23" s="15">
        <f t="shared" si="0"/>
        <v>0</v>
      </c>
      <c r="P23" s="15">
        <f t="shared" si="1"/>
        <v>7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4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33</v>
      </c>
      <c r="AD23" s="39">
        <f t="shared" si="15"/>
        <v>0</v>
      </c>
      <c r="AE23" s="40">
        <f t="shared" si="15"/>
        <v>5</v>
      </c>
      <c r="AF23" s="40">
        <f t="shared" si="15"/>
        <v>38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f>SUM('[1]RD130 MCC'!R692:U692)</f>
        <v>0</v>
      </c>
      <c r="M24" s="50">
        <v>7</v>
      </c>
      <c r="N24" s="50">
        <v>0</v>
      </c>
      <c r="O24" s="15">
        <f t="shared" si="0"/>
        <v>0</v>
      </c>
      <c r="P24" s="15">
        <f t="shared" si="1"/>
        <v>7</v>
      </c>
      <c r="R24" s="38" t="s">
        <v>92</v>
      </c>
      <c r="S24" s="39">
        <f>MAX(S19:S21)</f>
        <v>2</v>
      </c>
      <c r="T24" s="39">
        <f t="shared" ref="T24:AF24" si="16">MAX(T19:T21)</f>
        <v>0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27</v>
      </c>
      <c r="AD24" s="39">
        <f t="shared" si="16"/>
        <v>0</v>
      </c>
      <c r="AE24" s="40">
        <f t="shared" si="16"/>
        <v>3</v>
      </c>
      <c r="AF24" s="40">
        <f t="shared" si="16"/>
        <v>29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f>SUM('[1]RD130 MCC'!R693:U693)</f>
        <v>0</v>
      </c>
      <c r="M25" s="50">
        <v>8</v>
      </c>
      <c r="N25" s="50">
        <v>0</v>
      </c>
      <c r="O25" s="15">
        <f t="shared" si="0"/>
        <v>1</v>
      </c>
      <c r="P25" s="15">
        <f t="shared" si="1"/>
        <v>9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2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42</v>
      </c>
      <c r="AD25" s="16">
        <f t="shared" si="17"/>
        <v>0</v>
      </c>
      <c r="AE25" s="32">
        <f t="shared" si="17"/>
        <v>6</v>
      </c>
      <c r="AF25" s="32">
        <f t="shared" si="17"/>
        <v>48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MCC'!R694:U694)</f>
        <v>0</v>
      </c>
      <c r="M26" s="50">
        <v>8</v>
      </c>
      <c r="N26" s="50">
        <v>0</v>
      </c>
      <c r="O26" s="15">
        <f t="shared" si="0"/>
        <v>2</v>
      </c>
      <c r="P26" s="15">
        <f t="shared" si="1"/>
        <v>10</v>
      </c>
      <c r="R26" s="28" t="s">
        <v>86</v>
      </c>
      <c r="S26" s="16">
        <f t="shared" ref="S26:AF26" si="18">SUM(S13:S18)</f>
        <v>1</v>
      </c>
      <c r="T26" s="16">
        <f t="shared" si="18"/>
        <v>0</v>
      </c>
      <c r="U26" s="16">
        <f t="shared" si="18"/>
        <v>6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4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166</v>
      </c>
      <c r="AD26" s="16">
        <f t="shared" si="18"/>
        <v>0</v>
      </c>
      <c r="AE26" s="32">
        <f t="shared" si="18"/>
        <v>13</v>
      </c>
      <c r="AF26" s="32">
        <f t="shared" si="18"/>
        <v>179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f>SUM('[1]RD130 MCC'!R695:U695)</f>
        <v>0</v>
      </c>
      <c r="M27" s="50">
        <v>4</v>
      </c>
      <c r="N27" s="50">
        <v>0</v>
      </c>
      <c r="O27" s="15">
        <f t="shared" si="0"/>
        <v>1</v>
      </c>
      <c r="P27" s="15">
        <f t="shared" si="1"/>
        <v>5</v>
      </c>
      <c r="R27" s="29" t="s">
        <v>87</v>
      </c>
      <c r="S27" s="16">
        <f t="shared" ref="S27:AF27" si="19">SUM(S19:S21)</f>
        <v>3</v>
      </c>
      <c r="T27" s="16">
        <f t="shared" si="19"/>
        <v>0</v>
      </c>
      <c r="U27" s="16">
        <f t="shared" si="19"/>
        <v>3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62</v>
      </c>
      <c r="AD27" s="16">
        <f t="shared" si="19"/>
        <v>0</v>
      </c>
      <c r="AE27" s="32">
        <f t="shared" si="19"/>
        <v>8</v>
      </c>
      <c r="AF27" s="32">
        <f t="shared" si="19"/>
        <v>70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MCC'!R696:U696)</f>
        <v>0</v>
      </c>
      <c r="M28" s="50">
        <v>7</v>
      </c>
      <c r="N28" s="50">
        <v>0</v>
      </c>
      <c r="O28" s="15">
        <f t="shared" si="0"/>
        <v>1</v>
      </c>
      <c r="P28" s="15">
        <f t="shared" si="1"/>
        <v>8</v>
      </c>
      <c r="R28" s="5" t="s">
        <v>17</v>
      </c>
      <c r="S28" s="16">
        <f t="shared" ref="S28:AF28" si="20">SUM(S10:S21)</f>
        <v>4</v>
      </c>
      <c r="T28" s="16">
        <f t="shared" si="20"/>
        <v>0</v>
      </c>
      <c r="U28" s="16">
        <f t="shared" si="20"/>
        <v>11</v>
      </c>
      <c r="V28" s="16">
        <f t="shared" si="20"/>
        <v>3</v>
      </c>
      <c r="W28" s="16">
        <f t="shared" si="20"/>
        <v>0</v>
      </c>
      <c r="X28" s="16">
        <f t="shared" si="20"/>
        <v>0</v>
      </c>
      <c r="Y28" s="16">
        <f t="shared" si="20"/>
        <v>9</v>
      </c>
      <c r="Z28" s="16">
        <f t="shared" si="20"/>
        <v>0</v>
      </c>
      <c r="AA28" s="16">
        <f t="shared" si="20"/>
        <v>0</v>
      </c>
      <c r="AB28" s="16">
        <f t="shared" si="20"/>
        <v>0</v>
      </c>
      <c r="AC28" s="16">
        <f t="shared" si="20"/>
        <v>270</v>
      </c>
      <c r="AD28" s="16">
        <f t="shared" si="20"/>
        <v>0</v>
      </c>
      <c r="AE28" s="32">
        <f t="shared" si="20"/>
        <v>27</v>
      </c>
      <c r="AF28" s="32">
        <f t="shared" si="20"/>
        <v>297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SUM('[1]RD130 MCC'!R697:U697)</f>
        <v>0</v>
      </c>
      <c r="M29" s="50">
        <v>5</v>
      </c>
      <c r="N29" s="50">
        <v>0</v>
      </c>
      <c r="O29" s="15">
        <f t="shared" si="0"/>
        <v>1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MCC'!R698:U698)</f>
        <v>0</v>
      </c>
      <c r="M30" s="50">
        <v>6</v>
      </c>
      <c r="N30" s="50">
        <v>0</v>
      </c>
      <c r="O30" s="15">
        <f t="shared" si="0"/>
        <v>0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MCC'!R699:U699)</f>
        <v>0</v>
      </c>
      <c r="M31" s="50">
        <v>4</v>
      </c>
      <c r="N31" s="50">
        <v>0</v>
      </c>
      <c r="O31" s="15">
        <f t="shared" si="0"/>
        <v>0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MCC'!R700:U700)</f>
        <v>0</v>
      </c>
      <c r="M32" s="50">
        <v>9</v>
      </c>
      <c r="N32" s="50">
        <v>0</v>
      </c>
      <c r="O32" s="15">
        <f t="shared" si="0"/>
        <v>0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MCC'!R701:U701)</f>
        <v>0</v>
      </c>
      <c r="M33" s="50">
        <v>9</v>
      </c>
      <c r="N33" s="50">
        <v>0</v>
      </c>
      <c r="O33" s="15">
        <f t="shared" si="0"/>
        <v>0</v>
      </c>
      <c r="P33" s="15">
        <f t="shared" si="1"/>
        <v>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MCC'!R702:U702)</f>
        <v>0</v>
      </c>
      <c r="M34" s="50">
        <v>7</v>
      </c>
      <c r="N34" s="50">
        <v>0</v>
      </c>
      <c r="O34" s="15">
        <f t="shared" si="0"/>
        <v>0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MCC'!R703:U703)</f>
        <v>0</v>
      </c>
      <c r="M35" s="50">
        <v>9</v>
      </c>
      <c r="N35" s="50">
        <v>0</v>
      </c>
      <c r="O35" s="15">
        <f t="shared" si="0"/>
        <v>0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MCC'!R704:U704)</f>
        <v>0</v>
      </c>
      <c r="M36" s="50">
        <v>8</v>
      </c>
      <c r="N36" s="50">
        <v>0</v>
      </c>
      <c r="O36" s="15">
        <f t="shared" si="0"/>
        <v>0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MCC'!R705:U705)</f>
        <v>0</v>
      </c>
      <c r="M37" s="50">
        <v>8</v>
      </c>
      <c r="N37" s="50">
        <v>0</v>
      </c>
      <c r="O37" s="15">
        <f t="shared" si="0"/>
        <v>0</v>
      </c>
      <c r="P37" s="15">
        <f t="shared" si="1"/>
        <v>8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f>SUM('[1]RD130 MCC'!R706:U706)</f>
        <v>0</v>
      </c>
      <c r="M38" s="50">
        <v>11</v>
      </c>
      <c r="N38" s="50">
        <v>0</v>
      </c>
      <c r="O38" s="15">
        <f t="shared" si="0"/>
        <v>1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MCC'!R707:U707)</f>
        <v>0</v>
      </c>
      <c r="M39" s="50">
        <v>8</v>
      </c>
      <c r="N39" s="50">
        <v>0</v>
      </c>
      <c r="O39" s="15">
        <f t="shared" si="0"/>
        <v>2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f>SUM('[1]RD130 MCC'!R708:U708)</f>
        <v>0</v>
      </c>
      <c r="M40" s="50">
        <v>9</v>
      </c>
      <c r="N40" s="50">
        <v>0</v>
      </c>
      <c r="O40" s="15">
        <f t="shared" si="0"/>
        <v>1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MCC'!R709:U709)</f>
        <v>0</v>
      </c>
      <c r="M41" s="50">
        <v>5</v>
      </c>
      <c r="N41" s="50">
        <v>0</v>
      </c>
      <c r="O41" s="15">
        <f t="shared" si="0"/>
        <v>1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MCC'!R710:U710)</f>
        <v>0</v>
      </c>
      <c r="M42" s="50">
        <v>8</v>
      </c>
      <c r="N42" s="50">
        <v>0</v>
      </c>
      <c r="O42" s="15">
        <f t="shared" si="0"/>
        <v>0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MCC'!R711:U711)</f>
        <v>0</v>
      </c>
      <c r="M43" s="50">
        <v>7</v>
      </c>
      <c r="N43" s="50">
        <v>0</v>
      </c>
      <c r="O43" s="15">
        <f t="shared" si="0"/>
        <v>0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MCC'!R712:U712)</f>
        <v>0</v>
      </c>
      <c r="M44" s="50">
        <v>4</v>
      </c>
      <c r="N44" s="50">
        <v>0</v>
      </c>
      <c r="O44" s="15">
        <f t="shared" si="0"/>
        <v>1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SUM('[1]RD130 MCC'!R713:U713)</f>
        <v>0</v>
      </c>
      <c r="M45" s="50">
        <v>4</v>
      </c>
      <c r="N45" s="50">
        <v>0</v>
      </c>
      <c r="O45" s="15">
        <f t="shared" si="0"/>
        <v>1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f>SUM('[1]RD130 MCC'!R714:U714)</f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MCC'!R715:U715)</f>
        <v>0</v>
      </c>
      <c r="M47" s="50">
        <v>5</v>
      </c>
      <c r="N47" s="50">
        <v>0</v>
      </c>
      <c r="O47" s="15">
        <f t="shared" si="0"/>
        <v>0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MCC'!R716:U716)</f>
        <v>0</v>
      </c>
      <c r="M48" s="50">
        <v>6</v>
      </c>
      <c r="N48" s="50">
        <v>0</v>
      </c>
      <c r="O48" s="15">
        <f t="shared" si="0"/>
        <v>0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MCC'!R717:U717)</f>
        <v>0</v>
      </c>
      <c r="M49" s="50">
        <v>8</v>
      </c>
      <c r="N49" s="50">
        <v>0</v>
      </c>
      <c r="O49" s="15">
        <f t="shared" si="0"/>
        <v>0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MCC'!R718:U718)</f>
        <v>0</v>
      </c>
      <c r="M50" s="50">
        <v>7</v>
      </c>
      <c r="N50" s="50">
        <v>0</v>
      </c>
      <c r="O50" s="15">
        <f t="shared" si="0"/>
        <v>1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MCC'!R719:U719)</f>
        <v>0</v>
      </c>
      <c r="M51" s="50">
        <v>6</v>
      </c>
      <c r="N51" s="50">
        <v>0</v>
      </c>
      <c r="O51" s="15">
        <f t="shared" si="0"/>
        <v>0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MCC'!R720:U720)</f>
        <v>0</v>
      </c>
      <c r="M52" s="50">
        <v>6</v>
      </c>
      <c r="N52" s="50">
        <v>0</v>
      </c>
      <c r="O52" s="15">
        <f t="shared" si="0"/>
        <v>0</v>
      </c>
      <c r="P52" s="15">
        <f t="shared" si="1"/>
        <v>6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MCC'!R721:U721)</f>
        <v>0</v>
      </c>
      <c r="M53" s="50">
        <v>3</v>
      </c>
      <c r="N53" s="50">
        <v>0</v>
      </c>
      <c r="O53" s="15">
        <f t="shared" si="0"/>
        <v>2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MCC'!R722:U722)</f>
        <v>0</v>
      </c>
      <c r="M54" s="50">
        <v>3</v>
      </c>
      <c r="N54" s="50">
        <v>0</v>
      </c>
      <c r="O54" s="15">
        <f t="shared" si="0"/>
        <v>0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MCC'!R723:U723)</f>
        <v>0</v>
      </c>
      <c r="M55" s="50">
        <v>5</v>
      </c>
      <c r="N55" s="50">
        <v>0</v>
      </c>
      <c r="O55" s="15">
        <f t="shared" si="0"/>
        <v>1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MCC'!R724:U724)</f>
        <v>0</v>
      </c>
      <c r="M56" s="50">
        <v>2</v>
      </c>
      <c r="N56" s="50">
        <v>0</v>
      </c>
      <c r="O56" s="15">
        <f t="shared" si="0"/>
        <v>1</v>
      </c>
      <c r="P56" s="15">
        <f t="shared" si="1"/>
        <v>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MCC'!R725:U725)</f>
        <v>0</v>
      </c>
      <c r="M57" s="50">
        <v>3</v>
      </c>
      <c r="N57" s="50">
        <v>0</v>
      </c>
      <c r="O57" s="15">
        <f t="shared" si="0"/>
        <v>1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</v>
      </c>
      <c r="D58" s="16">
        <f t="shared" si="21"/>
        <v>0</v>
      </c>
      <c r="E58" s="16">
        <f t="shared" si="21"/>
        <v>11</v>
      </c>
      <c r="F58" s="16">
        <f t="shared" si="21"/>
        <v>3</v>
      </c>
      <c r="G58" s="16">
        <f t="shared" si="21"/>
        <v>0</v>
      </c>
      <c r="H58" s="16">
        <f t="shared" si="21"/>
        <v>0</v>
      </c>
      <c r="I58" s="16">
        <f t="shared" si="21"/>
        <v>9</v>
      </c>
      <c r="J58" s="16">
        <f t="shared" si="21"/>
        <v>0</v>
      </c>
      <c r="K58" s="16">
        <f t="shared" si="21"/>
        <v>0</v>
      </c>
      <c r="L58" s="16">
        <f t="shared" si="21"/>
        <v>0</v>
      </c>
      <c r="M58" s="16">
        <f t="shared" si="21"/>
        <v>270</v>
      </c>
      <c r="N58" s="16">
        <f t="shared" si="21"/>
        <v>0</v>
      </c>
      <c r="O58" s="16">
        <f t="shared" si="21"/>
        <v>27</v>
      </c>
      <c r="P58" s="16">
        <f t="shared" si="21"/>
        <v>297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1.3468013468013467E-2</v>
      </c>
      <c r="D59" s="43">
        <f t="shared" si="22"/>
        <v>0</v>
      </c>
      <c r="E59" s="43">
        <f t="shared" si="22"/>
        <v>3.7037037037037035E-2</v>
      </c>
      <c r="F59" s="43">
        <f t="shared" si="22"/>
        <v>1.0101010101010102E-2</v>
      </c>
      <c r="G59" s="43">
        <f t="shared" si="22"/>
        <v>0</v>
      </c>
      <c r="H59" s="43">
        <f t="shared" si="22"/>
        <v>0</v>
      </c>
      <c r="I59" s="43">
        <f t="shared" si="22"/>
        <v>3.0303030303030304E-2</v>
      </c>
      <c r="J59" s="43">
        <f t="shared" si="22"/>
        <v>0</v>
      </c>
      <c r="K59" s="43">
        <f t="shared" si="22"/>
        <v>0</v>
      </c>
      <c r="L59" s="43">
        <f t="shared" si="22"/>
        <v>0</v>
      </c>
      <c r="M59" s="43">
        <f t="shared" si="22"/>
        <v>0.90909090909090906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0.14814814814814814</v>
      </c>
      <c r="D60" s="44">
        <f t="shared" ref="D60:N60" si="23">D58/$O$58</f>
        <v>0</v>
      </c>
      <c r="E60" s="44">
        <f t="shared" si="23"/>
        <v>0.40740740740740738</v>
      </c>
      <c r="F60" s="44">
        <f t="shared" si="23"/>
        <v>0.1111111111111111</v>
      </c>
      <c r="G60" s="44">
        <f t="shared" si="23"/>
        <v>0</v>
      </c>
      <c r="H60" s="44">
        <f t="shared" si="23"/>
        <v>0</v>
      </c>
      <c r="I60" s="44">
        <f t="shared" si="23"/>
        <v>0.33333333333333331</v>
      </c>
      <c r="J60" s="44">
        <f t="shared" si="23"/>
        <v>0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A37" zoomScale="60" workbookViewId="0">
      <selection activeCell="L56" sqref="L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Atiak-Palabek'!D5</f>
        <v>05.08.19</v>
      </c>
      <c r="E5" s="3"/>
      <c r="F5" s="41" t="s">
        <v>1</v>
      </c>
      <c r="G5" s="63" t="str">
        <f>'31.07 Atiak-Palabek'!G5:H5</f>
        <v>xxx</v>
      </c>
      <c r="H5" s="64"/>
      <c r="I5" s="14"/>
      <c r="J5" s="2" t="s">
        <v>5</v>
      </c>
      <c r="K5" s="63" t="str">
        <f>'31.07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Palabek-Atiak'!D6:E6</f>
        <v>Palabek</v>
      </c>
      <c r="E6" s="64"/>
      <c r="F6" s="2" t="s">
        <v>2</v>
      </c>
      <c r="G6" s="63" t="str">
        <f>'31.07 Palabek-Atiak'!G6:H6</f>
        <v>Atiak</v>
      </c>
      <c r="H6" s="64"/>
      <c r="J6" s="2" t="s">
        <v>21</v>
      </c>
      <c r="K6" s="63" t="str">
        <f>'31.07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MCC'!R726:U726)</f>
        <v>0</v>
      </c>
      <c r="M10" s="50">
        <v>1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0</v>
      </c>
      <c r="AF10" s="31">
        <f t="shared" si="2"/>
        <v>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MCC'!R727:U727)</f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</v>
      </c>
      <c r="AD11" s="17">
        <f t="shared" si="3"/>
        <v>0</v>
      </c>
      <c r="AE11" s="31">
        <f t="shared" si="3"/>
        <v>3</v>
      </c>
      <c r="AF11" s="31">
        <f t="shared" si="3"/>
        <v>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MCC'!R728:U728)</f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19</v>
      </c>
      <c r="AD12" s="17">
        <f t="shared" si="4"/>
        <v>0</v>
      </c>
      <c r="AE12" s="31">
        <f t="shared" si="4"/>
        <v>2</v>
      </c>
      <c r="AF12" s="31">
        <f t="shared" si="4"/>
        <v>21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MCC'!R729:U729)</f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19</v>
      </c>
      <c r="AD13" s="17">
        <f t="shared" si="5"/>
        <v>0</v>
      </c>
      <c r="AE13" s="31">
        <f t="shared" si="5"/>
        <v>0</v>
      </c>
      <c r="AF13" s="31">
        <f t="shared" si="5"/>
        <v>19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MCC'!R730:U730)</f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22</v>
      </c>
      <c r="AD14" s="17">
        <f t="shared" si="6"/>
        <v>0</v>
      </c>
      <c r="AE14" s="31">
        <f t="shared" si="6"/>
        <v>4</v>
      </c>
      <c r="AF14" s="31">
        <f t="shared" si="6"/>
        <v>26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f>SUM('[1]RD130 MCC'!R731:U731)</f>
        <v>0</v>
      </c>
      <c r="M15" s="50">
        <v>2</v>
      </c>
      <c r="N15" s="50">
        <v>0</v>
      </c>
      <c r="O15" s="15">
        <f t="shared" si="0"/>
        <v>1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19</v>
      </c>
      <c r="AD15" s="17">
        <f t="shared" si="7"/>
        <v>0</v>
      </c>
      <c r="AE15" s="31">
        <f t="shared" si="7"/>
        <v>0</v>
      </c>
      <c r="AF15" s="31">
        <f t="shared" si="7"/>
        <v>19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MCC'!R732:U732)</f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16</v>
      </c>
      <c r="AD16" s="17">
        <f t="shared" si="8"/>
        <v>0</v>
      </c>
      <c r="AE16" s="31">
        <f t="shared" si="8"/>
        <v>0</v>
      </c>
      <c r="AF16" s="31">
        <f t="shared" si="8"/>
        <v>16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f>SUM('[1]RD130 MCC'!R733:U733)</f>
        <v>0</v>
      </c>
      <c r="M17" s="50">
        <v>1</v>
      </c>
      <c r="N17" s="50">
        <v>0</v>
      </c>
      <c r="O17" s="15">
        <f t="shared" si="0"/>
        <v>1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22</v>
      </c>
      <c r="AD17" s="17">
        <f t="shared" si="9"/>
        <v>0</v>
      </c>
      <c r="AE17" s="31">
        <f t="shared" si="9"/>
        <v>3</v>
      </c>
      <c r="AF17" s="31">
        <f t="shared" si="9"/>
        <v>25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f>SUM('[1]RD130 MCC'!R734:U734)</f>
        <v>0</v>
      </c>
      <c r="M18" s="50">
        <v>2</v>
      </c>
      <c r="N18" s="50">
        <v>0</v>
      </c>
      <c r="O18" s="15">
        <f t="shared" si="0"/>
        <v>1</v>
      </c>
      <c r="P18" s="15">
        <f t="shared" si="1"/>
        <v>3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17</v>
      </c>
      <c r="AD18" s="17">
        <f t="shared" si="10"/>
        <v>0</v>
      </c>
      <c r="AE18" s="31">
        <f t="shared" si="10"/>
        <v>1</v>
      </c>
      <c r="AF18" s="31">
        <f t="shared" si="10"/>
        <v>18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MCC'!R735:U735)</f>
        <v>0</v>
      </c>
      <c r="M19" s="50">
        <v>5</v>
      </c>
      <c r="N19" s="50">
        <v>0</v>
      </c>
      <c r="O19" s="15">
        <f t="shared" si="0"/>
        <v>0</v>
      </c>
      <c r="P19" s="15">
        <f t="shared" si="1"/>
        <v>5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13</v>
      </c>
      <c r="AD19" s="17">
        <f t="shared" si="11"/>
        <v>0</v>
      </c>
      <c r="AE19" s="31">
        <f t="shared" si="11"/>
        <v>2</v>
      </c>
      <c r="AF19" s="31">
        <f t="shared" si="11"/>
        <v>15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SUM('[1]RD130 MCC'!R736:U736)</f>
        <v>0</v>
      </c>
      <c r="M20" s="50">
        <v>6</v>
      </c>
      <c r="N20" s="50">
        <v>0</v>
      </c>
      <c r="O20" s="15">
        <f t="shared" si="0"/>
        <v>0</v>
      </c>
      <c r="P20" s="15">
        <f t="shared" si="1"/>
        <v>6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15</v>
      </c>
      <c r="AD20" s="17">
        <f t="shared" si="12"/>
        <v>0</v>
      </c>
      <c r="AE20" s="31">
        <f t="shared" si="12"/>
        <v>1</v>
      </c>
      <c r="AF20" s="31">
        <f t="shared" si="12"/>
        <v>16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f>SUM('[1]RD130 MCC'!R737:U737)</f>
        <v>0</v>
      </c>
      <c r="M21" s="50">
        <v>6</v>
      </c>
      <c r="N21" s="50">
        <v>0</v>
      </c>
      <c r="O21" s="15">
        <f t="shared" si="0"/>
        <v>1</v>
      </c>
      <c r="P21" s="15">
        <f t="shared" si="1"/>
        <v>7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1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</v>
      </c>
      <c r="AD21" s="17">
        <f t="shared" si="13"/>
        <v>0</v>
      </c>
      <c r="AE21" s="31">
        <f t="shared" si="13"/>
        <v>2</v>
      </c>
      <c r="AF21" s="31">
        <f t="shared" si="13"/>
        <v>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SUM('[1]RD130 MCC'!R738:U738)</f>
        <v>0</v>
      </c>
      <c r="M22" s="50">
        <v>4</v>
      </c>
      <c r="N22" s="50">
        <v>0</v>
      </c>
      <c r="O22" s="15">
        <f t="shared" si="0"/>
        <v>0</v>
      </c>
      <c r="P22" s="15">
        <f t="shared" si="1"/>
        <v>4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19</v>
      </c>
      <c r="AD22" s="39">
        <f t="shared" si="14"/>
        <v>0</v>
      </c>
      <c r="AE22" s="40">
        <f t="shared" si="14"/>
        <v>3</v>
      </c>
      <c r="AF22" s="40">
        <f t="shared" si="14"/>
        <v>21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MCC'!R739:U739)</f>
        <v>0</v>
      </c>
      <c r="M23" s="50">
        <v>4</v>
      </c>
      <c r="N23" s="50">
        <v>0</v>
      </c>
      <c r="O23" s="15">
        <f t="shared" si="0"/>
        <v>0</v>
      </c>
      <c r="P23" s="15">
        <f t="shared" si="1"/>
        <v>4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22</v>
      </c>
      <c r="AD23" s="39">
        <f t="shared" si="15"/>
        <v>0</v>
      </c>
      <c r="AE23" s="40">
        <f t="shared" si="15"/>
        <v>4</v>
      </c>
      <c r="AF23" s="40">
        <f t="shared" si="15"/>
        <v>26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f>SUM('[1]RD130 MCC'!R740:U740)</f>
        <v>0</v>
      </c>
      <c r="M24" s="50">
        <v>7</v>
      </c>
      <c r="N24" s="50">
        <v>0</v>
      </c>
      <c r="O24" s="15">
        <f t="shared" si="0"/>
        <v>0</v>
      </c>
      <c r="P24" s="15">
        <f t="shared" si="1"/>
        <v>7</v>
      </c>
      <c r="R24" s="38" t="s">
        <v>92</v>
      </c>
      <c r="S24" s="39">
        <f>MAX(S19:S21)</f>
        <v>1</v>
      </c>
      <c r="T24" s="39">
        <f t="shared" ref="T24:AF24" si="16">MAX(T19:T21)</f>
        <v>0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15</v>
      </c>
      <c r="AD24" s="39">
        <f t="shared" si="16"/>
        <v>0</v>
      </c>
      <c r="AE24" s="40">
        <f t="shared" si="16"/>
        <v>2</v>
      </c>
      <c r="AF24" s="40">
        <f t="shared" si="16"/>
        <v>16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SUM('[1]RD130 MCC'!R741:U741)</f>
        <v>0</v>
      </c>
      <c r="M25" s="50">
        <v>4</v>
      </c>
      <c r="N25" s="50">
        <v>0</v>
      </c>
      <c r="O25" s="15">
        <f t="shared" si="0"/>
        <v>0</v>
      </c>
      <c r="P25" s="15">
        <f t="shared" si="1"/>
        <v>4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1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26</v>
      </c>
      <c r="AD25" s="16">
        <f t="shared" si="17"/>
        <v>0</v>
      </c>
      <c r="AE25" s="32">
        <f t="shared" si="17"/>
        <v>5</v>
      </c>
      <c r="AF25" s="32">
        <f t="shared" si="17"/>
        <v>31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SUM('[1]RD130 MCC'!R742:U742)</f>
        <v>0</v>
      </c>
      <c r="M26" s="50">
        <v>8</v>
      </c>
      <c r="N26" s="50">
        <v>0</v>
      </c>
      <c r="O26" s="15">
        <f t="shared" si="0"/>
        <v>1</v>
      </c>
      <c r="P26" s="15">
        <f t="shared" si="1"/>
        <v>9</v>
      </c>
      <c r="R26" s="28" t="s">
        <v>86</v>
      </c>
      <c r="S26" s="16">
        <f t="shared" ref="S26:AF26" si="18">SUM(S13:S18)</f>
        <v>1</v>
      </c>
      <c r="T26" s="16">
        <f t="shared" si="18"/>
        <v>0</v>
      </c>
      <c r="U26" s="16">
        <f t="shared" si="18"/>
        <v>2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3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115</v>
      </c>
      <c r="AD26" s="16">
        <f t="shared" si="18"/>
        <v>0</v>
      </c>
      <c r="AE26" s="32">
        <f t="shared" si="18"/>
        <v>8</v>
      </c>
      <c r="AF26" s="32">
        <f t="shared" si="18"/>
        <v>123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f>SUM('[1]RD130 MCC'!R743:U743)</f>
        <v>0</v>
      </c>
      <c r="M27" s="50">
        <v>2</v>
      </c>
      <c r="N27" s="50">
        <v>0</v>
      </c>
      <c r="O27" s="15">
        <f t="shared" si="0"/>
        <v>1</v>
      </c>
      <c r="P27" s="15">
        <f t="shared" si="1"/>
        <v>3</v>
      </c>
      <c r="R27" s="29" t="s">
        <v>87</v>
      </c>
      <c r="S27" s="16">
        <f t="shared" ref="S27:AF27" si="19">SUM(S19:S21)</f>
        <v>2</v>
      </c>
      <c r="T27" s="16">
        <f t="shared" si="19"/>
        <v>0</v>
      </c>
      <c r="U27" s="16">
        <f t="shared" si="19"/>
        <v>1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34</v>
      </c>
      <c r="AD27" s="16">
        <f t="shared" si="19"/>
        <v>0</v>
      </c>
      <c r="AE27" s="32">
        <f t="shared" si="19"/>
        <v>5</v>
      </c>
      <c r="AF27" s="32">
        <f t="shared" si="19"/>
        <v>39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MCC'!R744:U744)</f>
        <v>0</v>
      </c>
      <c r="M28" s="50">
        <v>7</v>
      </c>
      <c r="N28" s="50">
        <v>0</v>
      </c>
      <c r="O28" s="15">
        <f t="shared" si="0"/>
        <v>1</v>
      </c>
      <c r="P28" s="15">
        <f t="shared" si="1"/>
        <v>8</v>
      </c>
      <c r="R28" s="5" t="s">
        <v>17</v>
      </c>
      <c r="S28" s="16">
        <f t="shared" ref="S28:AF28" si="20">SUM(S10:S21)</f>
        <v>3</v>
      </c>
      <c r="T28" s="16">
        <f t="shared" si="20"/>
        <v>0</v>
      </c>
      <c r="U28" s="16">
        <f t="shared" si="20"/>
        <v>4</v>
      </c>
      <c r="V28" s="16">
        <f t="shared" si="20"/>
        <v>3</v>
      </c>
      <c r="W28" s="16">
        <f t="shared" si="20"/>
        <v>0</v>
      </c>
      <c r="X28" s="16">
        <f t="shared" si="20"/>
        <v>0</v>
      </c>
      <c r="Y28" s="16">
        <f t="shared" si="20"/>
        <v>8</v>
      </c>
      <c r="Z28" s="16">
        <f t="shared" si="20"/>
        <v>0</v>
      </c>
      <c r="AA28" s="16">
        <f t="shared" si="20"/>
        <v>0</v>
      </c>
      <c r="AB28" s="16">
        <f t="shared" si="20"/>
        <v>0</v>
      </c>
      <c r="AC28" s="16">
        <f t="shared" si="20"/>
        <v>175</v>
      </c>
      <c r="AD28" s="16">
        <f t="shared" si="20"/>
        <v>0</v>
      </c>
      <c r="AE28" s="32">
        <f t="shared" si="20"/>
        <v>18</v>
      </c>
      <c r="AF28" s="32">
        <f t="shared" si="20"/>
        <v>193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SUM('[1]RD130 MCC'!R745:U745)</f>
        <v>0</v>
      </c>
      <c r="M29" s="50">
        <v>5</v>
      </c>
      <c r="N29" s="50">
        <v>0</v>
      </c>
      <c r="O29" s="15">
        <f t="shared" si="0"/>
        <v>1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MCC'!R746:U746)</f>
        <v>0</v>
      </c>
      <c r="M30" s="50">
        <v>3</v>
      </c>
      <c r="N30" s="50">
        <v>0</v>
      </c>
      <c r="O30" s="15">
        <f t="shared" si="0"/>
        <v>0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SUM('[1]RD130 MCC'!R747:U747)</f>
        <v>0</v>
      </c>
      <c r="M31" s="50">
        <v>2</v>
      </c>
      <c r="N31" s="50">
        <v>0</v>
      </c>
      <c r="O31" s="15">
        <f t="shared" si="0"/>
        <v>0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MCC'!R748:U748)</f>
        <v>0</v>
      </c>
      <c r="M32" s="50">
        <v>9</v>
      </c>
      <c r="N32" s="50">
        <v>0</v>
      </c>
      <c r="O32" s="15">
        <f t="shared" si="0"/>
        <v>0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MCC'!R749:U749)</f>
        <v>0</v>
      </c>
      <c r="M33" s="50">
        <v>5</v>
      </c>
      <c r="N33" s="50">
        <v>0</v>
      </c>
      <c r="O33" s="15">
        <f t="shared" si="0"/>
        <v>0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MCC'!R750:U750)</f>
        <v>0</v>
      </c>
      <c r="M34" s="50">
        <v>4</v>
      </c>
      <c r="N34" s="50">
        <v>0</v>
      </c>
      <c r="O34" s="15">
        <f t="shared" si="0"/>
        <v>0</v>
      </c>
      <c r="P34" s="15">
        <f t="shared" si="1"/>
        <v>4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SUM('[1]RD130 MCC'!R751:U751)</f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MCC'!R752:U752)</f>
        <v>0</v>
      </c>
      <c r="M36" s="50">
        <v>8</v>
      </c>
      <c r="N36" s="50">
        <v>0</v>
      </c>
      <c r="O36" s="15">
        <f t="shared" si="0"/>
        <v>0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MCC'!R753:U753)</f>
        <v>0</v>
      </c>
      <c r="M37" s="50">
        <v>4</v>
      </c>
      <c r="N37" s="50">
        <v>0</v>
      </c>
      <c r="O37" s="15">
        <f t="shared" si="0"/>
        <v>0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f>SUM('[1]RD130 MCC'!R754:U754)</f>
        <v>0</v>
      </c>
      <c r="M38" s="50">
        <v>8</v>
      </c>
      <c r="N38" s="50">
        <v>0</v>
      </c>
      <c r="O38" s="15">
        <f t="shared" si="0"/>
        <v>1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MCC'!R755:U755)</f>
        <v>0</v>
      </c>
      <c r="M39" s="50">
        <v>0</v>
      </c>
      <c r="N39" s="50">
        <v>0</v>
      </c>
      <c r="O39" s="15">
        <f t="shared" si="0"/>
        <v>1</v>
      </c>
      <c r="P39" s="15">
        <f t="shared" si="1"/>
        <v>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f>SUM('[1]RD130 MCC'!R756:U756)</f>
        <v>0</v>
      </c>
      <c r="M40" s="50">
        <v>9</v>
      </c>
      <c r="N40" s="50">
        <v>0</v>
      </c>
      <c r="O40" s="15">
        <f t="shared" si="0"/>
        <v>1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SUM('[1]RD130 MCC'!R757:U757)</f>
        <v>0</v>
      </c>
      <c r="M41" s="50">
        <v>5</v>
      </c>
      <c r="N41" s="50">
        <v>0</v>
      </c>
      <c r="O41" s="15">
        <f t="shared" si="0"/>
        <v>0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MCC'!R758:U758)</f>
        <v>0</v>
      </c>
      <c r="M42" s="50">
        <v>4</v>
      </c>
      <c r="N42" s="50">
        <v>0</v>
      </c>
      <c r="O42" s="15">
        <f t="shared" si="0"/>
        <v>0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SUM('[1]RD130 MCC'!R759:U759)</f>
        <v>0</v>
      </c>
      <c r="M43" s="50">
        <v>7</v>
      </c>
      <c r="N43" s="50">
        <v>0</v>
      </c>
      <c r="O43" s="15">
        <f t="shared" si="0"/>
        <v>0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MCC'!R760:U760)</f>
        <v>0</v>
      </c>
      <c r="M44" s="50">
        <v>2</v>
      </c>
      <c r="N44" s="50">
        <v>0</v>
      </c>
      <c r="O44" s="15">
        <f t="shared" si="0"/>
        <v>1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SUM('[1]RD130 MCC'!R761:U761)</f>
        <v>0</v>
      </c>
      <c r="M45" s="50">
        <v>4</v>
      </c>
      <c r="N45" s="50">
        <v>0</v>
      </c>
      <c r="O45" s="15">
        <f t="shared" si="0"/>
        <v>0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f>SUM('[1]RD130 MCC'!R762:U762)</f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MCC'!R763:U763)</f>
        <v>0</v>
      </c>
      <c r="M47" s="50">
        <v>5</v>
      </c>
      <c r="N47" s="50">
        <v>0</v>
      </c>
      <c r="O47" s="15">
        <f t="shared" si="0"/>
        <v>0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MCC'!R764:U764)</f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MCC'!R765:U765)</f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MCC'!R766:U766)</f>
        <v>0</v>
      </c>
      <c r="M50" s="50">
        <v>7</v>
      </c>
      <c r="N50" s="50">
        <v>0</v>
      </c>
      <c r="O50" s="15">
        <f t="shared" si="0"/>
        <v>0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SUM('[1]RD130 MCC'!R767:U767)</f>
        <v>0</v>
      </c>
      <c r="M51" s="50">
        <v>6</v>
      </c>
      <c r="N51" s="50">
        <v>0</v>
      </c>
      <c r="O51" s="15">
        <f t="shared" si="0"/>
        <v>0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MCC'!R768:U768)</f>
        <v>0</v>
      </c>
      <c r="M52" s="50">
        <v>0</v>
      </c>
      <c r="N52" s="50">
        <v>0</v>
      </c>
      <c r="O52" s="15">
        <f t="shared" si="0"/>
        <v>0</v>
      </c>
      <c r="P52" s="15">
        <f t="shared" si="1"/>
        <v>0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MCC'!R769:U769)</f>
        <v>0</v>
      </c>
      <c r="M53" s="50">
        <v>2</v>
      </c>
      <c r="N53" s="50">
        <v>0</v>
      </c>
      <c r="O53" s="15">
        <f t="shared" si="0"/>
        <v>1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MCC'!R770:U770)</f>
        <v>0</v>
      </c>
      <c r="M54" s="50">
        <v>3</v>
      </c>
      <c r="N54" s="50">
        <v>0</v>
      </c>
      <c r="O54" s="15">
        <f t="shared" si="0"/>
        <v>0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MCC'!R771:U771)</f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MCC'!R772:U772)</f>
        <v>0</v>
      </c>
      <c r="M56" s="50">
        <v>0</v>
      </c>
      <c r="N56" s="50">
        <v>0</v>
      </c>
      <c r="O56" s="15">
        <f t="shared" si="0"/>
        <v>1</v>
      </c>
      <c r="P56" s="15">
        <f t="shared" si="1"/>
        <v>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MCC'!R773:U773)</f>
        <v>0</v>
      </c>
      <c r="M57" s="50">
        <v>3</v>
      </c>
      <c r="N57" s="50">
        <v>0</v>
      </c>
      <c r="O57" s="15">
        <f t="shared" si="0"/>
        <v>0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</v>
      </c>
      <c r="D58" s="16">
        <f t="shared" si="21"/>
        <v>0</v>
      </c>
      <c r="E58" s="16">
        <f t="shared" si="21"/>
        <v>4</v>
      </c>
      <c r="F58" s="16">
        <f t="shared" si="21"/>
        <v>3</v>
      </c>
      <c r="G58" s="16">
        <f t="shared" si="21"/>
        <v>0</v>
      </c>
      <c r="H58" s="16">
        <f t="shared" si="21"/>
        <v>0</v>
      </c>
      <c r="I58" s="16">
        <f t="shared" si="21"/>
        <v>8</v>
      </c>
      <c r="J58" s="16">
        <f t="shared" si="21"/>
        <v>0</v>
      </c>
      <c r="K58" s="16">
        <f t="shared" si="21"/>
        <v>0</v>
      </c>
      <c r="L58" s="16">
        <f t="shared" si="21"/>
        <v>0</v>
      </c>
      <c r="M58" s="16">
        <f t="shared" si="21"/>
        <v>175</v>
      </c>
      <c r="N58" s="16">
        <f t="shared" si="21"/>
        <v>0</v>
      </c>
      <c r="O58" s="16">
        <f t="shared" si="21"/>
        <v>18</v>
      </c>
      <c r="P58" s="16">
        <f t="shared" si="21"/>
        <v>193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1.5544041450777202E-2</v>
      </c>
      <c r="D59" s="43">
        <f t="shared" si="22"/>
        <v>0</v>
      </c>
      <c r="E59" s="43">
        <f t="shared" si="22"/>
        <v>2.072538860103627E-2</v>
      </c>
      <c r="F59" s="43">
        <f t="shared" si="22"/>
        <v>1.5544041450777202E-2</v>
      </c>
      <c r="G59" s="43">
        <f t="shared" si="22"/>
        <v>0</v>
      </c>
      <c r="H59" s="43">
        <f t="shared" si="22"/>
        <v>0</v>
      </c>
      <c r="I59" s="43">
        <f t="shared" si="22"/>
        <v>4.145077720207254E-2</v>
      </c>
      <c r="J59" s="43">
        <f t="shared" si="22"/>
        <v>0</v>
      </c>
      <c r="K59" s="43">
        <f t="shared" si="22"/>
        <v>0</v>
      </c>
      <c r="L59" s="43">
        <f t="shared" si="22"/>
        <v>0</v>
      </c>
      <c r="M59" s="43">
        <f t="shared" si="22"/>
        <v>0.90673575129533679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0.16666666666666666</v>
      </c>
      <c r="D60" s="44">
        <f t="shared" ref="D60:N60" si="23">D58/$O$58</f>
        <v>0</v>
      </c>
      <c r="E60" s="44">
        <f t="shared" si="23"/>
        <v>0.22222222222222221</v>
      </c>
      <c r="F60" s="44">
        <f t="shared" si="23"/>
        <v>0.16666666666666666</v>
      </c>
      <c r="G60" s="44">
        <f t="shared" si="23"/>
        <v>0</v>
      </c>
      <c r="H60" s="44">
        <f t="shared" si="23"/>
        <v>0</v>
      </c>
      <c r="I60" s="44">
        <f t="shared" si="23"/>
        <v>0.44444444444444442</v>
      </c>
      <c r="J60" s="44">
        <f t="shared" si="23"/>
        <v>0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40" zoomScale="60" workbookViewId="0">
      <selection activeCell="J31" sqref="J3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Atiak-Palabek'!C3:G3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'05.08 Palabek-Atiak'!G5:H5</f>
        <v>xxx</v>
      </c>
      <c r="H5" s="64"/>
      <c r="I5" s="14"/>
      <c r="J5" s="2" t="s">
        <v>5</v>
      </c>
      <c r="K5" s="63" t="str">
        <f>'05.08 Palabek-Atiak'!K5:L5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Atiak-Palabek'!D6:E6</f>
        <v>Atiak</v>
      </c>
      <c r="E6" s="64"/>
      <c r="F6" s="2" t="s">
        <v>2</v>
      </c>
      <c r="G6" s="63" t="str">
        <f>'31.07 Atiak-Palabek'!G6:H6</f>
        <v>Palabek</v>
      </c>
      <c r="H6" s="64"/>
      <c r="J6" s="2" t="s">
        <v>21</v>
      </c>
      <c r="K6" s="63" t="str">
        <f>'05.08 Palabek-Atiak'!K6:L6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SUM('[1]RD130 MCC'!R774:U774)</f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13</v>
      </c>
      <c r="AD10" s="17">
        <f t="shared" si="2"/>
        <v>0</v>
      </c>
      <c r="AE10" s="31">
        <f t="shared" si="2"/>
        <v>0</v>
      </c>
      <c r="AF10" s="31">
        <f t="shared" si="2"/>
        <v>13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SUM('[1]RD130 MCC'!R775:U775)</f>
        <v>0</v>
      </c>
      <c r="M11" s="50">
        <v>3</v>
      </c>
      <c r="N11" s="50">
        <v>0</v>
      </c>
      <c r="O11" s="15">
        <f t="shared" si="0"/>
        <v>0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1</v>
      </c>
      <c r="AF11" s="31">
        <f t="shared" si="3"/>
        <v>15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SUM('[1]RD130 MCC'!R776:U776)</f>
        <v>0</v>
      </c>
      <c r="M12" s="50">
        <v>4</v>
      </c>
      <c r="N12" s="50">
        <v>0</v>
      </c>
      <c r="O12" s="15">
        <f t="shared" si="0"/>
        <v>0</v>
      </c>
      <c r="P12" s="15">
        <f t="shared" si="1"/>
        <v>4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26</v>
      </c>
      <c r="AD12" s="17">
        <f t="shared" si="4"/>
        <v>0</v>
      </c>
      <c r="AE12" s="31">
        <f t="shared" si="4"/>
        <v>2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SUM('[1]RD130 MCC'!R777:U777)</f>
        <v>0</v>
      </c>
      <c r="M13" s="50">
        <v>4</v>
      </c>
      <c r="N13" s="50">
        <v>0</v>
      </c>
      <c r="O13" s="15">
        <f t="shared" si="0"/>
        <v>0</v>
      </c>
      <c r="P13" s="15">
        <f t="shared" si="1"/>
        <v>4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27</v>
      </c>
      <c r="AD13" s="17">
        <f t="shared" si="5"/>
        <v>0</v>
      </c>
      <c r="AE13" s="31">
        <f t="shared" si="5"/>
        <v>4</v>
      </c>
      <c r="AF13" s="31">
        <f t="shared" si="5"/>
        <v>31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SUM('[1]RD130 MCC'!R778:U778)</f>
        <v>0</v>
      </c>
      <c r="M14" s="50">
        <v>3</v>
      </c>
      <c r="N14" s="50">
        <v>0</v>
      </c>
      <c r="O14" s="15">
        <f t="shared" si="0"/>
        <v>0</v>
      </c>
      <c r="P14" s="15">
        <f t="shared" si="1"/>
        <v>3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22</v>
      </c>
      <c r="AD14" s="17">
        <f t="shared" si="6"/>
        <v>0</v>
      </c>
      <c r="AE14" s="31">
        <f t="shared" si="6"/>
        <v>7</v>
      </c>
      <c r="AF14" s="31">
        <f t="shared" si="6"/>
        <v>29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f>SUM('[1]RD130 MCC'!R779:U779)</f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29</v>
      </c>
      <c r="AD15" s="17">
        <f t="shared" si="7"/>
        <v>0</v>
      </c>
      <c r="AE15" s="31">
        <f t="shared" si="7"/>
        <v>4</v>
      </c>
      <c r="AF15" s="31">
        <f t="shared" si="7"/>
        <v>33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SUM('[1]RD130 MCC'!R780:U780)</f>
        <v>0</v>
      </c>
      <c r="M16" s="50">
        <v>4</v>
      </c>
      <c r="N16" s="50">
        <v>0</v>
      </c>
      <c r="O16" s="15">
        <f t="shared" si="0"/>
        <v>0</v>
      </c>
      <c r="P16" s="15">
        <f t="shared" si="1"/>
        <v>4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27</v>
      </c>
      <c r="AD16" s="17">
        <f t="shared" si="8"/>
        <v>0</v>
      </c>
      <c r="AE16" s="31">
        <f t="shared" si="8"/>
        <v>2</v>
      </c>
      <c r="AF16" s="31">
        <f t="shared" si="8"/>
        <v>29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SUM('[1]RD130 MCC'!R781:U781)</f>
        <v>0</v>
      </c>
      <c r="M17" s="50">
        <v>3</v>
      </c>
      <c r="N17" s="50">
        <v>0</v>
      </c>
      <c r="O17" s="15">
        <f t="shared" si="0"/>
        <v>0</v>
      </c>
      <c r="P17" s="15">
        <f t="shared" si="1"/>
        <v>3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26</v>
      </c>
      <c r="AD17" s="17">
        <f t="shared" si="9"/>
        <v>0</v>
      </c>
      <c r="AE17" s="31">
        <f t="shared" si="9"/>
        <v>9</v>
      </c>
      <c r="AF17" s="31">
        <f t="shared" si="9"/>
        <v>35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SUM('[1]RD130 MCC'!R782:U782)</f>
        <v>0</v>
      </c>
      <c r="M18" s="50">
        <v>6</v>
      </c>
      <c r="N18" s="50">
        <v>0</v>
      </c>
      <c r="O18" s="15">
        <f t="shared" si="0"/>
        <v>0</v>
      </c>
      <c r="P18" s="15">
        <f t="shared" si="1"/>
        <v>6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21</v>
      </c>
      <c r="AD18" s="17">
        <f t="shared" si="10"/>
        <v>0</v>
      </c>
      <c r="AE18" s="31">
        <f t="shared" si="10"/>
        <v>2</v>
      </c>
      <c r="AF18" s="31">
        <f t="shared" si="10"/>
        <v>23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SUM('[1]RD130 MCC'!R783:U783)</f>
        <v>0</v>
      </c>
      <c r="M19" s="50">
        <v>8</v>
      </c>
      <c r="N19" s="50">
        <v>0</v>
      </c>
      <c r="O19" s="15">
        <f t="shared" si="0"/>
        <v>0</v>
      </c>
      <c r="P19" s="15">
        <f t="shared" si="1"/>
        <v>8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24</v>
      </c>
      <c r="AD19" s="17">
        <f t="shared" si="11"/>
        <v>0</v>
      </c>
      <c r="AE19" s="31">
        <f t="shared" si="11"/>
        <v>0</v>
      </c>
      <c r="AF19" s="31">
        <f t="shared" si="11"/>
        <v>24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f>SUM('[1]RD130 MCC'!R784:U784)</f>
        <v>0</v>
      </c>
      <c r="M20" s="50">
        <v>5</v>
      </c>
      <c r="N20" s="50">
        <v>0</v>
      </c>
      <c r="O20" s="15">
        <f t="shared" si="0"/>
        <v>2</v>
      </c>
      <c r="P20" s="15">
        <f t="shared" si="1"/>
        <v>7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24</v>
      </c>
      <c r="AD20" s="17">
        <f t="shared" si="12"/>
        <v>0</v>
      </c>
      <c r="AE20" s="31">
        <f t="shared" si="12"/>
        <v>3</v>
      </c>
      <c r="AF20" s="31">
        <f t="shared" si="12"/>
        <v>27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f>SUM('[1]RD130 MCC'!R785:U785)</f>
        <v>0</v>
      </c>
      <c r="M21" s="50">
        <v>7</v>
      </c>
      <c r="N21" s="50">
        <v>0</v>
      </c>
      <c r="O21" s="15">
        <f t="shared" si="0"/>
        <v>0</v>
      </c>
      <c r="P21" s="15">
        <f t="shared" si="1"/>
        <v>7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27</v>
      </c>
      <c r="AD21" s="17">
        <f t="shared" si="13"/>
        <v>0</v>
      </c>
      <c r="AE21" s="31">
        <f t="shared" si="13"/>
        <v>1</v>
      </c>
      <c r="AF21" s="31">
        <f t="shared" si="13"/>
        <v>28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f>SUM('[1]RD130 MCC'!R786:U786)</f>
        <v>0</v>
      </c>
      <c r="M22" s="50">
        <v>8</v>
      </c>
      <c r="N22" s="50">
        <v>0</v>
      </c>
      <c r="O22" s="15">
        <f t="shared" si="0"/>
        <v>2</v>
      </c>
      <c r="P22" s="15">
        <f t="shared" si="1"/>
        <v>10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26</v>
      </c>
      <c r="AD22" s="39">
        <f t="shared" si="14"/>
        <v>0</v>
      </c>
      <c r="AE22" s="40">
        <f t="shared" si="14"/>
        <v>2</v>
      </c>
      <c r="AF22" s="40">
        <f t="shared" si="14"/>
        <v>28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SUM('[1]RD130 MCC'!R787:U787)</f>
        <v>0</v>
      </c>
      <c r="M23" s="50">
        <v>9</v>
      </c>
      <c r="N23" s="50">
        <v>0</v>
      </c>
      <c r="O23" s="15">
        <f t="shared" si="0"/>
        <v>0</v>
      </c>
      <c r="P23" s="15">
        <f t="shared" si="1"/>
        <v>9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0</v>
      </c>
      <c r="AA23" s="39">
        <f t="shared" si="15"/>
        <v>1</v>
      </c>
      <c r="AB23" s="39">
        <f t="shared" si="15"/>
        <v>0</v>
      </c>
      <c r="AC23" s="39">
        <f t="shared" si="15"/>
        <v>29</v>
      </c>
      <c r="AD23" s="39">
        <f t="shared" si="15"/>
        <v>0</v>
      </c>
      <c r="AE23" s="40">
        <f t="shared" si="15"/>
        <v>9</v>
      </c>
      <c r="AF23" s="40">
        <f t="shared" si="15"/>
        <v>35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f>SUM('[1]RD130 MCC'!R788:U788)</f>
        <v>0</v>
      </c>
      <c r="M24" s="50">
        <v>4</v>
      </c>
      <c r="N24" s="50">
        <v>0</v>
      </c>
      <c r="O24" s="15">
        <f t="shared" si="0"/>
        <v>1</v>
      </c>
      <c r="P24" s="15">
        <f t="shared" si="1"/>
        <v>5</v>
      </c>
      <c r="R24" s="38" t="s">
        <v>92</v>
      </c>
      <c r="S24" s="39">
        <f>MAX(S19:S21)</f>
        <v>1</v>
      </c>
      <c r="T24" s="39">
        <f t="shared" ref="T24:AF24" si="16">MAX(T19:T21)</f>
        <v>0</v>
      </c>
      <c r="U24" s="39">
        <f t="shared" si="16"/>
        <v>2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27</v>
      </c>
      <c r="AD24" s="39">
        <f t="shared" si="16"/>
        <v>0</v>
      </c>
      <c r="AE24" s="40">
        <f t="shared" si="16"/>
        <v>3</v>
      </c>
      <c r="AF24" s="40">
        <f t="shared" si="16"/>
        <v>28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f>SUM('[1]RD130 MCC'!R789:U789)</f>
        <v>0</v>
      </c>
      <c r="M25" s="50">
        <v>6</v>
      </c>
      <c r="N25" s="50">
        <v>0</v>
      </c>
      <c r="O25" s="15">
        <f t="shared" si="0"/>
        <v>1</v>
      </c>
      <c r="P25" s="15">
        <f t="shared" si="1"/>
        <v>7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53</v>
      </c>
      <c r="AD25" s="16">
        <f t="shared" si="17"/>
        <v>0</v>
      </c>
      <c r="AE25" s="32">
        <f t="shared" si="17"/>
        <v>3</v>
      </c>
      <c r="AF25" s="32">
        <f t="shared" si="17"/>
        <v>56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f>SUM('[1]RD130 MCC'!R790:U790)</f>
        <v>0</v>
      </c>
      <c r="M26" s="50">
        <v>6</v>
      </c>
      <c r="N26" s="50">
        <v>0</v>
      </c>
      <c r="O26" s="15">
        <f t="shared" si="0"/>
        <v>1</v>
      </c>
      <c r="P26" s="15">
        <f t="shared" si="1"/>
        <v>7</v>
      </c>
      <c r="R26" s="28" t="s">
        <v>86</v>
      </c>
      <c r="S26" s="16">
        <f t="shared" ref="S26:AF26" si="18">SUM(S13:S18)</f>
        <v>2</v>
      </c>
      <c r="T26" s="16">
        <f t="shared" si="18"/>
        <v>0</v>
      </c>
      <c r="U26" s="16">
        <f t="shared" si="18"/>
        <v>6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18</v>
      </c>
      <c r="Z26" s="16">
        <f t="shared" si="18"/>
        <v>0</v>
      </c>
      <c r="AA26" s="16">
        <f t="shared" si="18"/>
        <v>1</v>
      </c>
      <c r="AB26" s="16">
        <f t="shared" si="18"/>
        <v>0</v>
      </c>
      <c r="AC26" s="16">
        <f t="shared" si="18"/>
        <v>152</v>
      </c>
      <c r="AD26" s="16">
        <f t="shared" si="18"/>
        <v>0</v>
      </c>
      <c r="AE26" s="32">
        <f t="shared" si="18"/>
        <v>28</v>
      </c>
      <c r="AF26" s="32">
        <f t="shared" si="18"/>
        <v>180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f>SUM('[1]RD130 MCC'!R791:U791)</f>
        <v>0</v>
      </c>
      <c r="M27" s="50">
        <v>8</v>
      </c>
      <c r="N27" s="50">
        <v>0</v>
      </c>
      <c r="O27" s="15">
        <f t="shared" si="0"/>
        <v>1</v>
      </c>
      <c r="P27" s="15">
        <f t="shared" si="1"/>
        <v>9</v>
      </c>
      <c r="R27" s="29" t="s">
        <v>87</v>
      </c>
      <c r="S27" s="16">
        <f t="shared" ref="S27:AF27" si="19">SUM(S19:S21)</f>
        <v>1</v>
      </c>
      <c r="T27" s="16">
        <f t="shared" si="19"/>
        <v>0</v>
      </c>
      <c r="U27" s="16">
        <f t="shared" si="19"/>
        <v>2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75</v>
      </c>
      <c r="AD27" s="16">
        <f t="shared" si="19"/>
        <v>0</v>
      </c>
      <c r="AE27" s="32">
        <f t="shared" si="19"/>
        <v>4</v>
      </c>
      <c r="AF27" s="32">
        <f t="shared" si="19"/>
        <v>79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f>SUM('[1]RD130 MCC'!R792:U792)</f>
        <v>0</v>
      </c>
      <c r="M28" s="50">
        <v>6</v>
      </c>
      <c r="N28" s="50">
        <v>0</v>
      </c>
      <c r="O28" s="15">
        <f t="shared" si="0"/>
        <v>2</v>
      </c>
      <c r="P28" s="15">
        <f t="shared" si="1"/>
        <v>8</v>
      </c>
      <c r="R28" s="5" t="s">
        <v>17</v>
      </c>
      <c r="S28" s="16">
        <f t="shared" ref="S28:AF28" si="20">SUM(S10:S21)</f>
        <v>3</v>
      </c>
      <c r="T28" s="16">
        <f t="shared" si="20"/>
        <v>0</v>
      </c>
      <c r="U28" s="16">
        <f t="shared" si="20"/>
        <v>8</v>
      </c>
      <c r="V28" s="16">
        <f t="shared" si="20"/>
        <v>1</v>
      </c>
      <c r="W28" s="16">
        <f t="shared" si="20"/>
        <v>0</v>
      </c>
      <c r="X28" s="16">
        <f t="shared" si="20"/>
        <v>0</v>
      </c>
      <c r="Y28" s="16">
        <f t="shared" si="20"/>
        <v>22</v>
      </c>
      <c r="Z28" s="16">
        <f t="shared" si="20"/>
        <v>0</v>
      </c>
      <c r="AA28" s="16">
        <f t="shared" si="20"/>
        <v>1</v>
      </c>
      <c r="AB28" s="16">
        <f t="shared" si="20"/>
        <v>0</v>
      </c>
      <c r="AC28" s="16">
        <f t="shared" si="20"/>
        <v>280</v>
      </c>
      <c r="AD28" s="16">
        <f t="shared" si="20"/>
        <v>0</v>
      </c>
      <c r="AE28" s="32">
        <f t="shared" si="20"/>
        <v>35</v>
      </c>
      <c r="AF28" s="32">
        <f t="shared" si="20"/>
        <v>315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f>SUM('[1]RD130 MCC'!R793:U793)</f>
        <v>0</v>
      </c>
      <c r="M29" s="50">
        <v>2</v>
      </c>
      <c r="N29" s="50">
        <v>0</v>
      </c>
      <c r="O29" s="15">
        <f t="shared" si="0"/>
        <v>3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SUM('[1]RD130 MCC'!R794:U794)</f>
        <v>0</v>
      </c>
      <c r="M30" s="50">
        <v>8</v>
      </c>
      <c r="N30" s="50">
        <v>0</v>
      </c>
      <c r="O30" s="15">
        <f t="shared" si="0"/>
        <v>0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f>SUM('[1]RD130 MCC'!R795:U795)</f>
        <v>0</v>
      </c>
      <c r="M31" s="50">
        <v>9</v>
      </c>
      <c r="N31" s="50">
        <v>0</v>
      </c>
      <c r="O31" s="15">
        <f t="shared" si="0"/>
        <v>1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SUM('[1]RD130 MCC'!R796:U796)</f>
        <v>0</v>
      </c>
      <c r="M32" s="50">
        <v>6</v>
      </c>
      <c r="N32" s="50">
        <v>0</v>
      </c>
      <c r="O32" s="15">
        <f t="shared" si="0"/>
        <v>2</v>
      </c>
      <c r="P32" s="15">
        <f t="shared" si="1"/>
        <v>8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SUM('[1]RD130 MCC'!R797:U797)</f>
        <v>0</v>
      </c>
      <c r="M33" s="50">
        <v>6</v>
      </c>
      <c r="N33" s="50">
        <v>0</v>
      </c>
      <c r="O33" s="15">
        <f t="shared" si="0"/>
        <v>1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f>SUM('[1]RD130 MCC'!R798:U798)</f>
        <v>0</v>
      </c>
      <c r="M34" s="50">
        <v>4</v>
      </c>
      <c r="N34" s="50">
        <v>0</v>
      </c>
      <c r="O34" s="15">
        <f t="shared" si="0"/>
        <v>0</v>
      </c>
      <c r="P34" s="15">
        <f t="shared" si="1"/>
        <v>4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f>SUM('[1]RD130 MCC'!R799:U799)</f>
        <v>0</v>
      </c>
      <c r="M35" s="50">
        <v>7</v>
      </c>
      <c r="N35" s="50">
        <v>0</v>
      </c>
      <c r="O35" s="15">
        <f t="shared" si="0"/>
        <v>1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SUM('[1]RD130 MCC'!R800:U800)</f>
        <v>0</v>
      </c>
      <c r="M36" s="50">
        <v>4</v>
      </c>
      <c r="N36" s="50">
        <v>0</v>
      </c>
      <c r="O36" s="15">
        <f t="shared" si="0"/>
        <v>1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SUM('[1]RD130 MCC'!R801:U801)</f>
        <v>0</v>
      </c>
      <c r="M37" s="50">
        <v>12</v>
      </c>
      <c r="N37" s="50">
        <v>0</v>
      </c>
      <c r="O37" s="15">
        <f t="shared" si="0"/>
        <v>0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f>SUM('[1]RD130 MCC'!R802:U802)</f>
        <v>0</v>
      </c>
      <c r="M38" s="50">
        <v>9</v>
      </c>
      <c r="N38" s="50">
        <v>0</v>
      </c>
      <c r="O38" s="15">
        <f t="shared" si="0"/>
        <v>2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SUM('[1]RD130 MCC'!R803:U803)</f>
        <v>0</v>
      </c>
      <c r="M39" s="50">
        <v>9</v>
      </c>
      <c r="N39" s="50">
        <v>0</v>
      </c>
      <c r="O39" s="15">
        <f t="shared" si="0"/>
        <v>0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f>SUM('[1]RD130 MCC'!R804:U804)</f>
        <v>0</v>
      </c>
      <c r="M40" s="50">
        <v>4</v>
      </c>
      <c r="N40" s="50">
        <v>0</v>
      </c>
      <c r="O40" s="15">
        <f t="shared" si="0"/>
        <v>5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f>SUM('[1]RD130 MCC'!R805:U805)</f>
        <v>0</v>
      </c>
      <c r="M41" s="50">
        <v>4</v>
      </c>
      <c r="N41" s="50">
        <v>0</v>
      </c>
      <c r="O41" s="15">
        <f t="shared" si="0"/>
        <v>2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SUM('[1]RD130 MCC'!R806:U806)</f>
        <v>0</v>
      </c>
      <c r="M42" s="50">
        <v>5</v>
      </c>
      <c r="N42" s="50">
        <v>0</v>
      </c>
      <c r="O42" s="15">
        <f t="shared" si="0"/>
        <v>0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f>SUM('[1]RD130 MCC'!R807:U807)</f>
        <v>0</v>
      </c>
      <c r="M43" s="50">
        <v>7</v>
      </c>
      <c r="N43" s="50">
        <v>0</v>
      </c>
      <c r="O43" s="15">
        <f t="shared" si="0"/>
        <v>2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SUM('[1]RD130 MCC'!R808:U808)</f>
        <v>0</v>
      </c>
      <c r="M44" s="50">
        <v>4</v>
      </c>
      <c r="N44" s="50">
        <v>0</v>
      </c>
      <c r="O44" s="15">
        <f t="shared" si="0"/>
        <v>0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SUM('[1]RD130 MCC'!R809:U809)</f>
        <v>0</v>
      </c>
      <c r="M45" s="50">
        <v>5</v>
      </c>
      <c r="N45" s="50">
        <v>0</v>
      </c>
      <c r="O45" s="15">
        <f t="shared" si="0"/>
        <v>0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SUM('[1]RD130 MCC'!R810:U810)</f>
        <v>0</v>
      </c>
      <c r="M46" s="50">
        <v>5</v>
      </c>
      <c r="N46" s="50">
        <v>0</v>
      </c>
      <c r="O46" s="15">
        <f t="shared" si="0"/>
        <v>0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SUM('[1]RD130 MCC'!R811:U811)</f>
        <v>0</v>
      </c>
      <c r="M47" s="50">
        <v>7</v>
      </c>
      <c r="N47" s="50">
        <v>0</v>
      </c>
      <c r="O47" s="15">
        <f t="shared" si="0"/>
        <v>0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SUM('[1]RD130 MCC'!R812:U812)</f>
        <v>0</v>
      </c>
      <c r="M48" s="50">
        <v>5</v>
      </c>
      <c r="N48" s="50">
        <v>0</v>
      </c>
      <c r="O48" s="15">
        <f t="shared" si="0"/>
        <v>0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SUM('[1]RD130 MCC'!R813:U813)</f>
        <v>0</v>
      </c>
      <c r="M49" s="50">
        <v>7</v>
      </c>
      <c r="N49" s="50">
        <v>0</v>
      </c>
      <c r="O49" s="15">
        <f t="shared" si="0"/>
        <v>0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SUM('[1]RD130 MCC'!R814:U814)</f>
        <v>0</v>
      </c>
      <c r="M50" s="50">
        <v>7</v>
      </c>
      <c r="N50" s="50">
        <v>0</v>
      </c>
      <c r="O50" s="15">
        <f t="shared" si="0"/>
        <v>1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f>SUM('[1]RD130 MCC'!R815:U815)</f>
        <v>0</v>
      </c>
      <c r="M51" s="50">
        <v>6</v>
      </c>
      <c r="N51" s="50">
        <v>0</v>
      </c>
      <c r="O51" s="15">
        <f t="shared" si="0"/>
        <v>2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SUM('[1]RD130 MCC'!R816:U816)</f>
        <v>0</v>
      </c>
      <c r="M52" s="50">
        <v>5</v>
      </c>
      <c r="N52" s="50">
        <v>0</v>
      </c>
      <c r="O52" s="15">
        <f t="shared" si="0"/>
        <v>0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SUM('[1]RD130 MCC'!R817:U817)</f>
        <v>0</v>
      </c>
      <c r="M53" s="50">
        <v>6</v>
      </c>
      <c r="N53" s="50">
        <v>0</v>
      </c>
      <c r="O53" s="15">
        <f t="shared" si="0"/>
        <v>0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SUM('[1]RD130 MCC'!R818:U818)</f>
        <v>0</v>
      </c>
      <c r="M54" s="50">
        <v>8</v>
      </c>
      <c r="N54" s="50">
        <v>0</v>
      </c>
      <c r="O54" s="15">
        <f t="shared" si="0"/>
        <v>1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SUM('[1]RD130 MCC'!R819:U819)</f>
        <v>0</v>
      </c>
      <c r="M55" s="50">
        <v>8</v>
      </c>
      <c r="N55" s="50">
        <v>0</v>
      </c>
      <c r="O55" s="15">
        <f t="shared" si="0"/>
        <v>0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SUM('[1]RD130 MCC'!R820:U820)</f>
        <v>0</v>
      </c>
      <c r="M56" s="50">
        <v>5</v>
      </c>
      <c r="N56" s="50">
        <v>0</v>
      </c>
      <c r="O56" s="15">
        <f t="shared" si="0"/>
        <v>0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SUM('[1]RD130 MCC'!R821:U821)</f>
        <v>0</v>
      </c>
      <c r="M57" s="50">
        <v>6</v>
      </c>
      <c r="N57" s="50">
        <v>0</v>
      </c>
      <c r="O57" s="15">
        <f t="shared" si="0"/>
        <v>0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</v>
      </c>
      <c r="D58" s="16">
        <f t="shared" si="21"/>
        <v>0</v>
      </c>
      <c r="E58" s="16">
        <f t="shared" si="21"/>
        <v>8</v>
      </c>
      <c r="F58" s="16">
        <f t="shared" si="21"/>
        <v>1</v>
      </c>
      <c r="G58" s="16">
        <f t="shared" si="21"/>
        <v>0</v>
      </c>
      <c r="H58" s="16">
        <f t="shared" si="21"/>
        <v>0</v>
      </c>
      <c r="I58" s="16">
        <f t="shared" si="21"/>
        <v>22</v>
      </c>
      <c r="J58" s="16">
        <f t="shared" si="21"/>
        <v>0</v>
      </c>
      <c r="K58" s="16">
        <f t="shared" si="21"/>
        <v>1</v>
      </c>
      <c r="L58" s="16">
        <f t="shared" si="21"/>
        <v>0</v>
      </c>
      <c r="M58" s="16">
        <f t="shared" si="21"/>
        <v>280</v>
      </c>
      <c r="N58" s="16">
        <f t="shared" si="21"/>
        <v>0</v>
      </c>
      <c r="O58" s="16">
        <f t="shared" si="21"/>
        <v>35</v>
      </c>
      <c r="P58" s="16">
        <f t="shared" si="21"/>
        <v>315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9.5238095238095247E-3</v>
      </c>
      <c r="D59" s="43">
        <f t="shared" si="22"/>
        <v>0</v>
      </c>
      <c r="E59" s="43">
        <f t="shared" si="22"/>
        <v>2.5396825396825397E-2</v>
      </c>
      <c r="F59" s="43">
        <f t="shared" si="22"/>
        <v>3.1746031746031746E-3</v>
      </c>
      <c r="G59" s="43">
        <f t="shared" si="22"/>
        <v>0</v>
      </c>
      <c r="H59" s="43">
        <f t="shared" si="22"/>
        <v>0</v>
      </c>
      <c r="I59" s="43">
        <f t="shared" si="22"/>
        <v>6.9841269841269843E-2</v>
      </c>
      <c r="J59" s="43">
        <f t="shared" si="22"/>
        <v>0</v>
      </c>
      <c r="K59" s="43">
        <f t="shared" si="22"/>
        <v>3.1746031746031746E-3</v>
      </c>
      <c r="L59" s="43">
        <f t="shared" si="22"/>
        <v>0</v>
      </c>
      <c r="M59" s="43">
        <f t="shared" si="22"/>
        <v>0.88888888888888884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8.5714285714285715E-2</v>
      </c>
      <c r="D60" s="44">
        <f t="shared" ref="D60:N60" si="23">D58/$O$58</f>
        <v>0</v>
      </c>
      <c r="E60" s="44">
        <f t="shared" si="23"/>
        <v>0.22857142857142856</v>
      </c>
      <c r="F60" s="44">
        <f t="shared" si="23"/>
        <v>2.8571428571428571E-2</v>
      </c>
      <c r="G60" s="44">
        <f t="shared" si="23"/>
        <v>0</v>
      </c>
      <c r="H60" s="44">
        <f t="shared" si="23"/>
        <v>0</v>
      </c>
      <c r="I60" s="44">
        <f t="shared" si="23"/>
        <v>0.62857142857142856</v>
      </c>
      <c r="J60" s="44">
        <f t="shared" si="23"/>
        <v>0</v>
      </c>
      <c r="K60" s="44">
        <f t="shared" si="23"/>
        <v>2.8571428571428571E-2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46" zoomScale="60" workbookViewId="0">
      <selection activeCell="J10" sqref="J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'31.07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Atiak-Palabek'!D5</f>
        <v>06.08.19</v>
      </c>
      <c r="E5" s="3"/>
      <c r="F5" s="41" t="s">
        <v>1</v>
      </c>
      <c r="G5" s="63" t="str">
        <f>'06.08 Atiak-Palabek'!G5:H5</f>
        <v>xxx</v>
      </c>
      <c r="H5" s="64"/>
      <c r="I5" s="14"/>
      <c r="J5" s="2" t="s">
        <v>5</v>
      </c>
      <c r="K5" s="63" t="str">
        <f>'06.08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'31.07 Palabek-Atiak'!D6:E6</f>
        <v>Palabek</v>
      </c>
      <c r="E6" s="64"/>
      <c r="F6" s="2" t="s">
        <v>2</v>
      </c>
      <c r="G6" s="63" t="str">
        <f>'31.07 Palabek-Atiak'!G6:H6</f>
        <v>Atiak</v>
      </c>
      <c r="H6" s="64"/>
      <c r="J6" s="2" t="s">
        <v>21</v>
      </c>
      <c r="K6" s="63" t="str">
        <f>'06.08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f>SUM('[1]RD130 MCC'!R822:U822)</f>
        <v>0</v>
      </c>
      <c r="L10" s="50">
        <v>2</v>
      </c>
      <c r="M10" s="50">
        <v>0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4</v>
      </c>
      <c r="AC10" s="17">
        <f t="shared" si="2"/>
        <v>0</v>
      </c>
      <c r="AD10" s="17">
        <f t="shared" si="2"/>
        <v>0</v>
      </c>
      <c r="AE10" s="31">
        <f t="shared" si="2"/>
        <v>4</v>
      </c>
      <c r="AF10" s="31">
        <f t="shared" si="2"/>
        <v>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f>SUM('[1]RD130 MCC'!R823:U823)</f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4</v>
      </c>
      <c r="AC11" s="17">
        <f t="shared" si="3"/>
        <v>0</v>
      </c>
      <c r="AD11" s="17">
        <f t="shared" si="3"/>
        <v>0</v>
      </c>
      <c r="AE11" s="31">
        <f t="shared" si="3"/>
        <v>4</v>
      </c>
      <c r="AF11" s="31">
        <f t="shared" si="3"/>
        <v>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>SUM('[1]RD130 MCC'!R824:U824)</f>
        <v>0</v>
      </c>
      <c r="L12" s="50">
        <v>2</v>
      </c>
      <c r="M12" s="50">
        <v>0</v>
      </c>
      <c r="N12" s="50">
        <v>0</v>
      </c>
      <c r="O12" s="15">
        <f t="shared" si="0"/>
        <v>2</v>
      </c>
      <c r="P12" s="15">
        <f t="shared" si="1"/>
        <v>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12</v>
      </c>
      <c r="AC12" s="17">
        <f t="shared" si="4"/>
        <v>0</v>
      </c>
      <c r="AD12" s="17">
        <f t="shared" si="4"/>
        <v>0</v>
      </c>
      <c r="AE12" s="31">
        <f t="shared" si="4"/>
        <v>13</v>
      </c>
      <c r="AF12" s="31">
        <f t="shared" si="4"/>
        <v>13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f>SUM('[1]RD130 MCC'!R825:U825)</f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1</v>
      </c>
      <c r="AB13" s="17">
        <f t="shared" si="5"/>
        <v>17</v>
      </c>
      <c r="AC13" s="17">
        <f t="shared" si="5"/>
        <v>0</v>
      </c>
      <c r="AD13" s="17">
        <f t="shared" si="5"/>
        <v>0</v>
      </c>
      <c r="AE13" s="31">
        <f t="shared" si="5"/>
        <v>20</v>
      </c>
      <c r="AF13" s="31">
        <f t="shared" si="5"/>
        <v>20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>SUM('[1]RD130 MCC'!R826:U826)</f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9</v>
      </c>
      <c r="AC14" s="17">
        <f t="shared" si="6"/>
        <v>0</v>
      </c>
      <c r="AD14" s="17">
        <f t="shared" si="6"/>
        <v>0</v>
      </c>
      <c r="AE14" s="31">
        <f t="shared" si="6"/>
        <v>14</v>
      </c>
      <c r="AF14" s="31">
        <f t="shared" si="6"/>
        <v>14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f>SUM('[1]RD130 MCC'!R827:U827)</f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19</v>
      </c>
      <c r="AC15" s="17">
        <f t="shared" si="7"/>
        <v>0</v>
      </c>
      <c r="AD15" s="17">
        <f t="shared" si="7"/>
        <v>0</v>
      </c>
      <c r="AE15" s="31">
        <f t="shared" si="7"/>
        <v>21</v>
      </c>
      <c r="AF15" s="31">
        <f t="shared" si="7"/>
        <v>21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f>SUM('[1]RD130 MCC'!R828:U828)</f>
        <v>0</v>
      </c>
      <c r="L16" s="50">
        <v>2</v>
      </c>
      <c r="M16" s="50">
        <v>0</v>
      </c>
      <c r="N16" s="50">
        <v>0</v>
      </c>
      <c r="O16" s="15">
        <f t="shared" si="0"/>
        <v>2</v>
      </c>
      <c r="P16" s="15">
        <f t="shared" si="1"/>
        <v>2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7</v>
      </c>
      <c r="AC16" s="17">
        <f t="shared" si="8"/>
        <v>0</v>
      </c>
      <c r="AD16" s="17">
        <f t="shared" si="8"/>
        <v>0</v>
      </c>
      <c r="AE16" s="31">
        <f t="shared" si="8"/>
        <v>9</v>
      </c>
      <c r="AF16" s="31">
        <f t="shared" si="8"/>
        <v>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>SUM('[1]RD130 MCC'!R829:U829)</f>
        <v>0</v>
      </c>
      <c r="L17" s="50">
        <v>2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9</v>
      </c>
      <c r="AC17" s="17">
        <f t="shared" si="9"/>
        <v>0</v>
      </c>
      <c r="AD17" s="17">
        <f t="shared" si="9"/>
        <v>0</v>
      </c>
      <c r="AE17" s="31">
        <f t="shared" si="9"/>
        <v>15</v>
      </c>
      <c r="AF17" s="31">
        <f t="shared" si="9"/>
        <v>15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f>SUM('[1]RD130 MCC'!R830:U830)</f>
        <v>0</v>
      </c>
      <c r="L18" s="50">
        <v>3</v>
      </c>
      <c r="M18" s="50">
        <v>0</v>
      </c>
      <c r="N18" s="50">
        <v>0</v>
      </c>
      <c r="O18" s="15">
        <f t="shared" si="0"/>
        <v>3</v>
      </c>
      <c r="P18" s="15">
        <f t="shared" si="1"/>
        <v>3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12</v>
      </c>
      <c r="AC18" s="17">
        <f t="shared" si="10"/>
        <v>0</v>
      </c>
      <c r="AD18" s="17">
        <f t="shared" si="10"/>
        <v>0</v>
      </c>
      <c r="AE18" s="31">
        <f t="shared" si="10"/>
        <v>13</v>
      </c>
      <c r="AF18" s="31">
        <f t="shared" si="10"/>
        <v>13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>SUM('[1]RD130 MCC'!R831:U831)</f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9</v>
      </c>
      <c r="AC19" s="17">
        <f t="shared" si="11"/>
        <v>0</v>
      </c>
      <c r="AD19" s="17">
        <f t="shared" si="11"/>
        <v>0</v>
      </c>
      <c r="AE19" s="31">
        <f t="shared" si="11"/>
        <v>9</v>
      </c>
      <c r="AF19" s="31">
        <f t="shared" si="11"/>
        <v>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f>SUM('[1]RD130 MCC'!R832:U832)</f>
        <v>0</v>
      </c>
      <c r="L20" s="50">
        <v>5</v>
      </c>
      <c r="M20" s="50">
        <v>0</v>
      </c>
      <c r="N20" s="50">
        <v>0</v>
      </c>
      <c r="O20" s="15">
        <f t="shared" si="0"/>
        <v>6</v>
      </c>
      <c r="P20" s="15">
        <f t="shared" si="1"/>
        <v>6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9</v>
      </c>
      <c r="AC20" s="17">
        <f t="shared" si="12"/>
        <v>0</v>
      </c>
      <c r="AD20" s="17">
        <f t="shared" si="12"/>
        <v>0</v>
      </c>
      <c r="AE20" s="31">
        <f t="shared" si="12"/>
        <v>11</v>
      </c>
      <c r="AF20" s="31">
        <f t="shared" si="12"/>
        <v>11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f>SUM('[1]RD130 MCC'!R833:U833)</f>
        <v>0</v>
      </c>
      <c r="L21" s="50">
        <v>4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7</v>
      </c>
      <c r="AC21" s="17">
        <f t="shared" si="13"/>
        <v>0</v>
      </c>
      <c r="AD21" s="17">
        <f t="shared" si="13"/>
        <v>0</v>
      </c>
      <c r="AE21" s="31">
        <f t="shared" si="13"/>
        <v>7</v>
      </c>
      <c r="AF21" s="31">
        <f t="shared" si="13"/>
        <v>7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f>SUM('[1]RD130 MCC'!R834:U834)</f>
        <v>0</v>
      </c>
      <c r="L22" s="50">
        <v>4</v>
      </c>
      <c r="M22" s="50">
        <v>0</v>
      </c>
      <c r="N22" s="50">
        <v>0</v>
      </c>
      <c r="O22" s="15">
        <f t="shared" si="0"/>
        <v>5</v>
      </c>
      <c r="P22" s="15">
        <f t="shared" si="1"/>
        <v>5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12</v>
      </c>
      <c r="AC22" s="39">
        <f t="shared" si="14"/>
        <v>0</v>
      </c>
      <c r="AD22" s="39">
        <f t="shared" si="14"/>
        <v>0</v>
      </c>
      <c r="AE22" s="40">
        <f t="shared" si="14"/>
        <v>13</v>
      </c>
      <c r="AF22" s="40">
        <f t="shared" si="14"/>
        <v>13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f>SUM('[1]RD130 MCC'!R835:U835)</f>
        <v>0</v>
      </c>
      <c r="L23" s="50">
        <v>5</v>
      </c>
      <c r="M23" s="50">
        <v>0</v>
      </c>
      <c r="N23" s="50">
        <v>0</v>
      </c>
      <c r="O23" s="15">
        <f t="shared" si="0"/>
        <v>5</v>
      </c>
      <c r="P23" s="15">
        <f t="shared" si="1"/>
        <v>5</v>
      </c>
      <c r="R23" s="38" t="s">
        <v>91</v>
      </c>
      <c r="S23" s="39">
        <f>MAX(S13:S18)</f>
        <v>1</v>
      </c>
      <c r="T23" s="39">
        <f t="shared" ref="T23:AF23" si="15">MAX(T13:T18)</f>
        <v>0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0</v>
      </c>
      <c r="AA23" s="39">
        <f t="shared" si="15"/>
        <v>1</v>
      </c>
      <c r="AB23" s="39">
        <f t="shared" si="15"/>
        <v>19</v>
      </c>
      <c r="AC23" s="39">
        <f t="shared" si="15"/>
        <v>0</v>
      </c>
      <c r="AD23" s="39">
        <f t="shared" si="15"/>
        <v>0</v>
      </c>
      <c r="AE23" s="40">
        <f t="shared" si="15"/>
        <v>21</v>
      </c>
      <c r="AF23" s="40">
        <f t="shared" si="15"/>
        <v>21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>SUM('[1]RD130 MCC'!R836:U836)</f>
        <v>1</v>
      </c>
      <c r="L24" s="50">
        <v>2</v>
      </c>
      <c r="M24" s="50">
        <v>0</v>
      </c>
      <c r="N24" s="50">
        <v>0</v>
      </c>
      <c r="O24" s="15">
        <f t="shared" si="0"/>
        <v>3</v>
      </c>
      <c r="P24" s="15">
        <f t="shared" si="1"/>
        <v>3</v>
      </c>
      <c r="R24" s="38" t="s">
        <v>92</v>
      </c>
      <c r="S24" s="39">
        <f>MAX(S19:S21)</f>
        <v>0</v>
      </c>
      <c r="T24" s="39">
        <f t="shared" ref="T24:AF24" si="16">MAX(T19:T21)</f>
        <v>0</v>
      </c>
      <c r="U24" s="39">
        <f t="shared" si="16"/>
        <v>1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9</v>
      </c>
      <c r="AC24" s="39">
        <f t="shared" si="16"/>
        <v>0</v>
      </c>
      <c r="AD24" s="39">
        <f t="shared" si="16"/>
        <v>0</v>
      </c>
      <c r="AE24" s="40">
        <f t="shared" si="16"/>
        <v>11</v>
      </c>
      <c r="AF24" s="40">
        <f t="shared" si="16"/>
        <v>11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f>SUM('[1]RD130 MCC'!R837:U837)</f>
        <v>0</v>
      </c>
      <c r="L25" s="50">
        <v>6</v>
      </c>
      <c r="M25" s="50">
        <v>0</v>
      </c>
      <c r="N25" s="50">
        <v>0</v>
      </c>
      <c r="O25" s="15">
        <f t="shared" si="0"/>
        <v>7</v>
      </c>
      <c r="P25" s="15">
        <f t="shared" si="1"/>
        <v>7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20</v>
      </c>
      <c r="AC25" s="16">
        <f t="shared" si="17"/>
        <v>0</v>
      </c>
      <c r="AD25" s="16">
        <f t="shared" si="17"/>
        <v>0</v>
      </c>
      <c r="AE25" s="32">
        <f t="shared" si="17"/>
        <v>21</v>
      </c>
      <c r="AF25" s="32">
        <f t="shared" si="17"/>
        <v>21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f>SUM('[1]RD130 MCC'!R838:U838)</f>
        <v>0</v>
      </c>
      <c r="L26" s="50">
        <v>3</v>
      </c>
      <c r="M26" s="50">
        <v>0</v>
      </c>
      <c r="N26" s="50">
        <v>0</v>
      </c>
      <c r="O26" s="15">
        <f t="shared" si="0"/>
        <v>4</v>
      </c>
      <c r="P26" s="15">
        <f t="shared" si="1"/>
        <v>4</v>
      </c>
      <c r="R26" s="28" t="s">
        <v>86</v>
      </c>
      <c r="S26" s="16">
        <f t="shared" ref="S26:AF26" si="18">SUM(S13:S18)</f>
        <v>2</v>
      </c>
      <c r="T26" s="16">
        <f t="shared" si="18"/>
        <v>0</v>
      </c>
      <c r="U26" s="16">
        <f t="shared" si="18"/>
        <v>2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13</v>
      </c>
      <c r="Z26" s="16">
        <f t="shared" si="18"/>
        <v>0</v>
      </c>
      <c r="AA26" s="16">
        <f t="shared" si="18"/>
        <v>1</v>
      </c>
      <c r="AB26" s="16">
        <f t="shared" si="18"/>
        <v>73</v>
      </c>
      <c r="AC26" s="16">
        <f t="shared" si="18"/>
        <v>0</v>
      </c>
      <c r="AD26" s="16">
        <f t="shared" si="18"/>
        <v>0</v>
      </c>
      <c r="AE26" s="32">
        <f t="shared" si="18"/>
        <v>92</v>
      </c>
      <c r="AF26" s="32">
        <f t="shared" si="18"/>
        <v>92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f>SUM('[1]RD130 MCC'!R839:U839)</f>
        <v>0</v>
      </c>
      <c r="L27" s="50">
        <v>4</v>
      </c>
      <c r="M27" s="50">
        <v>0</v>
      </c>
      <c r="N27" s="50">
        <v>0</v>
      </c>
      <c r="O27" s="15">
        <f t="shared" si="0"/>
        <v>5</v>
      </c>
      <c r="P27" s="15">
        <f t="shared" si="1"/>
        <v>5</v>
      </c>
      <c r="R27" s="29" t="s">
        <v>87</v>
      </c>
      <c r="S27" s="16">
        <f t="shared" ref="S27:AF27" si="19">SUM(S19:S21)</f>
        <v>0</v>
      </c>
      <c r="T27" s="16">
        <f t="shared" si="19"/>
        <v>0</v>
      </c>
      <c r="U27" s="16">
        <f t="shared" si="19"/>
        <v>1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0</v>
      </c>
      <c r="AA27" s="16">
        <f t="shared" si="19"/>
        <v>0</v>
      </c>
      <c r="AB27" s="16">
        <f t="shared" si="19"/>
        <v>25</v>
      </c>
      <c r="AC27" s="16">
        <f t="shared" si="19"/>
        <v>0</v>
      </c>
      <c r="AD27" s="16">
        <f t="shared" si="19"/>
        <v>0</v>
      </c>
      <c r="AE27" s="32">
        <f t="shared" si="19"/>
        <v>27</v>
      </c>
      <c r="AF27" s="32">
        <f t="shared" si="19"/>
        <v>27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f>SUM('[1]RD130 MCC'!R840:U840)</f>
        <v>0</v>
      </c>
      <c r="L28" s="50">
        <v>0</v>
      </c>
      <c r="M28" s="50">
        <v>0</v>
      </c>
      <c r="N28" s="50">
        <v>0</v>
      </c>
      <c r="O28" s="15">
        <f t="shared" si="0"/>
        <v>1</v>
      </c>
      <c r="P28" s="15">
        <f t="shared" si="1"/>
        <v>1</v>
      </c>
      <c r="R28" s="5" t="s">
        <v>17</v>
      </c>
      <c r="S28" s="16">
        <f t="shared" ref="S28:AF28" si="20">SUM(S10:S21)</f>
        <v>2</v>
      </c>
      <c r="T28" s="16">
        <f t="shared" si="20"/>
        <v>0</v>
      </c>
      <c r="U28" s="16">
        <f t="shared" si="20"/>
        <v>3</v>
      </c>
      <c r="V28" s="16">
        <f t="shared" si="20"/>
        <v>1</v>
      </c>
      <c r="W28" s="16">
        <f t="shared" si="20"/>
        <v>0</v>
      </c>
      <c r="X28" s="16">
        <f t="shared" si="20"/>
        <v>0</v>
      </c>
      <c r="Y28" s="16">
        <f t="shared" si="20"/>
        <v>15</v>
      </c>
      <c r="Z28" s="16">
        <f t="shared" si="20"/>
        <v>0</v>
      </c>
      <c r="AA28" s="16">
        <f t="shared" si="20"/>
        <v>1</v>
      </c>
      <c r="AB28" s="16">
        <f t="shared" si="20"/>
        <v>118</v>
      </c>
      <c r="AC28" s="16">
        <f t="shared" si="20"/>
        <v>0</v>
      </c>
      <c r="AD28" s="16">
        <f t="shared" si="20"/>
        <v>0</v>
      </c>
      <c r="AE28" s="32">
        <f t="shared" si="20"/>
        <v>140</v>
      </c>
      <c r="AF28" s="32">
        <f t="shared" si="20"/>
        <v>140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f>SUM('[1]RD130 MCC'!R841:U841)</f>
        <v>0</v>
      </c>
      <c r="L29" s="50">
        <v>2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f>SUM('[1]RD130 MCC'!R842:U842)</f>
        <v>0</v>
      </c>
      <c r="L30" s="50">
        <v>4</v>
      </c>
      <c r="M30" s="50">
        <v>0</v>
      </c>
      <c r="N30" s="50">
        <v>0</v>
      </c>
      <c r="O30" s="15">
        <f t="shared" si="0"/>
        <v>4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f>SUM('[1]RD130 MCC'!R843:U843)</f>
        <v>0</v>
      </c>
      <c r="L31" s="50">
        <v>6</v>
      </c>
      <c r="M31" s="50">
        <v>0</v>
      </c>
      <c r="N31" s="50">
        <v>0</v>
      </c>
      <c r="O31" s="15">
        <f t="shared" si="0"/>
        <v>7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f>SUM('[1]RD130 MCC'!R844:U844)</f>
        <v>0</v>
      </c>
      <c r="L32" s="50">
        <v>6</v>
      </c>
      <c r="M32" s="50">
        <v>0</v>
      </c>
      <c r="N32" s="50">
        <v>0</v>
      </c>
      <c r="O32" s="15">
        <f t="shared" si="0"/>
        <v>6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f>SUM('[1]RD130 MCC'!R845:U845)</f>
        <v>0</v>
      </c>
      <c r="L33" s="50">
        <v>3</v>
      </c>
      <c r="M33" s="50">
        <v>0</v>
      </c>
      <c r="N33" s="50">
        <v>0</v>
      </c>
      <c r="O33" s="15">
        <f t="shared" si="0"/>
        <v>4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f>SUM('[1]RD130 MCC'!R846:U846)</f>
        <v>0</v>
      </c>
      <c r="L34" s="50">
        <v>0</v>
      </c>
      <c r="M34" s="50">
        <v>0</v>
      </c>
      <c r="N34" s="50">
        <v>0</v>
      </c>
      <c r="O34" s="15">
        <f t="shared" si="0"/>
        <v>0</v>
      </c>
      <c r="P34" s="15">
        <f t="shared" si="1"/>
        <v>0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f>SUM('[1]RD130 MCC'!R847:U847)</f>
        <v>0</v>
      </c>
      <c r="L35" s="50">
        <v>4</v>
      </c>
      <c r="M35" s="50">
        <v>0</v>
      </c>
      <c r="N35" s="50">
        <v>0</v>
      </c>
      <c r="O35" s="15">
        <f t="shared" si="0"/>
        <v>5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f>SUM('[1]RD130 MCC'!R848:U848)</f>
        <v>0</v>
      </c>
      <c r="L36" s="50">
        <v>2</v>
      </c>
      <c r="M36" s="50">
        <v>0</v>
      </c>
      <c r="N36" s="50">
        <v>0</v>
      </c>
      <c r="O36" s="15">
        <f t="shared" si="0"/>
        <v>3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f>SUM('[1]RD130 MCC'!R849:U849)</f>
        <v>0</v>
      </c>
      <c r="L37" s="50">
        <v>1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f>SUM('[1]RD130 MCC'!R850:U850)</f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f>SUM('[1]RD130 MCC'!R851:U851)</f>
        <v>0</v>
      </c>
      <c r="L39" s="50">
        <v>9</v>
      </c>
      <c r="M39" s="50">
        <v>0</v>
      </c>
      <c r="N39" s="50">
        <v>0</v>
      </c>
      <c r="O39" s="15">
        <f t="shared" si="0"/>
        <v>9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f>SUM('[1]RD130 MCC'!R852:U852)</f>
        <v>0</v>
      </c>
      <c r="L40" s="50">
        <v>0</v>
      </c>
      <c r="M40" s="50">
        <v>0</v>
      </c>
      <c r="N40" s="50">
        <v>0</v>
      </c>
      <c r="O40" s="15">
        <f t="shared" si="0"/>
        <v>4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f>SUM('[1]RD130 MCC'!R853:U853)</f>
        <v>0</v>
      </c>
      <c r="L41" s="50">
        <v>0</v>
      </c>
      <c r="M41" s="50">
        <v>0</v>
      </c>
      <c r="N41" s="50">
        <v>0</v>
      </c>
      <c r="O41" s="15">
        <f t="shared" si="0"/>
        <v>2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f>SUM('[1]RD130 MCC'!R854:U854)</f>
        <v>0</v>
      </c>
      <c r="L42" s="50">
        <v>3</v>
      </c>
      <c r="M42" s="50">
        <v>0</v>
      </c>
      <c r="N42" s="50">
        <v>0</v>
      </c>
      <c r="O42" s="15">
        <f t="shared" si="0"/>
        <v>3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f>SUM('[1]RD130 MCC'!R855:U855)</f>
        <v>0</v>
      </c>
      <c r="L43" s="50">
        <v>0</v>
      </c>
      <c r="M43" s="50">
        <v>0</v>
      </c>
      <c r="N43" s="50">
        <v>0</v>
      </c>
      <c r="O43" s="15">
        <f t="shared" si="0"/>
        <v>1</v>
      </c>
      <c r="P43" s="15">
        <f t="shared" si="1"/>
        <v>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f>SUM('[1]RD130 MCC'!R856:U856)</f>
        <v>0</v>
      </c>
      <c r="L44" s="50">
        <v>4</v>
      </c>
      <c r="M44" s="50">
        <v>0</v>
      </c>
      <c r="N44" s="50">
        <v>0</v>
      </c>
      <c r="O44" s="15">
        <f t="shared" si="0"/>
        <v>4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f>SUM('[1]RD130 MCC'!R857:U857)</f>
        <v>0</v>
      </c>
      <c r="L45" s="50">
        <v>5</v>
      </c>
      <c r="M45" s="50">
        <v>0</v>
      </c>
      <c r="N45" s="50">
        <v>0</v>
      </c>
      <c r="O45" s="15">
        <f t="shared" si="0"/>
        <v>5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f>SUM('[1]RD130 MCC'!R858:U858)</f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f>SUM('[1]RD130 MCC'!R859:U859)</f>
        <v>0</v>
      </c>
      <c r="L47" s="50">
        <v>0</v>
      </c>
      <c r="M47" s="50">
        <v>0</v>
      </c>
      <c r="N47" s="50">
        <v>0</v>
      </c>
      <c r="O47" s="15">
        <f t="shared" si="0"/>
        <v>0</v>
      </c>
      <c r="P47" s="15">
        <f t="shared" si="1"/>
        <v>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f>SUM('[1]RD130 MCC'!R860:U860)</f>
        <v>0</v>
      </c>
      <c r="L48" s="50">
        <v>5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f>SUM('[1]RD130 MCC'!R861:U861)</f>
        <v>0</v>
      </c>
      <c r="L49" s="50">
        <v>4</v>
      </c>
      <c r="M49" s="50">
        <v>0</v>
      </c>
      <c r="N49" s="50">
        <v>0</v>
      </c>
      <c r="O49" s="15">
        <f t="shared" si="0"/>
        <v>4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f>SUM('[1]RD130 MCC'!R862:U862)</f>
        <v>0</v>
      </c>
      <c r="L50" s="50">
        <v>0</v>
      </c>
      <c r="M50" s="50">
        <v>0</v>
      </c>
      <c r="N50" s="50">
        <v>0</v>
      </c>
      <c r="O50" s="15">
        <f t="shared" si="0"/>
        <v>0</v>
      </c>
      <c r="P50" s="15">
        <f t="shared" si="1"/>
        <v>0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f>SUM('[1]RD130 MCC'!R863:U863)</f>
        <v>0</v>
      </c>
      <c r="L51" s="50">
        <v>6</v>
      </c>
      <c r="M51" s="50">
        <v>0</v>
      </c>
      <c r="N51" s="50">
        <v>0</v>
      </c>
      <c r="O51" s="15">
        <f t="shared" si="0"/>
        <v>8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f>SUM('[1]RD130 MCC'!R864:U864)</f>
        <v>0</v>
      </c>
      <c r="L52" s="50">
        <v>3</v>
      </c>
      <c r="M52" s="50">
        <v>0</v>
      </c>
      <c r="N52" s="50">
        <v>0</v>
      </c>
      <c r="O52" s="15">
        <f t="shared" si="0"/>
        <v>3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f>SUM('[1]RD130 MCC'!R865:U865)</f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f>SUM('[1]RD130 MCC'!R866:U866)</f>
        <v>0</v>
      </c>
      <c r="L54" s="50">
        <v>2</v>
      </c>
      <c r="M54" s="50">
        <v>0</v>
      </c>
      <c r="N54" s="50">
        <v>0</v>
      </c>
      <c r="O54" s="15">
        <f t="shared" si="0"/>
        <v>2</v>
      </c>
      <c r="P54" s="15">
        <f t="shared" si="1"/>
        <v>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f>SUM('[1]RD130 MCC'!R867:U867)</f>
        <v>0</v>
      </c>
      <c r="L55" s="50">
        <v>1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f>SUM('[1]RD130 MCC'!R868:U868)</f>
        <v>0</v>
      </c>
      <c r="L56" s="50">
        <v>2</v>
      </c>
      <c r="M56" s="50">
        <v>0</v>
      </c>
      <c r="N56" s="50">
        <v>0</v>
      </c>
      <c r="O56" s="15">
        <f t="shared" si="0"/>
        <v>2</v>
      </c>
      <c r="P56" s="15">
        <f t="shared" si="1"/>
        <v>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f>SUM('[1]RD130 MCC'!R869:U869)</f>
        <v>0</v>
      </c>
      <c r="L57" s="50">
        <v>2</v>
      </c>
      <c r="M57" s="50">
        <v>0</v>
      </c>
      <c r="N57" s="50">
        <v>0</v>
      </c>
      <c r="O57" s="15">
        <f t="shared" si="0"/>
        <v>2</v>
      </c>
      <c r="P57" s="15">
        <f t="shared" si="1"/>
        <v>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0</v>
      </c>
      <c r="E58" s="16">
        <f t="shared" si="21"/>
        <v>3</v>
      </c>
      <c r="F58" s="16">
        <f t="shared" si="21"/>
        <v>1</v>
      </c>
      <c r="G58" s="16">
        <f t="shared" si="21"/>
        <v>0</v>
      </c>
      <c r="H58" s="16">
        <f t="shared" si="21"/>
        <v>0</v>
      </c>
      <c r="I58" s="16">
        <f t="shared" si="21"/>
        <v>15</v>
      </c>
      <c r="J58" s="16">
        <f t="shared" si="21"/>
        <v>0</v>
      </c>
      <c r="K58" s="16">
        <f t="shared" si="21"/>
        <v>1</v>
      </c>
      <c r="L58" s="16">
        <f t="shared" si="21"/>
        <v>118</v>
      </c>
      <c r="M58" s="16">
        <f t="shared" si="21"/>
        <v>0</v>
      </c>
      <c r="N58" s="16">
        <f t="shared" si="21"/>
        <v>0</v>
      </c>
      <c r="O58" s="16">
        <f t="shared" si="21"/>
        <v>140</v>
      </c>
      <c r="P58" s="16">
        <f t="shared" si="21"/>
        <v>140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1.4285714285714285E-2</v>
      </c>
      <c r="D59" s="43">
        <f t="shared" si="22"/>
        <v>0</v>
      </c>
      <c r="E59" s="43">
        <f t="shared" si="22"/>
        <v>2.1428571428571429E-2</v>
      </c>
      <c r="F59" s="43">
        <f t="shared" si="22"/>
        <v>7.1428571428571426E-3</v>
      </c>
      <c r="G59" s="43">
        <f t="shared" si="22"/>
        <v>0</v>
      </c>
      <c r="H59" s="43">
        <f t="shared" si="22"/>
        <v>0</v>
      </c>
      <c r="I59" s="43">
        <f t="shared" si="22"/>
        <v>0.10714285714285714</v>
      </c>
      <c r="J59" s="43">
        <f t="shared" si="22"/>
        <v>0</v>
      </c>
      <c r="K59" s="43">
        <f t="shared" si="22"/>
        <v>7.1428571428571426E-3</v>
      </c>
      <c r="L59" s="43">
        <f t="shared" si="22"/>
        <v>0.84285714285714286</v>
      </c>
      <c r="M59" s="43">
        <f t="shared" si="22"/>
        <v>0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1.4285714285714285E-2</v>
      </c>
      <c r="D60" s="44">
        <f t="shared" ref="D60:N60" si="23">D58/$O$58</f>
        <v>0</v>
      </c>
      <c r="E60" s="44">
        <f t="shared" si="23"/>
        <v>2.1428571428571429E-2</v>
      </c>
      <c r="F60" s="44">
        <f t="shared" si="23"/>
        <v>7.1428571428571426E-3</v>
      </c>
      <c r="G60" s="44">
        <f t="shared" si="23"/>
        <v>0</v>
      </c>
      <c r="H60" s="44">
        <f t="shared" si="23"/>
        <v>0</v>
      </c>
      <c r="I60" s="44">
        <f t="shared" si="23"/>
        <v>0.10714285714285714</v>
      </c>
      <c r="J60" s="44">
        <f t="shared" si="23"/>
        <v>0</v>
      </c>
      <c r="K60" s="44">
        <f t="shared" si="23"/>
        <v>7.1428571428571426E-3</v>
      </c>
      <c r="L60" s="44">
        <f t="shared" si="23"/>
        <v>0.84285714285714286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N85" zoomScale="60" workbookViewId="0">
      <selection activeCell="AD54" sqref="AD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163</v>
      </c>
      <c r="E5" s="66"/>
      <c r="F5" s="41" t="s">
        <v>1</v>
      </c>
      <c r="G5" s="63" t="str">
        <f>'04.08 Atiak-Palabek'!G5:H5</f>
        <v>xxx</v>
      </c>
      <c r="H5" s="64"/>
      <c r="I5" s="14"/>
      <c r="J5" s="2" t="s">
        <v>5</v>
      </c>
      <c r="K5" s="63" t="str">
        <f>'04.08 Atiak-Palabek'!K5:L5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Atiak-Palabek'!D6:E6</f>
        <v>Atiak</v>
      </c>
      <c r="E6" s="64"/>
      <c r="F6" s="2" t="s">
        <v>2</v>
      </c>
      <c r="G6" s="63" t="str">
        <f>'04.08 Atiak-Palabek'!G6:H6</f>
        <v>Palabek</v>
      </c>
      <c r="H6" s="64"/>
      <c r="J6" s="2" t="s">
        <v>21</v>
      </c>
      <c r="K6" s="63" t="str">
        <f>'04.08 Atiak-Palabek'!K6:L6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Atiak-Palabek'!C10,'01.08 Atiak-Palabek'!C10,'05.08 Atiak-Palabek'!C10,'06.08 Atiak-Palabek'!C10,'02.08 Atiak-Palabek-24h'!C10,'03.08 Atiak-Palabek-24h'!C10,'04.08 Atiak-Palabek'!C10)</f>
        <v>0</v>
      </c>
      <c r="D10" s="49">
        <f>AVERAGE('31.07 Atiak-Palabek'!D10,'01.08 Atiak-Palabek'!D10,'05.08 Atiak-Palabek'!D10,'06.08 Atiak-Palabek'!D10,'02.08 Atiak-Palabek-24h'!D10,'03.08 Atiak-Palabek-24h'!D10,'04.08 Atiak-Palabek'!D10)</f>
        <v>0</v>
      </c>
      <c r="E10" s="49">
        <f>AVERAGE('31.07 Atiak-Palabek'!E10,'01.08 Atiak-Palabek'!E10,'05.08 Atiak-Palabek'!E10,'06.08 Atiak-Palabek'!E10,'02.08 Atiak-Palabek-24h'!E10,'03.08 Atiak-Palabek-24h'!E10,'04.08 Atiak-Palabek'!E10)</f>
        <v>0</v>
      </c>
      <c r="F10" s="49">
        <f>AVERAGE('31.07 Atiak-Palabek'!F10,'01.08 Atiak-Palabek'!F10,'05.08 Atiak-Palabek'!F10,'06.08 Atiak-Palabek'!F10,'02.08 Atiak-Palabek-24h'!F10,'03.08 Atiak-Palabek-24h'!F10,'04.08 Atiak-Palabek'!F10)</f>
        <v>0</v>
      </c>
      <c r="G10" s="49">
        <f>AVERAGE('31.07 Atiak-Palabek'!G10,'01.08 Atiak-Palabek'!G10,'05.08 Atiak-Palabek'!G10,'06.08 Atiak-Palabek'!G10,'02.08 Atiak-Palabek-24h'!G10,'03.08 Atiak-Palabek-24h'!G10,'04.08 Atiak-Palabek'!G10)</f>
        <v>0</v>
      </c>
      <c r="H10" s="49">
        <f>AVERAGE('31.07 Atiak-Palabek'!H10,'01.08 Atiak-Palabek'!H10,'05.08 Atiak-Palabek'!H10,'06.08 Atiak-Palabek'!H10,'02.08 Atiak-Palabek-24h'!H10,'03.08 Atiak-Palabek-24h'!H10,'04.08 Atiak-Palabek'!H10)</f>
        <v>0</v>
      </c>
      <c r="I10" s="49">
        <f>AVERAGE('31.07 Atiak-Palabek'!I10,'01.08 Atiak-Palabek'!I10,'05.08 Atiak-Palabek'!I10,'06.08 Atiak-Palabek'!I10,'02.08 Atiak-Palabek-24h'!I10,'03.08 Atiak-Palabek-24h'!I10,'04.08 Atiak-Palabek'!I10)</f>
        <v>0</v>
      </c>
      <c r="J10" s="49">
        <f>AVERAGE('31.07 Atiak-Palabek'!J10,'01.08 Atiak-Palabek'!J10,'05.08 Atiak-Palabek'!J10,'06.08 Atiak-Palabek'!J10,'02.08 Atiak-Palabek-24h'!J10,'03.08 Atiak-Palabek-24h'!J10,'04.08 Atiak-Palabek'!J10)</f>
        <v>0</v>
      </c>
      <c r="K10" s="49">
        <f>AVERAGE('31.07 Atiak-Palabek'!K10,'01.08 Atiak-Palabek'!K10,'05.08 Atiak-Palabek'!K10,'06.08 Atiak-Palabek'!K10,'02.08 Atiak-Palabek-24h'!K10,'03.08 Atiak-Palabek-24h'!K10,'04.08 Atiak-Palabek'!K10)</f>
        <v>0</v>
      </c>
      <c r="L10" s="49">
        <f>AVERAGE('31.07 Atiak-Palabek'!L10,'01.08 Atiak-Palabek'!L10,'05.08 Atiak-Palabek'!L10,'06.08 Atiak-Palabek'!L10,'02.08 Atiak-Palabek-24h'!L10,'03.08 Atiak-Palabek-24h'!L10,'04.08 Atiak-Palabek'!L10)</f>
        <v>0</v>
      </c>
      <c r="M10" s="49">
        <f>AVERAGE('31.07 Atiak-Palabek'!M10,'01.08 Atiak-Palabek'!M10,'05.08 Atiak-Palabek'!M10,'06.08 Atiak-Palabek'!M10,'02.08 Atiak-Palabek-24h'!M10,'03.08 Atiak-Palabek-24h'!M10,'04.08 Atiak-Palabek'!M10)</f>
        <v>2</v>
      </c>
      <c r="N10" s="49">
        <f>AVERAGE('31.07 Atiak-Palabek'!N10,'01.08 Atiak-Palabek'!N10,'05.08 Atiak-Palabek'!N10,'06.08 Atiak-Palabek'!N10,'02.08 Atiak-Palabek-24h'!N10,'03.08 Atiak-Palabek-24h'!N10,'04.08 Atiak-Palabek'!N10)</f>
        <v>0</v>
      </c>
      <c r="O10" s="15">
        <f t="shared" ref="O10:O73" si="0">SUM(C10:L10,N10)</f>
        <v>0</v>
      </c>
      <c r="P10" s="15">
        <f t="shared" ref="P10:P73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0.14285714285714285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9.1428571428571441</v>
      </c>
      <c r="AD10" s="17">
        <f t="shared" si="2"/>
        <v>0</v>
      </c>
      <c r="AE10" s="31">
        <f t="shared" si="2"/>
        <v>0.14285714285714285</v>
      </c>
      <c r="AF10" s="31">
        <f t="shared" si="2"/>
        <v>9.2857142857142865</v>
      </c>
    </row>
    <row r="11" spans="2:32" s="6" customFormat="1" ht="23.1" customHeight="1" x14ac:dyDescent="0.25">
      <c r="B11" s="23" t="s">
        <v>38</v>
      </c>
      <c r="C11" s="49">
        <f>AVERAGE('31.07 Atiak-Palabek'!C11,'01.08 Atiak-Palabek'!C11,'05.08 Atiak-Palabek'!C11,'06.08 Atiak-Palabek'!C11,'02.08 Atiak-Palabek-24h'!C11,'03.08 Atiak-Palabek-24h'!C11,'04.08 Atiak-Palabek'!C11)</f>
        <v>0</v>
      </c>
      <c r="D11" s="49">
        <f>AVERAGE('31.07 Atiak-Palabek'!D11,'01.08 Atiak-Palabek'!D11,'05.08 Atiak-Palabek'!D11,'06.08 Atiak-Palabek'!D11,'02.08 Atiak-Palabek-24h'!D11,'03.08 Atiak-Palabek-24h'!D11,'04.08 Atiak-Palabek'!D11)</f>
        <v>0</v>
      </c>
      <c r="E11" s="49">
        <f>AVERAGE('31.07 Atiak-Palabek'!E11,'01.08 Atiak-Palabek'!E11,'05.08 Atiak-Palabek'!E11,'06.08 Atiak-Palabek'!E11,'02.08 Atiak-Palabek-24h'!E11,'03.08 Atiak-Palabek-24h'!E11,'04.08 Atiak-Palabek'!E11)</f>
        <v>0</v>
      </c>
      <c r="F11" s="49">
        <f>AVERAGE('31.07 Atiak-Palabek'!F11,'01.08 Atiak-Palabek'!F11,'05.08 Atiak-Palabek'!F11,'06.08 Atiak-Palabek'!F11,'02.08 Atiak-Palabek-24h'!F11,'03.08 Atiak-Palabek-24h'!F11,'04.08 Atiak-Palabek'!F11)</f>
        <v>0</v>
      </c>
      <c r="G11" s="49">
        <f>AVERAGE('31.07 Atiak-Palabek'!G11,'01.08 Atiak-Palabek'!G11,'05.08 Atiak-Palabek'!G11,'06.08 Atiak-Palabek'!G11,'02.08 Atiak-Palabek-24h'!G11,'03.08 Atiak-Palabek-24h'!G11,'04.08 Atiak-Palabek'!G11)</f>
        <v>0</v>
      </c>
      <c r="H11" s="49">
        <f>AVERAGE('31.07 Atiak-Palabek'!H11,'01.08 Atiak-Palabek'!H11,'05.08 Atiak-Palabek'!H11,'06.08 Atiak-Palabek'!H11,'02.08 Atiak-Palabek-24h'!H11,'03.08 Atiak-Palabek-24h'!H11,'04.08 Atiak-Palabek'!H11)</f>
        <v>0</v>
      </c>
      <c r="I11" s="49">
        <f>AVERAGE('31.07 Atiak-Palabek'!I11,'01.08 Atiak-Palabek'!I11,'05.08 Atiak-Palabek'!I11,'06.08 Atiak-Palabek'!I11,'02.08 Atiak-Palabek-24h'!I11,'03.08 Atiak-Palabek-24h'!I11,'04.08 Atiak-Palabek'!I11)</f>
        <v>0.14285714285714285</v>
      </c>
      <c r="J11" s="49">
        <f>AVERAGE('31.07 Atiak-Palabek'!J11,'01.08 Atiak-Palabek'!J11,'05.08 Atiak-Palabek'!J11,'06.08 Atiak-Palabek'!J11,'02.08 Atiak-Palabek-24h'!J11,'03.08 Atiak-Palabek-24h'!J11,'04.08 Atiak-Palabek'!J11)</f>
        <v>0</v>
      </c>
      <c r="K11" s="49">
        <f>AVERAGE('31.07 Atiak-Palabek'!K11,'01.08 Atiak-Palabek'!K11,'05.08 Atiak-Palabek'!K11,'06.08 Atiak-Palabek'!K11,'02.08 Atiak-Palabek-24h'!K11,'03.08 Atiak-Palabek-24h'!K11,'04.08 Atiak-Palabek'!K11)</f>
        <v>0</v>
      </c>
      <c r="L11" s="49">
        <f>AVERAGE('31.07 Atiak-Palabek'!L11,'01.08 Atiak-Palabek'!L11,'05.08 Atiak-Palabek'!L11,'06.08 Atiak-Palabek'!L11,'02.08 Atiak-Palabek-24h'!L11,'03.08 Atiak-Palabek-24h'!L11,'04.08 Atiak-Palabek'!L11)</f>
        <v>0</v>
      </c>
      <c r="M11" s="49">
        <f>AVERAGE('31.07 Atiak-Palabek'!M11,'01.08 Atiak-Palabek'!M11,'05.08 Atiak-Palabek'!M11,'06.08 Atiak-Palabek'!M11,'02.08 Atiak-Palabek-24h'!M11,'03.08 Atiak-Palabek-24h'!M11,'04.08 Atiak-Palabek'!M11)</f>
        <v>2.8571428571428572</v>
      </c>
      <c r="N11" s="49">
        <f>AVERAGE('31.07 Atiak-Palabek'!N11,'01.08 Atiak-Palabek'!N11,'05.08 Atiak-Palabek'!N11,'06.08 Atiak-Palabek'!N11,'02.08 Atiak-Palabek-24h'!N11,'03.08 Atiak-Palabek-24h'!N11,'04.08 Atiak-Palabek'!N11)</f>
        <v>0</v>
      </c>
      <c r="O11" s="15">
        <f t="shared" si="0"/>
        <v>0.14285714285714285</v>
      </c>
      <c r="P11" s="15">
        <f t="shared" si="1"/>
        <v>3</v>
      </c>
      <c r="R11" s="1" t="s">
        <v>7</v>
      </c>
      <c r="S11" s="17">
        <f t="shared" ref="S11:AF11" si="3">SUM(C14:C17)</f>
        <v>0.14285714285714285</v>
      </c>
      <c r="T11" s="17">
        <f t="shared" si="3"/>
        <v>0</v>
      </c>
      <c r="U11" s="17">
        <f t="shared" si="3"/>
        <v>0.14285714285714285</v>
      </c>
      <c r="V11" s="17">
        <f t="shared" si="3"/>
        <v>0.2857142857142857</v>
      </c>
      <c r="W11" s="17">
        <f t="shared" si="3"/>
        <v>0</v>
      </c>
      <c r="X11" s="17">
        <f t="shared" si="3"/>
        <v>0</v>
      </c>
      <c r="Y11" s="17">
        <f t="shared" si="3"/>
        <v>0.99999999999999989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13.571428571428571</v>
      </c>
      <c r="AD11" s="17">
        <f t="shared" si="3"/>
        <v>0</v>
      </c>
      <c r="AE11" s="31">
        <f t="shared" si="3"/>
        <v>1.5714285714285714</v>
      </c>
      <c r="AF11" s="31">
        <f t="shared" si="3"/>
        <v>15.142857142857142</v>
      </c>
    </row>
    <row r="12" spans="2:32" ht="23.1" customHeight="1" x14ac:dyDescent="0.25">
      <c r="B12" s="23" t="s">
        <v>39</v>
      </c>
      <c r="C12" s="49">
        <f>AVERAGE('31.07 Atiak-Palabek'!C12,'01.08 Atiak-Palabek'!C12,'05.08 Atiak-Palabek'!C12,'06.08 Atiak-Palabek'!C12,'02.08 Atiak-Palabek-24h'!C12,'03.08 Atiak-Palabek-24h'!C12,'04.08 Atiak-Palabek'!C12)</f>
        <v>0</v>
      </c>
      <c r="D12" s="49">
        <f>AVERAGE('31.07 Atiak-Palabek'!D12,'01.08 Atiak-Palabek'!D12,'05.08 Atiak-Palabek'!D12,'06.08 Atiak-Palabek'!D12,'02.08 Atiak-Palabek-24h'!D12,'03.08 Atiak-Palabek-24h'!D12,'04.08 Atiak-Palabek'!D12)</f>
        <v>0</v>
      </c>
      <c r="E12" s="49">
        <f>AVERAGE('31.07 Atiak-Palabek'!E12,'01.08 Atiak-Palabek'!E12,'05.08 Atiak-Palabek'!E12,'06.08 Atiak-Palabek'!E12,'02.08 Atiak-Palabek-24h'!E12,'03.08 Atiak-Palabek-24h'!E12,'04.08 Atiak-Palabek'!E12)</f>
        <v>0</v>
      </c>
      <c r="F12" s="49">
        <f>AVERAGE('31.07 Atiak-Palabek'!F12,'01.08 Atiak-Palabek'!F12,'05.08 Atiak-Palabek'!F12,'06.08 Atiak-Palabek'!F12,'02.08 Atiak-Palabek-24h'!F12,'03.08 Atiak-Palabek-24h'!F12,'04.08 Atiak-Palabek'!F12)</f>
        <v>0</v>
      </c>
      <c r="G12" s="49">
        <f>AVERAGE('31.07 Atiak-Palabek'!G12,'01.08 Atiak-Palabek'!G12,'05.08 Atiak-Palabek'!G12,'06.08 Atiak-Palabek'!G12,'02.08 Atiak-Palabek-24h'!G12,'03.08 Atiak-Palabek-24h'!G12,'04.08 Atiak-Palabek'!G12)</f>
        <v>0</v>
      </c>
      <c r="H12" s="49">
        <f>AVERAGE('31.07 Atiak-Palabek'!H12,'01.08 Atiak-Palabek'!H12,'05.08 Atiak-Palabek'!H12,'06.08 Atiak-Palabek'!H12,'02.08 Atiak-Palabek-24h'!H12,'03.08 Atiak-Palabek-24h'!H12,'04.08 Atiak-Palabek'!H12)</f>
        <v>0</v>
      </c>
      <c r="I12" s="49">
        <f>AVERAGE('31.07 Atiak-Palabek'!I12,'01.08 Atiak-Palabek'!I12,'05.08 Atiak-Palabek'!I12,'06.08 Atiak-Palabek'!I12,'02.08 Atiak-Palabek-24h'!I12,'03.08 Atiak-Palabek-24h'!I12,'04.08 Atiak-Palabek'!I12)</f>
        <v>0</v>
      </c>
      <c r="J12" s="49">
        <f>AVERAGE('31.07 Atiak-Palabek'!J12,'01.08 Atiak-Palabek'!J12,'05.08 Atiak-Palabek'!J12,'06.08 Atiak-Palabek'!J12,'02.08 Atiak-Palabek-24h'!J12,'03.08 Atiak-Palabek-24h'!J12,'04.08 Atiak-Palabek'!J12)</f>
        <v>0</v>
      </c>
      <c r="K12" s="49">
        <f>AVERAGE('31.07 Atiak-Palabek'!K12,'01.08 Atiak-Palabek'!K12,'05.08 Atiak-Palabek'!K12,'06.08 Atiak-Palabek'!K12,'02.08 Atiak-Palabek-24h'!K12,'03.08 Atiak-Palabek-24h'!K12,'04.08 Atiak-Palabek'!K12)</f>
        <v>0</v>
      </c>
      <c r="L12" s="49">
        <f>AVERAGE('31.07 Atiak-Palabek'!L12,'01.08 Atiak-Palabek'!L12,'05.08 Atiak-Palabek'!L12,'06.08 Atiak-Palabek'!L12,'02.08 Atiak-Palabek-24h'!L12,'03.08 Atiak-Palabek-24h'!L12,'04.08 Atiak-Palabek'!L12)</f>
        <v>0</v>
      </c>
      <c r="M12" s="49">
        <f>AVERAGE('31.07 Atiak-Palabek'!M12,'01.08 Atiak-Palabek'!M12,'05.08 Atiak-Palabek'!M12,'06.08 Atiak-Palabek'!M12,'02.08 Atiak-Palabek-24h'!M12,'03.08 Atiak-Palabek-24h'!M12,'04.08 Atiak-Palabek'!M12)</f>
        <v>1.8571428571428572</v>
      </c>
      <c r="N12" s="49">
        <f>AVERAGE('31.07 Atiak-Palabek'!N12,'01.08 Atiak-Palabek'!N12,'05.08 Atiak-Palabek'!N12,'06.08 Atiak-Palabek'!N12,'02.08 Atiak-Palabek-24h'!N12,'03.08 Atiak-Palabek-24h'!N12,'04.08 Atiak-Palabek'!N12)</f>
        <v>0</v>
      </c>
      <c r="O12" s="15">
        <f t="shared" si="0"/>
        <v>0</v>
      </c>
      <c r="P12" s="15">
        <f t="shared" si="1"/>
        <v>1.8571428571428572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0.5714285714285714</v>
      </c>
      <c r="V12" s="17">
        <f t="shared" si="4"/>
        <v>0.85714285714285698</v>
      </c>
      <c r="W12" s="17">
        <f t="shared" si="4"/>
        <v>0</v>
      </c>
      <c r="X12" s="17">
        <f t="shared" si="4"/>
        <v>0.14285714285714285</v>
      </c>
      <c r="Y12" s="17">
        <f t="shared" si="4"/>
        <v>1.1428571428571428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21</v>
      </c>
      <c r="AD12" s="17">
        <f t="shared" si="4"/>
        <v>0</v>
      </c>
      <c r="AE12" s="31">
        <f t="shared" si="4"/>
        <v>2.714285714285714</v>
      </c>
      <c r="AF12" s="31">
        <f t="shared" si="4"/>
        <v>23.714285714285712</v>
      </c>
    </row>
    <row r="13" spans="2:32" ht="23.1" customHeight="1" x14ac:dyDescent="0.25">
      <c r="B13" s="23" t="s">
        <v>40</v>
      </c>
      <c r="C13" s="49">
        <f>AVERAGE('31.07 Atiak-Palabek'!C13,'01.08 Atiak-Palabek'!C13,'05.08 Atiak-Palabek'!C13,'06.08 Atiak-Palabek'!C13,'02.08 Atiak-Palabek-24h'!C13,'03.08 Atiak-Palabek-24h'!C13,'04.08 Atiak-Palabek'!C13)</f>
        <v>0</v>
      </c>
      <c r="D13" s="49">
        <f>AVERAGE('31.07 Atiak-Palabek'!D13,'01.08 Atiak-Palabek'!D13,'05.08 Atiak-Palabek'!D13,'06.08 Atiak-Palabek'!D13,'02.08 Atiak-Palabek-24h'!D13,'03.08 Atiak-Palabek-24h'!D13,'04.08 Atiak-Palabek'!D13)</f>
        <v>0</v>
      </c>
      <c r="E13" s="49">
        <f>AVERAGE('31.07 Atiak-Palabek'!E13,'01.08 Atiak-Palabek'!E13,'05.08 Atiak-Palabek'!E13,'06.08 Atiak-Palabek'!E13,'02.08 Atiak-Palabek-24h'!E13,'03.08 Atiak-Palabek-24h'!E13,'04.08 Atiak-Palabek'!E13)</f>
        <v>0</v>
      </c>
      <c r="F13" s="49">
        <f>AVERAGE('31.07 Atiak-Palabek'!F13,'01.08 Atiak-Palabek'!F13,'05.08 Atiak-Palabek'!F13,'06.08 Atiak-Palabek'!F13,'02.08 Atiak-Palabek-24h'!F13,'03.08 Atiak-Palabek-24h'!F13,'04.08 Atiak-Palabek'!F13)</f>
        <v>0</v>
      </c>
      <c r="G13" s="49">
        <f>AVERAGE('31.07 Atiak-Palabek'!G13,'01.08 Atiak-Palabek'!G13,'05.08 Atiak-Palabek'!G13,'06.08 Atiak-Palabek'!G13,'02.08 Atiak-Palabek-24h'!G13,'03.08 Atiak-Palabek-24h'!G13,'04.08 Atiak-Palabek'!G13)</f>
        <v>0</v>
      </c>
      <c r="H13" s="49">
        <f>AVERAGE('31.07 Atiak-Palabek'!H13,'01.08 Atiak-Palabek'!H13,'05.08 Atiak-Palabek'!H13,'06.08 Atiak-Palabek'!H13,'02.08 Atiak-Palabek-24h'!H13,'03.08 Atiak-Palabek-24h'!H13,'04.08 Atiak-Palabek'!H13)</f>
        <v>0</v>
      </c>
      <c r="I13" s="49">
        <f>AVERAGE('31.07 Atiak-Palabek'!I13,'01.08 Atiak-Palabek'!I13,'05.08 Atiak-Palabek'!I13,'06.08 Atiak-Palabek'!I13,'02.08 Atiak-Palabek-24h'!I13,'03.08 Atiak-Palabek-24h'!I13,'04.08 Atiak-Palabek'!I13)</f>
        <v>0</v>
      </c>
      <c r="J13" s="49">
        <f>AVERAGE('31.07 Atiak-Palabek'!J13,'01.08 Atiak-Palabek'!J13,'05.08 Atiak-Palabek'!J13,'06.08 Atiak-Palabek'!J13,'02.08 Atiak-Palabek-24h'!J13,'03.08 Atiak-Palabek-24h'!J13,'04.08 Atiak-Palabek'!J13)</f>
        <v>0</v>
      </c>
      <c r="K13" s="49">
        <f>AVERAGE('31.07 Atiak-Palabek'!K13,'01.08 Atiak-Palabek'!K13,'05.08 Atiak-Palabek'!K13,'06.08 Atiak-Palabek'!K13,'02.08 Atiak-Palabek-24h'!K13,'03.08 Atiak-Palabek-24h'!K13,'04.08 Atiak-Palabek'!K13)</f>
        <v>0</v>
      </c>
      <c r="L13" s="49">
        <f>AVERAGE('31.07 Atiak-Palabek'!L13,'01.08 Atiak-Palabek'!L13,'05.08 Atiak-Palabek'!L13,'06.08 Atiak-Palabek'!L13,'02.08 Atiak-Palabek-24h'!L13,'03.08 Atiak-Palabek-24h'!L13,'04.08 Atiak-Palabek'!L13)</f>
        <v>0</v>
      </c>
      <c r="M13" s="49">
        <f>AVERAGE('31.07 Atiak-Palabek'!M13,'01.08 Atiak-Palabek'!M13,'05.08 Atiak-Palabek'!M13,'06.08 Atiak-Palabek'!M13,'02.08 Atiak-Palabek-24h'!M13,'03.08 Atiak-Palabek-24h'!M13,'04.08 Atiak-Palabek'!M13)</f>
        <v>2.4285714285714284</v>
      </c>
      <c r="N13" s="49">
        <f>AVERAGE('31.07 Atiak-Palabek'!N13,'01.08 Atiak-Palabek'!N13,'05.08 Atiak-Palabek'!N13,'06.08 Atiak-Palabek'!N13,'02.08 Atiak-Palabek-24h'!N13,'03.08 Atiak-Palabek-24h'!N13,'04.08 Atiak-Palabek'!N13)</f>
        <v>0</v>
      </c>
      <c r="O13" s="15">
        <f t="shared" si="0"/>
        <v>0</v>
      </c>
      <c r="P13" s="15">
        <f t="shared" si="1"/>
        <v>2.4285714285714284</v>
      </c>
      <c r="R13" s="1" t="s">
        <v>9</v>
      </c>
      <c r="S13" s="17">
        <f t="shared" ref="S13:AF13" si="5">SUM(C22:C25)</f>
        <v>0.14285714285714285</v>
      </c>
      <c r="T13" s="17">
        <f t="shared" si="5"/>
        <v>0</v>
      </c>
      <c r="U13" s="17">
        <f t="shared" si="5"/>
        <v>1.4285714285714286</v>
      </c>
      <c r="V13" s="17">
        <f t="shared" si="5"/>
        <v>0.2857142857142857</v>
      </c>
      <c r="W13" s="17">
        <f t="shared" si="5"/>
        <v>0</v>
      </c>
      <c r="X13" s="17">
        <f t="shared" si="5"/>
        <v>0</v>
      </c>
      <c r="Y13" s="17">
        <f t="shared" si="5"/>
        <v>1.8571428571428572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18.428571428571427</v>
      </c>
      <c r="AD13" s="17">
        <f t="shared" si="5"/>
        <v>0</v>
      </c>
      <c r="AE13" s="31">
        <f t="shared" si="5"/>
        <v>3.7142857142857144</v>
      </c>
      <c r="AF13" s="31">
        <f t="shared" si="5"/>
        <v>22.142857142857142</v>
      </c>
    </row>
    <row r="14" spans="2:32" ht="23.1" customHeight="1" x14ac:dyDescent="0.25">
      <c r="B14" s="23" t="s">
        <v>41</v>
      </c>
      <c r="C14" s="49">
        <f>AVERAGE('31.07 Atiak-Palabek'!C14,'01.08 Atiak-Palabek'!C14,'05.08 Atiak-Palabek'!C14,'06.08 Atiak-Palabek'!C14,'02.08 Atiak-Palabek-24h'!C14,'03.08 Atiak-Palabek-24h'!C14,'04.08 Atiak-Palabek'!C14)</f>
        <v>0</v>
      </c>
      <c r="D14" s="49">
        <f>AVERAGE('31.07 Atiak-Palabek'!D14,'01.08 Atiak-Palabek'!D14,'05.08 Atiak-Palabek'!D14,'06.08 Atiak-Palabek'!D14,'02.08 Atiak-Palabek-24h'!D14,'03.08 Atiak-Palabek-24h'!D14,'04.08 Atiak-Palabek'!D14)</f>
        <v>0</v>
      </c>
      <c r="E14" s="49">
        <f>AVERAGE('31.07 Atiak-Palabek'!E14,'01.08 Atiak-Palabek'!E14,'05.08 Atiak-Palabek'!E14,'06.08 Atiak-Palabek'!E14,'02.08 Atiak-Palabek-24h'!E14,'03.08 Atiak-Palabek-24h'!E14,'04.08 Atiak-Palabek'!E14)</f>
        <v>0</v>
      </c>
      <c r="F14" s="49">
        <f>AVERAGE('31.07 Atiak-Palabek'!F14,'01.08 Atiak-Palabek'!F14,'05.08 Atiak-Palabek'!F14,'06.08 Atiak-Palabek'!F14,'02.08 Atiak-Palabek-24h'!F14,'03.08 Atiak-Palabek-24h'!F14,'04.08 Atiak-Palabek'!F14)</f>
        <v>0</v>
      </c>
      <c r="G14" s="49">
        <f>AVERAGE('31.07 Atiak-Palabek'!G14,'01.08 Atiak-Palabek'!G14,'05.08 Atiak-Palabek'!G14,'06.08 Atiak-Palabek'!G14,'02.08 Atiak-Palabek-24h'!G14,'03.08 Atiak-Palabek-24h'!G14,'04.08 Atiak-Palabek'!G14)</f>
        <v>0</v>
      </c>
      <c r="H14" s="49">
        <f>AVERAGE('31.07 Atiak-Palabek'!H14,'01.08 Atiak-Palabek'!H14,'05.08 Atiak-Palabek'!H14,'06.08 Atiak-Palabek'!H14,'02.08 Atiak-Palabek-24h'!H14,'03.08 Atiak-Palabek-24h'!H14,'04.08 Atiak-Palabek'!H14)</f>
        <v>0</v>
      </c>
      <c r="I14" s="49">
        <f>AVERAGE('31.07 Atiak-Palabek'!I14,'01.08 Atiak-Palabek'!I14,'05.08 Atiak-Palabek'!I14,'06.08 Atiak-Palabek'!I14,'02.08 Atiak-Palabek-24h'!I14,'03.08 Atiak-Palabek-24h'!I14,'04.08 Atiak-Palabek'!I14)</f>
        <v>0.42857142857142855</v>
      </c>
      <c r="J14" s="49">
        <f>AVERAGE('31.07 Atiak-Palabek'!J14,'01.08 Atiak-Palabek'!J14,'05.08 Atiak-Palabek'!J14,'06.08 Atiak-Palabek'!J14,'02.08 Atiak-Palabek-24h'!J14,'03.08 Atiak-Palabek-24h'!J14,'04.08 Atiak-Palabek'!J14)</f>
        <v>0</v>
      </c>
      <c r="K14" s="49">
        <f>AVERAGE('31.07 Atiak-Palabek'!K14,'01.08 Atiak-Palabek'!K14,'05.08 Atiak-Palabek'!K14,'06.08 Atiak-Palabek'!K14,'02.08 Atiak-Palabek-24h'!K14,'03.08 Atiak-Palabek-24h'!K14,'04.08 Atiak-Palabek'!K14)</f>
        <v>0</v>
      </c>
      <c r="L14" s="49">
        <f>AVERAGE('31.07 Atiak-Palabek'!L14,'01.08 Atiak-Palabek'!L14,'05.08 Atiak-Palabek'!L14,'06.08 Atiak-Palabek'!L14,'02.08 Atiak-Palabek-24h'!L14,'03.08 Atiak-Palabek-24h'!L14,'04.08 Atiak-Palabek'!L14)</f>
        <v>0</v>
      </c>
      <c r="M14" s="49">
        <f>AVERAGE('31.07 Atiak-Palabek'!M14,'01.08 Atiak-Palabek'!M14,'05.08 Atiak-Palabek'!M14,'06.08 Atiak-Palabek'!M14,'02.08 Atiak-Palabek-24h'!M14,'03.08 Atiak-Palabek-24h'!M14,'04.08 Atiak-Palabek'!M14)</f>
        <v>3</v>
      </c>
      <c r="N14" s="49">
        <f>AVERAGE('31.07 Atiak-Palabek'!N14,'01.08 Atiak-Palabek'!N14,'05.08 Atiak-Palabek'!N14,'06.08 Atiak-Palabek'!N14,'02.08 Atiak-Palabek-24h'!N14,'03.08 Atiak-Palabek-24h'!N14,'04.08 Atiak-Palabek'!N14)</f>
        <v>0</v>
      </c>
      <c r="O14" s="15">
        <f t="shared" si="0"/>
        <v>0.42857142857142855</v>
      </c>
      <c r="P14" s="15">
        <f t="shared" si="1"/>
        <v>3.4285714285714284</v>
      </c>
      <c r="R14" s="1" t="s">
        <v>10</v>
      </c>
      <c r="S14" s="17">
        <f t="shared" ref="S14:AF14" si="6">SUM(C26:C29)</f>
        <v>0.2857142857142857</v>
      </c>
      <c r="T14" s="17">
        <f t="shared" si="6"/>
        <v>0</v>
      </c>
      <c r="U14" s="17">
        <f t="shared" si="6"/>
        <v>1.2857142857142856</v>
      </c>
      <c r="V14" s="17">
        <f t="shared" si="6"/>
        <v>1.857142857142857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0.14285714285714285</v>
      </c>
      <c r="AB14" s="17">
        <f t="shared" si="6"/>
        <v>0</v>
      </c>
      <c r="AC14" s="17">
        <f t="shared" si="6"/>
        <v>19.571428571428569</v>
      </c>
      <c r="AD14" s="17">
        <f t="shared" si="6"/>
        <v>0</v>
      </c>
      <c r="AE14" s="31">
        <f t="shared" si="6"/>
        <v>5.5714285714285712</v>
      </c>
      <c r="AF14" s="31">
        <f t="shared" si="6"/>
        <v>25.142857142857142</v>
      </c>
    </row>
    <row r="15" spans="2:32" ht="23.1" customHeight="1" x14ac:dyDescent="0.25">
      <c r="B15" s="23" t="s">
        <v>42</v>
      </c>
      <c r="C15" s="49">
        <f>AVERAGE('31.07 Atiak-Palabek'!C15,'01.08 Atiak-Palabek'!C15,'05.08 Atiak-Palabek'!C15,'06.08 Atiak-Palabek'!C15,'02.08 Atiak-Palabek-24h'!C15,'03.08 Atiak-Palabek-24h'!C15,'04.08 Atiak-Palabek'!C15)</f>
        <v>0.14285714285714285</v>
      </c>
      <c r="D15" s="49">
        <f>AVERAGE('31.07 Atiak-Palabek'!D15,'01.08 Atiak-Palabek'!D15,'05.08 Atiak-Palabek'!D15,'06.08 Atiak-Palabek'!D15,'02.08 Atiak-Palabek-24h'!D15,'03.08 Atiak-Palabek-24h'!D15,'04.08 Atiak-Palabek'!D15)</f>
        <v>0</v>
      </c>
      <c r="E15" s="49">
        <f>AVERAGE('31.07 Atiak-Palabek'!E15,'01.08 Atiak-Palabek'!E15,'05.08 Atiak-Palabek'!E15,'06.08 Atiak-Palabek'!E15,'02.08 Atiak-Palabek-24h'!E15,'03.08 Atiak-Palabek-24h'!E15,'04.08 Atiak-Palabek'!E15)</f>
        <v>0</v>
      </c>
      <c r="F15" s="49">
        <f>AVERAGE('31.07 Atiak-Palabek'!F15,'01.08 Atiak-Palabek'!F15,'05.08 Atiak-Palabek'!F15,'06.08 Atiak-Palabek'!F15,'02.08 Atiak-Palabek-24h'!F15,'03.08 Atiak-Palabek-24h'!F15,'04.08 Atiak-Palabek'!F15)</f>
        <v>0</v>
      </c>
      <c r="G15" s="49">
        <f>AVERAGE('31.07 Atiak-Palabek'!G15,'01.08 Atiak-Palabek'!G15,'05.08 Atiak-Palabek'!G15,'06.08 Atiak-Palabek'!G15,'02.08 Atiak-Palabek-24h'!G15,'03.08 Atiak-Palabek-24h'!G15,'04.08 Atiak-Palabek'!G15)</f>
        <v>0</v>
      </c>
      <c r="H15" s="49">
        <f>AVERAGE('31.07 Atiak-Palabek'!H15,'01.08 Atiak-Palabek'!H15,'05.08 Atiak-Palabek'!H15,'06.08 Atiak-Palabek'!H15,'02.08 Atiak-Palabek-24h'!H15,'03.08 Atiak-Palabek-24h'!H15,'04.08 Atiak-Palabek'!H15)</f>
        <v>0</v>
      </c>
      <c r="I15" s="49">
        <f>AVERAGE('31.07 Atiak-Palabek'!I15,'01.08 Atiak-Palabek'!I15,'05.08 Atiak-Palabek'!I15,'06.08 Atiak-Palabek'!I15,'02.08 Atiak-Palabek-24h'!I15,'03.08 Atiak-Palabek-24h'!I15,'04.08 Atiak-Palabek'!I15)</f>
        <v>0.2857142857142857</v>
      </c>
      <c r="J15" s="49">
        <f>AVERAGE('31.07 Atiak-Palabek'!J15,'01.08 Atiak-Palabek'!J15,'05.08 Atiak-Palabek'!J15,'06.08 Atiak-Palabek'!J15,'02.08 Atiak-Palabek-24h'!J15,'03.08 Atiak-Palabek-24h'!J15,'04.08 Atiak-Palabek'!J15)</f>
        <v>0</v>
      </c>
      <c r="K15" s="49">
        <f>AVERAGE('31.07 Atiak-Palabek'!K15,'01.08 Atiak-Palabek'!K15,'05.08 Atiak-Palabek'!K15,'06.08 Atiak-Palabek'!K15,'02.08 Atiak-Palabek-24h'!K15,'03.08 Atiak-Palabek-24h'!K15,'04.08 Atiak-Palabek'!K15)</f>
        <v>0</v>
      </c>
      <c r="L15" s="49">
        <f>AVERAGE('31.07 Atiak-Palabek'!L15,'01.08 Atiak-Palabek'!L15,'05.08 Atiak-Palabek'!L15,'06.08 Atiak-Palabek'!L15,'02.08 Atiak-Palabek-24h'!L15,'03.08 Atiak-Palabek-24h'!L15,'04.08 Atiak-Palabek'!L15)</f>
        <v>0</v>
      </c>
      <c r="M15" s="49">
        <f>AVERAGE('31.07 Atiak-Palabek'!M15,'01.08 Atiak-Palabek'!M15,'05.08 Atiak-Palabek'!M15,'06.08 Atiak-Palabek'!M15,'02.08 Atiak-Palabek-24h'!M15,'03.08 Atiak-Palabek-24h'!M15,'04.08 Atiak-Palabek'!M15)</f>
        <v>3.7142857142857144</v>
      </c>
      <c r="N15" s="49">
        <f>AVERAGE('31.07 Atiak-Palabek'!N15,'01.08 Atiak-Palabek'!N15,'05.08 Atiak-Palabek'!N15,'06.08 Atiak-Palabek'!N15,'02.08 Atiak-Palabek-24h'!N15,'03.08 Atiak-Palabek-24h'!N15,'04.08 Atiak-Palabek'!N15)</f>
        <v>0</v>
      </c>
      <c r="O15" s="15">
        <f t="shared" si="0"/>
        <v>0.42857142857142855</v>
      </c>
      <c r="P15" s="15">
        <f t="shared" si="1"/>
        <v>4.1428571428571432</v>
      </c>
      <c r="R15" s="1" t="s">
        <v>11</v>
      </c>
      <c r="S15" s="17">
        <f t="shared" ref="S15:AF15" si="7">SUM(C30:C33)</f>
        <v>0.14285714285714285</v>
      </c>
      <c r="T15" s="17">
        <f t="shared" si="7"/>
        <v>0</v>
      </c>
      <c r="U15" s="17">
        <f t="shared" si="7"/>
        <v>1</v>
      </c>
      <c r="V15" s="17">
        <f t="shared" si="7"/>
        <v>1.2857142857142856</v>
      </c>
      <c r="W15" s="17">
        <f t="shared" si="7"/>
        <v>0</v>
      </c>
      <c r="X15" s="17">
        <f t="shared" si="7"/>
        <v>0</v>
      </c>
      <c r="Y15" s="17">
        <f t="shared" si="7"/>
        <v>0.85714285714285698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19.571428571428569</v>
      </c>
      <c r="AD15" s="17">
        <f t="shared" si="7"/>
        <v>0</v>
      </c>
      <c r="AE15" s="31">
        <f t="shared" si="7"/>
        <v>3.2857142857142856</v>
      </c>
      <c r="AF15" s="31">
        <f t="shared" si="7"/>
        <v>22.857142857142854</v>
      </c>
    </row>
    <row r="16" spans="2:32" ht="23.1" customHeight="1" x14ac:dyDescent="0.25">
      <c r="B16" s="23" t="s">
        <v>43</v>
      </c>
      <c r="C16" s="49">
        <f>AVERAGE('31.07 Atiak-Palabek'!C16,'01.08 Atiak-Palabek'!C16,'05.08 Atiak-Palabek'!C16,'06.08 Atiak-Palabek'!C16,'02.08 Atiak-Palabek-24h'!C16,'03.08 Atiak-Palabek-24h'!C16,'04.08 Atiak-Palabek'!C16)</f>
        <v>0</v>
      </c>
      <c r="D16" s="49">
        <f>AVERAGE('31.07 Atiak-Palabek'!D16,'01.08 Atiak-Palabek'!D16,'05.08 Atiak-Palabek'!D16,'06.08 Atiak-Palabek'!D16,'02.08 Atiak-Palabek-24h'!D16,'03.08 Atiak-Palabek-24h'!D16,'04.08 Atiak-Palabek'!D16)</f>
        <v>0</v>
      </c>
      <c r="E16" s="49">
        <f>AVERAGE('31.07 Atiak-Palabek'!E16,'01.08 Atiak-Palabek'!E16,'05.08 Atiak-Palabek'!E16,'06.08 Atiak-Palabek'!E16,'02.08 Atiak-Palabek-24h'!E16,'03.08 Atiak-Palabek-24h'!E16,'04.08 Atiak-Palabek'!E16)</f>
        <v>0.14285714285714285</v>
      </c>
      <c r="F16" s="49">
        <f>AVERAGE('31.07 Atiak-Palabek'!F16,'01.08 Atiak-Palabek'!F16,'05.08 Atiak-Palabek'!F16,'06.08 Atiak-Palabek'!F16,'02.08 Atiak-Palabek-24h'!F16,'03.08 Atiak-Palabek-24h'!F16,'04.08 Atiak-Palabek'!F16)</f>
        <v>0.14285714285714285</v>
      </c>
      <c r="G16" s="49">
        <f>AVERAGE('31.07 Atiak-Palabek'!G16,'01.08 Atiak-Palabek'!G16,'05.08 Atiak-Palabek'!G16,'06.08 Atiak-Palabek'!G16,'02.08 Atiak-Palabek-24h'!G16,'03.08 Atiak-Palabek-24h'!G16,'04.08 Atiak-Palabek'!G16)</f>
        <v>0</v>
      </c>
      <c r="H16" s="49">
        <f>AVERAGE('31.07 Atiak-Palabek'!H16,'01.08 Atiak-Palabek'!H16,'05.08 Atiak-Palabek'!H16,'06.08 Atiak-Palabek'!H16,'02.08 Atiak-Palabek-24h'!H16,'03.08 Atiak-Palabek-24h'!H16,'04.08 Atiak-Palabek'!H16)</f>
        <v>0</v>
      </c>
      <c r="I16" s="49">
        <f>AVERAGE('31.07 Atiak-Palabek'!I16,'01.08 Atiak-Palabek'!I16,'05.08 Atiak-Palabek'!I16,'06.08 Atiak-Palabek'!I16,'02.08 Atiak-Palabek-24h'!I16,'03.08 Atiak-Palabek-24h'!I16,'04.08 Atiak-Palabek'!I16)</f>
        <v>0</v>
      </c>
      <c r="J16" s="49">
        <f>AVERAGE('31.07 Atiak-Palabek'!J16,'01.08 Atiak-Palabek'!J16,'05.08 Atiak-Palabek'!J16,'06.08 Atiak-Palabek'!J16,'02.08 Atiak-Palabek-24h'!J16,'03.08 Atiak-Palabek-24h'!J16,'04.08 Atiak-Palabek'!J16)</f>
        <v>0</v>
      </c>
      <c r="K16" s="49">
        <f>AVERAGE('31.07 Atiak-Palabek'!K16,'01.08 Atiak-Palabek'!K16,'05.08 Atiak-Palabek'!K16,'06.08 Atiak-Palabek'!K16,'02.08 Atiak-Palabek-24h'!K16,'03.08 Atiak-Palabek-24h'!K16,'04.08 Atiak-Palabek'!K16)</f>
        <v>0</v>
      </c>
      <c r="L16" s="49">
        <f>AVERAGE('31.07 Atiak-Palabek'!L16,'01.08 Atiak-Palabek'!L16,'05.08 Atiak-Palabek'!L16,'06.08 Atiak-Palabek'!L16,'02.08 Atiak-Palabek-24h'!L16,'03.08 Atiak-Palabek-24h'!L16,'04.08 Atiak-Palabek'!L16)</f>
        <v>0</v>
      </c>
      <c r="M16" s="49">
        <f>AVERAGE('31.07 Atiak-Palabek'!M16,'01.08 Atiak-Palabek'!M16,'05.08 Atiak-Palabek'!M16,'06.08 Atiak-Palabek'!M16,'02.08 Atiak-Palabek-24h'!M16,'03.08 Atiak-Palabek-24h'!M16,'04.08 Atiak-Palabek'!M16)</f>
        <v>3.4285714285714284</v>
      </c>
      <c r="N16" s="49">
        <f>AVERAGE('31.07 Atiak-Palabek'!N16,'01.08 Atiak-Palabek'!N16,'05.08 Atiak-Palabek'!N16,'06.08 Atiak-Palabek'!N16,'02.08 Atiak-Palabek-24h'!N16,'03.08 Atiak-Palabek-24h'!N16,'04.08 Atiak-Palabek'!N16)</f>
        <v>0</v>
      </c>
      <c r="O16" s="15">
        <f t="shared" si="0"/>
        <v>0.2857142857142857</v>
      </c>
      <c r="P16" s="15">
        <f t="shared" si="1"/>
        <v>3.714285714285714</v>
      </c>
      <c r="R16" s="1" t="s">
        <v>12</v>
      </c>
      <c r="S16" s="17">
        <f t="shared" ref="S16:AF16" si="8">SUM(C34:C37)</f>
        <v>0.14285714285714285</v>
      </c>
      <c r="T16" s="17">
        <f t="shared" si="8"/>
        <v>0</v>
      </c>
      <c r="U16" s="17">
        <f t="shared" si="8"/>
        <v>1.2857142857142856</v>
      </c>
      <c r="V16" s="17">
        <f t="shared" si="8"/>
        <v>0.5714285714285714</v>
      </c>
      <c r="W16" s="17">
        <f t="shared" si="8"/>
        <v>0</v>
      </c>
      <c r="X16" s="17">
        <f t="shared" si="8"/>
        <v>0</v>
      </c>
      <c r="Y16" s="17">
        <f t="shared" si="8"/>
        <v>1.1428571428571428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19.142857142857142</v>
      </c>
      <c r="AD16" s="17">
        <f t="shared" si="8"/>
        <v>0</v>
      </c>
      <c r="AE16" s="31">
        <f t="shared" si="8"/>
        <v>3.1428571428571423</v>
      </c>
      <c r="AF16" s="31">
        <f t="shared" si="8"/>
        <v>22.285714285714285</v>
      </c>
    </row>
    <row r="17" spans="2:32" ht="23.1" customHeight="1" x14ac:dyDescent="0.25">
      <c r="B17" s="23" t="s">
        <v>44</v>
      </c>
      <c r="C17" s="49">
        <f>AVERAGE('31.07 Atiak-Palabek'!C17,'01.08 Atiak-Palabek'!C17,'05.08 Atiak-Palabek'!C17,'06.08 Atiak-Palabek'!C17,'02.08 Atiak-Palabek-24h'!C17,'03.08 Atiak-Palabek-24h'!C17,'04.08 Atiak-Palabek'!C17)</f>
        <v>0</v>
      </c>
      <c r="D17" s="49">
        <f>AVERAGE('31.07 Atiak-Palabek'!D17,'01.08 Atiak-Palabek'!D17,'05.08 Atiak-Palabek'!D17,'06.08 Atiak-Palabek'!D17,'02.08 Atiak-Palabek-24h'!D17,'03.08 Atiak-Palabek-24h'!D17,'04.08 Atiak-Palabek'!D17)</f>
        <v>0</v>
      </c>
      <c r="E17" s="49">
        <f>AVERAGE('31.07 Atiak-Palabek'!E17,'01.08 Atiak-Palabek'!E17,'05.08 Atiak-Palabek'!E17,'06.08 Atiak-Palabek'!E17,'02.08 Atiak-Palabek-24h'!E17,'03.08 Atiak-Palabek-24h'!E17,'04.08 Atiak-Palabek'!E17)</f>
        <v>0</v>
      </c>
      <c r="F17" s="49">
        <f>AVERAGE('31.07 Atiak-Palabek'!F17,'01.08 Atiak-Palabek'!F17,'05.08 Atiak-Palabek'!F17,'06.08 Atiak-Palabek'!F17,'02.08 Atiak-Palabek-24h'!F17,'03.08 Atiak-Palabek-24h'!F17,'04.08 Atiak-Palabek'!F17)</f>
        <v>0.14285714285714285</v>
      </c>
      <c r="G17" s="49">
        <f>AVERAGE('31.07 Atiak-Palabek'!G17,'01.08 Atiak-Palabek'!G17,'05.08 Atiak-Palabek'!G17,'06.08 Atiak-Palabek'!G17,'02.08 Atiak-Palabek-24h'!G17,'03.08 Atiak-Palabek-24h'!G17,'04.08 Atiak-Palabek'!G17)</f>
        <v>0</v>
      </c>
      <c r="H17" s="49">
        <f>AVERAGE('31.07 Atiak-Palabek'!H17,'01.08 Atiak-Palabek'!H17,'05.08 Atiak-Palabek'!H17,'06.08 Atiak-Palabek'!H17,'02.08 Atiak-Palabek-24h'!H17,'03.08 Atiak-Palabek-24h'!H17,'04.08 Atiak-Palabek'!H17)</f>
        <v>0</v>
      </c>
      <c r="I17" s="49">
        <f>AVERAGE('31.07 Atiak-Palabek'!I17,'01.08 Atiak-Palabek'!I17,'05.08 Atiak-Palabek'!I17,'06.08 Atiak-Palabek'!I17,'02.08 Atiak-Palabek-24h'!I17,'03.08 Atiak-Palabek-24h'!I17,'04.08 Atiak-Palabek'!I17)</f>
        <v>0.2857142857142857</v>
      </c>
      <c r="J17" s="49">
        <f>AVERAGE('31.07 Atiak-Palabek'!J17,'01.08 Atiak-Palabek'!J17,'05.08 Atiak-Palabek'!J17,'06.08 Atiak-Palabek'!J17,'02.08 Atiak-Palabek-24h'!J17,'03.08 Atiak-Palabek-24h'!J17,'04.08 Atiak-Palabek'!J17)</f>
        <v>0</v>
      </c>
      <c r="K17" s="49">
        <f>AVERAGE('31.07 Atiak-Palabek'!K17,'01.08 Atiak-Palabek'!K17,'05.08 Atiak-Palabek'!K17,'06.08 Atiak-Palabek'!K17,'02.08 Atiak-Palabek-24h'!K17,'03.08 Atiak-Palabek-24h'!K17,'04.08 Atiak-Palabek'!K17)</f>
        <v>0</v>
      </c>
      <c r="L17" s="49">
        <f>AVERAGE('31.07 Atiak-Palabek'!L17,'01.08 Atiak-Palabek'!L17,'05.08 Atiak-Palabek'!L17,'06.08 Atiak-Palabek'!L17,'02.08 Atiak-Palabek-24h'!L17,'03.08 Atiak-Palabek-24h'!L17,'04.08 Atiak-Palabek'!L17)</f>
        <v>0</v>
      </c>
      <c r="M17" s="49">
        <f>AVERAGE('31.07 Atiak-Palabek'!M17,'01.08 Atiak-Palabek'!M17,'05.08 Atiak-Palabek'!M17,'06.08 Atiak-Palabek'!M17,'02.08 Atiak-Palabek-24h'!M17,'03.08 Atiak-Palabek-24h'!M17,'04.08 Atiak-Palabek'!M17)</f>
        <v>3.4285714285714284</v>
      </c>
      <c r="N17" s="49">
        <f>AVERAGE('31.07 Atiak-Palabek'!N17,'01.08 Atiak-Palabek'!N17,'05.08 Atiak-Palabek'!N17,'06.08 Atiak-Palabek'!N17,'02.08 Atiak-Palabek-24h'!N17,'03.08 Atiak-Palabek-24h'!N17,'04.08 Atiak-Palabek'!N17)</f>
        <v>0</v>
      </c>
      <c r="O17" s="15">
        <f t="shared" si="0"/>
        <v>0.42857142857142855</v>
      </c>
      <c r="P17" s="15">
        <f t="shared" si="1"/>
        <v>3.8571428571428568</v>
      </c>
      <c r="R17" s="1" t="s">
        <v>13</v>
      </c>
      <c r="S17" s="17">
        <f t="shared" ref="S17:AF17" si="9">SUM(C38:C41)</f>
        <v>0.5714285714285714</v>
      </c>
      <c r="T17" s="17">
        <f t="shared" si="9"/>
        <v>0</v>
      </c>
      <c r="U17" s="17">
        <f t="shared" si="9"/>
        <v>1.1428571428571428</v>
      </c>
      <c r="V17" s="17">
        <f t="shared" si="9"/>
        <v>0.85714285714285698</v>
      </c>
      <c r="W17" s="17">
        <f t="shared" si="9"/>
        <v>0</v>
      </c>
      <c r="X17" s="17">
        <f t="shared" si="9"/>
        <v>0</v>
      </c>
      <c r="Y17" s="17">
        <f t="shared" si="9"/>
        <v>2.4285714285714284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20.285714285714285</v>
      </c>
      <c r="AD17" s="17">
        <f t="shared" si="9"/>
        <v>0</v>
      </c>
      <c r="AE17" s="31">
        <f t="shared" si="9"/>
        <v>4.9999999999999991</v>
      </c>
      <c r="AF17" s="31">
        <f t="shared" si="9"/>
        <v>25.285714285714285</v>
      </c>
    </row>
    <row r="18" spans="2:32" ht="23.1" customHeight="1" x14ac:dyDescent="0.25">
      <c r="B18" s="23" t="s">
        <v>45</v>
      </c>
      <c r="C18" s="49">
        <f>AVERAGE('31.07 Atiak-Palabek'!C18,'01.08 Atiak-Palabek'!C18,'05.08 Atiak-Palabek'!C18,'06.08 Atiak-Palabek'!C18,'02.08 Atiak-Palabek-24h'!C18,'03.08 Atiak-Palabek-24h'!C18,'04.08 Atiak-Palabek'!C18)</f>
        <v>0</v>
      </c>
      <c r="D18" s="49">
        <f>AVERAGE('31.07 Atiak-Palabek'!D18,'01.08 Atiak-Palabek'!D18,'05.08 Atiak-Palabek'!D18,'06.08 Atiak-Palabek'!D18,'02.08 Atiak-Palabek-24h'!D18,'03.08 Atiak-Palabek-24h'!D18,'04.08 Atiak-Palabek'!D18)</f>
        <v>0</v>
      </c>
      <c r="E18" s="49">
        <f>AVERAGE('31.07 Atiak-Palabek'!E18,'01.08 Atiak-Palabek'!E18,'05.08 Atiak-Palabek'!E18,'06.08 Atiak-Palabek'!E18,'02.08 Atiak-Palabek-24h'!E18,'03.08 Atiak-Palabek-24h'!E18,'04.08 Atiak-Palabek'!E18)</f>
        <v>0.14285714285714285</v>
      </c>
      <c r="F18" s="49">
        <f>AVERAGE('31.07 Atiak-Palabek'!F18,'01.08 Atiak-Palabek'!F18,'05.08 Atiak-Palabek'!F18,'06.08 Atiak-Palabek'!F18,'02.08 Atiak-Palabek-24h'!F18,'03.08 Atiak-Palabek-24h'!F18,'04.08 Atiak-Palabek'!F18)</f>
        <v>0.42857142857142855</v>
      </c>
      <c r="G18" s="49">
        <f>AVERAGE('31.07 Atiak-Palabek'!G18,'01.08 Atiak-Palabek'!G18,'05.08 Atiak-Palabek'!G18,'06.08 Atiak-Palabek'!G18,'02.08 Atiak-Palabek-24h'!G18,'03.08 Atiak-Palabek-24h'!G18,'04.08 Atiak-Palabek'!G18)</f>
        <v>0</v>
      </c>
      <c r="H18" s="49">
        <f>AVERAGE('31.07 Atiak-Palabek'!H18,'01.08 Atiak-Palabek'!H18,'05.08 Atiak-Palabek'!H18,'06.08 Atiak-Palabek'!H18,'02.08 Atiak-Palabek-24h'!H18,'03.08 Atiak-Palabek-24h'!H18,'04.08 Atiak-Palabek'!H18)</f>
        <v>0</v>
      </c>
      <c r="I18" s="49">
        <f>AVERAGE('31.07 Atiak-Palabek'!I18,'01.08 Atiak-Palabek'!I18,'05.08 Atiak-Palabek'!I18,'06.08 Atiak-Palabek'!I18,'02.08 Atiak-Palabek-24h'!I18,'03.08 Atiak-Palabek-24h'!I18,'04.08 Atiak-Palabek'!I18)</f>
        <v>0.14285714285714285</v>
      </c>
      <c r="J18" s="49">
        <f>AVERAGE('31.07 Atiak-Palabek'!J18,'01.08 Atiak-Palabek'!J18,'05.08 Atiak-Palabek'!J18,'06.08 Atiak-Palabek'!J18,'02.08 Atiak-Palabek-24h'!J18,'03.08 Atiak-Palabek-24h'!J18,'04.08 Atiak-Palabek'!J18)</f>
        <v>0</v>
      </c>
      <c r="K18" s="49">
        <f>AVERAGE('31.07 Atiak-Palabek'!K18,'01.08 Atiak-Palabek'!K18,'05.08 Atiak-Palabek'!K18,'06.08 Atiak-Palabek'!K18,'02.08 Atiak-Palabek-24h'!K18,'03.08 Atiak-Palabek-24h'!K18,'04.08 Atiak-Palabek'!K18)</f>
        <v>0</v>
      </c>
      <c r="L18" s="49">
        <f>AVERAGE('31.07 Atiak-Palabek'!L18,'01.08 Atiak-Palabek'!L18,'05.08 Atiak-Palabek'!L18,'06.08 Atiak-Palabek'!L18,'02.08 Atiak-Palabek-24h'!L18,'03.08 Atiak-Palabek-24h'!L18,'04.08 Atiak-Palabek'!L18)</f>
        <v>0</v>
      </c>
      <c r="M18" s="49">
        <f>AVERAGE('31.07 Atiak-Palabek'!M18,'01.08 Atiak-Palabek'!M18,'05.08 Atiak-Palabek'!M18,'06.08 Atiak-Palabek'!M18,'02.08 Atiak-Palabek-24h'!M18,'03.08 Atiak-Palabek-24h'!M18,'04.08 Atiak-Palabek'!M18)</f>
        <v>4.8571428571428568</v>
      </c>
      <c r="N18" s="49">
        <f>AVERAGE('31.07 Atiak-Palabek'!N18,'01.08 Atiak-Palabek'!N18,'05.08 Atiak-Palabek'!N18,'06.08 Atiak-Palabek'!N18,'02.08 Atiak-Palabek-24h'!N18,'03.08 Atiak-Palabek-24h'!N18,'04.08 Atiak-Palabek'!N18)</f>
        <v>0</v>
      </c>
      <c r="O18" s="15">
        <f t="shared" si="0"/>
        <v>0.71428571428571419</v>
      </c>
      <c r="P18" s="15">
        <f t="shared" si="1"/>
        <v>5.5714285714285712</v>
      </c>
      <c r="R18" s="1" t="s">
        <v>14</v>
      </c>
      <c r="S18" s="17">
        <f t="shared" ref="S18:AF18" si="10">SUM(C42:C45)</f>
        <v>0.14285714285714285</v>
      </c>
      <c r="T18" s="17">
        <f t="shared" si="10"/>
        <v>0</v>
      </c>
      <c r="U18" s="17">
        <f t="shared" si="10"/>
        <v>0.85714285714285698</v>
      </c>
      <c r="V18" s="17">
        <f t="shared" si="10"/>
        <v>0.8571428571428571</v>
      </c>
      <c r="W18" s="17">
        <f t="shared" si="10"/>
        <v>0</v>
      </c>
      <c r="X18" s="17">
        <f t="shared" si="10"/>
        <v>0.42857142857142855</v>
      </c>
      <c r="Y18" s="17">
        <f t="shared" si="10"/>
        <v>1.2380952380952381</v>
      </c>
      <c r="Z18" s="17">
        <f t="shared" si="10"/>
        <v>0.42857142857142855</v>
      </c>
      <c r="AA18" s="17">
        <f t="shared" si="10"/>
        <v>0</v>
      </c>
      <c r="AB18" s="17">
        <f t="shared" si="10"/>
        <v>0</v>
      </c>
      <c r="AC18" s="17">
        <f t="shared" si="10"/>
        <v>16</v>
      </c>
      <c r="AD18" s="17">
        <f t="shared" si="10"/>
        <v>0</v>
      </c>
      <c r="AE18" s="31">
        <f t="shared" si="10"/>
        <v>3.9523809523809526</v>
      </c>
      <c r="AF18" s="31">
        <f t="shared" si="10"/>
        <v>19.952380952380953</v>
      </c>
    </row>
    <row r="19" spans="2:32" ht="23.1" customHeight="1" x14ac:dyDescent="0.25">
      <c r="B19" s="23" t="s">
        <v>46</v>
      </c>
      <c r="C19" s="49">
        <f>AVERAGE('31.07 Atiak-Palabek'!C19,'01.08 Atiak-Palabek'!C19,'05.08 Atiak-Palabek'!C19,'06.08 Atiak-Palabek'!C19,'02.08 Atiak-Palabek-24h'!C19,'03.08 Atiak-Palabek-24h'!C19,'04.08 Atiak-Palabek'!C19)</f>
        <v>0</v>
      </c>
      <c r="D19" s="49">
        <f>AVERAGE('31.07 Atiak-Palabek'!D19,'01.08 Atiak-Palabek'!D19,'05.08 Atiak-Palabek'!D19,'06.08 Atiak-Palabek'!D19,'02.08 Atiak-Palabek-24h'!D19,'03.08 Atiak-Palabek-24h'!D19,'04.08 Atiak-Palabek'!D19)</f>
        <v>0</v>
      </c>
      <c r="E19" s="49">
        <f>AVERAGE('31.07 Atiak-Palabek'!E19,'01.08 Atiak-Palabek'!E19,'05.08 Atiak-Palabek'!E19,'06.08 Atiak-Palabek'!E19,'02.08 Atiak-Palabek-24h'!E19,'03.08 Atiak-Palabek-24h'!E19,'04.08 Atiak-Palabek'!E19)</f>
        <v>0</v>
      </c>
      <c r="F19" s="49">
        <f>AVERAGE('31.07 Atiak-Palabek'!F19,'01.08 Atiak-Palabek'!F19,'05.08 Atiak-Palabek'!F19,'06.08 Atiak-Palabek'!F19,'02.08 Atiak-Palabek-24h'!F19,'03.08 Atiak-Palabek-24h'!F19,'04.08 Atiak-Palabek'!F19)</f>
        <v>0.14285714285714285</v>
      </c>
      <c r="G19" s="49">
        <f>AVERAGE('31.07 Atiak-Palabek'!G19,'01.08 Atiak-Palabek'!G19,'05.08 Atiak-Palabek'!G19,'06.08 Atiak-Palabek'!G19,'02.08 Atiak-Palabek-24h'!G19,'03.08 Atiak-Palabek-24h'!G19,'04.08 Atiak-Palabek'!G19)</f>
        <v>0</v>
      </c>
      <c r="H19" s="49">
        <f>AVERAGE('31.07 Atiak-Palabek'!H19,'01.08 Atiak-Palabek'!H19,'05.08 Atiak-Palabek'!H19,'06.08 Atiak-Palabek'!H19,'02.08 Atiak-Palabek-24h'!H19,'03.08 Atiak-Palabek-24h'!H19,'04.08 Atiak-Palabek'!H19)</f>
        <v>0</v>
      </c>
      <c r="I19" s="49">
        <f>AVERAGE('31.07 Atiak-Palabek'!I19,'01.08 Atiak-Palabek'!I19,'05.08 Atiak-Palabek'!I19,'06.08 Atiak-Palabek'!I19,'02.08 Atiak-Palabek-24h'!I19,'03.08 Atiak-Palabek-24h'!I19,'04.08 Atiak-Palabek'!I19)</f>
        <v>0</v>
      </c>
      <c r="J19" s="49">
        <f>AVERAGE('31.07 Atiak-Palabek'!J19,'01.08 Atiak-Palabek'!J19,'05.08 Atiak-Palabek'!J19,'06.08 Atiak-Palabek'!J19,'02.08 Atiak-Palabek-24h'!J19,'03.08 Atiak-Palabek-24h'!J19,'04.08 Atiak-Palabek'!J19)</f>
        <v>0</v>
      </c>
      <c r="K19" s="49">
        <f>AVERAGE('31.07 Atiak-Palabek'!K19,'01.08 Atiak-Palabek'!K19,'05.08 Atiak-Palabek'!K19,'06.08 Atiak-Palabek'!K19,'02.08 Atiak-Palabek-24h'!K19,'03.08 Atiak-Palabek-24h'!K19,'04.08 Atiak-Palabek'!K19)</f>
        <v>0</v>
      </c>
      <c r="L19" s="49">
        <f>AVERAGE('31.07 Atiak-Palabek'!L19,'01.08 Atiak-Palabek'!L19,'05.08 Atiak-Palabek'!L19,'06.08 Atiak-Palabek'!L19,'02.08 Atiak-Palabek-24h'!L19,'03.08 Atiak-Palabek-24h'!L19,'04.08 Atiak-Palabek'!L19)</f>
        <v>0</v>
      </c>
      <c r="M19" s="49">
        <f>AVERAGE('31.07 Atiak-Palabek'!M19,'01.08 Atiak-Palabek'!M19,'05.08 Atiak-Palabek'!M19,'06.08 Atiak-Palabek'!M19,'02.08 Atiak-Palabek-24h'!M19,'03.08 Atiak-Palabek-24h'!M19,'04.08 Atiak-Palabek'!M19)</f>
        <v>6.4285714285714288</v>
      </c>
      <c r="N19" s="49">
        <f>AVERAGE('31.07 Atiak-Palabek'!N19,'01.08 Atiak-Palabek'!N19,'05.08 Atiak-Palabek'!N19,'06.08 Atiak-Palabek'!N19,'02.08 Atiak-Palabek-24h'!N19,'03.08 Atiak-Palabek-24h'!N19,'04.08 Atiak-Palabek'!N19)</f>
        <v>0</v>
      </c>
      <c r="O19" s="15">
        <f t="shared" si="0"/>
        <v>0.14285714285714285</v>
      </c>
      <c r="P19" s="15">
        <f t="shared" si="1"/>
        <v>6.5714285714285721</v>
      </c>
      <c r="R19" s="1" t="s">
        <v>15</v>
      </c>
      <c r="S19" s="17">
        <f t="shared" ref="S19:AF19" si="11">SUM(C46:C49)</f>
        <v>0.2857142857142857</v>
      </c>
      <c r="T19" s="17">
        <f t="shared" si="11"/>
        <v>0</v>
      </c>
      <c r="U19" s="17">
        <f t="shared" si="11"/>
        <v>0.5714285714285714</v>
      </c>
      <c r="V19" s="17">
        <f t="shared" si="11"/>
        <v>0.71428571428571419</v>
      </c>
      <c r="W19" s="17">
        <f t="shared" si="11"/>
        <v>0</v>
      </c>
      <c r="X19" s="17">
        <f t="shared" si="11"/>
        <v>0</v>
      </c>
      <c r="Y19" s="17">
        <f t="shared" si="11"/>
        <v>0.85714285714285698</v>
      </c>
      <c r="Z19" s="17">
        <f t="shared" si="11"/>
        <v>0</v>
      </c>
      <c r="AA19" s="17">
        <f t="shared" si="11"/>
        <v>0.14285714285714285</v>
      </c>
      <c r="AB19" s="17">
        <f t="shared" si="11"/>
        <v>0</v>
      </c>
      <c r="AC19" s="17">
        <f t="shared" si="11"/>
        <v>21.428571428571431</v>
      </c>
      <c r="AD19" s="17">
        <f t="shared" si="11"/>
        <v>0</v>
      </c>
      <c r="AE19" s="31">
        <f t="shared" si="11"/>
        <v>2.5714285714285712</v>
      </c>
      <c r="AF19" s="31">
        <f t="shared" si="11"/>
        <v>24</v>
      </c>
    </row>
    <row r="20" spans="2:32" ht="23.1" customHeight="1" x14ac:dyDescent="0.25">
      <c r="B20" s="23" t="s">
        <v>47</v>
      </c>
      <c r="C20" s="49">
        <f>AVERAGE('31.07 Atiak-Palabek'!C20,'01.08 Atiak-Palabek'!C20,'05.08 Atiak-Palabek'!C20,'06.08 Atiak-Palabek'!C20,'02.08 Atiak-Palabek-24h'!C20,'03.08 Atiak-Palabek-24h'!C20,'04.08 Atiak-Palabek'!C20)</f>
        <v>0</v>
      </c>
      <c r="D20" s="49">
        <f>AVERAGE('31.07 Atiak-Palabek'!D20,'01.08 Atiak-Palabek'!D20,'05.08 Atiak-Palabek'!D20,'06.08 Atiak-Palabek'!D20,'02.08 Atiak-Palabek-24h'!D20,'03.08 Atiak-Palabek-24h'!D20,'04.08 Atiak-Palabek'!D20)</f>
        <v>0</v>
      </c>
      <c r="E20" s="49">
        <f>AVERAGE('31.07 Atiak-Palabek'!E20,'01.08 Atiak-Palabek'!E20,'05.08 Atiak-Palabek'!E20,'06.08 Atiak-Palabek'!E20,'02.08 Atiak-Palabek-24h'!E20,'03.08 Atiak-Palabek-24h'!E20,'04.08 Atiak-Palabek'!E20)</f>
        <v>0.14285714285714285</v>
      </c>
      <c r="F20" s="49">
        <f>AVERAGE('31.07 Atiak-Palabek'!F20,'01.08 Atiak-Palabek'!F20,'05.08 Atiak-Palabek'!F20,'06.08 Atiak-Palabek'!F20,'02.08 Atiak-Palabek-24h'!F20,'03.08 Atiak-Palabek-24h'!F20,'04.08 Atiak-Palabek'!F20)</f>
        <v>0.14285714285714285</v>
      </c>
      <c r="G20" s="49">
        <f>AVERAGE('31.07 Atiak-Palabek'!G20,'01.08 Atiak-Palabek'!G20,'05.08 Atiak-Palabek'!G20,'06.08 Atiak-Palabek'!G20,'02.08 Atiak-Palabek-24h'!G20,'03.08 Atiak-Palabek-24h'!G20,'04.08 Atiak-Palabek'!G20)</f>
        <v>0</v>
      </c>
      <c r="H20" s="49">
        <f>AVERAGE('31.07 Atiak-Palabek'!H20,'01.08 Atiak-Palabek'!H20,'05.08 Atiak-Palabek'!H20,'06.08 Atiak-Palabek'!H20,'02.08 Atiak-Palabek-24h'!H20,'03.08 Atiak-Palabek-24h'!H20,'04.08 Atiak-Palabek'!H20)</f>
        <v>0</v>
      </c>
      <c r="I20" s="49">
        <f>AVERAGE('31.07 Atiak-Palabek'!I20,'01.08 Atiak-Palabek'!I20,'05.08 Atiak-Palabek'!I20,'06.08 Atiak-Palabek'!I20,'02.08 Atiak-Palabek-24h'!I20,'03.08 Atiak-Palabek-24h'!I20,'04.08 Atiak-Palabek'!I20)</f>
        <v>0.7142857142857143</v>
      </c>
      <c r="J20" s="49">
        <f>AVERAGE('31.07 Atiak-Palabek'!J20,'01.08 Atiak-Palabek'!J20,'05.08 Atiak-Palabek'!J20,'06.08 Atiak-Palabek'!J20,'02.08 Atiak-Palabek-24h'!J20,'03.08 Atiak-Palabek-24h'!J20,'04.08 Atiak-Palabek'!J20)</f>
        <v>0</v>
      </c>
      <c r="K20" s="49">
        <f>AVERAGE('31.07 Atiak-Palabek'!K20,'01.08 Atiak-Palabek'!K20,'05.08 Atiak-Palabek'!K20,'06.08 Atiak-Palabek'!K20,'02.08 Atiak-Palabek-24h'!K20,'03.08 Atiak-Palabek-24h'!K20,'04.08 Atiak-Palabek'!K20)</f>
        <v>0</v>
      </c>
      <c r="L20" s="49">
        <f>AVERAGE('31.07 Atiak-Palabek'!L20,'01.08 Atiak-Palabek'!L20,'05.08 Atiak-Palabek'!L20,'06.08 Atiak-Palabek'!L20,'02.08 Atiak-Palabek-24h'!L20,'03.08 Atiak-Palabek-24h'!L20,'04.08 Atiak-Palabek'!L20)</f>
        <v>0</v>
      </c>
      <c r="M20" s="49">
        <f>AVERAGE('31.07 Atiak-Palabek'!M20,'01.08 Atiak-Palabek'!M20,'05.08 Atiak-Palabek'!M20,'06.08 Atiak-Palabek'!M20,'02.08 Atiak-Palabek-24h'!M20,'03.08 Atiak-Palabek-24h'!M20,'04.08 Atiak-Palabek'!M20)</f>
        <v>4.2857142857142856</v>
      </c>
      <c r="N20" s="49">
        <f>AVERAGE('31.07 Atiak-Palabek'!N20,'01.08 Atiak-Palabek'!N20,'05.08 Atiak-Palabek'!N20,'06.08 Atiak-Palabek'!N20,'02.08 Atiak-Palabek-24h'!N20,'03.08 Atiak-Palabek-24h'!N20,'04.08 Atiak-Palabek'!N20)</f>
        <v>0</v>
      </c>
      <c r="O20" s="15">
        <f t="shared" si="0"/>
        <v>1</v>
      </c>
      <c r="P20" s="15">
        <f t="shared" si="1"/>
        <v>5.2857142857142856</v>
      </c>
      <c r="R20" s="1" t="s">
        <v>16</v>
      </c>
      <c r="S20" s="17">
        <f t="shared" ref="S20:AF20" si="12">SUM(C50:C53)</f>
        <v>0.5714285714285714</v>
      </c>
      <c r="T20" s="17">
        <f t="shared" si="12"/>
        <v>0</v>
      </c>
      <c r="U20" s="17">
        <f t="shared" si="12"/>
        <v>2.4285714285714284</v>
      </c>
      <c r="V20" s="17">
        <f t="shared" si="12"/>
        <v>0.5714285714285714</v>
      </c>
      <c r="W20" s="17">
        <f t="shared" si="12"/>
        <v>0</v>
      </c>
      <c r="X20" s="17">
        <f t="shared" si="12"/>
        <v>0</v>
      </c>
      <c r="Y20" s="17">
        <f t="shared" si="12"/>
        <v>0.99999999999999989</v>
      </c>
      <c r="Z20" s="17">
        <f t="shared" si="12"/>
        <v>0.14285714285714285</v>
      </c>
      <c r="AA20" s="17">
        <f t="shared" si="12"/>
        <v>0</v>
      </c>
      <c r="AB20" s="17">
        <f t="shared" si="12"/>
        <v>0</v>
      </c>
      <c r="AC20" s="17">
        <f t="shared" si="12"/>
        <v>19.142857142857142</v>
      </c>
      <c r="AD20" s="17">
        <f t="shared" si="12"/>
        <v>0</v>
      </c>
      <c r="AE20" s="31">
        <f t="shared" si="12"/>
        <v>4.7142857142857135</v>
      </c>
      <c r="AF20" s="31">
        <f t="shared" si="12"/>
        <v>23.857142857142861</v>
      </c>
    </row>
    <row r="21" spans="2:32" ht="23.1" customHeight="1" x14ac:dyDescent="0.25">
      <c r="B21" s="23" t="s">
        <v>48</v>
      </c>
      <c r="C21" s="49">
        <f>AVERAGE('31.07 Atiak-Palabek'!C21,'01.08 Atiak-Palabek'!C21,'05.08 Atiak-Palabek'!C21,'06.08 Atiak-Palabek'!C21,'02.08 Atiak-Palabek-24h'!C21,'03.08 Atiak-Palabek-24h'!C21,'04.08 Atiak-Palabek'!C21)</f>
        <v>0</v>
      </c>
      <c r="D21" s="49">
        <f>AVERAGE('31.07 Atiak-Palabek'!D21,'01.08 Atiak-Palabek'!D21,'05.08 Atiak-Palabek'!D21,'06.08 Atiak-Palabek'!D21,'02.08 Atiak-Palabek-24h'!D21,'03.08 Atiak-Palabek-24h'!D21,'04.08 Atiak-Palabek'!D21)</f>
        <v>0</v>
      </c>
      <c r="E21" s="49">
        <f>AVERAGE('31.07 Atiak-Palabek'!E21,'01.08 Atiak-Palabek'!E21,'05.08 Atiak-Palabek'!E21,'06.08 Atiak-Palabek'!E21,'02.08 Atiak-Palabek-24h'!E21,'03.08 Atiak-Palabek-24h'!E21,'04.08 Atiak-Palabek'!E21)</f>
        <v>0.2857142857142857</v>
      </c>
      <c r="F21" s="49">
        <f>AVERAGE('31.07 Atiak-Palabek'!F21,'01.08 Atiak-Palabek'!F21,'05.08 Atiak-Palabek'!F21,'06.08 Atiak-Palabek'!F21,'02.08 Atiak-Palabek-24h'!F21,'03.08 Atiak-Palabek-24h'!F21,'04.08 Atiak-Palabek'!F21)</f>
        <v>0.14285714285714285</v>
      </c>
      <c r="G21" s="49">
        <f>AVERAGE('31.07 Atiak-Palabek'!G21,'01.08 Atiak-Palabek'!G21,'05.08 Atiak-Palabek'!G21,'06.08 Atiak-Palabek'!G21,'02.08 Atiak-Palabek-24h'!G21,'03.08 Atiak-Palabek-24h'!G21,'04.08 Atiak-Palabek'!G21)</f>
        <v>0</v>
      </c>
      <c r="H21" s="49">
        <f>AVERAGE('31.07 Atiak-Palabek'!H21,'01.08 Atiak-Palabek'!H21,'05.08 Atiak-Palabek'!H21,'06.08 Atiak-Palabek'!H21,'02.08 Atiak-Palabek-24h'!H21,'03.08 Atiak-Palabek-24h'!H21,'04.08 Atiak-Palabek'!H21)</f>
        <v>0.14285714285714285</v>
      </c>
      <c r="I21" s="49">
        <f>AVERAGE('31.07 Atiak-Palabek'!I21,'01.08 Atiak-Palabek'!I21,'05.08 Atiak-Palabek'!I21,'06.08 Atiak-Palabek'!I21,'02.08 Atiak-Palabek-24h'!I21,'03.08 Atiak-Palabek-24h'!I21,'04.08 Atiak-Palabek'!I21)</f>
        <v>0.2857142857142857</v>
      </c>
      <c r="J21" s="49">
        <f>AVERAGE('31.07 Atiak-Palabek'!J21,'01.08 Atiak-Palabek'!J21,'05.08 Atiak-Palabek'!J21,'06.08 Atiak-Palabek'!J21,'02.08 Atiak-Palabek-24h'!J21,'03.08 Atiak-Palabek-24h'!J21,'04.08 Atiak-Palabek'!J21)</f>
        <v>0</v>
      </c>
      <c r="K21" s="49">
        <f>AVERAGE('31.07 Atiak-Palabek'!K21,'01.08 Atiak-Palabek'!K21,'05.08 Atiak-Palabek'!K21,'06.08 Atiak-Palabek'!K21,'02.08 Atiak-Palabek-24h'!K21,'03.08 Atiak-Palabek-24h'!K21,'04.08 Atiak-Palabek'!K21)</f>
        <v>0</v>
      </c>
      <c r="L21" s="49">
        <f>AVERAGE('31.07 Atiak-Palabek'!L21,'01.08 Atiak-Palabek'!L21,'05.08 Atiak-Palabek'!L21,'06.08 Atiak-Palabek'!L21,'02.08 Atiak-Palabek-24h'!L21,'03.08 Atiak-Palabek-24h'!L21,'04.08 Atiak-Palabek'!L21)</f>
        <v>0</v>
      </c>
      <c r="M21" s="49">
        <f>AVERAGE('31.07 Atiak-Palabek'!M21,'01.08 Atiak-Palabek'!M21,'05.08 Atiak-Palabek'!M21,'06.08 Atiak-Palabek'!M21,'02.08 Atiak-Palabek-24h'!M21,'03.08 Atiak-Palabek-24h'!M21,'04.08 Atiak-Palabek'!M21)</f>
        <v>5.4285714285714288</v>
      </c>
      <c r="N21" s="49">
        <f>AVERAGE('31.07 Atiak-Palabek'!N21,'01.08 Atiak-Palabek'!N21,'05.08 Atiak-Palabek'!N21,'06.08 Atiak-Palabek'!N21,'02.08 Atiak-Palabek-24h'!N21,'03.08 Atiak-Palabek-24h'!N21,'04.08 Atiak-Palabek'!N21)</f>
        <v>0</v>
      </c>
      <c r="O21" s="15">
        <f t="shared" si="0"/>
        <v>0.8571428571428571</v>
      </c>
      <c r="P21" s="15">
        <f t="shared" si="1"/>
        <v>6.2857142857142856</v>
      </c>
      <c r="R21" s="1" t="s">
        <v>20</v>
      </c>
      <c r="S21" s="34">
        <f t="shared" ref="S21:AF21" si="13">SUM(C54:C57)</f>
        <v>0.14285714285714285</v>
      </c>
      <c r="T21" s="17">
        <f t="shared" si="13"/>
        <v>0</v>
      </c>
      <c r="U21" s="17">
        <f t="shared" si="13"/>
        <v>0.42857142857142855</v>
      </c>
      <c r="V21" s="17">
        <f t="shared" si="13"/>
        <v>1.4285714285714284</v>
      </c>
      <c r="W21" s="17">
        <f t="shared" si="13"/>
        <v>0.14285714285714285</v>
      </c>
      <c r="X21" s="17">
        <f t="shared" si="13"/>
        <v>0</v>
      </c>
      <c r="Y21" s="17">
        <f t="shared" si="13"/>
        <v>0.5714285714285714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18.428571428571431</v>
      </c>
      <c r="AD21" s="17">
        <f t="shared" si="13"/>
        <v>0</v>
      </c>
      <c r="AE21" s="31">
        <f t="shared" si="13"/>
        <v>2.7142857142857144</v>
      </c>
      <c r="AF21" s="31">
        <f t="shared" si="13"/>
        <v>21.142857142857146</v>
      </c>
    </row>
    <row r="22" spans="2:32" ht="23.1" customHeight="1" x14ac:dyDescent="0.25">
      <c r="B22" s="23" t="s">
        <v>49</v>
      </c>
      <c r="C22" s="49">
        <f>AVERAGE('31.07 Atiak-Palabek'!C22,'01.08 Atiak-Palabek'!C22,'05.08 Atiak-Palabek'!C22,'06.08 Atiak-Palabek'!C22,'02.08 Atiak-Palabek-24h'!C22,'03.08 Atiak-Palabek-24h'!C22,'04.08 Atiak-Palabek'!C22)</f>
        <v>0</v>
      </c>
      <c r="D22" s="49">
        <f>AVERAGE('31.07 Atiak-Palabek'!D22,'01.08 Atiak-Palabek'!D22,'05.08 Atiak-Palabek'!D22,'06.08 Atiak-Palabek'!D22,'02.08 Atiak-Palabek-24h'!D22,'03.08 Atiak-Palabek-24h'!D22,'04.08 Atiak-Palabek'!D22)</f>
        <v>0</v>
      </c>
      <c r="E22" s="49">
        <f>AVERAGE('31.07 Atiak-Palabek'!E22,'01.08 Atiak-Palabek'!E22,'05.08 Atiak-Palabek'!E22,'06.08 Atiak-Palabek'!E22,'02.08 Atiak-Palabek-24h'!E22,'03.08 Atiak-Palabek-24h'!E22,'04.08 Atiak-Palabek'!E22)</f>
        <v>0.42857142857142855</v>
      </c>
      <c r="F22" s="49">
        <f>AVERAGE('31.07 Atiak-Palabek'!F22,'01.08 Atiak-Palabek'!F22,'05.08 Atiak-Palabek'!F22,'06.08 Atiak-Palabek'!F22,'02.08 Atiak-Palabek-24h'!F22,'03.08 Atiak-Palabek-24h'!F22,'04.08 Atiak-Palabek'!F22)</f>
        <v>0.2857142857142857</v>
      </c>
      <c r="G22" s="49">
        <f>AVERAGE('31.07 Atiak-Palabek'!G22,'01.08 Atiak-Palabek'!G22,'05.08 Atiak-Palabek'!G22,'06.08 Atiak-Palabek'!G22,'02.08 Atiak-Palabek-24h'!G22,'03.08 Atiak-Palabek-24h'!G22,'04.08 Atiak-Palabek'!G22)</f>
        <v>0</v>
      </c>
      <c r="H22" s="49">
        <f>AVERAGE('31.07 Atiak-Palabek'!H22,'01.08 Atiak-Palabek'!H22,'05.08 Atiak-Palabek'!H22,'06.08 Atiak-Palabek'!H22,'02.08 Atiak-Palabek-24h'!H22,'03.08 Atiak-Palabek-24h'!H22,'04.08 Atiak-Palabek'!H22)</f>
        <v>0</v>
      </c>
      <c r="I22" s="49">
        <f>AVERAGE('31.07 Atiak-Palabek'!I22,'01.08 Atiak-Palabek'!I22,'05.08 Atiak-Palabek'!I22,'06.08 Atiak-Palabek'!I22,'02.08 Atiak-Palabek-24h'!I22,'03.08 Atiak-Palabek-24h'!I22,'04.08 Atiak-Palabek'!I22)</f>
        <v>0.2857142857142857</v>
      </c>
      <c r="J22" s="49">
        <f>AVERAGE('31.07 Atiak-Palabek'!J22,'01.08 Atiak-Palabek'!J22,'05.08 Atiak-Palabek'!J22,'06.08 Atiak-Palabek'!J22,'02.08 Atiak-Palabek-24h'!J22,'03.08 Atiak-Palabek-24h'!J22,'04.08 Atiak-Palabek'!J22)</f>
        <v>0</v>
      </c>
      <c r="K22" s="49">
        <f>AVERAGE('31.07 Atiak-Palabek'!K22,'01.08 Atiak-Palabek'!K22,'05.08 Atiak-Palabek'!K22,'06.08 Atiak-Palabek'!K22,'02.08 Atiak-Palabek-24h'!K22,'03.08 Atiak-Palabek-24h'!K22,'04.08 Atiak-Palabek'!K22)</f>
        <v>0</v>
      </c>
      <c r="L22" s="49">
        <f>AVERAGE('31.07 Atiak-Palabek'!L22,'01.08 Atiak-Palabek'!L22,'05.08 Atiak-Palabek'!L22,'06.08 Atiak-Palabek'!L22,'02.08 Atiak-Palabek-24h'!L22,'03.08 Atiak-Palabek-24h'!L22,'04.08 Atiak-Palabek'!L22)</f>
        <v>0</v>
      </c>
      <c r="M22" s="49">
        <f>AVERAGE('31.07 Atiak-Palabek'!M22,'01.08 Atiak-Palabek'!M22,'05.08 Atiak-Palabek'!M22,'06.08 Atiak-Palabek'!M22,'02.08 Atiak-Palabek-24h'!M22,'03.08 Atiak-Palabek-24h'!M22,'04.08 Atiak-Palabek'!M22)</f>
        <v>4.8571428571428568</v>
      </c>
      <c r="N22" s="49">
        <f>AVERAGE('31.07 Atiak-Palabek'!N22,'01.08 Atiak-Palabek'!N22,'05.08 Atiak-Palabek'!N22,'06.08 Atiak-Palabek'!N22,'02.08 Atiak-Palabek-24h'!N22,'03.08 Atiak-Palabek-24h'!N22,'04.08 Atiak-Palabek'!N22)</f>
        <v>0</v>
      </c>
      <c r="O22" s="15">
        <f t="shared" si="0"/>
        <v>0.99999999999999989</v>
      </c>
      <c r="P22" s="15">
        <f t="shared" si="1"/>
        <v>5.8571428571428568</v>
      </c>
      <c r="R22" s="1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1.5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22</v>
      </c>
      <c r="AD22" s="34">
        <f t="shared" si="14"/>
        <v>0</v>
      </c>
      <c r="AE22" s="31">
        <f t="shared" si="14"/>
        <v>3.5</v>
      </c>
      <c r="AF22" s="31">
        <f t="shared" si="14"/>
        <v>25.5</v>
      </c>
    </row>
    <row r="23" spans="2:32" ht="23.1" customHeight="1" x14ac:dyDescent="0.25">
      <c r="B23" s="23" t="s">
        <v>50</v>
      </c>
      <c r="C23" s="49">
        <f>AVERAGE('31.07 Atiak-Palabek'!C23,'01.08 Atiak-Palabek'!C23,'05.08 Atiak-Palabek'!C23,'06.08 Atiak-Palabek'!C23,'02.08 Atiak-Palabek-24h'!C23,'03.08 Atiak-Palabek-24h'!C23,'04.08 Atiak-Palabek'!C23)</f>
        <v>0.14285714285714285</v>
      </c>
      <c r="D23" s="49">
        <f>AVERAGE('31.07 Atiak-Palabek'!D23,'01.08 Atiak-Palabek'!D23,'05.08 Atiak-Palabek'!D23,'06.08 Atiak-Palabek'!D23,'02.08 Atiak-Palabek-24h'!D23,'03.08 Atiak-Palabek-24h'!D23,'04.08 Atiak-Palabek'!D23)</f>
        <v>0</v>
      </c>
      <c r="E23" s="49">
        <f>AVERAGE('31.07 Atiak-Palabek'!E23,'01.08 Atiak-Palabek'!E23,'05.08 Atiak-Palabek'!E23,'06.08 Atiak-Palabek'!E23,'02.08 Atiak-Palabek-24h'!E23,'03.08 Atiak-Palabek-24h'!E23,'04.08 Atiak-Palabek'!E23)</f>
        <v>0.14285714285714285</v>
      </c>
      <c r="F23" s="49">
        <f>AVERAGE('31.07 Atiak-Palabek'!F23,'01.08 Atiak-Palabek'!F23,'05.08 Atiak-Palabek'!F23,'06.08 Atiak-Palabek'!F23,'02.08 Atiak-Palabek-24h'!F23,'03.08 Atiak-Palabek-24h'!F23,'04.08 Atiak-Palabek'!F23)</f>
        <v>0</v>
      </c>
      <c r="G23" s="49">
        <f>AVERAGE('31.07 Atiak-Palabek'!G23,'01.08 Atiak-Palabek'!G23,'05.08 Atiak-Palabek'!G23,'06.08 Atiak-Palabek'!G23,'02.08 Atiak-Palabek-24h'!G23,'03.08 Atiak-Palabek-24h'!G23,'04.08 Atiak-Palabek'!G23)</f>
        <v>0</v>
      </c>
      <c r="H23" s="49">
        <f>AVERAGE('31.07 Atiak-Palabek'!H23,'01.08 Atiak-Palabek'!H23,'05.08 Atiak-Palabek'!H23,'06.08 Atiak-Palabek'!H23,'02.08 Atiak-Palabek-24h'!H23,'03.08 Atiak-Palabek-24h'!H23,'04.08 Atiak-Palabek'!H23)</f>
        <v>0</v>
      </c>
      <c r="I23" s="49">
        <f>AVERAGE('31.07 Atiak-Palabek'!I23,'01.08 Atiak-Palabek'!I23,'05.08 Atiak-Palabek'!I23,'06.08 Atiak-Palabek'!I23,'02.08 Atiak-Palabek-24h'!I23,'03.08 Atiak-Palabek-24h'!I23,'04.08 Atiak-Palabek'!I23)</f>
        <v>0.2857142857142857</v>
      </c>
      <c r="J23" s="49">
        <f>AVERAGE('31.07 Atiak-Palabek'!J23,'01.08 Atiak-Palabek'!J23,'05.08 Atiak-Palabek'!J23,'06.08 Atiak-Palabek'!J23,'02.08 Atiak-Palabek-24h'!J23,'03.08 Atiak-Palabek-24h'!J23,'04.08 Atiak-Palabek'!J23)</f>
        <v>0</v>
      </c>
      <c r="K23" s="49">
        <f>AVERAGE('31.07 Atiak-Palabek'!K23,'01.08 Atiak-Palabek'!K23,'05.08 Atiak-Palabek'!K23,'06.08 Atiak-Palabek'!K23,'02.08 Atiak-Palabek-24h'!K23,'03.08 Atiak-Palabek-24h'!K23,'04.08 Atiak-Palabek'!K23)</f>
        <v>0</v>
      </c>
      <c r="L23" s="49">
        <f>AVERAGE('31.07 Atiak-Palabek'!L23,'01.08 Atiak-Palabek'!L23,'05.08 Atiak-Palabek'!L23,'06.08 Atiak-Palabek'!L23,'02.08 Atiak-Palabek-24h'!L23,'03.08 Atiak-Palabek-24h'!L23,'04.08 Atiak-Palabek'!L23)</f>
        <v>0</v>
      </c>
      <c r="M23" s="49">
        <f>AVERAGE('31.07 Atiak-Palabek'!M23,'01.08 Atiak-Palabek'!M23,'05.08 Atiak-Palabek'!M23,'06.08 Atiak-Palabek'!M23,'02.08 Atiak-Palabek-24h'!M23,'03.08 Atiak-Palabek-24h'!M23,'04.08 Atiak-Palabek'!M23)</f>
        <v>4.5714285714285712</v>
      </c>
      <c r="N23" s="49">
        <f>AVERAGE('31.07 Atiak-Palabek'!N23,'01.08 Atiak-Palabek'!N23,'05.08 Atiak-Palabek'!N23,'06.08 Atiak-Palabek'!N23,'02.08 Atiak-Palabek-24h'!N23,'03.08 Atiak-Palabek-24h'!N23,'04.08 Atiak-Palabek'!N23)</f>
        <v>0</v>
      </c>
      <c r="O23" s="15">
        <f t="shared" si="0"/>
        <v>0.5714285714285714</v>
      </c>
      <c r="P23" s="15">
        <f t="shared" si="1"/>
        <v>5.1428571428571423</v>
      </c>
      <c r="R23" s="1" t="s">
        <v>147</v>
      </c>
      <c r="S23" s="34">
        <f>SUM(C62:C65)</f>
        <v>0.5</v>
      </c>
      <c r="T23" s="34">
        <f t="shared" ref="T23:AF23" si="15">SUM(D62:D65)</f>
        <v>0</v>
      </c>
      <c r="U23" s="34">
        <f t="shared" si="15"/>
        <v>0.5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1.5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23</v>
      </c>
      <c r="AD23" s="34">
        <f t="shared" si="15"/>
        <v>0</v>
      </c>
      <c r="AE23" s="31">
        <f t="shared" si="15"/>
        <v>3</v>
      </c>
      <c r="AF23" s="31">
        <f t="shared" si="15"/>
        <v>26</v>
      </c>
    </row>
    <row r="24" spans="2:32" ht="23.1" customHeight="1" x14ac:dyDescent="0.25">
      <c r="B24" s="23" t="s">
        <v>51</v>
      </c>
      <c r="C24" s="49">
        <f>AVERAGE('31.07 Atiak-Palabek'!C24,'01.08 Atiak-Palabek'!C24,'05.08 Atiak-Palabek'!C24,'06.08 Atiak-Palabek'!C24,'02.08 Atiak-Palabek-24h'!C24,'03.08 Atiak-Palabek-24h'!C24,'04.08 Atiak-Palabek'!C24)</f>
        <v>0</v>
      </c>
      <c r="D24" s="49">
        <f>AVERAGE('31.07 Atiak-Palabek'!D24,'01.08 Atiak-Palabek'!D24,'05.08 Atiak-Palabek'!D24,'06.08 Atiak-Palabek'!D24,'02.08 Atiak-Palabek-24h'!D24,'03.08 Atiak-Palabek-24h'!D24,'04.08 Atiak-Palabek'!D24)</f>
        <v>0</v>
      </c>
      <c r="E24" s="49">
        <f>AVERAGE('31.07 Atiak-Palabek'!E24,'01.08 Atiak-Palabek'!E24,'05.08 Atiak-Palabek'!E24,'06.08 Atiak-Palabek'!E24,'02.08 Atiak-Palabek-24h'!E24,'03.08 Atiak-Palabek-24h'!E24,'04.08 Atiak-Palabek'!E24)</f>
        <v>0.42857142857142855</v>
      </c>
      <c r="F24" s="49">
        <f>AVERAGE('31.07 Atiak-Palabek'!F24,'01.08 Atiak-Palabek'!F24,'05.08 Atiak-Palabek'!F24,'06.08 Atiak-Palabek'!F24,'02.08 Atiak-Palabek-24h'!F24,'03.08 Atiak-Palabek-24h'!F24,'04.08 Atiak-Palabek'!F24)</f>
        <v>0</v>
      </c>
      <c r="G24" s="49">
        <f>AVERAGE('31.07 Atiak-Palabek'!G24,'01.08 Atiak-Palabek'!G24,'05.08 Atiak-Palabek'!G24,'06.08 Atiak-Palabek'!G24,'02.08 Atiak-Palabek-24h'!G24,'03.08 Atiak-Palabek-24h'!G24,'04.08 Atiak-Palabek'!G24)</f>
        <v>0</v>
      </c>
      <c r="H24" s="49">
        <f>AVERAGE('31.07 Atiak-Palabek'!H24,'01.08 Atiak-Palabek'!H24,'05.08 Atiak-Palabek'!H24,'06.08 Atiak-Palabek'!H24,'02.08 Atiak-Palabek-24h'!H24,'03.08 Atiak-Palabek-24h'!H24,'04.08 Atiak-Palabek'!H24)</f>
        <v>0</v>
      </c>
      <c r="I24" s="49">
        <f>AVERAGE('31.07 Atiak-Palabek'!I24,'01.08 Atiak-Palabek'!I24,'05.08 Atiak-Palabek'!I24,'06.08 Atiak-Palabek'!I24,'02.08 Atiak-Palabek-24h'!I24,'03.08 Atiak-Palabek-24h'!I24,'04.08 Atiak-Palabek'!I24)</f>
        <v>1</v>
      </c>
      <c r="J24" s="49">
        <f>AVERAGE('31.07 Atiak-Palabek'!J24,'01.08 Atiak-Palabek'!J24,'05.08 Atiak-Palabek'!J24,'06.08 Atiak-Palabek'!J24,'02.08 Atiak-Palabek-24h'!J24,'03.08 Atiak-Palabek-24h'!J24,'04.08 Atiak-Palabek'!J24)</f>
        <v>0</v>
      </c>
      <c r="K24" s="49">
        <f>AVERAGE('31.07 Atiak-Palabek'!K24,'01.08 Atiak-Palabek'!K24,'05.08 Atiak-Palabek'!K24,'06.08 Atiak-Palabek'!K24,'02.08 Atiak-Palabek-24h'!K24,'03.08 Atiak-Palabek-24h'!K24,'04.08 Atiak-Palabek'!K24)</f>
        <v>0</v>
      </c>
      <c r="L24" s="49">
        <f>AVERAGE('31.07 Atiak-Palabek'!L24,'01.08 Atiak-Palabek'!L24,'05.08 Atiak-Palabek'!L24,'06.08 Atiak-Palabek'!L24,'02.08 Atiak-Palabek-24h'!L24,'03.08 Atiak-Palabek-24h'!L24,'04.08 Atiak-Palabek'!L24)</f>
        <v>0</v>
      </c>
      <c r="M24" s="49">
        <f>AVERAGE('31.07 Atiak-Palabek'!M24,'01.08 Atiak-Palabek'!M24,'05.08 Atiak-Palabek'!M24,'06.08 Atiak-Palabek'!M24,'02.08 Atiak-Palabek-24h'!M24,'03.08 Atiak-Palabek-24h'!M24,'04.08 Atiak-Palabek'!M24)</f>
        <v>3.5714285714285716</v>
      </c>
      <c r="N24" s="49">
        <f>AVERAGE('31.07 Atiak-Palabek'!N24,'01.08 Atiak-Palabek'!N24,'05.08 Atiak-Palabek'!N24,'06.08 Atiak-Palabek'!N24,'02.08 Atiak-Palabek-24h'!N24,'03.08 Atiak-Palabek-24h'!N24,'04.08 Atiak-Palabek'!N24)</f>
        <v>0</v>
      </c>
      <c r="O24" s="15">
        <f t="shared" si="0"/>
        <v>1.4285714285714286</v>
      </c>
      <c r="P24" s="15">
        <f t="shared" si="1"/>
        <v>5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14</v>
      </c>
      <c r="AD24" s="34">
        <f t="shared" si="16"/>
        <v>0</v>
      </c>
      <c r="AE24" s="31">
        <f t="shared" si="16"/>
        <v>0</v>
      </c>
      <c r="AF24" s="31">
        <f t="shared" si="16"/>
        <v>14</v>
      </c>
    </row>
    <row r="25" spans="2:32" ht="23.1" customHeight="1" x14ac:dyDescent="0.25">
      <c r="B25" s="23" t="s">
        <v>52</v>
      </c>
      <c r="C25" s="49">
        <f>AVERAGE('31.07 Atiak-Palabek'!C25,'01.08 Atiak-Palabek'!C25,'05.08 Atiak-Palabek'!C25,'06.08 Atiak-Palabek'!C25,'02.08 Atiak-Palabek-24h'!C25,'03.08 Atiak-Palabek-24h'!C25,'04.08 Atiak-Palabek'!C25)</f>
        <v>0</v>
      </c>
      <c r="D25" s="49">
        <f>AVERAGE('31.07 Atiak-Palabek'!D25,'01.08 Atiak-Palabek'!D25,'05.08 Atiak-Palabek'!D25,'06.08 Atiak-Palabek'!D25,'02.08 Atiak-Palabek-24h'!D25,'03.08 Atiak-Palabek-24h'!D25,'04.08 Atiak-Palabek'!D25)</f>
        <v>0</v>
      </c>
      <c r="E25" s="49">
        <f>AVERAGE('31.07 Atiak-Palabek'!E25,'01.08 Atiak-Palabek'!E25,'05.08 Atiak-Palabek'!E25,'06.08 Atiak-Palabek'!E25,'02.08 Atiak-Palabek-24h'!E25,'03.08 Atiak-Palabek-24h'!E25,'04.08 Atiak-Palabek'!E25)</f>
        <v>0.42857142857142855</v>
      </c>
      <c r="F25" s="49">
        <f>AVERAGE('31.07 Atiak-Palabek'!F25,'01.08 Atiak-Palabek'!F25,'05.08 Atiak-Palabek'!F25,'06.08 Atiak-Palabek'!F25,'02.08 Atiak-Palabek-24h'!F25,'03.08 Atiak-Palabek-24h'!F25,'04.08 Atiak-Palabek'!F25)</f>
        <v>0</v>
      </c>
      <c r="G25" s="49">
        <f>AVERAGE('31.07 Atiak-Palabek'!G25,'01.08 Atiak-Palabek'!G25,'05.08 Atiak-Palabek'!G25,'06.08 Atiak-Palabek'!G25,'02.08 Atiak-Palabek-24h'!G25,'03.08 Atiak-Palabek-24h'!G25,'04.08 Atiak-Palabek'!G25)</f>
        <v>0</v>
      </c>
      <c r="H25" s="49">
        <f>AVERAGE('31.07 Atiak-Palabek'!H25,'01.08 Atiak-Palabek'!H25,'05.08 Atiak-Palabek'!H25,'06.08 Atiak-Palabek'!H25,'02.08 Atiak-Palabek-24h'!H25,'03.08 Atiak-Palabek-24h'!H25,'04.08 Atiak-Palabek'!H25)</f>
        <v>0</v>
      </c>
      <c r="I25" s="49">
        <f>AVERAGE('31.07 Atiak-Palabek'!I25,'01.08 Atiak-Palabek'!I25,'05.08 Atiak-Palabek'!I25,'06.08 Atiak-Palabek'!I25,'02.08 Atiak-Palabek-24h'!I25,'03.08 Atiak-Palabek-24h'!I25,'04.08 Atiak-Palabek'!I25)</f>
        <v>0.2857142857142857</v>
      </c>
      <c r="J25" s="49">
        <f>AVERAGE('31.07 Atiak-Palabek'!J25,'01.08 Atiak-Palabek'!J25,'05.08 Atiak-Palabek'!J25,'06.08 Atiak-Palabek'!J25,'02.08 Atiak-Palabek-24h'!J25,'03.08 Atiak-Palabek-24h'!J25,'04.08 Atiak-Palabek'!J25)</f>
        <v>0</v>
      </c>
      <c r="K25" s="49">
        <f>AVERAGE('31.07 Atiak-Palabek'!K25,'01.08 Atiak-Palabek'!K25,'05.08 Atiak-Palabek'!K25,'06.08 Atiak-Palabek'!K25,'02.08 Atiak-Palabek-24h'!K25,'03.08 Atiak-Palabek-24h'!K25,'04.08 Atiak-Palabek'!K25)</f>
        <v>0</v>
      </c>
      <c r="L25" s="49">
        <f>AVERAGE('31.07 Atiak-Palabek'!L25,'01.08 Atiak-Palabek'!L25,'05.08 Atiak-Palabek'!L25,'06.08 Atiak-Palabek'!L25,'02.08 Atiak-Palabek-24h'!L25,'03.08 Atiak-Palabek-24h'!L25,'04.08 Atiak-Palabek'!L25)</f>
        <v>0</v>
      </c>
      <c r="M25" s="49">
        <f>AVERAGE('31.07 Atiak-Palabek'!M25,'01.08 Atiak-Palabek'!M25,'05.08 Atiak-Palabek'!M25,'06.08 Atiak-Palabek'!M25,'02.08 Atiak-Palabek-24h'!M25,'03.08 Atiak-Palabek-24h'!M25,'04.08 Atiak-Palabek'!M25)</f>
        <v>5.4285714285714288</v>
      </c>
      <c r="N25" s="49">
        <f>AVERAGE('31.07 Atiak-Palabek'!N25,'01.08 Atiak-Palabek'!N25,'05.08 Atiak-Palabek'!N25,'06.08 Atiak-Palabek'!N25,'02.08 Atiak-Palabek-24h'!N25,'03.08 Atiak-Palabek-24h'!N25,'04.08 Atiak-Palabek'!N25)</f>
        <v>0</v>
      </c>
      <c r="O25" s="15">
        <f t="shared" si="0"/>
        <v>0.71428571428571419</v>
      </c>
      <c r="P25" s="15">
        <f t="shared" si="1"/>
        <v>6.1428571428571432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0.5</v>
      </c>
      <c r="W25" s="34">
        <f t="shared" si="17"/>
        <v>0</v>
      </c>
      <c r="X25" s="34">
        <f t="shared" si="17"/>
        <v>0.5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9.5</v>
      </c>
      <c r="AD25" s="34">
        <f t="shared" si="17"/>
        <v>0</v>
      </c>
      <c r="AE25" s="31">
        <f t="shared" si="17"/>
        <v>2</v>
      </c>
      <c r="AF25" s="31">
        <f t="shared" si="17"/>
        <v>11.5</v>
      </c>
    </row>
    <row r="26" spans="2:32" ht="23.1" customHeight="1" x14ac:dyDescent="0.25">
      <c r="B26" s="23" t="s">
        <v>53</v>
      </c>
      <c r="C26" s="49">
        <f>AVERAGE('31.07 Atiak-Palabek'!C26,'01.08 Atiak-Palabek'!C26,'05.08 Atiak-Palabek'!C26,'06.08 Atiak-Palabek'!C26,'02.08 Atiak-Palabek-24h'!C26,'03.08 Atiak-Palabek-24h'!C26,'04.08 Atiak-Palabek'!C26)</f>
        <v>0</v>
      </c>
      <c r="D26" s="49">
        <f>AVERAGE('31.07 Atiak-Palabek'!D26,'01.08 Atiak-Palabek'!D26,'05.08 Atiak-Palabek'!D26,'06.08 Atiak-Palabek'!D26,'02.08 Atiak-Palabek-24h'!D26,'03.08 Atiak-Palabek-24h'!D26,'04.08 Atiak-Palabek'!D26)</f>
        <v>0</v>
      </c>
      <c r="E26" s="49">
        <f>AVERAGE('31.07 Atiak-Palabek'!E26,'01.08 Atiak-Palabek'!E26,'05.08 Atiak-Palabek'!E26,'06.08 Atiak-Palabek'!E26,'02.08 Atiak-Palabek-24h'!E26,'03.08 Atiak-Palabek-24h'!E26,'04.08 Atiak-Palabek'!E26)</f>
        <v>0.5714285714285714</v>
      </c>
      <c r="F26" s="49">
        <f>AVERAGE('31.07 Atiak-Palabek'!F26,'01.08 Atiak-Palabek'!F26,'05.08 Atiak-Palabek'!F26,'06.08 Atiak-Palabek'!F26,'02.08 Atiak-Palabek-24h'!F26,'03.08 Atiak-Palabek-24h'!F26,'04.08 Atiak-Palabek'!F26)</f>
        <v>0.2857142857142857</v>
      </c>
      <c r="G26" s="49">
        <f>AVERAGE('31.07 Atiak-Palabek'!G26,'01.08 Atiak-Palabek'!G26,'05.08 Atiak-Palabek'!G26,'06.08 Atiak-Palabek'!G26,'02.08 Atiak-Palabek-24h'!G26,'03.08 Atiak-Palabek-24h'!G26,'04.08 Atiak-Palabek'!G26)</f>
        <v>0</v>
      </c>
      <c r="H26" s="49">
        <f>AVERAGE('31.07 Atiak-Palabek'!H26,'01.08 Atiak-Palabek'!H26,'05.08 Atiak-Palabek'!H26,'06.08 Atiak-Palabek'!H26,'02.08 Atiak-Palabek-24h'!H26,'03.08 Atiak-Palabek-24h'!H26,'04.08 Atiak-Palabek'!H26)</f>
        <v>0</v>
      </c>
      <c r="I26" s="49">
        <f>AVERAGE('31.07 Atiak-Palabek'!I26,'01.08 Atiak-Palabek'!I26,'05.08 Atiak-Palabek'!I26,'06.08 Atiak-Palabek'!I26,'02.08 Atiak-Palabek-24h'!I26,'03.08 Atiak-Palabek-24h'!I26,'04.08 Atiak-Palabek'!I26)</f>
        <v>0.5714285714285714</v>
      </c>
      <c r="J26" s="49">
        <f>AVERAGE('31.07 Atiak-Palabek'!J26,'01.08 Atiak-Palabek'!J26,'05.08 Atiak-Palabek'!J26,'06.08 Atiak-Palabek'!J26,'02.08 Atiak-Palabek-24h'!J26,'03.08 Atiak-Palabek-24h'!J26,'04.08 Atiak-Palabek'!J26)</f>
        <v>0</v>
      </c>
      <c r="K26" s="49">
        <f>AVERAGE('31.07 Atiak-Palabek'!K26,'01.08 Atiak-Palabek'!K26,'05.08 Atiak-Palabek'!K26,'06.08 Atiak-Palabek'!K26,'02.08 Atiak-Palabek-24h'!K26,'03.08 Atiak-Palabek-24h'!K26,'04.08 Atiak-Palabek'!K26)</f>
        <v>0</v>
      </c>
      <c r="L26" s="49">
        <f>AVERAGE('31.07 Atiak-Palabek'!L26,'01.08 Atiak-Palabek'!L26,'05.08 Atiak-Palabek'!L26,'06.08 Atiak-Palabek'!L26,'02.08 Atiak-Palabek-24h'!L26,'03.08 Atiak-Palabek-24h'!L26,'04.08 Atiak-Palabek'!L26)</f>
        <v>0</v>
      </c>
      <c r="M26" s="49">
        <f>AVERAGE('31.07 Atiak-Palabek'!M26,'01.08 Atiak-Palabek'!M26,'05.08 Atiak-Palabek'!M26,'06.08 Atiak-Palabek'!M26,'02.08 Atiak-Palabek-24h'!M26,'03.08 Atiak-Palabek-24h'!M26,'04.08 Atiak-Palabek'!M26)</f>
        <v>4.7142857142857144</v>
      </c>
      <c r="N26" s="49">
        <f>AVERAGE('31.07 Atiak-Palabek'!N26,'01.08 Atiak-Palabek'!N26,'05.08 Atiak-Palabek'!N26,'06.08 Atiak-Palabek'!N26,'02.08 Atiak-Palabek-24h'!N26,'03.08 Atiak-Palabek-24h'!N26,'04.08 Atiak-Palabek'!N26)</f>
        <v>0</v>
      </c>
      <c r="O26" s="15">
        <f t="shared" si="0"/>
        <v>1.4285714285714284</v>
      </c>
      <c r="P26" s="15">
        <f t="shared" si="1"/>
        <v>6.1428571428571423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2.5</v>
      </c>
      <c r="AF26" s="31">
        <f t="shared" si="18"/>
        <v>8.5</v>
      </c>
    </row>
    <row r="27" spans="2:32" ht="23.1" customHeight="1" x14ac:dyDescent="0.25">
      <c r="B27" s="23" t="s">
        <v>54</v>
      </c>
      <c r="C27" s="49">
        <f>AVERAGE('31.07 Atiak-Palabek'!C27,'01.08 Atiak-Palabek'!C27,'05.08 Atiak-Palabek'!C27,'06.08 Atiak-Palabek'!C27,'02.08 Atiak-Palabek-24h'!C27,'03.08 Atiak-Palabek-24h'!C27,'04.08 Atiak-Palabek'!C27)</f>
        <v>0</v>
      </c>
      <c r="D27" s="49">
        <f>AVERAGE('31.07 Atiak-Palabek'!D27,'01.08 Atiak-Palabek'!D27,'05.08 Atiak-Palabek'!D27,'06.08 Atiak-Palabek'!D27,'02.08 Atiak-Palabek-24h'!D27,'03.08 Atiak-Palabek-24h'!D27,'04.08 Atiak-Palabek'!D27)</f>
        <v>0</v>
      </c>
      <c r="E27" s="49">
        <f>AVERAGE('31.07 Atiak-Palabek'!E27,'01.08 Atiak-Palabek'!E27,'05.08 Atiak-Palabek'!E27,'06.08 Atiak-Palabek'!E27,'02.08 Atiak-Palabek-24h'!E27,'03.08 Atiak-Palabek-24h'!E27,'04.08 Atiak-Palabek'!E27)</f>
        <v>0.42857142857142855</v>
      </c>
      <c r="F27" s="49">
        <f>AVERAGE('31.07 Atiak-Palabek'!F27,'01.08 Atiak-Palabek'!F27,'05.08 Atiak-Palabek'!F27,'06.08 Atiak-Palabek'!F27,'02.08 Atiak-Palabek-24h'!F27,'03.08 Atiak-Palabek-24h'!F27,'04.08 Atiak-Palabek'!F27)</f>
        <v>0.42857142857142855</v>
      </c>
      <c r="G27" s="49">
        <f>AVERAGE('31.07 Atiak-Palabek'!G27,'01.08 Atiak-Palabek'!G27,'05.08 Atiak-Palabek'!G27,'06.08 Atiak-Palabek'!G27,'02.08 Atiak-Palabek-24h'!G27,'03.08 Atiak-Palabek-24h'!G27,'04.08 Atiak-Palabek'!G27)</f>
        <v>0</v>
      </c>
      <c r="H27" s="49">
        <f>AVERAGE('31.07 Atiak-Palabek'!H27,'01.08 Atiak-Palabek'!H27,'05.08 Atiak-Palabek'!H27,'06.08 Atiak-Palabek'!H27,'02.08 Atiak-Palabek-24h'!H27,'03.08 Atiak-Palabek-24h'!H27,'04.08 Atiak-Palabek'!H27)</f>
        <v>0</v>
      </c>
      <c r="I27" s="49">
        <f>AVERAGE('31.07 Atiak-Palabek'!I27,'01.08 Atiak-Palabek'!I27,'05.08 Atiak-Palabek'!I27,'06.08 Atiak-Palabek'!I27,'02.08 Atiak-Palabek-24h'!I27,'03.08 Atiak-Palabek-24h'!I27,'04.08 Atiak-Palabek'!I27)</f>
        <v>0.2857142857142857</v>
      </c>
      <c r="J27" s="49">
        <f>AVERAGE('31.07 Atiak-Palabek'!J27,'01.08 Atiak-Palabek'!J27,'05.08 Atiak-Palabek'!J27,'06.08 Atiak-Palabek'!J27,'02.08 Atiak-Palabek-24h'!J27,'03.08 Atiak-Palabek-24h'!J27,'04.08 Atiak-Palabek'!J27)</f>
        <v>0</v>
      </c>
      <c r="K27" s="49">
        <f>AVERAGE('31.07 Atiak-Palabek'!K27,'01.08 Atiak-Palabek'!K27,'05.08 Atiak-Palabek'!K27,'06.08 Atiak-Palabek'!K27,'02.08 Atiak-Palabek-24h'!K27,'03.08 Atiak-Palabek-24h'!K27,'04.08 Atiak-Palabek'!K27)</f>
        <v>0</v>
      </c>
      <c r="L27" s="49">
        <f>AVERAGE('31.07 Atiak-Palabek'!L27,'01.08 Atiak-Palabek'!L27,'05.08 Atiak-Palabek'!L27,'06.08 Atiak-Palabek'!L27,'02.08 Atiak-Palabek-24h'!L27,'03.08 Atiak-Palabek-24h'!L27,'04.08 Atiak-Palabek'!L27)</f>
        <v>0</v>
      </c>
      <c r="M27" s="49">
        <f>AVERAGE('31.07 Atiak-Palabek'!M27,'01.08 Atiak-Palabek'!M27,'05.08 Atiak-Palabek'!M27,'06.08 Atiak-Palabek'!M27,'02.08 Atiak-Palabek-24h'!M27,'03.08 Atiak-Palabek-24h'!M27,'04.08 Atiak-Palabek'!M27)</f>
        <v>5.5714285714285712</v>
      </c>
      <c r="N27" s="49">
        <f>AVERAGE('31.07 Atiak-Palabek'!N27,'01.08 Atiak-Palabek'!N27,'05.08 Atiak-Palabek'!N27,'06.08 Atiak-Palabek'!N27,'02.08 Atiak-Palabek-24h'!N27,'03.08 Atiak-Palabek-24h'!N27,'04.08 Atiak-Palabek'!N27)</f>
        <v>0</v>
      </c>
      <c r="O27" s="15">
        <f t="shared" si="0"/>
        <v>1.1428571428571428</v>
      </c>
      <c r="P27" s="15">
        <f t="shared" si="1"/>
        <v>6.7142857142857135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AVERAGE('31.07 Atiak-Palabek'!C28,'01.08 Atiak-Palabek'!C28,'05.08 Atiak-Palabek'!C28,'06.08 Atiak-Palabek'!C28,'02.08 Atiak-Palabek-24h'!C28,'03.08 Atiak-Palabek-24h'!C28,'04.08 Atiak-Palabek'!C28)</f>
        <v>0</v>
      </c>
      <c r="D28" s="49">
        <f>AVERAGE('31.07 Atiak-Palabek'!D28,'01.08 Atiak-Palabek'!D28,'05.08 Atiak-Palabek'!D28,'06.08 Atiak-Palabek'!D28,'02.08 Atiak-Palabek-24h'!D28,'03.08 Atiak-Palabek-24h'!D28,'04.08 Atiak-Palabek'!D28)</f>
        <v>0</v>
      </c>
      <c r="E28" s="49">
        <f>AVERAGE('31.07 Atiak-Palabek'!E28,'01.08 Atiak-Palabek'!E28,'05.08 Atiak-Palabek'!E28,'06.08 Atiak-Palabek'!E28,'02.08 Atiak-Palabek-24h'!E28,'03.08 Atiak-Palabek-24h'!E28,'04.08 Atiak-Palabek'!E28)</f>
        <v>0.2857142857142857</v>
      </c>
      <c r="F28" s="49">
        <f>AVERAGE('31.07 Atiak-Palabek'!F28,'01.08 Atiak-Palabek'!F28,'05.08 Atiak-Palabek'!F28,'06.08 Atiak-Palabek'!F28,'02.08 Atiak-Palabek-24h'!F28,'03.08 Atiak-Palabek-24h'!F28,'04.08 Atiak-Palabek'!F28)</f>
        <v>0.7142857142857143</v>
      </c>
      <c r="G28" s="49">
        <f>AVERAGE('31.07 Atiak-Palabek'!G28,'01.08 Atiak-Palabek'!G28,'05.08 Atiak-Palabek'!G28,'06.08 Atiak-Palabek'!G28,'02.08 Atiak-Palabek-24h'!G28,'03.08 Atiak-Palabek-24h'!G28,'04.08 Atiak-Palabek'!G28)</f>
        <v>0</v>
      </c>
      <c r="H28" s="49">
        <f>AVERAGE('31.07 Atiak-Palabek'!H28,'01.08 Atiak-Palabek'!H28,'05.08 Atiak-Palabek'!H28,'06.08 Atiak-Palabek'!H28,'02.08 Atiak-Palabek-24h'!H28,'03.08 Atiak-Palabek-24h'!H28,'04.08 Atiak-Palabek'!H28)</f>
        <v>0</v>
      </c>
      <c r="I28" s="49">
        <f>AVERAGE('31.07 Atiak-Palabek'!I28,'01.08 Atiak-Palabek'!I28,'05.08 Atiak-Palabek'!I28,'06.08 Atiak-Palabek'!I28,'02.08 Atiak-Palabek-24h'!I28,'03.08 Atiak-Palabek-24h'!I28,'04.08 Atiak-Palabek'!I28)</f>
        <v>0.2857142857142857</v>
      </c>
      <c r="J28" s="49">
        <f>AVERAGE('31.07 Atiak-Palabek'!J28,'01.08 Atiak-Palabek'!J28,'05.08 Atiak-Palabek'!J28,'06.08 Atiak-Palabek'!J28,'02.08 Atiak-Palabek-24h'!J28,'03.08 Atiak-Palabek-24h'!J28,'04.08 Atiak-Palabek'!J28)</f>
        <v>0</v>
      </c>
      <c r="K28" s="49">
        <f>AVERAGE('31.07 Atiak-Palabek'!K28,'01.08 Atiak-Palabek'!K28,'05.08 Atiak-Palabek'!K28,'06.08 Atiak-Palabek'!K28,'02.08 Atiak-Palabek-24h'!K28,'03.08 Atiak-Palabek-24h'!K28,'04.08 Atiak-Palabek'!K28)</f>
        <v>0</v>
      </c>
      <c r="L28" s="49">
        <f>AVERAGE('31.07 Atiak-Palabek'!L28,'01.08 Atiak-Palabek'!L28,'05.08 Atiak-Palabek'!L28,'06.08 Atiak-Palabek'!L28,'02.08 Atiak-Palabek-24h'!L28,'03.08 Atiak-Palabek-24h'!L28,'04.08 Atiak-Palabek'!L28)</f>
        <v>0</v>
      </c>
      <c r="M28" s="49">
        <f>AVERAGE('31.07 Atiak-Palabek'!M28,'01.08 Atiak-Palabek'!M28,'05.08 Atiak-Palabek'!M28,'06.08 Atiak-Palabek'!M28,'02.08 Atiak-Palabek-24h'!M28,'03.08 Atiak-Palabek-24h'!M28,'04.08 Atiak-Palabek'!M28)</f>
        <v>5</v>
      </c>
      <c r="N28" s="49">
        <f>AVERAGE('31.07 Atiak-Palabek'!N28,'01.08 Atiak-Palabek'!N28,'05.08 Atiak-Palabek'!N28,'06.08 Atiak-Palabek'!N28,'02.08 Atiak-Palabek-24h'!N28,'03.08 Atiak-Palabek-24h'!N28,'04.08 Atiak-Palabek'!N28)</f>
        <v>0</v>
      </c>
      <c r="O28" s="15">
        <f t="shared" si="0"/>
        <v>1.2857142857142856</v>
      </c>
      <c r="P28" s="15">
        <f t="shared" si="1"/>
        <v>6.2857142857142856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AVERAGE('31.07 Atiak-Palabek'!C29,'01.08 Atiak-Palabek'!C29,'05.08 Atiak-Palabek'!C29,'06.08 Atiak-Palabek'!C29,'02.08 Atiak-Palabek-24h'!C29,'03.08 Atiak-Palabek-24h'!C29,'04.08 Atiak-Palabek'!C29)</f>
        <v>0.2857142857142857</v>
      </c>
      <c r="D29" s="49">
        <f>AVERAGE('31.07 Atiak-Palabek'!D29,'01.08 Atiak-Palabek'!D29,'05.08 Atiak-Palabek'!D29,'06.08 Atiak-Palabek'!D29,'02.08 Atiak-Palabek-24h'!D29,'03.08 Atiak-Palabek-24h'!D29,'04.08 Atiak-Palabek'!D29)</f>
        <v>0</v>
      </c>
      <c r="E29" s="49">
        <f>AVERAGE('31.07 Atiak-Palabek'!E29,'01.08 Atiak-Palabek'!E29,'05.08 Atiak-Palabek'!E29,'06.08 Atiak-Palabek'!E29,'02.08 Atiak-Palabek-24h'!E29,'03.08 Atiak-Palabek-24h'!E29,'04.08 Atiak-Palabek'!E29)</f>
        <v>0</v>
      </c>
      <c r="F29" s="49">
        <f>AVERAGE('31.07 Atiak-Palabek'!F29,'01.08 Atiak-Palabek'!F29,'05.08 Atiak-Palabek'!F29,'06.08 Atiak-Palabek'!F29,'02.08 Atiak-Palabek-24h'!F29,'03.08 Atiak-Palabek-24h'!F29,'04.08 Atiak-Palabek'!F29)</f>
        <v>0.42857142857142855</v>
      </c>
      <c r="G29" s="49">
        <f>AVERAGE('31.07 Atiak-Palabek'!G29,'01.08 Atiak-Palabek'!G29,'05.08 Atiak-Palabek'!G29,'06.08 Atiak-Palabek'!G29,'02.08 Atiak-Palabek-24h'!G29,'03.08 Atiak-Palabek-24h'!G29,'04.08 Atiak-Palabek'!G29)</f>
        <v>0</v>
      </c>
      <c r="H29" s="49">
        <f>AVERAGE('31.07 Atiak-Palabek'!H29,'01.08 Atiak-Palabek'!H29,'05.08 Atiak-Palabek'!H29,'06.08 Atiak-Palabek'!H29,'02.08 Atiak-Palabek-24h'!H29,'03.08 Atiak-Palabek-24h'!H29,'04.08 Atiak-Palabek'!H29)</f>
        <v>0</v>
      </c>
      <c r="I29" s="49">
        <f>AVERAGE('31.07 Atiak-Palabek'!I29,'01.08 Atiak-Palabek'!I29,'05.08 Atiak-Palabek'!I29,'06.08 Atiak-Palabek'!I29,'02.08 Atiak-Palabek-24h'!I29,'03.08 Atiak-Palabek-24h'!I29,'04.08 Atiak-Palabek'!I29)</f>
        <v>0.8571428571428571</v>
      </c>
      <c r="J29" s="49">
        <f>AVERAGE('31.07 Atiak-Palabek'!J29,'01.08 Atiak-Palabek'!J29,'05.08 Atiak-Palabek'!J29,'06.08 Atiak-Palabek'!J29,'02.08 Atiak-Palabek-24h'!J29,'03.08 Atiak-Palabek-24h'!J29,'04.08 Atiak-Palabek'!J29)</f>
        <v>0</v>
      </c>
      <c r="K29" s="49">
        <f>AVERAGE('31.07 Atiak-Palabek'!K29,'01.08 Atiak-Palabek'!K29,'05.08 Atiak-Palabek'!K29,'06.08 Atiak-Palabek'!K29,'02.08 Atiak-Palabek-24h'!K29,'03.08 Atiak-Palabek-24h'!K29,'04.08 Atiak-Palabek'!K29)</f>
        <v>0.14285714285714285</v>
      </c>
      <c r="L29" s="49">
        <f>AVERAGE('31.07 Atiak-Palabek'!L29,'01.08 Atiak-Palabek'!L29,'05.08 Atiak-Palabek'!L29,'06.08 Atiak-Palabek'!L29,'02.08 Atiak-Palabek-24h'!L29,'03.08 Atiak-Palabek-24h'!L29,'04.08 Atiak-Palabek'!L29)</f>
        <v>0</v>
      </c>
      <c r="M29" s="49">
        <f>AVERAGE('31.07 Atiak-Palabek'!M29,'01.08 Atiak-Palabek'!M29,'05.08 Atiak-Palabek'!M29,'06.08 Atiak-Palabek'!M29,'02.08 Atiak-Palabek-24h'!M29,'03.08 Atiak-Palabek-24h'!M29,'04.08 Atiak-Palabek'!M29)</f>
        <v>4.2857142857142856</v>
      </c>
      <c r="N29" s="49">
        <f>AVERAGE('31.07 Atiak-Palabek'!N29,'01.08 Atiak-Palabek'!N29,'05.08 Atiak-Palabek'!N29,'06.08 Atiak-Palabek'!N29,'02.08 Atiak-Palabek-24h'!N29,'03.08 Atiak-Palabek-24h'!N29,'04.08 Atiak-Palabek'!N29)</f>
        <v>0</v>
      </c>
      <c r="O29" s="15">
        <f t="shared" si="0"/>
        <v>1.714285714285714</v>
      </c>
      <c r="P29" s="15">
        <f t="shared" si="1"/>
        <v>6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AVERAGE('31.07 Atiak-Palabek'!C30,'01.08 Atiak-Palabek'!C30,'05.08 Atiak-Palabek'!C30,'06.08 Atiak-Palabek'!C30,'02.08 Atiak-Palabek-24h'!C30,'03.08 Atiak-Palabek-24h'!C30,'04.08 Atiak-Palabek'!C30)</f>
        <v>0</v>
      </c>
      <c r="D30" s="49">
        <f>AVERAGE('31.07 Atiak-Palabek'!D30,'01.08 Atiak-Palabek'!D30,'05.08 Atiak-Palabek'!D30,'06.08 Atiak-Palabek'!D30,'02.08 Atiak-Palabek-24h'!D30,'03.08 Atiak-Palabek-24h'!D30,'04.08 Atiak-Palabek'!D30)</f>
        <v>0</v>
      </c>
      <c r="E30" s="49">
        <f>AVERAGE('31.07 Atiak-Palabek'!E30,'01.08 Atiak-Palabek'!E30,'05.08 Atiak-Palabek'!E30,'06.08 Atiak-Palabek'!E30,'02.08 Atiak-Palabek-24h'!E30,'03.08 Atiak-Palabek-24h'!E30,'04.08 Atiak-Palabek'!E30)</f>
        <v>0.42857142857142855</v>
      </c>
      <c r="F30" s="49">
        <f>AVERAGE('31.07 Atiak-Palabek'!F30,'01.08 Atiak-Palabek'!F30,'05.08 Atiak-Palabek'!F30,'06.08 Atiak-Palabek'!F30,'02.08 Atiak-Palabek-24h'!F30,'03.08 Atiak-Palabek-24h'!F30,'04.08 Atiak-Palabek'!F30)</f>
        <v>0.2857142857142857</v>
      </c>
      <c r="G30" s="49">
        <f>AVERAGE('31.07 Atiak-Palabek'!G30,'01.08 Atiak-Palabek'!G30,'05.08 Atiak-Palabek'!G30,'06.08 Atiak-Palabek'!G30,'02.08 Atiak-Palabek-24h'!G30,'03.08 Atiak-Palabek-24h'!G30,'04.08 Atiak-Palabek'!G30)</f>
        <v>0</v>
      </c>
      <c r="H30" s="49">
        <f>AVERAGE('31.07 Atiak-Palabek'!H30,'01.08 Atiak-Palabek'!H30,'05.08 Atiak-Palabek'!H30,'06.08 Atiak-Palabek'!H30,'02.08 Atiak-Palabek-24h'!H30,'03.08 Atiak-Palabek-24h'!H30,'04.08 Atiak-Palabek'!H30)</f>
        <v>0</v>
      </c>
      <c r="I30" s="49">
        <f>AVERAGE('31.07 Atiak-Palabek'!I30,'01.08 Atiak-Palabek'!I30,'05.08 Atiak-Palabek'!I30,'06.08 Atiak-Palabek'!I30,'02.08 Atiak-Palabek-24h'!I30,'03.08 Atiak-Palabek-24h'!I30,'04.08 Atiak-Palabek'!I30)</f>
        <v>0.2857142857142857</v>
      </c>
      <c r="J30" s="49">
        <f>AVERAGE('31.07 Atiak-Palabek'!J30,'01.08 Atiak-Palabek'!J30,'05.08 Atiak-Palabek'!J30,'06.08 Atiak-Palabek'!J30,'02.08 Atiak-Palabek-24h'!J30,'03.08 Atiak-Palabek-24h'!J30,'04.08 Atiak-Palabek'!J30)</f>
        <v>0</v>
      </c>
      <c r="K30" s="49">
        <f>AVERAGE('31.07 Atiak-Palabek'!K30,'01.08 Atiak-Palabek'!K30,'05.08 Atiak-Palabek'!K30,'06.08 Atiak-Palabek'!K30,'02.08 Atiak-Palabek-24h'!K30,'03.08 Atiak-Palabek-24h'!K30,'04.08 Atiak-Palabek'!K30)</f>
        <v>0</v>
      </c>
      <c r="L30" s="49">
        <f>AVERAGE('31.07 Atiak-Palabek'!L30,'01.08 Atiak-Palabek'!L30,'05.08 Atiak-Palabek'!L30,'06.08 Atiak-Palabek'!L30,'02.08 Atiak-Palabek-24h'!L30,'03.08 Atiak-Palabek-24h'!L30,'04.08 Atiak-Palabek'!L30)</f>
        <v>0</v>
      </c>
      <c r="M30" s="49">
        <f>AVERAGE('31.07 Atiak-Palabek'!M30,'01.08 Atiak-Palabek'!M30,'05.08 Atiak-Palabek'!M30,'06.08 Atiak-Palabek'!M30,'02.08 Atiak-Palabek-24h'!M30,'03.08 Atiak-Palabek-24h'!M30,'04.08 Atiak-Palabek'!M30)</f>
        <v>4.8571428571428568</v>
      </c>
      <c r="N30" s="49">
        <f>AVERAGE('31.07 Atiak-Palabek'!N30,'01.08 Atiak-Palabek'!N30,'05.08 Atiak-Palabek'!N30,'06.08 Atiak-Palabek'!N30,'02.08 Atiak-Palabek-24h'!N30,'03.08 Atiak-Palabek-24h'!N30,'04.08 Atiak-Palabek'!N30)</f>
        <v>0</v>
      </c>
      <c r="O30" s="15">
        <f t="shared" si="0"/>
        <v>0.99999999999999989</v>
      </c>
      <c r="P30" s="15">
        <f t="shared" si="1"/>
        <v>5.8571428571428568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AVERAGE('31.07 Atiak-Palabek'!C31,'01.08 Atiak-Palabek'!C31,'05.08 Atiak-Palabek'!C31,'06.08 Atiak-Palabek'!C31,'02.08 Atiak-Palabek-24h'!C31,'03.08 Atiak-Palabek-24h'!C31,'04.08 Atiak-Palabek'!C31)</f>
        <v>0</v>
      </c>
      <c r="D31" s="49">
        <f>AVERAGE('31.07 Atiak-Palabek'!D31,'01.08 Atiak-Palabek'!D31,'05.08 Atiak-Palabek'!D31,'06.08 Atiak-Palabek'!D31,'02.08 Atiak-Palabek-24h'!D31,'03.08 Atiak-Palabek-24h'!D31,'04.08 Atiak-Palabek'!D31)</f>
        <v>0</v>
      </c>
      <c r="E31" s="49">
        <f>AVERAGE('31.07 Atiak-Palabek'!E31,'01.08 Atiak-Palabek'!E31,'05.08 Atiak-Palabek'!E31,'06.08 Atiak-Palabek'!E31,'02.08 Atiak-Palabek-24h'!E31,'03.08 Atiak-Palabek-24h'!E31,'04.08 Atiak-Palabek'!E31)</f>
        <v>0</v>
      </c>
      <c r="F31" s="49">
        <f>AVERAGE('31.07 Atiak-Palabek'!F31,'01.08 Atiak-Palabek'!F31,'05.08 Atiak-Palabek'!F31,'06.08 Atiak-Palabek'!F31,'02.08 Atiak-Palabek-24h'!F31,'03.08 Atiak-Palabek-24h'!F31,'04.08 Atiak-Palabek'!F31)</f>
        <v>0.42857142857142855</v>
      </c>
      <c r="G31" s="49">
        <f>AVERAGE('31.07 Atiak-Palabek'!G31,'01.08 Atiak-Palabek'!G31,'05.08 Atiak-Palabek'!G31,'06.08 Atiak-Palabek'!G31,'02.08 Atiak-Palabek-24h'!G31,'03.08 Atiak-Palabek-24h'!G31,'04.08 Atiak-Palabek'!G31)</f>
        <v>0</v>
      </c>
      <c r="H31" s="49">
        <f>AVERAGE('31.07 Atiak-Palabek'!H31,'01.08 Atiak-Palabek'!H31,'05.08 Atiak-Palabek'!H31,'06.08 Atiak-Palabek'!H31,'02.08 Atiak-Palabek-24h'!H31,'03.08 Atiak-Palabek-24h'!H31,'04.08 Atiak-Palabek'!H31)</f>
        <v>0</v>
      </c>
      <c r="I31" s="49">
        <f>AVERAGE('31.07 Atiak-Palabek'!I31,'01.08 Atiak-Palabek'!I31,'05.08 Atiak-Palabek'!I31,'06.08 Atiak-Palabek'!I31,'02.08 Atiak-Palabek-24h'!I31,'03.08 Atiak-Palabek-24h'!I31,'04.08 Atiak-Palabek'!I31)</f>
        <v>0.14285714285714285</v>
      </c>
      <c r="J31" s="49">
        <f>AVERAGE('31.07 Atiak-Palabek'!J31,'01.08 Atiak-Palabek'!J31,'05.08 Atiak-Palabek'!J31,'06.08 Atiak-Palabek'!J31,'02.08 Atiak-Palabek-24h'!J31,'03.08 Atiak-Palabek-24h'!J31,'04.08 Atiak-Palabek'!J31)</f>
        <v>0</v>
      </c>
      <c r="K31" s="49">
        <f>AVERAGE('31.07 Atiak-Palabek'!K31,'01.08 Atiak-Palabek'!K31,'05.08 Atiak-Palabek'!K31,'06.08 Atiak-Palabek'!K31,'02.08 Atiak-Palabek-24h'!K31,'03.08 Atiak-Palabek-24h'!K31,'04.08 Atiak-Palabek'!K31)</f>
        <v>0</v>
      </c>
      <c r="L31" s="49">
        <f>AVERAGE('31.07 Atiak-Palabek'!L31,'01.08 Atiak-Palabek'!L31,'05.08 Atiak-Palabek'!L31,'06.08 Atiak-Palabek'!L31,'02.08 Atiak-Palabek-24h'!L31,'03.08 Atiak-Palabek-24h'!L31,'04.08 Atiak-Palabek'!L31)</f>
        <v>0</v>
      </c>
      <c r="M31" s="49">
        <f>AVERAGE('31.07 Atiak-Palabek'!M31,'01.08 Atiak-Palabek'!M31,'05.08 Atiak-Palabek'!M31,'06.08 Atiak-Palabek'!M31,'02.08 Atiak-Palabek-24h'!M31,'03.08 Atiak-Palabek-24h'!M31,'04.08 Atiak-Palabek'!M31)</f>
        <v>4.7142857142857144</v>
      </c>
      <c r="N31" s="49">
        <f>AVERAGE('31.07 Atiak-Palabek'!N31,'01.08 Atiak-Palabek'!N31,'05.08 Atiak-Palabek'!N31,'06.08 Atiak-Palabek'!N31,'02.08 Atiak-Palabek-24h'!N31,'03.08 Atiak-Palabek-24h'!N31,'04.08 Atiak-Palabek'!N31)</f>
        <v>0</v>
      </c>
      <c r="O31" s="15">
        <f t="shared" si="0"/>
        <v>0.5714285714285714</v>
      </c>
      <c r="P31" s="15">
        <f t="shared" si="1"/>
        <v>5.2857142857142856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AVERAGE('31.07 Atiak-Palabek'!C32,'01.08 Atiak-Palabek'!C32,'05.08 Atiak-Palabek'!C32,'06.08 Atiak-Palabek'!C32,'02.08 Atiak-Palabek-24h'!C32,'03.08 Atiak-Palabek-24h'!C32,'04.08 Atiak-Palabek'!C32)</f>
        <v>0</v>
      </c>
      <c r="D32" s="49">
        <f>AVERAGE('31.07 Atiak-Palabek'!D32,'01.08 Atiak-Palabek'!D32,'05.08 Atiak-Palabek'!D32,'06.08 Atiak-Palabek'!D32,'02.08 Atiak-Palabek-24h'!D32,'03.08 Atiak-Palabek-24h'!D32,'04.08 Atiak-Palabek'!D32)</f>
        <v>0</v>
      </c>
      <c r="E32" s="49">
        <f>AVERAGE('31.07 Atiak-Palabek'!E32,'01.08 Atiak-Palabek'!E32,'05.08 Atiak-Palabek'!E32,'06.08 Atiak-Palabek'!E32,'02.08 Atiak-Palabek-24h'!E32,'03.08 Atiak-Palabek-24h'!E32,'04.08 Atiak-Palabek'!E32)</f>
        <v>0.42857142857142855</v>
      </c>
      <c r="F32" s="49">
        <f>AVERAGE('31.07 Atiak-Palabek'!F32,'01.08 Atiak-Palabek'!F32,'05.08 Atiak-Palabek'!F32,'06.08 Atiak-Palabek'!F32,'02.08 Atiak-Palabek-24h'!F32,'03.08 Atiak-Palabek-24h'!F32,'04.08 Atiak-Palabek'!F32)</f>
        <v>0.42857142857142855</v>
      </c>
      <c r="G32" s="49">
        <f>AVERAGE('31.07 Atiak-Palabek'!G32,'01.08 Atiak-Palabek'!G32,'05.08 Atiak-Palabek'!G32,'06.08 Atiak-Palabek'!G32,'02.08 Atiak-Palabek-24h'!G32,'03.08 Atiak-Palabek-24h'!G32,'04.08 Atiak-Palabek'!G32)</f>
        <v>0</v>
      </c>
      <c r="H32" s="49">
        <f>AVERAGE('31.07 Atiak-Palabek'!H32,'01.08 Atiak-Palabek'!H32,'05.08 Atiak-Palabek'!H32,'06.08 Atiak-Palabek'!H32,'02.08 Atiak-Palabek-24h'!H32,'03.08 Atiak-Palabek-24h'!H32,'04.08 Atiak-Palabek'!H32)</f>
        <v>0</v>
      </c>
      <c r="I32" s="49">
        <f>AVERAGE('31.07 Atiak-Palabek'!I32,'01.08 Atiak-Palabek'!I32,'05.08 Atiak-Palabek'!I32,'06.08 Atiak-Palabek'!I32,'02.08 Atiak-Palabek-24h'!I32,'03.08 Atiak-Palabek-24h'!I32,'04.08 Atiak-Palabek'!I32)</f>
        <v>0.2857142857142857</v>
      </c>
      <c r="J32" s="49">
        <f>AVERAGE('31.07 Atiak-Palabek'!J32,'01.08 Atiak-Palabek'!J32,'05.08 Atiak-Palabek'!J32,'06.08 Atiak-Palabek'!J32,'02.08 Atiak-Palabek-24h'!J32,'03.08 Atiak-Palabek-24h'!J32,'04.08 Atiak-Palabek'!J32)</f>
        <v>0</v>
      </c>
      <c r="K32" s="49">
        <f>AVERAGE('31.07 Atiak-Palabek'!K32,'01.08 Atiak-Palabek'!K32,'05.08 Atiak-Palabek'!K32,'06.08 Atiak-Palabek'!K32,'02.08 Atiak-Palabek-24h'!K32,'03.08 Atiak-Palabek-24h'!K32,'04.08 Atiak-Palabek'!K32)</f>
        <v>0</v>
      </c>
      <c r="L32" s="49">
        <f>AVERAGE('31.07 Atiak-Palabek'!L32,'01.08 Atiak-Palabek'!L32,'05.08 Atiak-Palabek'!L32,'06.08 Atiak-Palabek'!L32,'02.08 Atiak-Palabek-24h'!L32,'03.08 Atiak-Palabek-24h'!L32,'04.08 Atiak-Palabek'!L32)</f>
        <v>0</v>
      </c>
      <c r="M32" s="49">
        <f>AVERAGE('31.07 Atiak-Palabek'!M32,'01.08 Atiak-Palabek'!M32,'05.08 Atiak-Palabek'!M32,'06.08 Atiak-Palabek'!M32,'02.08 Atiak-Palabek-24h'!M32,'03.08 Atiak-Palabek-24h'!M32,'04.08 Atiak-Palabek'!M32)</f>
        <v>4.5714285714285712</v>
      </c>
      <c r="N32" s="49">
        <f>AVERAGE('31.07 Atiak-Palabek'!N32,'01.08 Atiak-Palabek'!N32,'05.08 Atiak-Palabek'!N32,'06.08 Atiak-Palabek'!N32,'02.08 Atiak-Palabek-24h'!N32,'03.08 Atiak-Palabek-24h'!N32,'04.08 Atiak-Palabek'!N32)</f>
        <v>0</v>
      </c>
      <c r="O32" s="15">
        <f t="shared" si="0"/>
        <v>1.1428571428571428</v>
      </c>
      <c r="P32" s="15">
        <f t="shared" si="1"/>
        <v>5.7142857142857135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23" t="s">
        <v>60</v>
      </c>
      <c r="C33" s="49">
        <f>AVERAGE('31.07 Atiak-Palabek'!C33,'01.08 Atiak-Palabek'!C33,'05.08 Atiak-Palabek'!C33,'06.08 Atiak-Palabek'!C33,'02.08 Atiak-Palabek-24h'!C33,'03.08 Atiak-Palabek-24h'!C33,'04.08 Atiak-Palabek'!C33)</f>
        <v>0.14285714285714285</v>
      </c>
      <c r="D33" s="49">
        <f>AVERAGE('31.07 Atiak-Palabek'!D33,'01.08 Atiak-Palabek'!D33,'05.08 Atiak-Palabek'!D33,'06.08 Atiak-Palabek'!D33,'02.08 Atiak-Palabek-24h'!D33,'03.08 Atiak-Palabek-24h'!D33,'04.08 Atiak-Palabek'!D33)</f>
        <v>0</v>
      </c>
      <c r="E33" s="49">
        <f>AVERAGE('31.07 Atiak-Palabek'!E33,'01.08 Atiak-Palabek'!E33,'05.08 Atiak-Palabek'!E33,'06.08 Atiak-Palabek'!E33,'02.08 Atiak-Palabek-24h'!E33,'03.08 Atiak-Palabek-24h'!E33,'04.08 Atiak-Palabek'!E33)</f>
        <v>0.14285714285714285</v>
      </c>
      <c r="F33" s="49">
        <f>AVERAGE('31.07 Atiak-Palabek'!F33,'01.08 Atiak-Palabek'!F33,'05.08 Atiak-Palabek'!F33,'06.08 Atiak-Palabek'!F33,'02.08 Atiak-Palabek-24h'!F33,'03.08 Atiak-Palabek-24h'!F33,'04.08 Atiak-Palabek'!F33)</f>
        <v>0.14285714285714285</v>
      </c>
      <c r="G33" s="49">
        <f>AVERAGE('31.07 Atiak-Palabek'!G33,'01.08 Atiak-Palabek'!G33,'05.08 Atiak-Palabek'!G33,'06.08 Atiak-Palabek'!G33,'02.08 Atiak-Palabek-24h'!G33,'03.08 Atiak-Palabek-24h'!G33,'04.08 Atiak-Palabek'!G33)</f>
        <v>0</v>
      </c>
      <c r="H33" s="49">
        <f>AVERAGE('31.07 Atiak-Palabek'!H33,'01.08 Atiak-Palabek'!H33,'05.08 Atiak-Palabek'!H33,'06.08 Atiak-Palabek'!H33,'02.08 Atiak-Palabek-24h'!H33,'03.08 Atiak-Palabek-24h'!H33,'04.08 Atiak-Palabek'!H33)</f>
        <v>0</v>
      </c>
      <c r="I33" s="49">
        <f>AVERAGE('31.07 Atiak-Palabek'!I33,'01.08 Atiak-Palabek'!I33,'05.08 Atiak-Palabek'!I33,'06.08 Atiak-Palabek'!I33,'02.08 Atiak-Palabek-24h'!I33,'03.08 Atiak-Palabek-24h'!I33,'04.08 Atiak-Palabek'!I33)</f>
        <v>0.14285714285714285</v>
      </c>
      <c r="J33" s="49">
        <f>AVERAGE('31.07 Atiak-Palabek'!J33,'01.08 Atiak-Palabek'!J33,'05.08 Atiak-Palabek'!J33,'06.08 Atiak-Palabek'!J33,'02.08 Atiak-Palabek-24h'!J33,'03.08 Atiak-Palabek-24h'!J33,'04.08 Atiak-Palabek'!J33)</f>
        <v>0</v>
      </c>
      <c r="K33" s="49">
        <f>AVERAGE('31.07 Atiak-Palabek'!K33,'01.08 Atiak-Palabek'!K33,'05.08 Atiak-Palabek'!K33,'06.08 Atiak-Palabek'!K33,'02.08 Atiak-Palabek-24h'!K33,'03.08 Atiak-Palabek-24h'!K33,'04.08 Atiak-Palabek'!K33)</f>
        <v>0</v>
      </c>
      <c r="L33" s="49">
        <f>AVERAGE('31.07 Atiak-Palabek'!L33,'01.08 Atiak-Palabek'!L33,'05.08 Atiak-Palabek'!L33,'06.08 Atiak-Palabek'!L33,'02.08 Atiak-Palabek-24h'!L33,'03.08 Atiak-Palabek-24h'!L33,'04.08 Atiak-Palabek'!L33)</f>
        <v>0</v>
      </c>
      <c r="M33" s="49">
        <f>AVERAGE('31.07 Atiak-Palabek'!M33,'01.08 Atiak-Palabek'!M33,'05.08 Atiak-Palabek'!M33,'06.08 Atiak-Palabek'!M33,'02.08 Atiak-Palabek-24h'!M33,'03.08 Atiak-Palabek-24h'!M33,'04.08 Atiak-Palabek'!M33)</f>
        <v>5.4285714285714288</v>
      </c>
      <c r="N33" s="49">
        <f>AVERAGE('31.07 Atiak-Palabek'!N33,'01.08 Atiak-Palabek'!N33,'05.08 Atiak-Palabek'!N33,'06.08 Atiak-Palabek'!N33,'02.08 Atiak-Palabek-24h'!N33,'03.08 Atiak-Palabek-24h'!N33,'04.08 Atiak-Palabek'!N33)</f>
        <v>0</v>
      </c>
      <c r="O33" s="15">
        <f t="shared" si="0"/>
        <v>0.5714285714285714</v>
      </c>
      <c r="P33" s="15">
        <f t="shared" si="1"/>
        <v>6</v>
      </c>
      <c r="R33" s="1" t="s">
        <v>157</v>
      </c>
      <c r="S33" s="34">
        <f>SUM(C102:C105)</f>
        <v>0.5</v>
      </c>
      <c r="T33" s="34">
        <f t="shared" ref="T33:AF33" si="25">SUM(D102:D105)</f>
        <v>0</v>
      </c>
      <c r="U33" s="34">
        <f t="shared" si="25"/>
        <v>0.5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</v>
      </c>
      <c r="AD33" s="34">
        <f t="shared" si="25"/>
        <v>0</v>
      </c>
      <c r="AE33" s="31">
        <f t="shared" si="25"/>
        <v>1</v>
      </c>
      <c r="AF33" s="31">
        <f t="shared" si="25"/>
        <v>3</v>
      </c>
    </row>
    <row r="34" spans="2:32" ht="23.1" customHeight="1" x14ac:dyDescent="0.25">
      <c r="B34" s="24" t="s">
        <v>61</v>
      </c>
      <c r="C34" s="49">
        <f>AVERAGE('31.07 Atiak-Palabek'!C34,'01.08 Atiak-Palabek'!C34,'05.08 Atiak-Palabek'!C34,'06.08 Atiak-Palabek'!C34,'02.08 Atiak-Palabek-24h'!C34,'03.08 Atiak-Palabek-24h'!C34,'04.08 Atiak-Palabek'!C34)</f>
        <v>0.14285714285714285</v>
      </c>
      <c r="D34" s="49">
        <f>AVERAGE('31.07 Atiak-Palabek'!D34,'01.08 Atiak-Palabek'!D34,'05.08 Atiak-Palabek'!D34,'06.08 Atiak-Palabek'!D34,'02.08 Atiak-Palabek-24h'!D34,'03.08 Atiak-Palabek-24h'!D34,'04.08 Atiak-Palabek'!D34)</f>
        <v>0</v>
      </c>
      <c r="E34" s="49">
        <f>AVERAGE('31.07 Atiak-Palabek'!E34,'01.08 Atiak-Palabek'!E34,'05.08 Atiak-Palabek'!E34,'06.08 Atiak-Palabek'!E34,'02.08 Atiak-Palabek-24h'!E34,'03.08 Atiak-Palabek-24h'!E34,'04.08 Atiak-Palabek'!E34)</f>
        <v>0.14285714285714285</v>
      </c>
      <c r="F34" s="49">
        <f>AVERAGE('31.07 Atiak-Palabek'!F34,'01.08 Atiak-Palabek'!F34,'05.08 Atiak-Palabek'!F34,'06.08 Atiak-Palabek'!F34,'02.08 Atiak-Palabek-24h'!F34,'03.08 Atiak-Palabek-24h'!F34,'04.08 Atiak-Palabek'!F34)</f>
        <v>0.14285714285714285</v>
      </c>
      <c r="G34" s="49">
        <f>AVERAGE('31.07 Atiak-Palabek'!G34,'01.08 Atiak-Palabek'!G34,'05.08 Atiak-Palabek'!G34,'06.08 Atiak-Palabek'!G34,'02.08 Atiak-Palabek-24h'!G34,'03.08 Atiak-Palabek-24h'!G34,'04.08 Atiak-Palabek'!G34)</f>
        <v>0</v>
      </c>
      <c r="H34" s="49">
        <f>AVERAGE('31.07 Atiak-Palabek'!H34,'01.08 Atiak-Palabek'!H34,'05.08 Atiak-Palabek'!H34,'06.08 Atiak-Palabek'!H34,'02.08 Atiak-Palabek-24h'!H34,'03.08 Atiak-Palabek-24h'!H34,'04.08 Atiak-Palabek'!H34)</f>
        <v>0</v>
      </c>
      <c r="I34" s="49">
        <f>AVERAGE('31.07 Atiak-Palabek'!I34,'01.08 Atiak-Palabek'!I34,'05.08 Atiak-Palabek'!I34,'06.08 Atiak-Palabek'!I34,'02.08 Atiak-Palabek-24h'!I34,'03.08 Atiak-Palabek-24h'!I34,'04.08 Atiak-Palabek'!I34)</f>
        <v>0.42857142857142855</v>
      </c>
      <c r="J34" s="49">
        <f>AVERAGE('31.07 Atiak-Palabek'!J34,'01.08 Atiak-Palabek'!J34,'05.08 Atiak-Palabek'!J34,'06.08 Atiak-Palabek'!J34,'02.08 Atiak-Palabek-24h'!J34,'03.08 Atiak-Palabek-24h'!J34,'04.08 Atiak-Palabek'!J34)</f>
        <v>0</v>
      </c>
      <c r="K34" s="49">
        <f>AVERAGE('31.07 Atiak-Palabek'!K34,'01.08 Atiak-Palabek'!K34,'05.08 Atiak-Palabek'!K34,'06.08 Atiak-Palabek'!K34,'02.08 Atiak-Palabek-24h'!K34,'03.08 Atiak-Palabek-24h'!K34,'04.08 Atiak-Palabek'!K34)</f>
        <v>0</v>
      </c>
      <c r="L34" s="49">
        <f>AVERAGE('31.07 Atiak-Palabek'!L34,'01.08 Atiak-Palabek'!L34,'05.08 Atiak-Palabek'!L34,'06.08 Atiak-Palabek'!L34,'02.08 Atiak-Palabek-24h'!L34,'03.08 Atiak-Palabek-24h'!L34,'04.08 Atiak-Palabek'!L34)</f>
        <v>0</v>
      </c>
      <c r="M34" s="49">
        <f>AVERAGE('31.07 Atiak-Palabek'!M34,'01.08 Atiak-Palabek'!M34,'05.08 Atiak-Palabek'!M34,'06.08 Atiak-Palabek'!M34,'02.08 Atiak-Palabek-24h'!M34,'03.08 Atiak-Palabek-24h'!M34,'04.08 Atiak-Palabek'!M34)</f>
        <v>5.1428571428571432</v>
      </c>
      <c r="N34" s="49">
        <f>AVERAGE('31.07 Atiak-Palabek'!N34,'01.08 Atiak-Palabek'!N34,'05.08 Atiak-Palabek'!N34,'06.08 Atiak-Palabek'!N34,'02.08 Atiak-Palabek-24h'!N34,'03.08 Atiak-Palabek-24h'!N34,'04.08 Atiak-Palabek'!N34)</f>
        <v>0</v>
      </c>
      <c r="O34" s="15">
        <f t="shared" si="0"/>
        <v>0.8571428571428571</v>
      </c>
      <c r="P34" s="15">
        <f t="shared" si="1"/>
        <v>6</v>
      </c>
      <c r="R34" s="51" t="s">
        <v>90</v>
      </c>
      <c r="S34" s="52">
        <f t="shared" ref="S34:AF34" si="26">MAX(S10:S12)</f>
        <v>0.14285714285714285</v>
      </c>
      <c r="T34" s="52">
        <f t="shared" si="26"/>
        <v>0</v>
      </c>
      <c r="U34" s="52">
        <f t="shared" si="26"/>
        <v>0.5714285714285714</v>
      </c>
      <c r="V34" s="52">
        <f t="shared" si="26"/>
        <v>0.85714285714285698</v>
      </c>
      <c r="W34" s="52">
        <f t="shared" si="26"/>
        <v>0</v>
      </c>
      <c r="X34" s="52">
        <f t="shared" si="26"/>
        <v>0.14285714285714285</v>
      </c>
      <c r="Y34" s="52">
        <f t="shared" si="26"/>
        <v>1.1428571428571428</v>
      </c>
      <c r="Z34" s="52">
        <f t="shared" si="26"/>
        <v>0</v>
      </c>
      <c r="AA34" s="52">
        <f t="shared" si="26"/>
        <v>0</v>
      </c>
      <c r="AB34" s="52">
        <f t="shared" si="26"/>
        <v>0</v>
      </c>
      <c r="AC34" s="52">
        <f t="shared" si="26"/>
        <v>21</v>
      </c>
      <c r="AD34" s="52">
        <f t="shared" si="26"/>
        <v>0</v>
      </c>
      <c r="AE34" s="40">
        <f t="shared" si="26"/>
        <v>2.714285714285714</v>
      </c>
      <c r="AF34" s="40">
        <f t="shared" si="26"/>
        <v>23.714285714285712</v>
      </c>
    </row>
    <row r="35" spans="2:32" ht="23.1" customHeight="1" x14ac:dyDescent="0.25">
      <c r="B35" s="24" t="s">
        <v>62</v>
      </c>
      <c r="C35" s="49">
        <f>AVERAGE('31.07 Atiak-Palabek'!C35,'01.08 Atiak-Palabek'!C35,'05.08 Atiak-Palabek'!C35,'06.08 Atiak-Palabek'!C35,'02.08 Atiak-Palabek-24h'!C35,'03.08 Atiak-Palabek-24h'!C35,'04.08 Atiak-Palabek'!C35)</f>
        <v>0</v>
      </c>
      <c r="D35" s="49">
        <f>AVERAGE('31.07 Atiak-Palabek'!D35,'01.08 Atiak-Palabek'!D35,'05.08 Atiak-Palabek'!D35,'06.08 Atiak-Palabek'!D35,'02.08 Atiak-Palabek-24h'!D35,'03.08 Atiak-Palabek-24h'!D35,'04.08 Atiak-Palabek'!D35)</f>
        <v>0</v>
      </c>
      <c r="E35" s="49">
        <f>AVERAGE('31.07 Atiak-Palabek'!E35,'01.08 Atiak-Palabek'!E35,'05.08 Atiak-Palabek'!E35,'06.08 Atiak-Palabek'!E35,'02.08 Atiak-Palabek-24h'!E35,'03.08 Atiak-Palabek-24h'!E35,'04.08 Atiak-Palabek'!E35)</f>
        <v>0</v>
      </c>
      <c r="F35" s="49">
        <f>AVERAGE('31.07 Atiak-Palabek'!F35,'01.08 Atiak-Palabek'!F35,'05.08 Atiak-Palabek'!F35,'06.08 Atiak-Palabek'!F35,'02.08 Atiak-Palabek-24h'!F35,'03.08 Atiak-Palabek-24h'!F35,'04.08 Atiak-Palabek'!F35)</f>
        <v>0.2857142857142857</v>
      </c>
      <c r="G35" s="49">
        <f>AVERAGE('31.07 Atiak-Palabek'!G35,'01.08 Atiak-Palabek'!G35,'05.08 Atiak-Palabek'!G35,'06.08 Atiak-Palabek'!G35,'02.08 Atiak-Palabek-24h'!G35,'03.08 Atiak-Palabek-24h'!G35,'04.08 Atiak-Palabek'!G35)</f>
        <v>0</v>
      </c>
      <c r="H35" s="49">
        <f>AVERAGE('31.07 Atiak-Palabek'!H35,'01.08 Atiak-Palabek'!H35,'05.08 Atiak-Palabek'!H35,'06.08 Atiak-Palabek'!H35,'02.08 Atiak-Palabek-24h'!H35,'03.08 Atiak-Palabek-24h'!H35,'04.08 Atiak-Palabek'!H35)</f>
        <v>0</v>
      </c>
      <c r="I35" s="49">
        <f>AVERAGE('31.07 Atiak-Palabek'!I35,'01.08 Atiak-Palabek'!I35,'05.08 Atiak-Palabek'!I35,'06.08 Atiak-Palabek'!I35,'02.08 Atiak-Palabek-24h'!I35,'03.08 Atiak-Palabek-24h'!I35,'04.08 Atiak-Palabek'!I35)</f>
        <v>0.2857142857142857</v>
      </c>
      <c r="J35" s="49">
        <f>AVERAGE('31.07 Atiak-Palabek'!J35,'01.08 Atiak-Palabek'!J35,'05.08 Atiak-Palabek'!J35,'06.08 Atiak-Palabek'!J35,'02.08 Atiak-Palabek-24h'!J35,'03.08 Atiak-Palabek-24h'!J35,'04.08 Atiak-Palabek'!J35)</f>
        <v>0</v>
      </c>
      <c r="K35" s="49">
        <f>AVERAGE('31.07 Atiak-Palabek'!K35,'01.08 Atiak-Palabek'!K35,'05.08 Atiak-Palabek'!K35,'06.08 Atiak-Palabek'!K35,'02.08 Atiak-Palabek-24h'!K35,'03.08 Atiak-Palabek-24h'!K35,'04.08 Atiak-Palabek'!K35)</f>
        <v>0</v>
      </c>
      <c r="L35" s="49">
        <f>AVERAGE('31.07 Atiak-Palabek'!L35,'01.08 Atiak-Palabek'!L35,'05.08 Atiak-Palabek'!L35,'06.08 Atiak-Palabek'!L35,'02.08 Atiak-Palabek-24h'!L35,'03.08 Atiak-Palabek-24h'!L35,'04.08 Atiak-Palabek'!L35)</f>
        <v>0</v>
      </c>
      <c r="M35" s="49">
        <f>AVERAGE('31.07 Atiak-Palabek'!M35,'01.08 Atiak-Palabek'!M35,'05.08 Atiak-Palabek'!M35,'06.08 Atiak-Palabek'!M35,'02.08 Atiak-Palabek-24h'!M35,'03.08 Atiak-Palabek-24h'!M35,'04.08 Atiak-Palabek'!M35)</f>
        <v>4.2857142857142856</v>
      </c>
      <c r="N35" s="49">
        <f>AVERAGE('31.07 Atiak-Palabek'!N35,'01.08 Atiak-Palabek'!N35,'05.08 Atiak-Palabek'!N35,'06.08 Atiak-Palabek'!N35,'02.08 Atiak-Palabek-24h'!N35,'03.08 Atiak-Palabek-24h'!N35,'04.08 Atiak-Palabek'!N35)</f>
        <v>0</v>
      </c>
      <c r="O35" s="15">
        <f t="shared" si="0"/>
        <v>0.5714285714285714</v>
      </c>
      <c r="P35" s="15">
        <f t="shared" si="1"/>
        <v>4.8571428571428568</v>
      </c>
      <c r="R35" s="51" t="s">
        <v>91</v>
      </c>
      <c r="S35" s="52">
        <f t="shared" ref="S35:AF35" si="27">MAX(S13:S18)</f>
        <v>0.5714285714285714</v>
      </c>
      <c r="T35" s="52">
        <f t="shared" si="27"/>
        <v>0</v>
      </c>
      <c r="U35" s="52">
        <f t="shared" si="27"/>
        <v>1.4285714285714286</v>
      </c>
      <c r="V35" s="52">
        <f t="shared" si="27"/>
        <v>1.857142857142857</v>
      </c>
      <c r="W35" s="52">
        <f t="shared" si="27"/>
        <v>0</v>
      </c>
      <c r="X35" s="52">
        <f t="shared" si="27"/>
        <v>0.42857142857142855</v>
      </c>
      <c r="Y35" s="52">
        <f t="shared" si="27"/>
        <v>2.4285714285714284</v>
      </c>
      <c r="Z35" s="52">
        <f t="shared" si="27"/>
        <v>0.42857142857142855</v>
      </c>
      <c r="AA35" s="52">
        <f t="shared" si="27"/>
        <v>0.14285714285714285</v>
      </c>
      <c r="AB35" s="52">
        <f t="shared" si="27"/>
        <v>0</v>
      </c>
      <c r="AC35" s="52">
        <f t="shared" si="27"/>
        <v>20.285714285714285</v>
      </c>
      <c r="AD35" s="52">
        <f t="shared" si="27"/>
        <v>0</v>
      </c>
      <c r="AE35" s="40">
        <f t="shared" si="27"/>
        <v>5.5714285714285712</v>
      </c>
      <c r="AF35" s="40">
        <f t="shared" si="27"/>
        <v>25.285714285714285</v>
      </c>
    </row>
    <row r="36" spans="2:32" ht="23.1" customHeight="1" x14ac:dyDescent="0.25">
      <c r="B36" s="24" t="s">
        <v>63</v>
      </c>
      <c r="C36" s="49">
        <f>AVERAGE('31.07 Atiak-Palabek'!C36,'01.08 Atiak-Palabek'!C36,'05.08 Atiak-Palabek'!C36,'06.08 Atiak-Palabek'!C36,'02.08 Atiak-Palabek-24h'!C36,'03.08 Atiak-Palabek-24h'!C36,'04.08 Atiak-Palabek'!C36)</f>
        <v>0</v>
      </c>
      <c r="D36" s="49">
        <f>AVERAGE('31.07 Atiak-Palabek'!D36,'01.08 Atiak-Palabek'!D36,'05.08 Atiak-Palabek'!D36,'06.08 Atiak-Palabek'!D36,'02.08 Atiak-Palabek-24h'!D36,'03.08 Atiak-Palabek-24h'!D36,'04.08 Atiak-Palabek'!D36)</f>
        <v>0</v>
      </c>
      <c r="E36" s="49">
        <f>AVERAGE('31.07 Atiak-Palabek'!E36,'01.08 Atiak-Palabek'!E36,'05.08 Atiak-Palabek'!E36,'06.08 Atiak-Palabek'!E36,'02.08 Atiak-Palabek-24h'!E36,'03.08 Atiak-Palabek-24h'!E36,'04.08 Atiak-Palabek'!E36)</f>
        <v>1.1428571428571428</v>
      </c>
      <c r="F36" s="49">
        <f>AVERAGE('31.07 Atiak-Palabek'!F36,'01.08 Atiak-Palabek'!F36,'05.08 Atiak-Palabek'!F36,'06.08 Atiak-Palabek'!F36,'02.08 Atiak-Palabek-24h'!F36,'03.08 Atiak-Palabek-24h'!F36,'04.08 Atiak-Palabek'!F36)</f>
        <v>0</v>
      </c>
      <c r="G36" s="49">
        <f>AVERAGE('31.07 Atiak-Palabek'!G36,'01.08 Atiak-Palabek'!G36,'05.08 Atiak-Palabek'!G36,'06.08 Atiak-Palabek'!G36,'02.08 Atiak-Palabek-24h'!G36,'03.08 Atiak-Palabek-24h'!G36,'04.08 Atiak-Palabek'!G36)</f>
        <v>0</v>
      </c>
      <c r="H36" s="49">
        <f>AVERAGE('31.07 Atiak-Palabek'!H36,'01.08 Atiak-Palabek'!H36,'05.08 Atiak-Palabek'!H36,'06.08 Atiak-Palabek'!H36,'02.08 Atiak-Palabek-24h'!H36,'03.08 Atiak-Palabek-24h'!H36,'04.08 Atiak-Palabek'!H36)</f>
        <v>0</v>
      </c>
      <c r="I36" s="49">
        <f>AVERAGE('31.07 Atiak-Palabek'!I36,'01.08 Atiak-Palabek'!I36,'05.08 Atiak-Palabek'!I36,'06.08 Atiak-Palabek'!I36,'02.08 Atiak-Palabek-24h'!I36,'03.08 Atiak-Palabek-24h'!I36,'04.08 Atiak-Palabek'!I36)</f>
        <v>0</v>
      </c>
      <c r="J36" s="49">
        <f>AVERAGE('31.07 Atiak-Palabek'!J36,'01.08 Atiak-Palabek'!J36,'05.08 Atiak-Palabek'!J36,'06.08 Atiak-Palabek'!J36,'02.08 Atiak-Palabek-24h'!J36,'03.08 Atiak-Palabek-24h'!J36,'04.08 Atiak-Palabek'!J36)</f>
        <v>0</v>
      </c>
      <c r="K36" s="49">
        <f>AVERAGE('31.07 Atiak-Palabek'!K36,'01.08 Atiak-Palabek'!K36,'05.08 Atiak-Palabek'!K36,'06.08 Atiak-Palabek'!K36,'02.08 Atiak-Palabek-24h'!K36,'03.08 Atiak-Palabek-24h'!K36,'04.08 Atiak-Palabek'!K36)</f>
        <v>0</v>
      </c>
      <c r="L36" s="49">
        <f>AVERAGE('31.07 Atiak-Palabek'!L36,'01.08 Atiak-Palabek'!L36,'05.08 Atiak-Palabek'!L36,'06.08 Atiak-Palabek'!L36,'02.08 Atiak-Palabek-24h'!L36,'03.08 Atiak-Palabek-24h'!L36,'04.08 Atiak-Palabek'!L36)</f>
        <v>0</v>
      </c>
      <c r="M36" s="49">
        <f>AVERAGE('31.07 Atiak-Palabek'!M36,'01.08 Atiak-Palabek'!M36,'05.08 Atiak-Palabek'!M36,'06.08 Atiak-Palabek'!M36,'02.08 Atiak-Palabek-24h'!M36,'03.08 Atiak-Palabek-24h'!M36,'04.08 Atiak-Palabek'!M36)</f>
        <v>4.5714285714285712</v>
      </c>
      <c r="N36" s="49">
        <f>AVERAGE('31.07 Atiak-Palabek'!N36,'01.08 Atiak-Palabek'!N36,'05.08 Atiak-Palabek'!N36,'06.08 Atiak-Palabek'!N36,'02.08 Atiak-Palabek-24h'!N36,'03.08 Atiak-Palabek-24h'!N36,'04.08 Atiak-Palabek'!N36)</f>
        <v>0</v>
      </c>
      <c r="O36" s="15">
        <f t="shared" si="0"/>
        <v>1.1428571428571428</v>
      </c>
      <c r="P36" s="15">
        <f t="shared" si="1"/>
        <v>5.7142857142857135</v>
      </c>
      <c r="R36" s="51" t="s">
        <v>92</v>
      </c>
      <c r="S36" s="52">
        <f t="shared" ref="S36:AF36" si="28">MAX(S19:S21)</f>
        <v>0.5714285714285714</v>
      </c>
      <c r="T36" s="52">
        <f t="shared" si="28"/>
        <v>0</v>
      </c>
      <c r="U36" s="52">
        <f t="shared" si="28"/>
        <v>2.4285714285714284</v>
      </c>
      <c r="V36" s="52">
        <f t="shared" si="28"/>
        <v>1.4285714285714284</v>
      </c>
      <c r="W36" s="52">
        <f t="shared" si="28"/>
        <v>0.14285714285714285</v>
      </c>
      <c r="X36" s="52">
        <f t="shared" si="28"/>
        <v>0</v>
      </c>
      <c r="Y36" s="52">
        <f t="shared" si="28"/>
        <v>0.99999999999999989</v>
      </c>
      <c r="Z36" s="52">
        <f t="shared" si="28"/>
        <v>0.14285714285714285</v>
      </c>
      <c r="AA36" s="52">
        <f t="shared" si="28"/>
        <v>0.14285714285714285</v>
      </c>
      <c r="AB36" s="52">
        <f t="shared" si="28"/>
        <v>0</v>
      </c>
      <c r="AC36" s="52">
        <f t="shared" si="28"/>
        <v>21.428571428571431</v>
      </c>
      <c r="AD36" s="52">
        <f t="shared" si="28"/>
        <v>0</v>
      </c>
      <c r="AE36" s="40">
        <f t="shared" si="28"/>
        <v>4.7142857142857135</v>
      </c>
      <c r="AF36" s="40">
        <f t="shared" si="28"/>
        <v>24</v>
      </c>
    </row>
    <row r="37" spans="2:32" ht="23.1" customHeight="1" x14ac:dyDescent="0.25">
      <c r="B37" s="23" t="s">
        <v>64</v>
      </c>
      <c r="C37" s="49">
        <f>AVERAGE('31.07 Atiak-Palabek'!C37,'01.08 Atiak-Palabek'!C37,'05.08 Atiak-Palabek'!C37,'06.08 Atiak-Palabek'!C37,'02.08 Atiak-Palabek-24h'!C37,'03.08 Atiak-Palabek-24h'!C37,'04.08 Atiak-Palabek'!C37)</f>
        <v>0</v>
      </c>
      <c r="D37" s="49">
        <f>AVERAGE('31.07 Atiak-Palabek'!D37,'01.08 Atiak-Palabek'!D37,'05.08 Atiak-Palabek'!D37,'06.08 Atiak-Palabek'!D37,'02.08 Atiak-Palabek-24h'!D37,'03.08 Atiak-Palabek-24h'!D37,'04.08 Atiak-Palabek'!D37)</f>
        <v>0</v>
      </c>
      <c r="E37" s="49">
        <f>AVERAGE('31.07 Atiak-Palabek'!E37,'01.08 Atiak-Palabek'!E37,'05.08 Atiak-Palabek'!E37,'06.08 Atiak-Palabek'!E37,'02.08 Atiak-Palabek-24h'!E37,'03.08 Atiak-Palabek-24h'!E37,'04.08 Atiak-Palabek'!E37)</f>
        <v>0</v>
      </c>
      <c r="F37" s="49">
        <f>AVERAGE('31.07 Atiak-Palabek'!F37,'01.08 Atiak-Palabek'!F37,'05.08 Atiak-Palabek'!F37,'06.08 Atiak-Palabek'!F37,'02.08 Atiak-Palabek-24h'!F37,'03.08 Atiak-Palabek-24h'!F37,'04.08 Atiak-Palabek'!F37)</f>
        <v>0.14285714285714285</v>
      </c>
      <c r="G37" s="49">
        <f>AVERAGE('31.07 Atiak-Palabek'!G37,'01.08 Atiak-Palabek'!G37,'05.08 Atiak-Palabek'!G37,'06.08 Atiak-Palabek'!G37,'02.08 Atiak-Palabek-24h'!G37,'03.08 Atiak-Palabek-24h'!G37,'04.08 Atiak-Palabek'!G37)</f>
        <v>0</v>
      </c>
      <c r="H37" s="49">
        <f>AVERAGE('31.07 Atiak-Palabek'!H37,'01.08 Atiak-Palabek'!H37,'05.08 Atiak-Palabek'!H37,'06.08 Atiak-Palabek'!H37,'02.08 Atiak-Palabek-24h'!H37,'03.08 Atiak-Palabek-24h'!H37,'04.08 Atiak-Palabek'!H37)</f>
        <v>0</v>
      </c>
      <c r="I37" s="49">
        <f>AVERAGE('31.07 Atiak-Palabek'!I37,'01.08 Atiak-Palabek'!I37,'05.08 Atiak-Palabek'!I37,'06.08 Atiak-Palabek'!I37,'02.08 Atiak-Palabek-24h'!I37,'03.08 Atiak-Palabek-24h'!I37,'04.08 Atiak-Palabek'!I37)</f>
        <v>0.42857142857142855</v>
      </c>
      <c r="J37" s="49">
        <f>AVERAGE('31.07 Atiak-Palabek'!J37,'01.08 Atiak-Palabek'!J37,'05.08 Atiak-Palabek'!J37,'06.08 Atiak-Palabek'!J37,'02.08 Atiak-Palabek-24h'!J37,'03.08 Atiak-Palabek-24h'!J37,'04.08 Atiak-Palabek'!J37)</f>
        <v>0</v>
      </c>
      <c r="K37" s="49">
        <f>AVERAGE('31.07 Atiak-Palabek'!K37,'01.08 Atiak-Palabek'!K37,'05.08 Atiak-Palabek'!K37,'06.08 Atiak-Palabek'!K37,'02.08 Atiak-Palabek-24h'!K37,'03.08 Atiak-Palabek-24h'!K37,'04.08 Atiak-Palabek'!K37)</f>
        <v>0</v>
      </c>
      <c r="L37" s="49">
        <f>AVERAGE('31.07 Atiak-Palabek'!L37,'01.08 Atiak-Palabek'!L37,'05.08 Atiak-Palabek'!L37,'06.08 Atiak-Palabek'!L37,'02.08 Atiak-Palabek-24h'!L37,'03.08 Atiak-Palabek-24h'!L37,'04.08 Atiak-Palabek'!L37)</f>
        <v>0</v>
      </c>
      <c r="M37" s="49">
        <f>AVERAGE('31.07 Atiak-Palabek'!M37,'01.08 Atiak-Palabek'!M37,'05.08 Atiak-Palabek'!M37,'06.08 Atiak-Palabek'!M37,'02.08 Atiak-Palabek-24h'!M37,'03.08 Atiak-Palabek-24h'!M37,'04.08 Atiak-Palabek'!M37)</f>
        <v>5.1428571428571432</v>
      </c>
      <c r="N37" s="49">
        <f>AVERAGE('31.07 Atiak-Palabek'!N37,'01.08 Atiak-Palabek'!N37,'05.08 Atiak-Palabek'!N37,'06.08 Atiak-Palabek'!N37,'02.08 Atiak-Palabek-24h'!N37,'03.08 Atiak-Palabek-24h'!N37,'04.08 Atiak-Palabek'!N37)</f>
        <v>0</v>
      </c>
      <c r="O37" s="15">
        <f t="shared" si="0"/>
        <v>0.5714285714285714</v>
      </c>
      <c r="P37" s="15">
        <f t="shared" si="1"/>
        <v>5.7142857142857144</v>
      </c>
      <c r="R37" s="37" t="s">
        <v>85</v>
      </c>
      <c r="S37" s="35">
        <f t="shared" ref="S37:AF37" si="29">SUM(S10:S12)</f>
        <v>0.14285714285714285</v>
      </c>
      <c r="T37" s="16">
        <f t="shared" si="29"/>
        <v>0</v>
      </c>
      <c r="U37" s="16">
        <f t="shared" si="29"/>
        <v>0.71428571428571419</v>
      </c>
      <c r="V37" s="16">
        <f t="shared" si="29"/>
        <v>1.1428571428571428</v>
      </c>
      <c r="W37" s="16">
        <f t="shared" si="29"/>
        <v>0</v>
      </c>
      <c r="X37" s="16">
        <f t="shared" si="29"/>
        <v>0.14285714285714285</v>
      </c>
      <c r="Y37" s="16">
        <f t="shared" si="29"/>
        <v>2.2857142857142856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43.714285714285715</v>
      </c>
      <c r="AD37" s="16">
        <f t="shared" si="29"/>
        <v>0</v>
      </c>
      <c r="AE37" s="32">
        <f t="shared" si="29"/>
        <v>4.4285714285714279</v>
      </c>
      <c r="AF37" s="32">
        <f t="shared" si="29"/>
        <v>48.142857142857139</v>
      </c>
    </row>
    <row r="38" spans="2:32" ht="23.1" customHeight="1" x14ac:dyDescent="0.25">
      <c r="B38" s="24" t="s">
        <v>65</v>
      </c>
      <c r="C38" s="49">
        <f>AVERAGE('31.07 Atiak-Palabek'!C38,'01.08 Atiak-Palabek'!C38,'05.08 Atiak-Palabek'!C38,'06.08 Atiak-Palabek'!C38,'02.08 Atiak-Palabek-24h'!C38,'03.08 Atiak-Palabek-24h'!C38,'04.08 Atiak-Palabek'!C38)</f>
        <v>0.14285714285714285</v>
      </c>
      <c r="D38" s="49">
        <f>AVERAGE('31.07 Atiak-Palabek'!D38,'01.08 Atiak-Palabek'!D38,'05.08 Atiak-Palabek'!D38,'06.08 Atiak-Palabek'!D38,'02.08 Atiak-Palabek-24h'!D38,'03.08 Atiak-Palabek-24h'!D38,'04.08 Atiak-Palabek'!D38)</f>
        <v>0</v>
      </c>
      <c r="E38" s="49">
        <f>AVERAGE('31.07 Atiak-Palabek'!E38,'01.08 Atiak-Palabek'!E38,'05.08 Atiak-Palabek'!E38,'06.08 Atiak-Palabek'!E38,'02.08 Atiak-Palabek-24h'!E38,'03.08 Atiak-Palabek-24h'!E38,'04.08 Atiak-Palabek'!E38)</f>
        <v>0.14285714285714285</v>
      </c>
      <c r="F38" s="49">
        <f>AVERAGE('31.07 Atiak-Palabek'!F38,'01.08 Atiak-Palabek'!F38,'05.08 Atiak-Palabek'!F38,'06.08 Atiak-Palabek'!F38,'02.08 Atiak-Palabek-24h'!F38,'03.08 Atiak-Palabek-24h'!F38,'04.08 Atiak-Palabek'!F38)</f>
        <v>0.2857142857142857</v>
      </c>
      <c r="G38" s="49">
        <f>AVERAGE('31.07 Atiak-Palabek'!G38,'01.08 Atiak-Palabek'!G38,'05.08 Atiak-Palabek'!G38,'06.08 Atiak-Palabek'!G38,'02.08 Atiak-Palabek-24h'!G38,'03.08 Atiak-Palabek-24h'!G38,'04.08 Atiak-Palabek'!G38)</f>
        <v>0</v>
      </c>
      <c r="H38" s="49">
        <f>AVERAGE('31.07 Atiak-Palabek'!H38,'01.08 Atiak-Palabek'!H38,'05.08 Atiak-Palabek'!H38,'06.08 Atiak-Palabek'!H38,'02.08 Atiak-Palabek-24h'!H38,'03.08 Atiak-Palabek-24h'!H38,'04.08 Atiak-Palabek'!H38)</f>
        <v>0</v>
      </c>
      <c r="I38" s="49">
        <f>AVERAGE('31.07 Atiak-Palabek'!I38,'01.08 Atiak-Palabek'!I38,'05.08 Atiak-Palabek'!I38,'06.08 Atiak-Palabek'!I38,'02.08 Atiak-Palabek-24h'!I38,'03.08 Atiak-Palabek-24h'!I38,'04.08 Atiak-Palabek'!I38)</f>
        <v>0.7142857142857143</v>
      </c>
      <c r="J38" s="49">
        <f>AVERAGE('31.07 Atiak-Palabek'!J38,'01.08 Atiak-Palabek'!J38,'05.08 Atiak-Palabek'!J38,'06.08 Atiak-Palabek'!J38,'02.08 Atiak-Palabek-24h'!J38,'03.08 Atiak-Palabek-24h'!J38,'04.08 Atiak-Palabek'!J38)</f>
        <v>0</v>
      </c>
      <c r="K38" s="49">
        <f>AVERAGE('31.07 Atiak-Palabek'!K38,'01.08 Atiak-Palabek'!K38,'05.08 Atiak-Palabek'!K38,'06.08 Atiak-Palabek'!K38,'02.08 Atiak-Palabek-24h'!K38,'03.08 Atiak-Palabek-24h'!K38,'04.08 Atiak-Palabek'!K38)</f>
        <v>0</v>
      </c>
      <c r="L38" s="49">
        <f>AVERAGE('31.07 Atiak-Palabek'!L38,'01.08 Atiak-Palabek'!L38,'05.08 Atiak-Palabek'!L38,'06.08 Atiak-Palabek'!L38,'02.08 Atiak-Palabek-24h'!L38,'03.08 Atiak-Palabek-24h'!L38,'04.08 Atiak-Palabek'!L38)</f>
        <v>0</v>
      </c>
      <c r="M38" s="49">
        <f>AVERAGE('31.07 Atiak-Palabek'!M38,'01.08 Atiak-Palabek'!M38,'05.08 Atiak-Palabek'!M38,'06.08 Atiak-Palabek'!M38,'02.08 Atiak-Palabek-24h'!M38,'03.08 Atiak-Palabek-24h'!M38,'04.08 Atiak-Palabek'!M38)</f>
        <v>6.1428571428571432</v>
      </c>
      <c r="N38" s="49">
        <f>AVERAGE('31.07 Atiak-Palabek'!N38,'01.08 Atiak-Palabek'!N38,'05.08 Atiak-Palabek'!N38,'06.08 Atiak-Palabek'!N38,'02.08 Atiak-Palabek-24h'!N38,'03.08 Atiak-Palabek-24h'!N38,'04.08 Atiak-Palabek'!N38)</f>
        <v>0</v>
      </c>
      <c r="O38" s="15">
        <f t="shared" si="0"/>
        <v>1.2857142857142856</v>
      </c>
      <c r="P38" s="15">
        <f t="shared" si="1"/>
        <v>7.4285714285714288</v>
      </c>
      <c r="R38" s="28" t="s">
        <v>86</v>
      </c>
      <c r="S38" s="16">
        <f t="shared" ref="S38:AF38" si="30">SUM(S13:S18)</f>
        <v>1.4285714285714284</v>
      </c>
      <c r="T38" s="16">
        <f t="shared" si="30"/>
        <v>0</v>
      </c>
      <c r="U38" s="16">
        <f t="shared" si="30"/>
        <v>6.9999999999999991</v>
      </c>
      <c r="V38" s="16">
        <f t="shared" si="30"/>
        <v>5.7142857142857135</v>
      </c>
      <c r="W38" s="16">
        <f t="shared" si="30"/>
        <v>0</v>
      </c>
      <c r="X38" s="16">
        <f t="shared" si="30"/>
        <v>0.42857142857142855</v>
      </c>
      <c r="Y38" s="16">
        <f t="shared" si="30"/>
        <v>9.5238095238095255</v>
      </c>
      <c r="Z38" s="16">
        <f t="shared" si="30"/>
        <v>0.42857142857142855</v>
      </c>
      <c r="AA38" s="16">
        <f t="shared" si="30"/>
        <v>0.14285714285714285</v>
      </c>
      <c r="AB38" s="16">
        <f t="shared" si="30"/>
        <v>0</v>
      </c>
      <c r="AC38" s="16">
        <f t="shared" si="30"/>
        <v>113</v>
      </c>
      <c r="AD38" s="16">
        <f t="shared" si="30"/>
        <v>0</v>
      </c>
      <c r="AE38" s="32">
        <f t="shared" si="30"/>
        <v>24.666666666666664</v>
      </c>
      <c r="AF38" s="32">
        <f t="shared" si="30"/>
        <v>137.66666666666666</v>
      </c>
    </row>
    <row r="39" spans="2:32" ht="23.1" customHeight="1" x14ac:dyDescent="0.25">
      <c r="B39" s="24" t="s">
        <v>66</v>
      </c>
      <c r="C39" s="49">
        <f>AVERAGE('31.07 Atiak-Palabek'!C39,'01.08 Atiak-Palabek'!C39,'05.08 Atiak-Palabek'!C39,'06.08 Atiak-Palabek'!C39,'02.08 Atiak-Palabek-24h'!C39,'03.08 Atiak-Palabek-24h'!C39,'04.08 Atiak-Palabek'!C39)</f>
        <v>0.14285714285714285</v>
      </c>
      <c r="D39" s="49">
        <f>AVERAGE('31.07 Atiak-Palabek'!D39,'01.08 Atiak-Palabek'!D39,'05.08 Atiak-Palabek'!D39,'06.08 Atiak-Palabek'!D39,'02.08 Atiak-Palabek-24h'!D39,'03.08 Atiak-Palabek-24h'!D39,'04.08 Atiak-Palabek'!D39)</f>
        <v>0</v>
      </c>
      <c r="E39" s="49">
        <f>AVERAGE('31.07 Atiak-Palabek'!E39,'01.08 Atiak-Palabek'!E39,'05.08 Atiak-Palabek'!E39,'06.08 Atiak-Palabek'!E39,'02.08 Atiak-Palabek-24h'!E39,'03.08 Atiak-Palabek-24h'!E39,'04.08 Atiak-Palabek'!E39)</f>
        <v>0.42857142857142855</v>
      </c>
      <c r="F39" s="49">
        <f>AVERAGE('31.07 Atiak-Palabek'!F39,'01.08 Atiak-Palabek'!F39,'05.08 Atiak-Palabek'!F39,'06.08 Atiak-Palabek'!F39,'02.08 Atiak-Palabek-24h'!F39,'03.08 Atiak-Palabek-24h'!F39,'04.08 Atiak-Palabek'!F39)</f>
        <v>0.42857142857142855</v>
      </c>
      <c r="G39" s="49">
        <f>AVERAGE('31.07 Atiak-Palabek'!G39,'01.08 Atiak-Palabek'!G39,'05.08 Atiak-Palabek'!G39,'06.08 Atiak-Palabek'!G39,'02.08 Atiak-Palabek-24h'!G39,'03.08 Atiak-Palabek-24h'!G39,'04.08 Atiak-Palabek'!G39)</f>
        <v>0</v>
      </c>
      <c r="H39" s="49">
        <f>AVERAGE('31.07 Atiak-Palabek'!H39,'01.08 Atiak-Palabek'!H39,'05.08 Atiak-Palabek'!H39,'06.08 Atiak-Palabek'!H39,'02.08 Atiak-Palabek-24h'!H39,'03.08 Atiak-Palabek-24h'!H39,'04.08 Atiak-Palabek'!H39)</f>
        <v>0</v>
      </c>
      <c r="I39" s="49">
        <f>AVERAGE('31.07 Atiak-Palabek'!I39,'01.08 Atiak-Palabek'!I39,'05.08 Atiak-Palabek'!I39,'06.08 Atiak-Palabek'!I39,'02.08 Atiak-Palabek-24h'!I39,'03.08 Atiak-Palabek-24h'!I39,'04.08 Atiak-Palabek'!I39)</f>
        <v>0.14285714285714285</v>
      </c>
      <c r="J39" s="49">
        <f>AVERAGE('31.07 Atiak-Palabek'!J39,'01.08 Atiak-Palabek'!J39,'05.08 Atiak-Palabek'!J39,'06.08 Atiak-Palabek'!J39,'02.08 Atiak-Palabek-24h'!J39,'03.08 Atiak-Palabek-24h'!J39,'04.08 Atiak-Palabek'!J39)</f>
        <v>0</v>
      </c>
      <c r="K39" s="49">
        <f>AVERAGE('31.07 Atiak-Palabek'!K39,'01.08 Atiak-Palabek'!K39,'05.08 Atiak-Palabek'!K39,'06.08 Atiak-Palabek'!K39,'02.08 Atiak-Palabek-24h'!K39,'03.08 Atiak-Palabek-24h'!K39,'04.08 Atiak-Palabek'!K39)</f>
        <v>0</v>
      </c>
      <c r="L39" s="49">
        <f>AVERAGE('31.07 Atiak-Palabek'!L39,'01.08 Atiak-Palabek'!L39,'05.08 Atiak-Palabek'!L39,'06.08 Atiak-Palabek'!L39,'02.08 Atiak-Palabek-24h'!L39,'03.08 Atiak-Palabek-24h'!L39,'04.08 Atiak-Palabek'!L39)</f>
        <v>0</v>
      </c>
      <c r="M39" s="49">
        <f>AVERAGE('31.07 Atiak-Palabek'!M39,'01.08 Atiak-Palabek'!M39,'05.08 Atiak-Palabek'!M39,'06.08 Atiak-Palabek'!M39,'02.08 Atiak-Palabek-24h'!M39,'03.08 Atiak-Palabek-24h'!M39,'04.08 Atiak-Palabek'!M39)</f>
        <v>5</v>
      </c>
      <c r="N39" s="49">
        <f>AVERAGE('31.07 Atiak-Palabek'!N39,'01.08 Atiak-Palabek'!N39,'05.08 Atiak-Palabek'!N39,'06.08 Atiak-Palabek'!N39,'02.08 Atiak-Palabek-24h'!N39,'03.08 Atiak-Palabek-24h'!N39,'04.08 Atiak-Palabek'!N39)</f>
        <v>0</v>
      </c>
      <c r="O39" s="15">
        <f t="shared" si="0"/>
        <v>1.1428571428571428</v>
      </c>
      <c r="P39" s="15">
        <f t="shared" si="1"/>
        <v>6.1428571428571423</v>
      </c>
      <c r="R39" s="29" t="s">
        <v>87</v>
      </c>
      <c r="S39" s="16">
        <f t="shared" ref="S39:AF39" si="31">SUM(S19:S21)</f>
        <v>1</v>
      </c>
      <c r="T39" s="16">
        <f t="shared" si="31"/>
        <v>0</v>
      </c>
      <c r="U39" s="16">
        <f t="shared" si="31"/>
        <v>3.4285714285714284</v>
      </c>
      <c r="V39" s="16">
        <f t="shared" si="31"/>
        <v>2.714285714285714</v>
      </c>
      <c r="W39" s="16">
        <f t="shared" si="31"/>
        <v>0.14285714285714285</v>
      </c>
      <c r="X39" s="16">
        <f t="shared" si="31"/>
        <v>0</v>
      </c>
      <c r="Y39" s="16">
        <f t="shared" si="31"/>
        <v>2.4285714285714279</v>
      </c>
      <c r="Z39" s="16">
        <f t="shared" si="31"/>
        <v>0.14285714285714285</v>
      </c>
      <c r="AA39" s="16">
        <f t="shared" si="31"/>
        <v>0.14285714285714285</v>
      </c>
      <c r="AB39" s="16">
        <f t="shared" si="31"/>
        <v>0</v>
      </c>
      <c r="AC39" s="16">
        <f t="shared" si="31"/>
        <v>59</v>
      </c>
      <c r="AD39" s="16">
        <f t="shared" si="31"/>
        <v>0</v>
      </c>
      <c r="AE39" s="32">
        <f t="shared" si="31"/>
        <v>10</v>
      </c>
      <c r="AF39" s="32">
        <f t="shared" si="31"/>
        <v>69</v>
      </c>
    </row>
    <row r="40" spans="2:32" ht="23.1" customHeight="1" x14ac:dyDescent="0.25">
      <c r="B40" s="24" t="s">
        <v>67</v>
      </c>
      <c r="C40" s="49">
        <f>AVERAGE('31.07 Atiak-Palabek'!C40,'01.08 Atiak-Palabek'!C40,'05.08 Atiak-Palabek'!C40,'06.08 Atiak-Palabek'!C40,'02.08 Atiak-Palabek-24h'!C40,'03.08 Atiak-Palabek-24h'!C40,'04.08 Atiak-Palabek'!C40)</f>
        <v>0.14285714285714285</v>
      </c>
      <c r="D40" s="49">
        <f>AVERAGE('31.07 Atiak-Palabek'!D40,'01.08 Atiak-Palabek'!D40,'05.08 Atiak-Palabek'!D40,'06.08 Atiak-Palabek'!D40,'02.08 Atiak-Palabek-24h'!D40,'03.08 Atiak-Palabek-24h'!D40,'04.08 Atiak-Palabek'!D40)</f>
        <v>0</v>
      </c>
      <c r="E40" s="49">
        <f>AVERAGE('31.07 Atiak-Palabek'!E40,'01.08 Atiak-Palabek'!E40,'05.08 Atiak-Palabek'!E40,'06.08 Atiak-Palabek'!E40,'02.08 Atiak-Palabek-24h'!E40,'03.08 Atiak-Palabek-24h'!E40,'04.08 Atiak-Palabek'!E40)</f>
        <v>0.2857142857142857</v>
      </c>
      <c r="F40" s="49">
        <f>AVERAGE('31.07 Atiak-Palabek'!F40,'01.08 Atiak-Palabek'!F40,'05.08 Atiak-Palabek'!F40,'06.08 Atiak-Palabek'!F40,'02.08 Atiak-Palabek-24h'!F40,'03.08 Atiak-Palabek-24h'!F40,'04.08 Atiak-Palabek'!F40)</f>
        <v>0.14285714285714285</v>
      </c>
      <c r="G40" s="49">
        <f>AVERAGE('31.07 Atiak-Palabek'!G40,'01.08 Atiak-Palabek'!G40,'05.08 Atiak-Palabek'!G40,'06.08 Atiak-Palabek'!G40,'02.08 Atiak-Palabek-24h'!G40,'03.08 Atiak-Palabek-24h'!G40,'04.08 Atiak-Palabek'!G40)</f>
        <v>0</v>
      </c>
      <c r="H40" s="49">
        <f>AVERAGE('31.07 Atiak-Palabek'!H40,'01.08 Atiak-Palabek'!H40,'05.08 Atiak-Palabek'!H40,'06.08 Atiak-Palabek'!H40,'02.08 Atiak-Palabek-24h'!H40,'03.08 Atiak-Palabek-24h'!H40,'04.08 Atiak-Palabek'!H40)</f>
        <v>0</v>
      </c>
      <c r="I40" s="49">
        <f>AVERAGE('31.07 Atiak-Palabek'!I40,'01.08 Atiak-Palabek'!I40,'05.08 Atiak-Palabek'!I40,'06.08 Atiak-Palabek'!I40,'02.08 Atiak-Palabek-24h'!I40,'03.08 Atiak-Palabek-24h'!I40,'04.08 Atiak-Palabek'!I40)</f>
        <v>1.1428571428571428</v>
      </c>
      <c r="J40" s="49">
        <f>AVERAGE('31.07 Atiak-Palabek'!J40,'01.08 Atiak-Palabek'!J40,'05.08 Atiak-Palabek'!J40,'06.08 Atiak-Palabek'!J40,'02.08 Atiak-Palabek-24h'!J40,'03.08 Atiak-Palabek-24h'!J40,'04.08 Atiak-Palabek'!J40)</f>
        <v>0</v>
      </c>
      <c r="K40" s="49">
        <f>AVERAGE('31.07 Atiak-Palabek'!K40,'01.08 Atiak-Palabek'!K40,'05.08 Atiak-Palabek'!K40,'06.08 Atiak-Palabek'!K40,'02.08 Atiak-Palabek-24h'!K40,'03.08 Atiak-Palabek-24h'!K40,'04.08 Atiak-Palabek'!K40)</f>
        <v>0</v>
      </c>
      <c r="L40" s="49">
        <f>AVERAGE('31.07 Atiak-Palabek'!L40,'01.08 Atiak-Palabek'!L40,'05.08 Atiak-Palabek'!L40,'06.08 Atiak-Palabek'!L40,'02.08 Atiak-Palabek-24h'!L40,'03.08 Atiak-Palabek-24h'!L40,'04.08 Atiak-Palabek'!L40)</f>
        <v>0</v>
      </c>
      <c r="M40" s="49">
        <f>AVERAGE('31.07 Atiak-Palabek'!M40,'01.08 Atiak-Palabek'!M40,'05.08 Atiak-Palabek'!M40,'06.08 Atiak-Palabek'!M40,'02.08 Atiak-Palabek-24h'!M40,'03.08 Atiak-Palabek-24h'!M40,'04.08 Atiak-Palabek'!M40)</f>
        <v>4.4285714285714288</v>
      </c>
      <c r="N40" s="49">
        <f>AVERAGE('31.07 Atiak-Palabek'!N40,'01.08 Atiak-Palabek'!N40,'05.08 Atiak-Palabek'!N40,'06.08 Atiak-Palabek'!N40,'02.08 Atiak-Palabek-24h'!N40,'03.08 Atiak-Palabek-24h'!N40,'04.08 Atiak-Palabek'!N40)</f>
        <v>0</v>
      </c>
      <c r="O40" s="15">
        <f t="shared" si="0"/>
        <v>1.7142857142857142</v>
      </c>
      <c r="P40" s="15">
        <f t="shared" si="1"/>
        <v>6.1428571428571432</v>
      </c>
      <c r="R40" s="5" t="s">
        <v>17</v>
      </c>
      <c r="S40" s="16">
        <f t="shared" ref="S40:AF40" si="32">SUM(S10:S21)</f>
        <v>2.5714285714285707</v>
      </c>
      <c r="T40" s="16">
        <f t="shared" si="32"/>
        <v>0</v>
      </c>
      <c r="U40" s="16">
        <f t="shared" si="32"/>
        <v>11.142857142857144</v>
      </c>
      <c r="V40" s="16">
        <f t="shared" si="32"/>
        <v>9.5714285714285712</v>
      </c>
      <c r="W40" s="16">
        <f t="shared" si="32"/>
        <v>0.14285714285714285</v>
      </c>
      <c r="X40" s="16">
        <f t="shared" si="32"/>
        <v>0.5714285714285714</v>
      </c>
      <c r="Y40" s="16">
        <f t="shared" si="32"/>
        <v>14.238095238095239</v>
      </c>
      <c r="Z40" s="16">
        <f t="shared" si="32"/>
        <v>0.5714285714285714</v>
      </c>
      <c r="AA40" s="16">
        <f t="shared" si="32"/>
        <v>0.2857142857142857</v>
      </c>
      <c r="AB40" s="16">
        <f t="shared" si="32"/>
        <v>0</v>
      </c>
      <c r="AC40" s="16">
        <f t="shared" si="32"/>
        <v>215.71428571428567</v>
      </c>
      <c r="AD40" s="16">
        <f t="shared" si="32"/>
        <v>0</v>
      </c>
      <c r="AE40" s="32">
        <f t="shared" si="32"/>
        <v>39.095238095238095</v>
      </c>
      <c r="AF40" s="32">
        <f t="shared" si="32"/>
        <v>254.8095238095238</v>
      </c>
    </row>
    <row r="41" spans="2:32" ht="23.1" customHeight="1" x14ac:dyDescent="0.25">
      <c r="B41" s="23" t="s">
        <v>68</v>
      </c>
      <c r="C41" s="49">
        <f>AVERAGE('31.07 Atiak-Palabek'!C41,'01.08 Atiak-Palabek'!C41,'05.08 Atiak-Palabek'!C41,'06.08 Atiak-Palabek'!C41,'02.08 Atiak-Palabek-24h'!C41,'03.08 Atiak-Palabek-24h'!C41,'04.08 Atiak-Palabek'!C41)</f>
        <v>0.14285714285714285</v>
      </c>
      <c r="D41" s="49">
        <f>AVERAGE('31.07 Atiak-Palabek'!D41,'01.08 Atiak-Palabek'!D41,'05.08 Atiak-Palabek'!D41,'06.08 Atiak-Palabek'!D41,'02.08 Atiak-Palabek-24h'!D41,'03.08 Atiak-Palabek-24h'!D41,'04.08 Atiak-Palabek'!D41)</f>
        <v>0</v>
      </c>
      <c r="E41" s="49">
        <f>AVERAGE('31.07 Atiak-Palabek'!E41,'01.08 Atiak-Palabek'!E41,'05.08 Atiak-Palabek'!E41,'06.08 Atiak-Palabek'!E41,'02.08 Atiak-Palabek-24h'!E41,'03.08 Atiak-Palabek-24h'!E41,'04.08 Atiak-Palabek'!E41)</f>
        <v>0.2857142857142857</v>
      </c>
      <c r="F41" s="49">
        <f>AVERAGE('31.07 Atiak-Palabek'!F41,'01.08 Atiak-Palabek'!F41,'05.08 Atiak-Palabek'!F41,'06.08 Atiak-Palabek'!F41,'02.08 Atiak-Palabek-24h'!F41,'03.08 Atiak-Palabek-24h'!F41,'04.08 Atiak-Palabek'!F41)</f>
        <v>0</v>
      </c>
      <c r="G41" s="49">
        <f>AVERAGE('31.07 Atiak-Palabek'!G41,'01.08 Atiak-Palabek'!G41,'05.08 Atiak-Palabek'!G41,'06.08 Atiak-Palabek'!G41,'02.08 Atiak-Palabek-24h'!G41,'03.08 Atiak-Palabek-24h'!G41,'04.08 Atiak-Palabek'!G41)</f>
        <v>0</v>
      </c>
      <c r="H41" s="49">
        <f>AVERAGE('31.07 Atiak-Palabek'!H41,'01.08 Atiak-Palabek'!H41,'05.08 Atiak-Palabek'!H41,'06.08 Atiak-Palabek'!H41,'02.08 Atiak-Palabek-24h'!H41,'03.08 Atiak-Palabek-24h'!H41,'04.08 Atiak-Palabek'!H41)</f>
        <v>0</v>
      </c>
      <c r="I41" s="49">
        <f>AVERAGE('31.07 Atiak-Palabek'!I41,'01.08 Atiak-Palabek'!I41,'05.08 Atiak-Palabek'!I41,'06.08 Atiak-Palabek'!I41,'02.08 Atiak-Palabek-24h'!I41,'03.08 Atiak-Palabek-24h'!I41,'04.08 Atiak-Palabek'!I41)</f>
        <v>0.42857142857142855</v>
      </c>
      <c r="J41" s="49">
        <f>AVERAGE('31.07 Atiak-Palabek'!J41,'01.08 Atiak-Palabek'!J41,'05.08 Atiak-Palabek'!J41,'06.08 Atiak-Palabek'!J41,'02.08 Atiak-Palabek-24h'!J41,'03.08 Atiak-Palabek-24h'!J41,'04.08 Atiak-Palabek'!J41)</f>
        <v>0</v>
      </c>
      <c r="K41" s="49">
        <f>AVERAGE('31.07 Atiak-Palabek'!K41,'01.08 Atiak-Palabek'!K41,'05.08 Atiak-Palabek'!K41,'06.08 Atiak-Palabek'!K41,'02.08 Atiak-Palabek-24h'!K41,'03.08 Atiak-Palabek-24h'!K41,'04.08 Atiak-Palabek'!K41)</f>
        <v>0</v>
      </c>
      <c r="L41" s="49">
        <f>AVERAGE('31.07 Atiak-Palabek'!L41,'01.08 Atiak-Palabek'!L41,'05.08 Atiak-Palabek'!L41,'06.08 Atiak-Palabek'!L41,'02.08 Atiak-Palabek-24h'!L41,'03.08 Atiak-Palabek-24h'!L41,'04.08 Atiak-Palabek'!L41)</f>
        <v>0</v>
      </c>
      <c r="M41" s="49">
        <f>AVERAGE('31.07 Atiak-Palabek'!M41,'01.08 Atiak-Palabek'!M41,'05.08 Atiak-Palabek'!M41,'06.08 Atiak-Palabek'!M41,'02.08 Atiak-Palabek-24h'!M41,'03.08 Atiak-Palabek-24h'!M41,'04.08 Atiak-Palabek'!M41)</f>
        <v>4.7142857142857144</v>
      </c>
      <c r="N41" s="49">
        <f>AVERAGE('31.07 Atiak-Palabek'!N41,'01.08 Atiak-Palabek'!N41,'05.08 Atiak-Palabek'!N41,'06.08 Atiak-Palabek'!N41,'02.08 Atiak-Palabek-24h'!N41,'03.08 Atiak-Palabek-24h'!N41,'04.08 Atiak-Palabek'!N41)</f>
        <v>0</v>
      </c>
      <c r="O41" s="15">
        <f t="shared" si="0"/>
        <v>0.8571428571428571</v>
      </c>
      <c r="P41" s="15">
        <f t="shared" si="1"/>
        <v>5.5714285714285712</v>
      </c>
      <c r="R41" s="5" t="s">
        <v>174</v>
      </c>
      <c r="S41" s="16">
        <f>SUM(S10:S33)</f>
        <v>3.5714285714285707</v>
      </c>
      <c r="T41" s="16">
        <f t="shared" ref="T41:AD41" si="33">SUM(T10:T33)</f>
        <v>0</v>
      </c>
      <c r="U41" s="16">
        <f t="shared" si="33"/>
        <v>14.142857142857144</v>
      </c>
      <c r="V41" s="16">
        <f t="shared" si="33"/>
        <v>12.071428571428571</v>
      </c>
      <c r="W41" s="16">
        <f t="shared" si="33"/>
        <v>0.14285714285714285</v>
      </c>
      <c r="X41" s="16">
        <f t="shared" si="33"/>
        <v>1.0714285714285714</v>
      </c>
      <c r="Y41" s="16">
        <f t="shared" si="33"/>
        <v>19.238095238095241</v>
      </c>
      <c r="Z41" s="16">
        <f t="shared" si="33"/>
        <v>0.5714285714285714</v>
      </c>
      <c r="AA41" s="16">
        <f t="shared" si="33"/>
        <v>0.2857142857142857</v>
      </c>
      <c r="AB41" s="16">
        <f t="shared" si="33"/>
        <v>0</v>
      </c>
      <c r="AC41" s="16">
        <f t="shared" si="33"/>
        <v>292.21428571428567</v>
      </c>
      <c r="AD41" s="16">
        <f t="shared" si="33"/>
        <v>0</v>
      </c>
      <c r="AE41" s="32">
        <f>SUM(AE10:AE33)</f>
        <v>51.095238095238095</v>
      </c>
      <c r="AF41" s="32">
        <f>SUM(AF10:AF33)</f>
        <v>343.3095238095238</v>
      </c>
    </row>
    <row r="42" spans="2:32" ht="23.1" customHeight="1" x14ac:dyDescent="0.25">
      <c r="B42" s="24" t="s">
        <v>69</v>
      </c>
      <c r="C42" s="49">
        <f>AVERAGE('31.07 Atiak-Palabek'!C42,'01.08 Atiak-Palabek'!C42,'05.08 Atiak-Palabek'!C42,'06.08 Atiak-Palabek'!C42,'02.08 Atiak-Palabek-24h'!C42,'03.08 Atiak-Palabek-24h'!C42,'04.08 Atiak-Palabek'!C42)</f>
        <v>0</v>
      </c>
      <c r="D42" s="49">
        <f>AVERAGE('31.07 Atiak-Palabek'!D42,'01.08 Atiak-Palabek'!D42,'05.08 Atiak-Palabek'!D42,'06.08 Atiak-Palabek'!D42,'02.08 Atiak-Palabek-24h'!D42,'03.08 Atiak-Palabek-24h'!D42,'04.08 Atiak-Palabek'!D42)</f>
        <v>0</v>
      </c>
      <c r="E42" s="49">
        <f>AVERAGE('31.07 Atiak-Palabek'!E42,'01.08 Atiak-Palabek'!E42,'05.08 Atiak-Palabek'!E42,'06.08 Atiak-Palabek'!E42,'02.08 Atiak-Palabek-24h'!E42,'03.08 Atiak-Palabek-24h'!E42,'04.08 Atiak-Palabek'!E42)</f>
        <v>0.42857142857142855</v>
      </c>
      <c r="F42" s="49">
        <f>AVERAGE('31.07 Atiak-Palabek'!F42,'01.08 Atiak-Palabek'!F42,'05.08 Atiak-Palabek'!F42,'06.08 Atiak-Palabek'!F42,'02.08 Atiak-Palabek-24h'!F42,'03.08 Atiak-Palabek-24h'!F42,'04.08 Atiak-Palabek'!F42)</f>
        <v>0.14285714285714285</v>
      </c>
      <c r="G42" s="49">
        <f>AVERAGE('31.07 Atiak-Palabek'!G42,'01.08 Atiak-Palabek'!G42,'05.08 Atiak-Palabek'!G42,'06.08 Atiak-Palabek'!G42,'02.08 Atiak-Palabek-24h'!G42,'03.08 Atiak-Palabek-24h'!G42,'04.08 Atiak-Palabek'!G42)</f>
        <v>0</v>
      </c>
      <c r="H42" s="49">
        <f>AVERAGE('31.07 Atiak-Palabek'!H42,'01.08 Atiak-Palabek'!H42,'05.08 Atiak-Palabek'!H42,'06.08 Atiak-Palabek'!H42,'02.08 Atiak-Palabek-24h'!H42,'03.08 Atiak-Palabek-24h'!H42,'04.08 Atiak-Palabek'!H42)</f>
        <v>0</v>
      </c>
      <c r="I42" s="49">
        <f>AVERAGE('31.07 Atiak-Palabek'!I42,'01.08 Atiak-Palabek'!I42,'05.08 Atiak-Palabek'!I42,'06.08 Atiak-Palabek'!I42,'02.08 Atiak-Palabek-24h'!I42,'03.08 Atiak-Palabek-24h'!I42,'04.08 Atiak-Palabek'!I42)</f>
        <v>0</v>
      </c>
      <c r="J42" s="49">
        <f>AVERAGE('31.07 Atiak-Palabek'!J42,'01.08 Atiak-Palabek'!J42,'05.08 Atiak-Palabek'!J42,'06.08 Atiak-Palabek'!J42,'02.08 Atiak-Palabek-24h'!J42,'03.08 Atiak-Palabek-24h'!J42,'04.08 Atiak-Palabek'!J42)</f>
        <v>0</v>
      </c>
      <c r="K42" s="49">
        <f>AVERAGE('31.07 Atiak-Palabek'!K42,'01.08 Atiak-Palabek'!K42,'05.08 Atiak-Palabek'!K42,'06.08 Atiak-Palabek'!K42,'02.08 Atiak-Palabek-24h'!K42,'03.08 Atiak-Palabek-24h'!K42,'04.08 Atiak-Palabek'!K42)</f>
        <v>0</v>
      </c>
      <c r="L42" s="49">
        <f>AVERAGE('31.07 Atiak-Palabek'!L42,'01.08 Atiak-Palabek'!L42,'05.08 Atiak-Palabek'!L42,'06.08 Atiak-Palabek'!L42,'02.08 Atiak-Palabek-24h'!L42,'03.08 Atiak-Palabek-24h'!L42,'04.08 Atiak-Palabek'!L42)</f>
        <v>0</v>
      </c>
      <c r="M42" s="49">
        <f>AVERAGE('31.07 Atiak-Palabek'!M42,'01.08 Atiak-Palabek'!M42,'05.08 Atiak-Palabek'!M42,'06.08 Atiak-Palabek'!M42,'02.08 Atiak-Palabek-24h'!M42,'03.08 Atiak-Palabek-24h'!M42,'04.08 Atiak-Palabek'!M42)</f>
        <v>3.7142857142857144</v>
      </c>
      <c r="N42" s="49">
        <f>AVERAGE('31.07 Atiak-Palabek'!N42,'01.08 Atiak-Palabek'!N42,'05.08 Atiak-Palabek'!N42,'06.08 Atiak-Palabek'!N42,'02.08 Atiak-Palabek-24h'!N42,'03.08 Atiak-Palabek-24h'!N42,'04.08 Atiak-Palabek'!N42)</f>
        <v>0</v>
      </c>
      <c r="O42" s="15">
        <f t="shared" si="0"/>
        <v>0.5714285714285714</v>
      </c>
      <c r="P42" s="15">
        <f t="shared" si="1"/>
        <v>4.2857142857142856</v>
      </c>
      <c r="R42" s="5" t="s">
        <v>160</v>
      </c>
      <c r="S42" s="48">
        <f>S41/S40</f>
        <v>1.3888888888888891</v>
      </c>
      <c r="T42" s="48" t="e">
        <f t="shared" ref="T42:AF42" si="34">T41/T40</f>
        <v>#DIV/0!</v>
      </c>
      <c r="U42" s="48">
        <f t="shared" si="34"/>
        <v>1.2692307692307692</v>
      </c>
      <c r="V42" s="48">
        <f t="shared" si="34"/>
        <v>1.2611940298507462</v>
      </c>
      <c r="W42" s="48">
        <f t="shared" si="34"/>
        <v>1</v>
      </c>
      <c r="X42" s="48">
        <f t="shared" si="34"/>
        <v>1.875</v>
      </c>
      <c r="Y42" s="48">
        <f t="shared" si="34"/>
        <v>1.3511705685618731</v>
      </c>
      <c r="Z42" s="48">
        <f t="shared" si="34"/>
        <v>1</v>
      </c>
      <c r="AA42" s="48">
        <f t="shared" si="34"/>
        <v>1</v>
      </c>
      <c r="AB42" s="48" t="e">
        <f t="shared" si="34"/>
        <v>#DIV/0!</v>
      </c>
      <c r="AC42" s="48">
        <f t="shared" si="34"/>
        <v>1.354635761589404</v>
      </c>
      <c r="AD42" s="48" t="e">
        <f t="shared" si="34"/>
        <v>#DIV/0!</v>
      </c>
      <c r="AE42" s="53">
        <f t="shared" si="34"/>
        <v>1.3069427527405604</v>
      </c>
      <c r="AF42" s="53">
        <f t="shared" si="34"/>
        <v>1.3473182582694823</v>
      </c>
    </row>
    <row r="43" spans="2:32" ht="23.1" customHeight="1" x14ac:dyDescent="0.25">
      <c r="B43" s="23" t="s">
        <v>70</v>
      </c>
      <c r="C43" s="49">
        <f>AVERAGE('31.07 Atiak-Palabek'!C43,'01.08 Atiak-Palabek'!C43,'05.08 Atiak-Palabek'!C43,'06.08 Atiak-Palabek'!C43,'02.08 Atiak-Palabek-24h'!C43,'03.08 Atiak-Palabek-24h'!C43,'04.08 Atiak-Palabek'!C43)</f>
        <v>0</v>
      </c>
      <c r="D43" s="49">
        <f>AVERAGE('31.07 Atiak-Palabek'!D43,'01.08 Atiak-Palabek'!D43,'05.08 Atiak-Palabek'!D43,'06.08 Atiak-Palabek'!D43,'02.08 Atiak-Palabek-24h'!D43,'03.08 Atiak-Palabek-24h'!D43,'04.08 Atiak-Palabek'!D43)</f>
        <v>0</v>
      </c>
      <c r="E43" s="49">
        <f>AVERAGE('31.07 Atiak-Palabek'!E43,'01.08 Atiak-Palabek'!E43,'05.08 Atiak-Palabek'!E43,'06.08 Atiak-Palabek'!E43,'02.08 Atiak-Palabek-24h'!E43,'03.08 Atiak-Palabek-24h'!E43,'04.08 Atiak-Palabek'!E43)</f>
        <v>0.2857142857142857</v>
      </c>
      <c r="F43" s="49">
        <f>AVERAGE('31.07 Atiak-Palabek'!F43,'01.08 Atiak-Palabek'!F43,'05.08 Atiak-Palabek'!F43,'06.08 Atiak-Palabek'!F43,'02.08 Atiak-Palabek-24h'!F43,'03.08 Atiak-Palabek-24h'!F43,'04.08 Atiak-Palabek'!F43)</f>
        <v>0.2857142857142857</v>
      </c>
      <c r="G43" s="49">
        <f>AVERAGE('31.07 Atiak-Palabek'!G43,'01.08 Atiak-Palabek'!G43,'05.08 Atiak-Palabek'!G43,'06.08 Atiak-Palabek'!G43,'02.08 Atiak-Palabek-24h'!G43,'03.08 Atiak-Palabek-24h'!G43,'04.08 Atiak-Palabek'!G43)</f>
        <v>0</v>
      </c>
      <c r="H43" s="49">
        <f>AVERAGE('31.07 Atiak-Palabek'!H43,'01.08 Atiak-Palabek'!H43,'05.08 Atiak-Palabek'!H43,'06.08 Atiak-Palabek'!H43,'02.08 Atiak-Palabek-24h'!H43,'03.08 Atiak-Palabek-24h'!H43,'04.08 Atiak-Palabek'!H43)</f>
        <v>0</v>
      </c>
      <c r="I43" s="49">
        <f>AVERAGE('31.07 Atiak-Palabek'!I43,'01.08 Atiak-Palabek'!I43,'05.08 Atiak-Palabek'!I43,'06.08 Atiak-Palabek'!I43,'02.08 Atiak-Palabek-24h'!I43,'03.08 Atiak-Palabek-24h'!I43,'04.08 Atiak-Palabek'!I43)</f>
        <v>0.66666666666666663</v>
      </c>
      <c r="J43" s="49">
        <f>AVERAGE('31.07 Atiak-Palabek'!J43,'01.08 Atiak-Palabek'!J43,'05.08 Atiak-Palabek'!J43,'06.08 Atiak-Palabek'!J43,'02.08 Atiak-Palabek-24h'!J43,'03.08 Atiak-Palabek-24h'!J43,'04.08 Atiak-Palabek'!J43)</f>
        <v>0</v>
      </c>
      <c r="K43" s="49">
        <f>AVERAGE('31.07 Atiak-Palabek'!K43,'01.08 Atiak-Palabek'!K43,'05.08 Atiak-Palabek'!K43,'06.08 Atiak-Palabek'!K43,'02.08 Atiak-Palabek-24h'!K43,'03.08 Atiak-Palabek-24h'!K43,'04.08 Atiak-Palabek'!K43)</f>
        <v>0</v>
      </c>
      <c r="L43" s="49">
        <f>AVERAGE('31.07 Atiak-Palabek'!L43,'01.08 Atiak-Palabek'!L43,'05.08 Atiak-Palabek'!L43,'06.08 Atiak-Palabek'!L43,'02.08 Atiak-Palabek-24h'!L43,'03.08 Atiak-Palabek-24h'!L43,'04.08 Atiak-Palabek'!L43)</f>
        <v>0</v>
      </c>
      <c r="M43" s="49">
        <f>AVERAGE('31.07 Atiak-Palabek'!M43,'01.08 Atiak-Palabek'!M43,'05.08 Atiak-Palabek'!M43,'06.08 Atiak-Palabek'!M43,'02.08 Atiak-Palabek-24h'!M43,'03.08 Atiak-Palabek-24h'!M43,'04.08 Atiak-Palabek'!M43)</f>
        <v>3.8571428571428572</v>
      </c>
      <c r="N43" s="49">
        <f>AVERAGE('31.07 Atiak-Palabek'!N43,'01.08 Atiak-Palabek'!N43,'05.08 Atiak-Palabek'!N43,'06.08 Atiak-Palabek'!N43,'02.08 Atiak-Palabek-24h'!N43,'03.08 Atiak-Palabek-24h'!N43,'04.08 Atiak-Palabek'!N43)</f>
        <v>0</v>
      </c>
      <c r="O43" s="15">
        <f t="shared" si="0"/>
        <v>1.2380952380952381</v>
      </c>
      <c r="P43" s="15">
        <f t="shared" si="1"/>
        <v>5.0952380952380949</v>
      </c>
    </row>
    <row r="44" spans="2:32" ht="23.1" customHeight="1" x14ac:dyDescent="0.25">
      <c r="B44" s="25" t="s">
        <v>71</v>
      </c>
      <c r="C44" s="49">
        <f>AVERAGE('31.07 Atiak-Palabek'!C44,'01.08 Atiak-Palabek'!C44,'05.08 Atiak-Palabek'!C44,'06.08 Atiak-Palabek'!C44,'02.08 Atiak-Palabek-24h'!C44,'03.08 Atiak-Palabek-24h'!C44,'04.08 Atiak-Palabek'!C44)</f>
        <v>0.14285714285714285</v>
      </c>
      <c r="D44" s="49">
        <f>AVERAGE('31.07 Atiak-Palabek'!D44,'01.08 Atiak-Palabek'!D44,'05.08 Atiak-Palabek'!D44,'06.08 Atiak-Palabek'!D44,'02.08 Atiak-Palabek-24h'!D44,'03.08 Atiak-Palabek-24h'!D44,'04.08 Atiak-Palabek'!D44)</f>
        <v>0</v>
      </c>
      <c r="E44" s="49">
        <f>AVERAGE('31.07 Atiak-Palabek'!E44,'01.08 Atiak-Palabek'!E44,'05.08 Atiak-Palabek'!E44,'06.08 Atiak-Palabek'!E44,'02.08 Atiak-Palabek-24h'!E44,'03.08 Atiak-Palabek-24h'!E44,'04.08 Atiak-Palabek'!E44)</f>
        <v>0</v>
      </c>
      <c r="F44" s="49">
        <f>AVERAGE('31.07 Atiak-Palabek'!F44,'01.08 Atiak-Palabek'!F44,'05.08 Atiak-Palabek'!F44,'06.08 Atiak-Palabek'!F44,'02.08 Atiak-Palabek-24h'!F44,'03.08 Atiak-Palabek-24h'!F44,'04.08 Atiak-Palabek'!F44)</f>
        <v>0</v>
      </c>
      <c r="G44" s="49">
        <f>AVERAGE('31.07 Atiak-Palabek'!G44,'01.08 Atiak-Palabek'!G44,'05.08 Atiak-Palabek'!G44,'06.08 Atiak-Palabek'!G44,'02.08 Atiak-Palabek-24h'!G44,'03.08 Atiak-Palabek-24h'!G44,'04.08 Atiak-Palabek'!G44)</f>
        <v>0</v>
      </c>
      <c r="H44" s="49">
        <f>AVERAGE('31.07 Atiak-Palabek'!H44,'01.08 Atiak-Palabek'!H44,'05.08 Atiak-Palabek'!H44,'06.08 Atiak-Palabek'!H44,'02.08 Atiak-Palabek-24h'!H44,'03.08 Atiak-Palabek-24h'!H44,'04.08 Atiak-Palabek'!H44)</f>
        <v>0</v>
      </c>
      <c r="I44" s="49">
        <f>AVERAGE('31.07 Atiak-Palabek'!I44,'01.08 Atiak-Palabek'!I44,'05.08 Atiak-Palabek'!I44,'06.08 Atiak-Palabek'!I44,'02.08 Atiak-Palabek-24h'!I44,'03.08 Atiak-Palabek-24h'!I44,'04.08 Atiak-Palabek'!I44)</f>
        <v>0.14285714285714285</v>
      </c>
      <c r="J44" s="49">
        <f>AVERAGE('31.07 Atiak-Palabek'!J44,'01.08 Atiak-Palabek'!J44,'05.08 Atiak-Palabek'!J44,'06.08 Atiak-Palabek'!J44,'02.08 Atiak-Palabek-24h'!J44,'03.08 Atiak-Palabek-24h'!J44,'04.08 Atiak-Palabek'!J44)</f>
        <v>0.42857142857142855</v>
      </c>
      <c r="K44" s="49">
        <f>AVERAGE('31.07 Atiak-Palabek'!K44,'01.08 Atiak-Palabek'!K44,'05.08 Atiak-Palabek'!K44,'06.08 Atiak-Palabek'!K44,'02.08 Atiak-Palabek-24h'!K44,'03.08 Atiak-Palabek-24h'!K44,'04.08 Atiak-Palabek'!K44)</f>
        <v>0</v>
      </c>
      <c r="L44" s="49">
        <f>AVERAGE('31.07 Atiak-Palabek'!L44,'01.08 Atiak-Palabek'!L44,'05.08 Atiak-Palabek'!L44,'06.08 Atiak-Palabek'!L44,'02.08 Atiak-Palabek-24h'!L44,'03.08 Atiak-Palabek-24h'!L44,'04.08 Atiak-Palabek'!L44)</f>
        <v>0</v>
      </c>
      <c r="M44" s="49">
        <f>AVERAGE('31.07 Atiak-Palabek'!M44,'01.08 Atiak-Palabek'!M44,'05.08 Atiak-Palabek'!M44,'06.08 Atiak-Palabek'!M44,'02.08 Atiak-Palabek-24h'!M44,'03.08 Atiak-Palabek-24h'!M44,'04.08 Atiak-Palabek'!M44)</f>
        <v>3.7142857142857144</v>
      </c>
      <c r="N44" s="49">
        <f>AVERAGE('31.07 Atiak-Palabek'!N44,'01.08 Atiak-Palabek'!N44,'05.08 Atiak-Palabek'!N44,'06.08 Atiak-Palabek'!N44,'02.08 Atiak-Palabek-24h'!N44,'03.08 Atiak-Palabek-24h'!N44,'04.08 Atiak-Palabek'!N44)</f>
        <v>0</v>
      </c>
      <c r="O44" s="15">
        <f t="shared" si="0"/>
        <v>0.71428571428571419</v>
      </c>
      <c r="P44" s="15">
        <f t="shared" si="1"/>
        <v>4.4285714285714288</v>
      </c>
    </row>
    <row r="45" spans="2:32" ht="23.1" customHeight="1" x14ac:dyDescent="0.25">
      <c r="B45" s="23" t="s">
        <v>72</v>
      </c>
      <c r="C45" s="49">
        <f>AVERAGE('31.07 Atiak-Palabek'!C45,'01.08 Atiak-Palabek'!C45,'05.08 Atiak-Palabek'!C45,'06.08 Atiak-Palabek'!C45,'02.08 Atiak-Palabek-24h'!C45,'03.08 Atiak-Palabek-24h'!C45,'04.08 Atiak-Palabek'!C45)</f>
        <v>0</v>
      </c>
      <c r="D45" s="49">
        <f>AVERAGE('31.07 Atiak-Palabek'!D45,'01.08 Atiak-Palabek'!D45,'05.08 Atiak-Palabek'!D45,'06.08 Atiak-Palabek'!D45,'02.08 Atiak-Palabek-24h'!D45,'03.08 Atiak-Palabek-24h'!D45,'04.08 Atiak-Palabek'!D45)</f>
        <v>0</v>
      </c>
      <c r="E45" s="49">
        <f>AVERAGE('31.07 Atiak-Palabek'!E45,'01.08 Atiak-Palabek'!E45,'05.08 Atiak-Palabek'!E45,'06.08 Atiak-Palabek'!E45,'02.08 Atiak-Palabek-24h'!E45,'03.08 Atiak-Palabek-24h'!E45,'04.08 Atiak-Palabek'!E45)</f>
        <v>0.14285714285714285</v>
      </c>
      <c r="F45" s="49">
        <f>AVERAGE('31.07 Atiak-Palabek'!F45,'01.08 Atiak-Palabek'!F45,'05.08 Atiak-Palabek'!F45,'06.08 Atiak-Palabek'!F45,'02.08 Atiak-Palabek-24h'!F45,'03.08 Atiak-Palabek-24h'!F45,'04.08 Atiak-Palabek'!F45)</f>
        <v>0.42857142857142855</v>
      </c>
      <c r="G45" s="49">
        <f>AVERAGE('31.07 Atiak-Palabek'!G45,'01.08 Atiak-Palabek'!G45,'05.08 Atiak-Palabek'!G45,'06.08 Atiak-Palabek'!G45,'02.08 Atiak-Palabek-24h'!G45,'03.08 Atiak-Palabek-24h'!G45,'04.08 Atiak-Palabek'!G45)</f>
        <v>0</v>
      </c>
      <c r="H45" s="49">
        <f>AVERAGE('31.07 Atiak-Palabek'!H45,'01.08 Atiak-Palabek'!H45,'05.08 Atiak-Palabek'!H45,'06.08 Atiak-Palabek'!H45,'02.08 Atiak-Palabek-24h'!H45,'03.08 Atiak-Palabek-24h'!H45,'04.08 Atiak-Palabek'!H45)</f>
        <v>0.42857142857142855</v>
      </c>
      <c r="I45" s="49">
        <f>AVERAGE('31.07 Atiak-Palabek'!I45,'01.08 Atiak-Palabek'!I45,'05.08 Atiak-Palabek'!I45,'06.08 Atiak-Palabek'!I45,'02.08 Atiak-Palabek-24h'!I45,'03.08 Atiak-Palabek-24h'!I45,'04.08 Atiak-Palabek'!I45)</f>
        <v>0.42857142857142855</v>
      </c>
      <c r="J45" s="49">
        <f>AVERAGE('31.07 Atiak-Palabek'!J45,'01.08 Atiak-Palabek'!J45,'05.08 Atiak-Palabek'!J45,'06.08 Atiak-Palabek'!J45,'02.08 Atiak-Palabek-24h'!J45,'03.08 Atiak-Palabek-24h'!J45,'04.08 Atiak-Palabek'!J45)</f>
        <v>0</v>
      </c>
      <c r="K45" s="49">
        <f>AVERAGE('31.07 Atiak-Palabek'!K45,'01.08 Atiak-Palabek'!K45,'05.08 Atiak-Palabek'!K45,'06.08 Atiak-Palabek'!K45,'02.08 Atiak-Palabek-24h'!K45,'03.08 Atiak-Palabek-24h'!K45,'04.08 Atiak-Palabek'!K45)</f>
        <v>0</v>
      </c>
      <c r="L45" s="49">
        <f>AVERAGE('31.07 Atiak-Palabek'!L45,'01.08 Atiak-Palabek'!L45,'05.08 Atiak-Palabek'!L45,'06.08 Atiak-Palabek'!L45,'02.08 Atiak-Palabek-24h'!L45,'03.08 Atiak-Palabek-24h'!L45,'04.08 Atiak-Palabek'!L45)</f>
        <v>0</v>
      </c>
      <c r="M45" s="49">
        <f>AVERAGE('31.07 Atiak-Palabek'!M45,'01.08 Atiak-Palabek'!M45,'05.08 Atiak-Palabek'!M45,'06.08 Atiak-Palabek'!M45,'02.08 Atiak-Palabek-24h'!M45,'03.08 Atiak-Palabek-24h'!M45,'04.08 Atiak-Palabek'!M45)</f>
        <v>4.7142857142857144</v>
      </c>
      <c r="N45" s="49">
        <f>AVERAGE('31.07 Atiak-Palabek'!N45,'01.08 Atiak-Palabek'!N45,'05.08 Atiak-Palabek'!N45,'06.08 Atiak-Palabek'!N45,'02.08 Atiak-Palabek-24h'!N45,'03.08 Atiak-Palabek-24h'!N45,'04.08 Atiak-Palabek'!N45)</f>
        <v>0</v>
      </c>
      <c r="O45" s="15">
        <f t="shared" si="0"/>
        <v>1.4285714285714286</v>
      </c>
      <c r="P45" s="15">
        <f t="shared" si="1"/>
        <v>6.1428571428571432</v>
      </c>
    </row>
    <row r="46" spans="2:32" ht="23.1" customHeight="1" x14ac:dyDescent="0.25">
      <c r="B46" s="24" t="s">
        <v>73</v>
      </c>
      <c r="C46" s="49">
        <f>AVERAGE('31.07 Atiak-Palabek'!C46,'01.08 Atiak-Palabek'!C46,'05.08 Atiak-Palabek'!C46,'06.08 Atiak-Palabek'!C46,'02.08 Atiak-Palabek-24h'!C46,'03.08 Atiak-Palabek-24h'!C46,'04.08 Atiak-Palabek'!C46)</f>
        <v>0.14285714285714285</v>
      </c>
      <c r="D46" s="49">
        <f>AVERAGE('31.07 Atiak-Palabek'!D46,'01.08 Atiak-Palabek'!D46,'05.08 Atiak-Palabek'!D46,'06.08 Atiak-Palabek'!D46,'02.08 Atiak-Palabek-24h'!D46,'03.08 Atiak-Palabek-24h'!D46,'04.08 Atiak-Palabek'!D46)</f>
        <v>0</v>
      </c>
      <c r="E46" s="49">
        <f>AVERAGE('31.07 Atiak-Palabek'!E46,'01.08 Atiak-Palabek'!E46,'05.08 Atiak-Palabek'!E46,'06.08 Atiak-Palabek'!E46,'02.08 Atiak-Palabek-24h'!E46,'03.08 Atiak-Palabek-24h'!E46,'04.08 Atiak-Palabek'!E46)</f>
        <v>0.42857142857142855</v>
      </c>
      <c r="F46" s="49">
        <f>AVERAGE('31.07 Atiak-Palabek'!F46,'01.08 Atiak-Palabek'!F46,'05.08 Atiak-Palabek'!F46,'06.08 Atiak-Palabek'!F46,'02.08 Atiak-Palabek-24h'!F46,'03.08 Atiak-Palabek-24h'!F46,'04.08 Atiak-Palabek'!F46)</f>
        <v>0</v>
      </c>
      <c r="G46" s="49">
        <f>AVERAGE('31.07 Atiak-Palabek'!G46,'01.08 Atiak-Palabek'!G46,'05.08 Atiak-Palabek'!G46,'06.08 Atiak-Palabek'!G46,'02.08 Atiak-Palabek-24h'!G46,'03.08 Atiak-Palabek-24h'!G46,'04.08 Atiak-Palabek'!G46)</f>
        <v>0</v>
      </c>
      <c r="H46" s="49">
        <f>AVERAGE('31.07 Atiak-Palabek'!H46,'01.08 Atiak-Palabek'!H46,'05.08 Atiak-Palabek'!H46,'06.08 Atiak-Palabek'!H46,'02.08 Atiak-Palabek-24h'!H46,'03.08 Atiak-Palabek-24h'!H46,'04.08 Atiak-Palabek'!H46)</f>
        <v>0</v>
      </c>
      <c r="I46" s="49">
        <f>AVERAGE('31.07 Atiak-Palabek'!I46,'01.08 Atiak-Palabek'!I46,'05.08 Atiak-Palabek'!I46,'06.08 Atiak-Palabek'!I46,'02.08 Atiak-Palabek-24h'!I46,'03.08 Atiak-Palabek-24h'!I46,'04.08 Atiak-Palabek'!I46)</f>
        <v>0.2857142857142857</v>
      </c>
      <c r="J46" s="49">
        <f>AVERAGE('31.07 Atiak-Palabek'!J46,'01.08 Atiak-Palabek'!J46,'05.08 Atiak-Palabek'!J46,'06.08 Atiak-Palabek'!J46,'02.08 Atiak-Palabek-24h'!J46,'03.08 Atiak-Palabek-24h'!J46,'04.08 Atiak-Palabek'!J46)</f>
        <v>0</v>
      </c>
      <c r="K46" s="49">
        <f>AVERAGE('31.07 Atiak-Palabek'!K46,'01.08 Atiak-Palabek'!K46,'05.08 Atiak-Palabek'!K46,'06.08 Atiak-Palabek'!K46,'02.08 Atiak-Palabek-24h'!K46,'03.08 Atiak-Palabek-24h'!K46,'04.08 Atiak-Palabek'!K46)</f>
        <v>0.14285714285714285</v>
      </c>
      <c r="L46" s="49">
        <f>AVERAGE('31.07 Atiak-Palabek'!L46,'01.08 Atiak-Palabek'!L46,'05.08 Atiak-Palabek'!L46,'06.08 Atiak-Palabek'!L46,'02.08 Atiak-Palabek-24h'!L46,'03.08 Atiak-Palabek-24h'!L46,'04.08 Atiak-Palabek'!L46)</f>
        <v>0</v>
      </c>
      <c r="M46" s="49">
        <f>AVERAGE('31.07 Atiak-Palabek'!M46,'01.08 Atiak-Palabek'!M46,'05.08 Atiak-Palabek'!M46,'06.08 Atiak-Palabek'!M46,'02.08 Atiak-Palabek-24h'!M46,'03.08 Atiak-Palabek-24h'!M46,'04.08 Atiak-Palabek'!M46)</f>
        <v>6.2857142857142856</v>
      </c>
      <c r="N46" s="49">
        <f>AVERAGE('31.07 Atiak-Palabek'!N46,'01.08 Atiak-Palabek'!N46,'05.08 Atiak-Palabek'!N46,'06.08 Atiak-Palabek'!N46,'02.08 Atiak-Palabek-24h'!N46,'03.08 Atiak-Palabek-24h'!N46,'04.08 Atiak-Palabek'!N46)</f>
        <v>0</v>
      </c>
      <c r="O46" s="15">
        <f t="shared" si="0"/>
        <v>1</v>
      </c>
      <c r="P46" s="15">
        <f t="shared" si="1"/>
        <v>7.2857142857142856</v>
      </c>
      <c r="R46" s="8"/>
      <c r="T46"/>
    </row>
    <row r="47" spans="2:32" ht="23.1" customHeight="1" x14ac:dyDescent="0.25">
      <c r="B47" s="24" t="s">
        <v>74</v>
      </c>
      <c r="C47" s="49">
        <f>AVERAGE('31.07 Atiak-Palabek'!C47,'01.08 Atiak-Palabek'!C47,'05.08 Atiak-Palabek'!C47,'06.08 Atiak-Palabek'!C47,'02.08 Atiak-Palabek-24h'!C47,'03.08 Atiak-Palabek-24h'!C47,'04.08 Atiak-Palabek'!C47)</f>
        <v>0.14285714285714285</v>
      </c>
      <c r="D47" s="49">
        <f>AVERAGE('31.07 Atiak-Palabek'!D47,'01.08 Atiak-Palabek'!D47,'05.08 Atiak-Palabek'!D47,'06.08 Atiak-Palabek'!D47,'02.08 Atiak-Palabek-24h'!D47,'03.08 Atiak-Palabek-24h'!D47,'04.08 Atiak-Palabek'!D47)</f>
        <v>0</v>
      </c>
      <c r="E47" s="49">
        <f>AVERAGE('31.07 Atiak-Palabek'!E47,'01.08 Atiak-Palabek'!E47,'05.08 Atiak-Palabek'!E47,'06.08 Atiak-Palabek'!E47,'02.08 Atiak-Palabek-24h'!E47,'03.08 Atiak-Palabek-24h'!E47,'04.08 Atiak-Palabek'!E47)</f>
        <v>0</v>
      </c>
      <c r="F47" s="49">
        <f>AVERAGE('31.07 Atiak-Palabek'!F47,'01.08 Atiak-Palabek'!F47,'05.08 Atiak-Palabek'!F47,'06.08 Atiak-Palabek'!F47,'02.08 Atiak-Palabek-24h'!F47,'03.08 Atiak-Palabek-24h'!F47,'04.08 Atiak-Palabek'!F47)</f>
        <v>0.2857142857142857</v>
      </c>
      <c r="G47" s="49">
        <f>AVERAGE('31.07 Atiak-Palabek'!G47,'01.08 Atiak-Palabek'!G47,'05.08 Atiak-Palabek'!G47,'06.08 Atiak-Palabek'!G47,'02.08 Atiak-Palabek-24h'!G47,'03.08 Atiak-Palabek-24h'!G47,'04.08 Atiak-Palabek'!G47)</f>
        <v>0</v>
      </c>
      <c r="H47" s="49">
        <f>AVERAGE('31.07 Atiak-Palabek'!H47,'01.08 Atiak-Palabek'!H47,'05.08 Atiak-Palabek'!H47,'06.08 Atiak-Palabek'!H47,'02.08 Atiak-Palabek-24h'!H47,'03.08 Atiak-Palabek-24h'!H47,'04.08 Atiak-Palabek'!H47)</f>
        <v>0</v>
      </c>
      <c r="I47" s="49">
        <f>AVERAGE('31.07 Atiak-Palabek'!I47,'01.08 Atiak-Palabek'!I47,'05.08 Atiak-Palabek'!I47,'06.08 Atiak-Palabek'!I47,'02.08 Atiak-Palabek-24h'!I47,'03.08 Atiak-Palabek-24h'!I47,'04.08 Atiak-Palabek'!I47)</f>
        <v>0.2857142857142857</v>
      </c>
      <c r="J47" s="49">
        <f>AVERAGE('31.07 Atiak-Palabek'!J47,'01.08 Atiak-Palabek'!J47,'05.08 Atiak-Palabek'!J47,'06.08 Atiak-Palabek'!J47,'02.08 Atiak-Palabek-24h'!J47,'03.08 Atiak-Palabek-24h'!J47,'04.08 Atiak-Palabek'!J47)</f>
        <v>0</v>
      </c>
      <c r="K47" s="49">
        <f>AVERAGE('31.07 Atiak-Palabek'!K47,'01.08 Atiak-Palabek'!K47,'05.08 Atiak-Palabek'!K47,'06.08 Atiak-Palabek'!K47,'02.08 Atiak-Palabek-24h'!K47,'03.08 Atiak-Palabek-24h'!K47,'04.08 Atiak-Palabek'!K47)</f>
        <v>0</v>
      </c>
      <c r="L47" s="49">
        <f>AVERAGE('31.07 Atiak-Palabek'!L47,'01.08 Atiak-Palabek'!L47,'05.08 Atiak-Palabek'!L47,'06.08 Atiak-Palabek'!L47,'02.08 Atiak-Palabek-24h'!L47,'03.08 Atiak-Palabek-24h'!L47,'04.08 Atiak-Palabek'!L47)</f>
        <v>0</v>
      </c>
      <c r="M47" s="49">
        <f>AVERAGE('31.07 Atiak-Palabek'!M47,'01.08 Atiak-Palabek'!M47,'05.08 Atiak-Palabek'!M47,'06.08 Atiak-Palabek'!M47,'02.08 Atiak-Palabek-24h'!M47,'03.08 Atiak-Palabek-24h'!M47,'04.08 Atiak-Palabek'!M47)</f>
        <v>4.4285714285714288</v>
      </c>
      <c r="N47" s="49">
        <f>AVERAGE('31.07 Atiak-Palabek'!N47,'01.08 Atiak-Palabek'!N47,'05.08 Atiak-Palabek'!N47,'06.08 Atiak-Palabek'!N47,'02.08 Atiak-Palabek-24h'!N47,'03.08 Atiak-Palabek-24h'!N47,'04.08 Atiak-Palabek'!N47)</f>
        <v>0</v>
      </c>
      <c r="O47" s="15">
        <f t="shared" si="0"/>
        <v>0.71428571428571419</v>
      </c>
      <c r="P47" s="15">
        <f t="shared" si="1"/>
        <v>5.1428571428571432</v>
      </c>
      <c r="R47" s="8"/>
      <c r="T47"/>
    </row>
    <row r="48" spans="2:32" ht="23.1" customHeight="1" x14ac:dyDescent="0.25">
      <c r="B48" s="24" t="s">
        <v>75</v>
      </c>
      <c r="C48" s="49">
        <f>AVERAGE('31.07 Atiak-Palabek'!C48,'01.08 Atiak-Palabek'!C48,'05.08 Atiak-Palabek'!C48,'06.08 Atiak-Palabek'!C48,'02.08 Atiak-Palabek-24h'!C48,'03.08 Atiak-Palabek-24h'!C48,'04.08 Atiak-Palabek'!C48)</f>
        <v>0</v>
      </c>
      <c r="D48" s="49">
        <f>AVERAGE('31.07 Atiak-Palabek'!D48,'01.08 Atiak-Palabek'!D48,'05.08 Atiak-Palabek'!D48,'06.08 Atiak-Palabek'!D48,'02.08 Atiak-Palabek-24h'!D48,'03.08 Atiak-Palabek-24h'!D48,'04.08 Atiak-Palabek'!D48)</f>
        <v>0</v>
      </c>
      <c r="E48" s="49">
        <f>AVERAGE('31.07 Atiak-Palabek'!E48,'01.08 Atiak-Palabek'!E48,'05.08 Atiak-Palabek'!E48,'06.08 Atiak-Palabek'!E48,'02.08 Atiak-Palabek-24h'!E48,'03.08 Atiak-Palabek-24h'!E48,'04.08 Atiak-Palabek'!E48)</f>
        <v>0.14285714285714285</v>
      </c>
      <c r="F48" s="49">
        <f>AVERAGE('31.07 Atiak-Palabek'!F48,'01.08 Atiak-Palabek'!F48,'05.08 Atiak-Palabek'!F48,'06.08 Atiak-Palabek'!F48,'02.08 Atiak-Palabek-24h'!F48,'03.08 Atiak-Palabek-24h'!F48,'04.08 Atiak-Palabek'!F48)</f>
        <v>0.42857142857142855</v>
      </c>
      <c r="G48" s="49">
        <f>AVERAGE('31.07 Atiak-Palabek'!G48,'01.08 Atiak-Palabek'!G48,'05.08 Atiak-Palabek'!G48,'06.08 Atiak-Palabek'!G48,'02.08 Atiak-Palabek-24h'!G48,'03.08 Atiak-Palabek-24h'!G48,'04.08 Atiak-Palabek'!G48)</f>
        <v>0</v>
      </c>
      <c r="H48" s="49">
        <f>AVERAGE('31.07 Atiak-Palabek'!H48,'01.08 Atiak-Palabek'!H48,'05.08 Atiak-Palabek'!H48,'06.08 Atiak-Palabek'!H48,'02.08 Atiak-Palabek-24h'!H48,'03.08 Atiak-Palabek-24h'!H48,'04.08 Atiak-Palabek'!H48)</f>
        <v>0</v>
      </c>
      <c r="I48" s="49">
        <f>AVERAGE('31.07 Atiak-Palabek'!I48,'01.08 Atiak-Palabek'!I48,'05.08 Atiak-Palabek'!I48,'06.08 Atiak-Palabek'!I48,'02.08 Atiak-Palabek-24h'!I48,'03.08 Atiak-Palabek-24h'!I48,'04.08 Atiak-Palabek'!I48)</f>
        <v>0.14285714285714285</v>
      </c>
      <c r="J48" s="49">
        <f>AVERAGE('31.07 Atiak-Palabek'!J48,'01.08 Atiak-Palabek'!J48,'05.08 Atiak-Palabek'!J48,'06.08 Atiak-Palabek'!J48,'02.08 Atiak-Palabek-24h'!J48,'03.08 Atiak-Palabek-24h'!J48,'04.08 Atiak-Palabek'!J48)</f>
        <v>0</v>
      </c>
      <c r="K48" s="49">
        <f>AVERAGE('31.07 Atiak-Palabek'!K48,'01.08 Atiak-Palabek'!K48,'05.08 Atiak-Palabek'!K48,'06.08 Atiak-Palabek'!K48,'02.08 Atiak-Palabek-24h'!K48,'03.08 Atiak-Palabek-24h'!K48,'04.08 Atiak-Palabek'!K48)</f>
        <v>0</v>
      </c>
      <c r="L48" s="49">
        <f>AVERAGE('31.07 Atiak-Palabek'!L48,'01.08 Atiak-Palabek'!L48,'05.08 Atiak-Palabek'!L48,'06.08 Atiak-Palabek'!L48,'02.08 Atiak-Palabek-24h'!L48,'03.08 Atiak-Palabek-24h'!L48,'04.08 Atiak-Palabek'!L48)</f>
        <v>0</v>
      </c>
      <c r="M48" s="49">
        <f>AVERAGE('31.07 Atiak-Palabek'!M48,'01.08 Atiak-Palabek'!M48,'05.08 Atiak-Palabek'!M48,'06.08 Atiak-Palabek'!M48,'02.08 Atiak-Palabek-24h'!M48,'03.08 Atiak-Palabek-24h'!M48,'04.08 Atiak-Palabek'!M48)</f>
        <v>5.7142857142857144</v>
      </c>
      <c r="N48" s="49">
        <f>AVERAGE('31.07 Atiak-Palabek'!N48,'01.08 Atiak-Palabek'!N48,'05.08 Atiak-Palabek'!N48,'06.08 Atiak-Palabek'!N48,'02.08 Atiak-Palabek-24h'!N48,'03.08 Atiak-Palabek-24h'!N48,'04.08 Atiak-Palabek'!N48)</f>
        <v>0</v>
      </c>
      <c r="O48" s="15">
        <f t="shared" si="0"/>
        <v>0.71428571428571419</v>
      </c>
      <c r="P48" s="15">
        <f t="shared" si="1"/>
        <v>6.4285714285714288</v>
      </c>
      <c r="R48" s="8"/>
      <c r="T48"/>
    </row>
    <row r="49" spans="2:20" ht="23.1" customHeight="1" x14ac:dyDescent="0.25">
      <c r="B49" s="23" t="s">
        <v>76</v>
      </c>
      <c r="C49" s="49">
        <f>AVERAGE('31.07 Atiak-Palabek'!C49,'01.08 Atiak-Palabek'!C49,'05.08 Atiak-Palabek'!C49,'06.08 Atiak-Palabek'!C49,'02.08 Atiak-Palabek-24h'!C49,'03.08 Atiak-Palabek-24h'!C49,'04.08 Atiak-Palabek'!C49)</f>
        <v>0</v>
      </c>
      <c r="D49" s="49">
        <f>AVERAGE('31.07 Atiak-Palabek'!D49,'01.08 Atiak-Palabek'!D49,'05.08 Atiak-Palabek'!D49,'06.08 Atiak-Palabek'!D49,'02.08 Atiak-Palabek-24h'!D49,'03.08 Atiak-Palabek-24h'!D49,'04.08 Atiak-Palabek'!D49)</f>
        <v>0</v>
      </c>
      <c r="E49" s="49">
        <f>AVERAGE('31.07 Atiak-Palabek'!E49,'01.08 Atiak-Palabek'!E49,'05.08 Atiak-Palabek'!E49,'06.08 Atiak-Palabek'!E49,'02.08 Atiak-Palabek-24h'!E49,'03.08 Atiak-Palabek-24h'!E49,'04.08 Atiak-Palabek'!E49)</f>
        <v>0</v>
      </c>
      <c r="F49" s="49">
        <f>AVERAGE('31.07 Atiak-Palabek'!F49,'01.08 Atiak-Palabek'!F49,'05.08 Atiak-Palabek'!F49,'06.08 Atiak-Palabek'!F49,'02.08 Atiak-Palabek-24h'!F49,'03.08 Atiak-Palabek-24h'!F49,'04.08 Atiak-Palabek'!F49)</f>
        <v>0</v>
      </c>
      <c r="G49" s="49">
        <f>AVERAGE('31.07 Atiak-Palabek'!G49,'01.08 Atiak-Palabek'!G49,'05.08 Atiak-Palabek'!G49,'06.08 Atiak-Palabek'!G49,'02.08 Atiak-Palabek-24h'!G49,'03.08 Atiak-Palabek-24h'!G49,'04.08 Atiak-Palabek'!G49)</f>
        <v>0</v>
      </c>
      <c r="H49" s="49">
        <f>AVERAGE('31.07 Atiak-Palabek'!H49,'01.08 Atiak-Palabek'!H49,'05.08 Atiak-Palabek'!H49,'06.08 Atiak-Palabek'!H49,'02.08 Atiak-Palabek-24h'!H49,'03.08 Atiak-Palabek-24h'!H49,'04.08 Atiak-Palabek'!H49)</f>
        <v>0</v>
      </c>
      <c r="I49" s="49">
        <f>AVERAGE('31.07 Atiak-Palabek'!I49,'01.08 Atiak-Palabek'!I49,'05.08 Atiak-Palabek'!I49,'06.08 Atiak-Palabek'!I49,'02.08 Atiak-Palabek-24h'!I49,'03.08 Atiak-Palabek-24h'!I49,'04.08 Atiak-Palabek'!I49)</f>
        <v>0.14285714285714285</v>
      </c>
      <c r="J49" s="49">
        <f>AVERAGE('31.07 Atiak-Palabek'!J49,'01.08 Atiak-Palabek'!J49,'05.08 Atiak-Palabek'!J49,'06.08 Atiak-Palabek'!J49,'02.08 Atiak-Palabek-24h'!J49,'03.08 Atiak-Palabek-24h'!J49,'04.08 Atiak-Palabek'!J49)</f>
        <v>0</v>
      </c>
      <c r="K49" s="49">
        <f>AVERAGE('31.07 Atiak-Palabek'!K49,'01.08 Atiak-Palabek'!K49,'05.08 Atiak-Palabek'!K49,'06.08 Atiak-Palabek'!K49,'02.08 Atiak-Palabek-24h'!K49,'03.08 Atiak-Palabek-24h'!K49,'04.08 Atiak-Palabek'!K49)</f>
        <v>0</v>
      </c>
      <c r="L49" s="49">
        <f>AVERAGE('31.07 Atiak-Palabek'!L49,'01.08 Atiak-Palabek'!L49,'05.08 Atiak-Palabek'!L49,'06.08 Atiak-Palabek'!L49,'02.08 Atiak-Palabek-24h'!L49,'03.08 Atiak-Palabek-24h'!L49,'04.08 Atiak-Palabek'!L49)</f>
        <v>0</v>
      </c>
      <c r="M49" s="49">
        <f>AVERAGE('31.07 Atiak-Palabek'!M49,'01.08 Atiak-Palabek'!M49,'05.08 Atiak-Palabek'!M49,'06.08 Atiak-Palabek'!M49,'02.08 Atiak-Palabek-24h'!M49,'03.08 Atiak-Palabek-24h'!M49,'04.08 Atiak-Palabek'!M49)</f>
        <v>5</v>
      </c>
      <c r="N49" s="49">
        <f>AVERAGE('31.07 Atiak-Palabek'!N49,'01.08 Atiak-Palabek'!N49,'05.08 Atiak-Palabek'!N49,'06.08 Atiak-Palabek'!N49,'02.08 Atiak-Palabek-24h'!N49,'03.08 Atiak-Palabek-24h'!N49,'04.08 Atiak-Palabek'!N49)</f>
        <v>0</v>
      </c>
      <c r="O49" s="15">
        <f t="shared" si="0"/>
        <v>0.14285714285714285</v>
      </c>
      <c r="P49" s="15">
        <f t="shared" si="1"/>
        <v>5.1428571428571432</v>
      </c>
      <c r="R49" s="8"/>
      <c r="T49"/>
    </row>
    <row r="50" spans="2:20" ht="23.1" customHeight="1" x14ac:dyDescent="0.25">
      <c r="B50" s="24" t="s">
        <v>77</v>
      </c>
      <c r="C50" s="49">
        <f>AVERAGE('31.07 Atiak-Palabek'!C50,'01.08 Atiak-Palabek'!C50,'05.08 Atiak-Palabek'!C50,'06.08 Atiak-Palabek'!C50,'02.08 Atiak-Palabek-24h'!C50,'03.08 Atiak-Palabek-24h'!C50,'04.08 Atiak-Palabek'!C50)</f>
        <v>0</v>
      </c>
      <c r="D50" s="49">
        <f>AVERAGE('31.07 Atiak-Palabek'!D50,'01.08 Atiak-Palabek'!D50,'05.08 Atiak-Palabek'!D50,'06.08 Atiak-Palabek'!D50,'02.08 Atiak-Palabek-24h'!D50,'03.08 Atiak-Palabek-24h'!D50,'04.08 Atiak-Palabek'!D50)</f>
        <v>0</v>
      </c>
      <c r="E50" s="49">
        <f>AVERAGE('31.07 Atiak-Palabek'!E50,'01.08 Atiak-Palabek'!E50,'05.08 Atiak-Palabek'!E50,'06.08 Atiak-Palabek'!E50,'02.08 Atiak-Palabek-24h'!E50,'03.08 Atiak-Palabek-24h'!E50,'04.08 Atiak-Palabek'!E50)</f>
        <v>1</v>
      </c>
      <c r="F50" s="49">
        <f>AVERAGE('31.07 Atiak-Palabek'!F50,'01.08 Atiak-Palabek'!F50,'05.08 Atiak-Palabek'!F50,'06.08 Atiak-Palabek'!F50,'02.08 Atiak-Palabek-24h'!F50,'03.08 Atiak-Palabek-24h'!F50,'04.08 Atiak-Palabek'!F50)</f>
        <v>0.14285714285714285</v>
      </c>
      <c r="G50" s="49">
        <f>AVERAGE('31.07 Atiak-Palabek'!G50,'01.08 Atiak-Palabek'!G50,'05.08 Atiak-Palabek'!G50,'06.08 Atiak-Palabek'!G50,'02.08 Atiak-Palabek-24h'!G50,'03.08 Atiak-Palabek-24h'!G50,'04.08 Atiak-Palabek'!G50)</f>
        <v>0</v>
      </c>
      <c r="H50" s="49">
        <f>AVERAGE('31.07 Atiak-Palabek'!H50,'01.08 Atiak-Palabek'!H50,'05.08 Atiak-Palabek'!H50,'06.08 Atiak-Palabek'!H50,'02.08 Atiak-Palabek-24h'!H50,'03.08 Atiak-Palabek-24h'!H50,'04.08 Atiak-Palabek'!H50)</f>
        <v>0</v>
      </c>
      <c r="I50" s="49">
        <f>AVERAGE('31.07 Atiak-Palabek'!I50,'01.08 Atiak-Palabek'!I50,'05.08 Atiak-Palabek'!I50,'06.08 Atiak-Palabek'!I50,'02.08 Atiak-Palabek-24h'!I50,'03.08 Atiak-Palabek-24h'!I50,'04.08 Atiak-Palabek'!I50)</f>
        <v>0.14285714285714285</v>
      </c>
      <c r="J50" s="49">
        <f>AVERAGE('31.07 Atiak-Palabek'!J50,'01.08 Atiak-Palabek'!J50,'05.08 Atiak-Palabek'!J50,'06.08 Atiak-Palabek'!J50,'02.08 Atiak-Palabek-24h'!J50,'03.08 Atiak-Palabek-24h'!J50,'04.08 Atiak-Palabek'!J50)</f>
        <v>0.14285714285714285</v>
      </c>
      <c r="K50" s="49">
        <f>AVERAGE('31.07 Atiak-Palabek'!K50,'01.08 Atiak-Palabek'!K50,'05.08 Atiak-Palabek'!K50,'06.08 Atiak-Palabek'!K50,'02.08 Atiak-Palabek-24h'!K50,'03.08 Atiak-Palabek-24h'!K50,'04.08 Atiak-Palabek'!K50)</f>
        <v>0</v>
      </c>
      <c r="L50" s="49">
        <f>AVERAGE('31.07 Atiak-Palabek'!L50,'01.08 Atiak-Palabek'!L50,'05.08 Atiak-Palabek'!L50,'06.08 Atiak-Palabek'!L50,'02.08 Atiak-Palabek-24h'!L50,'03.08 Atiak-Palabek-24h'!L50,'04.08 Atiak-Palabek'!L50)</f>
        <v>0</v>
      </c>
      <c r="M50" s="49">
        <f>AVERAGE('31.07 Atiak-Palabek'!M50,'01.08 Atiak-Palabek'!M50,'05.08 Atiak-Palabek'!M50,'06.08 Atiak-Palabek'!M50,'02.08 Atiak-Palabek-24h'!M50,'03.08 Atiak-Palabek-24h'!M50,'04.08 Atiak-Palabek'!M50)</f>
        <v>5</v>
      </c>
      <c r="N50" s="49">
        <f>AVERAGE('31.07 Atiak-Palabek'!N50,'01.08 Atiak-Palabek'!N50,'05.08 Atiak-Palabek'!N50,'06.08 Atiak-Palabek'!N50,'02.08 Atiak-Palabek-24h'!N50,'03.08 Atiak-Palabek-24h'!N50,'04.08 Atiak-Palabek'!N50)</f>
        <v>0</v>
      </c>
      <c r="O50" s="15">
        <f t="shared" si="0"/>
        <v>1.4285714285714284</v>
      </c>
      <c r="P50" s="15">
        <f t="shared" si="1"/>
        <v>6.4285714285714288</v>
      </c>
      <c r="R50" s="8"/>
      <c r="T50"/>
    </row>
    <row r="51" spans="2:20" ht="23.1" customHeight="1" x14ac:dyDescent="0.25">
      <c r="B51" s="24" t="s">
        <v>78</v>
      </c>
      <c r="C51" s="49">
        <f>AVERAGE('31.07 Atiak-Palabek'!C51,'01.08 Atiak-Palabek'!C51,'05.08 Atiak-Palabek'!C51,'06.08 Atiak-Palabek'!C51,'02.08 Atiak-Palabek-24h'!C51,'03.08 Atiak-Palabek-24h'!C51,'04.08 Atiak-Palabek'!C51)</f>
        <v>0</v>
      </c>
      <c r="D51" s="49">
        <f>AVERAGE('31.07 Atiak-Palabek'!D51,'01.08 Atiak-Palabek'!D51,'05.08 Atiak-Palabek'!D51,'06.08 Atiak-Palabek'!D51,'02.08 Atiak-Palabek-24h'!D51,'03.08 Atiak-Palabek-24h'!D51,'04.08 Atiak-Palabek'!D51)</f>
        <v>0</v>
      </c>
      <c r="E51" s="49">
        <f>AVERAGE('31.07 Atiak-Palabek'!E51,'01.08 Atiak-Palabek'!E51,'05.08 Atiak-Palabek'!E51,'06.08 Atiak-Palabek'!E51,'02.08 Atiak-Palabek-24h'!E51,'03.08 Atiak-Palabek-24h'!E51,'04.08 Atiak-Palabek'!E51)</f>
        <v>0.8571428571428571</v>
      </c>
      <c r="F51" s="49">
        <f>AVERAGE('31.07 Atiak-Palabek'!F51,'01.08 Atiak-Palabek'!F51,'05.08 Atiak-Palabek'!F51,'06.08 Atiak-Palabek'!F51,'02.08 Atiak-Palabek-24h'!F51,'03.08 Atiak-Palabek-24h'!F51,'04.08 Atiak-Palabek'!F51)</f>
        <v>0</v>
      </c>
      <c r="G51" s="49">
        <f>AVERAGE('31.07 Atiak-Palabek'!G51,'01.08 Atiak-Palabek'!G51,'05.08 Atiak-Palabek'!G51,'06.08 Atiak-Palabek'!G51,'02.08 Atiak-Palabek-24h'!G51,'03.08 Atiak-Palabek-24h'!G51,'04.08 Atiak-Palabek'!G51)</f>
        <v>0</v>
      </c>
      <c r="H51" s="49">
        <f>AVERAGE('31.07 Atiak-Palabek'!H51,'01.08 Atiak-Palabek'!H51,'05.08 Atiak-Palabek'!H51,'06.08 Atiak-Palabek'!H51,'02.08 Atiak-Palabek-24h'!H51,'03.08 Atiak-Palabek-24h'!H51,'04.08 Atiak-Palabek'!H51)</f>
        <v>0</v>
      </c>
      <c r="I51" s="49">
        <f>AVERAGE('31.07 Atiak-Palabek'!I51,'01.08 Atiak-Palabek'!I51,'05.08 Atiak-Palabek'!I51,'06.08 Atiak-Palabek'!I51,'02.08 Atiak-Palabek-24h'!I51,'03.08 Atiak-Palabek-24h'!I51,'04.08 Atiak-Palabek'!I51)</f>
        <v>0.2857142857142857</v>
      </c>
      <c r="J51" s="49">
        <f>AVERAGE('31.07 Atiak-Palabek'!J51,'01.08 Atiak-Palabek'!J51,'05.08 Atiak-Palabek'!J51,'06.08 Atiak-Palabek'!J51,'02.08 Atiak-Palabek-24h'!J51,'03.08 Atiak-Palabek-24h'!J51,'04.08 Atiak-Palabek'!J51)</f>
        <v>0</v>
      </c>
      <c r="K51" s="49">
        <f>AVERAGE('31.07 Atiak-Palabek'!K51,'01.08 Atiak-Palabek'!K51,'05.08 Atiak-Palabek'!K51,'06.08 Atiak-Palabek'!K51,'02.08 Atiak-Palabek-24h'!K51,'03.08 Atiak-Palabek-24h'!K51,'04.08 Atiak-Palabek'!K51)</f>
        <v>0</v>
      </c>
      <c r="L51" s="49">
        <f>AVERAGE('31.07 Atiak-Palabek'!L51,'01.08 Atiak-Palabek'!L51,'05.08 Atiak-Palabek'!L51,'06.08 Atiak-Palabek'!L51,'02.08 Atiak-Palabek-24h'!L51,'03.08 Atiak-Palabek-24h'!L51,'04.08 Atiak-Palabek'!L51)</f>
        <v>0</v>
      </c>
      <c r="M51" s="49">
        <f>AVERAGE('31.07 Atiak-Palabek'!M51,'01.08 Atiak-Palabek'!M51,'05.08 Atiak-Palabek'!M51,'06.08 Atiak-Palabek'!M51,'02.08 Atiak-Palabek-24h'!M51,'03.08 Atiak-Palabek-24h'!M51,'04.08 Atiak-Palabek'!M51)</f>
        <v>4.1428571428571432</v>
      </c>
      <c r="N51" s="49">
        <f>AVERAGE('31.07 Atiak-Palabek'!N51,'01.08 Atiak-Palabek'!N51,'05.08 Atiak-Palabek'!N51,'06.08 Atiak-Palabek'!N51,'02.08 Atiak-Palabek-24h'!N51,'03.08 Atiak-Palabek-24h'!N51,'04.08 Atiak-Palabek'!N51)</f>
        <v>0</v>
      </c>
      <c r="O51" s="15">
        <f t="shared" si="0"/>
        <v>1.1428571428571428</v>
      </c>
      <c r="P51" s="15">
        <f t="shared" si="1"/>
        <v>5.2857142857142865</v>
      </c>
      <c r="R51" s="8"/>
      <c r="T51"/>
    </row>
    <row r="52" spans="2:20" ht="23.1" customHeight="1" x14ac:dyDescent="0.25">
      <c r="B52" s="24" t="s">
        <v>79</v>
      </c>
      <c r="C52" s="49">
        <f>AVERAGE('31.07 Atiak-Palabek'!C52,'01.08 Atiak-Palabek'!C52,'05.08 Atiak-Palabek'!C52,'06.08 Atiak-Palabek'!C52,'02.08 Atiak-Palabek-24h'!C52,'03.08 Atiak-Palabek-24h'!C52,'04.08 Atiak-Palabek'!C52)</f>
        <v>0</v>
      </c>
      <c r="D52" s="49">
        <f>AVERAGE('31.07 Atiak-Palabek'!D52,'01.08 Atiak-Palabek'!D52,'05.08 Atiak-Palabek'!D52,'06.08 Atiak-Palabek'!D52,'02.08 Atiak-Palabek-24h'!D52,'03.08 Atiak-Palabek-24h'!D52,'04.08 Atiak-Palabek'!D52)</f>
        <v>0</v>
      </c>
      <c r="E52" s="49">
        <f>AVERAGE('31.07 Atiak-Palabek'!E52,'01.08 Atiak-Palabek'!E52,'05.08 Atiak-Palabek'!E52,'06.08 Atiak-Palabek'!E52,'02.08 Atiak-Palabek-24h'!E52,'03.08 Atiak-Palabek-24h'!E52,'04.08 Atiak-Palabek'!E52)</f>
        <v>0.14285714285714285</v>
      </c>
      <c r="F52" s="49">
        <f>AVERAGE('31.07 Atiak-Palabek'!F52,'01.08 Atiak-Palabek'!F52,'05.08 Atiak-Palabek'!F52,'06.08 Atiak-Palabek'!F52,'02.08 Atiak-Palabek-24h'!F52,'03.08 Atiak-Palabek-24h'!F52,'04.08 Atiak-Palabek'!F52)</f>
        <v>0.2857142857142857</v>
      </c>
      <c r="G52" s="49">
        <f>AVERAGE('31.07 Atiak-Palabek'!G52,'01.08 Atiak-Palabek'!G52,'05.08 Atiak-Palabek'!G52,'06.08 Atiak-Palabek'!G52,'02.08 Atiak-Palabek-24h'!G52,'03.08 Atiak-Palabek-24h'!G52,'04.08 Atiak-Palabek'!G52)</f>
        <v>0</v>
      </c>
      <c r="H52" s="49">
        <f>AVERAGE('31.07 Atiak-Palabek'!H52,'01.08 Atiak-Palabek'!H52,'05.08 Atiak-Palabek'!H52,'06.08 Atiak-Palabek'!H52,'02.08 Atiak-Palabek-24h'!H52,'03.08 Atiak-Palabek-24h'!H52,'04.08 Atiak-Palabek'!H52)</f>
        <v>0</v>
      </c>
      <c r="I52" s="49">
        <f>AVERAGE('31.07 Atiak-Palabek'!I52,'01.08 Atiak-Palabek'!I52,'05.08 Atiak-Palabek'!I52,'06.08 Atiak-Palabek'!I52,'02.08 Atiak-Palabek-24h'!I52,'03.08 Atiak-Palabek-24h'!I52,'04.08 Atiak-Palabek'!I52)</f>
        <v>0.2857142857142857</v>
      </c>
      <c r="J52" s="49">
        <f>AVERAGE('31.07 Atiak-Palabek'!J52,'01.08 Atiak-Palabek'!J52,'05.08 Atiak-Palabek'!J52,'06.08 Atiak-Palabek'!J52,'02.08 Atiak-Palabek-24h'!J52,'03.08 Atiak-Palabek-24h'!J52,'04.08 Atiak-Palabek'!J52)</f>
        <v>0</v>
      </c>
      <c r="K52" s="49">
        <f>AVERAGE('31.07 Atiak-Palabek'!K52,'01.08 Atiak-Palabek'!K52,'05.08 Atiak-Palabek'!K52,'06.08 Atiak-Palabek'!K52,'02.08 Atiak-Palabek-24h'!K52,'03.08 Atiak-Palabek-24h'!K52,'04.08 Atiak-Palabek'!K52)</f>
        <v>0</v>
      </c>
      <c r="L52" s="49">
        <f>AVERAGE('31.07 Atiak-Palabek'!L52,'01.08 Atiak-Palabek'!L52,'05.08 Atiak-Palabek'!L52,'06.08 Atiak-Palabek'!L52,'02.08 Atiak-Palabek-24h'!L52,'03.08 Atiak-Palabek-24h'!L52,'04.08 Atiak-Palabek'!L52)</f>
        <v>0</v>
      </c>
      <c r="M52" s="49">
        <f>AVERAGE('31.07 Atiak-Palabek'!M52,'01.08 Atiak-Palabek'!M52,'05.08 Atiak-Palabek'!M52,'06.08 Atiak-Palabek'!M52,'02.08 Atiak-Palabek-24h'!M52,'03.08 Atiak-Palabek-24h'!M52,'04.08 Atiak-Palabek'!M52)</f>
        <v>5</v>
      </c>
      <c r="N52" s="49">
        <f>AVERAGE('31.07 Atiak-Palabek'!N52,'01.08 Atiak-Palabek'!N52,'05.08 Atiak-Palabek'!N52,'06.08 Atiak-Palabek'!N52,'02.08 Atiak-Palabek-24h'!N52,'03.08 Atiak-Palabek-24h'!N52,'04.08 Atiak-Palabek'!N52)</f>
        <v>0</v>
      </c>
      <c r="O52" s="15">
        <f t="shared" si="0"/>
        <v>0.71428571428571419</v>
      </c>
      <c r="P52" s="15">
        <f t="shared" si="1"/>
        <v>5.7142857142857144</v>
      </c>
      <c r="R52" s="8"/>
      <c r="T52"/>
    </row>
    <row r="53" spans="2:20" ht="23.1" customHeight="1" x14ac:dyDescent="0.25">
      <c r="B53" s="23" t="s">
        <v>80</v>
      </c>
      <c r="C53" s="49">
        <f>AVERAGE('31.07 Atiak-Palabek'!C53,'01.08 Atiak-Palabek'!C53,'05.08 Atiak-Palabek'!C53,'06.08 Atiak-Palabek'!C53,'02.08 Atiak-Palabek-24h'!C53,'03.08 Atiak-Palabek-24h'!C53,'04.08 Atiak-Palabek'!C53)</f>
        <v>0.5714285714285714</v>
      </c>
      <c r="D53" s="49">
        <f>AVERAGE('31.07 Atiak-Palabek'!D53,'01.08 Atiak-Palabek'!D53,'05.08 Atiak-Palabek'!D53,'06.08 Atiak-Palabek'!D53,'02.08 Atiak-Palabek-24h'!D53,'03.08 Atiak-Palabek-24h'!D53,'04.08 Atiak-Palabek'!D53)</f>
        <v>0</v>
      </c>
      <c r="E53" s="49">
        <f>AVERAGE('31.07 Atiak-Palabek'!E53,'01.08 Atiak-Palabek'!E53,'05.08 Atiak-Palabek'!E53,'06.08 Atiak-Palabek'!E53,'02.08 Atiak-Palabek-24h'!E53,'03.08 Atiak-Palabek-24h'!E53,'04.08 Atiak-Palabek'!E53)</f>
        <v>0.42857142857142855</v>
      </c>
      <c r="F53" s="49">
        <f>AVERAGE('31.07 Atiak-Palabek'!F53,'01.08 Atiak-Palabek'!F53,'05.08 Atiak-Palabek'!F53,'06.08 Atiak-Palabek'!F53,'02.08 Atiak-Palabek-24h'!F53,'03.08 Atiak-Palabek-24h'!F53,'04.08 Atiak-Palabek'!F53)</f>
        <v>0.14285714285714285</v>
      </c>
      <c r="G53" s="49">
        <f>AVERAGE('31.07 Atiak-Palabek'!G53,'01.08 Atiak-Palabek'!G53,'05.08 Atiak-Palabek'!G53,'06.08 Atiak-Palabek'!G53,'02.08 Atiak-Palabek-24h'!G53,'03.08 Atiak-Palabek-24h'!G53,'04.08 Atiak-Palabek'!G53)</f>
        <v>0</v>
      </c>
      <c r="H53" s="49">
        <f>AVERAGE('31.07 Atiak-Palabek'!H53,'01.08 Atiak-Palabek'!H53,'05.08 Atiak-Palabek'!H53,'06.08 Atiak-Palabek'!H53,'02.08 Atiak-Palabek-24h'!H53,'03.08 Atiak-Palabek-24h'!H53,'04.08 Atiak-Palabek'!H53)</f>
        <v>0</v>
      </c>
      <c r="I53" s="49">
        <f>AVERAGE('31.07 Atiak-Palabek'!I53,'01.08 Atiak-Palabek'!I53,'05.08 Atiak-Palabek'!I53,'06.08 Atiak-Palabek'!I53,'02.08 Atiak-Palabek-24h'!I53,'03.08 Atiak-Palabek-24h'!I53,'04.08 Atiak-Palabek'!I53)</f>
        <v>0.2857142857142857</v>
      </c>
      <c r="J53" s="49">
        <f>AVERAGE('31.07 Atiak-Palabek'!J53,'01.08 Atiak-Palabek'!J53,'05.08 Atiak-Palabek'!J53,'06.08 Atiak-Palabek'!J53,'02.08 Atiak-Palabek-24h'!J53,'03.08 Atiak-Palabek-24h'!J53,'04.08 Atiak-Palabek'!J53)</f>
        <v>0</v>
      </c>
      <c r="K53" s="49">
        <f>AVERAGE('31.07 Atiak-Palabek'!K53,'01.08 Atiak-Palabek'!K53,'05.08 Atiak-Palabek'!K53,'06.08 Atiak-Palabek'!K53,'02.08 Atiak-Palabek-24h'!K53,'03.08 Atiak-Palabek-24h'!K53,'04.08 Atiak-Palabek'!K53)</f>
        <v>0</v>
      </c>
      <c r="L53" s="49">
        <f>AVERAGE('31.07 Atiak-Palabek'!L53,'01.08 Atiak-Palabek'!L53,'05.08 Atiak-Palabek'!L53,'06.08 Atiak-Palabek'!L53,'02.08 Atiak-Palabek-24h'!L53,'03.08 Atiak-Palabek-24h'!L53,'04.08 Atiak-Palabek'!L53)</f>
        <v>0</v>
      </c>
      <c r="M53" s="49">
        <f>AVERAGE('31.07 Atiak-Palabek'!M53,'01.08 Atiak-Palabek'!M53,'05.08 Atiak-Palabek'!M53,'06.08 Atiak-Palabek'!M53,'02.08 Atiak-Palabek-24h'!M53,'03.08 Atiak-Palabek-24h'!M53,'04.08 Atiak-Palabek'!M53)</f>
        <v>5</v>
      </c>
      <c r="N53" s="49">
        <f>AVERAGE('31.07 Atiak-Palabek'!N53,'01.08 Atiak-Palabek'!N53,'05.08 Atiak-Palabek'!N53,'06.08 Atiak-Palabek'!N53,'02.08 Atiak-Palabek-24h'!N53,'03.08 Atiak-Palabek-24h'!N53,'04.08 Atiak-Palabek'!N53)</f>
        <v>0</v>
      </c>
      <c r="O53" s="15">
        <f t="shared" si="0"/>
        <v>1.4285714285714284</v>
      </c>
      <c r="P53" s="15">
        <f t="shared" si="1"/>
        <v>6.4285714285714288</v>
      </c>
      <c r="R53" s="8"/>
      <c r="T53"/>
    </row>
    <row r="54" spans="2:20" ht="23.1" customHeight="1" x14ac:dyDescent="0.25">
      <c r="B54" s="23" t="s">
        <v>81</v>
      </c>
      <c r="C54" s="49">
        <f>AVERAGE('31.07 Atiak-Palabek'!C54,'01.08 Atiak-Palabek'!C54,'05.08 Atiak-Palabek'!C54,'06.08 Atiak-Palabek'!C54,'02.08 Atiak-Palabek-24h'!C54,'03.08 Atiak-Palabek-24h'!C54,'04.08 Atiak-Palabek'!C54)</f>
        <v>0.14285714285714285</v>
      </c>
      <c r="D54" s="49">
        <f>AVERAGE('31.07 Atiak-Palabek'!D54,'01.08 Atiak-Palabek'!D54,'05.08 Atiak-Palabek'!D54,'06.08 Atiak-Palabek'!D54,'02.08 Atiak-Palabek-24h'!D54,'03.08 Atiak-Palabek-24h'!D54,'04.08 Atiak-Palabek'!D54)</f>
        <v>0</v>
      </c>
      <c r="E54" s="49">
        <f>AVERAGE('31.07 Atiak-Palabek'!E54,'01.08 Atiak-Palabek'!E54,'05.08 Atiak-Palabek'!E54,'06.08 Atiak-Palabek'!E54,'02.08 Atiak-Palabek-24h'!E54,'03.08 Atiak-Palabek-24h'!E54,'04.08 Atiak-Palabek'!E54)</f>
        <v>0</v>
      </c>
      <c r="F54" s="49">
        <f>AVERAGE('31.07 Atiak-Palabek'!F54,'01.08 Atiak-Palabek'!F54,'05.08 Atiak-Palabek'!F54,'06.08 Atiak-Palabek'!F54,'02.08 Atiak-Palabek-24h'!F54,'03.08 Atiak-Palabek-24h'!F54,'04.08 Atiak-Palabek'!F54)</f>
        <v>0.42857142857142855</v>
      </c>
      <c r="G54" s="49">
        <f>AVERAGE('31.07 Atiak-Palabek'!G54,'01.08 Atiak-Palabek'!G54,'05.08 Atiak-Palabek'!G54,'06.08 Atiak-Palabek'!G54,'02.08 Atiak-Palabek-24h'!G54,'03.08 Atiak-Palabek-24h'!G54,'04.08 Atiak-Palabek'!G54)</f>
        <v>0</v>
      </c>
      <c r="H54" s="49">
        <f>AVERAGE('31.07 Atiak-Palabek'!H54,'01.08 Atiak-Palabek'!H54,'05.08 Atiak-Palabek'!H54,'06.08 Atiak-Palabek'!H54,'02.08 Atiak-Palabek-24h'!H54,'03.08 Atiak-Palabek-24h'!H54,'04.08 Atiak-Palabek'!H54)</f>
        <v>0</v>
      </c>
      <c r="I54" s="49">
        <f>AVERAGE('31.07 Atiak-Palabek'!I54,'01.08 Atiak-Palabek'!I54,'05.08 Atiak-Palabek'!I54,'06.08 Atiak-Palabek'!I54,'02.08 Atiak-Palabek-24h'!I54,'03.08 Atiak-Palabek-24h'!I54,'04.08 Atiak-Palabek'!I54)</f>
        <v>0</v>
      </c>
      <c r="J54" s="49">
        <f>AVERAGE('31.07 Atiak-Palabek'!J54,'01.08 Atiak-Palabek'!J54,'05.08 Atiak-Palabek'!J54,'06.08 Atiak-Palabek'!J54,'02.08 Atiak-Palabek-24h'!J54,'03.08 Atiak-Palabek-24h'!J54,'04.08 Atiak-Palabek'!J54)</f>
        <v>0</v>
      </c>
      <c r="K54" s="49">
        <f>AVERAGE('31.07 Atiak-Palabek'!K54,'01.08 Atiak-Palabek'!K54,'05.08 Atiak-Palabek'!K54,'06.08 Atiak-Palabek'!K54,'02.08 Atiak-Palabek-24h'!K54,'03.08 Atiak-Palabek-24h'!K54,'04.08 Atiak-Palabek'!K54)</f>
        <v>0</v>
      </c>
      <c r="L54" s="49">
        <f>AVERAGE('31.07 Atiak-Palabek'!L54,'01.08 Atiak-Palabek'!L54,'05.08 Atiak-Palabek'!L54,'06.08 Atiak-Palabek'!L54,'02.08 Atiak-Palabek-24h'!L54,'03.08 Atiak-Palabek-24h'!L54,'04.08 Atiak-Palabek'!L54)</f>
        <v>0</v>
      </c>
      <c r="M54" s="49">
        <f>AVERAGE('31.07 Atiak-Palabek'!M54,'01.08 Atiak-Palabek'!M54,'05.08 Atiak-Palabek'!M54,'06.08 Atiak-Palabek'!M54,'02.08 Atiak-Palabek-24h'!M54,'03.08 Atiak-Palabek-24h'!M54,'04.08 Atiak-Palabek'!M54)</f>
        <v>4.7142857142857144</v>
      </c>
      <c r="N54" s="49">
        <f>AVERAGE('31.07 Atiak-Palabek'!N54,'01.08 Atiak-Palabek'!N54,'05.08 Atiak-Palabek'!N54,'06.08 Atiak-Palabek'!N54,'02.08 Atiak-Palabek-24h'!N54,'03.08 Atiak-Palabek-24h'!N54,'04.08 Atiak-Palabek'!N54)</f>
        <v>0</v>
      </c>
      <c r="O54" s="15">
        <f t="shared" si="0"/>
        <v>0.5714285714285714</v>
      </c>
      <c r="P54" s="15">
        <f t="shared" si="1"/>
        <v>5.2857142857142856</v>
      </c>
      <c r="R54" s="8"/>
      <c r="T54"/>
    </row>
    <row r="55" spans="2:20" ht="23.1" customHeight="1" x14ac:dyDescent="0.25">
      <c r="B55" s="23" t="s">
        <v>82</v>
      </c>
      <c r="C55" s="49">
        <f>AVERAGE('31.07 Atiak-Palabek'!C55,'01.08 Atiak-Palabek'!C55,'05.08 Atiak-Palabek'!C55,'06.08 Atiak-Palabek'!C55,'02.08 Atiak-Palabek-24h'!C55,'03.08 Atiak-Palabek-24h'!C55,'04.08 Atiak-Palabek'!C55)</f>
        <v>0</v>
      </c>
      <c r="D55" s="49">
        <f>AVERAGE('31.07 Atiak-Palabek'!D55,'01.08 Atiak-Palabek'!D55,'05.08 Atiak-Palabek'!D55,'06.08 Atiak-Palabek'!D55,'02.08 Atiak-Palabek-24h'!D55,'03.08 Atiak-Palabek-24h'!D55,'04.08 Atiak-Palabek'!D55)</f>
        <v>0</v>
      </c>
      <c r="E55" s="49">
        <f>AVERAGE('31.07 Atiak-Palabek'!E55,'01.08 Atiak-Palabek'!E55,'05.08 Atiak-Palabek'!E55,'06.08 Atiak-Palabek'!E55,'02.08 Atiak-Palabek-24h'!E55,'03.08 Atiak-Palabek-24h'!E55,'04.08 Atiak-Palabek'!E55)</f>
        <v>0.14285714285714285</v>
      </c>
      <c r="F55" s="49">
        <f>AVERAGE('31.07 Atiak-Palabek'!F55,'01.08 Atiak-Palabek'!F55,'05.08 Atiak-Palabek'!F55,'06.08 Atiak-Palabek'!F55,'02.08 Atiak-Palabek-24h'!F55,'03.08 Atiak-Palabek-24h'!F55,'04.08 Atiak-Palabek'!F55)</f>
        <v>0.2857142857142857</v>
      </c>
      <c r="G55" s="49">
        <f>AVERAGE('31.07 Atiak-Palabek'!G55,'01.08 Atiak-Palabek'!G55,'05.08 Atiak-Palabek'!G55,'06.08 Atiak-Palabek'!G55,'02.08 Atiak-Palabek-24h'!G55,'03.08 Atiak-Palabek-24h'!G55,'04.08 Atiak-Palabek'!G55)</f>
        <v>0</v>
      </c>
      <c r="H55" s="49">
        <f>AVERAGE('31.07 Atiak-Palabek'!H55,'01.08 Atiak-Palabek'!H55,'05.08 Atiak-Palabek'!H55,'06.08 Atiak-Palabek'!H55,'02.08 Atiak-Palabek-24h'!H55,'03.08 Atiak-Palabek-24h'!H55,'04.08 Atiak-Palabek'!H55)</f>
        <v>0</v>
      </c>
      <c r="I55" s="49">
        <f>AVERAGE('31.07 Atiak-Palabek'!I55,'01.08 Atiak-Palabek'!I55,'05.08 Atiak-Palabek'!I55,'06.08 Atiak-Palabek'!I55,'02.08 Atiak-Palabek-24h'!I55,'03.08 Atiak-Palabek-24h'!I55,'04.08 Atiak-Palabek'!I55)</f>
        <v>0.14285714285714285</v>
      </c>
      <c r="J55" s="49">
        <f>AVERAGE('31.07 Atiak-Palabek'!J55,'01.08 Atiak-Palabek'!J55,'05.08 Atiak-Palabek'!J55,'06.08 Atiak-Palabek'!J55,'02.08 Atiak-Palabek-24h'!J55,'03.08 Atiak-Palabek-24h'!J55,'04.08 Atiak-Palabek'!J55)</f>
        <v>0</v>
      </c>
      <c r="K55" s="49">
        <f>AVERAGE('31.07 Atiak-Palabek'!K55,'01.08 Atiak-Palabek'!K55,'05.08 Atiak-Palabek'!K55,'06.08 Atiak-Palabek'!K55,'02.08 Atiak-Palabek-24h'!K55,'03.08 Atiak-Palabek-24h'!K55,'04.08 Atiak-Palabek'!K55)</f>
        <v>0</v>
      </c>
      <c r="L55" s="49">
        <f>AVERAGE('31.07 Atiak-Palabek'!L55,'01.08 Atiak-Palabek'!L55,'05.08 Atiak-Palabek'!L55,'06.08 Atiak-Palabek'!L55,'02.08 Atiak-Palabek-24h'!L55,'03.08 Atiak-Palabek-24h'!L55,'04.08 Atiak-Palabek'!L55)</f>
        <v>0</v>
      </c>
      <c r="M55" s="49">
        <f>AVERAGE('31.07 Atiak-Palabek'!M55,'01.08 Atiak-Palabek'!M55,'05.08 Atiak-Palabek'!M55,'06.08 Atiak-Palabek'!M55,'02.08 Atiak-Palabek-24h'!M55,'03.08 Atiak-Palabek-24h'!M55,'04.08 Atiak-Palabek'!M55)</f>
        <v>5.1428571428571432</v>
      </c>
      <c r="N55" s="49">
        <f>AVERAGE('31.07 Atiak-Palabek'!N55,'01.08 Atiak-Palabek'!N55,'05.08 Atiak-Palabek'!N55,'06.08 Atiak-Palabek'!N55,'02.08 Atiak-Palabek-24h'!N55,'03.08 Atiak-Palabek-24h'!N55,'04.08 Atiak-Palabek'!N55)</f>
        <v>0</v>
      </c>
      <c r="O55" s="15">
        <f t="shared" si="0"/>
        <v>0.5714285714285714</v>
      </c>
      <c r="P55" s="15">
        <f t="shared" si="1"/>
        <v>5.7142857142857144</v>
      </c>
      <c r="R55" s="8"/>
      <c r="T55"/>
    </row>
    <row r="56" spans="2:20" ht="23.1" customHeight="1" x14ac:dyDescent="0.25">
      <c r="B56" s="23" t="s">
        <v>83</v>
      </c>
      <c r="C56" s="49">
        <f>AVERAGE('31.07 Atiak-Palabek'!C56,'01.08 Atiak-Palabek'!C56,'05.08 Atiak-Palabek'!C56,'06.08 Atiak-Palabek'!C56,'02.08 Atiak-Palabek-24h'!C56,'03.08 Atiak-Palabek-24h'!C56,'04.08 Atiak-Palabek'!C56)</f>
        <v>0</v>
      </c>
      <c r="D56" s="49">
        <f>AVERAGE('31.07 Atiak-Palabek'!D56,'01.08 Atiak-Palabek'!D56,'05.08 Atiak-Palabek'!D56,'06.08 Atiak-Palabek'!D56,'02.08 Atiak-Palabek-24h'!D56,'03.08 Atiak-Palabek-24h'!D56,'04.08 Atiak-Palabek'!D56)</f>
        <v>0</v>
      </c>
      <c r="E56" s="49">
        <f>AVERAGE('31.07 Atiak-Palabek'!E56,'01.08 Atiak-Palabek'!E56,'05.08 Atiak-Palabek'!E56,'06.08 Atiak-Palabek'!E56,'02.08 Atiak-Palabek-24h'!E56,'03.08 Atiak-Palabek-24h'!E56,'04.08 Atiak-Palabek'!E56)</f>
        <v>0.14285714285714285</v>
      </c>
      <c r="F56" s="49">
        <f>AVERAGE('31.07 Atiak-Palabek'!F56,'01.08 Atiak-Palabek'!F56,'05.08 Atiak-Palabek'!F56,'06.08 Atiak-Palabek'!F56,'02.08 Atiak-Palabek-24h'!F56,'03.08 Atiak-Palabek-24h'!F56,'04.08 Atiak-Palabek'!F56)</f>
        <v>0</v>
      </c>
      <c r="G56" s="49">
        <f>AVERAGE('31.07 Atiak-Palabek'!G56,'01.08 Atiak-Palabek'!G56,'05.08 Atiak-Palabek'!G56,'06.08 Atiak-Palabek'!G56,'02.08 Atiak-Palabek-24h'!G56,'03.08 Atiak-Palabek-24h'!G56,'04.08 Atiak-Palabek'!G56)</f>
        <v>0</v>
      </c>
      <c r="H56" s="49">
        <f>AVERAGE('31.07 Atiak-Palabek'!H56,'01.08 Atiak-Palabek'!H56,'05.08 Atiak-Palabek'!H56,'06.08 Atiak-Palabek'!H56,'02.08 Atiak-Palabek-24h'!H56,'03.08 Atiak-Palabek-24h'!H56,'04.08 Atiak-Palabek'!H56)</f>
        <v>0</v>
      </c>
      <c r="I56" s="49">
        <f>AVERAGE('31.07 Atiak-Palabek'!I56,'01.08 Atiak-Palabek'!I56,'05.08 Atiak-Palabek'!I56,'06.08 Atiak-Palabek'!I56,'02.08 Atiak-Palabek-24h'!I56,'03.08 Atiak-Palabek-24h'!I56,'04.08 Atiak-Palabek'!I56)</f>
        <v>0.2857142857142857</v>
      </c>
      <c r="J56" s="49">
        <f>AVERAGE('31.07 Atiak-Palabek'!J56,'01.08 Atiak-Palabek'!J56,'05.08 Atiak-Palabek'!J56,'06.08 Atiak-Palabek'!J56,'02.08 Atiak-Palabek-24h'!J56,'03.08 Atiak-Palabek-24h'!J56,'04.08 Atiak-Palabek'!J56)</f>
        <v>0</v>
      </c>
      <c r="K56" s="49">
        <f>AVERAGE('31.07 Atiak-Palabek'!K56,'01.08 Atiak-Palabek'!K56,'05.08 Atiak-Palabek'!K56,'06.08 Atiak-Palabek'!K56,'02.08 Atiak-Palabek-24h'!K56,'03.08 Atiak-Palabek-24h'!K56,'04.08 Atiak-Palabek'!K56)</f>
        <v>0</v>
      </c>
      <c r="L56" s="49">
        <f>AVERAGE('31.07 Atiak-Palabek'!L56,'01.08 Atiak-Palabek'!L56,'05.08 Atiak-Palabek'!L56,'06.08 Atiak-Palabek'!L56,'02.08 Atiak-Palabek-24h'!L56,'03.08 Atiak-Palabek-24h'!L56,'04.08 Atiak-Palabek'!L56)</f>
        <v>0</v>
      </c>
      <c r="M56" s="49">
        <f>AVERAGE('31.07 Atiak-Palabek'!M56,'01.08 Atiak-Palabek'!M56,'05.08 Atiak-Palabek'!M56,'06.08 Atiak-Palabek'!M56,'02.08 Atiak-Palabek-24h'!M56,'03.08 Atiak-Palabek-24h'!M56,'04.08 Atiak-Palabek'!M56)</f>
        <v>4.4285714285714288</v>
      </c>
      <c r="N56" s="49">
        <f>AVERAGE('31.07 Atiak-Palabek'!N56,'01.08 Atiak-Palabek'!N56,'05.08 Atiak-Palabek'!N56,'06.08 Atiak-Palabek'!N56,'02.08 Atiak-Palabek-24h'!N56,'03.08 Atiak-Palabek-24h'!N56,'04.08 Atiak-Palabek'!N56)</f>
        <v>0</v>
      </c>
      <c r="O56" s="15">
        <f t="shared" si="0"/>
        <v>0.42857142857142855</v>
      </c>
      <c r="P56" s="15">
        <f t="shared" si="1"/>
        <v>4.8571428571428577</v>
      </c>
      <c r="R56" s="8"/>
      <c r="T56"/>
    </row>
    <row r="57" spans="2:20" ht="23.1" customHeight="1" x14ac:dyDescent="0.25">
      <c r="B57" s="23" t="s">
        <v>84</v>
      </c>
      <c r="C57" s="49">
        <f>AVERAGE('31.07 Atiak-Palabek'!C57,'01.08 Atiak-Palabek'!C57,'05.08 Atiak-Palabek'!C57,'06.08 Atiak-Palabek'!C57,'02.08 Atiak-Palabek-24h'!C57,'03.08 Atiak-Palabek-24h'!C57,'04.08 Atiak-Palabek'!C57)</f>
        <v>0</v>
      </c>
      <c r="D57" s="49">
        <f>AVERAGE('31.07 Atiak-Palabek'!D57,'01.08 Atiak-Palabek'!D57,'05.08 Atiak-Palabek'!D57,'06.08 Atiak-Palabek'!D57,'02.08 Atiak-Palabek-24h'!D57,'03.08 Atiak-Palabek-24h'!D57,'04.08 Atiak-Palabek'!D57)</f>
        <v>0</v>
      </c>
      <c r="E57" s="49">
        <f>AVERAGE('31.07 Atiak-Palabek'!E57,'01.08 Atiak-Palabek'!E57,'05.08 Atiak-Palabek'!E57,'06.08 Atiak-Palabek'!E57,'02.08 Atiak-Palabek-24h'!E57,'03.08 Atiak-Palabek-24h'!E57,'04.08 Atiak-Palabek'!E57)</f>
        <v>0.14285714285714285</v>
      </c>
      <c r="F57" s="49">
        <f>AVERAGE('31.07 Atiak-Palabek'!F57,'01.08 Atiak-Palabek'!F57,'05.08 Atiak-Palabek'!F57,'06.08 Atiak-Palabek'!F57,'02.08 Atiak-Palabek-24h'!F57,'03.08 Atiak-Palabek-24h'!F57,'04.08 Atiak-Palabek'!F57)</f>
        <v>0.7142857142857143</v>
      </c>
      <c r="G57" s="49">
        <f>AVERAGE('31.07 Atiak-Palabek'!G57,'01.08 Atiak-Palabek'!G57,'05.08 Atiak-Palabek'!G57,'06.08 Atiak-Palabek'!G57,'02.08 Atiak-Palabek-24h'!G57,'03.08 Atiak-Palabek-24h'!G57,'04.08 Atiak-Palabek'!G57)</f>
        <v>0.14285714285714285</v>
      </c>
      <c r="H57" s="49">
        <f>AVERAGE('31.07 Atiak-Palabek'!H57,'01.08 Atiak-Palabek'!H57,'05.08 Atiak-Palabek'!H57,'06.08 Atiak-Palabek'!H57,'02.08 Atiak-Palabek-24h'!H57,'03.08 Atiak-Palabek-24h'!H57,'04.08 Atiak-Palabek'!H57)</f>
        <v>0</v>
      </c>
      <c r="I57" s="49">
        <f>AVERAGE('31.07 Atiak-Palabek'!I57,'01.08 Atiak-Palabek'!I57,'05.08 Atiak-Palabek'!I57,'06.08 Atiak-Palabek'!I57,'02.08 Atiak-Palabek-24h'!I57,'03.08 Atiak-Palabek-24h'!I57,'04.08 Atiak-Palabek'!I57)</f>
        <v>0.14285714285714285</v>
      </c>
      <c r="J57" s="49">
        <f>AVERAGE('31.07 Atiak-Palabek'!J57,'01.08 Atiak-Palabek'!J57,'05.08 Atiak-Palabek'!J57,'06.08 Atiak-Palabek'!J57,'02.08 Atiak-Palabek-24h'!J57,'03.08 Atiak-Palabek-24h'!J57,'04.08 Atiak-Palabek'!J57)</f>
        <v>0</v>
      </c>
      <c r="K57" s="49">
        <f>AVERAGE('31.07 Atiak-Palabek'!K57,'01.08 Atiak-Palabek'!K57,'05.08 Atiak-Palabek'!K57,'06.08 Atiak-Palabek'!K57,'02.08 Atiak-Palabek-24h'!K57,'03.08 Atiak-Palabek-24h'!K57,'04.08 Atiak-Palabek'!K57)</f>
        <v>0</v>
      </c>
      <c r="L57" s="49">
        <f>AVERAGE('31.07 Atiak-Palabek'!L57,'01.08 Atiak-Palabek'!L57,'05.08 Atiak-Palabek'!L57,'06.08 Atiak-Palabek'!L57,'02.08 Atiak-Palabek-24h'!L57,'03.08 Atiak-Palabek-24h'!L57,'04.08 Atiak-Palabek'!L57)</f>
        <v>0</v>
      </c>
      <c r="M57" s="49">
        <f>AVERAGE('31.07 Atiak-Palabek'!M57,'01.08 Atiak-Palabek'!M57,'05.08 Atiak-Palabek'!M57,'06.08 Atiak-Palabek'!M57,'02.08 Atiak-Palabek-24h'!M57,'03.08 Atiak-Palabek-24h'!M57,'04.08 Atiak-Palabek'!M57)</f>
        <v>4.1428571428571432</v>
      </c>
      <c r="N57" s="49">
        <f>AVERAGE('31.07 Atiak-Palabek'!N57,'01.08 Atiak-Palabek'!N57,'05.08 Atiak-Palabek'!N57,'06.08 Atiak-Palabek'!N57,'02.08 Atiak-Palabek-24h'!N57,'03.08 Atiak-Palabek-24h'!N57,'04.08 Atiak-Palabek'!N57)</f>
        <v>0</v>
      </c>
      <c r="O57" s="15">
        <f t="shared" si="0"/>
        <v>1.1428571428571428</v>
      </c>
      <c r="P57" s="15">
        <f t="shared" si="1"/>
        <v>5.2857142857142865</v>
      </c>
      <c r="R57" s="8"/>
      <c r="T57"/>
    </row>
    <row r="58" spans="2:20" ht="23.1" customHeight="1" x14ac:dyDescent="0.25">
      <c r="B58" s="23" t="s">
        <v>99</v>
      </c>
      <c r="C58" s="49">
        <f>AVERAGE('02.08 Atiak-Palabek-24h'!C58,'03.08 Atiak-Palabek-24h'!C58)</f>
        <v>0</v>
      </c>
      <c r="D58" s="49">
        <f>AVERAGE('02.08 Atiak-Palabek-24h'!D58,'03.08 Atiak-Palabek-24h'!D58)</f>
        <v>0</v>
      </c>
      <c r="E58" s="49">
        <f>AVERAGE('02.08 Atiak-Palabek-24h'!E58,'03.08 Atiak-Palabek-24h'!E58)</f>
        <v>0</v>
      </c>
      <c r="F58" s="49">
        <f>AVERAGE('02.08 Atiak-Palabek-24h'!F58,'03.08 Atiak-Palabek-24h'!F58)</f>
        <v>0.5</v>
      </c>
      <c r="G58" s="49">
        <f>AVERAGE('02.08 Atiak-Palabek-24h'!G58,'03.08 Atiak-Palabek-24h'!G58)</f>
        <v>0</v>
      </c>
      <c r="H58" s="49">
        <f>AVERAGE('02.08 Atiak-Palabek-24h'!H58,'03.08 Atiak-Palabek-24h'!H58)</f>
        <v>0</v>
      </c>
      <c r="I58" s="49">
        <f>AVERAGE('02.08 Atiak-Palabek-24h'!I58,'03.08 Atiak-Palabek-24h'!I58)</f>
        <v>0</v>
      </c>
      <c r="J58" s="49">
        <f>AVERAGE('02.08 Atiak-Palabek-24h'!J58,'03.08 Atiak-Palabek-24h'!J58)</f>
        <v>0</v>
      </c>
      <c r="K58" s="49">
        <f>AVERAGE('02.08 Atiak-Palabek-24h'!K58,'03.08 Atiak-Palabek-24h'!K58)</f>
        <v>0</v>
      </c>
      <c r="L58" s="49">
        <f>AVERAGE('02.08 Atiak-Palabek-24h'!L58,'03.08 Atiak-Palabek-24h'!L58)</f>
        <v>0</v>
      </c>
      <c r="M58" s="49">
        <f>AVERAGE('02.08 Atiak-Palabek-24h'!M58,'03.08 Atiak-Palabek-24h'!M58)</f>
        <v>4</v>
      </c>
      <c r="N58" s="49">
        <f>AVERAGE('02.08 Atiak-Palabek-24h'!N58,'03.08 Atiak-Palabek-24h'!N58)</f>
        <v>0</v>
      </c>
      <c r="O58" s="15">
        <f t="shared" si="0"/>
        <v>0.5</v>
      </c>
      <c r="P58" s="15">
        <f t="shared" si="1"/>
        <v>4.5</v>
      </c>
      <c r="R58" s="8"/>
      <c r="T58"/>
    </row>
    <row r="59" spans="2:20" ht="23.1" customHeight="1" x14ac:dyDescent="0.25">
      <c r="B59" s="23" t="s">
        <v>100</v>
      </c>
      <c r="C59" s="49">
        <f>AVERAGE('02.08 Atiak-Palabek-24h'!C59,'03.08 Atiak-Palabek-24h'!C59)</f>
        <v>0</v>
      </c>
      <c r="D59" s="49">
        <f>AVERAGE('02.08 Atiak-Palabek-24h'!D59,'03.08 Atiak-Palabek-24h'!D59)</f>
        <v>0</v>
      </c>
      <c r="E59" s="49">
        <f>AVERAGE('02.08 Atiak-Palabek-24h'!E59,'03.08 Atiak-Palabek-24h'!E59)</f>
        <v>0</v>
      </c>
      <c r="F59" s="49">
        <f>AVERAGE('02.08 Atiak-Palabek-24h'!F59,'03.08 Atiak-Palabek-24h'!F59)</f>
        <v>0.5</v>
      </c>
      <c r="G59" s="49">
        <f>AVERAGE('02.08 Atiak-Palabek-24h'!G59,'03.08 Atiak-Palabek-24h'!G59)</f>
        <v>0</v>
      </c>
      <c r="H59" s="49">
        <f>AVERAGE('02.08 Atiak-Palabek-24h'!H59,'03.08 Atiak-Palabek-24h'!H59)</f>
        <v>0</v>
      </c>
      <c r="I59" s="49">
        <f>AVERAGE('02.08 Atiak-Palabek-24h'!I59,'03.08 Atiak-Palabek-24h'!I59)</f>
        <v>0.5</v>
      </c>
      <c r="J59" s="49">
        <f>AVERAGE('02.08 Atiak-Palabek-24h'!J59,'03.08 Atiak-Palabek-24h'!J59)</f>
        <v>0</v>
      </c>
      <c r="K59" s="49">
        <f>AVERAGE('02.08 Atiak-Palabek-24h'!K59,'03.08 Atiak-Palabek-24h'!K59)</f>
        <v>0</v>
      </c>
      <c r="L59" s="49">
        <f>AVERAGE('02.08 Atiak-Palabek-24h'!L59,'03.08 Atiak-Palabek-24h'!L59)</f>
        <v>0</v>
      </c>
      <c r="M59" s="49">
        <f>AVERAGE('02.08 Atiak-Palabek-24h'!M59,'03.08 Atiak-Palabek-24h'!M59)</f>
        <v>7</v>
      </c>
      <c r="N59" s="49">
        <f>AVERAGE('02.08 Atiak-Palabek-24h'!N59,'03.08 Atiak-Palabek-24h'!N59)</f>
        <v>0</v>
      </c>
      <c r="O59" s="15">
        <f t="shared" si="0"/>
        <v>1</v>
      </c>
      <c r="P59" s="15">
        <f t="shared" si="1"/>
        <v>8</v>
      </c>
      <c r="R59" s="8"/>
      <c r="T59"/>
    </row>
    <row r="60" spans="2:20" ht="23.1" customHeight="1" x14ac:dyDescent="0.25">
      <c r="B60" s="23" t="s">
        <v>101</v>
      </c>
      <c r="C60" s="49">
        <f>AVERAGE('02.08 Atiak-Palabek-24h'!C60,'03.08 Atiak-Palabek-24h'!C60)</f>
        <v>0</v>
      </c>
      <c r="D60" s="49">
        <f>AVERAGE('02.08 Atiak-Palabek-24h'!D60,'03.08 Atiak-Palabek-24h'!D60)</f>
        <v>0</v>
      </c>
      <c r="E60" s="49">
        <f>AVERAGE('02.08 Atiak-Palabek-24h'!E60,'03.08 Atiak-Palabek-24h'!E60)</f>
        <v>0.5</v>
      </c>
      <c r="F60" s="49">
        <f>AVERAGE('02.08 Atiak-Palabek-24h'!F60,'03.08 Atiak-Palabek-24h'!F60)</f>
        <v>0.5</v>
      </c>
      <c r="G60" s="49">
        <f>AVERAGE('02.08 Atiak-Palabek-24h'!G60,'03.08 Atiak-Palabek-24h'!G60)</f>
        <v>0</v>
      </c>
      <c r="H60" s="49">
        <f>AVERAGE('02.08 Atiak-Palabek-24h'!H60,'03.08 Atiak-Palabek-24h'!H60)</f>
        <v>0</v>
      </c>
      <c r="I60" s="49">
        <f>AVERAGE('02.08 Atiak-Palabek-24h'!I60,'03.08 Atiak-Palabek-24h'!I60)</f>
        <v>0.5</v>
      </c>
      <c r="J60" s="49">
        <f>AVERAGE('02.08 Atiak-Palabek-24h'!J60,'03.08 Atiak-Palabek-24h'!J60)</f>
        <v>0</v>
      </c>
      <c r="K60" s="49">
        <f>AVERAGE('02.08 Atiak-Palabek-24h'!K60,'03.08 Atiak-Palabek-24h'!K60)</f>
        <v>0</v>
      </c>
      <c r="L60" s="49">
        <f>AVERAGE('02.08 Atiak-Palabek-24h'!L60,'03.08 Atiak-Palabek-24h'!L60)</f>
        <v>0</v>
      </c>
      <c r="M60" s="49">
        <f>AVERAGE('02.08 Atiak-Palabek-24h'!M60,'03.08 Atiak-Palabek-24h'!M60)</f>
        <v>6.5</v>
      </c>
      <c r="N60" s="49">
        <f>AVERAGE('02.08 Atiak-Palabek-24h'!N60,'03.08 Atiak-Palabek-24h'!N60)</f>
        <v>0</v>
      </c>
      <c r="O60" s="15">
        <f t="shared" si="0"/>
        <v>1.5</v>
      </c>
      <c r="P60" s="15">
        <f t="shared" si="1"/>
        <v>8</v>
      </c>
      <c r="R60" s="8"/>
      <c r="T60"/>
    </row>
    <row r="61" spans="2:20" ht="23.1" customHeight="1" x14ac:dyDescent="0.25">
      <c r="B61" s="23" t="s">
        <v>102</v>
      </c>
      <c r="C61" s="49">
        <f>AVERAGE('02.08 Atiak-Palabek-24h'!C61,'03.08 Atiak-Palabek-24h'!C61)</f>
        <v>0</v>
      </c>
      <c r="D61" s="49">
        <f>AVERAGE('02.08 Atiak-Palabek-24h'!D61,'03.08 Atiak-Palabek-24h'!D61)</f>
        <v>0</v>
      </c>
      <c r="E61" s="49">
        <f>AVERAGE('02.08 Atiak-Palabek-24h'!E61,'03.08 Atiak-Palabek-24h'!E61)</f>
        <v>0.5</v>
      </c>
      <c r="F61" s="49">
        <f>AVERAGE('02.08 Atiak-Palabek-24h'!F61,'03.08 Atiak-Palabek-24h'!F61)</f>
        <v>0</v>
      </c>
      <c r="G61" s="49">
        <f>AVERAGE('02.08 Atiak-Palabek-24h'!G61,'03.08 Atiak-Palabek-24h'!G61)</f>
        <v>0</v>
      </c>
      <c r="H61" s="49">
        <f>AVERAGE('02.08 Atiak-Palabek-24h'!H61,'03.08 Atiak-Palabek-24h'!H61)</f>
        <v>0</v>
      </c>
      <c r="I61" s="49">
        <f>AVERAGE('02.08 Atiak-Palabek-24h'!I61,'03.08 Atiak-Palabek-24h'!I61)</f>
        <v>0</v>
      </c>
      <c r="J61" s="49">
        <f>AVERAGE('02.08 Atiak-Palabek-24h'!J61,'03.08 Atiak-Palabek-24h'!J61)</f>
        <v>0</v>
      </c>
      <c r="K61" s="49">
        <f>AVERAGE('02.08 Atiak-Palabek-24h'!K61,'03.08 Atiak-Palabek-24h'!K61)</f>
        <v>0</v>
      </c>
      <c r="L61" s="49">
        <f>AVERAGE('02.08 Atiak-Palabek-24h'!L61,'03.08 Atiak-Palabek-24h'!L61)</f>
        <v>0</v>
      </c>
      <c r="M61" s="49">
        <f>AVERAGE('02.08 Atiak-Palabek-24h'!M61,'03.08 Atiak-Palabek-24h'!M61)</f>
        <v>4.5</v>
      </c>
      <c r="N61" s="49">
        <f>AVERAGE('02.08 Atiak-Palabek-24h'!N61,'03.08 Atiak-Palabek-24h'!N61)</f>
        <v>0</v>
      </c>
      <c r="O61" s="15">
        <f t="shared" si="0"/>
        <v>0.5</v>
      </c>
      <c r="P61" s="15">
        <f t="shared" si="1"/>
        <v>5</v>
      </c>
      <c r="R61" s="8"/>
      <c r="T61"/>
    </row>
    <row r="62" spans="2:20" ht="23.1" customHeight="1" x14ac:dyDescent="0.25">
      <c r="B62" s="23" t="s">
        <v>107</v>
      </c>
      <c r="C62" s="49">
        <f>AVERAGE('02.08 Atiak-Palabek-24h'!C62,'03.08 Atiak-Palabek-24h'!C62)</f>
        <v>0</v>
      </c>
      <c r="D62" s="49">
        <f>AVERAGE('02.08 Atiak-Palabek-24h'!D62,'03.08 Atiak-Palabek-24h'!D62)</f>
        <v>0</v>
      </c>
      <c r="E62" s="49">
        <f>AVERAGE('02.08 Atiak-Palabek-24h'!E62,'03.08 Atiak-Palabek-24h'!E62)</f>
        <v>0.5</v>
      </c>
      <c r="F62" s="49">
        <f>AVERAGE('02.08 Atiak-Palabek-24h'!F62,'03.08 Atiak-Palabek-24h'!F62)</f>
        <v>0</v>
      </c>
      <c r="G62" s="49">
        <f>AVERAGE('02.08 Atiak-Palabek-24h'!G62,'03.08 Atiak-Palabek-24h'!G62)</f>
        <v>0</v>
      </c>
      <c r="H62" s="49">
        <f>AVERAGE('02.08 Atiak-Palabek-24h'!H62,'03.08 Atiak-Palabek-24h'!H62)</f>
        <v>0</v>
      </c>
      <c r="I62" s="49">
        <f>AVERAGE('02.08 Atiak-Palabek-24h'!I62,'03.08 Atiak-Palabek-24h'!I62)</f>
        <v>0.5</v>
      </c>
      <c r="J62" s="49">
        <f>AVERAGE('02.08 Atiak-Palabek-24h'!J62,'03.08 Atiak-Palabek-24h'!J62)</f>
        <v>0</v>
      </c>
      <c r="K62" s="49">
        <f>AVERAGE('02.08 Atiak-Palabek-24h'!K62,'03.08 Atiak-Palabek-24h'!K62)</f>
        <v>0</v>
      </c>
      <c r="L62" s="49">
        <f>AVERAGE('02.08 Atiak-Palabek-24h'!L62,'03.08 Atiak-Palabek-24h'!L62)</f>
        <v>0</v>
      </c>
      <c r="M62" s="49">
        <f>AVERAGE('02.08 Atiak-Palabek-24h'!M62,'03.08 Atiak-Palabek-24h'!M62)</f>
        <v>3</v>
      </c>
      <c r="N62" s="49">
        <f>AVERAGE('02.08 Atiak-Palabek-24h'!N62,'03.08 Atiak-Palabek-24h'!N62)</f>
        <v>0</v>
      </c>
      <c r="O62" s="15">
        <f t="shared" si="0"/>
        <v>1</v>
      </c>
      <c r="P62" s="15">
        <f t="shared" si="1"/>
        <v>4</v>
      </c>
      <c r="R62" s="8"/>
      <c r="T62"/>
    </row>
    <row r="63" spans="2:20" ht="23.1" customHeight="1" x14ac:dyDescent="0.25">
      <c r="B63" s="23" t="s">
        <v>108</v>
      </c>
      <c r="C63" s="49">
        <f>AVERAGE('02.08 Atiak-Palabek-24h'!C63,'03.08 Atiak-Palabek-24h'!C63)</f>
        <v>0</v>
      </c>
      <c r="D63" s="49">
        <f>AVERAGE('02.08 Atiak-Palabek-24h'!D63,'03.08 Atiak-Palabek-24h'!D63)</f>
        <v>0</v>
      </c>
      <c r="E63" s="49">
        <f>AVERAGE('02.08 Atiak-Palabek-24h'!E63,'03.08 Atiak-Palabek-24h'!E63)</f>
        <v>0</v>
      </c>
      <c r="F63" s="49">
        <f>AVERAGE('02.08 Atiak-Palabek-24h'!F63,'03.08 Atiak-Palabek-24h'!F63)</f>
        <v>0</v>
      </c>
      <c r="G63" s="49">
        <f>AVERAGE('02.08 Atiak-Palabek-24h'!G63,'03.08 Atiak-Palabek-24h'!G63)</f>
        <v>0</v>
      </c>
      <c r="H63" s="49">
        <f>AVERAGE('02.08 Atiak-Palabek-24h'!H63,'03.08 Atiak-Palabek-24h'!H63)</f>
        <v>0</v>
      </c>
      <c r="I63" s="49">
        <f>AVERAGE('02.08 Atiak-Palabek-24h'!I63,'03.08 Atiak-Palabek-24h'!I63)</f>
        <v>0</v>
      </c>
      <c r="J63" s="49">
        <f>AVERAGE('02.08 Atiak-Palabek-24h'!J63,'03.08 Atiak-Palabek-24h'!J63)</f>
        <v>0</v>
      </c>
      <c r="K63" s="49">
        <f>AVERAGE('02.08 Atiak-Palabek-24h'!K63,'03.08 Atiak-Palabek-24h'!K63)</f>
        <v>0</v>
      </c>
      <c r="L63" s="49">
        <f>AVERAGE('02.08 Atiak-Palabek-24h'!L63,'03.08 Atiak-Palabek-24h'!L63)</f>
        <v>0</v>
      </c>
      <c r="M63" s="49">
        <f>AVERAGE('02.08 Atiak-Palabek-24h'!M63,'03.08 Atiak-Palabek-24h'!M63)</f>
        <v>7</v>
      </c>
      <c r="N63" s="49">
        <f>AVERAGE('02.08 Atiak-Palabek-24h'!N63,'03.08 Atiak-Palabek-24h'!N63)</f>
        <v>0</v>
      </c>
      <c r="O63" s="15">
        <f t="shared" si="0"/>
        <v>0</v>
      </c>
      <c r="P63" s="15">
        <f t="shared" si="1"/>
        <v>7</v>
      </c>
      <c r="R63" s="8"/>
      <c r="T63"/>
    </row>
    <row r="64" spans="2:20" ht="23.1" customHeight="1" x14ac:dyDescent="0.25">
      <c r="B64" s="23" t="s">
        <v>109</v>
      </c>
      <c r="C64" s="49">
        <f>AVERAGE('02.08 Atiak-Palabek-24h'!C64,'03.08 Atiak-Palabek-24h'!C64)</f>
        <v>0.5</v>
      </c>
      <c r="D64" s="49">
        <f>AVERAGE('02.08 Atiak-Palabek-24h'!D64,'03.08 Atiak-Palabek-24h'!D64)</f>
        <v>0</v>
      </c>
      <c r="E64" s="49">
        <f>AVERAGE('02.08 Atiak-Palabek-24h'!E64,'03.08 Atiak-Palabek-24h'!E64)</f>
        <v>0</v>
      </c>
      <c r="F64" s="49">
        <f>AVERAGE('02.08 Atiak-Palabek-24h'!F64,'03.08 Atiak-Palabek-24h'!F64)</f>
        <v>0</v>
      </c>
      <c r="G64" s="49">
        <f>AVERAGE('02.08 Atiak-Palabek-24h'!G64,'03.08 Atiak-Palabek-24h'!G64)</f>
        <v>0</v>
      </c>
      <c r="H64" s="49">
        <f>AVERAGE('02.08 Atiak-Palabek-24h'!H64,'03.08 Atiak-Palabek-24h'!H64)</f>
        <v>0</v>
      </c>
      <c r="I64" s="49">
        <f>AVERAGE('02.08 Atiak-Palabek-24h'!I64,'03.08 Atiak-Palabek-24h'!I64)</f>
        <v>0.5</v>
      </c>
      <c r="J64" s="49">
        <f>AVERAGE('02.08 Atiak-Palabek-24h'!J64,'03.08 Atiak-Palabek-24h'!J64)</f>
        <v>0</v>
      </c>
      <c r="K64" s="49">
        <f>AVERAGE('02.08 Atiak-Palabek-24h'!K64,'03.08 Atiak-Palabek-24h'!K64)</f>
        <v>0</v>
      </c>
      <c r="L64" s="49">
        <f>AVERAGE('02.08 Atiak-Palabek-24h'!L64,'03.08 Atiak-Palabek-24h'!L64)</f>
        <v>0</v>
      </c>
      <c r="M64" s="49">
        <f>AVERAGE('02.08 Atiak-Palabek-24h'!M64,'03.08 Atiak-Palabek-24h'!M64)</f>
        <v>7</v>
      </c>
      <c r="N64" s="49">
        <f>AVERAGE('02.08 Atiak-Palabek-24h'!N64,'03.08 Atiak-Palabek-24h'!N64)</f>
        <v>0</v>
      </c>
      <c r="O64" s="15">
        <f t="shared" si="0"/>
        <v>1</v>
      </c>
      <c r="P64" s="15">
        <f t="shared" si="1"/>
        <v>8</v>
      </c>
      <c r="R64" s="8"/>
      <c r="T64"/>
    </row>
    <row r="65" spans="2:20" ht="23.1" customHeight="1" x14ac:dyDescent="0.25">
      <c r="B65" s="23" t="s">
        <v>158</v>
      </c>
      <c r="C65" s="49">
        <f>AVERAGE('02.08 Atiak-Palabek-24h'!C65,'03.08 Atiak-Palabek-24h'!C65)</f>
        <v>0</v>
      </c>
      <c r="D65" s="49">
        <f>AVERAGE('02.08 Atiak-Palabek-24h'!D65,'03.08 Atiak-Palabek-24h'!D65)</f>
        <v>0</v>
      </c>
      <c r="E65" s="49">
        <f>AVERAGE('02.08 Atiak-Palabek-24h'!E65,'03.08 Atiak-Palabek-24h'!E65)</f>
        <v>0</v>
      </c>
      <c r="F65" s="49">
        <f>AVERAGE('02.08 Atiak-Palabek-24h'!F65,'03.08 Atiak-Palabek-24h'!F65)</f>
        <v>0.5</v>
      </c>
      <c r="G65" s="49">
        <f>AVERAGE('02.08 Atiak-Palabek-24h'!G65,'03.08 Atiak-Palabek-24h'!G65)</f>
        <v>0</v>
      </c>
      <c r="H65" s="49">
        <f>AVERAGE('02.08 Atiak-Palabek-24h'!H65,'03.08 Atiak-Palabek-24h'!H65)</f>
        <v>0</v>
      </c>
      <c r="I65" s="49">
        <f>AVERAGE('02.08 Atiak-Palabek-24h'!I65,'03.08 Atiak-Palabek-24h'!I65)</f>
        <v>0.5</v>
      </c>
      <c r="J65" s="49">
        <f>AVERAGE('02.08 Atiak-Palabek-24h'!J65,'03.08 Atiak-Palabek-24h'!J65)</f>
        <v>0</v>
      </c>
      <c r="K65" s="49">
        <f>AVERAGE('02.08 Atiak-Palabek-24h'!K65,'03.08 Atiak-Palabek-24h'!K65)</f>
        <v>0</v>
      </c>
      <c r="L65" s="49">
        <f>AVERAGE('02.08 Atiak-Palabek-24h'!L65,'03.08 Atiak-Palabek-24h'!L65)</f>
        <v>0</v>
      </c>
      <c r="M65" s="49">
        <f>AVERAGE('02.08 Atiak-Palabek-24h'!M65,'03.08 Atiak-Palabek-24h'!M65)</f>
        <v>6</v>
      </c>
      <c r="N65" s="49">
        <f>AVERAGE('02.08 Atiak-Palabek-24h'!N65,'03.08 Atiak-Palabek-24h'!N65)</f>
        <v>0</v>
      </c>
      <c r="O65" s="15">
        <f t="shared" si="0"/>
        <v>1</v>
      </c>
      <c r="P65" s="15">
        <f t="shared" si="1"/>
        <v>7</v>
      </c>
      <c r="R65" s="8"/>
      <c r="T65"/>
    </row>
    <row r="66" spans="2:20" ht="23.1" customHeight="1" x14ac:dyDescent="0.25">
      <c r="B66" s="23" t="s">
        <v>103</v>
      </c>
      <c r="C66" s="49">
        <f>AVERAGE('02.08 Atiak-Palabek-24h'!C66,'03.08 Atiak-Palabek-24h'!C66)</f>
        <v>0</v>
      </c>
      <c r="D66" s="49">
        <f>AVERAGE('02.08 Atiak-Palabek-24h'!D66,'03.08 Atiak-Palabek-24h'!D66)</f>
        <v>0</v>
      </c>
      <c r="E66" s="49">
        <f>AVERAGE('02.08 Atiak-Palabek-24h'!E66,'03.08 Atiak-Palabek-24h'!E66)</f>
        <v>0</v>
      </c>
      <c r="F66" s="49">
        <f>AVERAGE('02.08 Atiak-Palabek-24h'!F66,'03.08 Atiak-Palabek-24h'!F66)</f>
        <v>0</v>
      </c>
      <c r="G66" s="49">
        <f>AVERAGE('02.08 Atiak-Palabek-24h'!G66,'03.08 Atiak-Palabek-24h'!G66)</f>
        <v>0</v>
      </c>
      <c r="H66" s="49">
        <f>AVERAGE('02.08 Atiak-Palabek-24h'!H66,'03.08 Atiak-Palabek-24h'!H66)</f>
        <v>0</v>
      </c>
      <c r="I66" s="49">
        <f>AVERAGE('02.08 Atiak-Palabek-24h'!I66,'03.08 Atiak-Palabek-24h'!I66)</f>
        <v>0</v>
      </c>
      <c r="J66" s="49">
        <f>AVERAGE('02.08 Atiak-Palabek-24h'!J66,'03.08 Atiak-Palabek-24h'!J66)</f>
        <v>0</v>
      </c>
      <c r="K66" s="49">
        <f>AVERAGE('02.08 Atiak-Palabek-24h'!K66,'03.08 Atiak-Palabek-24h'!K66)</f>
        <v>0</v>
      </c>
      <c r="L66" s="49">
        <f>AVERAGE('02.08 Atiak-Palabek-24h'!L66,'03.08 Atiak-Palabek-24h'!L66)</f>
        <v>0</v>
      </c>
      <c r="M66" s="49">
        <f>AVERAGE('02.08 Atiak-Palabek-24h'!M66,'03.08 Atiak-Palabek-24h'!M66)</f>
        <v>3</v>
      </c>
      <c r="N66" s="49">
        <f>AVERAGE('02.08 Atiak-Palabek-24h'!N66,'03.08 Atiak-Palabek-24h'!N66)</f>
        <v>0</v>
      </c>
      <c r="O66" s="15">
        <f t="shared" si="0"/>
        <v>0</v>
      </c>
      <c r="P66" s="15">
        <f t="shared" si="1"/>
        <v>3</v>
      </c>
      <c r="R66" s="8"/>
      <c r="T66"/>
    </row>
    <row r="67" spans="2:20" ht="23.1" customHeight="1" x14ac:dyDescent="0.25">
      <c r="B67" s="23" t="s">
        <v>104</v>
      </c>
      <c r="C67" s="49">
        <f>AVERAGE('02.08 Atiak-Palabek-24h'!C67,'03.08 Atiak-Palabek-24h'!C67)</f>
        <v>0</v>
      </c>
      <c r="D67" s="49">
        <f>AVERAGE('02.08 Atiak-Palabek-24h'!D67,'03.08 Atiak-Palabek-24h'!D67)</f>
        <v>0</v>
      </c>
      <c r="E67" s="49">
        <f>AVERAGE('02.08 Atiak-Palabek-24h'!E67,'03.08 Atiak-Palabek-24h'!E67)</f>
        <v>0</v>
      </c>
      <c r="F67" s="49">
        <f>AVERAGE('02.08 Atiak-Palabek-24h'!F67,'03.08 Atiak-Palabek-24h'!F67)</f>
        <v>0</v>
      </c>
      <c r="G67" s="49">
        <f>AVERAGE('02.08 Atiak-Palabek-24h'!G67,'03.08 Atiak-Palabek-24h'!G67)</f>
        <v>0</v>
      </c>
      <c r="H67" s="49">
        <f>AVERAGE('02.08 Atiak-Palabek-24h'!H67,'03.08 Atiak-Palabek-24h'!H67)</f>
        <v>0</v>
      </c>
      <c r="I67" s="49">
        <f>AVERAGE('02.08 Atiak-Palabek-24h'!I67,'03.08 Atiak-Palabek-24h'!I67)</f>
        <v>0</v>
      </c>
      <c r="J67" s="49">
        <f>AVERAGE('02.08 Atiak-Palabek-24h'!J67,'03.08 Atiak-Palabek-24h'!J67)</f>
        <v>0</v>
      </c>
      <c r="K67" s="49">
        <f>AVERAGE('02.08 Atiak-Palabek-24h'!K67,'03.08 Atiak-Palabek-24h'!K67)</f>
        <v>0</v>
      </c>
      <c r="L67" s="49">
        <f>AVERAGE('02.08 Atiak-Palabek-24h'!L67,'03.08 Atiak-Palabek-24h'!L67)</f>
        <v>0</v>
      </c>
      <c r="M67" s="49">
        <f>AVERAGE('02.08 Atiak-Palabek-24h'!M67,'03.08 Atiak-Palabek-24h'!M67)</f>
        <v>5.5</v>
      </c>
      <c r="N67" s="49">
        <f>AVERAGE('02.08 Atiak-Palabek-24h'!N67,'03.08 Atiak-Palabek-24h'!N67)</f>
        <v>0</v>
      </c>
      <c r="O67" s="15">
        <f t="shared" si="0"/>
        <v>0</v>
      </c>
      <c r="P67" s="15">
        <f t="shared" si="1"/>
        <v>5.5</v>
      </c>
      <c r="R67" s="8"/>
      <c r="T67"/>
    </row>
    <row r="68" spans="2:20" ht="23.1" customHeight="1" x14ac:dyDescent="0.25">
      <c r="B68" s="23" t="s">
        <v>105</v>
      </c>
      <c r="C68" s="49">
        <f>AVERAGE('02.08 Atiak-Palabek-24h'!C68,'03.08 Atiak-Palabek-24h'!C68)</f>
        <v>0</v>
      </c>
      <c r="D68" s="49">
        <f>AVERAGE('02.08 Atiak-Palabek-24h'!D68,'03.08 Atiak-Palabek-24h'!D68)</f>
        <v>0</v>
      </c>
      <c r="E68" s="49">
        <f>AVERAGE('02.08 Atiak-Palabek-24h'!E68,'03.08 Atiak-Palabek-24h'!E68)</f>
        <v>0</v>
      </c>
      <c r="F68" s="49">
        <f>AVERAGE('02.08 Atiak-Palabek-24h'!F68,'03.08 Atiak-Palabek-24h'!F68)</f>
        <v>0</v>
      </c>
      <c r="G68" s="49">
        <f>AVERAGE('02.08 Atiak-Palabek-24h'!G68,'03.08 Atiak-Palabek-24h'!G68)</f>
        <v>0</v>
      </c>
      <c r="H68" s="49">
        <f>AVERAGE('02.08 Atiak-Palabek-24h'!H68,'03.08 Atiak-Palabek-24h'!H68)</f>
        <v>0</v>
      </c>
      <c r="I68" s="49">
        <f>AVERAGE('02.08 Atiak-Palabek-24h'!I68,'03.08 Atiak-Palabek-24h'!I68)</f>
        <v>0</v>
      </c>
      <c r="J68" s="49">
        <f>AVERAGE('02.08 Atiak-Palabek-24h'!J68,'03.08 Atiak-Palabek-24h'!J68)</f>
        <v>0</v>
      </c>
      <c r="K68" s="49">
        <f>AVERAGE('02.08 Atiak-Palabek-24h'!K68,'03.08 Atiak-Palabek-24h'!K68)</f>
        <v>0</v>
      </c>
      <c r="L68" s="49">
        <f>AVERAGE('02.08 Atiak-Palabek-24h'!L68,'03.08 Atiak-Palabek-24h'!L68)</f>
        <v>0</v>
      </c>
      <c r="M68" s="49">
        <f>AVERAGE('02.08 Atiak-Palabek-24h'!M68,'03.08 Atiak-Palabek-24h'!M68)</f>
        <v>2.5</v>
      </c>
      <c r="N68" s="49">
        <f>AVERAGE('02.08 Atiak-Palabek-24h'!N68,'03.08 Atiak-Palabek-24h'!N68)</f>
        <v>0</v>
      </c>
      <c r="O68" s="15">
        <f t="shared" si="0"/>
        <v>0</v>
      </c>
      <c r="P68" s="15">
        <f t="shared" si="1"/>
        <v>2.5</v>
      </c>
      <c r="R68" s="8"/>
      <c r="T68"/>
    </row>
    <row r="69" spans="2:20" ht="23.1" customHeight="1" x14ac:dyDescent="0.25">
      <c r="B69" s="23" t="s">
        <v>106</v>
      </c>
      <c r="C69" s="49">
        <f>AVERAGE('02.08 Atiak-Palabek-24h'!C69,'03.08 Atiak-Palabek-24h'!C69)</f>
        <v>0</v>
      </c>
      <c r="D69" s="49">
        <f>AVERAGE('02.08 Atiak-Palabek-24h'!D69,'03.08 Atiak-Palabek-24h'!D69)</f>
        <v>0</v>
      </c>
      <c r="E69" s="49">
        <f>AVERAGE('02.08 Atiak-Palabek-24h'!E69,'03.08 Atiak-Palabek-24h'!E69)</f>
        <v>0</v>
      </c>
      <c r="F69" s="49">
        <f>AVERAGE('02.08 Atiak-Palabek-24h'!F69,'03.08 Atiak-Palabek-24h'!F69)</f>
        <v>0</v>
      </c>
      <c r="G69" s="49">
        <f>AVERAGE('02.08 Atiak-Palabek-24h'!G69,'03.08 Atiak-Palabek-24h'!G69)</f>
        <v>0</v>
      </c>
      <c r="H69" s="49">
        <f>AVERAGE('02.08 Atiak-Palabek-24h'!H69,'03.08 Atiak-Palabek-24h'!H69)</f>
        <v>0</v>
      </c>
      <c r="I69" s="49">
        <f>AVERAGE('02.08 Atiak-Palabek-24h'!I69,'03.08 Atiak-Palabek-24h'!I69)</f>
        <v>0</v>
      </c>
      <c r="J69" s="49">
        <f>AVERAGE('02.08 Atiak-Palabek-24h'!J69,'03.08 Atiak-Palabek-24h'!J69)</f>
        <v>0</v>
      </c>
      <c r="K69" s="49">
        <f>AVERAGE('02.08 Atiak-Palabek-24h'!K69,'03.08 Atiak-Palabek-24h'!K69)</f>
        <v>0</v>
      </c>
      <c r="L69" s="49">
        <f>AVERAGE('02.08 Atiak-Palabek-24h'!L69,'03.08 Atiak-Palabek-24h'!L69)</f>
        <v>0</v>
      </c>
      <c r="M69" s="49">
        <f>AVERAGE('02.08 Atiak-Palabek-24h'!M69,'03.08 Atiak-Palabek-24h'!M69)</f>
        <v>3</v>
      </c>
      <c r="N69" s="49">
        <f>AVERAGE('02.08 Atiak-Palabek-24h'!N69,'03.08 Atiak-Palabek-24h'!N69)</f>
        <v>0</v>
      </c>
      <c r="O69" s="15">
        <f t="shared" si="0"/>
        <v>0</v>
      </c>
      <c r="P69" s="15">
        <f t="shared" si="1"/>
        <v>3</v>
      </c>
      <c r="R69" s="8"/>
      <c r="T69"/>
    </row>
    <row r="70" spans="2:20" ht="23.1" customHeight="1" x14ac:dyDescent="0.25">
      <c r="B70" s="23" t="s">
        <v>110</v>
      </c>
      <c r="C70" s="49">
        <f>AVERAGE('02.08 Atiak-Palabek-24h'!C70,'03.08 Atiak-Palabek-24h'!C70)</f>
        <v>0</v>
      </c>
      <c r="D70" s="49">
        <f>AVERAGE('02.08 Atiak-Palabek-24h'!D70,'03.08 Atiak-Palabek-24h'!D70)</f>
        <v>0</v>
      </c>
      <c r="E70" s="49">
        <f>AVERAGE('02.08 Atiak-Palabek-24h'!E70,'03.08 Atiak-Palabek-24h'!E70)</f>
        <v>0</v>
      </c>
      <c r="F70" s="49">
        <f>AVERAGE('02.08 Atiak-Palabek-24h'!F70,'03.08 Atiak-Palabek-24h'!F70)</f>
        <v>0</v>
      </c>
      <c r="G70" s="49">
        <f>AVERAGE('02.08 Atiak-Palabek-24h'!G70,'03.08 Atiak-Palabek-24h'!G70)</f>
        <v>0</v>
      </c>
      <c r="H70" s="49">
        <f>AVERAGE('02.08 Atiak-Palabek-24h'!H70,'03.08 Atiak-Palabek-24h'!H70)</f>
        <v>0</v>
      </c>
      <c r="I70" s="49">
        <f>AVERAGE('02.08 Atiak-Palabek-24h'!I70,'03.08 Atiak-Palabek-24h'!I70)</f>
        <v>0</v>
      </c>
      <c r="J70" s="49">
        <f>AVERAGE('02.08 Atiak-Palabek-24h'!J70,'03.08 Atiak-Palabek-24h'!J70)</f>
        <v>0</v>
      </c>
      <c r="K70" s="49">
        <f>AVERAGE('02.08 Atiak-Palabek-24h'!K70,'03.08 Atiak-Palabek-24h'!K70)</f>
        <v>0</v>
      </c>
      <c r="L70" s="49">
        <f>AVERAGE('02.08 Atiak-Palabek-24h'!L70,'03.08 Atiak-Palabek-24h'!L70)</f>
        <v>0</v>
      </c>
      <c r="M70" s="49">
        <f>AVERAGE('02.08 Atiak-Palabek-24h'!M70,'03.08 Atiak-Palabek-24h'!M70)</f>
        <v>4.5</v>
      </c>
      <c r="N70" s="49">
        <f>AVERAGE('02.08 Atiak-Palabek-24h'!N70,'03.08 Atiak-Palabek-24h'!N70)</f>
        <v>0</v>
      </c>
      <c r="O70" s="15">
        <f t="shared" si="0"/>
        <v>0</v>
      </c>
      <c r="P70" s="15">
        <f t="shared" si="1"/>
        <v>4.5</v>
      </c>
      <c r="R70" s="8"/>
      <c r="T70"/>
    </row>
    <row r="71" spans="2:20" ht="23.1" customHeight="1" x14ac:dyDescent="0.25">
      <c r="B71" s="23" t="s">
        <v>111</v>
      </c>
      <c r="C71" s="49">
        <f>AVERAGE('02.08 Atiak-Palabek-24h'!C71,'03.08 Atiak-Palabek-24h'!C71)</f>
        <v>0</v>
      </c>
      <c r="D71" s="49">
        <f>AVERAGE('02.08 Atiak-Palabek-24h'!D71,'03.08 Atiak-Palabek-24h'!D71)</f>
        <v>0</v>
      </c>
      <c r="E71" s="49">
        <f>AVERAGE('02.08 Atiak-Palabek-24h'!E71,'03.08 Atiak-Palabek-24h'!E71)</f>
        <v>0</v>
      </c>
      <c r="F71" s="49">
        <f>AVERAGE('02.08 Atiak-Palabek-24h'!F71,'03.08 Atiak-Palabek-24h'!F71)</f>
        <v>0</v>
      </c>
      <c r="G71" s="49">
        <f>AVERAGE('02.08 Atiak-Palabek-24h'!G71,'03.08 Atiak-Palabek-24h'!G71)</f>
        <v>0</v>
      </c>
      <c r="H71" s="49">
        <f>AVERAGE('02.08 Atiak-Palabek-24h'!H71,'03.08 Atiak-Palabek-24h'!H71)</f>
        <v>0</v>
      </c>
      <c r="I71" s="49">
        <f>AVERAGE('02.08 Atiak-Palabek-24h'!I71,'03.08 Atiak-Palabek-24h'!I71)</f>
        <v>1</v>
      </c>
      <c r="J71" s="49">
        <f>AVERAGE('02.08 Atiak-Palabek-24h'!J71,'03.08 Atiak-Palabek-24h'!J71)</f>
        <v>0</v>
      </c>
      <c r="K71" s="49">
        <f>AVERAGE('02.08 Atiak-Palabek-24h'!K71,'03.08 Atiak-Palabek-24h'!K71)</f>
        <v>0</v>
      </c>
      <c r="L71" s="49">
        <f>AVERAGE('02.08 Atiak-Palabek-24h'!L71,'03.08 Atiak-Palabek-24h'!L71)</f>
        <v>0</v>
      </c>
      <c r="M71" s="49">
        <f>AVERAGE('02.08 Atiak-Palabek-24h'!M71,'03.08 Atiak-Palabek-24h'!M71)</f>
        <v>3</v>
      </c>
      <c r="N71" s="49">
        <f>AVERAGE('02.08 Atiak-Palabek-24h'!N71,'03.08 Atiak-Palabek-24h'!N71)</f>
        <v>0</v>
      </c>
      <c r="O71" s="15">
        <f t="shared" si="0"/>
        <v>1</v>
      </c>
      <c r="P71" s="15">
        <f t="shared" si="1"/>
        <v>4</v>
      </c>
      <c r="R71" s="8"/>
      <c r="T71"/>
    </row>
    <row r="72" spans="2:20" ht="23.1" customHeight="1" x14ac:dyDescent="0.25">
      <c r="B72" s="23" t="s">
        <v>112</v>
      </c>
      <c r="C72" s="49">
        <f>AVERAGE('02.08 Atiak-Palabek-24h'!C72,'03.08 Atiak-Palabek-24h'!C72)</f>
        <v>0</v>
      </c>
      <c r="D72" s="49">
        <f>AVERAGE('02.08 Atiak-Palabek-24h'!D72,'03.08 Atiak-Palabek-24h'!D72)</f>
        <v>0</v>
      </c>
      <c r="E72" s="49">
        <f>AVERAGE('02.08 Atiak-Palabek-24h'!E72,'03.08 Atiak-Palabek-24h'!E72)</f>
        <v>0</v>
      </c>
      <c r="F72" s="49">
        <f>AVERAGE('02.08 Atiak-Palabek-24h'!F72,'03.08 Atiak-Palabek-24h'!F72)</f>
        <v>0.5</v>
      </c>
      <c r="G72" s="49">
        <f>AVERAGE('02.08 Atiak-Palabek-24h'!G72,'03.08 Atiak-Palabek-24h'!G72)</f>
        <v>0</v>
      </c>
      <c r="H72" s="49">
        <f>AVERAGE('02.08 Atiak-Palabek-24h'!H72,'03.08 Atiak-Palabek-24h'!H72)</f>
        <v>0.5</v>
      </c>
      <c r="I72" s="49">
        <f>AVERAGE('02.08 Atiak-Palabek-24h'!I72,'03.08 Atiak-Palabek-24h'!I72)</f>
        <v>0</v>
      </c>
      <c r="J72" s="49">
        <f>AVERAGE('02.08 Atiak-Palabek-24h'!J72,'03.08 Atiak-Palabek-24h'!J72)</f>
        <v>0</v>
      </c>
      <c r="K72" s="49">
        <f>AVERAGE('02.08 Atiak-Palabek-24h'!K72,'03.08 Atiak-Palabek-24h'!K72)</f>
        <v>0</v>
      </c>
      <c r="L72" s="49">
        <f>AVERAGE('02.08 Atiak-Palabek-24h'!L72,'03.08 Atiak-Palabek-24h'!L72)</f>
        <v>0</v>
      </c>
      <c r="M72" s="49">
        <f>AVERAGE('02.08 Atiak-Palabek-24h'!M72,'03.08 Atiak-Palabek-24h'!M72)</f>
        <v>0</v>
      </c>
      <c r="N72" s="49">
        <f>AVERAGE('02.08 Atiak-Palabek-24h'!N72,'03.08 Atiak-Palabek-24h'!N72)</f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23" t="s">
        <v>113</v>
      </c>
      <c r="C73" s="49">
        <f>AVERAGE('02.08 Atiak-Palabek-24h'!C73,'03.08 Atiak-Palabek-24h'!C73)</f>
        <v>0</v>
      </c>
      <c r="D73" s="49">
        <f>AVERAGE('02.08 Atiak-Palabek-24h'!D73,'03.08 Atiak-Palabek-24h'!D73)</f>
        <v>0</v>
      </c>
      <c r="E73" s="49">
        <f>AVERAGE('02.08 Atiak-Palabek-24h'!E73,'03.08 Atiak-Palabek-24h'!E73)</f>
        <v>0</v>
      </c>
      <c r="F73" s="49">
        <f>AVERAGE('02.08 Atiak-Palabek-24h'!F73,'03.08 Atiak-Palabek-24h'!F73)</f>
        <v>0</v>
      </c>
      <c r="G73" s="49">
        <f>AVERAGE('02.08 Atiak-Palabek-24h'!G73,'03.08 Atiak-Palabek-24h'!G73)</f>
        <v>0</v>
      </c>
      <c r="H73" s="49">
        <f>AVERAGE('02.08 Atiak-Palabek-24h'!H73,'03.08 Atiak-Palabek-24h'!H73)</f>
        <v>0</v>
      </c>
      <c r="I73" s="49">
        <f>AVERAGE('02.08 Atiak-Palabek-24h'!I73,'03.08 Atiak-Palabek-24h'!I73)</f>
        <v>0</v>
      </c>
      <c r="J73" s="49">
        <f>AVERAGE('02.08 Atiak-Palabek-24h'!J73,'03.08 Atiak-Palabek-24h'!J73)</f>
        <v>0</v>
      </c>
      <c r="K73" s="49">
        <f>AVERAGE('02.08 Atiak-Palabek-24h'!K73,'03.08 Atiak-Palabek-24h'!K73)</f>
        <v>0</v>
      </c>
      <c r="L73" s="49">
        <f>AVERAGE('02.08 Atiak-Palabek-24h'!L73,'03.08 Atiak-Palabek-24h'!L73)</f>
        <v>0</v>
      </c>
      <c r="M73" s="49">
        <f>AVERAGE('02.08 Atiak-Palabek-24h'!M73,'03.08 Atiak-Palabek-24h'!M73)</f>
        <v>2</v>
      </c>
      <c r="N73" s="49">
        <f>AVERAGE('02.08 Atiak-Palabek-24h'!N73,'03.08 Atiak-Palabek-24h'!N73)</f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23" t="s">
        <v>114</v>
      </c>
      <c r="C74" s="49">
        <f>AVERAGE('02.08 Atiak-Palabek-24h'!C74,'03.08 Atiak-Palabek-24h'!C74)</f>
        <v>0</v>
      </c>
      <c r="D74" s="49">
        <f>AVERAGE('02.08 Atiak-Palabek-24h'!D74,'03.08 Atiak-Palabek-24h'!D74)</f>
        <v>0</v>
      </c>
      <c r="E74" s="49">
        <f>AVERAGE('02.08 Atiak-Palabek-24h'!E74,'03.08 Atiak-Palabek-24h'!E74)</f>
        <v>1</v>
      </c>
      <c r="F74" s="49">
        <f>AVERAGE('02.08 Atiak-Palabek-24h'!F74,'03.08 Atiak-Palabek-24h'!F74)</f>
        <v>0</v>
      </c>
      <c r="G74" s="49">
        <f>AVERAGE('02.08 Atiak-Palabek-24h'!G74,'03.08 Atiak-Palabek-24h'!G74)</f>
        <v>0</v>
      </c>
      <c r="H74" s="49">
        <f>AVERAGE('02.08 Atiak-Palabek-24h'!H74,'03.08 Atiak-Palabek-24h'!H74)</f>
        <v>0</v>
      </c>
      <c r="I74" s="49">
        <f>AVERAGE('02.08 Atiak-Palabek-24h'!I74,'03.08 Atiak-Palabek-24h'!I74)</f>
        <v>0</v>
      </c>
      <c r="J74" s="49">
        <f>AVERAGE('02.08 Atiak-Palabek-24h'!J74,'03.08 Atiak-Palabek-24h'!J74)</f>
        <v>0</v>
      </c>
      <c r="K74" s="49">
        <f>AVERAGE('02.08 Atiak-Palabek-24h'!K74,'03.08 Atiak-Palabek-24h'!K74)</f>
        <v>0</v>
      </c>
      <c r="L74" s="49">
        <f>AVERAGE('02.08 Atiak-Palabek-24h'!L74,'03.08 Atiak-Palabek-24h'!L74)</f>
        <v>0</v>
      </c>
      <c r="M74" s="49">
        <f>AVERAGE('02.08 Atiak-Palabek-24h'!M74,'03.08 Atiak-Palabek-24h'!M74)</f>
        <v>1</v>
      </c>
      <c r="N74" s="49">
        <f>AVERAGE('02.08 Atiak-Palabek-24h'!N74,'03.08 Atiak-Palabek-24h'!N74)</f>
        <v>0</v>
      </c>
      <c r="O74" s="15">
        <f t="shared" ref="O74:O105" si="35">SUM(C74:L74,N74)</f>
        <v>1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23" t="s">
        <v>115</v>
      </c>
      <c r="C75" s="49">
        <f>AVERAGE('02.08 Atiak-Palabek-24h'!C75,'03.08 Atiak-Palabek-24h'!C75)</f>
        <v>0</v>
      </c>
      <c r="D75" s="49">
        <f>AVERAGE('02.08 Atiak-Palabek-24h'!D75,'03.08 Atiak-Palabek-24h'!D75)</f>
        <v>0</v>
      </c>
      <c r="E75" s="49">
        <f>AVERAGE('02.08 Atiak-Palabek-24h'!E75,'03.08 Atiak-Palabek-24h'!E75)</f>
        <v>0</v>
      </c>
      <c r="F75" s="49">
        <f>AVERAGE('02.08 Atiak-Palabek-24h'!F75,'03.08 Atiak-Palabek-24h'!F75)</f>
        <v>0</v>
      </c>
      <c r="G75" s="49">
        <f>AVERAGE('02.08 Atiak-Palabek-24h'!G75,'03.08 Atiak-Palabek-24h'!G75)</f>
        <v>0</v>
      </c>
      <c r="H75" s="49">
        <f>AVERAGE('02.08 Atiak-Palabek-24h'!H75,'03.08 Atiak-Palabek-24h'!H75)</f>
        <v>0</v>
      </c>
      <c r="I75" s="49">
        <f>AVERAGE('02.08 Atiak-Palabek-24h'!I75,'03.08 Atiak-Palabek-24h'!I75)</f>
        <v>1</v>
      </c>
      <c r="J75" s="49">
        <f>AVERAGE('02.08 Atiak-Palabek-24h'!J75,'03.08 Atiak-Palabek-24h'!J75)</f>
        <v>0</v>
      </c>
      <c r="K75" s="49">
        <f>AVERAGE('02.08 Atiak-Palabek-24h'!K75,'03.08 Atiak-Palabek-24h'!K75)</f>
        <v>0</v>
      </c>
      <c r="L75" s="49">
        <f>AVERAGE('02.08 Atiak-Palabek-24h'!L75,'03.08 Atiak-Palabek-24h'!L75)</f>
        <v>0</v>
      </c>
      <c r="M75" s="49">
        <f>AVERAGE('02.08 Atiak-Palabek-24h'!M75,'03.08 Atiak-Palabek-24h'!M75)</f>
        <v>0</v>
      </c>
      <c r="N75" s="49">
        <f>AVERAGE('02.08 Atiak-Palabek-24h'!N75,'03.08 Atiak-Palabek-24h'!N75)</f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23" t="s">
        <v>116</v>
      </c>
      <c r="C76" s="49">
        <f>AVERAGE('02.08 Atiak-Palabek-24h'!C76,'03.08 Atiak-Palabek-24h'!C76)</f>
        <v>0</v>
      </c>
      <c r="D76" s="49">
        <f>AVERAGE('02.08 Atiak-Palabek-24h'!D76,'03.08 Atiak-Palabek-24h'!D76)</f>
        <v>0</v>
      </c>
      <c r="E76" s="49">
        <f>AVERAGE('02.08 Atiak-Palabek-24h'!E76,'03.08 Atiak-Palabek-24h'!E76)</f>
        <v>0</v>
      </c>
      <c r="F76" s="49">
        <f>AVERAGE('02.08 Atiak-Palabek-24h'!F76,'03.08 Atiak-Palabek-24h'!F76)</f>
        <v>0</v>
      </c>
      <c r="G76" s="49">
        <f>AVERAGE('02.08 Atiak-Palabek-24h'!G76,'03.08 Atiak-Palabek-24h'!G76)</f>
        <v>0</v>
      </c>
      <c r="H76" s="49">
        <f>AVERAGE('02.08 Atiak-Palabek-24h'!H76,'03.08 Atiak-Palabek-24h'!H76)</f>
        <v>0</v>
      </c>
      <c r="I76" s="49">
        <f>AVERAGE('02.08 Atiak-Palabek-24h'!I76,'03.08 Atiak-Palabek-24h'!I76)</f>
        <v>0.5</v>
      </c>
      <c r="J76" s="49">
        <f>AVERAGE('02.08 Atiak-Palabek-24h'!J76,'03.08 Atiak-Palabek-24h'!J76)</f>
        <v>0</v>
      </c>
      <c r="K76" s="49">
        <f>AVERAGE('02.08 Atiak-Palabek-24h'!K76,'03.08 Atiak-Palabek-24h'!K76)</f>
        <v>0</v>
      </c>
      <c r="L76" s="49">
        <f>AVERAGE('02.08 Atiak-Palabek-24h'!L76,'03.08 Atiak-Palabek-24h'!L76)</f>
        <v>0</v>
      </c>
      <c r="M76" s="49">
        <f>AVERAGE('02.08 Atiak-Palabek-24h'!M76,'03.08 Atiak-Palabek-24h'!M76)</f>
        <v>4</v>
      </c>
      <c r="N76" s="49">
        <f>AVERAGE('02.08 Atiak-Palabek-24h'!N76,'03.08 Atiak-Palabek-24h'!N76)</f>
        <v>0</v>
      </c>
      <c r="O76" s="15">
        <f t="shared" si="35"/>
        <v>0.5</v>
      </c>
      <c r="P76" s="15">
        <f t="shared" si="36"/>
        <v>4.5</v>
      </c>
      <c r="R76" s="8"/>
      <c r="T76"/>
    </row>
    <row r="77" spans="2:20" ht="23.1" customHeight="1" x14ac:dyDescent="0.25">
      <c r="B77" s="23" t="s">
        <v>117</v>
      </c>
      <c r="C77" s="49">
        <f>AVERAGE('02.08 Atiak-Palabek-24h'!C77,'03.08 Atiak-Palabek-24h'!C77)</f>
        <v>0</v>
      </c>
      <c r="D77" s="49">
        <f>AVERAGE('02.08 Atiak-Palabek-24h'!D77,'03.08 Atiak-Palabek-24h'!D77)</f>
        <v>0</v>
      </c>
      <c r="E77" s="49">
        <f>AVERAGE('02.08 Atiak-Palabek-24h'!E77,'03.08 Atiak-Palabek-24h'!E77)</f>
        <v>0</v>
      </c>
      <c r="F77" s="49">
        <f>AVERAGE('02.08 Atiak-Palabek-24h'!F77,'03.08 Atiak-Palabek-24h'!F77)</f>
        <v>0</v>
      </c>
      <c r="G77" s="49">
        <f>AVERAGE('02.08 Atiak-Palabek-24h'!G77,'03.08 Atiak-Palabek-24h'!G77)</f>
        <v>0</v>
      </c>
      <c r="H77" s="49">
        <f>AVERAGE('02.08 Atiak-Palabek-24h'!H77,'03.08 Atiak-Palabek-24h'!H77)</f>
        <v>0</v>
      </c>
      <c r="I77" s="49">
        <f>AVERAGE('02.08 Atiak-Palabek-24h'!I77,'03.08 Atiak-Palabek-24h'!I77)</f>
        <v>0</v>
      </c>
      <c r="J77" s="49">
        <f>AVERAGE('02.08 Atiak-Palabek-24h'!J77,'03.08 Atiak-Palabek-24h'!J77)</f>
        <v>0</v>
      </c>
      <c r="K77" s="49">
        <f>AVERAGE('02.08 Atiak-Palabek-24h'!K77,'03.08 Atiak-Palabek-24h'!K77)</f>
        <v>0</v>
      </c>
      <c r="L77" s="49">
        <f>AVERAGE('02.08 Atiak-Palabek-24h'!L77,'03.08 Atiak-Palabek-24h'!L77)</f>
        <v>0</v>
      </c>
      <c r="M77" s="49">
        <f>AVERAGE('02.08 Atiak-Palabek-24h'!M77,'03.08 Atiak-Palabek-24h'!M77)</f>
        <v>1</v>
      </c>
      <c r="N77" s="49">
        <f>AVERAGE('02.08 Atiak-Palabek-24h'!N77,'03.08 Atiak-Palabek-24h'!N77)</f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24" t="s">
        <v>118</v>
      </c>
      <c r="C78" s="49">
        <f>AVERAGE('02.08 Atiak-Palabek-24h'!C78,'03.08 Atiak-Palabek-24h'!C78)</f>
        <v>0</v>
      </c>
      <c r="D78" s="49">
        <f>AVERAGE('02.08 Atiak-Palabek-24h'!D78,'03.08 Atiak-Palabek-24h'!D78)</f>
        <v>0</v>
      </c>
      <c r="E78" s="49">
        <f>AVERAGE('02.08 Atiak-Palabek-24h'!E78,'03.08 Atiak-Palabek-24h'!E78)</f>
        <v>0</v>
      </c>
      <c r="F78" s="49">
        <f>AVERAGE('02.08 Atiak-Palabek-24h'!F78,'03.08 Atiak-Palabek-24h'!F78)</f>
        <v>0</v>
      </c>
      <c r="G78" s="49">
        <f>AVERAGE('02.08 Atiak-Palabek-24h'!G78,'03.08 Atiak-Palabek-24h'!G78)</f>
        <v>0</v>
      </c>
      <c r="H78" s="49">
        <f>AVERAGE('02.08 Atiak-Palabek-24h'!H78,'03.08 Atiak-Palabek-24h'!H78)</f>
        <v>0</v>
      </c>
      <c r="I78" s="49">
        <f>AVERAGE('02.08 Atiak-Palabek-24h'!I78,'03.08 Atiak-Palabek-24h'!I78)</f>
        <v>0</v>
      </c>
      <c r="J78" s="49">
        <f>AVERAGE('02.08 Atiak-Palabek-24h'!J78,'03.08 Atiak-Palabek-24h'!J78)</f>
        <v>0</v>
      </c>
      <c r="K78" s="49">
        <f>AVERAGE('02.08 Atiak-Palabek-24h'!K78,'03.08 Atiak-Palabek-24h'!K78)</f>
        <v>0</v>
      </c>
      <c r="L78" s="49">
        <f>AVERAGE('02.08 Atiak-Palabek-24h'!L78,'03.08 Atiak-Palabek-24h'!L78)</f>
        <v>0</v>
      </c>
      <c r="M78" s="49">
        <f>AVERAGE('02.08 Atiak-Palabek-24h'!M78,'03.08 Atiak-Palabek-24h'!M78)</f>
        <v>0</v>
      </c>
      <c r="N78" s="49">
        <f>AVERAGE('02.08 Atiak-Palabek-24h'!N78,'03.08 Atiak-Palabek-24h'!N78)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AVERAGE('02.08 Atiak-Palabek-24h'!C79,'03.08 Atiak-Palabek-24h'!C79)</f>
        <v>0</v>
      </c>
      <c r="D79" s="49">
        <f>AVERAGE('02.08 Atiak-Palabek-24h'!D79,'03.08 Atiak-Palabek-24h'!D79)</f>
        <v>0</v>
      </c>
      <c r="E79" s="49">
        <f>AVERAGE('02.08 Atiak-Palabek-24h'!E79,'03.08 Atiak-Palabek-24h'!E79)</f>
        <v>0</v>
      </c>
      <c r="F79" s="49">
        <f>AVERAGE('02.08 Atiak-Palabek-24h'!F79,'03.08 Atiak-Palabek-24h'!F79)</f>
        <v>0</v>
      </c>
      <c r="G79" s="49">
        <f>AVERAGE('02.08 Atiak-Palabek-24h'!G79,'03.08 Atiak-Palabek-24h'!G79)</f>
        <v>0</v>
      </c>
      <c r="H79" s="49">
        <f>AVERAGE('02.08 Atiak-Palabek-24h'!H79,'03.08 Atiak-Palabek-24h'!H79)</f>
        <v>0</v>
      </c>
      <c r="I79" s="49">
        <f>AVERAGE('02.08 Atiak-Palabek-24h'!I79,'03.08 Atiak-Palabek-24h'!I79)</f>
        <v>0</v>
      </c>
      <c r="J79" s="49">
        <f>AVERAGE('02.08 Atiak-Palabek-24h'!J79,'03.08 Atiak-Palabek-24h'!J79)</f>
        <v>0</v>
      </c>
      <c r="K79" s="49">
        <f>AVERAGE('02.08 Atiak-Palabek-24h'!K79,'03.08 Atiak-Palabek-24h'!K79)</f>
        <v>0</v>
      </c>
      <c r="L79" s="49">
        <f>AVERAGE('02.08 Atiak-Palabek-24h'!L79,'03.08 Atiak-Palabek-24h'!L79)</f>
        <v>0</v>
      </c>
      <c r="M79" s="49">
        <f>AVERAGE('02.08 Atiak-Palabek-24h'!M79,'03.08 Atiak-Palabek-24h'!M79)</f>
        <v>0</v>
      </c>
      <c r="N79" s="49">
        <f>AVERAGE('02.08 Atiak-Palabek-24h'!N79,'03.08 Atiak-Palabek-24h'!N79)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AVERAGE('02.08 Atiak-Palabek-24h'!C80,'03.08 Atiak-Palabek-24h'!C80)</f>
        <v>0</v>
      </c>
      <c r="D80" s="49">
        <f>AVERAGE('02.08 Atiak-Palabek-24h'!D80,'03.08 Atiak-Palabek-24h'!D80)</f>
        <v>0</v>
      </c>
      <c r="E80" s="49">
        <f>AVERAGE('02.08 Atiak-Palabek-24h'!E80,'03.08 Atiak-Palabek-24h'!E80)</f>
        <v>0</v>
      </c>
      <c r="F80" s="49">
        <f>AVERAGE('02.08 Atiak-Palabek-24h'!F80,'03.08 Atiak-Palabek-24h'!F80)</f>
        <v>0</v>
      </c>
      <c r="G80" s="49">
        <f>AVERAGE('02.08 Atiak-Palabek-24h'!G80,'03.08 Atiak-Palabek-24h'!G80)</f>
        <v>0</v>
      </c>
      <c r="H80" s="49">
        <f>AVERAGE('02.08 Atiak-Palabek-24h'!H80,'03.08 Atiak-Palabek-24h'!H80)</f>
        <v>0</v>
      </c>
      <c r="I80" s="49">
        <f>AVERAGE('02.08 Atiak-Palabek-24h'!I80,'03.08 Atiak-Palabek-24h'!I80)</f>
        <v>0</v>
      </c>
      <c r="J80" s="49">
        <f>AVERAGE('02.08 Atiak-Palabek-24h'!J80,'03.08 Atiak-Palabek-24h'!J80)</f>
        <v>0</v>
      </c>
      <c r="K80" s="49">
        <f>AVERAGE('02.08 Atiak-Palabek-24h'!K80,'03.08 Atiak-Palabek-24h'!K80)</f>
        <v>0</v>
      </c>
      <c r="L80" s="49">
        <f>AVERAGE('02.08 Atiak-Palabek-24h'!L80,'03.08 Atiak-Palabek-24h'!L80)</f>
        <v>0</v>
      </c>
      <c r="M80" s="49">
        <f>AVERAGE('02.08 Atiak-Palabek-24h'!M80,'03.08 Atiak-Palabek-24h'!M80)</f>
        <v>0</v>
      </c>
      <c r="N80" s="49">
        <f>AVERAGE('02.08 Atiak-Palabek-24h'!N80,'03.08 Atiak-Palabek-24h'!N80)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AVERAGE('02.08 Atiak-Palabek-24h'!C81,'03.08 Atiak-Palabek-24h'!C81)</f>
        <v>0</v>
      </c>
      <c r="D81" s="49">
        <f>AVERAGE('02.08 Atiak-Palabek-24h'!D81,'03.08 Atiak-Palabek-24h'!D81)</f>
        <v>0</v>
      </c>
      <c r="E81" s="49">
        <f>AVERAGE('02.08 Atiak-Palabek-24h'!E81,'03.08 Atiak-Palabek-24h'!E81)</f>
        <v>0</v>
      </c>
      <c r="F81" s="49">
        <f>AVERAGE('02.08 Atiak-Palabek-24h'!F81,'03.08 Atiak-Palabek-24h'!F81)</f>
        <v>0</v>
      </c>
      <c r="G81" s="49">
        <f>AVERAGE('02.08 Atiak-Palabek-24h'!G81,'03.08 Atiak-Palabek-24h'!G81)</f>
        <v>0</v>
      </c>
      <c r="H81" s="49">
        <f>AVERAGE('02.08 Atiak-Palabek-24h'!H81,'03.08 Atiak-Palabek-24h'!H81)</f>
        <v>0</v>
      </c>
      <c r="I81" s="49">
        <f>AVERAGE('02.08 Atiak-Palabek-24h'!I81,'03.08 Atiak-Palabek-24h'!I81)</f>
        <v>0</v>
      </c>
      <c r="J81" s="49">
        <f>AVERAGE('02.08 Atiak-Palabek-24h'!J81,'03.08 Atiak-Palabek-24h'!J81)</f>
        <v>0</v>
      </c>
      <c r="K81" s="49">
        <f>AVERAGE('02.08 Atiak-Palabek-24h'!K81,'03.08 Atiak-Palabek-24h'!K81)</f>
        <v>0</v>
      </c>
      <c r="L81" s="49">
        <f>AVERAGE('02.08 Atiak-Palabek-24h'!L81,'03.08 Atiak-Palabek-24h'!L81)</f>
        <v>0</v>
      </c>
      <c r="M81" s="49">
        <f>AVERAGE('02.08 Atiak-Palabek-24h'!M81,'03.08 Atiak-Palabek-24h'!M81)</f>
        <v>0</v>
      </c>
      <c r="N81" s="49">
        <f>AVERAGE('02.08 Atiak-Palabek-24h'!N81,'03.08 Atiak-Palabek-24h'!N81)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AVERAGE('02.08 Atiak-Palabek-24h'!C82,'03.08 Atiak-Palabek-24h'!C82)</f>
        <v>0</v>
      </c>
      <c r="D82" s="49">
        <f>AVERAGE('02.08 Atiak-Palabek-24h'!D82,'03.08 Atiak-Palabek-24h'!D82)</f>
        <v>0</v>
      </c>
      <c r="E82" s="49">
        <f>AVERAGE('02.08 Atiak-Palabek-24h'!E82,'03.08 Atiak-Palabek-24h'!E82)</f>
        <v>0</v>
      </c>
      <c r="F82" s="49">
        <f>AVERAGE('02.08 Atiak-Palabek-24h'!F82,'03.08 Atiak-Palabek-24h'!F82)</f>
        <v>0</v>
      </c>
      <c r="G82" s="49">
        <f>AVERAGE('02.08 Atiak-Palabek-24h'!G82,'03.08 Atiak-Palabek-24h'!G82)</f>
        <v>0</v>
      </c>
      <c r="H82" s="49">
        <f>AVERAGE('02.08 Atiak-Palabek-24h'!H82,'03.08 Atiak-Palabek-24h'!H82)</f>
        <v>0</v>
      </c>
      <c r="I82" s="49">
        <f>AVERAGE('02.08 Atiak-Palabek-24h'!I82,'03.08 Atiak-Palabek-24h'!I82)</f>
        <v>0</v>
      </c>
      <c r="J82" s="49">
        <f>AVERAGE('02.08 Atiak-Palabek-24h'!J82,'03.08 Atiak-Palabek-24h'!J82)</f>
        <v>0</v>
      </c>
      <c r="K82" s="49">
        <f>AVERAGE('02.08 Atiak-Palabek-24h'!K82,'03.08 Atiak-Palabek-24h'!K82)</f>
        <v>0</v>
      </c>
      <c r="L82" s="49">
        <f>AVERAGE('02.08 Atiak-Palabek-24h'!L82,'03.08 Atiak-Palabek-24h'!L82)</f>
        <v>0</v>
      </c>
      <c r="M82" s="49">
        <f>AVERAGE('02.08 Atiak-Palabek-24h'!M82,'03.08 Atiak-Palabek-24h'!M82)</f>
        <v>0</v>
      </c>
      <c r="N82" s="49">
        <f>AVERAGE('02.08 Atiak-Palabek-24h'!N82,'03.08 Atiak-Palabek-24h'!N82)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AVERAGE('02.08 Atiak-Palabek-24h'!C83,'03.08 Atiak-Palabek-24h'!C83)</f>
        <v>0</v>
      </c>
      <c r="D83" s="49">
        <f>AVERAGE('02.08 Atiak-Palabek-24h'!D83,'03.08 Atiak-Palabek-24h'!D83)</f>
        <v>0</v>
      </c>
      <c r="E83" s="49">
        <f>AVERAGE('02.08 Atiak-Palabek-24h'!E83,'03.08 Atiak-Palabek-24h'!E83)</f>
        <v>0</v>
      </c>
      <c r="F83" s="49">
        <f>AVERAGE('02.08 Atiak-Palabek-24h'!F83,'03.08 Atiak-Palabek-24h'!F83)</f>
        <v>0</v>
      </c>
      <c r="G83" s="49">
        <f>AVERAGE('02.08 Atiak-Palabek-24h'!G83,'03.08 Atiak-Palabek-24h'!G83)</f>
        <v>0</v>
      </c>
      <c r="H83" s="49">
        <f>AVERAGE('02.08 Atiak-Palabek-24h'!H83,'03.08 Atiak-Palabek-24h'!H83)</f>
        <v>0</v>
      </c>
      <c r="I83" s="49">
        <f>AVERAGE('02.08 Atiak-Palabek-24h'!I83,'03.08 Atiak-Palabek-24h'!I83)</f>
        <v>0</v>
      </c>
      <c r="J83" s="49">
        <f>AVERAGE('02.08 Atiak-Palabek-24h'!J83,'03.08 Atiak-Palabek-24h'!J83)</f>
        <v>0</v>
      </c>
      <c r="K83" s="49">
        <f>AVERAGE('02.08 Atiak-Palabek-24h'!K83,'03.08 Atiak-Palabek-24h'!K83)</f>
        <v>0</v>
      </c>
      <c r="L83" s="49">
        <f>AVERAGE('02.08 Atiak-Palabek-24h'!L83,'03.08 Atiak-Palabek-24h'!L83)</f>
        <v>0</v>
      </c>
      <c r="M83" s="49">
        <f>AVERAGE('02.08 Atiak-Palabek-24h'!M83,'03.08 Atiak-Palabek-24h'!M83)</f>
        <v>0</v>
      </c>
      <c r="N83" s="49">
        <f>AVERAGE('02.08 Atiak-Palabek-24h'!N83,'03.08 Atiak-Palabek-24h'!N83)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AVERAGE('02.08 Atiak-Palabek-24h'!C84,'03.08 Atiak-Palabek-24h'!C84)</f>
        <v>0</v>
      </c>
      <c r="D84" s="49">
        <f>AVERAGE('02.08 Atiak-Palabek-24h'!D84,'03.08 Atiak-Palabek-24h'!D84)</f>
        <v>0</v>
      </c>
      <c r="E84" s="49">
        <f>AVERAGE('02.08 Atiak-Palabek-24h'!E84,'03.08 Atiak-Palabek-24h'!E84)</f>
        <v>0</v>
      </c>
      <c r="F84" s="49">
        <f>AVERAGE('02.08 Atiak-Palabek-24h'!F84,'03.08 Atiak-Palabek-24h'!F84)</f>
        <v>0</v>
      </c>
      <c r="G84" s="49">
        <f>AVERAGE('02.08 Atiak-Palabek-24h'!G84,'03.08 Atiak-Palabek-24h'!G84)</f>
        <v>0</v>
      </c>
      <c r="H84" s="49">
        <f>AVERAGE('02.08 Atiak-Palabek-24h'!H84,'03.08 Atiak-Palabek-24h'!H84)</f>
        <v>0</v>
      </c>
      <c r="I84" s="49">
        <f>AVERAGE('02.08 Atiak-Palabek-24h'!I84,'03.08 Atiak-Palabek-24h'!I84)</f>
        <v>0</v>
      </c>
      <c r="J84" s="49">
        <f>AVERAGE('02.08 Atiak-Palabek-24h'!J84,'03.08 Atiak-Palabek-24h'!J84)</f>
        <v>0</v>
      </c>
      <c r="K84" s="49">
        <f>AVERAGE('02.08 Atiak-Palabek-24h'!K84,'03.08 Atiak-Palabek-24h'!K84)</f>
        <v>0</v>
      </c>
      <c r="L84" s="49">
        <f>AVERAGE('02.08 Atiak-Palabek-24h'!L84,'03.08 Atiak-Palabek-24h'!L84)</f>
        <v>0</v>
      </c>
      <c r="M84" s="49">
        <f>AVERAGE('02.08 Atiak-Palabek-24h'!M84,'03.08 Atiak-Palabek-24h'!M84)</f>
        <v>0</v>
      </c>
      <c r="N84" s="49">
        <f>AVERAGE('02.08 Atiak-Palabek-24h'!N84,'03.08 Atiak-Palabek-24h'!N84)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AVERAGE('02.08 Atiak-Palabek-24h'!C85,'03.08 Atiak-Palabek-24h'!C85)</f>
        <v>0</v>
      </c>
      <c r="D85" s="49">
        <f>AVERAGE('02.08 Atiak-Palabek-24h'!D85,'03.08 Atiak-Palabek-24h'!D85)</f>
        <v>0</v>
      </c>
      <c r="E85" s="49">
        <f>AVERAGE('02.08 Atiak-Palabek-24h'!E85,'03.08 Atiak-Palabek-24h'!E85)</f>
        <v>0</v>
      </c>
      <c r="F85" s="49">
        <f>AVERAGE('02.08 Atiak-Palabek-24h'!F85,'03.08 Atiak-Palabek-24h'!F85)</f>
        <v>0</v>
      </c>
      <c r="G85" s="49">
        <f>AVERAGE('02.08 Atiak-Palabek-24h'!G85,'03.08 Atiak-Palabek-24h'!G85)</f>
        <v>0</v>
      </c>
      <c r="H85" s="49">
        <f>AVERAGE('02.08 Atiak-Palabek-24h'!H85,'03.08 Atiak-Palabek-24h'!H85)</f>
        <v>0</v>
      </c>
      <c r="I85" s="49">
        <f>AVERAGE('02.08 Atiak-Palabek-24h'!I85,'03.08 Atiak-Palabek-24h'!I85)</f>
        <v>0</v>
      </c>
      <c r="J85" s="49">
        <f>AVERAGE('02.08 Atiak-Palabek-24h'!J85,'03.08 Atiak-Palabek-24h'!J85)</f>
        <v>0</v>
      </c>
      <c r="K85" s="49">
        <f>AVERAGE('02.08 Atiak-Palabek-24h'!K85,'03.08 Atiak-Palabek-24h'!K85)</f>
        <v>0</v>
      </c>
      <c r="L85" s="49">
        <f>AVERAGE('02.08 Atiak-Palabek-24h'!L85,'03.08 Atiak-Palabek-24h'!L85)</f>
        <v>0</v>
      </c>
      <c r="M85" s="49">
        <f>AVERAGE('02.08 Atiak-Palabek-24h'!M85,'03.08 Atiak-Palabek-24h'!M85)</f>
        <v>0</v>
      </c>
      <c r="N85" s="49">
        <f>AVERAGE('02.08 Atiak-Palabek-24h'!N85,'03.08 Atiak-Palabek-24h'!N85)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AVERAGE('02.08 Atiak-Palabek-24h'!C86,'03.08 Atiak-Palabek-24h'!C86)</f>
        <v>0</v>
      </c>
      <c r="D86" s="49">
        <f>AVERAGE('02.08 Atiak-Palabek-24h'!D86,'03.08 Atiak-Palabek-24h'!D86)</f>
        <v>0</v>
      </c>
      <c r="E86" s="49">
        <f>AVERAGE('02.08 Atiak-Palabek-24h'!E86,'03.08 Atiak-Palabek-24h'!E86)</f>
        <v>0</v>
      </c>
      <c r="F86" s="49">
        <f>AVERAGE('02.08 Atiak-Palabek-24h'!F86,'03.08 Atiak-Palabek-24h'!F86)</f>
        <v>0</v>
      </c>
      <c r="G86" s="49">
        <f>AVERAGE('02.08 Atiak-Palabek-24h'!G86,'03.08 Atiak-Palabek-24h'!G86)</f>
        <v>0</v>
      </c>
      <c r="H86" s="49">
        <f>AVERAGE('02.08 Atiak-Palabek-24h'!H86,'03.08 Atiak-Palabek-24h'!H86)</f>
        <v>0</v>
      </c>
      <c r="I86" s="49">
        <f>AVERAGE('02.08 Atiak-Palabek-24h'!I86,'03.08 Atiak-Palabek-24h'!I86)</f>
        <v>0</v>
      </c>
      <c r="J86" s="49">
        <f>AVERAGE('02.08 Atiak-Palabek-24h'!J86,'03.08 Atiak-Palabek-24h'!J86)</f>
        <v>0</v>
      </c>
      <c r="K86" s="49">
        <f>AVERAGE('02.08 Atiak-Palabek-24h'!K86,'03.08 Atiak-Palabek-24h'!K86)</f>
        <v>0</v>
      </c>
      <c r="L86" s="49">
        <f>AVERAGE('02.08 Atiak-Palabek-24h'!L86,'03.08 Atiak-Palabek-24h'!L86)</f>
        <v>0</v>
      </c>
      <c r="M86" s="49">
        <f>AVERAGE('02.08 Atiak-Palabek-24h'!M86,'03.08 Atiak-Palabek-24h'!M86)</f>
        <v>0</v>
      </c>
      <c r="N86" s="49">
        <f>AVERAGE('02.08 Atiak-Palabek-24h'!N86,'03.08 Atiak-Palabek-24h'!N86)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AVERAGE('02.08 Atiak-Palabek-24h'!C87,'03.08 Atiak-Palabek-24h'!C87)</f>
        <v>0</v>
      </c>
      <c r="D87" s="49">
        <f>AVERAGE('02.08 Atiak-Palabek-24h'!D87,'03.08 Atiak-Palabek-24h'!D87)</f>
        <v>0</v>
      </c>
      <c r="E87" s="49">
        <f>AVERAGE('02.08 Atiak-Palabek-24h'!E87,'03.08 Atiak-Palabek-24h'!E87)</f>
        <v>0</v>
      </c>
      <c r="F87" s="49">
        <f>AVERAGE('02.08 Atiak-Palabek-24h'!F87,'03.08 Atiak-Palabek-24h'!F87)</f>
        <v>0</v>
      </c>
      <c r="G87" s="49">
        <f>AVERAGE('02.08 Atiak-Palabek-24h'!G87,'03.08 Atiak-Palabek-24h'!G87)</f>
        <v>0</v>
      </c>
      <c r="H87" s="49">
        <f>AVERAGE('02.08 Atiak-Palabek-24h'!H87,'03.08 Atiak-Palabek-24h'!H87)</f>
        <v>0</v>
      </c>
      <c r="I87" s="49">
        <f>AVERAGE('02.08 Atiak-Palabek-24h'!I87,'03.08 Atiak-Palabek-24h'!I87)</f>
        <v>0</v>
      </c>
      <c r="J87" s="49">
        <f>AVERAGE('02.08 Atiak-Palabek-24h'!J87,'03.08 Atiak-Palabek-24h'!J87)</f>
        <v>0</v>
      </c>
      <c r="K87" s="49">
        <f>AVERAGE('02.08 Atiak-Palabek-24h'!K87,'03.08 Atiak-Palabek-24h'!K87)</f>
        <v>0</v>
      </c>
      <c r="L87" s="49">
        <f>AVERAGE('02.08 Atiak-Palabek-24h'!L87,'03.08 Atiak-Palabek-24h'!L87)</f>
        <v>0</v>
      </c>
      <c r="M87" s="49">
        <f>AVERAGE('02.08 Atiak-Palabek-24h'!M87,'03.08 Atiak-Palabek-24h'!M87)</f>
        <v>0</v>
      </c>
      <c r="N87" s="49">
        <f>AVERAGE('02.08 Atiak-Palabek-24h'!N87,'03.08 Atiak-Palabek-24h'!N87)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AVERAGE('02.08 Atiak-Palabek-24h'!C88,'03.08 Atiak-Palabek-24h'!C88)</f>
        <v>0</v>
      </c>
      <c r="D88" s="49">
        <f>AVERAGE('02.08 Atiak-Palabek-24h'!D88,'03.08 Atiak-Palabek-24h'!D88)</f>
        <v>0</v>
      </c>
      <c r="E88" s="49">
        <f>AVERAGE('02.08 Atiak-Palabek-24h'!E88,'03.08 Atiak-Palabek-24h'!E88)</f>
        <v>0</v>
      </c>
      <c r="F88" s="49">
        <f>AVERAGE('02.08 Atiak-Palabek-24h'!F88,'03.08 Atiak-Palabek-24h'!F88)</f>
        <v>0</v>
      </c>
      <c r="G88" s="49">
        <f>AVERAGE('02.08 Atiak-Palabek-24h'!G88,'03.08 Atiak-Palabek-24h'!G88)</f>
        <v>0</v>
      </c>
      <c r="H88" s="49">
        <f>AVERAGE('02.08 Atiak-Palabek-24h'!H88,'03.08 Atiak-Palabek-24h'!H88)</f>
        <v>0</v>
      </c>
      <c r="I88" s="49">
        <f>AVERAGE('02.08 Atiak-Palabek-24h'!I88,'03.08 Atiak-Palabek-24h'!I88)</f>
        <v>0</v>
      </c>
      <c r="J88" s="49">
        <f>AVERAGE('02.08 Atiak-Palabek-24h'!J88,'03.08 Atiak-Palabek-24h'!J88)</f>
        <v>0</v>
      </c>
      <c r="K88" s="49">
        <f>AVERAGE('02.08 Atiak-Palabek-24h'!K88,'03.08 Atiak-Palabek-24h'!K88)</f>
        <v>0</v>
      </c>
      <c r="L88" s="49">
        <f>AVERAGE('02.08 Atiak-Palabek-24h'!L88,'03.08 Atiak-Palabek-24h'!L88)</f>
        <v>0</v>
      </c>
      <c r="M88" s="49">
        <f>AVERAGE('02.08 Atiak-Palabek-24h'!M88,'03.08 Atiak-Palabek-24h'!M88)</f>
        <v>0</v>
      </c>
      <c r="N88" s="49">
        <f>AVERAGE('02.08 Atiak-Palabek-24h'!N88,'03.08 Atiak-Palabek-24h'!N88)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AVERAGE('02.08 Atiak-Palabek-24h'!C89,'03.08 Atiak-Palabek-24h'!C89)</f>
        <v>0</v>
      </c>
      <c r="D89" s="49">
        <f>AVERAGE('02.08 Atiak-Palabek-24h'!D89,'03.08 Atiak-Palabek-24h'!D89)</f>
        <v>0</v>
      </c>
      <c r="E89" s="49">
        <f>AVERAGE('02.08 Atiak-Palabek-24h'!E89,'03.08 Atiak-Palabek-24h'!E89)</f>
        <v>0</v>
      </c>
      <c r="F89" s="49">
        <f>AVERAGE('02.08 Atiak-Palabek-24h'!F89,'03.08 Atiak-Palabek-24h'!F89)</f>
        <v>0</v>
      </c>
      <c r="G89" s="49">
        <f>AVERAGE('02.08 Atiak-Palabek-24h'!G89,'03.08 Atiak-Palabek-24h'!G89)</f>
        <v>0</v>
      </c>
      <c r="H89" s="49">
        <f>AVERAGE('02.08 Atiak-Palabek-24h'!H89,'03.08 Atiak-Palabek-24h'!H89)</f>
        <v>0</v>
      </c>
      <c r="I89" s="49">
        <f>AVERAGE('02.08 Atiak-Palabek-24h'!I89,'03.08 Atiak-Palabek-24h'!I89)</f>
        <v>0</v>
      </c>
      <c r="J89" s="49">
        <f>AVERAGE('02.08 Atiak-Palabek-24h'!J89,'03.08 Atiak-Palabek-24h'!J89)</f>
        <v>0</v>
      </c>
      <c r="K89" s="49">
        <f>AVERAGE('02.08 Atiak-Palabek-24h'!K89,'03.08 Atiak-Palabek-24h'!K89)</f>
        <v>0</v>
      </c>
      <c r="L89" s="49">
        <f>AVERAGE('02.08 Atiak-Palabek-24h'!L89,'03.08 Atiak-Palabek-24h'!L89)</f>
        <v>0</v>
      </c>
      <c r="M89" s="49">
        <f>AVERAGE('02.08 Atiak-Palabek-24h'!M89,'03.08 Atiak-Palabek-24h'!M89)</f>
        <v>0</v>
      </c>
      <c r="N89" s="49">
        <f>AVERAGE('02.08 Atiak-Palabek-24h'!N89,'03.08 Atiak-Palabek-24h'!N89)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AVERAGE('02.08 Atiak-Palabek-24h'!C90,'03.08 Atiak-Palabek-24h'!C90)</f>
        <v>0</v>
      </c>
      <c r="D90" s="49">
        <f>AVERAGE('02.08 Atiak-Palabek-24h'!D90,'03.08 Atiak-Palabek-24h'!D90)</f>
        <v>0</v>
      </c>
      <c r="E90" s="49">
        <f>AVERAGE('02.08 Atiak-Palabek-24h'!E90,'03.08 Atiak-Palabek-24h'!E90)</f>
        <v>0</v>
      </c>
      <c r="F90" s="49">
        <f>AVERAGE('02.08 Atiak-Palabek-24h'!F90,'03.08 Atiak-Palabek-24h'!F90)</f>
        <v>0</v>
      </c>
      <c r="G90" s="49">
        <f>AVERAGE('02.08 Atiak-Palabek-24h'!G90,'03.08 Atiak-Palabek-24h'!G90)</f>
        <v>0</v>
      </c>
      <c r="H90" s="49">
        <f>AVERAGE('02.08 Atiak-Palabek-24h'!H90,'03.08 Atiak-Palabek-24h'!H90)</f>
        <v>0</v>
      </c>
      <c r="I90" s="49">
        <f>AVERAGE('02.08 Atiak-Palabek-24h'!I90,'03.08 Atiak-Palabek-24h'!I90)</f>
        <v>0</v>
      </c>
      <c r="J90" s="49">
        <f>AVERAGE('02.08 Atiak-Palabek-24h'!J90,'03.08 Atiak-Palabek-24h'!J90)</f>
        <v>0</v>
      </c>
      <c r="K90" s="49">
        <f>AVERAGE('02.08 Atiak-Palabek-24h'!K90,'03.08 Atiak-Palabek-24h'!K90)</f>
        <v>0</v>
      </c>
      <c r="L90" s="49">
        <f>AVERAGE('02.08 Atiak-Palabek-24h'!L90,'03.08 Atiak-Palabek-24h'!L90)</f>
        <v>0</v>
      </c>
      <c r="M90" s="49">
        <f>AVERAGE('02.08 Atiak-Palabek-24h'!M90,'03.08 Atiak-Palabek-24h'!M90)</f>
        <v>0</v>
      </c>
      <c r="N90" s="49">
        <f>AVERAGE('02.08 Atiak-Palabek-24h'!N90,'03.08 Atiak-Palabek-24h'!N90)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AVERAGE('02.08 Atiak-Palabek-24h'!C91,'03.08 Atiak-Palabek-24h'!C91)</f>
        <v>0</v>
      </c>
      <c r="D91" s="49">
        <f>AVERAGE('02.08 Atiak-Palabek-24h'!D91,'03.08 Atiak-Palabek-24h'!D91)</f>
        <v>0</v>
      </c>
      <c r="E91" s="49">
        <f>AVERAGE('02.08 Atiak-Palabek-24h'!E91,'03.08 Atiak-Palabek-24h'!E91)</f>
        <v>0</v>
      </c>
      <c r="F91" s="49">
        <f>AVERAGE('02.08 Atiak-Palabek-24h'!F91,'03.08 Atiak-Palabek-24h'!F91)</f>
        <v>0</v>
      </c>
      <c r="G91" s="49">
        <f>AVERAGE('02.08 Atiak-Palabek-24h'!G91,'03.08 Atiak-Palabek-24h'!G91)</f>
        <v>0</v>
      </c>
      <c r="H91" s="49">
        <f>AVERAGE('02.08 Atiak-Palabek-24h'!H91,'03.08 Atiak-Palabek-24h'!H91)</f>
        <v>0</v>
      </c>
      <c r="I91" s="49">
        <f>AVERAGE('02.08 Atiak-Palabek-24h'!I91,'03.08 Atiak-Palabek-24h'!I91)</f>
        <v>0</v>
      </c>
      <c r="J91" s="49">
        <f>AVERAGE('02.08 Atiak-Palabek-24h'!J91,'03.08 Atiak-Palabek-24h'!J91)</f>
        <v>0</v>
      </c>
      <c r="K91" s="49">
        <f>AVERAGE('02.08 Atiak-Palabek-24h'!K91,'03.08 Atiak-Palabek-24h'!K91)</f>
        <v>0</v>
      </c>
      <c r="L91" s="49">
        <f>AVERAGE('02.08 Atiak-Palabek-24h'!L91,'03.08 Atiak-Palabek-24h'!L91)</f>
        <v>0</v>
      </c>
      <c r="M91" s="49">
        <f>AVERAGE('02.08 Atiak-Palabek-24h'!M91,'03.08 Atiak-Palabek-24h'!M91)</f>
        <v>0</v>
      </c>
      <c r="N91" s="49">
        <f>AVERAGE('02.08 Atiak-Palabek-24h'!N91,'03.08 Atiak-Palabek-24h'!N91)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AVERAGE('02.08 Atiak-Palabek-24h'!C92,'03.08 Atiak-Palabek-24h'!C92)</f>
        <v>0</v>
      </c>
      <c r="D92" s="49">
        <f>AVERAGE('02.08 Atiak-Palabek-24h'!D92,'03.08 Atiak-Palabek-24h'!D92)</f>
        <v>0</v>
      </c>
      <c r="E92" s="49">
        <f>AVERAGE('02.08 Atiak-Palabek-24h'!E92,'03.08 Atiak-Palabek-24h'!E92)</f>
        <v>0</v>
      </c>
      <c r="F92" s="49">
        <f>AVERAGE('02.08 Atiak-Palabek-24h'!F92,'03.08 Atiak-Palabek-24h'!F92)</f>
        <v>0</v>
      </c>
      <c r="G92" s="49">
        <f>AVERAGE('02.08 Atiak-Palabek-24h'!G92,'03.08 Atiak-Palabek-24h'!G92)</f>
        <v>0</v>
      </c>
      <c r="H92" s="49">
        <f>AVERAGE('02.08 Atiak-Palabek-24h'!H92,'03.08 Atiak-Palabek-24h'!H92)</f>
        <v>0</v>
      </c>
      <c r="I92" s="49">
        <f>AVERAGE('02.08 Atiak-Palabek-24h'!I92,'03.08 Atiak-Palabek-24h'!I92)</f>
        <v>0</v>
      </c>
      <c r="J92" s="49">
        <f>AVERAGE('02.08 Atiak-Palabek-24h'!J92,'03.08 Atiak-Palabek-24h'!J92)</f>
        <v>0</v>
      </c>
      <c r="K92" s="49">
        <f>AVERAGE('02.08 Atiak-Palabek-24h'!K92,'03.08 Atiak-Palabek-24h'!K92)</f>
        <v>0</v>
      </c>
      <c r="L92" s="49">
        <f>AVERAGE('02.08 Atiak-Palabek-24h'!L92,'03.08 Atiak-Palabek-24h'!L92)</f>
        <v>0</v>
      </c>
      <c r="M92" s="49">
        <f>AVERAGE('02.08 Atiak-Palabek-24h'!M92,'03.08 Atiak-Palabek-24h'!M92)</f>
        <v>0</v>
      </c>
      <c r="N92" s="49">
        <f>AVERAGE('02.08 Atiak-Palabek-24h'!N92,'03.08 Atiak-Palabek-24h'!N92)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AVERAGE('02.08 Atiak-Palabek-24h'!C93,'03.08 Atiak-Palabek-24h'!C93)</f>
        <v>0</v>
      </c>
      <c r="D93" s="49">
        <f>AVERAGE('02.08 Atiak-Palabek-24h'!D93,'03.08 Atiak-Palabek-24h'!D93)</f>
        <v>0</v>
      </c>
      <c r="E93" s="49">
        <f>AVERAGE('02.08 Atiak-Palabek-24h'!E93,'03.08 Atiak-Palabek-24h'!E93)</f>
        <v>0</v>
      </c>
      <c r="F93" s="49">
        <f>AVERAGE('02.08 Atiak-Palabek-24h'!F93,'03.08 Atiak-Palabek-24h'!F93)</f>
        <v>0</v>
      </c>
      <c r="G93" s="49">
        <f>AVERAGE('02.08 Atiak-Palabek-24h'!G93,'03.08 Atiak-Palabek-24h'!G93)</f>
        <v>0</v>
      </c>
      <c r="H93" s="49">
        <f>AVERAGE('02.08 Atiak-Palabek-24h'!H93,'03.08 Atiak-Palabek-24h'!H93)</f>
        <v>0</v>
      </c>
      <c r="I93" s="49">
        <f>AVERAGE('02.08 Atiak-Palabek-24h'!I93,'03.08 Atiak-Palabek-24h'!I93)</f>
        <v>0</v>
      </c>
      <c r="J93" s="49">
        <f>AVERAGE('02.08 Atiak-Palabek-24h'!J93,'03.08 Atiak-Palabek-24h'!J93)</f>
        <v>0</v>
      </c>
      <c r="K93" s="49">
        <f>AVERAGE('02.08 Atiak-Palabek-24h'!K93,'03.08 Atiak-Palabek-24h'!K93)</f>
        <v>0</v>
      </c>
      <c r="L93" s="49">
        <f>AVERAGE('02.08 Atiak-Palabek-24h'!L93,'03.08 Atiak-Palabek-24h'!L93)</f>
        <v>0</v>
      </c>
      <c r="M93" s="49">
        <f>AVERAGE('02.08 Atiak-Palabek-24h'!M93,'03.08 Atiak-Palabek-24h'!M93)</f>
        <v>0</v>
      </c>
      <c r="N93" s="49">
        <f>AVERAGE('02.08 Atiak-Palabek-24h'!N93,'03.08 Atiak-Palabek-24h'!N93)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AVERAGE('02.08 Atiak-Palabek-24h'!C94,'03.08 Atiak-Palabek-24h'!C94)</f>
        <v>0</v>
      </c>
      <c r="D94" s="49">
        <f>AVERAGE('02.08 Atiak-Palabek-24h'!D94,'03.08 Atiak-Palabek-24h'!D94)</f>
        <v>0</v>
      </c>
      <c r="E94" s="49">
        <f>AVERAGE('02.08 Atiak-Palabek-24h'!E94,'03.08 Atiak-Palabek-24h'!E94)</f>
        <v>0</v>
      </c>
      <c r="F94" s="49">
        <f>AVERAGE('02.08 Atiak-Palabek-24h'!F94,'03.08 Atiak-Palabek-24h'!F94)</f>
        <v>0</v>
      </c>
      <c r="G94" s="49">
        <f>AVERAGE('02.08 Atiak-Palabek-24h'!G94,'03.08 Atiak-Palabek-24h'!G94)</f>
        <v>0</v>
      </c>
      <c r="H94" s="49">
        <f>AVERAGE('02.08 Atiak-Palabek-24h'!H94,'03.08 Atiak-Palabek-24h'!H94)</f>
        <v>0</v>
      </c>
      <c r="I94" s="49">
        <f>AVERAGE('02.08 Atiak-Palabek-24h'!I94,'03.08 Atiak-Palabek-24h'!I94)</f>
        <v>0</v>
      </c>
      <c r="J94" s="49">
        <f>AVERAGE('02.08 Atiak-Palabek-24h'!J94,'03.08 Atiak-Palabek-24h'!J94)</f>
        <v>0</v>
      </c>
      <c r="K94" s="49">
        <f>AVERAGE('02.08 Atiak-Palabek-24h'!K94,'03.08 Atiak-Palabek-24h'!K94)</f>
        <v>0</v>
      </c>
      <c r="L94" s="49">
        <f>AVERAGE('02.08 Atiak-Palabek-24h'!L94,'03.08 Atiak-Palabek-24h'!L94)</f>
        <v>0</v>
      </c>
      <c r="M94" s="49">
        <f>AVERAGE('02.08 Atiak-Palabek-24h'!M94,'03.08 Atiak-Palabek-24h'!M94)</f>
        <v>0</v>
      </c>
      <c r="N94" s="49">
        <f>AVERAGE('02.08 Atiak-Palabek-24h'!N94,'03.08 Atiak-Palabek-24h'!N94)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AVERAGE('02.08 Atiak-Palabek-24h'!C95,'03.08 Atiak-Palabek-24h'!C95)</f>
        <v>0</v>
      </c>
      <c r="D95" s="49">
        <f>AVERAGE('02.08 Atiak-Palabek-24h'!D95,'03.08 Atiak-Palabek-24h'!D95)</f>
        <v>0</v>
      </c>
      <c r="E95" s="49">
        <f>AVERAGE('02.08 Atiak-Palabek-24h'!E95,'03.08 Atiak-Palabek-24h'!E95)</f>
        <v>0</v>
      </c>
      <c r="F95" s="49">
        <f>AVERAGE('02.08 Atiak-Palabek-24h'!F95,'03.08 Atiak-Palabek-24h'!F95)</f>
        <v>0</v>
      </c>
      <c r="G95" s="49">
        <f>AVERAGE('02.08 Atiak-Palabek-24h'!G95,'03.08 Atiak-Palabek-24h'!G95)</f>
        <v>0</v>
      </c>
      <c r="H95" s="49">
        <f>AVERAGE('02.08 Atiak-Palabek-24h'!H95,'03.08 Atiak-Palabek-24h'!H95)</f>
        <v>0</v>
      </c>
      <c r="I95" s="49">
        <f>AVERAGE('02.08 Atiak-Palabek-24h'!I95,'03.08 Atiak-Palabek-24h'!I95)</f>
        <v>0</v>
      </c>
      <c r="J95" s="49">
        <f>AVERAGE('02.08 Atiak-Palabek-24h'!J95,'03.08 Atiak-Palabek-24h'!J95)</f>
        <v>0</v>
      </c>
      <c r="K95" s="49">
        <f>AVERAGE('02.08 Atiak-Palabek-24h'!K95,'03.08 Atiak-Palabek-24h'!K95)</f>
        <v>0</v>
      </c>
      <c r="L95" s="49">
        <f>AVERAGE('02.08 Atiak-Palabek-24h'!L95,'03.08 Atiak-Palabek-24h'!L95)</f>
        <v>0</v>
      </c>
      <c r="M95" s="49">
        <f>AVERAGE('02.08 Atiak-Palabek-24h'!M95,'03.08 Atiak-Palabek-24h'!M95)</f>
        <v>0</v>
      </c>
      <c r="N95" s="49">
        <f>AVERAGE('02.08 Atiak-Palabek-24h'!N95,'03.08 Atiak-Palabek-24h'!N95)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AVERAGE('02.08 Atiak-Palabek-24h'!C96,'03.08 Atiak-Palabek-24h'!C96)</f>
        <v>0</v>
      </c>
      <c r="D96" s="49">
        <f>AVERAGE('02.08 Atiak-Palabek-24h'!D96,'03.08 Atiak-Palabek-24h'!D96)</f>
        <v>0</v>
      </c>
      <c r="E96" s="49">
        <f>AVERAGE('02.08 Atiak-Palabek-24h'!E96,'03.08 Atiak-Palabek-24h'!E96)</f>
        <v>0</v>
      </c>
      <c r="F96" s="49">
        <f>AVERAGE('02.08 Atiak-Palabek-24h'!F96,'03.08 Atiak-Palabek-24h'!F96)</f>
        <v>0</v>
      </c>
      <c r="G96" s="49">
        <f>AVERAGE('02.08 Atiak-Palabek-24h'!G96,'03.08 Atiak-Palabek-24h'!G96)</f>
        <v>0</v>
      </c>
      <c r="H96" s="49">
        <f>AVERAGE('02.08 Atiak-Palabek-24h'!H96,'03.08 Atiak-Palabek-24h'!H96)</f>
        <v>0</v>
      </c>
      <c r="I96" s="49">
        <f>AVERAGE('02.08 Atiak-Palabek-24h'!I96,'03.08 Atiak-Palabek-24h'!I96)</f>
        <v>0</v>
      </c>
      <c r="J96" s="49">
        <f>AVERAGE('02.08 Atiak-Palabek-24h'!J96,'03.08 Atiak-Palabek-24h'!J96)</f>
        <v>0</v>
      </c>
      <c r="K96" s="49">
        <f>AVERAGE('02.08 Atiak-Palabek-24h'!K96,'03.08 Atiak-Palabek-24h'!K96)</f>
        <v>0</v>
      </c>
      <c r="L96" s="49">
        <f>AVERAGE('02.08 Atiak-Palabek-24h'!L96,'03.08 Atiak-Palabek-24h'!L96)</f>
        <v>0</v>
      </c>
      <c r="M96" s="49">
        <f>AVERAGE('02.08 Atiak-Palabek-24h'!M96,'03.08 Atiak-Palabek-24h'!M96)</f>
        <v>0</v>
      </c>
      <c r="N96" s="49">
        <f>AVERAGE('02.08 Atiak-Palabek-24h'!N96,'03.08 Atiak-Palabek-24h'!N96)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AVERAGE('02.08 Atiak-Palabek-24h'!C97,'03.08 Atiak-Palabek-24h'!C97)</f>
        <v>0</v>
      </c>
      <c r="D97" s="49">
        <f>AVERAGE('02.08 Atiak-Palabek-24h'!D97,'03.08 Atiak-Palabek-24h'!D97)</f>
        <v>0</v>
      </c>
      <c r="E97" s="49">
        <f>AVERAGE('02.08 Atiak-Palabek-24h'!E97,'03.08 Atiak-Palabek-24h'!E97)</f>
        <v>0</v>
      </c>
      <c r="F97" s="49">
        <f>AVERAGE('02.08 Atiak-Palabek-24h'!F97,'03.08 Atiak-Palabek-24h'!F97)</f>
        <v>0</v>
      </c>
      <c r="G97" s="49">
        <f>AVERAGE('02.08 Atiak-Palabek-24h'!G97,'03.08 Atiak-Palabek-24h'!G97)</f>
        <v>0</v>
      </c>
      <c r="H97" s="49">
        <f>AVERAGE('02.08 Atiak-Palabek-24h'!H97,'03.08 Atiak-Palabek-24h'!H97)</f>
        <v>0</v>
      </c>
      <c r="I97" s="49">
        <f>AVERAGE('02.08 Atiak-Palabek-24h'!I97,'03.08 Atiak-Palabek-24h'!I97)</f>
        <v>0</v>
      </c>
      <c r="J97" s="49">
        <f>AVERAGE('02.08 Atiak-Palabek-24h'!J97,'03.08 Atiak-Palabek-24h'!J97)</f>
        <v>0</v>
      </c>
      <c r="K97" s="49">
        <f>AVERAGE('02.08 Atiak-Palabek-24h'!K97,'03.08 Atiak-Palabek-24h'!K97)</f>
        <v>0</v>
      </c>
      <c r="L97" s="49">
        <f>AVERAGE('02.08 Atiak-Palabek-24h'!L97,'03.08 Atiak-Palabek-24h'!L97)</f>
        <v>0</v>
      </c>
      <c r="M97" s="49">
        <f>AVERAGE('02.08 Atiak-Palabek-24h'!M97,'03.08 Atiak-Palabek-24h'!M97)</f>
        <v>0</v>
      </c>
      <c r="N97" s="49">
        <f>AVERAGE('02.08 Atiak-Palabek-24h'!N97,'03.08 Atiak-Palabek-24h'!N97)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AVERAGE('02.08 Atiak-Palabek-24h'!C98,'03.08 Atiak-Palabek-24h'!C98)</f>
        <v>0</v>
      </c>
      <c r="D98" s="49">
        <f>AVERAGE('02.08 Atiak-Palabek-24h'!D98,'03.08 Atiak-Palabek-24h'!D98)</f>
        <v>0</v>
      </c>
      <c r="E98" s="49">
        <f>AVERAGE('02.08 Atiak-Palabek-24h'!E98,'03.08 Atiak-Palabek-24h'!E98)</f>
        <v>0</v>
      </c>
      <c r="F98" s="49">
        <f>AVERAGE('02.08 Atiak-Palabek-24h'!F98,'03.08 Atiak-Palabek-24h'!F98)</f>
        <v>0</v>
      </c>
      <c r="G98" s="49">
        <f>AVERAGE('02.08 Atiak-Palabek-24h'!G98,'03.08 Atiak-Palabek-24h'!G98)</f>
        <v>0</v>
      </c>
      <c r="H98" s="49">
        <f>AVERAGE('02.08 Atiak-Palabek-24h'!H98,'03.08 Atiak-Palabek-24h'!H98)</f>
        <v>0</v>
      </c>
      <c r="I98" s="49">
        <f>AVERAGE('02.08 Atiak-Palabek-24h'!I98,'03.08 Atiak-Palabek-24h'!I98)</f>
        <v>0</v>
      </c>
      <c r="J98" s="49">
        <f>AVERAGE('02.08 Atiak-Palabek-24h'!J98,'03.08 Atiak-Palabek-24h'!J98)</f>
        <v>0</v>
      </c>
      <c r="K98" s="49">
        <f>AVERAGE('02.08 Atiak-Palabek-24h'!K98,'03.08 Atiak-Palabek-24h'!K98)</f>
        <v>0</v>
      </c>
      <c r="L98" s="49">
        <f>AVERAGE('02.08 Atiak-Palabek-24h'!L98,'03.08 Atiak-Palabek-24h'!L98)</f>
        <v>0</v>
      </c>
      <c r="M98" s="49">
        <f>AVERAGE('02.08 Atiak-Palabek-24h'!M98,'03.08 Atiak-Palabek-24h'!M98)</f>
        <v>0</v>
      </c>
      <c r="N98" s="49">
        <f>AVERAGE('02.08 Atiak-Palabek-24h'!N98,'03.08 Atiak-Palabek-24h'!N98)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AVERAGE('02.08 Atiak-Palabek-24h'!C99,'03.08 Atiak-Palabek-24h'!C99)</f>
        <v>0</v>
      </c>
      <c r="D99" s="49">
        <f>AVERAGE('02.08 Atiak-Palabek-24h'!D99,'03.08 Atiak-Palabek-24h'!D99)</f>
        <v>0</v>
      </c>
      <c r="E99" s="49">
        <f>AVERAGE('02.08 Atiak-Palabek-24h'!E99,'03.08 Atiak-Palabek-24h'!E99)</f>
        <v>0</v>
      </c>
      <c r="F99" s="49">
        <f>AVERAGE('02.08 Atiak-Palabek-24h'!F99,'03.08 Atiak-Palabek-24h'!F99)</f>
        <v>0</v>
      </c>
      <c r="G99" s="49">
        <f>AVERAGE('02.08 Atiak-Palabek-24h'!G99,'03.08 Atiak-Palabek-24h'!G99)</f>
        <v>0</v>
      </c>
      <c r="H99" s="49">
        <f>AVERAGE('02.08 Atiak-Palabek-24h'!H99,'03.08 Atiak-Palabek-24h'!H99)</f>
        <v>0</v>
      </c>
      <c r="I99" s="49">
        <f>AVERAGE('02.08 Atiak-Palabek-24h'!I99,'03.08 Atiak-Palabek-24h'!I99)</f>
        <v>0</v>
      </c>
      <c r="J99" s="49">
        <f>AVERAGE('02.08 Atiak-Palabek-24h'!J99,'03.08 Atiak-Palabek-24h'!J99)</f>
        <v>0</v>
      </c>
      <c r="K99" s="49">
        <f>AVERAGE('02.08 Atiak-Palabek-24h'!K99,'03.08 Atiak-Palabek-24h'!K99)</f>
        <v>0</v>
      </c>
      <c r="L99" s="49">
        <f>AVERAGE('02.08 Atiak-Palabek-24h'!L99,'03.08 Atiak-Palabek-24h'!L99)</f>
        <v>0</v>
      </c>
      <c r="M99" s="49">
        <f>AVERAGE('02.08 Atiak-Palabek-24h'!M99,'03.08 Atiak-Palabek-24h'!M99)</f>
        <v>0</v>
      </c>
      <c r="N99" s="49">
        <f>AVERAGE('02.08 Atiak-Palabek-24h'!N99,'03.08 Atiak-Palabek-24h'!N99)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AVERAGE('02.08 Atiak-Palabek-24h'!C100,'03.08 Atiak-Palabek-24h'!C100)</f>
        <v>0</v>
      </c>
      <c r="D100" s="49">
        <f>AVERAGE('02.08 Atiak-Palabek-24h'!D100,'03.08 Atiak-Palabek-24h'!D100)</f>
        <v>0</v>
      </c>
      <c r="E100" s="49">
        <f>AVERAGE('02.08 Atiak-Palabek-24h'!E100,'03.08 Atiak-Palabek-24h'!E100)</f>
        <v>0</v>
      </c>
      <c r="F100" s="49">
        <f>AVERAGE('02.08 Atiak-Palabek-24h'!F100,'03.08 Atiak-Palabek-24h'!F100)</f>
        <v>0</v>
      </c>
      <c r="G100" s="49">
        <f>AVERAGE('02.08 Atiak-Palabek-24h'!G100,'03.08 Atiak-Palabek-24h'!G100)</f>
        <v>0</v>
      </c>
      <c r="H100" s="49">
        <f>AVERAGE('02.08 Atiak-Palabek-24h'!H100,'03.08 Atiak-Palabek-24h'!H100)</f>
        <v>0</v>
      </c>
      <c r="I100" s="49">
        <f>AVERAGE('02.08 Atiak-Palabek-24h'!I100,'03.08 Atiak-Palabek-24h'!I100)</f>
        <v>0</v>
      </c>
      <c r="J100" s="49">
        <f>AVERAGE('02.08 Atiak-Palabek-24h'!J100,'03.08 Atiak-Palabek-24h'!J100)</f>
        <v>0</v>
      </c>
      <c r="K100" s="49">
        <f>AVERAGE('02.08 Atiak-Palabek-24h'!K100,'03.08 Atiak-Palabek-24h'!K100)</f>
        <v>0</v>
      </c>
      <c r="L100" s="49">
        <f>AVERAGE('02.08 Atiak-Palabek-24h'!L100,'03.08 Atiak-Palabek-24h'!L100)</f>
        <v>0</v>
      </c>
      <c r="M100" s="49">
        <f>AVERAGE('02.08 Atiak-Palabek-24h'!M100,'03.08 Atiak-Palabek-24h'!M100)</f>
        <v>0</v>
      </c>
      <c r="N100" s="49">
        <f>AVERAGE('02.08 Atiak-Palabek-24h'!N100,'03.08 Atiak-Palabek-24h'!N100)</f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23" t="s">
        <v>141</v>
      </c>
      <c r="C101" s="49">
        <f>AVERAGE('02.08 Atiak-Palabek-24h'!C101,'03.08 Atiak-Palabek-24h'!C101)</f>
        <v>0</v>
      </c>
      <c r="D101" s="49">
        <f>AVERAGE('02.08 Atiak-Palabek-24h'!D101,'03.08 Atiak-Palabek-24h'!D101)</f>
        <v>0</v>
      </c>
      <c r="E101" s="49">
        <f>AVERAGE('02.08 Atiak-Palabek-24h'!E101,'03.08 Atiak-Palabek-24h'!E101)</f>
        <v>0</v>
      </c>
      <c r="F101" s="49">
        <f>AVERAGE('02.08 Atiak-Palabek-24h'!F101,'03.08 Atiak-Palabek-24h'!F101)</f>
        <v>0</v>
      </c>
      <c r="G101" s="49">
        <f>AVERAGE('02.08 Atiak-Palabek-24h'!G101,'03.08 Atiak-Palabek-24h'!G101)</f>
        <v>0</v>
      </c>
      <c r="H101" s="49">
        <f>AVERAGE('02.08 Atiak-Palabek-24h'!H101,'03.08 Atiak-Palabek-24h'!H101)</f>
        <v>0</v>
      </c>
      <c r="I101" s="49">
        <f>AVERAGE('02.08 Atiak-Palabek-24h'!I101,'03.08 Atiak-Palabek-24h'!I101)</f>
        <v>0</v>
      </c>
      <c r="J101" s="49">
        <f>AVERAGE('02.08 Atiak-Palabek-24h'!J101,'03.08 Atiak-Palabek-24h'!J101)</f>
        <v>0</v>
      </c>
      <c r="K101" s="49">
        <f>AVERAGE('02.08 Atiak-Palabek-24h'!K101,'03.08 Atiak-Palabek-24h'!K101)</f>
        <v>0</v>
      </c>
      <c r="L101" s="49">
        <f>AVERAGE('02.08 Atiak-Palabek-24h'!L101,'03.08 Atiak-Palabek-24h'!L101)</f>
        <v>0</v>
      </c>
      <c r="M101" s="49">
        <f>AVERAGE('02.08 Atiak-Palabek-24h'!M101,'03.08 Atiak-Palabek-24h'!M101)</f>
        <v>0</v>
      </c>
      <c r="N101" s="49">
        <f>AVERAGE('02.08 Atiak-Palabek-24h'!N101,'03.08 Atiak-Palabek-24h'!N101)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4" t="s">
        <v>142</v>
      </c>
      <c r="C102" s="49">
        <f>AVERAGE('02.08 Atiak-Palabek-24h'!C102,'03.08 Atiak-Palabek-24h'!C102)</f>
        <v>0</v>
      </c>
      <c r="D102" s="49">
        <f>AVERAGE('02.08 Atiak-Palabek-24h'!D102,'03.08 Atiak-Palabek-24h'!D102)</f>
        <v>0</v>
      </c>
      <c r="E102" s="49">
        <f>AVERAGE('02.08 Atiak-Palabek-24h'!E102,'03.08 Atiak-Palabek-24h'!E102)</f>
        <v>0</v>
      </c>
      <c r="F102" s="49">
        <f>AVERAGE('02.08 Atiak-Palabek-24h'!F102,'03.08 Atiak-Palabek-24h'!F102)</f>
        <v>0</v>
      </c>
      <c r="G102" s="49">
        <f>AVERAGE('02.08 Atiak-Palabek-24h'!G102,'03.08 Atiak-Palabek-24h'!G102)</f>
        <v>0</v>
      </c>
      <c r="H102" s="49">
        <f>AVERAGE('02.08 Atiak-Palabek-24h'!H102,'03.08 Atiak-Palabek-24h'!H102)</f>
        <v>0</v>
      </c>
      <c r="I102" s="49">
        <f>AVERAGE('02.08 Atiak-Palabek-24h'!I102,'03.08 Atiak-Palabek-24h'!I102)</f>
        <v>0</v>
      </c>
      <c r="J102" s="49">
        <f>AVERAGE('02.08 Atiak-Palabek-24h'!J102,'03.08 Atiak-Palabek-24h'!J102)</f>
        <v>0</v>
      </c>
      <c r="K102" s="49">
        <f>AVERAGE('02.08 Atiak-Palabek-24h'!K102,'03.08 Atiak-Palabek-24h'!K102)</f>
        <v>0</v>
      </c>
      <c r="L102" s="49">
        <f>AVERAGE('02.08 Atiak-Palabek-24h'!L102,'03.08 Atiak-Palabek-24h'!L102)</f>
        <v>0</v>
      </c>
      <c r="M102" s="49">
        <f>AVERAGE('02.08 Atiak-Palabek-24h'!M102,'03.08 Atiak-Palabek-24h'!M102)</f>
        <v>0</v>
      </c>
      <c r="N102" s="49">
        <f>AVERAGE('02.08 Atiak-Palabek-24h'!N102,'03.08 Atiak-Palabek-24h'!N102)</f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23" t="s">
        <v>143</v>
      </c>
      <c r="C103" s="49">
        <f>AVERAGE('02.08 Atiak-Palabek-24h'!C103,'03.08 Atiak-Palabek-24h'!C103)</f>
        <v>0.5</v>
      </c>
      <c r="D103" s="49">
        <f>AVERAGE('02.08 Atiak-Palabek-24h'!D103,'03.08 Atiak-Palabek-24h'!D103)</f>
        <v>0</v>
      </c>
      <c r="E103" s="49">
        <f>AVERAGE('02.08 Atiak-Palabek-24h'!E103,'03.08 Atiak-Palabek-24h'!E103)</f>
        <v>0</v>
      </c>
      <c r="F103" s="49">
        <f>AVERAGE('02.08 Atiak-Palabek-24h'!F103,'03.08 Atiak-Palabek-24h'!F103)</f>
        <v>0</v>
      </c>
      <c r="G103" s="49">
        <f>AVERAGE('02.08 Atiak-Palabek-24h'!G103,'03.08 Atiak-Palabek-24h'!G103)</f>
        <v>0</v>
      </c>
      <c r="H103" s="49">
        <f>AVERAGE('02.08 Atiak-Palabek-24h'!H103,'03.08 Atiak-Palabek-24h'!H103)</f>
        <v>0</v>
      </c>
      <c r="I103" s="49">
        <f>AVERAGE('02.08 Atiak-Palabek-24h'!I103,'03.08 Atiak-Palabek-24h'!I103)</f>
        <v>0</v>
      </c>
      <c r="J103" s="49">
        <f>AVERAGE('02.08 Atiak-Palabek-24h'!J103,'03.08 Atiak-Palabek-24h'!J103)</f>
        <v>0</v>
      </c>
      <c r="K103" s="49">
        <f>AVERAGE('02.08 Atiak-Palabek-24h'!K103,'03.08 Atiak-Palabek-24h'!K103)</f>
        <v>0</v>
      </c>
      <c r="L103" s="49">
        <f>AVERAGE('02.08 Atiak-Palabek-24h'!L103,'03.08 Atiak-Palabek-24h'!L103)</f>
        <v>0</v>
      </c>
      <c r="M103" s="49">
        <f>AVERAGE('02.08 Atiak-Palabek-24h'!M103,'03.08 Atiak-Palabek-24h'!M103)</f>
        <v>1</v>
      </c>
      <c r="N103" s="49">
        <f>AVERAGE('02.08 Atiak-Palabek-24h'!N103,'03.08 Atiak-Palabek-24h'!N103)</f>
        <v>0</v>
      </c>
      <c r="O103" s="15">
        <f t="shared" si="35"/>
        <v>0.5</v>
      </c>
      <c r="P103" s="15">
        <f t="shared" si="36"/>
        <v>1.5</v>
      </c>
      <c r="R103" s="8"/>
      <c r="T103"/>
    </row>
    <row r="104" spans="2:20" ht="23.1" customHeight="1" x14ac:dyDescent="0.25">
      <c r="B104" s="25" t="s">
        <v>144</v>
      </c>
      <c r="C104" s="49">
        <f>AVERAGE('02.08 Atiak-Palabek-24h'!C104,'03.08 Atiak-Palabek-24h'!C104)</f>
        <v>0</v>
      </c>
      <c r="D104" s="49">
        <f>AVERAGE('02.08 Atiak-Palabek-24h'!D104,'03.08 Atiak-Palabek-24h'!D104)</f>
        <v>0</v>
      </c>
      <c r="E104" s="49">
        <f>AVERAGE('02.08 Atiak-Palabek-24h'!E104,'03.08 Atiak-Palabek-24h'!E104)</f>
        <v>0.5</v>
      </c>
      <c r="F104" s="49">
        <f>AVERAGE('02.08 Atiak-Palabek-24h'!F104,'03.08 Atiak-Palabek-24h'!F104)</f>
        <v>0</v>
      </c>
      <c r="G104" s="49">
        <f>AVERAGE('02.08 Atiak-Palabek-24h'!G104,'03.08 Atiak-Palabek-24h'!G104)</f>
        <v>0</v>
      </c>
      <c r="H104" s="49">
        <f>AVERAGE('02.08 Atiak-Palabek-24h'!H104,'03.08 Atiak-Palabek-24h'!H104)</f>
        <v>0</v>
      </c>
      <c r="I104" s="49">
        <f>AVERAGE('02.08 Atiak-Palabek-24h'!I104,'03.08 Atiak-Palabek-24h'!I104)</f>
        <v>0</v>
      </c>
      <c r="J104" s="49">
        <f>AVERAGE('02.08 Atiak-Palabek-24h'!J104,'03.08 Atiak-Palabek-24h'!J104)</f>
        <v>0</v>
      </c>
      <c r="K104" s="49">
        <f>AVERAGE('02.08 Atiak-Palabek-24h'!K104,'03.08 Atiak-Palabek-24h'!K104)</f>
        <v>0</v>
      </c>
      <c r="L104" s="49">
        <f>AVERAGE('02.08 Atiak-Palabek-24h'!L104,'03.08 Atiak-Palabek-24h'!L104)</f>
        <v>0</v>
      </c>
      <c r="M104" s="49">
        <f>AVERAGE('02.08 Atiak-Palabek-24h'!M104,'03.08 Atiak-Palabek-24h'!M104)</f>
        <v>0.5</v>
      </c>
      <c r="N104" s="49">
        <f>AVERAGE('02.08 Atiak-Palabek-24h'!N104,'03.08 Atiak-Palabek-24h'!N104)</f>
        <v>0</v>
      </c>
      <c r="O104" s="15">
        <f t="shared" si="35"/>
        <v>0.5</v>
      </c>
      <c r="P104" s="15">
        <f t="shared" si="36"/>
        <v>1</v>
      </c>
      <c r="R104" s="8"/>
      <c r="T104"/>
    </row>
    <row r="105" spans="2:20" ht="23.1" customHeight="1" x14ac:dyDescent="0.25">
      <c r="B105" s="23" t="s">
        <v>145</v>
      </c>
      <c r="C105" s="49">
        <f>AVERAGE('02.08 Atiak-Palabek-24h'!C105,'03.08 Atiak-Palabek-24h'!C105)</f>
        <v>0</v>
      </c>
      <c r="D105" s="49">
        <f>AVERAGE('02.08 Atiak-Palabek-24h'!D105,'03.08 Atiak-Palabek-24h'!D105)</f>
        <v>0</v>
      </c>
      <c r="E105" s="49">
        <f>AVERAGE('02.08 Atiak-Palabek-24h'!E105,'03.08 Atiak-Palabek-24h'!E105)</f>
        <v>0</v>
      </c>
      <c r="F105" s="49">
        <f>AVERAGE('02.08 Atiak-Palabek-24h'!F105,'03.08 Atiak-Palabek-24h'!F105)</f>
        <v>0</v>
      </c>
      <c r="G105" s="49">
        <f>AVERAGE('02.08 Atiak-Palabek-24h'!G105,'03.08 Atiak-Palabek-24h'!G105)</f>
        <v>0</v>
      </c>
      <c r="H105" s="49">
        <f>AVERAGE('02.08 Atiak-Palabek-24h'!H105,'03.08 Atiak-Palabek-24h'!H105)</f>
        <v>0</v>
      </c>
      <c r="I105" s="49">
        <f>AVERAGE('02.08 Atiak-Palabek-24h'!I105,'03.08 Atiak-Palabek-24h'!I105)</f>
        <v>0</v>
      </c>
      <c r="J105" s="49">
        <f>AVERAGE('02.08 Atiak-Palabek-24h'!J105,'03.08 Atiak-Palabek-24h'!J105)</f>
        <v>0</v>
      </c>
      <c r="K105" s="49">
        <f>AVERAGE('02.08 Atiak-Palabek-24h'!K105,'03.08 Atiak-Palabek-24h'!K105)</f>
        <v>0</v>
      </c>
      <c r="L105" s="49">
        <f>AVERAGE('02.08 Atiak-Palabek-24h'!L105,'03.08 Atiak-Palabek-24h'!L105)</f>
        <v>0</v>
      </c>
      <c r="M105" s="49">
        <f>AVERAGE('02.08 Atiak-Palabek-24h'!M105,'03.08 Atiak-Palabek-24h'!M105)</f>
        <v>0.5</v>
      </c>
      <c r="N105" s="49">
        <f>AVERAGE('02.08 Atiak-Palabek-24h'!N105,'03.08 Atiak-Palabek-24h'!N105)</f>
        <v>0</v>
      </c>
      <c r="O105" s="15">
        <f t="shared" si="35"/>
        <v>0</v>
      </c>
      <c r="P105" s="15">
        <f t="shared" si="36"/>
        <v>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3.5714285714285707</v>
      </c>
      <c r="D106" s="16">
        <f t="shared" ref="D106:P106" si="37">SUM(D10:D105)</f>
        <v>0</v>
      </c>
      <c r="E106" s="16">
        <f t="shared" si="37"/>
        <v>14.142857142857142</v>
      </c>
      <c r="F106" s="16">
        <f t="shared" si="37"/>
        <v>12.071428571428573</v>
      </c>
      <c r="G106" s="16">
        <f t="shared" si="37"/>
        <v>0.14285714285714285</v>
      </c>
      <c r="H106" s="16">
        <f t="shared" si="37"/>
        <v>1.0714285714285714</v>
      </c>
      <c r="I106" s="16">
        <f t="shared" si="37"/>
        <v>19.238095238095237</v>
      </c>
      <c r="J106" s="16">
        <f t="shared" si="37"/>
        <v>0.5714285714285714</v>
      </c>
      <c r="K106" s="16">
        <f t="shared" si="37"/>
        <v>0.2857142857142857</v>
      </c>
      <c r="L106" s="16">
        <f t="shared" si="37"/>
        <v>0</v>
      </c>
      <c r="M106" s="16">
        <f t="shared" si="37"/>
        <v>292.21428571428567</v>
      </c>
      <c r="N106" s="16">
        <f t="shared" si="37"/>
        <v>0</v>
      </c>
      <c r="O106" s="16">
        <f t="shared" si="37"/>
        <v>51.095238095238109</v>
      </c>
      <c r="P106" s="16">
        <f t="shared" si="37"/>
        <v>343.30952380952374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1.0402940564532908E-2</v>
      </c>
      <c r="D107" s="43">
        <f t="shared" si="38"/>
        <v>0</v>
      </c>
      <c r="E107" s="43">
        <f t="shared" si="38"/>
        <v>4.1195644635550324E-2</v>
      </c>
      <c r="F107" s="43">
        <f t="shared" si="38"/>
        <v>3.5161939108121237E-2</v>
      </c>
      <c r="G107" s="43">
        <f t="shared" si="38"/>
        <v>4.1611762258131639E-4</v>
      </c>
      <c r="H107" s="43">
        <f t="shared" si="38"/>
        <v>3.1208821693598731E-3</v>
      </c>
      <c r="I107" s="43">
        <f t="shared" si="38"/>
        <v>5.6037173174283937E-2</v>
      </c>
      <c r="J107" s="43">
        <f t="shared" si="38"/>
        <v>1.6644704903252656E-3</v>
      </c>
      <c r="K107" s="43">
        <f t="shared" si="38"/>
        <v>8.3223524516263278E-4</v>
      </c>
      <c r="L107" s="43">
        <f t="shared" si="38"/>
        <v>0</v>
      </c>
      <c r="M107" s="43">
        <f t="shared" si="38"/>
        <v>0.85116859699008252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6.9897483690587112E-2</v>
      </c>
      <c r="D108" s="44">
        <f t="shared" ref="D108:N108" si="39">D106/$O$106</f>
        <v>0</v>
      </c>
      <c r="E108" s="44">
        <f t="shared" si="39"/>
        <v>0.27679403541472497</v>
      </c>
      <c r="F108" s="44">
        <f t="shared" si="39"/>
        <v>0.23625349487418448</v>
      </c>
      <c r="G108" s="44">
        <f t="shared" si="39"/>
        <v>2.7958993476234848E-3</v>
      </c>
      <c r="H108" s="44">
        <f t="shared" si="39"/>
        <v>2.0969245107176137E-2</v>
      </c>
      <c r="I108" s="44">
        <f t="shared" si="39"/>
        <v>0.3765144454799626</v>
      </c>
      <c r="J108" s="44">
        <f t="shared" si="39"/>
        <v>1.1183597390493939E-2</v>
      </c>
      <c r="K108" s="44">
        <f t="shared" si="39"/>
        <v>5.5917986952469696E-3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G85" zoomScale="60" workbookViewId="0">
      <selection activeCell="O106" sqref="O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163</v>
      </c>
      <c r="E5" s="66"/>
      <c r="F5" s="41" t="s">
        <v>1</v>
      </c>
      <c r="G5" s="63" t="str">
        <f>'04.08 Palabek-Atiak'!G5:H5</f>
        <v>xxx</v>
      </c>
      <c r="H5" s="64"/>
      <c r="I5" s="14"/>
      <c r="J5" s="2" t="s">
        <v>5</v>
      </c>
      <c r="K5" s="63" t="str">
        <f>'04.08 Palabek-Atiak'!K5:L5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Palabek-Atiak'!D6:E6</f>
        <v>Palabek</v>
      </c>
      <c r="E6" s="64"/>
      <c r="F6" s="2" t="s">
        <v>2</v>
      </c>
      <c r="G6" s="63" t="str">
        <f>'04.08 Palabek-Atiak'!G6:H6</f>
        <v>Atiak</v>
      </c>
      <c r="H6" s="64"/>
      <c r="J6" s="2" t="s">
        <v>21</v>
      </c>
      <c r="K6" s="63" t="str">
        <f>'04.08 Palabek-Atiak'!K6:L6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Palabek-Atiak'!C10,'01.08 Palabek-Atiak'!C10,'05.08 Palabek-Atiak'!C10,'06.08 Palabek-Atiak'!C10,'02.08 Palabek-Atiak-24h'!C10,'03.08 Palabek-Atiak-24h'!C10,'04.08 Palabek-Atiak'!C10)</f>
        <v>0</v>
      </c>
      <c r="D10" s="49">
        <f>AVERAGE('31.07 Palabek-Atiak'!D10,'01.08 Palabek-Atiak'!D10,'05.08 Palabek-Atiak'!D10,'06.08 Palabek-Atiak'!D10,'02.08 Palabek-Atiak-24h'!D10,'03.08 Palabek-Atiak-24h'!D10,'04.08 Palabek-Atiak'!D10)</f>
        <v>0</v>
      </c>
      <c r="E10" s="49">
        <f>AVERAGE('31.07 Palabek-Atiak'!E10,'01.08 Palabek-Atiak'!E10,'05.08 Palabek-Atiak'!E10,'06.08 Palabek-Atiak'!E10,'02.08 Palabek-Atiak-24h'!E10,'03.08 Palabek-Atiak-24h'!E10,'04.08 Palabek-Atiak'!E10)</f>
        <v>0</v>
      </c>
      <c r="F10" s="49">
        <f>AVERAGE('31.07 Palabek-Atiak'!F10,'01.08 Palabek-Atiak'!F10,'05.08 Palabek-Atiak'!F10,'06.08 Palabek-Atiak'!F10,'02.08 Palabek-Atiak-24h'!F10,'03.08 Palabek-Atiak-24h'!F10,'04.08 Palabek-Atiak'!F10)</f>
        <v>0</v>
      </c>
      <c r="G10" s="49">
        <f>AVERAGE('31.07 Palabek-Atiak'!G10,'01.08 Palabek-Atiak'!G10,'05.08 Palabek-Atiak'!G10,'06.08 Palabek-Atiak'!G10,'02.08 Palabek-Atiak-24h'!G10,'03.08 Palabek-Atiak-24h'!G10,'04.08 Palabek-Atiak'!G10)</f>
        <v>0</v>
      </c>
      <c r="H10" s="49">
        <f>AVERAGE('31.07 Palabek-Atiak'!H10,'01.08 Palabek-Atiak'!H10,'05.08 Palabek-Atiak'!H10,'06.08 Palabek-Atiak'!H10,'02.08 Palabek-Atiak-24h'!H10,'03.08 Palabek-Atiak-24h'!H10,'04.08 Palabek-Atiak'!H10)</f>
        <v>0</v>
      </c>
      <c r="I10" s="49">
        <f>AVERAGE('31.07 Palabek-Atiak'!I10,'01.08 Palabek-Atiak'!I10,'05.08 Palabek-Atiak'!I10,'06.08 Palabek-Atiak'!I10,'02.08 Palabek-Atiak-24h'!I10,'03.08 Palabek-Atiak-24h'!I10,'04.08 Palabek-Atiak'!I10)</f>
        <v>0</v>
      </c>
      <c r="J10" s="49">
        <f>AVERAGE('31.07 Palabek-Atiak'!J10,'01.08 Palabek-Atiak'!J10,'05.08 Palabek-Atiak'!J10,'06.08 Palabek-Atiak'!J10,'02.08 Palabek-Atiak-24h'!J10,'03.08 Palabek-Atiak-24h'!J10,'04.08 Palabek-Atiak'!J10)</f>
        <v>0</v>
      </c>
      <c r="K10" s="49">
        <f>AVERAGE('31.07 Palabek-Atiak'!K10,'01.08 Palabek-Atiak'!K10,'05.08 Palabek-Atiak'!K10,'06.08 Palabek-Atiak'!K10,'02.08 Palabek-Atiak-24h'!K10,'03.08 Palabek-Atiak-24h'!K10,'04.08 Palabek-Atiak'!K10)</f>
        <v>0</v>
      </c>
      <c r="L10" s="49">
        <f>AVERAGE('31.07 Palabek-Atiak'!L10,'01.08 Palabek-Atiak'!L10,'05.08 Palabek-Atiak'!L10,'06.08 Palabek-Atiak'!L10,'02.08 Palabek-Atiak-24h'!L10,'03.08 Palabek-Atiak-24h'!L10,'04.08 Palabek-Atiak'!L10)</f>
        <v>0.2857142857142857</v>
      </c>
      <c r="M10" s="49">
        <f>AVERAGE('31.07 Palabek-Atiak'!M10,'01.08 Palabek-Atiak'!M10,'05.08 Palabek-Atiak'!M10,'06.08 Palabek-Atiak'!M10,'02.08 Palabek-Atiak-24h'!M10,'03.08 Palabek-Atiak-24h'!M10,'04.08 Palabek-Atiak'!M10)</f>
        <v>0.8571428571428571</v>
      </c>
      <c r="N10" s="49">
        <f>AVERAGE('31.07 Palabek-Atiak'!N10,'01.08 Palabek-Atiak'!N10,'05.08 Palabek-Atiak'!N10,'06.08 Palabek-Atiak'!N10,'02.08 Palabek-Atiak-24h'!N10,'03.08 Palabek-Atiak-24h'!N10,'04.08 Palabek-Atiak'!N10)</f>
        <v>0</v>
      </c>
      <c r="O10" s="15">
        <f t="shared" ref="O10:O73" si="0">SUM(C10:L10,N10)</f>
        <v>0.2857142857142857</v>
      </c>
      <c r="P10" s="15">
        <f t="shared" ref="P10:P73" si="1">SUM(C10:N10)</f>
        <v>1.1428571428571428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0.14285714285714285</v>
      </c>
      <c r="Z10" s="17">
        <f t="shared" si="2"/>
        <v>0</v>
      </c>
      <c r="AA10" s="17">
        <f t="shared" si="2"/>
        <v>0</v>
      </c>
      <c r="AB10" s="17">
        <f t="shared" si="2"/>
        <v>0.5714285714285714</v>
      </c>
      <c r="AC10" s="17">
        <f t="shared" si="2"/>
        <v>2.1428571428571428</v>
      </c>
      <c r="AD10" s="17">
        <f t="shared" si="2"/>
        <v>0</v>
      </c>
      <c r="AE10" s="31">
        <f t="shared" si="2"/>
        <v>0.71428571428571419</v>
      </c>
      <c r="AF10" s="31">
        <f t="shared" si="2"/>
        <v>2.8571428571428568</v>
      </c>
    </row>
    <row r="11" spans="2:32" s="6" customFormat="1" ht="23.1" customHeight="1" x14ac:dyDescent="0.25">
      <c r="B11" s="23" t="s">
        <v>38</v>
      </c>
      <c r="C11" s="49">
        <f>AVERAGE('31.07 Palabek-Atiak'!C11,'01.08 Palabek-Atiak'!C11,'05.08 Palabek-Atiak'!C11,'06.08 Palabek-Atiak'!C11,'02.08 Palabek-Atiak-24h'!C11,'03.08 Palabek-Atiak-24h'!C11,'04.08 Palabek-Atiak'!C11)</f>
        <v>0</v>
      </c>
      <c r="D11" s="49">
        <f>AVERAGE('31.07 Palabek-Atiak'!D11,'01.08 Palabek-Atiak'!D11,'05.08 Palabek-Atiak'!D11,'06.08 Palabek-Atiak'!D11,'02.08 Palabek-Atiak-24h'!D11,'03.08 Palabek-Atiak-24h'!D11,'04.08 Palabek-Atiak'!D11)</f>
        <v>0</v>
      </c>
      <c r="E11" s="49">
        <f>AVERAGE('31.07 Palabek-Atiak'!E11,'01.08 Palabek-Atiak'!E11,'05.08 Palabek-Atiak'!E11,'06.08 Palabek-Atiak'!E11,'02.08 Palabek-Atiak-24h'!E11,'03.08 Palabek-Atiak-24h'!E11,'04.08 Palabek-Atiak'!E11)</f>
        <v>0</v>
      </c>
      <c r="F11" s="49">
        <f>AVERAGE('31.07 Palabek-Atiak'!F11,'01.08 Palabek-Atiak'!F11,'05.08 Palabek-Atiak'!F11,'06.08 Palabek-Atiak'!F11,'02.08 Palabek-Atiak-24h'!F11,'03.08 Palabek-Atiak-24h'!F11,'04.08 Palabek-Atiak'!F11)</f>
        <v>0</v>
      </c>
      <c r="G11" s="49">
        <f>AVERAGE('31.07 Palabek-Atiak'!G11,'01.08 Palabek-Atiak'!G11,'05.08 Palabek-Atiak'!G11,'06.08 Palabek-Atiak'!G11,'02.08 Palabek-Atiak-24h'!G11,'03.08 Palabek-Atiak-24h'!G11,'04.08 Palabek-Atiak'!G11)</f>
        <v>0</v>
      </c>
      <c r="H11" s="49">
        <f>AVERAGE('31.07 Palabek-Atiak'!H11,'01.08 Palabek-Atiak'!H11,'05.08 Palabek-Atiak'!H11,'06.08 Palabek-Atiak'!H11,'02.08 Palabek-Atiak-24h'!H11,'03.08 Palabek-Atiak-24h'!H11,'04.08 Palabek-Atiak'!H11)</f>
        <v>0</v>
      </c>
      <c r="I11" s="49">
        <f>AVERAGE('31.07 Palabek-Atiak'!I11,'01.08 Palabek-Atiak'!I11,'05.08 Palabek-Atiak'!I11,'06.08 Palabek-Atiak'!I11,'02.08 Palabek-Atiak-24h'!I11,'03.08 Palabek-Atiak-24h'!I11,'04.08 Palabek-Atiak'!I11)</f>
        <v>0.14285714285714285</v>
      </c>
      <c r="J11" s="49">
        <f>AVERAGE('31.07 Palabek-Atiak'!J11,'01.08 Palabek-Atiak'!J11,'05.08 Palabek-Atiak'!J11,'06.08 Palabek-Atiak'!J11,'02.08 Palabek-Atiak-24h'!J11,'03.08 Palabek-Atiak-24h'!J11,'04.08 Palabek-Atiak'!J11)</f>
        <v>0</v>
      </c>
      <c r="K11" s="49">
        <f>AVERAGE('31.07 Palabek-Atiak'!K11,'01.08 Palabek-Atiak'!K11,'05.08 Palabek-Atiak'!K11,'06.08 Palabek-Atiak'!K11,'02.08 Palabek-Atiak-24h'!K11,'03.08 Palabek-Atiak-24h'!K11,'04.08 Palabek-Atiak'!K11)</f>
        <v>0</v>
      </c>
      <c r="L11" s="49">
        <f>AVERAGE('31.07 Palabek-Atiak'!L11,'01.08 Palabek-Atiak'!L11,'05.08 Palabek-Atiak'!L11,'06.08 Palabek-Atiak'!L11,'02.08 Palabek-Atiak-24h'!L11,'03.08 Palabek-Atiak-24h'!L11,'04.08 Palabek-Atiak'!L11)</f>
        <v>0</v>
      </c>
      <c r="M11" s="49">
        <f>AVERAGE('31.07 Palabek-Atiak'!M11,'01.08 Palabek-Atiak'!M11,'05.08 Palabek-Atiak'!M11,'06.08 Palabek-Atiak'!M11,'02.08 Palabek-Atiak-24h'!M11,'03.08 Palabek-Atiak-24h'!M11,'04.08 Palabek-Atiak'!M11)</f>
        <v>0.5714285714285714</v>
      </c>
      <c r="N11" s="49">
        <f>AVERAGE('31.07 Palabek-Atiak'!N11,'01.08 Palabek-Atiak'!N11,'05.08 Palabek-Atiak'!N11,'06.08 Palabek-Atiak'!N11,'02.08 Palabek-Atiak-24h'!N11,'03.08 Palabek-Atiak-24h'!N11,'04.08 Palabek-Atiak'!N11)</f>
        <v>0</v>
      </c>
      <c r="O11" s="15">
        <f t="shared" si="0"/>
        <v>0.14285714285714285</v>
      </c>
      <c r="P11" s="15">
        <f t="shared" si="1"/>
        <v>0.71428571428571419</v>
      </c>
      <c r="R11" s="1" t="s">
        <v>7</v>
      </c>
      <c r="S11" s="17">
        <f t="shared" ref="S11:AF11" si="3">SUM(C14:C17)</f>
        <v>0.14285714285714285</v>
      </c>
      <c r="T11" s="17">
        <f t="shared" si="3"/>
        <v>0</v>
      </c>
      <c r="U11" s="17">
        <f t="shared" si="3"/>
        <v>0.14285714285714285</v>
      </c>
      <c r="V11" s="17">
        <f t="shared" si="3"/>
        <v>0.2857142857142857</v>
      </c>
      <c r="W11" s="17">
        <f t="shared" si="3"/>
        <v>0</v>
      </c>
      <c r="X11" s="17">
        <f t="shared" si="3"/>
        <v>0</v>
      </c>
      <c r="Y11" s="17">
        <f t="shared" si="3"/>
        <v>0.8571428571428571</v>
      </c>
      <c r="Z11" s="17">
        <f t="shared" si="3"/>
        <v>0</v>
      </c>
      <c r="AA11" s="17">
        <f t="shared" si="3"/>
        <v>0</v>
      </c>
      <c r="AB11" s="17">
        <f t="shared" si="3"/>
        <v>0.5714285714285714</v>
      </c>
      <c r="AC11" s="17">
        <f t="shared" si="3"/>
        <v>9.1428571428571423</v>
      </c>
      <c r="AD11" s="17">
        <f t="shared" si="3"/>
        <v>0</v>
      </c>
      <c r="AE11" s="31">
        <f t="shared" si="3"/>
        <v>1.9999999999999998</v>
      </c>
      <c r="AF11" s="31">
        <f t="shared" si="3"/>
        <v>11.142857142857142</v>
      </c>
    </row>
    <row r="12" spans="2:32" ht="23.1" customHeight="1" x14ac:dyDescent="0.25">
      <c r="B12" s="23" t="s">
        <v>39</v>
      </c>
      <c r="C12" s="49">
        <f>AVERAGE('31.07 Palabek-Atiak'!C12,'01.08 Palabek-Atiak'!C12,'05.08 Palabek-Atiak'!C12,'06.08 Palabek-Atiak'!C12,'02.08 Palabek-Atiak-24h'!C12,'03.08 Palabek-Atiak-24h'!C12,'04.08 Palabek-Atiak'!C12)</f>
        <v>0</v>
      </c>
      <c r="D12" s="49">
        <f>AVERAGE('31.07 Palabek-Atiak'!D12,'01.08 Palabek-Atiak'!D12,'05.08 Palabek-Atiak'!D12,'06.08 Palabek-Atiak'!D12,'02.08 Palabek-Atiak-24h'!D12,'03.08 Palabek-Atiak-24h'!D12,'04.08 Palabek-Atiak'!D12)</f>
        <v>0</v>
      </c>
      <c r="E12" s="49">
        <f>AVERAGE('31.07 Palabek-Atiak'!E12,'01.08 Palabek-Atiak'!E12,'05.08 Palabek-Atiak'!E12,'06.08 Palabek-Atiak'!E12,'02.08 Palabek-Atiak-24h'!E12,'03.08 Palabek-Atiak-24h'!E12,'04.08 Palabek-Atiak'!E12)</f>
        <v>0</v>
      </c>
      <c r="F12" s="49">
        <f>AVERAGE('31.07 Palabek-Atiak'!F12,'01.08 Palabek-Atiak'!F12,'05.08 Palabek-Atiak'!F12,'06.08 Palabek-Atiak'!F12,'02.08 Palabek-Atiak-24h'!F12,'03.08 Palabek-Atiak-24h'!F12,'04.08 Palabek-Atiak'!F12)</f>
        <v>0</v>
      </c>
      <c r="G12" s="49">
        <f>AVERAGE('31.07 Palabek-Atiak'!G12,'01.08 Palabek-Atiak'!G12,'05.08 Palabek-Atiak'!G12,'06.08 Palabek-Atiak'!G12,'02.08 Palabek-Atiak-24h'!G12,'03.08 Palabek-Atiak-24h'!G12,'04.08 Palabek-Atiak'!G12)</f>
        <v>0</v>
      </c>
      <c r="H12" s="49">
        <f>AVERAGE('31.07 Palabek-Atiak'!H12,'01.08 Palabek-Atiak'!H12,'05.08 Palabek-Atiak'!H12,'06.08 Palabek-Atiak'!H12,'02.08 Palabek-Atiak-24h'!H12,'03.08 Palabek-Atiak-24h'!H12,'04.08 Palabek-Atiak'!H12)</f>
        <v>0</v>
      </c>
      <c r="I12" s="49">
        <f>AVERAGE('31.07 Palabek-Atiak'!I12,'01.08 Palabek-Atiak'!I12,'05.08 Palabek-Atiak'!I12,'06.08 Palabek-Atiak'!I12,'02.08 Palabek-Atiak-24h'!I12,'03.08 Palabek-Atiak-24h'!I12,'04.08 Palabek-Atiak'!I12)</f>
        <v>0</v>
      </c>
      <c r="J12" s="49">
        <f>AVERAGE('31.07 Palabek-Atiak'!J12,'01.08 Palabek-Atiak'!J12,'05.08 Palabek-Atiak'!J12,'06.08 Palabek-Atiak'!J12,'02.08 Palabek-Atiak-24h'!J12,'03.08 Palabek-Atiak-24h'!J12,'04.08 Palabek-Atiak'!J12)</f>
        <v>0</v>
      </c>
      <c r="K12" s="49">
        <f>AVERAGE('31.07 Palabek-Atiak'!K12,'01.08 Palabek-Atiak'!K12,'05.08 Palabek-Atiak'!K12,'06.08 Palabek-Atiak'!K12,'02.08 Palabek-Atiak-24h'!K12,'03.08 Palabek-Atiak-24h'!K12,'04.08 Palabek-Atiak'!K12)</f>
        <v>0</v>
      </c>
      <c r="L12" s="49">
        <f>AVERAGE('31.07 Palabek-Atiak'!L12,'01.08 Palabek-Atiak'!L12,'05.08 Palabek-Atiak'!L12,'06.08 Palabek-Atiak'!L12,'02.08 Palabek-Atiak-24h'!L12,'03.08 Palabek-Atiak-24h'!L12,'04.08 Palabek-Atiak'!L12)</f>
        <v>0.2857142857142857</v>
      </c>
      <c r="M12" s="49">
        <f>AVERAGE('31.07 Palabek-Atiak'!M12,'01.08 Palabek-Atiak'!M12,'05.08 Palabek-Atiak'!M12,'06.08 Palabek-Atiak'!M12,'02.08 Palabek-Atiak-24h'!M12,'03.08 Palabek-Atiak-24h'!M12,'04.08 Palabek-Atiak'!M12)</f>
        <v>0.42857142857142855</v>
      </c>
      <c r="N12" s="49">
        <f>AVERAGE('31.07 Palabek-Atiak'!N12,'01.08 Palabek-Atiak'!N12,'05.08 Palabek-Atiak'!N12,'06.08 Palabek-Atiak'!N12,'02.08 Palabek-Atiak-24h'!N12,'03.08 Palabek-Atiak-24h'!N12,'04.08 Palabek-Atiak'!N12)</f>
        <v>0</v>
      </c>
      <c r="O12" s="15">
        <f t="shared" si="0"/>
        <v>0.2857142857142857</v>
      </c>
      <c r="P12" s="15">
        <f t="shared" si="1"/>
        <v>0.71428571428571419</v>
      </c>
      <c r="R12" s="1" t="s">
        <v>8</v>
      </c>
      <c r="S12" s="17">
        <f t="shared" ref="S12:AF12" si="4">SUM(C18:C21)</f>
        <v>0.14285714285714285</v>
      </c>
      <c r="T12" s="17">
        <f t="shared" si="4"/>
        <v>0</v>
      </c>
      <c r="U12" s="17">
        <f t="shared" si="4"/>
        <v>0.5714285714285714</v>
      </c>
      <c r="V12" s="17">
        <f t="shared" si="4"/>
        <v>0.85714285714285698</v>
      </c>
      <c r="W12" s="17">
        <f t="shared" si="4"/>
        <v>0</v>
      </c>
      <c r="X12" s="17">
        <f t="shared" si="4"/>
        <v>0.14285714285714285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1.7142857142857142</v>
      </c>
      <c r="AC12" s="17">
        <f t="shared" si="4"/>
        <v>15.571428571428569</v>
      </c>
      <c r="AD12" s="17">
        <f t="shared" si="4"/>
        <v>0</v>
      </c>
      <c r="AE12" s="31">
        <f t="shared" si="4"/>
        <v>4.4285714285714288</v>
      </c>
      <c r="AF12" s="31">
        <f t="shared" si="4"/>
        <v>20</v>
      </c>
    </row>
    <row r="13" spans="2:32" ht="23.1" customHeight="1" x14ac:dyDescent="0.25">
      <c r="B13" s="23" t="s">
        <v>40</v>
      </c>
      <c r="C13" s="49">
        <f>AVERAGE('31.07 Palabek-Atiak'!C13,'01.08 Palabek-Atiak'!C13,'05.08 Palabek-Atiak'!C13,'06.08 Palabek-Atiak'!C13,'02.08 Palabek-Atiak-24h'!C13,'03.08 Palabek-Atiak-24h'!C13,'04.08 Palabek-Atiak'!C13)</f>
        <v>0</v>
      </c>
      <c r="D13" s="49">
        <f>AVERAGE('31.07 Palabek-Atiak'!D13,'01.08 Palabek-Atiak'!D13,'05.08 Palabek-Atiak'!D13,'06.08 Palabek-Atiak'!D13,'02.08 Palabek-Atiak-24h'!D13,'03.08 Palabek-Atiak-24h'!D13,'04.08 Palabek-Atiak'!D13)</f>
        <v>0</v>
      </c>
      <c r="E13" s="49">
        <f>AVERAGE('31.07 Palabek-Atiak'!E13,'01.08 Palabek-Atiak'!E13,'05.08 Palabek-Atiak'!E13,'06.08 Palabek-Atiak'!E13,'02.08 Palabek-Atiak-24h'!E13,'03.08 Palabek-Atiak-24h'!E13,'04.08 Palabek-Atiak'!E13)</f>
        <v>0</v>
      </c>
      <c r="F13" s="49">
        <f>AVERAGE('31.07 Palabek-Atiak'!F13,'01.08 Palabek-Atiak'!F13,'05.08 Palabek-Atiak'!F13,'06.08 Palabek-Atiak'!F13,'02.08 Palabek-Atiak-24h'!F13,'03.08 Palabek-Atiak-24h'!F13,'04.08 Palabek-Atiak'!F13)</f>
        <v>0</v>
      </c>
      <c r="G13" s="49">
        <f>AVERAGE('31.07 Palabek-Atiak'!G13,'01.08 Palabek-Atiak'!G13,'05.08 Palabek-Atiak'!G13,'06.08 Palabek-Atiak'!G13,'02.08 Palabek-Atiak-24h'!G13,'03.08 Palabek-Atiak-24h'!G13,'04.08 Palabek-Atiak'!G13)</f>
        <v>0</v>
      </c>
      <c r="H13" s="49">
        <f>AVERAGE('31.07 Palabek-Atiak'!H13,'01.08 Palabek-Atiak'!H13,'05.08 Palabek-Atiak'!H13,'06.08 Palabek-Atiak'!H13,'02.08 Palabek-Atiak-24h'!H13,'03.08 Palabek-Atiak-24h'!H13,'04.08 Palabek-Atiak'!H13)</f>
        <v>0</v>
      </c>
      <c r="I13" s="49">
        <f>AVERAGE('31.07 Palabek-Atiak'!I13,'01.08 Palabek-Atiak'!I13,'05.08 Palabek-Atiak'!I13,'06.08 Palabek-Atiak'!I13,'02.08 Palabek-Atiak-24h'!I13,'03.08 Palabek-Atiak-24h'!I13,'04.08 Palabek-Atiak'!I13)</f>
        <v>0</v>
      </c>
      <c r="J13" s="49">
        <f>AVERAGE('31.07 Palabek-Atiak'!J13,'01.08 Palabek-Atiak'!J13,'05.08 Palabek-Atiak'!J13,'06.08 Palabek-Atiak'!J13,'02.08 Palabek-Atiak-24h'!J13,'03.08 Palabek-Atiak-24h'!J13,'04.08 Palabek-Atiak'!J13)</f>
        <v>0</v>
      </c>
      <c r="K13" s="49">
        <f>AVERAGE('31.07 Palabek-Atiak'!K13,'01.08 Palabek-Atiak'!K13,'05.08 Palabek-Atiak'!K13,'06.08 Palabek-Atiak'!K13,'02.08 Palabek-Atiak-24h'!K13,'03.08 Palabek-Atiak-24h'!K13,'04.08 Palabek-Atiak'!K13)</f>
        <v>0</v>
      </c>
      <c r="L13" s="49">
        <f>AVERAGE('31.07 Palabek-Atiak'!L13,'01.08 Palabek-Atiak'!L13,'05.08 Palabek-Atiak'!L13,'06.08 Palabek-Atiak'!L13,'02.08 Palabek-Atiak-24h'!L13,'03.08 Palabek-Atiak-24h'!L13,'04.08 Palabek-Atiak'!L13)</f>
        <v>0</v>
      </c>
      <c r="M13" s="49">
        <f>AVERAGE('31.07 Palabek-Atiak'!M13,'01.08 Palabek-Atiak'!M13,'05.08 Palabek-Atiak'!M13,'06.08 Palabek-Atiak'!M13,'02.08 Palabek-Atiak-24h'!M13,'03.08 Palabek-Atiak-24h'!M13,'04.08 Palabek-Atiak'!M13)</f>
        <v>0.2857142857142857</v>
      </c>
      <c r="N13" s="49">
        <f>AVERAGE('31.07 Palabek-Atiak'!N13,'01.08 Palabek-Atiak'!N13,'05.08 Palabek-Atiak'!N13,'06.08 Palabek-Atiak'!N13,'02.08 Palabek-Atiak-24h'!N13,'03.08 Palabek-Atiak-24h'!N13,'04.08 Palabek-Atiak'!N13)</f>
        <v>0</v>
      </c>
      <c r="O13" s="15">
        <f t="shared" si="0"/>
        <v>0</v>
      </c>
      <c r="P13" s="15">
        <f t="shared" si="1"/>
        <v>0.2857142857142857</v>
      </c>
      <c r="R13" s="1" t="s">
        <v>9</v>
      </c>
      <c r="S13" s="17">
        <f t="shared" ref="S13:AF13" si="5">SUM(C22:C25)</f>
        <v>0.14285714285714285</v>
      </c>
      <c r="T13" s="17">
        <f t="shared" si="5"/>
        <v>0</v>
      </c>
      <c r="U13" s="17">
        <f t="shared" si="5"/>
        <v>1.7142857142857144</v>
      </c>
      <c r="V13" s="17">
        <f t="shared" si="5"/>
        <v>0.2857142857142857</v>
      </c>
      <c r="W13" s="17">
        <f t="shared" si="5"/>
        <v>0</v>
      </c>
      <c r="X13" s="17">
        <f t="shared" si="5"/>
        <v>0</v>
      </c>
      <c r="Y13" s="17">
        <f t="shared" si="5"/>
        <v>1.857142857142857</v>
      </c>
      <c r="Z13" s="17">
        <f t="shared" si="5"/>
        <v>0</v>
      </c>
      <c r="AA13" s="17">
        <f t="shared" si="5"/>
        <v>0.14285714285714285</v>
      </c>
      <c r="AB13" s="17">
        <f t="shared" si="5"/>
        <v>2.4285714285714284</v>
      </c>
      <c r="AC13" s="17">
        <f t="shared" si="5"/>
        <v>15.285714285714285</v>
      </c>
      <c r="AD13" s="17">
        <f t="shared" si="5"/>
        <v>0</v>
      </c>
      <c r="AE13" s="31">
        <f t="shared" si="5"/>
        <v>6.5714285714285712</v>
      </c>
      <c r="AF13" s="31">
        <f t="shared" si="5"/>
        <v>21.857142857142858</v>
      </c>
    </row>
    <row r="14" spans="2:32" ht="23.1" customHeight="1" x14ac:dyDescent="0.25">
      <c r="B14" s="23" t="s">
        <v>41</v>
      </c>
      <c r="C14" s="49">
        <f>AVERAGE('31.07 Palabek-Atiak'!C14,'01.08 Palabek-Atiak'!C14,'05.08 Palabek-Atiak'!C14,'06.08 Palabek-Atiak'!C14,'02.08 Palabek-Atiak-24h'!C14,'03.08 Palabek-Atiak-24h'!C14,'04.08 Palabek-Atiak'!C14)</f>
        <v>0</v>
      </c>
      <c r="D14" s="49">
        <f>AVERAGE('31.07 Palabek-Atiak'!D14,'01.08 Palabek-Atiak'!D14,'05.08 Palabek-Atiak'!D14,'06.08 Palabek-Atiak'!D14,'02.08 Palabek-Atiak-24h'!D14,'03.08 Palabek-Atiak-24h'!D14,'04.08 Palabek-Atiak'!D14)</f>
        <v>0</v>
      </c>
      <c r="E14" s="49">
        <f>AVERAGE('31.07 Palabek-Atiak'!E14,'01.08 Palabek-Atiak'!E14,'05.08 Palabek-Atiak'!E14,'06.08 Palabek-Atiak'!E14,'02.08 Palabek-Atiak-24h'!E14,'03.08 Palabek-Atiak-24h'!E14,'04.08 Palabek-Atiak'!E14)</f>
        <v>0</v>
      </c>
      <c r="F14" s="49">
        <f>AVERAGE('31.07 Palabek-Atiak'!F14,'01.08 Palabek-Atiak'!F14,'05.08 Palabek-Atiak'!F14,'06.08 Palabek-Atiak'!F14,'02.08 Palabek-Atiak-24h'!F14,'03.08 Palabek-Atiak-24h'!F14,'04.08 Palabek-Atiak'!F14)</f>
        <v>0</v>
      </c>
      <c r="G14" s="49">
        <f>AVERAGE('31.07 Palabek-Atiak'!G14,'01.08 Palabek-Atiak'!G14,'05.08 Palabek-Atiak'!G14,'06.08 Palabek-Atiak'!G14,'02.08 Palabek-Atiak-24h'!G14,'03.08 Palabek-Atiak-24h'!G14,'04.08 Palabek-Atiak'!G14)</f>
        <v>0</v>
      </c>
      <c r="H14" s="49">
        <f>AVERAGE('31.07 Palabek-Atiak'!H14,'01.08 Palabek-Atiak'!H14,'05.08 Palabek-Atiak'!H14,'06.08 Palabek-Atiak'!H14,'02.08 Palabek-Atiak-24h'!H14,'03.08 Palabek-Atiak-24h'!H14,'04.08 Palabek-Atiak'!H14)</f>
        <v>0</v>
      </c>
      <c r="I14" s="49">
        <f>AVERAGE('31.07 Palabek-Atiak'!I14,'01.08 Palabek-Atiak'!I14,'05.08 Palabek-Atiak'!I14,'06.08 Palabek-Atiak'!I14,'02.08 Palabek-Atiak-24h'!I14,'03.08 Palabek-Atiak-24h'!I14,'04.08 Palabek-Atiak'!I14)</f>
        <v>0.42857142857142855</v>
      </c>
      <c r="J14" s="49">
        <f>AVERAGE('31.07 Palabek-Atiak'!J14,'01.08 Palabek-Atiak'!J14,'05.08 Palabek-Atiak'!J14,'06.08 Palabek-Atiak'!J14,'02.08 Palabek-Atiak-24h'!J14,'03.08 Palabek-Atiak-24h'!J14,'04.08 Palabek-Atiak'!J14)</f>
        <v>0</v>
      </c>
      <c r="K14" s="49">
        <f>AVERAGE('31.07 Palabek-Atiak'!K14,'01.08 Palabek-Atiak'!K14,'05.08 Palabek-Atiak'!K14,'06.08 Palabek-Atiak'!K14,'02.08 Palabek-Atiak-24h'!K14,'03.08 Palabek-Atiak-24h'!K14,'04.08 Palabek-Atiak'!K14)</f>
        <v>0</v>
      </c>
      <c r="L14" s="49">
        <f>AVERAGE('31.07 Palabek-Atiak'!L14,'01.08 Palabek-Atiak'!L14,'05.08 Palabek-Atiak'!L14,'06.08 Palabek-Atiak'!L14,'02.08 Palabek-Atiak-24h'!L14,'03.08 Palabek-Atiak-24h'!L14,'04.08 Palabek-Atiak'!L14)</f>
        <v>0</v>
      </c>
      <c r="M14" s="49">
        <f>AVERAGE('31.07 Palabek-Atiak'!M14,'01.08 Palabek-Atiak'!M14,'05.08 Palabek-Atiak'!M14,'06.08 Palabek-Atiak'!M14,'02.08 Palabek-Atiak-24h'!M14,'03.08 Palabek-Atiak-24h'!M14,'04.08 Palabek-Atiak'!M14)</f>
        <v>2.1428571428571428</v>
      </c>
      <c r="N14" s="49">
        <f>AVERAGE('31.07 Palabek-Atiak'!N14,'01.08 Palabek-Atiak'!N14,'05.08 Palabek-Atiak'!N14,'06.08 Palabek-Atiak'!N14,'02.08 Palabek-Atiak-24h'!N14,'03.08 Palabek-Atiak-24h'!N14,'04.08 Palabek-Atiak'!N14)</f>
        <v>0</v>
      </c>
      <c r="O14" s="15">
        <f t="shared" si="0"/>
        <v>0.42857142857142855</v>
      </c>
      <c r="P14" s="15">
        <f t="shared" si="1"/>
        <v>2.5714285714285712</v>
      </c>
      <c r="R14" s="1" t="s">
        <v>10</v>
      </c>
      <c r="S14" s="17">
        <f t="shared" ref="S14:AF14" si="6">SUM(C26:C29)</f>
        <v>0.5714285714285714</v>
      </c>
      <c r="T14" s="17">
        <f t="shared" si="6"/>
        <v>0</v>
      </c>
      <c r="U14" s="17">
        <f t="shared" si="6"/>
        <v>0.71428571428571419</v>
      </c>
      <c r="V14" s="17">
        <f t="shared" si="6"/>
        <v>1.857142857142857</v>
      </c>
      <c r="W14" s="17">
        <f t="shared" si="6"/>
        <v>0</v>
      </c>
      <c r="X14" s="17">
        <f t="shared" si="6"/>
        <v>0</v>
      </c>
      <c r="Y14" s="17">
        <f t="shared" si="6"/>
        <v>2.1428571428571428</v>
      </c>
      <c r="Z14" s="17">
        <f t="shared" si="6"/>
        <v>0</v>
      </c>
      <c r="AA14" s="17">
        <f t="shared" si="6"/>
        <v>0</v>
      </c>
      <c r="AB14" s="17">
        <f t="shared" si="6"/>
        <v>1.2857142857142856</v>
      </c>
      <c r="AC14" s="17">
        <f t="shared" si="6"/>
        <v>13.142857142857142</v>
      </c>
      <c r="AD14" s="17">
        <f t="shared" si="6"/>
        <v>0</v>
      </c>
      <c r="AE14" s="31">
        <f t="shared" si="6"/>
        <v>6.5714285714285712</v>
      </c>
      <c r="AF14" s="31">
        <f t="shared" si="6"/>
        <v>19.714285714285715</v>
      </c>
    </row>
    <row r="15" spans="2:32" ht="23.1" customHeight="1" x14ac:dyDescent="0.25">
      <c r="B15" s="23" t="s">
        <v>42</v>
      </c>
      <c r="C15" s="49">
        <f>AVERAGE('31.07 Palabek-Atiak'!C15,'01.08 Palabek-Atiak'!C15,'05.08 Palabek-Atiak'!C15,'06.08 Palabek-Atiak'!C15,'02.08 Palabek-Atiak-24h'!C15,'03.08 Palabek-Atiak-24h'!C15,'04.08 Palabek-Atiak'!C15)</f>
        <v>0</v>
      </c>
      <c r="D15" s="49">
        <f>AVERAGE('31.07 Palabek-Atiak'!D15,'01.08 Palabek-Atiak'!D15,'05.08 Palabek-Atiak'!D15,'06.08 Palabek-Atiak'!D15,'02.08 Palabek-Atiak-24h'!D15,'03.08 Palabek-Atiak-24h'!D15,'04.08 Palabek-Atiak'!D15)</f>
        <v>0</v>
      </c>
      <c r="E15" s="49">
        <f>AVERAGE('31.07 Palabek-Atiak'!E15,'01.08 Palabek-Atiak'!E15,'05.08 Palabek-Atiak'!E15,'06.08 Palabek-Atiak'!E15,'02.08 Palabek-Atiak-24h'!E15,'03.08 Palabek-Atiak-24h'!E15,'04.08 Palabek-Atiak'!E15)</f>
        <v>0</v>
      </c>
      <c r="F15" s="49">
        <f>AVERAGE('31.07 Palabek-Atiak'!F15,'01.08 Palabek-Atiak'!F15,'05.08 Palabek-Atiak'!F15,'06.08 Palabek-Atiak'!F15,'02.08 Palabek-Atiak-24h'!F15,'03.08 Palabek-Atiak-24h'!F15,'04.08 Palabek-Atiak'!F15)</f>
        <v>0</v>
      </c>
      <c r="G15" s="49">
        <f>AVERAGE('31.07 Palabek-Atiak'!G15,'01.08 Palabek-Atiak'!G15,'05.08 Palabek-Atiak'!G15,'06.08 Palabek-Atiak'!G15,'02.08 Palabek-Atiak-24h'!G15,'03.08 Palabek-Atiak-24h'!G15,'04.08 Palabek-Atiak'!G15)</f>
        <v>0</v>
      </c>
      <c r="H15" s="49">
        <f>AVERAGE('31.07 Palabek-Atiak'!H15,'01.08 Palabek-Atiak'!H15,'05.08 Palabek-Atiak'!H15,'06.08 Palabek-Atiak'!H15,'02.08 Palabek-Atiak-24h'!H15,'03.08 Palabek-Atiak-24h'!H15,'04.08 Palabek-Atiak'!H15)</f>
        <v>0</v>
      </c>
      <c r="I15" s="49">
        <f>AVERAGE('31.07 Palabek-Atiak'!I15,'01.08 Palabek-Atiak'!I15,'05.08 Palabek-Atiak'!I15,'06.08 Palabek-Atiak'!I15,'02.08 Palabek-Atiak-24h'!I15,'03.08 Palabek-Atiak-24h'!I15,'04.08 Palabek-Atiak'!I15)</f>
        <v>0.14285714285714285</v>
      </c>
      <c r="J15" s="49">
        <f>AVERAGE('31.07 Palabek-Atiak'!J15,'01.08 Palabek-Atiak'!J15,'05.08 Palabek-Atiak'!J15,'06.08 Palabek-Atiak'!J15,'02.08 Palabek-Atiak-24h'!J15,'03.08 Palabek-Atiak-24h'!J15,'04.08 Palabek-Atiak'!J15)</f>
        <v>0</v>
      </c>
      <c r="K15" s="49">
        <f>AVERAGE('31.07 Palabek-Atiak'!K15,'01.08 Palabek-Atiak'!K15,'05.08 Palabek-Atiak'!K15,'06.08 Palabek-Atiak'!K15,'02.08 Palabek-Atiak-24h'!K15,'03.08 Palabek-Atiak-24h'!K15,'04.08 Palabek-Atiak'!K15)</f>
        <v>0</v>
      </c>
      <c r="L15" s="49">
        <f>AVERAGE('31.07 Palabek-Atiak'!L15,'01.08 Palabek-Atiak'!L15,'05.08 Palabek-Atiak'!L15,'06.08 Palabek-Atiak'!L15,'02.08 Palabek-Atiak-24h'!L15,'03.08 Palabek-Atiak-24h'!L15,'04.08 Palabek-Atiak'!L15)</f>
        <v>0</v>
      </c>
      <c r="M15" s="49">
        <f>AVERAGE('31.07 Palabek-Atiak'!M15,'01.08 Palabek-Atiak'!M15,'05.08 Palabek-Atiak'!M15,'06.08 Palabek-Atiak'!M15,'02.08 Palabek-Atiak-24h'!M15,'03.08 Palabek-Atiak-24h'!M15,'04.08 Palabek-Atiak'!M15)</f>
        <v>2.5714285714285716</v>
      </c>
      <c r="N15" s="49">
        <f>AVERAGE('31.07 Palabek-Atiak'!N15,'01.08 Palabek-Atiak'!N15,'05.08 Palabek-Atiak'!N15,'06.08 Palabek-Atiak'!N15,'02.08 Palabek-Atiak-24h'!N15,'03.08 Palabek-Atiak-24h'!N15,'04.08 Palabek-Atiak'!N15)</f>
        <v>0</v>
      </c>
      <c r="O15" s="15">
        <f t="shared" si="0"/>
        <v>0.14285714285714285</v>
      </c>
      <c r="P15" s="15">
        <f t="shared" si="1"/>
        <v>2.7142857142857144</v>
      </c>
      <c r="R15" s="1" t="s">
        <v>11</v>
      </c>
      <c r="S15" s="17">
        <f t="shared" ref="S15:AF15" si="7">SUM(C30:C33)</f>
        <v>0.2857142857142857</v>
      </c>
      <c r="T15" s="17">
        <f t="shared" si="7"/>
        <v>0</v>
      </c>
      <c r="U15" s="17">
        <f t="shared" si="7"/>
        <v>1</v>
      </c>
      <c r="V15" s="17">
        <f t="shared" si="7"/>
        <v>0.85714285714285698</v>
      </c>
      <c r="W15" s="17">
        <f t="shared" si="7"/>
        <v>0</v>
      </c>
      <c r="X15" s="17">
        <f t="shared" si="7"/>
        <v>0</v>
      </c>
      <c r="Y15" s="17">
        <f t="shared" si="7"/>
        <v>0.99999999999999989</v>
      </c>
      <c r="Z15" s="17">
        <f t="shared" si="7"/>
        <v>0</v>
      </c>
      <c r="AA15" s="17">
        <f t="shared" si="7"/>
        <v>0</v>
      </c>
      <c r="AB15" s="17">
        <f t="shared" si="7"/>
        <v>2.714285714285714</v>
      </c>
      <c r="AC15" s="17">
        <f t="shared" si="7"/>
        <v>12</v>
      </c>
      <c r="AD15" s="17">
        <f t="shared" si="7"/>
        <v>0</v>
      </c>
      <c r="AE15" s="31">
        <f t="shared" si="7"/>
        <v>5.8571428571428559</v>
      </c>
      <c r="AF15" s="31">
        <f t="shared" si="7"/>
        <v>17.857142857142854</v>
      </c>
    </row>
    <row r="16" spans="2:32" ht="23.1" customHeight="1" x14ac:dyDescent="0.25">
      <c r="B16" s="23" t="s">
        <v>43</v>
      </c>
      <c r="C16" s="49">
        <f>AVERAGE('31.07 Palabek-Atiak'!C16,'01.08 Palabek-Atiak'!C16,'05.08 Palabek-Atiak'!C16,'06.08 Palabek-Atiak'!C16,'02.08 Palabek-Atiak-24h'!C16,'03.08 Palabek-Atiak-24h'!C16,'04.08 Palabek-Atiak'!C16)</f>
        <v>0.14285714285714285</v>
      </c>
      <c r="D16" s="49">
        <f>AVERAGE('31.07 Palabek-Atiak'!D16,'01.08 Palabek-Atiak'!D16,'05.08 Palabek-Atiak'!D16,'06.08 Palabek-Atiak'!D16,'02.08 Palabek-Atiak-24h'!D16,'03.08 Palabek-Atiak-24h'!D16,'04.08 Palabek-Atiak'!D16)</f>
        <v>0</v>
      </c>
      <c r="E16" s="49">
        <f>AVERAGE('31.07 Palabek-Atiak'!E16,'01.08 Palabek-Atiak'!E16,'05.08 Palabek-Atiak'!E16,'06.08 Palabek-Atiak'!E16,'02.08 Palabek-Atiak-24h'!E16,'03.08 Palabek-Atiak-24h'!E16,'04.08 Palabek-Atiak'!E16)</f>
        <v>0.14285714285714285</v>
      </c>
      <c r="F16" s="49">
        <f>AVERAGE('31.07 Palabek-Atiak'!F16,'01.08 Palabek-Atiak'!F16,'05.08 Palabek-Atiak'!F16,'06.08 Palabek-Atiak'!F16,'02.08 Palabek-Atiak-24h'!F16,'03.08 Palabek-Atiak-24h'!F16,'04.08 Palabek-Atiak'!F16)</f>
        <v>0.14285714285714285</v>
      </c>
      <c r="G16" s="49">
        <f>AVERAGE('31.07 Palabek-Atiak'!G16,'01.08 Palabek-Atiak'!G16,'05.08 Palabek-Atiak'!G16,'06.08 Palabek-Atiak'!G16,'02.08 Palabek-Atiak-24h'!G16,'03.08 Palabek-Atiak-24h'!G16,'04.08 Palabek-Atiak'!G16)</f>
        <v>0</v>
      </c>
      <c r="H16" s="49">
        <f>AVERAGE('31.07 Palabek-Atiak'!H16,'01.08 Palabek-Atiak'!H16,'05.08 Palabek-Atiak'!H16,'06.08 Palabek-Atiak'!H16,'02.08 Palabek-Atiak-24h'!H16,'03.08 Palabek-Atiak-24h'!H16,'04.08 Palabek-Atiak'!H16)</f>
        <v>0</v>
      </c>
      <c r="I16" s="49">
        <f>AVERAGE('31.07 Palabek-Atiak'!I16,'01.08 Palabek-Atiak'!I16,'05.08 Palabek-Atiak'!I16,'06.08 Palabek-Atiak'!I16,'02.08 Palabek-Atiak-24h'!I16,'03.08 Palabek-Atiak-24h'!I16,'04.08 Palabek-Atiak'!I16)</f>
        <v>0</v>
      </c>
      <c r="J16" s="49">
        <f>AVERAGE('31.07 Palabek-Atiak'!J16,'01.08 Palabek-Atiak'!J16,'05.08 Palabek-Atiak'!J16,'06.08 Palabek-Atiak'!J16,'02.08 Palabek-Atiak-24h'!J16,'03.08 Palabek-Atiak-24h'!J16,'04.08 Palabek-Atiak'!J16)</f>
        <v>0</v>
      </c>
      <c r="K16" s="49">
        <f>AVERAGE('31.07 Palabek-Atiak'!K16,'01.08 Palabek-Atiak'!K16,'05.08 Palabek-Atiak'!K16,'06.08 Palabek-Atiak'!K16,'02.08 Palabek-Atiak-24h'!K16,'03.08 Palabek-Atiak-24h'!K16,'04.08 Palabek-Atiak'!K16)</f>
        <v>0</v>
      </c>
      <c r="L16" s="49">
        <f>AVERAGE('31.07 Palabek-Atiak'!L16,'01.08 Palabek-Atiak'!L16,'05.08 Palabek-Atiak'!L16,'06.08 Palabek-Atiak'!L16,'02.08 Palabek-Atiak-24h'!L16,'03.08 Palabek-Atiak-24h'!L16,'04.08 Palabek-Atiak'!L16)</f>
        <v>0.2857142857142857</v>
      </c>
      <c r="M16" s="49">
        <f>AVERAGE('31.07 Palabek-Atiak'!M16,'01.08 Palabek-Atiak'!M16,'05.08 Palabek-Atiak'!M16,'06.08 Palabek-Atiak'!M16,'02.08 Palabek-Atiak-24h'!M16,'03.08 Palabek-Atiak-24h'!M16,'04.08 Palabek-Atiak'!M16)</f>
        <v>1.7142857142857142</v>
      </c>
      <c r="N16" s="49">
        <f>AVERAGE('31.07 Palabek-Atiak'!N16,'01.08 Palabek-Atiak'!N16,'05.08 Palabek-Atiak'!N16,'06.08 Palabek-Atiak'!N16,'02.08 Palabek-Atiak-24h'!N16,'03.08 Palabek-Atiak-24h'!N16,'04.08 Palabek-Atiak'!N16)</f>
        <v>0</v>
      </c>
      <c r="O16" s="15">
        <f t="shared" si="0"/>
        <v>0.71428571428571419</v>
      </c>
      <c r="P16" s="15">
        <f t="shared" si="1"/>
        <v>2.4285714285714284</v>
      </c>
      <c r="R16" s="1" t="s">
        <v>12</v>
      </c>
      <c r="S16" s="17">
        <f t="shared" ref="S16:AF16" si="8">SUM(C34:C37)</f>
        <v>0.2857142857142857</v>
      </c>
      <c r="T16" s="17">
        <f t="shared" si="8"/>
        <v>0</v>
      </c>
      <c r="U16" s="17">
        <f t="shared" si="8"/>
        <v>1.1428571428571428</v>
      </c>
      <c r="V16" s="17">
        <f t="shared" si="8"/>
        <v>0.5714285714285714</v>
      </c>
      <c r="W16" s="17">
        <f t="shared" si="8"/>
        <v>0</v>
      </c>
      <c r="X16" s="17">
        <f t="shared" si="8"/>
        <v>0</v>
      </c>
      <c r="Y16" s="17">
        <f t="shared" si="8"/>
        <v>1.1428571428571428</v>
      </c>
      <c r="Z16" s="17">
        <f t="shared" si="8"/>
        <v>0.2857142857142857</v>
      </c>
      <c r="AA16" s="17">
        <f t="shared" si="8"/>
        <v>0</v>
      </c>
      <c r="AB16" s="17">
        <f t="shared" si="8"/>
        <v>1</v>
      </c>
      <c r="AC16" s="17">
        <f t="shared" si="8"/>
        <v>12.285714285714285</v>
      </c>
      <c r="AD16" s="17">
        <f t="shared" si="8"/>
        <v>0</v>
      </c>
      <c r="AE16" s="31">
        <f t="shared" si="8"/>
        <v>4.4285714285714279</v>
      </c>
      <c r="AF16" s="31">
        <f t="shared" si="8"/>
        <v>16.714285714285715</v>
      </c>
    </row>
    <row r="17" spans="2:32" ht="23.1" customHeight="1" x14ac:dyDescent="0.25">
      <c r="B17" s="23" t="s">
        <v>44</v>
      </c>
      <c r="C17" s="49">
        <f>AVERAGE('31.07 Palabek-Atiak'!C17,'01.08 Palabek-Atiak'!C17,'05.08 Palabek-Atiak'!C17,'06.08 Palabek-Atiak'!C17,'02.08 Palabek-Atiak-24h'!C17,'03.08 Palabek-Atiak-24h'!C17,'04.08 Palabek-Atiak'!C17)</f>
        <v>0</v>
      </c>
      <c r="D17" s="49">
        <f>AVERAGE('31.07 Palabek-Atiak'!D17,'01.08 Palabek-Atiak'!D17,'05.08 Palabek-Atiak'!D17,'06.08 Palabek-Atiak'!D17,'02.08 Palabek-Atiak-24h'!D17,'03.08 Palabek-Atiak-24h'!D17,'04.08 Palabek-Atiak'!D17)</f>
        <v>0</v>
      </c>
      <c r="E17" s="49">
        <f>AVERAGE('31.07 Palabek-Atiak'!E17,'01.08 Palabek-Atiak'!E17,'05.08 Palabek-Atiak'!E17,'06.08 Palabek-Atiak'!E17,'02.08 Palabek-Atiak-24h'!E17,'03.08 Palabek-Atiak-24h'!E17,'04.08 Palabek-Atiak'!E17)</f>
        <v>0</v>
      </c>
      <c r="F17" s="49">
        <f>AVERAGE('31.07 Palabek-Atiak'!F17,'01.08 Palabek-Atiak'!F17,'05.08 Palabek-Atiak'!F17,'06.08 Palabek-Atiak'!F17,'02.08 Palabek-Atiak-24h'!F17,'03.08 Palabek-Atiak-24h'!F17,'04.08 Palabek-Atiak'!F17)</f>
        <v>0.14285714285714285</v>
      </c>
      <c r="G17" s="49">
        <f>AVERAGE('31.07 Palabek-Atiak'!G17,'01.08 Palabek-Atiak'!G17,'05.08 Palabek-Atiak'!G17,'06.08 Palabek-Atiak'!G17,'02.08 Palabek-Atiak-24h'!G17,'03.08 Palabek-Atiak-24h'!G17,'04.08 Palabek-Atiak'!G17)</f>
        <v>0</v>
      </c>
      <c r="H17" s="49">
        <f>AVERAGE('31.07 Palabek-Atiak'!H17,'01.08 Palabek-Atiak'!H17,'05.08 Palabek-Atiak'!H17,'06.08 Palabek-Atiak'!H17,'02.08 Palabek-Atiak-24h'!H17,'03.08 Palabek-Atiak-24h'!H17,'04.08 Palabek-Atiak'!H17)</f>
        <v>0</v>
      </c>
      <c r="I17" s="49">
        <f>AVERAGE('31.07 Palabek-Atiak'!I17,'01.08 Palabek-Atiak'!I17,'05.08 Palabek-Atiak'!I17,'06.08 Palabek-Atiak'!I17,'02.08 Palabek-Atiak-24h'!I17,'03.08 Palabek-Atiak-24h'!I17,'04.08 Palabek-Atiak'!I17)</f>
        <v>0.2857142857142857</v>
      </c>
      <c r="J17" s="49">
        <f>AVERAGE('31.07 Palabek-Atiak'!J17,'01.08 Palabek-Atiak'!J17,'05.08 Palabek-Atiak'!J17,'06.08 Palabek-Atiak'!J17,'02.08 Palabek-Atiak-24h'!J17,'03.08 Palabek-Atiak-24h'!J17,'04.08 Palabek-Atiak'!J17)</f>
        <v>0</v>
      </c>
      <c r="K17" s="49">
        <f>AVERAGE('31.07 Palabek-Atiak'!K17,'01.08 Palabek-Atiak'!K17,'05.08 Palabek-Atiak'!K17,'06.08 Palabek-Atiak'!K17,'02.08 Palabek-Atiak-24h'!K17,'03.08 Palabek-Atiak-24h'!K17,'04.08 Palabek-Atiak'!K17)</f>
        <v>0</v>
      </c>
      <c r="L17" s="49">
        <f>AVERAGE('31.07 Palabek-Atiak'!L17,'01.08 Palabek-Atiak'!L17,'05.08 Palabek-Atiak'!L17,'06.08 Palabek-Atiak'!L17,'02.08 Palabek-Atiak-24h'!L17,'03.08 Palabek-Atiak-24h'!L17,'04.08 Palabek-Atiak'!L17)</f>
        <v>0.2857142857142857</v>
      </c>
      <c r="M17" s="49">
        <f>AVERAGE('31.07 Palabek-Atiak'!M17,'01.08 Palabek-Atiak'!M17,'05.08 Palabek-Atiak'!M17,'06.08 Palabek-Atiak'!M17,'02.08 Palabek-Atiak-24h'!M17,'03.08 Palabek-Atiak-24h'!M17,'04.08 Palabek-Atiak'!M17)</f>
        <v>2.7142857142857144</v>
      </c>
      <c r="N17" s="49">
        <f>AVERAGE('31.07 Palabek-Atiak'!N17,'01.08 Palabek-Atiak'!N17,'05.08 Palabek-Atiak'!N17,'06.08 Palabek-Atiak'!N17,'02.08 Palabek-Atiak-24h'!N17,'03.08 Palabek-Atiak-24h'!N17,'04.08 Palabek-Atiak'!N17)</f>
        <v>0</v>
      </c>
      <c r="O17" s="15">
        <f t="shared" si="0"/>
        <v>0.71428571428571419</v>
      </c>
      <c r="P17" s="15">
        <f t="shared" si="1"/>
        <v>3.4285714285714288</v>
      </c>
      <c r="R17" s="1" t="s">
        <v>13</v>
      </c>
      <c r="S17" s="17">
        <f t="shared" ref="S17:AF17" si="9">SUM(C38:C41)</f>
        <v>0.5714285714285714</v>
      </c>
      <c r="T17" s="17">
        <f t="shared" si="9"/>
        <v>0</v>
      </c>
      <c r="U17" s="17">
        <f t="shared" si="9"/>
        <v>0.85714285714285698</v>
      </c>
      <c r="V17" s="17">
        <f t="shared" si="9"/>
        <v>0.85714285714285698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1.2857142857142858</v>
      </c>
      <c r="AC17" s="17">
        <f t="shared" si="9"/>
        <v>16.428571428571431</v>
      </c>
      <c r="AD17" s="17">
        <f t="shared" si="9"/>
        <v>0</v>
      </c>
      <c r="AE17" s="31">
        <f t="shared" si="9"/>
        <v>5.5714285714285712</v>
      </c>
      <c r="AF17" s="31">
        <f t="shared" si="9"/>
        <v>22</v>
      </c>
    </row>
    <row r="18" spans="2:32" ht="23.1" customHeight="1" x14ac:dyDescent="0.25">
      <c r="B18" s="23" t="s">
        <v>45</v>
      </c>
      <c r="C18" s="49">
        <f>AVERAGE('31.07 Palabek-Atiak'!C18,'01.08 Palabek-Atiak'!C18,'05.08 Palabek-Atiak'!C18,'06.08 Palabek-Atiak'!C18,'02.08 Palabek-Atiak-24h'!C18,'03.08 Palabek-Atiak-24h'!C18,'04.08 Palabek-Atiak'!C18)</f>
        <v>0</v>
      </c>
      <c r="D18" s="49">
        <f>AVERAGE('31.07 Palabek-Atiak'!D18,'01.08 Palabek-Atiak'!D18,'05.08 Palabek-Atiak'!D18,'06.08 Palabek-Atiak'!D18,'02.08 Palabek-Atiak-24h'!D18,'03.08 Palabek-Atiak-24h'!D18,'04.08 Palabek-Atiak'!D18)</f>
        <v>0</v>
      </c>
      <c r="E18" s="49">
        <f>AVERAGE('31.07 Palabek-Atiak'!E18,'01.08 Palabek-Atiak'!E18,'05.08 Palabek-Atiak'!E18,'06.08 Palabek-Atiak'!E18,'02.08 Palabek-Atiak-24h'!E18,'03.08 Palabek-Atiak-24h'!E18,'04.08 Palabek-Atiak'!E18)</f>
        <v>0.14285714285714285</v>
      </c>
      <c r="F18" s="49">
        <f>AVERAGE('31.07 Palabek-Atiak'!F18,'01.08 Palabek-Atiak'!F18,'05.08 Palabek-Atiak'!F18,'06.08 Palabek-Atiak'!F18,'02.08 Palabek-Atiak-24h'!F18,'03.08 Palabek-Atiak-24h'!F18,'04.08 Palabek-Atiak'!F18)</f>
        <v>0.42857142857142855</v>
      </c>
      <c r="G18" s="49">
        <f>AVERAGE('31.07 Palabek-Atiak'!G18,'01.08 Palabek-Atiak'!G18,'05.08 Palabek-Atiak'!G18,'06.08 Palabek-Atiak'!G18,'02.08 Palabek-Atiak-24h'!G18,'03.08 Palabek-Atiak-24h'!G18,'04.08 Palabek-Atiak'!G18)</f>
        <v>0</v>
      </c>
      <c r="H18" s="49">
        <f>AVERAGE('31.07 Palabek-Atiak'!H18,'01.08 Palabek-Atiak'!H18,'05.08 Palabek-Atiak'!H18,'06.08 Palabek-Atiak'!H18,'02.08 Palabek-Atiak-24h'!H18,'03.08 Palabek-Atiak-24h'!H18,'04.08 Palabek-Atiak'!H18)</f>
        <v>0</v>
      </c>
      <c r="I18" s="49">
        <f>AVERAGE('31.07 Palabek-Atiak'!I18,'01.08 Palabek-Atiak'!I18,'05.08 Palabek-Atiak'!I18,'06.08 Palabek-Atiak'!I18,'02.08 Palabek-Atiak-24h'!I18,'03.08 Palabek-Atiak-24h'!I18,'04.08 Palabek-Atiak'!I18)</f>
        <v>0.14285714285714285</v>
      </c>
      <c r="J18" s="49">
        <f>AVERAGE('31.07 Palabek-Atiak'!J18,'01.08 Palabek-Atiak'!J18,'05.08 Palabek-Atiak'!J18,'06.08 Palabek-Atiak'!J18,'02.08 Palabek-Atiak-24h'!J18,'03.08 Palabek-Atiak-24h'!J18,'04.08 Palabek-Atiak'!J18)</f>
        <v>0</v>
      </c>
      <c r="K18" s="49">
        <f>AVERAGE('31.07 Palabek-Atiak'!K18,'01.08 Palabek-Atiak'!K18,'05.08 Palabek-Atiak'!K18,'06.08 Palabek-Atiak'!K18,'02.08 Palabek-Atiak-24h'!K18,'03.08 Palabek-Atiak-24h'!K18,'04.08 Palabek-Atiak'!K18)</f>
        <v>0</v>
      </c>
      <c r="L18" s="49">
        <f>AVERAGE('31.07 Palabek-Atiak'!L18,'01.08 Palabek-Atiak'!L18,'05.08 Palabek-Atiak'!L18,'06.08 Palabek-Atiak'!L18,'02.08 Palabek-Atiak-24h'!L18,'03.08 Palabek-Atiak-24h'!L18,'04.08 Palabek-Atiak'!L18)</f>
        <v>0.42857142857142855</v>
      </c>
      <c r="M18" s="49">
        <f>AVERAGE('31.07 Palabek-Atiak'!M18,'01.08 Palabek-Atiak'!M18,'05.08 Palabek-Atiak'!M18,'06.08 Palabek-Atiak'!M18,'02.08 Palabek-Atiak-24h'!M18,'03.08 Palabek-Atiak-24h'!M18,'04.08 Palabek-Atiak'!M18)</f>
        <v>3.4285714285714284</v>
      </c>
      <c r="N18" s="49">
        <f>AVERAGE('31.07 Palabek-Atiak'!N18,'01.08 Palabek-Atiak'!N18,'05.08 Palabek-Atiak'!N18,'06.08 Palabek-Atiak'!N18,'02.08 Palabek-Atiak-24h'!N18,'03.08 Palabek-Atiak-24h'!N18,'04.08 Palabek-Atiak'!N18)</f>
        <v>0</v>
      </c>
      <c r="O18" s="15">
        <f t="shared" si="0"/>
        <v>1.1428571428571428</v>
      </c>
      <c r="P18" s="15">
        <f t="shared" si="1"/>
        <v>4.5714285714285712</v>
      </c>
      <c r="R18" s="1" t="s">
        <v>14</v>
      </c>
      <c r="S18" s="17">
        <f t="shared" ref="S18:AF18" si="10">SUM(C42:C45)</f>
        <v>0.14285714285714285</v>
      </c>
      <c r="T18" s="17">
        <f t="shared" si="10"/>
        <v>0</v>
      </c>
      <c r="U18" s="17">
        <f t="shared" si="10"/>
        <v>0.42857142857142855</v>
      </c>
      <c r="V18" s="17">
        <f t="shared" si="10"/>
        <v>0.71428571428571419</v>
      </c>
      <c r="W18" s="17">
        <f t="shared" si="10"/>
        <v>0</v>
      </c>
      <c r="X18" s="17">
        <f t="shared" si="10"/>
        <v>0.2857142857142857</v>
      </c>
      <c r="Y18" s="17">
        <f t="shared" si="10"/>
        <v>0.8571428571428571</v>
      </c>
      <c r="Z18" s="17">
        <f t="shared" si="10"/>
        <v>0.2857142857142857</v>
      </c>
      <c r="AA18" s="17">
        <f t="shared" si="10"/>
        <v>0</v>
      </c>
      <c r="AB18" s="17">
        <f t="shared" si="10"/>
        <v>1.7142857142857144</v>
      </c>
      <c r="AC18" s="17">
        <f t="shared" si="10"/>
        <v>12.857142857142858</v>
      </c>
      <c r="AD18" s="17">
        <f t="shared" si="10"/>
        <v>0</v>
      </c>
      <c r="AE18" s="31">
        <f t="shared" si="10"/>
        <v>4.4285714285714288</v>
      </c>
      <c r="AF18" s="31">
        <f t="shared" si="10"/>
        <v>17.285714285714285</v>
      </c>
    </row>
    <row r="19" spans="2:32" ht="23.1" customHeight="1" x14ac:dyDescent="0.25">
      <c r="B19" s="23" t="s">
        <v>46</v>
      </c>
      <c r="C19" s="49">
        <f>AVERAGE('31.07 Palabek-Atiak'!C19,'01.08 Palabek-Atiak'!C19,'05.08 Palabek-Atiak'!C19,'06.08 Palabek-Atiak'!C19,'02.08 Palabek-Atiak-24h'!C19,'03.08 Palabek-Atiak-24h'!C19,'04.08 Palabek-Atiak'!C19)</f>
        <v>0.14285714285714285</v>
      </c>
      <c r="D19" s="49">
        <f>AVERAGE('31.07 Palabek-Atiak'!D19,'01.08 Palabek-Atiak'!D19,'05.08 Palabek-Atiak'!D19,'06.08 Palabek-Atiak'!D19,'02.08 Palabek-Atiak-24h'!D19,'03.08 Palabek-Atiak-24h'!D19,'04.08 Palabek-Atiak'!D19)</f>
        <v>0</v>
      </c>
      <c r="E19" s="49">
        <f>AVERAGE('31.07 Palabek-Atiak'!E19,'01.08 Palabek-Atiak'!E19,'05.08 Palabek-Atiak'!E19,'06.08 Palabek-Atiak'!E19,'02.08 Palabek-Atiak-24h'!E19,'03.08 Palabek-Atiak-24h'!E19,'04.08 Palabek-Atiak'!E19)</f>
        <v>0</v>
      </c>
      <c r="F19" s="49">
        <f>AVERAGE('31.07 Palabek-Atiak'!F19,'01.08 Palabek-Atiak'!F19,'05.08 Palabek-Atiak'!F19,'06.08 Palabek-Atiak'!F19,'02.08 Palabek-Atiak-24h'!F19,'03.08 Palabek-Atiak-24h'!F19,'04.08 Palabek-Atiak'!F19)</f>
        <v>0.14285714285714285</v>
      </c>
      <c r="G19" s="49">
        <f>AVERAGE('31.07 Palabek-Atiak'!G19,'01.08 Palabek-Atiak'!G19,'05.08 Palabek-Atiak'!G19,'06.08 Palabek-Atiak'!G19,'02.08 Palabek-Atiak-24h'!G19,'03.08 Palabek-Atiak-24h'!G19,'04.08 Palabek-Atiak'!G19)</f>
        <v>0</v>
      </c>
      <c r="H19" s="49">
        <f>AVERAGE('31.07 Palabek-Atiak'!H19,'01.08 Palabek-Atiak'!H19,'05.08 Palabek-Atiak'!H19,'06.08 Palabek-Atiak'!H19,'02.08 Palabek-Atiak-24h'!H19,'03.08 Palabek-Atiak-24h'!H19,'04.08 Palabek-Atiak'!H19)</f>
        <v>0</v>
      </c>
      <c r="I19" s="49">
        <f>AVERAGE('31.07 Palabek-Atiak'!I19,'01.08 Palabek-Atiak'!I19,'05.08 Palabek-Atiak'!I19,'06.08 Palabek-Atiak'!I19,'02.08 Palabek-Atiak-24h'!I19,'03.08 Palabek-Atiak-24h'!I19,'04.08 Palabek-Atiak'!I19)</f>
        <v>0</v>
      </c>
      <c r="J19" s="49">
        <f>AVERAGE('31.07 Palabek-Atiak'!J19,'01.08 Palabek-Atiak'!J19,'05.08 Palabek-Atiak'!J19,'06.08 Palabek-Atiak'!J19,'02.08 Palabek-Atiak-24h'!J19,'03.08 Palabek-Atiak-24h'!J19,'04.08 Palabek-Atiak'!J19)</f>
        <v>0</v>
      </c>
      <c r="K19" s="49">
        <f>AVERAGE('31.07 Palabek-Atiak'!K19,'01.08 Palabek-Atiak'!K19,'05.08 Palabek-Atiak'!K19,'06.08 Palabek-Atiak'!K19,'02.08 Palabek-Atiak-24h'!K19,'03.08 Palabek-Atiak-24h'!K19,'04.08 Palabek-Atiak'!K19)</f>
        <v>0</v>
      </c>
      <c r="L19" s="49">
        <f>AVERAGE('31.07 Palabek-Atiak'!L19,'01.08 Palabek-Atiak'!L19,'05.08 Palabek-Atiak'!L19,'06.08 Palabek-Atiak'!L19,'02.08 Palabek-Atiak-24h'!L19,'03.08 Palabek-Atiak-24h'!L19,'04.08 Palabek-Atiak'!L19)</f>
        <v>0</v>
      </c>
      <c r="M19" s="49">
        <f>AVERAGE('31.07 Palabek-Atiak'!M19,'01.08 Palabek-Atiak'!M19,'05.08 Palabek-Atiak'!M19,'06.08 Palabek-Atiak'!M19,'02.08 Palabek-Atiak-24h'!M19,'03.08 Palabek-Atiak-24h'!M19,'04.08 Palabek-Atiak'!M19)</f>
        <v>4.8571428571428568</v>
      </c>
      <c r="N19" s="49">
        <f>AVERAGE('31.07 Palabek-Atiak'!N19,'01.08 Palabek-Atiak'!N19,'05.08 Palabek-Atiak'!N19,'06.08 Palabek-Atiak'!N19,'02.08 Palabek-Atiak-24h'!N19,'03.08 Palabek-Atiak-24h'!N19,'04.08 Palabek-Atiak'!N19)</f>
        <v>0</v>
      </c>
      <c r="O19" s="15">
        <f t="shared" si="0"/>
        <v>0.2857142857142857</v>
      </c>
      <c r="P19" s="15">
        <f t="shared" si="1"/>
        <v>5.1428571428571423</v>
      </c>
      <c r="R19" s="1" t="s">
        <v>15</v>
      </c>
      <c r="S19" s="17">
        <f t="shared" ref="S19:AF19" si="11">SUM(C46:C49)</f>
        <v>0.42857142857142855</v>
      </c>
      <c r="T19" s="17">
        <f t="shared" si="11"/>
        <v>0</v>
      </c>
      <c r="U19" s="17">
        <f t="shared" si="11"/>
        <v>0.14285714285714285</v>
      </c>
      <c r="V19" s="17">
        <f t="shared" si="11"/>
        <v>0.71428571428571419</v>
      </c>
      <c r="W19" s="17">
        <f t="shared" si="11"/>
        <v>0</v>
      </c>
      <c r="X19" s="17">
        <f t="shared" si="11"/>
        <v>0</v>
      </c>
      <c r="Y19" s="17">
        <f t="shared" si="11"/>
        <v>0.71428571428571419</v>
      </c>
      <c r="Z19" s="17">
        <f t="shared" si="11"/>
        <v>0</v>
      </c>
      <c r="AA19" s="17">
        <f t="shared" si="11"/>
        <v>0.14285714285714285</v>
      </c>
      <c r="AB19" s="17">
        <f t="shared" si="11"/>
        <v>1.2857142857142856</v>
      </c>
      <c r="AC19" s="17">
        <f t="shared" si="11"/>
        <v>12.857142857142858</v>
      </c>
      <c r="AD19" s="17">
        <f t="shared" si="11"/>
        <v>0</v>
      </c>
      <c r="AE19" s="31">
        <f t="shared" si="11"/>
        <v>3.4285714285714279</v>
      </c>
      <c r="AF19" s="31">
        <f t="shared" si="11"/>
        <v>16.285714285714285</v>
      </c>
    </row>
    <row r="20" spans="2:32" ht="23.1" customHeight="1" x14ac:dyDescent="0.25">
      <c r="B20" s="23" t="s">
        <v>47</v>
      </c>
      <c r="C20" s="49">
        <f>AVERAGE('31.07 Palabek-Atiak'!C20,'01.08 Palabek-Atiak'!C20,'05.08 Palabek-Atiak'!C20,'06.08 Palabek-Atiak'!C20,'02.08 Palabek-Atiak-24h'!C20,'03.08 Palabek-Atiak-24h'!C20,'04.08 Palabek-Atiak'!C20)</f>
        <v>0</v>
      </c>
      <c r="D20" s="49">
        <f>AVERAGE('31.07 Palabek-Atiak'!D20,'01.08 Palabek-Atiak'!D20,'05.08 Palabek-Atiak'!D20,'06.08 Palabek-Atiak'!D20,'02.08 Palabek-Atiak-24h'!D20,'03.08 Palabek-Atiak-24h'!D20,'04.08 Palabek-Atiak'!D20)</f>
        <v>0</v>
      </c>
      <c r="E20" s="49">
        <f>AVERAGE('31.07 Palabek-Atiak'!E20,'01.08 Palabek-Atiak'!E20,'05.08 Palabek-Atiak'!E20,'06.08 Palabek-Atiak'!E20,'02.08 Palabek-Atiak-24h'!E20,'03.08 Palabek-Atiak-24h'!E20,'04.08 Palabek-Atiak'!E20)</f>
        <v>0.42857142857142855</v>
      </c>
      <c r="F20" s="49">
        <f>AVERAGE('31.07 Palabek-Atiak'!F20,'01.08 Palabek-Atiak'!F20,'05.08 Palabek-Atiak'!F20,'06.08 Palabek-Atiak'!F20,'02.08 Palabek-Atiak-24h'!F20,'03.08 Palabek-Atiak-24h'!F20,'04.08 Palabek-Atiak'!F20)</f>
        <v>0.14285714285714285</v>
      </c>
      <c r="G20" s="49">
        <f>AVERAGE('31.07 Palabek-Atiak'!G20,'01.08 Palabek-Atiak'!G20,'05.08 Palabek-Atiak'!G20,'06.08 Palabek-Atiak'!G20,'02.08 Palabek-Atiak-24h'!G20,'03.08 Palabek-Atiak-24h'!G20,'04.08 Palabek-Atiak'!G20)</f>
        <v>0</v>
      </c>
      <c r="H20" s="49">
        <f>AVERAGE('31.07 Palabek-Atiak'!H20,'01.08 Palabek-Atiak'!H20,'05.08 Palabek-Atiak'!H20,'06.08 Palabek-Atiak'!H20,'02.08 Palabek-Atiak-24h'!H20,'03.08 Palabek-Atiak-24h'!H20,'04.08 Palabek-Atiak'!H20)</f>
        <v>0</v>
      </c>
      <c r="I20" s="49">
        <f>AVERAGE('31.07 Palabek-Atiak'!I20,'01.08 Palabek-Atiak'!I20,'05.08 Palabek-Atiak'!I20,'06.08 Palabek-Atiak'!I20,'02.08 Palabek-Atiak-24h'!I20,'03.08 Palabek-Atiak-24h'!I20,'04.08 Palabek-Atiak'!I20)</f>
        <v>0.2857142857142857</v>
      </c>
      <c r="J20" s="49">
        <f>AVERAGE('31.07 Palabek-Atiak'!J20,'01.08 Palabek-Atiak'!J20,'05.08 Palabek-Atiak'!J20,'06.08 Palabek-Atiak'!J20,'02.08 Palabek-Atiak-24h'!J20,'03.08 Palabek-Atiak-24h'!J20,'04.08 Palabek-Atiak'!J20)</f>
        <v>0</v>
      </c>
      <c r="K20" s="49">
        <f>AVERAGE('31.07 Palabek-Atiak'!K20,'01.08 Palabek-Atiak'!K20,'05.08 Palabek-Atiak'!K20,'06.08 Palabek-Atiak'!K20,'02.08 Palabek-Atiak-24h'!K20,'03.08 Palabek-Atiak-24h'!K20,'04.08 Palabek-Atiak'!K20)</f>
        <v>0</v>
      </c>
      <c r="L20" s="49">
        <f>AVERAGE('31.07 Palabek-Atiak'!L20,'01.08 Palabek-Atiak'!L20,'05.08 Palabek-Atiak'!L20,'06.08 Palabek-Atiak'!L20,'02.08 Palabek-Atiak-24h'!L20,'03.08 Palabek-Atiak-24h'!L20,'04.08 Palabek-Atiak'!L20)</f>
        <v>0.7142857142857143</v>
      </c>
      <c r="M20" s="49">
        <f>AVERAGE('31.07 Palabek-Atiak'!M20,'01.08 Palabek-Atiak'!M20,'05.08 Palabek-Atiak'!M20,'06.08 Palabek-Atiak'!M20,'02.08 Palabek-Atiak-24h'!M20,'03.08 Palabek-Atiak-24h'!M20,'04.08 Palabek-Atiak'!M20)</f>
        <v>3.2857142857142856</v>
      </c>
      <c r="N20" s="49">
        <f>AVERAGE('31.07 Palabek-Atiak'!N20,'01.08 Palabek-Atiak'!N20,'05.08 Palabek-Atiak'!N20,'06.08 Palabek-Atiak'!N20,'02.08 Palabek-Atiak-24h'!N20,'03.08 Palabek-Atiak-24h'!N20,'04.08 Palabek-Atiak'!N20)</f>
        <v>0</v>
      </c>
      <c r="O20" s="15">
        <f t="shared" si="0"/>
        <v>1.5714285714285714</v>
      </c>
      <c r="P20" s="15">
        <f t="shared" si="1"/>
        <v>4.8571428571428568</v>
      </c>
      <c r="R20" s="1" t="s">
        <v>16</v>
      </c>
      <c r="S20" s="17">
        <f t="shared" ref="S20:AF20" si="12">SUM(C50:C53)</f>
        <v>0.42857142857142855</v>
      </c>
      <c r="T20" s="17">
        <f t="shared" si="12"/>
        <v>0</v>
      </c>
      <c r="U20" s="17">
        <f t="shared" si="12"/>
        <v>2.1428571428571428</v>
      </c>
      <c r="V20" s="17">
        <f t="shared" si="12"/>
        <v>0.5714285714285714</v>
      </c>
      <c r="W20" s="17">
        <f t="shared" si="12"/>
        <v>0</v>
      </c>
      <c r="X20" s="17">
        <f t="shared" si="12"/>
        <v>0</v>
      </c>
      <c r="Y20" s="17">
        <f t="shared" si="12"/>
        <v>1.2857142857142856</v>
      </c>
      <c r="Z20" s="17">
        <f t="shared" si="12"/>
        <v>0</v>
      </c>
      <c r="AA20" s="17">
        <f t="shared" si="12"/>
        <v>0</v>
      </c>
      <c r="AB20" s="17">
        <f t="shared" si="12"/>
        <v>1.2857142857142856</v>
      </c>
      <c r="AC20" s="17">
        <f t="shared" si="12"/>
        <v>14.571428571428573</v>
      </c>
      <c r="AD20" s="17">
        <f t="shared" si="12"/>
        <v>0</v>
      </c>
      <c r="AE20" s="31">
        <f t="shared" si="12"/>
        <v>5.7142857142857144</v>
      </c>
      <c r="AF20" s="31">
        <f t="shared" si="12"/>
        <v>20.285714285714285</v>
      </c>
    </row>
    <row r="21" spans="2:32" ht="23.1" customHeight="1" x14ac:dyDescent="0.25">
      <c r="B21" s="23" t="s">
        <v>48</v>
      </c>
      <c r="C21" s="49">
        <f>AVERAGE('31.07 Palabek-Atiak'!C21,'01.08 Palabek-Atiak'!C21,'05.08 Palabek-Atiak'!C21,'06.08 Palabek-Atiak'!C21,'02.08 Palabek-Atiak-24h'!C21,'03.08 Palabek-Atiak-24h'!C21,'04.08 Palabek-Atiak'!C21)</f>
        <v>0</v>
      </c>
      <c r="D21" s="49">
        <f>AVERAGE('31.07 Palabek-Atiak'!D21,'01.08 Palabek-Atiak'!D21,'05.08 Palabek-Atiak'!D21,'06.08 Palabek-Atiak'!D21,'02.08 Palabek-Atiak-24h'!D21,'03.08 Palabek-Atiak-24h'!D21,'04.08 Palabek-Atiak'!D21)</f>
        <v>0</v>
      </c>
      <c r="E21" s="49">
        <f>AVERAGE('31.07 Palabek-Atiak'!E21,'01.08 Palabek-Atiak'!E21,'05.08 Palabek-Atiak'!E21,'06.08 Palabek-Atiak'!E21,'02.08 Palabek-Atiak-24h'!E21,'03.08 Palabek-Atiak-24h'!E21,'04.08 Palabek-Atiak'!E21)</f>
        <v>0</v>
      </c>
      <c r="F21" s="49">
        <f>AVERAGE('31.07 Palabek-Atiak'!F21,'01.08 Palabek-Atiak'!F21,'05.08 Palabek-Atiak'!F21,'06.08 Palabek-Atiak'!F21,'02.08 Palabek-Atiak-24h'!F21,'03.08 Palabek-Atiak-24h'!F21,'04.08 Palabek-Atiak'!F21)</f>
        <v>0.14285714285714285</v>
      </c>
      <c r="G21" s="49">
        <f>AVERAGE('31.07 Palabek-Atiak'!G21,'01.08 Palabek-Atiak'!G21,'05.08 Palabek-Atiak'!G21,'06.08 Palabek-Atiak'!G21,'02.08 Palabek-Atiak-24h'!G21,'03.08 Palabek-Atiak-24h'!G21,'04.08 Palabek-Atiak'!G21)</f>
        <v>0</v>
      </c>
      <c r="H21" s="49">
        <f>AVERAGE('31.07 Palabek-Atiak'!H21,'01.08 Palabek-Atiak'!H21,'05.08 Palabek-Atiak'!H21,'06.08 Palabek-Atiak'!H21,'02.08 Palabek-Atiak-24h'!H21,'03.08 Palabek-Atiak-24h'!H21,'04.08 Palabek-Atiak'!H21)</f>
        <v>0.14285714285714285</v>
      </c>
      <c r="I21" s="49">
        <f>AVERAGE('31.07 Palabek-Atiak'!I21,'01.08 Palabek-Atiak'!I21,'05.08 Palabek-Atiak'!I21,'06.08 Palabek-Atiak'!I21,'02.08 Palabek-Atiak-24h'!I21,'03.08 Palabek-Atiak-24h'!I21,'04.08 Palabek-Atiak'!I21)</f>
        <v>0.5714285714285714</v>
      </c>
      <c r="J21" s="49">
        <f>AVERAGE('31.07 Palabek-Atiak'!J21,'01.08 Palabek-Atiak'!J21,'05.08 Palabek-Atiak'!J21,'06.08 Palabek-Atiak'!J21,'02.08 Palabek-Atiak-24h'!J21,'03.08 Palabek-Atiak-24h'!J21,'04.08 Palabek-Atiak'!J21)</f>
        <v>0</v>
      </c>
      <c r="K21" s="49">
        <f>AVERAGE('31.07 Palabek-Atiak'!K21,'01.08 Palabek-Atiak'!K21,'05.08 Palabek-Atiak'!K21,'06.08 Palabek-Atiak'!K21,'02.08 Palabek-Atiak-24h'!K21,'03.08 Palabek-Atiak-24h'!K21,'04.08 Palabek-Atiak'!K21)</f>
        <v>0</v>
      </c>
      <c r="L21" s="49">
        <f>AVERAGE('31.07 Palabek-Atiak'!L21,'01.08 Palabek-Atiak'!L21,'05.08 Palabek-Atiak'!L21,'06.08 Palabek-Atiak'!L21,'02.08 Palabek-Atiak-24h'!L21,'03.08 Palabek-Atiak-24h'!L21,'04.08 Palabek-Atiak'!L21)</f>
        <v>0.5714285714285714</v>
      </c>
      <c r="M21" s="49">
        <f>AVERAGE('31.07 Palabek-Atiak'!M21,'01.08 Palabek-Atiak'!M21,'05.08 Palabek-Atiak'!M21,'06.08 Palabek-Atiak'!M21,'02.08 Palabek-Atiak-24h'!M21,'03.08 Palabek-Atiak-24h'!M21,'04.08 Palabek-Atiak'!M21)</f>
        <v>4</v>
      </c>
      <c r="N21" s="49">
        <f>AVERAGE('31.07 Palabek-Atiak'!N21,'01.08 Palabek-Atiak'!N21,'05.08 Palabek-Atiak'!N21,'06.08 Palabek-Atiak'!N21,'02.08 Palabek-Atiak-24h'!N21,'03.08 Palabek-Atiak-24h'!N21,'04.08 Palabek-Atiak'!N21)</f>
        <v>0</v>
      </c>
      <c r="O21" s="15">
        <f t="shared" si="0"/>
        <v>1.4285714285714284</v>
      </c>
      <c r="P21" s="15">
        <f t="shared" si="1"/>
        <v>5.4285714285714288</v>
      </c>
      <c r="R21" s="1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0.2857142857142857</v>
      </c>
      <c r="V21" s="17">
        <f t="shared" si="13"/>
        <v>1.5714285714285712</v>
      </c>
      <c r="W21" s="17">
        <f t="shared" si="13"/>
        <v>0.14285714285714285</v>
      </c>
      <c r="X21" s="17">
        <f t="shared" si="13"/>
        <v>0</v>
      </c>
      <c r="Y21" s="17">
        <f t="shared" si="13"/>
        <v>0.5714285714285714</v>
      </c>
      <c r="Z21" s="17">
        <f t="shared" si="13"/>
        <v>0</v>
      </c>
      <c r="AA21" s="17">
        <f t="shared" si="13"/>
        <v>0</v>
      </c>
      <c r="AB21" s="17">
        <f t="shared" si="13"/>
        <v>0.99999999999999989</v>
      </c>
      <c r="AC21" s="17">
        <f t="shared" si="13"/>
        <v>10.714285714285715</v>
      </c>
      <c r="AD21" s="17">
        <f t="shared" si="13"/>
        <v>0</v>
      </c>
      <c r="AE21" s="31">
        <f t="shared" si="13"/>
        <v>3.5714285714285712</v>
      </c>
      <c r="AF21" s="31">
        <f t="shared" si="13"/>
        <v>14.285714285714285</v>
      </c>
    </row>
    <row r="22" spans="2:32" ht="23.1" customHeight="1" x14ac:dyDescent="0.25">
      <c r="B22" s="23" t="s">
        <v>49</v>
      </c>
      <c r="C22" s="49">
        <f>AVERAGE('31.07 Palabek-Atiak'!C22,'01.08 Palabek-Atiak'!C22,'05.08 Palabek-Atiak'!C22,'06.08 Palabek-Atiak'!C22,'02.08 Palabek-Atiak-24h'!C22,'03.08 Palabek-Atiak-24h'!C22,'04.08 Palabek-Atiak'!C22)</f>
        <v>0</v>
      </c>
      <c r="D22" s="49">
        <f>AVERAGE('31.07 Palabek-Atiak'!D22,'01.08 Palabek-Atiak'!D22,'05.08 Palabek-Atiak'!D22,'06.08 Palabek-Atiak'!D22,'02.08 Palabek-Atiak-24h'!D22,'03.08 Palabek-Atiak-24h'!D22,'04.08 Palabek-Atiak'!D22)</f>
        <v>0</v>
      </c>
      <c r="E22" s="49">
        <f>AVERAGE('31.07 Palabek-Atiak'!E22,'01.08 Palabek-Atiak'!E22,'05.08 Palabek-Atiak'!E22,'06.08 Palabek-Atiak'!E22,'02.08 Palabek-Atiak-24h'!E22,'03.08 Palabek-Atiak-24h'!E22,'04.08 Palabek-Atiak'!E22)</f>
        <v>0.42857142857142855</v>
      </c>
      <c r="F22" s="49">
        <f>AVERAGE('31.07 Palabek-Atiak'!F22,'01.08 Palabek-Atiak'!F22,'05.08 Palabek-Atiak'!F22,'06.08 Palabek-Atiak'!F22,'02.08 Palabek-Atiak-24h'!F22,'03.08 Palabek-Atiak-24h'!F22,'04.08 Palabek-Atiak'!F22)</f>
        <v>0.2857142857142857</v>
      </c>
      <c r="G22" s="49">
        <f>AVERAGE('31.07 Palabek-Atiak'!G22,'01.08 Palabek-Atiak'!G22,'05.08 Palabek-Atiak'!G22,'06.08 Palabek-Atiak'!G22,'02.08 Palabek-Atiak-24h'!G22,'03.08 Palabek-Atiak-24h'!G22,'04.08 Palabek-Atiak'!G22)</f>
        <v>0</v>
      </c>
      <c r="H22" s="49">
        <f>AVERAGE('31.07 Palabek-Atiak'!H22,'01.08 Palabek-Atiak'!H22,'05.08 Palabek-Atiak'!H22,'06.08 Palabek-Atiak'!H22,'02.08 Palabek-Atiak-24h'!H22,'03.08 Palabek-Atiak-24h'!H22,'04.08 Palabek-Atiak'!H22)</f>
        <v>0</v>
      </c>
      <c r="I22" s="49">
        <f>AVERAGE('31.07 Palabek-Atiak'!I22,'01.08 Palabek-Atiak'!I22,'05.08 Palabek-Atiak'!I22,'06.08 Palabek-Atiak'!I22,'02.08 Palabek-Atiak-24h'!I22,'03.08 Palabek-Atiak-24h'!I22,'04.08 Palabek-Atiak'!I22)</f>
        <v>0.2857142857142857</v>
      </c>
      <c r="J22" s="49">
        <f>AVERAGE('31.07 Palabek-Atiak'!J22,'01.08 Palabek-Atiak'!J22,'05.08 Palabek-Atiak'!J22,'06.08 Palabek-Atiak'!J22,'02.08 Palabek-Atiak-24h'!J22,'03.08 Palabek-Atiak-24h'!J22,'04.08 Palabek-Atiak'!J22)</f>
        <v>0</v>
      </c>
      <c r="K22" s="49">
        <f>AVERAGE('31.07 Palabek-Atiak'!K22,'01.08 Palabek-Atiak'!K22,'05.08 Palabek-Atiak'!K22,'06.08 Palabek-Atiak'!K22,'02.08 Palabek-Atiak-24h'!K22,'03.08 Palabek-Atiak-24h'!K22,'04.08 Palabek-Atiak'!K22)</f>
        <v>0</v>
      </c>
      <c r="L22" s="49">
        <f>AVERAGE('31.07 Palabek-Atiak'!L22,'01.08 Palabek-Atiak'!L22,'05.08 Palabek-Atiak'!L22,'06.08 Palabek-Atiak'!L22,'02.08 Palabek-Atiak-24h'!L22,'03.08 Palabek-Atiak-24h'!L22,'04.08 Palabek-Atiak'!L22)</f>
        <v>0.5714285714285714</v>
      </c>
      <c r="M22" s="49">
        <f>AVERAGE('31.07 Palabek-Atiak'!M22,'01.08 Palabek-Atiak'!M22,'05.08 Palabek-Atiak'!M22,'06.08 Palabek-Atiak'!M22,'02.08 Palabek-Atiak-24h'!M22,'03.08 Palabek-Atiak-24h'!M22,'04.08 Palabek-Atiak'!M22)</f>
        <v>3.4285714285714284</v>
      </c>
      <c r="N22" s="49">
        <f>AVERAGE('31.07 Palabek-Atiak'!N22,'01.08 Palabek-Atiak'!N22,'05.08 Palabek-Atiak'!N22,'06.08 Palabek-Atiak'!N22,'02.08 Palabek-Atiak-24h'!N22,'03.08 Palabek-Atiak-24h'!N22,'04.08 Palabek-Atiak'!N22)</f>
        <v>0</v>
      </c>
      <c r="O22" s="15">
        <f t="shared" si="0"/>
        <v>1.5714285714285712</v>
      </c>
      <c r="P22" s="15">
        <f t="shared" si="1"/>
        <v>5</v>
      </c>
      <c r="R22" s="1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1.5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14</v>
      </c>
      <c r="AD22" s="34">
        <f t="shared" si="14"/>
        <v>0</v>
      </c>
      <c r="AE22" s="31">
        <f t="shared" si="14"/>
        <v>3.5</v>
      </c>
      <c r="AF22" s="31">
        <f t="shared" si="14"/>
        <v>17.5</v>
      </c>
    </row>
    <row r="23" spans="2:32" ht="23.1" customHeight="1" x14ac:dyDescent="0.25">
      <c r="B23" s="23" t="s">
        <v>50</v>
      </c>
      <c r="C23" s="49">
        <f>AVERAGE('31.07 Palabek-Atiak'!C23,'01.08 Palabek-Atiak'!C23,'05.08 Palabek-Atiak'!C23,'06.08 Palabek-Atiak'!C23,'02.08 Palabek-Atiak-24h'!C23,'03.08 Palabek-Atiak-24h'!C23,'04.08 Palabek-Atiak'!C23)</f>
        <v>0.14285714285714285</v>
      </c>
      <c r="D23" s="49">
        <f>AVERAGE('31.07 Palabek-Atiak'!D23,'01.08 Palabek-Atiak'!D23,'05.08 Palabek-Atiak'!D23,'06.08 Palabek-Atiak'!D23,'02.08 Palabek-Atiak-24h'!D23,'03.08 Palabek-Atiak-24h'!D23,'04.08 Palabek-Atiak'!D23)</f>
        <v>0</v>
      </c>
      <c r="E23" s="49">
        <f>AVERAGE('31.07 Palabek-Atiak'!E23,'01.08 Palabek-Atiak'!E23,'05.08 Palabek-Atiak'!E23,'06.08 Palabek-Atiak'!E23,'02.08 Palabek-Atiak-24h'!E23,'03.08 Palabek-Atiak-24h'!E23,'04.08 Palabek-Atiak'!E23)</f>
        <v>0.14285714285714285</v>
      </c>
      <c r="F23" s="49">
        <f>AVERAGE('31.07 Palabek-Atiak'!F23,'01.08 Palabek-Atiak'!F23,'05.08 Palabek-Atiak'!F23,'06.08 Palabek-Atiak'!F23,'02.08 Palabek-Atiak-24h'!F23,'03.08 Palabek-Atiak-24h'!F23,'04.08 Palabek-Atiak'!F23)</f>
        <v>0</v>
      </c>
      <c r="G23" s="49">
        <f>AVERAGE('31.07 Palabek-Atiak'!G23,'01.08 Palabek-Atiak'!G23,'05.08 Palabek-Atiak'!G23,'06.08 Palabek-Atiak'!G23,'02.08 Palabek-Atiak-24h'!G23,'03.08 Palabek-Atiak-24h'!G23,'04.08 Palabek-Atiak'!G23)</f>
        <v>0</v>
      </c>
      <c r="H23" s="49">
        <f>AVERAGE('31.07 Palabek-Atiak'!H23,'01.08 Palabek-Atiak'!H23,'05.08 Palabek-Atiak'!H23,'06.08 Palabek-Atiak'!H23,'02.08 Palabek-Atiak-24h'!H23,'03.08 Palabek-Atiak-24h'!H23,'04.08 Palabek-Atiak'!H23)</f>
        <v>0</v>
      </c>
      <c r="I23" s="49">
        <f>AVERAGE('31.07 Palabek-Atiak'!I23,'01.08 Palabek-Atiak'!I23,'05.08 Palabek-Atiak'!I23,'06.08 Palabek-Atiak'!I23,'02.08 Palabek-Atiak-24h'!I23,'03.08 Palabek-Atiak-24h'!I23,'04.08 Palabek-Atiak'!I23)</f>
        <v>0.42857142857142855</v>
      </c>
      <c r="J23" s="49">
        <f>AVERAGE('31.07 Palabek-Atiak'!J23,'01.08 Palabek-Atiak'!J23,'05.08 Palabek-Atiak'!J23,'06.08 Palabek-Atiak'!J23,'02.08 Palabek-Atiak-24h'!J23,'03.08 Palabek-Atiak-24h'!J23,'04.08 Palabek-Atiak'!J23)</f>
        <v>0</v>
      </c>
      <c r="K23" s="49">
        <f>AVERAGE('31.07 Palabek-Atiak'!K23,'01.08 Palabek-Atiak'!K23,'05.08 Palabek-Atiak'!K23,'06.08 Palabek-Atiak'!K23,'02.08 Palabek-Atiak-24h'!K23,'03.08 Palabek-Atiak-24h'!K23,'04.08 Palabek-Atiak'!K23)</f>
        <v>0</v>
      </c>
      <c r="L23" s="49">
        <f>AVERAGE('31.07 Palabek-Atiak'!L23,'01.08 Palabek-Atiak'!L23,'05.08 Palabek-Atiak'!L23,'06.08 Palabek-Atiak'!L23,'02.08 Palabek-Atiak-24h'!L23,'03.08 Palabek-Atiak-24h'!L23,'04.08 Palabek-Atiak'!L23)</f>
        <v>0.7142857142857143</v>
      </c>
      <c r="M23" s="49">
        <f>AVERAGE('31.07 Palabek-Atiak'!M23,'01.08 Palabek-Atiak'!M23,'05.08 Palabek-Atiak'!M23,'06.08 Palabek-Atiak'!M23,'02.08 Palabek-Atiak-24h'!M23,'03.08 Palabek-Atiak-24h'!M23,'04.08 Palabek-Atiak'!M23)</f>
        <v>4.2857142857142856</v>
      </c>
      <c r="N23" s="49">
        <f>AVERAGE('31.07 Palabek-Atiak'!N23,'01.08 Palabek-Atiak'!N23,'05.08 Palabek-Atiak'!N23,'06.08 Palabek-Atiak'!N23,'02.08 Palabek-Atiak-24h'!N23,'03.08 Palabek-Atiak-24h'!N23,'04.08 Palabek-Atiak'!N23)</f>
        <v>0</v>
      </c>
      <c r="O23" s="15">
        <f t="shared" si="0"/>
        <v>1.4285714285714284</v>
      </c>
      <c r="P23" s="15">
        <f t="shared" si="1"/>
        <v>5.7142857142857135</v>
      </c>
      <c r="R23" s="1" t="s">
        <v>147</v>
      </c>
      <c r="S23" s="34">
        <f>SUM(C62:C65)</f>
        <v>0.5</v>
      </c>
      <c r="T23" s="34">
        <f t="shared" ref="T23:AF23" si="15">SUM(D62:D65)</f>
        <v>0</v>
      </c>
      <c r="U23" s="34">
        <f t="shared" si="15"/>
        <v>0.5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1.5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13</v>
      </c>
      <c r="AD23" s="34">
        <f t="shared" si="15"/>
        <v>0</v>
      </c>
      <c r="AE23" s="31">
        <f t="shared" si="15"/>
        <v>3</v>
      </c>
      <c r="AF23" s="31">
        <f t="shared" si="15"/>
        <v>16</v>
      </c>
    </row>
    <row r="24" spans="2:32" ht="23.1" customHeight="1" x14ac:dyDescent="0.25">
      <c r="B24" s="23" t="s">
        <v>51</v>
      </c>
      <c r="C24" s="49">
        <f>AVERAGE('31.07 Palabek-Atiak'!C24,'01.08 Palabek-Atiak'!C24,'05.08 Palabek-Atiak'!C24,'06.08 Palabek-Atiak'!C24,'02.08 Palabek-Atiak-24h'!C24,'03.08 Palabek-Atiak-24h'!C24,'04.08 Palabek-Atiak'!C24)</f>
        <v>0</v>
      </c>
      <c r="D24" s="49">
        <f>AVERAGE('31.07 Palabek-Atiak'!D24,'01.08 Palabek-Atiak'!D24,'05.08 Palabek-Atiak'!D24,'06.08 Palabek-Atiak'!D24,'02.08 Palabek-Atiak-24h'!D24,'03.08 Palabek-Atiak-24h'!D24,'04.08 Palabek-Atiak'!D24)</f>
        <v>0</v>
      </c>
      <c r="E24" s="49">
        <f>AVERAGE('31.07 Palabek-Atiak'!E24,'01.08 Palabek-Atiak'!E24,'05.08 Palabek-Atiak'!E24,'06.08 Palabek-Atiak'!E24,'02.08 Palabek-Atiak-24h'!E24,'03.08 Palabek-Atiak-24h'!E24,'04.08 Palabek-Atiak'!E24)</f>
        <v>0.42857142857142855</v>
      </c>
      <c r="F24" s="49">
        <f>AVERAGE('31.07 Palabek-Atiak'!F24,'01.08 Palabek-Atiak'!F24,'05.08 Palabek-Atiak'!F24,'06.08 Palabek-Atiak'!F24,'02.08 Palabek-Atiak-24h'!F24,'03.08 Palabek-Atiak-24h'!F24,'04.08 Palabek-Atiak'!F24)</f>
        <v>0</v>
      </c>
      <c r="G24" s="49">
        <f>AVERAGE('31.07 Palabek-Atiak'!G24,'01.08 Palabek-Atiak'!G24,'05.08 Palabek-Atiak'!G24,'06.08 Palabek-Atiak'!G24,'02.08 Palabek-Atiak-24h'!G24,'03.08 Palabek-Atiak-24h'!G24,'04.08 Palabek-Atiak'!G24)</f>
        <v>0</v>
      </c>
      <c r="H24" s="49">
        <f>AVERAGE('31.07 Palabek-Atiak'!H24,'01.08 Palabek-Atiak'!H24,'05.08 Palabek-Atiak'!H24,'06.08 Palabek-Atiak'!H24,'02.08 Palabek-Atiak-24h'!H24,'03.08 Palabek-Atiak-24h'!H24,'04.08 Palabek-Atiak'!H24)</f>
        <v>0</v>
      </c>
      <c r="I24" s="49">
        <f>AVERAGE('31.07 Palabek-Atiak'!I24,'01.08 Palabek-Atiak'!I24,'05.08 Palabek-Atiak'!I24,'06.08 Palabek-Atiak'!I24,'02.08 Palabek-Atiak-24h'!I24,'03.08 Palabek-Atiak-24h'!I24,'04.08 Palabek-Atiak'!I24)</f>
        <v>1</v>
      </c>
      <c r="J24" s="49">
        <f>AVERAGE('31.07 Palabek-Atiak'!J24,'01.08 Palabek-Atiak'!J24,'05.08 Palabek-Atiak'!J24,'06.08 Palabek-Atiak'!J24,'02.08 Palabek-Atiak-24h'!J24,'03.08 Palabek-Atiak-24h'!J24,'04.08 Palabek-Atiak'!J24)</f>
        <v>0</v>
      </c>
      <c r="K24" s="49">
        <f>AVERAGE('31.07 Palabek-Atiak'!K24,'01.08 Palabek-Atiak'!K24,'05.08 Palabek-Atiak'!K24,'06.08 Palabek-Atiak'!K24,'02.08 Palabek-Atiak-24h'!K24,'03.08 Palabek-Atiak-24h'!K24,'04.08 Palabek-Atiak'!K24)</f>
        <v>0.14285714285714285</v>
      </c>
      <c r="L24" s="49">
        <f>AVERAGE('31.07 Palabek-Atiak'!L24,'01.08 Palabek-Atiak'!L24,'05.08 Palabek-Atiak'!L24,'06.08 Palabek-Atiak'!L24,'02.08 Palabek-Atiak-24h'!L24,'03.08 Palabek-Atiak-24h'!L24,'04.08 Palabek-Atiak'!L24)</f>
        <v>0.2857142857142857</v>
      </c>
      <c r="M24" s="49">
        <f>AVERAGE('31.07 Palabek-Atiak'!M24,'01.08 Palabek-Atiak'!M24,'05.08 Palabek-Atiak'!M24,'06.08 Palabek-Atiak'!M24,'02.08 Palabek-Atiak-24h'!M24,'03.08 Palabek-Atiak-24h'!M24,'04.08 Palabek-Atiak'!M24)</f>
        <v>2.5714285714285716</v>
      </c>
      <c r="N24" s="49">
        <f>AVERAGE('31.07 Palabek-Atiak'!N24,'01.08 Palabek-Atiak'!N24,'05.08 Palabek-Atiak'!N24,'06.08 Palabek-Atiak'!N24,'02.08 Palabek-Atiak-24h'!N24,'03.08 Palabek-Atiak-24h'!N24,'04.08 Palabek-Atiak'!N24)</f>
        <v>0</v>
      </c>
      <c r="O24" s="15">
        <f t="shared" si="0"/>
        <v>1.8571428571428572</v>
      </c>
      <c r="P24" s="15">
        <f t="shared" si="1"/>
        <v>4.4285714285714288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8</v>
      </c>
      <c r="AD24" s="34">
        <f t="shared" si="16"/>
        <v>0</v>
      </c>
      <c r="AE24" s="31">
        <f t="shared" si="16"/>
        <v>0</v>
      </c>
      <c r="AF24" s="31">
        <f t="shared" si="16"/>
        <v>8</v>
      </c>
    </row>
    <row r="25" spans="2:32" ht="23.1" customHeight="1" x14ac:dyDescent="0.25">
      <c r="B25" s="23" t="s">
        <v>52</v>
      </c>
      <c r="C25" s="49">
        <f>AVERAGE('31.07 Palabek-Atiak'!C25,'01.08 Palabek-Atiak'!C25,'05.08 Palabek-Atiak'!C25,'06.08 Palabek-Atiak'!C25,'02.08 Palabek-Atiak-24h'!C25,'03.08 Palabek-Atiak-24h'!C25,'04.08 Palabek-Atiak'!C25)</f>
        <v>0</v>
      </c>
      <c r="D25" s="49">
        <f>AVERAGE('31.07 Palabek-Atiak'!D25,'01.08 Palabek-Atiak'!D25,'05.08 Palabek-Atiak'!D25,'06.08 Palabek-Atiak'!D25,'02.08 Palabek-Atiak-24h'!D25,'03.08 Palabek-Atiak-24h'!D25,'04.08 Palabek-Atiak'!D25)</f>
        <v>0</v>
      </c>
      <c r="E25" s="49">
        <f>AVERAGE('31.07 Palabek-Atiak'!E25,'01.08 Palabek-Atiak'!E25,'05.08 Palabek-Atiak'!E25,'06.08 Palabek-Atiak'!E25,'02.08 Palabek-Atiak-24h'!E25,'03.08 Palabek-Atiak-24h'!E25,'04.08 Palabek-Atiak'!E25)</f>
        <v>0.7142857142857143</v>
      </c>
      <c r="F25" s="49">
        <f>AVERAGE('31.07 Palabek-Atiak'!F25,'01.08 Palabek-Atiak'!F25,'05.08 Palabek-Atiak'!F25,'06.08 Palabek-Atiak'!F25,'02.08 Palabek-Atiak-24h'!F25,'03.08 Palabek-Atiak-24h'!F25,'04.08 Palabek-Atiak'!F25)</f>
        <v>0</v>
      </c>
      <c r="G25" s="49">
        <f>AVERAGE('31.07 Palabek-Atiak'!G25,'01.08 Palabek-Atiak'!G25,'05.08 Palabek-Atiak'!G25,'06.08 Palabek-Atiak'!G25,'02.08 Palabek-Atiak-24h'!G25,'03.08 Palabek-Atiak-24h'!G25,'04.08 Palabek-Atiak'!G25)</f>
        <v>0</v>
      </c>
      <c r="H25" s="49">
        <f>AVERAGE('31.07 Palabek-Atiak'!H25,'01.08 Palabek-Atiak'!H25,'05.08 Palabek-Atiak'!H25,'06.08 Palabek-Atiak'!H25,'02.08 Palabek-Atiak-24h'!H25,'03.08 Palabek-Atiak-24h'!H25,'04.08 Palabek-Atiak'!H25)</f>
        <v>0</v>
      </c>
      <c r="I25" s="49">
        <f>AVERAGE('31.07 Palabek-Atiak'!I25,'01.08 Palabek-Atiak'!I25,'05.08 Palabek-Atiak'!I25,'06.08 Palabek-Atiak'!I25,'02.08 Palabek-Atiak-24h'!I25,'03.08 Palabek-Atiak-24h'!I25,'04.08 Palabek-Atiak'!I25)</f>
        <v>0.14285714285714285</v>
      </c>
      <c r="J25" s="49">
        <f>AVERAGE('31.07 Palabek-Atiak'!J25,'01.08 Palabek-Atiak'!J25,'05.08 Palabek-Atiak'!J25,'06.08 Palabek-Atiak'!J25,'02.08 Palabek-Atiak-24h'!J25,'03.08 Palabek-Atiak-24h'!J25,'04.08 Palabek-Atiak'!J25)</f>
        <v>0</v>
      </c>
      <c r="K25" s="49">
        <f>AVERAGE('31.07 Palabek-Atiak'!K25,'01.08 Palabek-Atiak'!K25,'05.08 Palabek-Atiak'!K25,'06.08 Palabek-Atiak'!K25,'02.08 Palabek-Atiak-24h'!K25,'03.08 Palabek-Atiak-24h'!K25,'04.08 Palabek-Atiak'!K25)</f>
        <v>0</v>
      </c>
      <c r="L25" s="49">
        <f>AVERAGE('31.07 Palabek-Atiak'!L25,'01.08 Palabek-Atiak'!L25,'05.08 Palabek-Atiak'!L25,'06.08 Palabek-Atiak'!L25,'02.08 Palabek-Atiak-24h'!L25,'03.08 Palabek-Atiak-24h'!L25,'04.08 Palabek-Atiak'!L25)</f>
        <v>0.8571428571428571</v>
      </c>
      <c r="M25" s="49">
        <f>AVERAGE('31.07 Palabek-Atiak'!M25,'01.08 Palabek-Atiak'!M25,'05.08 Palabek-Atiak'!M25,'06.08 Palabek-Atiak'!M25,'02.08 Palabek-Atiak-24h'!M25,'03.08 Palabek-Atiak-24h'!M25,'04.08 Palabek-Atiak'!M25)</f>
        <v>5</v>
      </c>
      <c r="N25" s="49">
        <f>AVERAGE('31.07 Palabek-Atiak'!N25,'01.08 Palabek-Atiak'!N25,'05.08 Palabek-Atiak'!N25,'06.08 Palabek-Atiak'!N25,'02.08 Palabek-Atiak-24h'!N25,'03.08 Palabek-Atiak-24h'!N25,'04.08 Palabek-Atiak'!N25)</f>
        <v>0</v>
      </c>
      <c r="O25" s="15">
        <f t="shared" si="0"/>
        <v>1.7142857142857144</v>
      </c>
      <c r="P25" s="15">
        <f t="shared" si="1"/>
        <v>6.7142857142857144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0.5</v>
      </c>
      <c r="W25" s="34">
        <f t="shared" si="17"/>
        <v>0</v>
      </c>
      <c r="X25" s="34">
        <f t="shared" si="17"/>
        <v>0.5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4.5</v>
      </c>
      <c r="AD25" s="34">
        <f t="shared" si="17"/>
        <v>0</v>
      </c>
      <c r="AE25" s="31">
        <f t="shared" si="17"/>
        <v>2</v>
      </c>
      <c r="AF25" s="31">
        <f t="shared" si="17"/>
        <v>6.5</v>
      </c>
    </row>
    <row r="26" spans="2:32" ht="23.1" customHeight="1" x14ac:dyDescent="0.25">
      <c r="B26" s="23" t="s">
        <v>53</v>
      </c>
      <c r="C26" s="49">
        <f>AVERAGE('31.07 Palabek-Atiak'!C26,'01.08 Palabek-Atiak'!C26,'05.08 Palabek-Atiak'!C26,'06.08 Palabek-Atiak'!C26,'02.08 Palabek-Atiak-24h'!C26,'03.08 Palabek-Atiak-24h'!C26,'04.08 Palabek-Atiak'!C26)</f>
        <v>0</v>
      </c>
      <c r="D26" s="49">
        <f>AVERAGE('31.07 Palabek-Atiak'!D26,'01.08 Palabek-Atiak'!D26,'05.08 Palabek-Atiak'!D26,'06.08 Palabek-Atiak'!D26,'02.08 Palabek-Atiak-24h'!D26,'03.08 Palabek-Atiak-24h'!D26,'04.08 Palabek-Atiak'!D26)</f>
        <v>0</v>
      </c>
      <c r="E26" s="49">
        <f>AVERAGE('31.07 Palabek-Atiak'!E26,'01.08 Palabek-Atiak'!E26,'05.08 Palabek-Atiak'!E26,'06.08 Palabek-Atiak'!E26,'02.08 Palabek-Atiak-24h'!E26,'03.08 Palabek-Atiak-24h'!E26,'04.08 Palabek-Atiak'!E26)</f>
        <v>0</v>
      </c>
      <c r="F26" s="49">
        <f>AVERAGE('31.07 Palabek-Atiak'!F26,'01.08 Palabek-Atiak'!F26,'05.08 Palabek-Atiak'!F26,'06.08 Palabek-Atiak'!F26,'02.08 Palabek-Atiak-24h'!F26,'03.08 Palabek-Atiak-24h'!F26,'04.08 Palabek-Atiak'!F26)</f>
        <v>0.2857142857142857</v>
      </c>
      <c r="G26" s="49">
        <f>AVERAGE('31.07 Palabek-Atiak'!G26,'01.08 Palabek-Atiak'!G26,'05.08 Palabek-Atiak'!G26,'06.08 Palabek-Atiak'!G26,'02.08 Palabek-Atiak-24h'!G26,'03.08 Palabek-Atiak-24h'!G26,'04.08 Palabek-Atiak'!G26)</f>
        <v>0</v>
      </c>
      <c r="H26" s="49">
        <f>AVERAGE('31.07 Palabek-Atiak'!H26,'01.08 Palabek-Atiak'!H26,'05.08 Palabek-Atiak'!H26,'06.08 Palabek-Atiak'!H26,'02.08 Palabek-Atiak-24h'!H26,'03.08 Palabek-Atiak-24h'!H26,'04.08 Palabek-Atiak'!H26)</f>
        <v>0</v>
      </c>
      <c r="I26" s="49">
        <f>AVERAGE('31.07 Palabek-Atiak'!I26,'01.08 Palabek-Atiak'!I26,'05.08 Palabek-Atiak'!I26,'06.08 Palabek-Atiak'!I26,'02.08 Palabek-Atiak-24h'!I26,'03.08 Palabek-Atiak-24h'!I26,'04.08 Palabek-Atiak'!I26)</f>
        <v>0.42857142857142855</v>
      </c>
      <c r="J26" s="49">
        <f>AVERAGE('31.07 Palabek-Atiak'!J26,'01.08 Palabek-Atiak'!J26,'05.08 Palabek-Atiak'!J26,'06.08 Palabek-Atiak'!J26,'02.08 Palabek-Atiak-24h'!J26,'03.08 Palabek-Atiak-24h'!J26,'04.08 Palabek-Atiak'!J26)</f>
        <v>0</v>
      </c>
      <c r="K26" s="49">
        <f>AVERAGE('31.07 Palabek-Atiak'!K26,'01.08 Palabek-Atiak'!K26,'05.08 Palabek-Atiak'!K26,'06.08 Palabek-Atiak'!K26,'02.08 Palabek-Atiak-24h'!K26,'03.08 Palabek-Atiak-24h'!K26,'04.08 Palabek-Atiak'!K26)</f>
        <v>0</v>
      </c>
      <c r="L26" s="49">
        <f>AVERAGE('31.07 Palabek-Atiak'!L26,'01.08 Palabek-Atiak'!L26,'05.08 Palabek-Atiak'!L26,'06.08 Palabek-Atiak'!L26,'02.08 Palabek-Atiak-24h'!L26,'03.08 Palabek-Atiak-24h'!L26,'04.08 Palabek-Atiak'!L26)</f>
        <v>0.42857142857142855</v>
      </c>
      <c r="M26" s="49">
        <f>AVERAGE('31.07 Palabek-Atiak'!M26,'01.08 Palabek-Atiak'!M26,'05.08 Palabek-Atiak'!M26,'06.08 Palabek-Atiak'!M26,'02.08 Palabek-Atiak-24h'!M26,'03.08 Palabek-Atiak-24h'!M26,'04.08 Palabek-Atiak'!M26)</f>
        <v>3.2857142857142856</v>
      </c>
      <c r="N26" s="49">
        <f>AVERAGE('31.07 Palabek-Atiak'!N26,'01.08 Palabek-Atiak'!N26,'05.08 Palabek-Atiak'!N26,'06.08 Palabek-Atiak'!N26,'02.08 Palabek-Atiak-24h'!N26,'03.08 Palabek-Atiak-24h'!N26,'04.08 Palabek-Atiak'!N26)</f>
        <v>0</v>
      </c>
      <c r="O26" s="15">
        <f t="shared" si="0"/>
        <v>1.1428571428571428</v>
      </c>
      <c r="P26" s="15">
        <f t="shared" si="1"/>
        <v>4.4285714285714288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3.5</v>
      </c>
      <c r="AD26" s="34">
        <f t="shared" si="18"/>
        <v>0</v>
      </c>
      <c r="AE26" s="31">
        <f t="shared" si="18"/>
        <v>2.5</v>
      </c>
      <c r="AF26" s="31">
        <f t="shared" si="18"/>
        <v>6</v>
      </c>
    </row>
    <row r="27" spans="2:32" ht="23.1" customHeight="1" x14ac:dyDescent="0.25">
      <c r="B27" s="23" t="s">
        <v>54</v>
      </c>
      <c r="C27" s="49">
        <f>AVERAGE('31.07 Palabek-Atiak'!C27,'01.08 Palabek-Atiak'!C27,'05.08 Palabek-Atiak'!C27,'06.08 Palabek-Atiak'!C27,'02.08 Palabek-Atiak-24h'!C27,'03.08 Palabek-Atiak-24h'!C27,'04.08 Palabek-Atiak'!C27)</f>
        <v>0</v>
      </c>
      <c r="D27" s="49">
        <f>AVERAGE('31.07 Palabek-Atiak'!D27,'01.08 Palabek-Atiak'!D27,'05.08 Palabek-Atiak'!D27,'06.08 Palabek-Atiak'!D27,'02.08 Palabek-Atiak-24h'!D27,'03.08 Palabek-Atiak-24h'!D27,'04.08 Palabek-Atiak'!D27)</f>
        <v>0</v>
      </c>
      <c r="E27" s="49">
        <f>AVERAGE('31.07 Palabek-Atiak'!E27,'01.08 Palabek-Atiak'!E27,'05.08 Palabek-Atiak'!E27,'06.08 Palabek-Atiak'!E27,'02.08 Palabek-Atiak-24h'!E27,'03.08 Palabek-Atiak-24h'!E27,'04.08 Palabek-Atiak'!E27)</f>
        <v>0.42857142857142855</v>
      </c>
      <c r="F27" s="49">
        <f>AVERAGE('31.07 Palabek-Atiak'!F27,'01.08 Palabek-Atiak'!F27,'05.08 Palabek-Atiak'!F27,'06.08 Palabek-Atiak'!F27,'02.08 Palabek-Atiak-24h'!F27,'03.08 Palabek-Atiak-24h'!F27,'04.08 Palabek-Atiak'!F27)</f>
        <v>0.2857142857142857</v>
      </c>
      <c r="G27" s="49">
        <f>AVERAGE('31.07 Palabek-Atiak'!G27,'01.08 Palabek-Atiak'!G27,'05.08 Palabek-Atiak'!G27,'06.08 Palabek-Atiak'!G27,'02.08 Palabek-Atiak-24h'!G27,'03.08 Palabek-Atiak-24h'!G27,'04.08 Palabek-Atiak'!G27)</f>
        <v>0</v>
      </c>
      <c r="H27" s="49">
        <f>AVERAGE('31.07 Palabek-Atiak'!H27,'01.08 Palabek-Atiak'!H27,'05.08 Palabek-Atiak'!H27,'06.08 Palabek-Atiak'!H27,'02.08 Palabek-Atiak-24h'!H27,'03.08 Palabek-Atiak-24h'!H27,'04.08 Palabek-Atiak'!H27)</f>
        <v>0</v>
      </c>
      <c r="I27" s="49">
        <f>AVERAGE('31.07 Palabek-Atiak'!I27,'01.08 Palabek-Atiak'!I27,'05.08 Palabek-Atiak'!I27,'06.08 Palabek-Atiak'!I27,'02.08 Palabek-Atiak-24h'!I27,'03.08 Palabek-Atiak-24h'!I27,'04.08 Palabek-Atiak'!I27)</f>
        <v>0.2857142857142857</v>
      </c>
      <c r="J27" s="49">
        <f>AVERAGE('31.07 Palabek-Atiak'!J27,'01.08 Palabek-Atiak'!J27,'05.08 Palabek-Atiak'!J27,'06.08 Palabek-Atiak'!J27,'02.08 Palabek-Atiak-24h'!J27,'03.08 Palabek-Atiak-24h'!J27,'04.08 Palabek-Atiak'!J27)</f>
        <v>0</v>
      </c>
      <c r="K27" s="49">
        <f>AVERAGE('31.07 Palabek-Atiak'!K27,'01.08 Palabek-Atiak'!K27,'05.08 Palabek-Atiak'!K27,'06.08 Palabek-Atiak'!K27,'02.08 Palabek-Atiak-24h'!K27,'03.08 Palabek-Atiak-24h'!K27,'04.08 Palabek-Atiak'!K27)</f>
        <v>0</v>
      </c>
      <c r="L27" s="49">
        <f>AVERAGE('31.07 Palabek-Atiak'!L27,'01.08 Palabek-Atiak'!L27,'05.08 Palabek-Atiak'!L27,'06.08 Palabek-Atiak'!L27,'02.08 Palabek-Atiak-24h'!L27,'03.08 Palabek-Atiak-24h'!L27,'04.08 Palabek-Atiak'!L27)</f>
        <v>0.5714285714285714</v>
      </c>
      <c r="M27" s="49">
        <f>AVERAGE('31.07 Palabek-Atiak'!M27,'01.08 Palabek-Atiak'!M27,'05.08 Palabek-Atiak'!M27,'06.08 Palabek-Atiak'!M27,'02.08 Palabek-Atiak-24h'!M27,'03.08 Palabek-Atiak-24h'!M27,'04.08 Palabek-Atiak'!M27)</f>
        <v>3</v>
      </c>
      <c r="N27" s="49">
        <f>AVERAGE('31.07 Palabek-Atiak'!N27,'01.08 Palabek-Atiak'!N27,'05.08 Palabek-Atiak'!N27,'06.08 Palabek-Atiak'!N27,'02.08 Palabek-Atiak-24h'!N27,'03.08 Palabek-Atiak-24h'!N27,'04.08 Palabek-Atiak'!N27)</f>
        <v>0</v>
      </c>
      <c r="O27" s="15">
        <f t="shared" si="0"/>
        <v>1.5714285714285712</v>
      </c>
      <c r="P27" s="15">
        <f t="shared" si="1"/>
        <v>4.5714285714285712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AVERAGE('31.07 Palabek-Atiak'!C28,'01.08 Palabek-Atiak'!C28,'05.08 Palabek-Atiak'!C28,'06.08 Palabek-Atiak'!C28,'02.08 Palabek-Atiak-24h'!C28,'03.08 Palabek-Atiak-24h'!C28,'04.08 Palabek-Atiak'!C28)</f>
        <v>0</v>
      </c>
      <c r="D28" s="49">
        <f>AVERAGE('31.07 Palabek-Atiak'!D28,'01.08 Palabek-Atiak'!D28,'05.08 Palabek-Atiak'!D28,'06.08 Palabek-Atiak'!D28,'02.08 Palabek-Atiak-24h'!D28,'03.08 Palabek-Atiak-24h'!D28,'04.08 Palabek-Atiak'!D28)</f>
        <v>0</v>
      </c>
      <c r="E28" s="49">
        <f>AVERAGE('31.07 Palabek-Atiak'!E28,'01.08 Palabek-Atiak'!E28,'05.08 Palabek-Atiak'!E28,'06.08 Palabek-Atiak'!E28,'02.08 Palabek-Atiak-24h'!E28,'03.08 Palabek-Atiak-24h'!E28,'04.08 Palabek-Atiak'!E28)</f>
        <v>0.2857142857142857</v>
      </c>
      <c r="F28" s="49">
        <f>AVERAGE('31.07 Palabek-Atiak'!F28,'01.08 Palabek-Atiak'!F28,'05.08 Palabek-Atiak'!F28,'06.08 Palabek-Atiak'!F28,'02.08 Palabek-Atiak-24h'!F28,'03.08 Palabek-Atiak-24h'!F28,'04.08 Palabek-Atiak'!F28)</f>
        <v>0.7142857142857143</v>
      </c>
      <c r="G28" s="49">
        <f>AVERAGE('31.07 Palabek-Atiak'!G28,'01.08 Palabek-Atiak'!G28,'05.08 Palabek-Atiak'!G28,'06.08 Palabek-Atiak'!G28,'02.08 Palabek-Atiak-24h'!G28,'03.08 Palabek-Atiak-24h'!G28,'04.08 Palabek-Atiak'!G28)</f>
        <v>0</v>
      </c>
      <c r="H28" s="49">
        <f>AVERAGE('31.07 Palabek-Atiak'!H28,'01.08 Palabek-Atiak'!H28,'05.08 Palabek-Atiak'!H28,'06.08 Palabek-Atiak'!H28,'02.08 Palabek-Atiak-24h'!H28,'03.08 Palabek-Atiak-24h'!H28,'04.08 Palabek-Atiak'!H28)</f>
        <v>0</v>
      </c>
      <c r="I28" s="49">
        <f>AVERAGE('31.07 Palabek-Atiak'!I28,'01.08 Palabek-Atiak'!I28,'05.08 Palabek-Atiak'!I28,'06.08 Palabek-Atiak'!I28,'02.08 Palabek-Atiak-24h'!I28,'03.08 Palabek-Atiak-24h'!I28,'04.08 Palabek-Atiak'!I28)</f>
        <v>0.5714285714285714</v>
      </c>
      <c r="J28" s="49">
        <f>AVERAGE('31.07 Palabek-Atiak'!J28,'01.08 Palabek-Atiak'!J28,'05.08 Palabek-Atiak'!J28,'06.08 Palabek-Atiak'!J28,'02.08 Palabek-Atiak-24h'!J28,'03.08 Palabek-Atiak-24h'!J28,'04.08 Palabek-Atiak'!J28)</f>
        <v>0</v>
      </c>
      <c r="K28" s="49">
        <f>AVERAGE('31.07 Palabek-Atiak'!K28,'01.08 Palabek-Atiak'!K28,'05.08 Palabek-Atiak'!K28,'06.08 Palabek-Atiak'!K28,'02.08 Palabek-Atiak-24h'!K28,'03.08 Palabek-Atiak-24h'!K28,'04.08 Palabek-Atiak'!K28)</f>
        <v>0</v>
      </c>
      <c r="L28" s="49">
        <f>AVERAGE('31.07 Palabek-Atiak'!L28,'01.08 Palabek-Atiak'!L28,'05.08 Palabek-Atiak'!L28,'06.08 Palabek-Atiak'!L28,'02.08 Palabek-Atiak-24h'!L28,'03.08 Palabek-Atiak-24h'!L28,'04.08 Palabek-Atiak'!L28)</f>
        <v>0</v>
      </c>
      <c r="M28" s="49">
        <f>AVERAGE('31.07 Palabek-Atiak'!M28,'01.08 Palabek-Atiak'!M28,'05.08 Palabek-Atiak'!M28,'06.08 Palabek-Atiak'!M28,'02.08 Palabek-Atiak-24h'!M28,'03.08 Palabek-Atiak-24h'!M28,'04.08 Palabek-Atiak'!M28)</f>
        <v>4</v>
      </c>
      <c r="N28" s="49">
        <f>AVERAGE('31.07 Palabek-Atiak'!N28,'01.08 Palabek-Atiak'!N28,'05.08 Palabek-Atiak'!N28,'06.08 Palabek-Atiak'!N28,'02.08 Palabek-Atiak-24h'!N28,'03.08 Palabek-Atiak-24h'!N28,'04.08 Palabek-Atiak'!N28)</f>
        <v>0</v>
      </c>
      <c r="O28" s="15">
        <f t="shared" si="0"/>
        <v>1.5714285714285714</v>
      </c>
      <c r="P28" s="15">
        <f t="shared" si="1"/>
        <v>5.5714285714285712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AVERAGE('31.07 Palabek-Atiak'!C29,'01.08 Palabek-Atiak'!C29,'05.08 Palabek-Atiak'!C29,'06.08 Palabek-Atiak'!C29,'02.08 Palabek-Atiak-24h'!C29,'03.08 Palabek-Atiak-24h'!C29,'04.08 Palabek-Atiak'!C29)</f>
        <v>0.5714285714285714</v>
      </c>
      <c r="D29" s="49">
        <f>AVERAGE('31.07 Palabek-Atiak'!D29,'01.08 Palabek-Atiak'!D29,'05.08 Palabek-Atiak'!D29,'06.08 Palabek-Atiak'!D29,'02.08 Palabek-Atiak-24h'!D29,'03.08 Palabek-Atiak-24h'!D29,'04.08 Palabek-Atiak'!D29)</f>
        <v>0</v>
      </c>
      <c r="E29" s="49">
        <f>AVERAGE('31.07 Palabek-Atiak'!E29,'01.08 Palabek-Atiak'!E29,'05.08 Palabek-Atiak'!E29,'06.08 Palabek-Atiak'!E29,'02.08 Palabek-Atiak-24h'!E29,'03.08 Palabek-Atiak-24h'!E29,'04.08 Palabek-Atiak'!E29)</f>
        <v>0</v>
      </c>
      <c r="F29" s="49">
        <f>AVERAGE('31.07 Palabek-Atiak'!F29,'01.08 Palabek-Atiak'!F29,'05.08 Palabek-Atiak'!F29,'06.08 Palabek-Atiak'!F29,'02.08 Palabek-Atiak-24h'!F29,'03.08 Palabek-Atiak-24h'!F29,'04.08 Palabek-Atiak'!F29)</f>
        <v>0.5714285714285714</v>
      </c>
      <c r="G29" s="49">
        <f>AVERAGE('31.07 Palabek-Atiak'!G29,'01.08 Palabek-Atiak'!G29,'05.08 Palabek-Atiak'!G29,'06.08 Palabek-Atiak'!G29,'02.08 Palabek-Atiak-24h'!G29,'03.08 Palabek-Atiak-24h'!G29,'04.08 Palabek-Atiak'!G29)</f>
        <v>0</v>
      </c>
      <c r="H29" s="49">
        <f>AVERAGE('31.07 Palabek-Atiak'!H29,'01.08 Palabek-Atiak'!H29,'05.08 Palabek-Atiak'!H29,'06.08 Palabek-Atiak'!H29,'02.08 Palabek-Atiak-24h'!H29,'03.08 Palabek-Atiak-24h'!H29,'04.08 Palabek-Atiak'!H29)</f>
        <v>0</v>
      </c>
      <c r="I29" s="49">
        <f>AVERAGE('31.07 Palabek-Atiak'!I29,'01.08 Palabek-Atiak'!I29,'05.08 Palabek-Atiak'!I29,'06.08 Palabek-Atiak'!I29,'02.08 Palabek-Atiak-24h'!I29,'03.08 Palabek-Atiak-24h'!I29,'04.08 Palabek-Atiak'!I29)</f>
        <v>0.8571428571428571</v>
      </c>
      <c r="J29" s="49">
        <f>AVERAGE('31.07 Palabek-Atiak'!J29,'01.08 Palabek-Atiak'!J29,'05.08 Palabek-Atiak'!J29,'06.08 Palabek-Atiak'!J29,'02.08 Palabek-Atiak-24h'!J29,'03.08 Palabek-Atiak-24h'!J29,'04.08 Palabek-Atiak'!J29)</f>
        <v>0</v>
      </c>
      <c r="K29" s="49">
        <f>AVERAGE('31.07 Palabek-Atiak'!K29,'01.08 Palabek-Atiak'!K29,'05.08 Palabek-Atiak'!K29,'06.08 Palabek-Atiak'!K29,'02.08 Palabek-Atiak-24h'!K29,'03.08 Palabek-Atiak-24h'!K29,'04.08 Palabek-Atiak'!K29)</f>
        <v>0</v>
      </c>
      <c r="L29" s="49">
        <f>AVERAGE('31.07 Palabek-Atiak'!L29,'01.08 Palabek-Atiak'!L29,'05.08 Palabek-Atiak'!L29,'06.08 Palabek-Atiak'!L29,'02.08 Palabek-Atiak-24h'!L29,'03.08 Palabek-Atiak-24h'!L29,'04.08 Palabek-Atiak'!L29)</f>
        <v>0.2857142857142857</v>
      </c>
      <c r="M29" s="49">
        <f>AVERAGE('31.07 Palabek-Atiak'!M29,'01.08 Palabek-Atiak'!M29,'05.08 Palabek-Atiak'!M29,'06.08 Palabek-Atiak'!M29,'02.08 Palabek-Atiak-24h'!M29,'03.08 Palabek-Atiak-24h'!M29,'04.08 Palabek-Atiak'!M29)</f>
        <v>2.8571428571428572</v>
      </c>
      <c r="N29" s="49">
        <f>AVERAGE('31.07 Palabek-Atiak'!N29,'01.08 Palabek-Atiak'!N29,'05.08 Palabek-Atiak'!N29,'06.08 Palabek-Atiak'!N29,'02.08 Palabek-Atiak-24h'!N29,'03.08 Palabek-Atiak-24h'!N29,'04.08 Palabek-Atiak'!N29)</f>
        <v>0</v>
      </c>
      <c r="O29" s="15">
        <f t="shared" si="0"/>
        <v>2.2857142857142856</v>
      </c>
      <c r="P29" s="15">
        <f t="shared" si="1"/>
        <v>5.1428571428571423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AVERAGE('31.07 Palabek-Atiak'!C30,'01.08 Palabek-Atiak'!C30,'05.08 Palabek-Atiak'!C30,'06.08 Palabek-Atiak'!C30,'02.08 Palabek-Atiak-24h'!C30,'03.08 Palabek-Atiak-24h'!C30,'04.08 Palabek-Atiak'!C30)</f>
        <v>0</v>
      </c>
      <c r="D30" s="49">
        <f>AVERAGE('31.07 Palabek-Atiak'!D30,'01.08 Palabek-Atiak'!D30,'05.08 Palabek-Atiak'!D30,'06.08 Palabek-Atiak'!D30,'02.08 Palabek-Atiak-24h'!D30,'03.08 Palabek-Atiak-24h'!D30,'04.08 Palabek-Atiak'!D30)</f>
        <v>0</v>
      </c>
      <c r="E30" s="49">
        <f>AVERAGE('31.07 Palabek-Atiak'!E30,'01.08 Palabek-Atiak'!E30,'05.08 Palabek-Atiak'!E30,'06.08 Palabek-Atiak'!E30,'02.08 Palabek-Atiak-24h'!E30,'03.08 Palabek-Atiak-24h'!E30,'04.08 Palabek-Atiak'!E30)</f>
        <v>0.7142857142857143</v>
      </c>
      <c r="F30" s="49">
        <f>AVERAGE('31.07 Palabek-Atiak'!F30,'01.08 Palabek-Atiak'!F30,'05.08 Palabek-Atiak'!F30,'06.08 Palabek-Atiak'!F30,'02.08 Palabek-Atiak-24h'!F30,'03.08 Palabek-Atiak-24h'!F30,'04.08 Palabek-Atiak'!F30)</f>
        <v>0</v>
      </c>
      <c r="G30" s="49">
        <f>AVERAGE('31.07 Palabek-Atiak'!G30,'01.08 Palabek-Atiak'!G30,'05.08 Palabek-Atiak'!G30,'06.08 Palabek-Atiak'!G30,'02.08 Palabek-Atiak-24h'!G30,'03.08 Palabek-Atiak-24h'!G30,'04.08 Palabek-Atiak'!G30)</f>
        <v>0</v>
      </c>
      <c r="H30" s="49">
        <f>AVERAGE('31.07 Palabek-Atiak'!H30,'01.08 Palabek-Atiak'!H30,'05.08 Palabek-Atiak'!H30,'06.08 Palabek-Atiak'!H30,'02.08 Palabek-Atiak-24h'!H30,'03.08 Palabek-Atiak-24h'!H30,'04.08 Palabek-Atiak'!H30)</f>
        <v>0</v>
      </c>
      <c r="I30" s="49">
        <f>AVERAGE('31.07 Palabek-Atiak'!I30,'01.08 Palabek-Atiak'!I30,'05.08 Palabek-Atiak'!I30,'06.08 Palabek-Atiak'!I30,'02.08 Palabek-Atiak-24h'!I30,'03.08 Palabek-Atiak-24h'!I30,'04.08 Palabek-Atiak'!I30)</f>
        <v>0.14285714285714285</v>
      </c>
      <c r="J30" s="49">
        <f>AVERAGE('31.07 Palabek-Atiak'!J30,'01.08 Palabek-Atiak'!J30,'05.08 Palabek-Atiak'!J30,'06.08 Palabek-Atiak'!J30,'02.08 Palabek-Atiak-24h'!J30,'03.08 Palabek-Atiak-24h'!J30,'04.08 Palabek-Atiak'!J30)</f>
        <v>0</v>
      </c>
      <c r="K30" s="49">
        <f>AVERAGE('31.07 Palabek-Atiak'!K30,'01.08 Palabek-Atiak'!K30,'05.08 Palabek-Atiak'!K30,'06.08 Palabek-Atiak'!K30,'02.08 Palabek-Atiak-24h'!K30,'03.08 Palabek-Atiak-24h'!K30,'04.08 Palabek-Atiak'!K30)</f>
        <v>0</v>
      </c>
      <c r="L30" s="49">
        <f>AVERAGE('31.07 Palabek-Atiak'!L30,'01.08 Palabek-Atiak'!L30,'05.08 Palabek-Atiak'!L30,'06.08 Palabek-Atiak'!L30,'02.08 Palabek-Atiak-24h'!L30,'03.08 Palabek-Atiak-24h'!L30,'04.08 Palabek-Atiak'!L30)</f>
        <v>0.5714285714285714</v>
      </c>
      <c r="M30" s="49">
        <f>AVERAGE('31.07 Palabek-Atiak'!M30,'01.08 Palabek-Atiak'!M30,'05.08 Palabek-Atiak'!M30,'06.08 Palabek-Atiak'!M30,'02.08 Palabek-Atiak-24h'!M30,'03.08 Palabek-Atiak-24h'!M30,'04.08 Palabek-Atiak'!M30)</f>
        <v>1.1428571428571428</v>
      </c>
      <c r="N30" s="49">
        <f>AVERAGE('31.07 Palabek-Atiak'!N30,'01.08 Palabek-Atiak'!N30,'05.08 Palabek-Atiak'!N30,'06.08 Palabek-Atiak'!N30,'02.08 Palabek-Atiak-24h'!N30,'03.08 Palabek-Atiak-24h'!N30,'04.08 Palabek-Atiak'!N30)</f>
        <v>0</v>
      </c>
      <c r="O30" s="15">
        <f t="shared" si="0"/>
        <v>1.4285714285714286</v>
      </c>
      <c r="P30" s="15">
        <f t="shared" si="1"/>
        <v>2.5714285714285712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AVERAGE('31.07 Palabek-Atiak'!C31,'01.08 Palabek-Atiak'!C31,'05.08 Palabek-Atiak'!C31,'06.08 Palabek-Atiak'!C31,'02.08 Palabek-Atiak-24h'!C31,'03.08 Palabek-Atiak-24h'!C31,'04.08 Palabek-Atiak'!C31)</f>
        <v>0.14285714285714285</v>
      </c>
      <c r="D31" s="49">
        <f>AVERAGE('31.07 Palabek-Atiak'!D31,'01.08 Palabek-Atiak'!D31,'05.08 Palabek-Atiak'!D31,'06.08 Palabek-Atiak'!D31,'02.08 Palabek-Atiak-24h'!D31,'03.08 Palabek-Atiak-24h'!D31,'04.08 Palabek-Atiak'!D31)</f>
        <v>0</v>
      </c>
      <c r="E31" s="49">
        <f>AVERAGE('31.07 Palabek-Atiak'!E31,'01.08 Palabek-Atiak'!E31,'05.08 Palabek-Atiak'!E31,'06.08 Palabek-Atiak'!E31,'02.08 Palabek-Atiak-24h'!E31,'03.08 Palabek-Atiak-24h'!E31,'04.08 Palabek-Atiak'!E31)</f>
        <v>0</v>
      </c>
      <c r="F31" s="49">
        <f>AVERAGE('31.07 Palabek-Atiak'!F31,'01.08 Palabek-Atiak'!F31,'05.08 Palabek-Atiak'!F31,'06.08 Palabek-Atiak'!F31,'02.08 Palabek-Atiak-24h'!F31,'03.08 Palabek-Atiak-24h'!F31,'04.08 Palabek-Atiak'!F31)</f>
        <v>0.2857142857142857</v>
      </c>
      <c r="G31" s="49">
        <f>AVERAGE('31.07 Palabek-Atiak'!G31,'01.08 Palabek-Atiak'!G31,'05.08 Palabek-Atiak'!G31,'06.08 Palabek-Atiak'!G31,'02.08 Palabek-Atiak-24h'!G31,'03.08 Palabek-Atiak-24h'!G31,'04.08 Palabek-Atiak'!G31)</f>
        <v>0</v>
      </c>
      <c r="H31" s="49">
        <f>AVERAGE('31.07 Palabek-Atiak'!H31,'01.08 Palabek-Atiak'!H31,'05.08 Palabek-Atiak'!H31,'06.08 Palabek-Atiak'!H31,'02.08 Palabek-Atiak-24h'!H31,'03.08 Palabek-Atiak-24h'!H31,'04.08 Palabek-Atiak'!H31)</f>
        <v>0</v>
      </c>
      <c r="I31" s="49">
        <f>AVERAGE('31.07 Palabek-Atiak'!I31,'01.08 Palabek-Atiak'!I31,'05.08 Palabek-Atiak'!I31,'06.08 Palabek-Atiak'!I31,'02.08 Palabek-Atiak-24h'!I31,'03.08 Palabek-Atiak-24h'!I31,'04.08 Palabek-Atiak'!I31)</f>
        <v>0.14285714285714285</v>
      </c>
      <c r="J31" s="49">
        <f>AVERAGE('31.07 Palabek-Atiak'!J31,'01.08 Palabek-Atiak'!J31,'05.08 Palabek-Atiak'!J31,'06.08 Palabek-Atiak'!J31,'02.08 Palabek-Atiak-24h'!J31,'03.08 Palabek-Atiak-24h'!J31,'04.08 Palabek-Atiak'!J31)</f>
        <v>0</v>
      </c>
      <c r="K31" s="49">
        <f>AVERAGE('31.07 Palabek-Atiak'!K31,'01.08 Palabek-Atiak'!K31,'05.08 Palabek-Atiak'!K31,'06.08 Palabek-Atiak'!K31,'02.08 Palabek-Atiak-24h'!K31,'03.08 Palabek-Atiak-24h'!K31,'04.08 Palabek-Atiak'!K31)</f>
        <v>0</v>
      </c>
      <c r="L31" s="49">
        <f>AVERAGE('31.07 Palabek-Atiak'!L31,'01.08 Palabek-Atiak'!L31,'05.08 Palabek-Atiak'!L31,'06.08 Palabek-Atiak'!L31,'02.08 Palabek-Atiak-24h'!L31,'03.08 Palabek-Atiak-24h'!L31,'04.08 Palabek-Atiak'!L31)</f>
        <v>0.8571428571428571</v>
      </c>
      <c r="M31" s="49">
        <f>AVERAGE('31.07 Palabek-Atiak'!M31,'01.08 Palabek-Atiak'!M31,'05.08 Palabek-Atiak'!M31,'06.08 Palabek-Atiak'!M31,'02.08 Palabek-Atiak-24h'!M31,'03.08 Palabek-Atiak-24h'!M31,'04.08 Palabek-Atiak'!M31)</f>
        <v>3.7142857142857144</v>
      </c>
      <c r="N31" s="49">
        <f>AVERAGE('31.07 Palabek-Atiak'!N31,'01.08 Palabek-Atiak'!N31,'05.08 Palabek-Atiak'!N31,'06.08 Palabek-Atiak'!N31,'02.08 Palabek-Atiak-24h'!N31,'03.08 Palabek-Atiak-24h'!N31,'04.08 Palabek-Atiak'!N31)</f>
        <v>0</v>
      </c>
      <c r="O31" s="15">
        <f t="shared" si="0"/>
        <v>1.4285714285714284</v>
      </c>
      <c r="P31" s="15">
        <f t="shared" si="1"/>
        <v>5.1428571428571423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AVERAGE('31.07 Palabek-Atiak'!C32,'01.08 Palabek-Atiak'!C32,'05.08 Palabek-Atiak'!C32,'06.08 Palabek-Atiak'!C32,'02.08 Palabek-Atiak-24h'!C32,'03.08 Palabek-Atiak-24h'!C32,'04.08 Palabek-Atiak'!C32)</f>
        <v>0</v>
      </c>
      <c r="D32" s="49">
        <f>AVERAGE('31.07 Palabek-Atiak'!D32,'01.08 Palabek-Atiak'!D32,'05.08 Palabek-Atiak'!D32,'06.08 Palabek-Atiak'!D32,'02.08 Palabek-Atiak-24h'!D32,'03.08 Palabek-Atiak-24h'!D32,'04.08 Palabek-Atiak'!D32)</f>
        <v>0</v>
      </c>
      <c r="E32" s="49">
        <f>AVERAGE('31.07 Palabek-Atiak'!E32,'01.08 Palabek-Atiak'!E32,'05.08 Palabek-Atiak'!E32,'06.08 Palabek-Atiak'!E32,'02.08 Palabek-Atiak-24h'!E32,'03.08 Palabek-Atiak-24h'!E32,'04.08 Palabek-Atiak'!E32)</f>
        <v>0.14285714285714285</v>
      </c>
      <c r="F32" s="49">
        <f>AVERAGE('31.07 Palabek-Atiak'!F32,'01.08 Palabek-Atiak'!F32,'05.08 Palabek-Atiak'!F32,'06.08 Palabek-Atiak'!F32,'02.08 Palabek-Atiak-24h'!F32,'03.08 Palabek-Atiak-24h'!F32,'04.08 Palabek-Atiak'!F32)</f>
        <v>0.42857142857142855</v>
      </c>
      <c r="G32" s="49">
        <f>AVERAGE('31.07 Palabek-Atiak'!G32,'01.08 Palabek-Atiak'!G32,'05.08 Palabek-Atiak'!G32,'06.08 Palabek-Atiak'!G32,'02.08 Palabek-Atiak-24h'!G32,'03.08 Palabek-Atiak-24h'!G32,'04.08 Palabek-Atiak'!G32)</f>
        <v>0</v>
      </c>
      <c r="H32" s="49">
        <f>AVERAGE('31.07 Palabek-Atiak'!H32,'01.08 Palabek-Atiak'!H32,'05.08 Palabek-Atiak'!H32,'06.08 Palabek-Atiak'!H32,'02.08 Palabek-Atiak-24h'!H32,'03.08 Palabek-Atiak-24h'!H32,'04.08 Palabek-Atiak'!H32)</f>
        <v>0</v>
      </c>
      <c r="I32" s="49">
        <f>AVERAGE('31.07 Palabek-Atiak'!I32,'01.08 Palabek-Atiak'!I32,'05.08 Palabek-Atiak'!I32,'06.08 Palabek-Atiak'!I32,'02.08 Palabek-Atiak-24h'!I32,'03.08 Palabek-Atiak-24h'!I32,'04.08 Palabek-Atiak'!I32)</f>
        <v>0.42857142857142855</v>
      </c>
      <c r="J32" s="49">
        <f>AVERAGE('31.07 Palabek-Atiak'!J32,'01.08 Palabek-Atiak'!J32,'05.08 Palabek-Atiak'!J32,'06.08 Palabek-Atiak'!J32,'02.08 Palabek-Atiak-24h'!J32,'03.08 Palabek-Atiak-24h'!J32,'04.08 Palabek-Atiak'!J32)</f>
        <v>0</v>
      </c>
      <c r="K32" s="49">
        <f>AVERAGE('31.07 Palabek-Atiak'!K32,'01.08 Palabek-Atiak'!K32,'05.08 Palabek-Atiak'!K32,'06.08 Palabek-Atiak'!K32,'02.08 Palabek-Atiak-24h'!K32,'03.08 Palabek-Atiak-24h'!K32,'04.08 Palabek-Atiak'!K32)</f>
        <v>0</v>
      </c>
      <c r="L32" s="49">
        <f>AVERAGE('31.07 Palabek-Atiak'!L32,'01.08 Palabek-Atiak'!L32,'05.08 Palabek-Atiak'!L32,'06.08 Palabek-Atiak'!L32,'02.08 Palabek-Atiak-24h'!L32,'03.08 Palabek-Atiak-24h'!L32,'04.08 Palabek-Atiak'!L32)</f>
        <v>0.8571428571428571</v>
      </c>
      <c r="M32" s="49">
        <f>AVERAGE('31.07 Palabek-Atiak'!M32,'01.08 Palabek-Atiak'!M32,'05.08 Palabek-Atiak'!M32,'06.08 Palabek-Atiak'!M32,'02.08 Palabek-Atiak-24h'!M32,'03.08 Palabek-Atiak-24h'!M32,'04.08 Palabek-Atiak'!M32)</f>
        <v>3.8571428571428572</v>
      </c>
      <c r="N32" s="49">
        <f>AVERAGE('31.07 Palabek-Atiak'!N32,'01.08 Palabek-Atiak'!N32,'05.08 Palabek-Atiak'!N32,'06.08 Palabek-Atiak'!N32,'02.08 Palabek-Atiak-24h'!N32,'03.08 Palabek-Atiak-24h'!N32,'04.08 Palabek-Atiak'!N32)</f>
        <v>0</v>
      </c>
      <c r="O32" s="15">
        <f t="shared" si="0"/>
        <v>1.8571428571428572</v>
      </c>
      <c r="P32" s="15">
        <f t="shared" si="1"/>
        <v>5.7142857142857144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1.5</v>
      </c>
      <c r="AD32" s="34">
        <f t="shared" si="24"/>
        <v>0</v>
      </c>
      <c r="AE32" s="31">
        <f t="shared" si="24"/>
        <v>0</v>
      </c>
      <c r="AF32" s="31">
        <f t="shared" si="24"/>
        <v>1.5</v>
      </c>
    </row>
    <row r="33" spans="2:32" ht="23.1" customHeight="1" x14ac:dyDescent="0.25">
      <c r="B33" s="23" t="s">
        <v>60</v>
      </c>
      <c r="C33" s="49">
        <f>AVERAGE('31.07 Palabek-Atiak'!C33,'01.08 Palabek-Atiak'!C33,'05.08 Palabek-Atiak'!C33,'06.08 Palabek-Atiak'!C33,'02.08 Palabek-Atiak-24h'!C33,'03.08 Palabek-Atiak-24h'!C33,'04.08 Palabek-Atiak'!C33)</f>
        <v>0.14285714285714285</v>
      </c>
      <c r="D33" s="49">
        <f>AVERAGE('31.07 Palabek-Atiak'!D33,'01.08 Palabek-Atiak'!D33,'05.08 Palabek-Atiak'!D33,'06.08 Palabek-Atiak'!D33,'02.08 Palabek-Atiak-24h'!D33,'03.08 Palabek-Atiak-24h'!D33,'04.08 Palabek-Atiak'!D33)</f>
        <v>0</v>
      </c>
      <c r="E33" s="49">
        <f>AVERAGE('31.07 Palabek-Atiak'!E33,'01.08 Palabek-Atiak'!E33,'05.08 Palabek-Atiak'!E33,'06.08 Palabek-Atiak'!E33,'02.08 Palabek-Atiak-24h'!E33,'03.08 Palabek-Atiak-24h'!E33,'04.08 Palabek-Atiak'!E33)</f>
        <v>0.14285714285714285</v>
      </c>
      <c r="F33" s="49">
        <f>AVERAGE('31.07 Palabek-Atiak'!F33,'01.08 Palabek-Atiak'!F33,'05.08 Palabek-Atiak'!F33,'06.08 Palabek-Atiak'!F33,'02.08 Palabek-Atiak-24h'!F33,'03.08 Palabek-Atiak-24h'!F33,'04.08 Palabek-Atiak'!F33)</f>
        <v>0.14285714285714285</v>
      </c>
      <c r="G33" s="49">
        <f>AVERAGE('31.07 Palabek-Atiak'!G33,'01.08 Palabek-Atiak'!G33,'05.08 Palabek-Atiak'!G33,'06.08 Palabek-Atiak'!G33,'02.08 Palabek-Atiak-24h'!G33,'03.08 Palabek-Atiak-24h'!G33,'04.08 Palabek-Atiak'!G33)</f>
        <v>0</v>
      </c>
      <c r="H33" s="49">
        <f>AVERAGE('31.07 Palabek-Atiak'!H33,'01.08 Palabek-Atiak'!H33,'05.08 Palabek-Atiak'!H33,'06.08 Palabek-Atiak'!H33,'02.08 Palabek-Atiak-24h'!H33,'03.08 Palabek-Atiak-24h'!H33,'04.08 Palabek-Atiak'!H33)</f>
        <v>0</v>
      </c>
      <c r="I33" s="49">
        <f>AVERAGE('31.07 Palabek-Atiak'!I33,'01.08 Palabek-Atiak'!I33,'05.08 Palabek-Atiak'!I33,'06.08 Palabek-Atiak'!I33,'02.08 Palabek-Atiak-24h'!I33,'03.08 Palabek-Atiak-24h'!I33,'04.08 Palabek-Atiak'!I33)</f>
        <v>0.2857142857142857</v>
      </c>
      <c r="J33" s="49">
        <f>AVERAGE('31.07 Palabek-Atiak'!J33,'01.08 Palabek-Atiak'!J33,'05.08 Palabek-Atiak'!J33,'06.08 Palabek-Atiak'!J33,'02.08 Palabek-Atiak-24h'!J33,'03.08 Palabek-Atiak-24h'!J33,'04.08 Palabek-Atiak'!J33)</f>
        <v>0</v>
      </c>
      <c r="K33" s="49">
        <f>AVERAGE('31.07 Palabek-Atiak'!K33,'01.08 Palabek-Atiak'!K33,'05.08 Palabek-Atiak'!K33,'06.08 Palabek-Atiak'!K33,'02.08 Palabek-Atiak-24h'!K33,'03.08 Palabek-Atiak-24h'!K33,'04.08 Palabek-Atiak'!K33)</f>
        <v>0</v>
      </c>
      <c r="L33" s="49">
        <f>AVERAGE('31.07 Palabek-Atiak'!L33,'01.08 Palabek-Atiak'!L33,'05.08 Palabek-Atiak'!L33,'06.08 Palabek-Atiak'!L33,'02.08 Palabek-Atiak-24h'!L33,'03.08 Palabek-Atiak-24h'!L33,'04.08 Palabek-Atiak'!L33)</f>
        <v>0.42857142857142855</v>
      </c>
      <c r="M33" s="49">
        <f>AVERAGE('31.07 Palabek-Atiak'!M33,'01.08 Palabek-Atiak'!M33,'05.08 Palabek-Atiak'!M33,'06.08 Palabek-Atiak'!M33,'02.08 Palabek-Atiak-24h'!M33,'03.08 Palabek-Atiak-24h'!M33,'04.08 Palabek-Atiak'!M33)</f>
        <v>3.2857142857142856</v>
      </c>
      <c r="N33" s="49">
        <f>AVERAGE('31.07 Palabek-Atiak'!N33,'01.08 Palabek-Atiak'!N33,'05.08 Palabek-Atiak'!N33,'06.08 Palabek-Atiak'!N33,'02.08 Palabek-Atiak-24h'!N33,'03.08 Palabek-Atiak-24h'!N33,'04.08 Palabek-Atiak'!N33)</f>
        <v>0</v>
      </c>
      <c r="O33" s="15">
        <f t="shared" si="0"/>
        <v>1.1428571428571428</v>
      </c>
      <c r="P33" s="15">
        <f t="shared" si="1"/>
        <v>4.4285714285714288</v>
      </c>
      <c r="R33" s="1" t="s">
        <v>157</v>
      </c>
      <c r="S33" s="34">
        <f>SUM(C102:C105)</f>
        <v>0.5</v>
      </c>
      <c r="T33" s="34">
        <f t="shared" ref="T33:AF33" si="25">SUM(D102:D105)</f>
        <v>0</v>
      </c>
      <c r="U33" s="34">
        <f t="shared" si="25"/>
        <v>0.5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</v>
      </c>
      <c r="AD33" s="34">
        <f t="shared" si="25"/>
        <v>0</v>
      </c>
      <c r="AE33" s="31">
        <f t="shared" si="25"/>
        <v>1</v>
      </c>
      <c r="AF33" s="31">
        <f t="shared" si="25"/>
        <v>3</v>
      </c>
    </row>
    <row r="34" spans="2:32" ht="23.1" customHeight="1" x14ac:dyDescent="0.25">
      <c r="B34" s="24" t="s">
        <v>61</v>
      </c>
      <c r="C34" s="49">
        <f>AVERAGE('31.07 Palabek-Atiak'!C34,'01.08 Palabek-Atiak'!C34,'05.08 Palabek-Atiak'!C34,'06.08 Palabek-Atiak'!C34,'02.08 Palabek-Atiak-24h'!C34,'03.08 Palabek-Atiak-24h'!C34,'04.08 Palabek-Atiak'!C34)</f>
        <v>0.14285714285714285</v>
      </c>
      <c r="D34" s="49">
        <f>AVERAGE('31.07 Palabek-Atiak'!D34,'01.08 Palabek-Atiak'!D34,'05.08 Palabek-Atiak'!D34,'06.08 Palabek-Atiak'!D34,'02.08 Palabek-Atiak-24h'!D34,'03.08 Palabek-Atiak-24h'!D34,'04.08 Palabek-Atiak'!D34)</f>
        <v>0</v>
      </c>
      <c r="E34" s="49">
        <f>AVERAGE('31.07 Palabek-Atiak'!E34,'01.08 Palabek-Atiak'!E34,'05.08 Palabek-Atiak'!E34,'06.08 Palabek-Atiak'!E34,'02.08 Palabek-Atiak-24h'!E34,'03.08 Palabek-Atiak-24h'!E34,'04.08 Palabek-Atiak'!E34)</f>
        <v>0.14285714285714285</v>
      </c>
      <c r="F34" s="49">
        <f>AVERAGE('31.07 Palabek-Atiak'!F34,'01.08 Palabek-Atiak'!F34,'05.08 Palabek-Atiak'!F34,'06.08 Palabek-Atiak'!F34,'02.08 Palabek-Atiak-24h'!F34,'03.08 Palabek-Atiak-24h'!F34,'04.08 Palabek-Atiak'!F34)</f>
        <v>0.14285714285714285</v>
      </c>
      <c r="G34" s="49">
        <f>AVERAGE('31.07 Palabek-Atiak'!G34,'01.08 Palabek-Atiak'!G34,'05.08 Palabek-Atiak'!G34,'06.08 Palabek-Atiak'!G34,'02.08 Palabek-Atiak-24h'!G34,'03.08 Palabek-Atiak-24h'!G34,'04.08 Palabek-Atiak'!G34)</f>
        <v>0</v>
      </c>
      <c r="H34" s="49">
        <f>AVERAGE('31.07 Palabek-Atiak'!H34,'01.08 Palabek-Atiak'!H34,'05.08 Palabek-Atiak'!H34,'06.08 Palabek-Atiak'!H34,'02.08 Palabek-Atiak-24h'!H34,'03.08 Palabek-Atiak-24h'!H34,'04.08 Palabek-Atiak'!H34)</f>
        <v>0</v>
      </c>
      <c r="I34" s="49">
        <f>AVERAGE('31.07 Palabek-Atiak'!I34,'01.08 Palabek-Atiak'!I34,'05.08 Palabek-Atiak'!I34,'06.08 Palabek-Atiak'!I34,'02.08 Palabek-Atiak-24h'!I34,'03.08 Palabek-Atiak-24h'!I34,'04.08 Palabek-Atiak'!I34)</f>
        <v>0.7142857142857143</v>
      </c>
      <c r="J34" s="49">
        <f>AVERAGE('31.07 Palabek-Atiak'!J34,'01.08 Palabek-Atiak'!J34,'05.08 Palabek-Atiak'!J34,'06.08 Palabek-Atiak'!J34,'02.08 Palabek-Atiak-24h'!J34,'03.08 Palabek-Atiak-24h'!J34,'04.08 Palabek-Atiak'!J34)</f>
        <v>0</v>
      </c>
      <c r="K34" s="49">
        <f>AVERAGE('31.07 Palabek-Atiak'!K34,'01.08 Palabek-Atiak'!K34,'05.08 Palabek-Atiak'!K34,'06.08 Palabek-Atiak'!K34,'02.08 Palabek-Atiak-24h'!K34,'03.08 Palabek-Atiak-24h'!K34,'04.08 Palabek-Atiak'!K34)</f>
        <v>0</v>
      </c>
      <c r="L34" s="49">
        <f>AVERAGE('31.07 Palabek-Atiak'!L34,'01.08 Palabek-Atiak'!L34,'05.08 Palabek-Atiak'!L34,'06.08 Palabek-Atiak'!L34,'02.08 Palabek-Atiak-24h'!L34,'03.08 Palabek-Atiak-24h'!L34,'04.08 Palabek-Atiak'!L34)</f>
        <v>0</v>
      </c>
      <c r="M34" s="49">
        <f>AVERAGE('31.07 Palabek-Atiak'!M34,'01.08 Palabek-Atiak'!M34,'05.08 Palabek-Atiak'!M34,'06.08 Palabek-Atiak'!M34,'02.08 Palabek-Atiak-24h'!M34,'03.08 Palabek-Atiak-24h'!M34,'04.08 Palabek-Atiak'!M34)</f>
        <v>3.8571428571428572</v>
      </c>
      <c r="N34" s="49">
        <f>AVERAGE('31.07 Palabek-Atiak'!N34,'01.08 Palabek-Atiak'!N34,'05.08 Palabek-Atiak'!N34,'06.08 Palabek-Atiak'!N34,'02.08 Palabek-Atiak-24h'!N34,'03.08 Palabek-Atiak-24h'!N34,'04.08 Palabek-Atiak'!N34)</f>
        <v>0</v>
      </c>
      <c r="O34" s="15">
        <f t="shared" si="0"/>
        <v>1.1428571428571428</v>
      </c>
      <c r="P34" s="15">
        <f t="shared" si="1"/>
        <v>5</v>
      </c>
      <c r="R34" s="51" t="s">
        <v>90</v>
      </c>
      <c r="S34" s="52">
        <f t="shared" ref="S34:AF34" si="26">MAX(S10:S12)</f>
        <v>0.14285714285714285</v>
      </c>
      <c r="T34" s="52">
        <f t="shared" si="26"/>
        <v>0</v>
      </c>
      <c r="U34" s="52">
        <f t="shared" si="26"/>
        <v>0.5714285714285714</v>
      </c>
      <c r="V34" s="52">
        <f t="shared" si="26"/>
        <v>0.85714285714285698</v>
      </c>
      <c r="W34" s="52">
        <f t="shared" si="26"/>
        <v>0</v>
      </c>
      <c r="X34" s="52">
        <f t="shared" si="26"/>
        <v>0.14285714285714285</v>
      </c>
      <c r="Y34" s="52">
        <f t="shared" si="26"/>
        <v>1</v>
      </c>
      <c r="Z34" s="52">
        <f t="shared" si="26"/>
        <v>0</v>
      </c>
      <c r="AA34" s="52">
        <f t="shared" si="26"/>
        <v>0</v>
      </c>
      <c r="AB34" s="52">
        <f t="shared" si="26"/>
        <v>1.7142857142857142</v>
      </c>
      <c r="AC34" s="52">
        <f t="shared" si="26"/>
        <v>15.571428571428569</v>
      </c>
      <c r="AD34" s="52">
        <f t="shared" si="26"/>
        <v>0</v>
      </c>
      <c r="AE34" s="40">
        <f t="shared" si="26"/>
        <v>4.4285714285714288</v>
      </c>
      <c r="AF34" s="40">
        <f t="shared" si="26"/>
        <v>20</v>
      </c>
    </row>
    <row r="35" spans="2:32" ht="23.1" customHeight="1" x14ac:dyDescent="0.25">
      <c r="B35" s="24" t="s">
        <v>62</v>
      </c>
      <c r="C35" s="49">
        <f>AVERAGE('31.07 Palabek-Atiak'!C35,'01.08 Palabek-Atiak'!C35,'05.08 Palabek-Atiak'!C35,'06.08 Palabek-Atiak'!C35,'02.08 Palabek-Atiak-24h'!C35,'03.08 Palabek-Atiak-24h'!C35,'04.08 Palabek-Atiak'!C35)</f>
        <v>0</v>
      </c>
      <c r="D35" s="49">
        <f>AVERAGE('31.07 Palabek-Atiak'!D35,'01.08 Palabek-Atiak'!D35,'05.08 Palabek-Atiak'!D35,'06.08 Palabek-Atiak'!D35,'02.08 Palabek-Atiak-24h'!D35,'03.08 Palabek-Atiak-24h'!D35,'04.08 Palabek-Atiak'!D35)</f>
        <v>0</v>
      </c>
      <c r="E35" s="49">
        <f>AVERAGE('31.07 Palabek-Atiak'!E35,'01.08 Palabek-Atiak'!E35,'05.08 Palabek-Atiak'!E35,'06.08 Palabek-Atiak'!E35,'02.08 Palabek-Atiak-24h'!E35,'03.08 Palabek-Atiak-24h'!E35,'04.08 Palabek-Atiak'!E35)</f>
        <v>0</v>
      </c>
      <c r="F35" s="49">
        <f>AVERAGE('31.07 Palabek-Atiak'!F35,'01.08 Palabek-Atiak'!F35,'05.08 Palabek-Atiak'!F35,'06.08 Palabek-Atiak'!F35,'02.08 Palabek-Atiak-24h'!F35,'03.08 Palabek-Atiak-24h'!F35,'04.08 Palabek-Atiak'!F35)</f>
        <v>0.2857142857142857</v>
      </c>
      <c r="G35" s="49">
        <f>AVERAGE('31.07 Palabek-Atiak'!G35,'01.08 Palabek-Atiak'!G35,'05.08 Palabek-Atiak'!G35,'06.08 Palabek-Atiak'!G35,'02.08 Palabek-Atiak-24h'!G35,'03.08 Palabek-Atiak-24h'!G35,'04.08 Palabek-Atiak'!G35)</f>
        <v>0</v>
      </c>
      <c r="H35" s="49">
        <f>AVERAGE('31.07 Palabek-Atiak'!H35,'01.08 Palabek-Atiak'!H35,'05.08 Palabek-Atiak'!H35,'06.08 Palabek-Atiak'!H35,'02.08 Palabek-Atiak-24h'!H35,'03.08 Palabek-Atiak-24h'!H35,'04.08 Palabek-Atiak'!H35)</f>
        <v>0</v>
      </c>
      <c r="I35" s="49">
        <f>AVERAGE('31.07 Palabek-Atiak'!I35,'01.08 Palabek-Atiak'!I35,'05.08 Palabek-Atiak'!I35,'06.08 Palabek-Atiak'!I35,'02.08 Palabek-Atiak-24h'!I35,'03.08 Palabek-Atiak-24h'!I35,'04.08 Palabek-Atiak'!I35)</f>
        <v>0.2857142857142857</v>
      </c>
      <c r="J35" s="49">
        <f>AVERAGE('31.07 Palabek-Atiak'!J35,'01.08 Palabek-Atiak'!J35,'05.08 Palabek-Atiak'!J35,'06.08 Palabek-Atiak'!J35,'02.08 Palabek-Atiak-24h'!J35,'03.08 Palabek-Atiak-24h'!J35,'04.08 Palabek-Atiak'!J35)</f>
        <v>0.2857142857142857</v>
      </c>
      <c r="K35" s="49">
        <f>AVERAGE('31.07 Palabek-Atiak'!K35,'01.08 Palabek-Atiak'!K35,'05.08 Palabek-Atiak'!K35,'06.08 Palabek-Atiak'!K35,'02.08 Palabek-Atiak-24h'!K35,'03.08 Palabek-Atiak-24h'!K35,'04.08 Palabek-Atiak'!K35)</f>
        <v>0</v>
      </c>
      <c r="L35" s="49">
        <f>AVERAGE('31.07 Palabek-Atiak'!L35,'01.08 Palabek-Atiak'!L35,'05.08 Palabek-Atiak'!L35,'06.08 Palabek-Atiak'!L35,'02.08 Palabek-Atiak-24h'!L35,'03.08 Palabek-Atiak-24h'!L35,'04.08 Palabek-Atiak'!L35)</f>
        <v>0.5714285714285714</v>
      </c>
      <c r="M35" s="49">
        <f>AVERAGE('31.07 Palabek-Atiak'!M35,'01.08 Palabek-Atiak'!M35,'05.08 Palabek-Atiak'!M35,'06.08 Palabek-Atiak'!M35,'02.08 Palabek-Atiak-24h'!M35,'03.08 Palabek-Atiak-24h'!M35,'04.08 Palabek-Atiak'!M35)</f>
        <v>2.7142857142857144</v>
      </c>
      <c r="N35" s="49">
        <f>AVERAGE('31.07 Palabek-Atiak'!N35,'01.08 Palabek-Atiak'!N35,'05.08 Palabek-Atiak'!N35,'06.08 Palabek-Atiak'!N35,'02.08 Palabek-Atiak-24h'!N35,'03.08 Palabek-Atiak-24h'!N35,'04.08 Palabek-Atiak'!N35)</f>
        <v>0</v>
      </c>
      <c r="O35" s="15">
        <f t="shared" si="0"/>
        <v>1.4285714285714284</v>
      </c>
      <c r="P35" s="15">
        <f t="shared" si="1"/>
        <v>4.1428571428571423</v>
      </c>
      <c r="R35" s="51" t="s">
        <v>91</v>
      </c>
      <c r="S35" s="52">
        <f t="shared" ref="S35:AF35" si="27">MAX(S13:S18)</f>
        <v>0.5714285714285714</v>
      </c>
      <c r="T35" s="52">
        <f t="shared" si="27"/>
        <v>0</v>
      </c>
      <c r="U35" s="52">
        <f t="shared" si="27"/>
        <v>1.7142857142857144</v>
      </c>
      <c r="V35" s="52">
        <f t="shared" si="27"/>
        <v>1.857142857142857</v>
      </c>
      <c r="W35" s="52">
        <f t="shared" si="27"/>
        <v>0</v>
      </c>
      <c r="X35" s="52">
        <f t="shared" si="27"/>
        <v>0.2857142857142857</v>
      </c>
      <c r="Y35" s="52">
        <f t="shared" si="27"/>
        <v>2.1428571428571428</v>
      </c>
      <c r="Z35" s="52">
        <f t="shared" si="27"/>
        <v>0.2857142857142857</v>
      </c>
      <c r="AA35" s="52">
        <f t="shared" si="27"/>
        <v>0.14285714285714285</v>
      </c>
      <c r="AB35" s="52">
        <f t="shared" si="27"/>
        <v>2.714285714285714</v>
      </c>
      <c r="AC35" s="52">
        <f t="shared" si="27"/>
        <v>16.428571428571431</v>
      </c>
      <c r="AD35" s="52">
        <f t="shared" si="27"/>
        <v>0</v>
      </c>
      <c r="AE35" s="40">
        <f t="shared" si="27"/>
        <v>6.5714285714285712</v>
      </c>
      <c r="AF35" s="40">
        <f t="shared" si="27"/>
        <v>22</v>
      </c>
    </row>
    <row r="36" spans="2:32" ht="23.1" customHeight="1" x14ac:dyDescent="0.25">
      <c r="B36" s="24" t="s">
        <v>63</v>
      </c>
      <c r="C36" s="49">
        <f>AVERAGE('31.07 Palabek-Atiak'!C36,'01.08 Palabek-Atiak'!C36,'05.08 Palabek-Atiak'!C36,'06.08 Palabek-Atiak'!C36,'02.08 Palabek-Atiak-24h'!C36,'03.08 Palabek-Atiak-24h'!C36,'04.08 Palabek-Atiak'!C36)</f>
        <v>0</v>
      </c>
      <c r="D36" s="49">
        <f>AVERAGE('31.07 Palabek-Atiak'!D36,'01.08 Palabek-Atiak'!D36,'05.08 Palabek-Atiak'!D36,'06.08 Palabek-Atiak'!D36,'02.08 Palabek-Atiak-24h'!D36,'03.08 Palabek-Atiak-24h'!D36,'04.08 Palabek-Atiak'!D36)</f>
        <v>0</v>
      </c>
      <c r="E36" s="49">
        <f>AVERAGE('31.07 Palabek-Atiak'!E36,'01.08 Palabek-Atiak'!E36,'05.08 Palabek-Atiak'!E36,'06.08 Palabek-Atiak'!E36,'02.08 Palabek-Atiak-24h'!E36,'03.08 Palabek-Atiak-24h'!E36,'04.08 Palabek-Atiak'!E36)</f>
        <v>1</v>
      </c>
      <c r="F36" s="49">
        <f>AVERAGE('31.07 Palabek-Atiak'!F36,'01.08 Palabek-Atiak'!F36,'05.08 Palabek-Atiak'!F36,'06.08 Palabek-Atiak'!F36,'02.08 Palabek-Atiak-24h'!F36,'03.08 Palabek-Atiak-24h'!F36,'04.08 Palabek-Atiak'!F36)</f>
        <v>0</v>
      </c>
      <c r="G36" s="49">
        <f>AVERAGE('31.07 Palabek-Atiak'!G36,'01.08 Palabek-Atiak'!G36,'05.08 Palabek-Atiak'!G36,'06.08 Palabek-Atiak'!G36,'02.08 Palabek-Atiak-24h'!G36,'03.08 Palabek-Atiak-24h'!G36,'04.08 Palabek-Atiak'!G36)</f>
        <v>0</v>
      </c>
      <c r="H36" s="49">
        <f>AVERAGE('31.07 Palabek-Atiak'!H36,'01.08 Palabek-Atiak'!H36,'05.08 Palabek-Atiak'!H36,'06.08 Palabek-Atiak'!H36,'02.08 Palabek-Atiak-24h'!H36,'03.08 Palabek-Atiak-24h'!H36,'04.08 Palabek-Atiak'!H36)</f>
        <v>0</v>
      </c>
      <c r="I36" s="49">
        <f>AVERAGE('31.07 Palabek-Atiak'!I36,'01.08 Palabek-Atiak'!I36,'05.08 Palabek-Atiak'!I36,'06.08 Palabek-Atiak'!I36,'02.08 Palabek-Atiak-24h'!I36,'03.08 Palabek-Atiak-24h'!I36,'04.08 Palabek-Atiak'!I36)</f>
        <v>0</v>
      </c>
      <c r="J36" s="49">
        <f>AVERAGE('31.07 Palabek-Atiak'!J36,'01.08 Palabek-Atiak'!J36,'05.08 Palabek-Atiak'!J36,'06.08 Palabek-Atiak'!J36,'02.08 Palabek-Atiak-24h'!J36,'03.08 Palabek-Atiak-24h'!J36,'04.08 Palabek-Atiak'!J36)</f>
        <v>0</v>
      </c>
      <c r="K36" s="49">
        <f>AVERAGE('31.07 Palabek-Atiak'!K36,'01.08 Palabek-Atiak'!K36,'05.08 Palabek-Atiak'!K36,'06.08 Palabek-Atiak'!K36,'02.08 Palabek-Atiak-24h'!K36,'03.08 Palabek-Atiak-24h'!K36,'04.08 Palabek-Atiak'!K36)</f>
        <v>0</v>
      </c>
      <c r="L36" s="49">
        <f>AVERAGE('31.07 Palabek-Atiak'!L36,'01.08 Palabek-Atiak'!L36,'05.08 Palabek-Atiak'!L36,'06.08 Palabek-Atiak'!L36,'02.08 Palabek-Atiak-24h'!L36,'03.08 Palabek-Atiak-24h'!L36,'04.08 Palabek-Atiak'!L36)</f>
        <v>0.2857142857142857</v>
      </c>
      <c r="M36" s="49">
        <f>AVERAGE('31.07 Palabek-Atiak'!M36,'01.08 Palabek-Atiak'!M36,'05.08 Palabek-Atiak'!M36,'06.08 Palabek-Atiak'!M36,'02.08 Palabek-Atiak-24h'!M36,'03.08 Palabek-Atiak-24h'!M36,'04.08 Palabek-Atiak'!M36)</f>
        <v>3.5714285714285716</v>
      </c>
      <c r="N36" s="49">
        <f>AVERAGE('31.07 Palabek-Atiak'!N36,'01.08 Palabek-Atiak'!N36,'05.08 Palabek-Atiak'!N36,'06.08 Palabek-Atiak'!N36,'02.08 Palabek-Atiak-24h'!N36,'03.08 Palabek-Atiak-24h'!N36,'04.08 Palabek-Atiak'!N36)</f>
        <v>0</v>
      </c>
      <c r="O36" s="15">
        <f t="shared" si="0"/>
        <v>1.2857142857142856</v>
      </c>
      <c r="P36" s="15">
        <f t="shared" si="1"/>
        <v>4.8571428571428577</v>
      </c>
      <c r="R36" s="51" t="s">
        <v>92</v>
      </c>
      <c r="S36" s="52">
        <f t="shared" ref="S36:AF36" si="28">MAX(S19:S21)</f>
        <v>0.42857142857142855</v>
      </c>
      <c r="T36" s="52">
        <f t="shared" si="28"/>
        <v>0</v>
      </c>
      <c r="U36" s="52">
        <f t="shared" si="28"/>
        <v>2.1428571428571428</v>
      </c>
      <c r="V36" s="52">
        <f t="shared" si="28"/>
        <v>1.5714285714285712</v>
      </c>
      <c r="W36" s="52">
        <f t="shared" si="28"/>
        <v>0.14285714285714285</v>
      </c>
      <c r="X36" s="52">
        <f t="shared" si="28"/>
        <v>0</v>
      </c>
      <c r="Y36" s="52">
        <f t="shared" si="28"/>
        <v>1.2857142857142856</v>
      </c>
      <c r="Z36" s="52">
        <f t="shared" si="28"/>
        <v>0</v>
      </c>
      <c r="AA36" s="52">
        <f t="shared" si="28"/>
        <v>0.14285714285714285</v>
      </c>
      <c r="AB36" s="52">
        <f t="shared" si="28"/>
        <v>1.2857142857142856</v>
      </c>
      <c r="AC36" s="52">
        <f t="shared" si="28"/>
        <v>14.571428571428573</v>
      </c>
      <c r="AD36" s="52">
        <f t="shared" si="28"/>
        <v>0</v>
      </c>
      <c r="AE36" s="40">
        <f t="shared" si="28"/>
        <v>5.7142857142857144</v>
      </c>
      <c r="AF36" s="40">
        <f t="shared" si="28"/>
        <v>20.285714285714285</v>
      </c>
    </row>
    <row r="37" spans="2:32" ht="23.1" customHeight="1" x14ac:dyDescent="0.25">
      <c r="B37" s="23" t="s">
        <v>64</v>
      </c>
      <c r="C37" s="49">
        <f>AVERAGE('31.07 Palabek-Atiak'!C37,'01.08 Palabek-Atiak'!C37,'05.08 Palabek-Atiak'!C37,'06.08 Palabek-Atiak'!C37,'02.08 Palabek-Atiak-24h'!C37,'03.08 Palabek-Atiak-24h'!C37,'04.08 Palabek-Atiak'!C37)</f>
        <v>0.14285714285714285</v>
      </c>
      <c r="D37" s="49">
        <f>AVERAGE('31.07 Palabek-Atiak'!D37,'01.08 Palabek-Atiak'!D37,'05.08 Palabek-Atiak'!D37,'06.08 Palabek-Atiak'!D37,'02.08 Palabek-Atiak-24h'!D37,'03.08 Palabek-Atiak-24h'!D37,'04.08 Palabek-Atiak'!D37)</f>
        <v>0</v>
      </c>
      <c r="E37" s="49">
        <f>AVERAGE('31.07 Palabek-Atiak'!E37,'01.08 Palabek-Atiak'!E37,'05.08 Palabek-Atiak'!E37,'06.08 Palabek-Atiak'!E37,'02.08 Palabek-Atiak-24h'!E37,'03.08 Palabek-Atiak-24h'!E37,'04.08 Palabek-Atiak'!E37)</f>
        <v>0</v>
      </c>
      <c r="F37" s="49">
        <f>AVERAGE('31.07 Palabek-Atiak'!F37,'01.08 Palabek-Atiak'!F37,'05.08 Palabek-Atiak'!F37,'06.08 Palabek-Atiak'!F37,'02.08 Palabek-Atiak-24h'!F37,'03.08 Palabek-Atiak-24h'!F37,'04.08 Palabek-Atiak'!F37)</f>
        <v>0.14285714285714285</v>
      </c>
      <c r="G37" s="49">
        <f>AVERAGE('31.07 Palabek-Atiak'!G37,'01.08 Palabek-Atiak'!G37,'05.08 Palabek-Atiak'!G37,'06.08 Palabek-Atiak'!G37,'02.08 Palabek-Atiak-24h'!G37,'03.08 Palabek-Atiak-24h'!G37,'04.08 Palabek-Atiak'!G37)</f>
        <v>0</v>
      </c>
      <c r="H37" s="49">
        <f>AVERAGE('31.07 Palabek-Atiak'!H37,'01.08 Palabek-Atiak'!H37,'05.08 Palabek-Atiak'!H37,'06.08 Palabek-Atiak'!H37,'02.08 Palabek-Atiak-24h'!H37,'03.08 Palabek-Atiak-24h'!H37,'04.08 Palabek-Atiak'!H37)</f>
        <v>0</v>
      </c>
      <c r="I37" s="49">
        <f>AVERAGE('31.07 Palabek-Atiak'!I37,'01.08 Palabek-Atiak'!I37,'05.08 Palabek-Atiak'!I37,'06.08 Palabek-Atiak'!I37,'02.08 Palabek-Atiak-24h'!I37,'03.08 Palabek-Atiak-24h'!I37,'04.08 Palabek-Atiak'!I37)</f>
        <v>0.14285714285714285</v>
      </c>
      <c r="J37" s="49">
        <f>AVERAGE('31.07 Palabek-Atiak'!J37,'01.08 Palabek-Atiak'!J37,'05.08 Palabek-Atiak'!J37,'06.08 Palabek-Atiak'!J37,'02.08 Palabek-Atiak-24h'!J37,'03.08 Palabek-Atiak-24h'!J37,'04.08 Palabek-Atiak'!J37)</f>
        <v>0</v>
      </c>
      <c r="K37" s="49">
        <f>AVERAGE('31.07 Palabek-Atiak'!K37,'01.08 Palabek-Atiak'!K37,'05.08 Palabek-Atiak'!K37,'06.08 Palabek-Atiak'!K37,'02.08 Palabek-Atiak-24h'!K37,'03.08 Palabek-Atiak-24h'!K37,'04.08 Palabek-Atiak'!K37)</f>
        <v>0</v>
      </c>
      <c r="L37" s="49">
        <f>AVERAGE('31.07 Palabek-Atiak'!L37,'01.08 Palabek-Atiak'!L37,'05.08 Palabek-Atiak'!L37,'06.08 Palabek-Atiak'!L37,'02.08 Palabek-Atiak-24h'!L37,'03.08 Palabek-Atiak-24h'!L37,'04.08 Palabek-Atiak'!L37)</f>
        <v>0.14285714285714285</v>
      </c>
      <c r="M37" s="49">
        <f>AVERAGE('31.07 Palabek-Atiak'!M37,'01.08 Palabek-Atiak'!M37,'05.08 Palabek-Atiak'!M37,'06.08 Palabek-Atiak'!M37,'02.08 Palabek-Atiak-24h'!M37,'03.08 Palabek-Atiak-24h'!M37,'04.08 Palabek-Atiak'!M37)</f>
        <v>2.1428571428571428</v>
      </c>
      <c r="N37" s="49">
        <f>AVERAGE('31.07 Palabek-Atiak'!N37,'01.08 Palabek-Atiak'!N37,'05.08 Palabek-Atiak'!N37,'06.08 Palabek-Atiak'!N37,'02.08 Palabek-Atiak-24h'!N37,'03.08 Palabek-Atiak-24h'!N37,'04.08 Palabek-Atiak'!N37)</f>
        <v>0</v>
      </c>
      <c r="O37" s="15">
        <f t="shared" si="0"/>
        <v>0.5714285714285714</v>
      </c>
      <c r="P37" s="15">
        <f t="shared" si="1"/>
        <v>2.7142857142857144</v>
      </c>
      <c r="R37" s="37" t="s">
        <v>85</v>
      </c>
      <c r="S37" s="35">
        <f t="shared" ref="S37:AF37" si="29">SUM(S10:S12)</f>
        <v>0.2857142857142857</v>
      </c>
      <c r="T37" s="16">
        <f t="shared" si="29"/>
        <v>0</v>
      </c>
      <c r="U37" s="16">
        <f t="shared" si="29"/>
        <v>0.71428571428571419</v>
      </c>
      <c r="V37" s="16">
        <f t="shared" si="29"/>
        <v>1.1428571428571428</v>
      </c>
      <c r="W37" s="16">
        <f t="shared" si="29"/>
        <v>0</v>
      </c>
      <c r="X37" s="16">
        <f t="shared" si="29"/>
        <v>0.14285714285714285</v>
      </c>
      <c r="Y37" s="16">
        <f t="shared" si="29"/>
        <v>2</v>
      </c>
      <c r="Z37" s="16">
        <f t="shared" si="29"/>
        <v>0</v>
      </c>
      <c r="AA37" s="16">
        <f t="shared" si="29"/>
        <v>0</v>
      </c>
      <c r="AB37" s="16">
        <f t="shared" si="29"/>
        <v>2.8571428571428568</v>
      </c>
      <c r="AC37" s="16">
        <f t="shared" si="29"/>
        <v>26.857142857142854</v>
      </c>
      <c r="AD37" s="16">
        <f t="shared" si="29"/>
        <v>0</v>
      </c>
      <c r="AE37" s="32">
        <f t="shared" si="29"/>
        <v>7.1428571428571423</v>
      </c>
      <c r="AF37" s="32">
        <f t="shared" si="29"/>
        <v>34</v>
      </c>
    </row>
    <row r="38" spans="2:32" ht="23.1" customHeight="1" x14ac:dyDescent="0.25">
      <c r="B38" s="24" t="s">
        <v>65</v>
      </c>
      <c r="C38" s="49">
        <f>AVERAGE('31.07 Palabek-Atiak'!C38,'01.08 Palabek-Atiak'!C38,'05.08 Palabek-Atiak'!C38,'06.08 Palabek-Atiak'!C38,'02.08 Palabek-Atiak-24h'!C38,'03.08 Palabek-Atiak-24h'!C38,'04.08 Palabek-Atiak'!C38)</f>
        <v>0.14285714285714285</v>
      </c>
      <c r="D38" s="49">
        <f>AVERAGE('31.07 Palabek-Atiak'!D38,'01.08 Palabek-Atiak'!D38,'05.08 Palabek-Atiak'!D38,'06.08 Palabek-Atiak'!D38,'02.08 Palabek-Atiak-24h'!D38,'03.08 Palabek-Atiak-24h'!D38,'04.08 Palabek-Atiak'!D38)</f>
        <v>0</v>
      </c>
      <c r="E38" s="49">
        <f>AVERAGE('31.07 Palabek-Atiak'!E38,'01.08 Palabek-Atiak'!E38,'05.08 Palabek-Atiak'!E38,'06.08 Palabek-Atiak'!E38,'02.08 Palabek-Atiak-24h'!E38,'03.08 Palabek-Atiak-24h'!E38,'04.08 Palabek-Atiak'!E38)</f>
        <v>0.14285714285714285</v>
      </c>
      <c r="F38" s="49">
        <f>AVERAGE('31.07 Palabek-Atiak'!F38,'01.08 Palabek-Atiak'!F38,'05.08 Palabek-Atiak'!F38,'06.08 Palabek-Atiak'!F38,'02.08 Palabek-Atiak-24h'!F38,'03.08 Palabek-Atiak-24h'!F38,'04.08 Palabek-Atiak'!F38)</f>
        <v>0.2857142857142857</v>
      </c>
      <c r="G38" s="49">
        <f>AVERAGE('31.07 Palabek-Atiak'!G38,'01.08 Palabek-Atiak'!G38,'05.08 Palabek-Atiak'!G38,'06.08 Palabek-Atiak'!G38,'02.08 Palabek-Atiak-24h'!G38,'03.08 Palabek-Atiak-24h'!G38,'04.08 Palabek-Atiak'!G38)</f>
        <v>0</v>
      </c>
      <c r="H38" s="49">
        <f>AVERAGE('31.07 Palabek-Atiak'!H38,'01.08 Palabek-Atiak'!H38,'05.08 Palabek-Atiak'!H38,'06.08 Palabek-Atiak'!H38,'02.08 Palabek-Atiak-24h'!H38,'03.08 Palabek-Atiak-24h'!H38,'04.08 Palabek-Atiak'!H38)</f>
        <v>0</v>
      </c>
      <c r="I38" s="49">
        <f>AVERAGE('31.07 Palabek-Atiak'!I38,'01.08 Palabek-Atiak'!I38,'05.08 Palabek-Atiak'!I38,'06.08 Palabek-Atiak'!I38,'02.08 Palabek-Atiak-24h'!I38,'03.08 Palabek-Atiak-24h'!I38,'04.08 Palabek-Atiak'!I38)</f>
        <v>0.2857142857142857</v>
      </c>
      <c r="J38" s="49">
        <f>AVERAGE('31.07 Palabek-Atiak'!J38,'01.08 Palabek-Atiak'!J38,'05.08 Palabek-Atiak'!J38,'06.08 Palabek-Atiak'!J38,'02.08 Palabek-Atiak-24h'!J38,'03.08 Palabek-Atiak-24h'!J38,'04.08 Palabek-Atiak'!J38)</f>
        <v>0</v>
      </c>
      <c r="K38" s="49">
        <f>AVERAGE('31.07 Palabek-Atiak'!K38,'01.08 Palabek-Atiak'!K38,'05.08 Palabek-Atiak'!K38,'06.08 Palabek-Atiak'!K38,'02.08 Palabek-Atiak-24h'!K38,'03.08 Palabek-Atiak-24h'!K38,'04.08 Palabek-Atiak'!K38)</f>
        <v>0</v>
      </c>
      <c r="L38" s="49">
        <f>AVERAGE('31.07 Palabek-Atiak'!L38,'01.08 Palabek-Atiak'!L38,'05.08 Palabek-Atiak'!L38,'06.08 Palabek-Atiak'!L38,'02.08 Palabek-Atiak-24h'!L38,'03.08 Palabek-Atiak-24h'!L38,'04.08 Palabek-Atiak'!L38)</f>
        <v>0</v>
      </c>
      <c r="M38" s="49">
        <f>AVERAGE('31.07 Palabek-Atiak'!M38,'01.08 Palabek-Atiak'!M38,'05.08 Palabek-Atiak'!M38,'06.08 Palabek-Atiak'!M38,'02.08 Palabek-Atiak-24h'!M38,'03.08 Palabek-Atiak-24h'!M38,'04.08 Palabek-Atiak'!M38)</f>
        <v>4.2857142857142856</v>
      </c>
      <c r="N38" s="49">
        <f>AVERAGE('31.07 Palabek-Atiak'!N38,'01.08 Palabek-Atiak'!N38,'05.08 Palabek-Atiak'!N38,'06.08 Palabek-Atiak'!N38,'02.08 Palabek-Atiak-24h'!N38,'03.08 Palabek-Atiak-24h'!N38,'04.08 Palabek-Atiak'!N38)</f>
        <v>0</v>
      </c>
      <c r="O38" s="15">
        <f t="shared" si="0"/>
        <v>0.8571428571428571</v>
      </c>
      <c r="P38" s="15">
        <f t="shared" si="1"/>
        <v>5.1428571428571423</v>
      </c>
      <c r="R38" s="28" t="s">
        <v>86</v>
      </c>
      <c r="S38" s="16">
        <f t="shared" ref="S38:AF38" si="30">SUM(S13:S18)</f>
        <v>1.9999999999999998</v>
      </c>
      <c r="T38" s="16">
        <f t="shared" si="30"/>
        <v>0</v>
      </c>
      <c r="U38" s="16">
        <f t="shared" si="30"/>
        <v>5.8571428571428568</v>
      </c>
      <c r="V38" s="16">
        <f t="shared" si="30"/>
        <v>5.1428571428571423</v>
      </c>
      <c r="W38" s="16">
        <f t="shared" si="30"/>
        <v>0</v>
      </c>
      <c r="X38" s="16">
        <f t="shared" si="30"/>
        <v>0.2857142857142857</v>
      </c>
      <c r="Y38" s="16">
        <f t="shared" si="30"/>
        <v>9</v>
      </c>
      <c r="Z38" s="16">
        <f t="shared" si="30"/>
        <v>0.5714285714285714</v>
      </c>
      <c r="AA38" s="16">
        <f t="shared" si="30"/>
        <v>0.14285714285714285</v>
      </c>
      <c r="AB38" s="16">
        <f t="shared" si="30"/>
        <v>10.428571428571427</v>
      </c>
      <c r="AC38" s="16">
        <f t="shared" si="30"/>
        <v>82</v>
      </c>
      <c r="AD38" s="16">
        <f t="shared" si="30"/>
        <v>0</v>
      </c>
      <c r="AE38" s="32">
        <f t="shared" si="30"/>
        <v>33.428571428571431</v>
      </c>
      <c r="AF38" s="32">
        <f t="shared" si="30"/>
        <v>115.42857142857142</v>
      </c>
    </row>
    <row r="39" spans="2:32" ht="23.1" customHeight="1" x14ac:dyDescent="0.25">
      <c r="B39" s="24" t="s">
        <v>66</v>
      </c>
      <c r="C39" s="49">
        <f>AVERAGE('31.07 Palabek-Atiak'!C39,'01.08 Palabek-Atiak'!C39,'05.08 Palabek-Atiak'!C39,'06.08 Palabek-Atiak'!C39,'02.08 Palabek-Atiak-24h'!C39,'03.08 Palabek-Atiak-24h'!C39,'04.08 Palabek-Atiak'!C39)</f>
        <v>0.14285714285714285</v>
      </c>
      <c r="D39" s="49">
        <f>AVERAGE('31.07 Palabek-Atiak'!D39,'01.08 Palabek-Atiak'!D39,'05.08 Palabek-Atiak'!D39,'06.08 Palabek-Atiak'!D39,'02.08 Palabek-Atiak-24h'!D39,'03.08 Palabek-Atiak-24h'!D39,'04.08 Palabek-Atiak'!D39)</f>
        <v>0</v>
      </c>
      <c r="E39" s="49">
        <f>AVERAGE('31.07 Palabek-Atiak'!E39,'01.08 Palabek-Atiak'!E39,'05.08 Palabek-Atiak'!E39,'06.08 Palabek-Atiak'!E39,'02.08 Palabek-Atiak-24h'!E39,'03.08 Palabek-Atiak-24h'!E39,'04.08 Palabek-Atiak'!E39)</f>
        <v>0.2857142857142857</v>
      </c>
      <c r="F39" s="49">
        <f>AVERAGE('31.07 Palabek-Atiak'!F39,'01.08 Palabek-Atiak'!F39,'05.08 Palabek-Atiak'!F39,'06.08 Palabek-Atiak'!F39,'02.08 Palabek-Atiak-24h'!F39,'03.08 Palabek-Atiak-24h'!F39,'04.08 Palabek-Atiak'!F39)</f>
        <v>0.42857142857142855</v>
      </c>
      <c r="G39" s="49">
        <f>AVERAGE('31.07 Palabek-Atiak'!G39,'01.08 Palabek-Atiak'!G39,'05.08 Palabek-Atiak'!G39,'06.08 Palabek-Atiak'!G39,'02.08 Palabek-Atiak-24h'!G39,'03.08 Palabek-Atiak-24h'!G39,'04.08 Palabek-Atiak'!G39)</f>
        <v>0</v>
      </c>
      <c r="H39" s="49">
        <f>AVERAGE('31.07 Palabek-Atiak'!H39,'01.08 Palabek-Atiak'!H39,'05.08 Palabek-Atiak'!H39,'06.08 Palabek-Atiak'!H39,'02.08 Palabek-Atiak-24h'!H39,'03.08 Palabek-Atiak-24h'!H39,'04.08 Palabek-Atiak'!H39)</f>
        <v>0</v>
      </c>
      <c r="I39" s="49">
        <f>AVERAGE('31.07 Palabek-Atiak'!I39,'01.08 Palabek-Atiak'!I39,'05.08 Palabek-Atiak'!I39,'06.08 Palabek-Atiak'!I39,'02.08 Palabek-Atiak-24h'!I39,'03.08 Palabek-Atiak-24h'!I39,'04.08 Palabek-Atiak'!I39)</f>
        <v>0.14285714285714285</v>
      </c>
      <c r="J39" s="49">
        <f>AVERAGE('31.07 Palabek-Atiak'!J39,'01.08 Palabek-Atiak'!J39,'05.08 Palabek-Atiak'!J39,'06.08 Palabek-Atiak'!J39,'02.08 Palabek-Atiak-24h'!J39,'03.08 Palabek-Atiak-24h'!J39,'04.08 Palabek-Atiak'!J39)</f>
        <v>0</v>
      </c>
      <c r="K39" s="49">
        <f>AVERAGE('31.07 Palabek-Atiak'!K39,'01.08 Palabek-Atiak'!K39,'05.08 Palabek-Atiak'!K39,'06.08 Palabek-Atiak'!K39,'02.08 Palabek-Atiak-24h'!K39,'03.08 Palabek-Atiak-24h'!K39,'04.08 Palabek-Atiak'!K39)</f>
        <v>0</v>
      </c>
      <c r="L39" s="49">
        <f>AVERAGE('31.07 Palabek-Atiak'!L39,'01.08 Palabek-Atiak'!L39,'05.08 Palabek-Atiak'!L39,'06.08 Palabek-Atiak'!L39,'02.08 Palabek-Atiak-24h'!L39,'03.08 Palabek-Atiak-24h'!L39,'04.08 Palabek-Atiak'!L39)</f>
        <v>1.2857142857142858</v>
      </c>
      <c r="M39" s="49">
        <f>AVERAGE('31.07 Palabek-Atiak'!M39,'01.08 Palabek-Atiak'!M39,'05.08 Palabek-Atiak'!M39,'06.08 Palabek-Atiak'!M39,'02.08 Palabek-Atiak-24h'!M39,'03.08 Palabek-Atiak-24h'!M39,'04.08 Palabek-Atiak'!M39)</f>
        <v>3.5714285714285716</v>
      </c>
      <c r="N39" s="49">
        <f>AVERAGE('31.07 Palabek-Atiak'!N39,'01.08 Palabek-Atiak'!N39,'05.08 Palabek-Atiak'!N39,'06.08 Palabek-Atiak'!N39,'02.08 Palabek-Atiak-24h'!N39,'03.08 Palabek-Atiak-24h'!N39,'04.08 Palabek-Atiak'!N39)</f>
        <v>0</v>
      </c>
      <c r="O39" s="15">
        <f t="shared" si="0"/>
        <v>2.2857142857142856</v>
      </c>
      <c r="P39" s="15">
        <f t="shared" si="1"/>
        <v>5.8571428571428577</v>
      </c>
      <c r="R39" s="29" t="s">
        <v>87</v>
      </c>
      <c r="S39" s="16">
        <f t="shared" ref="S39:AF39" si="31">SUM(S19:S21)</f>
        <v>0.8571428571428571</v>
      </c>
      <c r="T39" s="16">
        <f t="shared" si="31"/>
        <v>0</v>
      </c>
      <c r="U39" s="16">
        <f t="shared" si="31"/>
        <v>2.5714285714285712</v>
      </c>
      <c r="V39" s="16">
        <f t="shared" si="31"/>
        <v>2.8571428571428568</v>
      </c>
      <c r="W39" s="16">
        <f t="shared" si="31"/>
        <v>0.14285714285714285</v>
      </c>
      <c r="X39" s="16">
        <f t="shared" si="31"/>
        <v>0</v>
      </c>
      <c r="Y39" s="16">
        <f t="shared" si="31"/>
        <v>2.5714285714285712</v>
      </c>
      <c r="Z39" s="16">
        <f t="shared" si="31"/>
        <v>0</v>
      </c>
      <c r="AA39" s="16">
        <f t="shared" si="31"/>
        <v>0.14285714285714285</v>
      </c>
      <c r="AB39" s="16">
        <f t="shared" si="31"/>
        <v>3.5714285714285712</v>
      </c>
      <c r="AC39" s="16">
        <f t="shared" si="31"/>
        <v>38.142857142857146</v>
      </c>
      <c r="AD39" s="16">
        <f t="shared" si="31"/>
        <v>0</v>
      </c>
      <c r="AE39" s="32">
        <f t="shared" si="31"/>
        <v>12.714285714285714</v>
      </c>
      <c r="AF39" s="32">
        <f t="shared" si="31"/>
        <v>50.857142857142854</v>
      </c>
    </row>
    <row r="40" spans="2:32" ht="23.1" customHeight="1" x14ac:dyDescent="0.25">
      <c r="B40" s="24" t="s">
        <v>67</v>
      </c>
      <c r="C40" s="49">
        <f>AVERAGE('31.07 Palabek-Atiak'!C40,'01.08 Palabek-Atiak'!C40,'05.08 Palabek-Atiak'!C40,'06.08 Palabek-Atiak'!C40,'02.08 Palabek-Atiak-24h'!C40,'03.08 Palabek-Atiak-24h'!C40,'04.08 Palabek-Atiak'!C40)</f>
        <v>0.14285714285714285</v>
      </c>
      <c r="D40" s="49">
        <f>AVERAGE('31.07 Palabek-Atiak'!D40,'01.08 Palabek-Atiak'!D40,'05.08 Palabek-Atiak'!D40,'06.08 Palabek-Atiak'!D40,'02.08 Palabek-Atiak-24h'!D40,'03.08 Palabek-Atiak-24h'!D40,'04.08 Palabek-Atiak'!D40)</f>
        <v>0</v>
      </c>
      <c r="E40" s="49">
        <f>AVERAGE('31.07 Palabek-Atiak'!E40,'01.08 Palabek-Atiak'!E40,'05.08 Palabek-Atiak'!E40,'06.08 Palabek-Atiak'!E40,'02.08 Palabek-Atiak-24h'!E40,'03.08 Palabek-Atiak-24h'!E40,'04.08 Palabek-Atiak'!E40)</f>
        <v>0.2857142857142857</v>
      </c>
      <c r="F40" s="49">
        <f>AVERAGE('31.07 Palabek-Atiak'!F40,'01.08 Palabek-Atiak'!F40,'05.08 Palabek-Atiak'!F40,'06.08 Palabek-Atiak'!F40,'02.08 Palabek-Atiak-24h'!F40,'03.08 Palabek-Atiak-24h'!F40,'04.08 Palabek-Atiak'!F40)</f>
        <v>0.14285714285714285</v>
      </c>
      <c r="G40" s="49">
        <f>AVERAGE('31.07 Palabek-Atiak'!G40,'01.08 Palabek-Atiak'!G40,'05.08 Palabek-Atiak'!G40,'06.08 Palabek-Atiak'!G40,'02.08 Palabek-Atiak-24h'!G40,'03.08 Palabek-Atiak-24h'!G40,'04.08 Palabek-Atiak'!G40)</f>
        <v>0</v>
      </c>
      <c r="H40" s="49">
        <f>AVERAGE('31.07 Palabek-Atiak'!H40,'01.08 Palabek-Atiak'!H40,'05.08 Palabek-Atiak'!H40,'06.08 Palabek-Atiak'!H40,'02.08 Palabek-Atiak-24h'!H40,'03.08 Palabek-Atiak-24h'!H40,'04.08 Palabek-Atiak'!H40)</f>
        <v>0</v>
      </c>
      <c r="I40" s="49">
        <f>AVERAGE('31.07 Palabek-Atiak'!I40,'01.08 Palabek-Atiak'!I40,'05.08 Palabek-Atiak'!I40,'06.08 Palabek-Atiak'!I40,'02.08 Palabek-Atiak-24h'!I40,'03.08 Palabek-Atiak-24h'!I40,'04.08 Palabek-Atiak'!I40)</f>
        <v>1</v>
      </c>
      <c r="J40" s="49">
        <f>AVERAGE('31.07 Palabek-Atiak'!J40,'01.08 Palabek-Atiak'!J40,'05.08 Palabek-Atiak'!J40,'06.08 Palabek-Atiak'!J40,'02.08 Palabek-Atiak-24h'!J40,'03.08 Palabek-Atiak-24h'!J40,'04.08 Palabek-Atiak'!J40)</f>
        <v>0</v>
      </c>
      <c r="K40" s="49">
        <f>AVERAGE('31.07 Palabek-Atiak'!K40,'01.08 Palabek-Atiak'!K40,'05.08 Palabek-Atiak'!K40,'06.08 Palabek-Atiak'!K40,'02.08 Palabek-Atiak-24h'!K40,'03.08 Palabek-Atiak-24h'!K40,'04.08 Palabek-Atiak'!K40)</f>
        <v>0</v>
      </c>
      <c r="L40" s="49">
        <f>AVERAGE('31.07 Palabek-Atiak'!L40,'01.08 Palabek-Atiak'!L40,'05.08 Palabek-Atiak'!L40,'06.08 Palabek-Atiak'!L40,'02.08 Palabek-Atiak-24h'!L40,'03.08 Palabek-Atiak-24h'!L40,'04.08 Palabek-Atiak'!L40)</f>
        <v>0</v>
      </c>
      <c r="M40" s="49">
        <f>AVERAGE('31.07 Palabek-Atiak'!M40,'01.08 Palabek-Atiak'!M40,'05.08 Palabek-Atiak'!M40,'06.08 Palabek-Atiak'!M40,'02.08 Palabek-Atiak-24h'!M40,'03.08 Palabek-Atiak-24h'!M40,'04.08 Palabek-Atiak'!M40)</f>
        <v>4.7142857142857144</v>
      </c>
      <c r="N40" s="49">
        <f>AVERAGE('31.07 Palabek-Atiak'!N40,'01.08 Palabek-Atiak'!N40,'05.08 Palabek-Atiak'!N40,'06.08 Palabek-Atiak'!N40,'02.08 Palabek-Atiak-24h'!N40,'03.08 Palabek-Atiak-24h'!N40,'04.08 Palabek-Atiak'!N40)</f>
        <v>0</v>
      </c>
      <c r="O40" s="15">
        <f t="shared" si="0"/>
        <v>1.5714285714285714</v>
      </c>
      <c r="P40" s="15">
        <f t="shared" si="1"/>
        <v>6.2857142857142856</v>
      </c>
      <c r="R40" s="5" t="s">
        <v>17</v>
      </c>
      <c r="S40" s="16">
        <f t="shared" ref="S40:AF40" si="32">SUM(S10:S21)</f>
        <v>3.1428571428571419</v>
      </c>
      <c r="T40" s="16">
        <f t="shared" si="32"/>
        <v>0</v>
      </c>
      <c r="U40" s="16">
        <f t="shared" si="32"/>
        <v>9.1428571428571441</v>
      </c>
      <c r="V40" s="16">
        <f t="shared" si="32"/>
        <v>9.1428571428571423</v>
      </c>
      <c r="W40" s="16">
        <f t="shared" si="32"/>
        <v>0.14285714285714285</v>
      </c>
      <c r="X40" s="16">
        <f t="shared" si="32"/>
        <v>0.42857142857142855</v>
      </c>
      <c r="Y40" s="16">
        <f t="shared" si="32"/>
        <v>13.571428571428571</v>
      </c>
      <c r="Z40" s="16">
        <f t="shared" si="32"/>
        <v>0.5714285714285714</v>
      </c>
      <c r="AA40" s="16">
        <f t="shared" si="32"/>
        <v>0.2857142857142857</v>
      </c>
      <c r="AB40" s="16">
        <f t="shared" si="32"/>
        <v>16.857142857142854</v>
      </c>
      <c r="AC40" s="16">
        <f t="shared" si="32"/>
        <v>147</v>
      </c>
      <c r="AD40" s="16">
        <f t="shared" si="32"/>
        <v>0</v>
      </c>
      <c r="AE40" s="32">
        <f t="shared" si="32"/>
        <v>53.285714285714285</v>
      </c>
      <c r="AF40" s="32">
        <f t="shared" si="32"/>
        <v>200.28571428571428</v>
      </c>
    </row>
    <row r="41" spans="2:32" ht="23.1" customHeight="1" x14ac:dyDescent="0.25">
      <c r="B41" s="23" t="s">
        <v>68</v>
      </c>
      <c r="C41" s="49">
        <f>AVERAGE('31.07 Palabek-Atiak'!C41,'01.08 Palabek-Atiak'!C41,'05.08 Palabek-Atiak'!C41,'06.08 Palabek-Atiak'!C41,'02.08 Palabek-Atiak-24h'!C41,'03.08 Palabek-Atiak-24h'!C41,'04.08 Palabek-Atiak'!C41)</f>
        <v>0.14285714285714285</v>
      </c>
      <c r="D41" s="49">
        <f>AVERAGE('31.07 Palabek-Atiak'!D41,'01.08 Palabek-Atiak'!D41,'05.08 Palabek-Atiak'!D41,'06.08 Palabek-Atiak'!D41,'02.08 Palabek-Atiak-24h'!D41,'03.08 Palabek-Atiak-24h'!D41,'04.08 Palabek-Atiak'!D41)</f>
        <v>0</v>
      </c>
      <c r="E41" s="49">
        <f>AVERAGE('31.07 Palabek-Atiak'!E41,'01.08 Palabek-Atiak'!E41,'05.08 Palabek-Atiak'!E41,'06.08 Palabek-Atiak'!E41,'02.08 Palabek-Atiak-24h'!E41,'03.08 Palabek-Atiak-24h'!E41,'04.08 Palabek-Atiak'!E41)</f>
        <v>0.14285714285714285</v>
      </c>
      <c r="F41" s="49">
        <f>AVERAGE('31.07 Palabek-Atiak'!F41,'01.08 Palabek-Atiak'!F41,'05.08 Palabek-Atiak'!F41,'06.08 Palabek-Atiak'!F41,'02.08 Palabek-Atiak-24h'!F41,'03.08 Palabek-Atiak-24h'!F41,'04.08 Palabek-Atiak'!F41)</f>
        <v>0</v>
      </c>
      <c r="G41" s="49">
        <f>AVERAGE('31.07 Palabek-Atiak'!G41,'01.08 Palabek-Atiak'!G41,'05.08 Palabek-Atiak'!G41,'06.08 Palabek-Atiak'!G41,'02.08 Palabek-Atiak-24h'!G41,'03.08 Palabek-Atiak-24h'!G41,'04.08 Palabek-Atiak'!G41)</f>
        <v>0</v>
      </c>
      <c r="H41" s="49">
        <f>AVERAGE('31.07 Palabek-Atiak'!H41,'01.08 Palabek-Atiak'!H41,'05.08 Palabek-Atiak'!H41,'06.08 Palabek-Atiak'!H41,'02.08 Palabek-Atiak-24h'!H41,'03.08 Palabek-Atiak-24h'!H41,'04.08 Palabek-Atiak'!H41)</f>
        <v>0</v>
      </c>
      <c r="I41" s="49">
        <f>AVERAGE('31.07 Palabek-Atiak'!I41,'01.08 Palabek-Atiak'!I41,'05.08 Palabek-Atiak'!I41,'06.08 Palabek-Atiak'!I41,'02.08 Palabek-Atiak-24h'!I41,'03.08 Palabek-Atiak-24h'!I41,'04.08 Palabek-Atiak'!I41)</f>
        <v>0.5714285714285714</v>
      </c>
      <c r="J41" s="49">
        <f>AVERAGE('31.07 Palabek-Atiak'!J41,'01.08 Palabek-Atiak'!J41,'05.08 Palabek-Atiak'!J41,'06.08 Palabek-Atiak'!J41,'02.08 Palabek-Atiak-24h'!J41,'03.08 Palabek-Atiak-24h'!J41,'04.08 Palabek-Atiak'!J41)</f>
        <v>0</v>
      </c>
      <c r="K41" s="49">
        <f>AVERAGE('31.07 Palabek-Atiak'!K41,'01.08 Palabek-Atiak'!K41,'05.08 Palabek-Atiak'!K41,'06.08 Palabek-Atiak'!K41,'02.08 Palabek-Atiak-24h'!K41,'03.08 Palabek-Atiak-24h'!K41,'04.08 Palabek-Atiak'!K41)</f>
        <v>0</v>
      </c>
      <c r="L41" s="49">
        <f>AVERAGE('31.07 Palabek-Atiak'!L41,'01.08 Palabek-Atiak'!L41,'05.08 Palabek-Atiak'!L41,'06.08 Palabek-Atiak'!L41,'02.08 Palabek-Atiak-24h'!L41,'03.08 Palabek-Atiak-24h'!L41,'04.08 Palabek-Atiak'!L41)</f>
        <v>0</v>
      </c>
      <c r="M41" s="49">
        <f>AVERAGE('31.07 Palabek-Atiak'!M41,'01.08 Palabek-Atiak'!M41,'05.08 Palabek-Atiak'!M41,'06.08 Palabek-Atiak'!M41,'02.08 Palabek-Atiak-24h'!M41,'03.08 Palabek-Atiak-24h'!M41,'04.08 Palabek-Atiak'!M41)</f>
        <v>3.8571428571428572</v>
      </c>
      <c r="N41" s="49">
        <f>AVERAGE('31.07 Palabek-Atiak'!N41,'01.08 Palabek-Atiak'!N41,'05.08 Palabek-Atiak'!N41,'06.08 Palabek-Atiak'!N41,'02.08 Palabek-Atiak-24h'!N41,'03.08 Palabek-Atiak-24h'!N41,'04.08 Palabek-Atiak'!N41)</f>
        <v>0</v>
      </c>
      <c r="O41" s="15">
        <f t="shared" si="0"/>
        <v>0.8571428571428571</v>
      </c>
      <c r="P41" s="15">
        <f t="shared" si="1"/>
        <v>4.7142857142857144</v>
      </c>
      <c r="R41" s="5" t="s">
        <v>174</v>
      </c>
      <c r="S41" s="16">
        <f>SUM(S10:S33)</f>
        <v>4.1428571428571423</v>
      </c>
      <c r="T41" s="16">
        <f t="shared" ref="T41:AD41" si="33">SUM(T10:T33)</f>
        <v>0</v>
      </c>
      <c r="U41" s="16">
        <f t="shared" si="33"/>
        <v>12.142857142857144</v>
      </c>
      <c r="V41" s="16">
        <f t="shared" si="33"/>
        <v>11.642857142857142</v>
      </c>
      <c r="W41" s="16">
        <f t="shared" si="33"/>
        <v>0.14285714285714285</v>
      </c>
      <c r="X41" s="16">
        <f t="shared" si="33"/>
        <v>0.9285714285714286</v>
      </c>
      <c r="Y41" s="16">
        <f t="shared" si="33"/>
        <v>18.571428571428569</v>
      </c>
      <c r="Z41" s="16">
        <f t="shared" si="33"/>
        <v>0.5714285714285714</v>
      </c>
      <c r="AA41" s="16">
        <f t="shared" si="33"/>
        <v>0.2857142857142857</v>
      </c>
      <c r="AB41" s="16">
        <f t="shared" si="33"/>
        <v>16.857142857142854</v>
      </c>
      <c r="AC41" s="16">
        <f t="shared" si="33"/>
        <v>193.5</v>
      </c>
      <c r="AD41" s="16">
        <f t="shared" si="33"/>
        <v>0</v>
      </c>
      <c r="AE41" s="32">
        <f>SUM(AE10:AE33)</f>
        <v>65.285714285714278</v>
      </c>
      <c r="AF41" s="32">
        <f>SUM(AF10:AF33)</f>
        <v>258.78571428571428</v>
      </c>
    </row>
    <row r="42" spans="2:32" ht="23.1" customHeight="1" x14ac:dyDescent="0.25">
      <c r="B42" s="24" t="s">
        <v>69</v>
      </c>
      <c r="C42" s="49">
        <f>AVERAGE('31.07 Palabek-Atiak'!C42,'01.08 Palabek-Atiak'!C42,'05.08 Palabek-Atiak'!C42,'06.08 Palabek-Atiak'!C42,'02.08 Palabek-Atiak-24h'!C42,'03.08 Palabek-Atiak-24h'!C42,'04.08 Palabek-Atiak'!C42)</f>
        <v>0</v>
      </c>
      <c r="D42" s="49">
        <f>AVERAGE('31.07 Palabek-Atiak'!D42,'01.08 Palabek-Atiak'!D42,'05.08 Palabek-Atiak'!D42,'06.08 Palabek-Atiak'!D42,'02.08 Palabek-Atiak-24h'!D42,'03.08 Palabek-Atiak-24h'!D42,'04.08 Palabek-Atiak'!D42)</f>
        <v>0</v>
      </c>
      <c r="E42" s="49">
        <f>AVERAGE('31.07 Palabek-Atiak'!E42,'01.08 Palabek-Atiak'!E42,'05.08 Palabek-Atiak'!E42,'06.08 Palabek-Atiak'!E42,'02.08 Palabek-Atiak-24h'!E42,'03.08 Palabek-Atiak-24h'!E42,'04.08 Palabek-Atiak'!E42)</f>
        <v>0.2857142857142857</v>
      </c>
      <c r="F42" s="49">
        <f>AVERAGE('31.07 Palabek-Atiak'!F42,'01.08 Palabek-Atiak'!F42,'05.08 Palabek-Atiak'!F42,'06.08 Palabek-Atiak'!F42,'02.08 Palabek-Atiak-24h'!F42,'03.08 Palabek-Atiak-24h'!F42,'04.08 Palabek-Atiak'!F42)</f>
        <v>0.14285714285714285</v>
      </c>
      <c r="G42" s="49">
        <f>AVERAGE('31.07 Palabek-Atiak'!G42,'01.08 Palabek-Atiak'!G42,'05.08 Palabek-Atiak'!G42,'06.08 Palabek-Atiak'!G42,'02.08 Palabek-Atiak-24h'!G42,'03.08 Palabek-Atiak-24h'!G42,'04.08 Palabek-Atiak'!G42)</f>
        <v>0</v>
      </c>
      <c r="H42" s="49">
        <f>AVERAGE('31.07 Palabek-Atiak'!H42,'01.08 Palabek-Atiak'!H42,'05.08 Palabek-Atiak'!H42,'06.08 Palabek-Atiak'!H42,'02.08 Palabek-Atiak-24h'!H42,'03.08 Palabek-Atiak-24h'!H42,'04.08 Palabek-Atiak'!H42)</f>
        <v>0</v>
      </c>
      <c r="I42" s="49">
        <f>AVERAGE('31.07 Palabek-Atiak'!I42,'01.08 Palabek-Atiak'!I42,'05.08 Palabek-Atiak'!I42,'06.08 Palabek-Atiak'!I42,'02.08 Palabek-Atiak-24h'!I42,'03.08 Palabek-Atiak-24h'!I42,'04.08 Palabek-Atiak'!I42)</f>
        <v>0</v>
      </c>
      <c r="J42" s="49">
        <f>AVERAGE('31.07 Palabek-Atiak'!J42,'01.08 Palabek-Atiak'!J42,'05.08 Palabek-Atiak'!J42,'06.08 Palabek-Atiak'!J42,'02.08 Palabek-Atiak-24h'!J42,'03.08 Palabek-Atiak-24h'!J42,'04.08 Palabek-Atiak'!J42)</f>
        <v>0</v>
      </c>
      <c r="K42" s="49">
        <f>AVERAGE('31.07 Palabek-Atiak'!K42,'01.08 Palabek-Atiak'!K42,'05.08 Palabek-Atiak'!K42,'06.08 Palabek-Atiak'!K42,'02.08 Palabek-Atiak-24h'!K42,'03.08 Palabek-Atiak-24h'!K42,'04.08 Palabek-Atiak'!K42)</f>
        <v>0</v>
      </c>
      <c r="L42" s="49">
        <f>AVERAGE('31.07 Palabek-Atiak'!L42,'01.08 Palabek-Atiak'!L42,'05.08 Palabek-Atiak'!L42,'06.08 Palabek-Atiak'!L42,'02.08 Palabek-Atiak-24h'!L42,'03.08 Palabek-Atiak-24h'!L42,'04.08 Palabek-Atiak'!L42)</f>
        <v>0.42857142857142855</v>
      </c>
      <c r="M42" s="49">
        <f>AVERAGE('31.07 Palabek-Atiak'!M42,'01.08 Palabek-Atiak'!M42,'05.08 Palabek-Atiak'!M42,'06.08 Palabek-Atiak'!M42,'02.08 Palabek-Atiak-24h'!M42,'03.08 Palabek-Atiak-24h'!M42,'04.08 Palabek-Atiak'!M42)</f>
        <v>3</v>
      </c>
      <c r="N42" s="49">
        <f>AVERAGE('31.07 Palabek-Atiak'!N42,'01.08 Palabek-Atiak'!N42,'05.08 Palabek-Atiak'!N42,'06.08 Palabek-Atiak'!N42,'02.08 Palabek-Atiak-24h'!N42,'03.08 Palabek-Atiak-24h'!N42,'04.08 Palabek-Atiak'!N42)</f>
        <v>0</v>
      </c>
      <c r="O42" s="15">
        <f t="shared" si="0"/>
        <v>0.8571428571428571</v>
      </c>
      <c r="P42" s="15">
        <f t="shared" si="1"/>
        <v>3.8571428571428572</v>
      </c>
      <c r="R42" s="5" t="s">
        <v>160</v>
      </c>
      <c r="S42" s="48">
        <f>S41/S40</f>
        <v>1.3181818181818183</v>
      </c>
      <c r="T42" s="48" t="e">
        <f t="shared" ref="T42:AF42" si="34">T41/T40</f>
        <v>#DIV/0!</v>
      </c>
      <c r="U42" s="48">
        <f t="shared" si="34"/>
        <v>1.328125</v>
      </c>
      <c r="V42" s="48">
        <f t="shared" si="34"/>
        <v>1.2734375</v>
      </c>
      <c r="W42" s="48">
        <f t="shared" si="34"/>
        <v>1</v>
      </c>
      <c r="X42" s="48">
        <f t="shared" si="34"/>
        <v>2.166666666666667</v>
      </c>
      <c r="Y42" s="48">
        <f t="shared" si="34"/>
        <v>1.3684210526315788</v>
      </c>
      <c r="Z42" s="48">
        <f t="shared" si="34"/>
        <v>1</v>
      </c>
      <c r="AA42" s="48">
        <f t="shared" si="34"/>
        <v>1</v>
      </c>
      <c r="AB42" s="48">
        <f t="shared" si="34"/>
        <v>1</v>
      </c>
      <c r="AC42" s="48">
        <f t="shared" si="34"/>
        <v>1.3163265306122449</v>
      </c>
      <c r="AD42" s="48" t="e">
        <f t="shared" si="34"/>
        <v>#DIV/0!</v>
      </c>
      <c r="AE42" s="53">
        <f t="shared" si="34"/>
        <v>1.2252010723860589</v>
      </c>
      <c r="AF42" s="53">
        <f t="shared" si="34"/>
        <v>1.2920827389443652</v>
      </c>
    </row>
    <row r="43" spans="2:32" ht="23.1" customHeight="1" x14ac:dyDescent="0.25">
      <c r="B43" s="23" t="s">
        <v>70</v>
      </c>
      <c r="C43" s="49">
        <f>AVERAGE('31.07 Palabek-Atiak'!C43,'01.08 Palabek-Atiak'!C43,'05.08 Palabek-Atiak'!C43,'06.08 Palabek-Atiak'!C43,'02.08 Palabek-Atiak-24h'!C43,'03.08 Palabek-Atiak-24h'!C43,'04.08 Palabek-Atiak'!C43)</f>
        <v>0</v>
      </c>
      <c r="D43" s="49">
        <f>AVERAGE('31.07 Palabek-Atiak'!D43,'01.08 Palabek-Atiak'!D43,'05.08 Palabek-Atiak'!D43,'06.08 Palabek-Atiak'!D43,'02.08 Palabek-Atiak-24h'!D43,'03.08 Palabek-Atiak-24h'!D43,'04.08 Palabek-Atiak'!D43)</f>
        <v>0</v>
      </c>
      <c r="E43" s="49">
        <f>AVERAGE('31.07 Palabek-Atiak'!E43,'01.08 Palabek-Atiak'!E43,'05.08 Palabek-Atiak'!E43,'06.08 Palabek-Atiak'!E43,'02.08 Palabek-Atiak-24h'!E43,'03.08 Palabek-Atiak-24h'!E43,'04.08 Palabek-Atiak'!E43)</f>
        <v>0.14285714285714285</v>
      </c>
      <c r="F43" s="49">
        <f>AVERAGE('31.07 Palabek-Atiak'!F43,'01.08 Palabek-Atiak'!F43,'05.08 Palabek-Atiak'!F43,'06.08 Palabek-Atiak'!F43,'02.08 Palabek-Atiak-24h'!F43,'03.08 Palabek-Atiak-24h'!F43,'04.08 Palabek-Atiak'!F43)</f>
        <v>0.14285714285714285</v>
      </c>
      <c r="G43" s="49">
        <f>AVERAGE('31.07 Palabek-Atiak'!G43,'01.08 Palabek-Atiak'!G43,'05.08 Palabek-Atiak'!G43,'06.08 Palabek-Atiak'!G43,'02.08 Palabek-Atiak-24h'!G43,'03.08 Palabek-Atiak-24h'!G43,'04.08 Palabek-Atiak'!G43)</f>
        <v>0</v>
      </c>
      <c r="H43" s="49">
        <f>AVERAGE('31.07 Palabek-Atiak'!H43,'01.08 Palabek-Atiak'!H43,'05.08 Palabek-Atiak'!H43,'06.08 Palabek-Atiak'!H43,'02.08 Palabek-Atiak-24h'!H43,'03.08 Palabek-Atiak-24h'!H43,'04.08 Palabek-Atiak'!H43)</f>
        <v>0</v>
      </c>
      <c r="I43" s="49">
        <f>AVERAGE('31.07 Palabek-Atiak'!I43,'01.08 Palabek-Atiak'!I43,'05.08 Palabek-Atiak'!I43,'06.08 Palabek-Atiak'!I43,'02.08 Palabek-Atiak-24h'!I43,'03.08 Palabek-Atiak-24h'!I43,'04.08 Palabek-Atiak'!I43)</f>
        <v>0.14285714285714285</v>
      </c>
      <c r="J43" s="49">
        <f>AVERAGE('31.07 Palabek-Atiak'!J43,'01.08 Palabek-Atiak'!J43,'05.08 Palabek-Atiak'!J43,'06.08 Palabek-Atiak'!J43,'02.08 Palabek-Atiak-24h'!J43,'03.08 Palabek-Atiak-24h'!J43,'04.08 Palabek-Atiak'!J43)</f>
        <v>0</v>
      </c>
      <c r="K43" s="49">
        <f>AVERAGE('31.07 Palabek-Atiak'!K43,'01.08 Palabek-Atiak'!K43,'05.08 Palabek-Atiak'!K43,'06.08 Palabek-Atiak'!K43,'02.08 Palabek-Atiak-24h'!K43,'03.08 Palabek-Atiak-24h'!K43,'04.08 Palabek-Atiak'!K43)</f>
        <v>0</v>
      </c>
      <c r="L43" s="49">
        <f>AVERAGE('31.07 Palabek-Atiak'!L43,'01.08 Palabek-Atiak'!L43,'05.08 Palabek-Atiak'!L43,'06.08 Palabek-Atiak'!L43,'02.08 Palabek-Atiak-24h'!L43,'03.08 Palabek-Atiak-24h'!L43,'04.08 Palabek-Atiak'!L43)</f>
        <v>0</v>
      </c>
      <c r="M43" s="49">
        <f>AVERAGE('31.07 Palabek-Atiak'!M43,'01.08 Palabek-Atiak'!M43,'05.08 Palabek-Atiak'!M43,'06.08 Palabek-Atiak'!M43,'02.08 Palabek-Atiak-24h'!M43,'03.08 Palabek-Atiak-24h'!M43,'04.08 Palabek-Atiak'!M43)</f>
        <v>4.5714285714285712</v>
      </c>
      <c r="N43" s="49">
        <f>AVERAGE('31.07 Palabek-Atiak'!N43,'01.08 Palabek-Atiak'!N43,'05.08 Palabek-Atiak'!N43,'06.08 Palabek-Atiak'!N43,'02.08 Palabek-Atiak-24h'!N43,'03.08 Palabek-Atiak-24h'!N43,'04.08 Palabek-Atiak'!N43)</f>
        <v>0</v>
      </c>
      <c r="O43" s="15">
        <f t="shared" si="0"/>
        <v>0.42857142857142855</v>
      </c>
      <c r="P43" s="15">
        <f t="shared" si="1"/>
        <v>5</v>
      </c>
    </row>
    <row r="44" spans="2:32" ht="23.1" customHeight="1" x14ac:dyDescent="0.25">
      <c r="B44" s="25" t="s">
        <v>71</v>
      </c>
      <c r="C44" s="49">
        <f>AVERAGE('31.07 Palabek-Atiak'!C44,'01.08 Palabek-Atiak'!C44,'05.08 Palabek-Atiak'!C44,'06.08 Palabek-Atiak'!C44,'02.08 Palabek-Atiak-24h'!C44,'03.08 Palabek-Atiak-24h'!C44,'04.08 Palabek-Atiak'!C44)</f>
        <v>0.14285714285714285</v>
      </c>
      <c r="D44" s="49">
        <f>AVERAGE('31.07 Palabek-Atiak'!D44,'01.08 Palabek-Atiak'!D44,'05.08 Palabek-Atiak'!D44,'06.08 Palabek-Atiak'!D44,'02.08 Palabek-Atiak-24h'!D44,'03.08 Palabek-Atiak-24h'!D44,'04.08 Palabek-Atiak'!D44)</f>
        <v>0</v>
      </c>
      <c r="E44" s="49">
        <f>AVERAGE('31.07 Palabek-Atiak'!E44,'01.08 Palabek-Atiak'!E44,'05.08 Palabek-Atiak'!E44,'06.08 Palabek-Atiak'!E44,'02.08 Palabek-Atiak-24h'!E44,'03.08 Palabek-Atiak-24h'!E44,'04.08 Palabek-Atiak'!E44)</f>
        <v>0</v>
      </c>
      <c r="F44" s="49">
        <f>AVERAGE('31.07 Palabek-Atiak'!F44,'01.08 Palabek-Atiak'!F44,'05.08 Palabek-Atiak'!F44,'06.08 Palabek-Atiak'!F44,'02.08 Palabek-Atiak-24h'!F44,'03.08 Palabek-Atiak-24h'!F44,'04.08 Palabek-Atiak'!F44)</f>
        <v>0</v>
      </c>
      <c r="G44" s="49">
        <f>AVERAGE('31.07 Palabek-Atiak'!G44,'01.08 Palabek-Atiak'!G44,'05.08 Palabek-Atiak'!G44,'06.08 Palabek-Atiak'!G44,'02.08 Palabek-Atiak-24h'!G44,'03.08 Palabek-Atiak-24h'!G44,'04.08 Palabek-Atiak'!G44)</f>
        <v>0</v>
      </c>
      <c r="H44" s="49">
        <f>AVERAGE('31.07 Palabek-Atiak'!H44,'01.08 Palabek-Atiak'!H44,'05.08 Palabek-Atiak'!H44,'06.08 Palabek-Atiak'!H44,'02.08 Palabek-Atiak-24h'!H44,'03.08 Palabek-Atiak-24h'!H44,'04.08 Palabek-Atiak'!H44)</f>
        <v>0</v>
      </c>
      <c r="I44" s="49">
        <f>AVERAGE('31.07 Palabek-Atiak'!I44,'01.08 Palabek-Atiak'!I44,'05.08 Palabek-Atiak'!I44,'06.08 Palabek-Atiak'!I44,'02.08 Palabek-Atiak-24h'!I44,'03.08 Palabek-Atiak-24h'!I44,'04.08 Palabek-Atiak'!I44)</f>
        <v>0.2857142857142857</v>
      </c>
      <c r="J44" s="49">
        <f>AVERAGE('31.07 Palabek-Atiak'!J44,'01.08 Palabek-Atiak'!J44,'05.08 Palabek-Atiak'!J44,'06.08 Palabek-Atiak'!J44,'02.08 Palabek-Atiak-24h'!J44,'03.08 Palabek-Atiak-24h'!J44,'04.08 Palabek-Atiak'!J44)</f>
        <v>0</v>
      </c>
      <c r="K44" s="49">
        <f>AVERAGE('31.07 Palabek-Atiak'!K44,'01.08 Palabek-Atiak'!K44,'05.08 Palabek-Atiak'!K44,'06.08 Palabek-Atiak'!K44,'02.08 Palabek-Atiak-24h'!K44,'03.08 Palabek-Atiak-24h'!K44,'04.08 Palabek-Atiak'!K44)</f>
        <v>0</v>
      </c>
      <c r="L44" s="49">
        <f>AVERAGE('31.07 Palabek-Atiak'!L44,'01.08 Palabek-Atiak'!L44,'05.08 Palabek-Atiak'!L44,'06.08 Palabek-Atiak'!L44,'02.08 Palabek-Atiak-24h'!L44,'03.08 Palabek-Atiak-24h'!L44,'04.08 Palabek-Atiak'!L44)</f>
        <v>0.5714285714285714</v>
      </c>
      <c r="M44" s="49">
        <f>AVERAGE('31.07 Palabek-Atiak'!M44,'01.08 Palabek-Atiak'!M44,'05.08 Palabek-Atiak'!M44,'06.08 Palabek-Atiak'!M44,'02.08 Palabek-Atiak-24h'!M44,'03.08 Palabek-Atiak-24h'!M44,'04.08 Palabek-Atiak'!M44)</f>
        <v>2.4285714285714284</v>
      </c>
      <c r="N44" s="49">
        <f>AVERAGE('31.07 Palabek-Atiak'!N44,'01.08 Palabek-Atiak'!N44,'05.08 Palabek-Atiak'!N44,'06.08 Palabek-Atiak'!N44,'02.08 Palabek-Atiak-24h'!N44,'03.08 Palabek-Atiak-24h'!N44,'04.08 Palabek-Atiak'!N44)</f>
        <v>0</v>
      </c>
      <c r="O44" s="15">
        <f t="shared" si="0"/>
        <v>1</v>
      </c>
      <c r="P44" s="15">
        <f t="shared" si="1"/>
        <v>3.4285714285714284</v>
      </c>
    </row>
    <row r="45" spans="2:32" ht="23.1" customHeight="1" x14ac:dyDescent="0.25">
      <c r="B45" s="23" t="s">
        <v>72</v>
      </c>
      <c r="C45" s="49">
        <f>AVERAGE('31.07 Palabek-Atiak'!C45,'01.08 Palabek-Atiak'!C45,'05.08 Palabek-Atiak'!C45,'06.08 Palabek-Atiak'!C45,'02.08 Palabek-Atiak-24h'!C45,'03.08 Palabek-Atiak-24h'!C45,'04.08 Palabek-Atiak'!C45)</f>
        <v>0</v>
      </c>
      <c r="D45" s="49">
        <f>AVERAGE('31.07 Palabek-Atiak'!D45,'01.08 Palabek-Atiak'!D45,'05.08 Palabek-Atiak'!D45,'06.08 Palabek-Atiak'!D45,'02.08 Palabek-Atiak-24h'!D45,'03.08 Palabek-Atiak-24h'!D45,'04.08 Palabek-Atiak'!D45)</f>
        <v>0</v>
      </c>
      <c r="E45" s="49">
        <f>AVERAGE('31.07 Palabek-Atiak'!E45,'01.08 Palabek-Atiak'!E45,'05.08 Palabek-Atiak'!E45,'06.08 Palabek-Atiak'!E45,'02.08 Palabek-Atiak-24h'!E45,'03.08 Palabek-Atiak-24h'!E45,'04.08 Palabek-Atiak'!E45)</f>
        <v>0</v>
      </c>
      <c r="F45" s="49">
        <f>AVERAGE('31.07 Palabek-Atiak'!F45,'01.08 Palabek-Atiak'!F45,'05.08 Palabek-Atiak'!F45,'06.08 Palabek-Atiak'!F45,'02.08 Palabek-Atiak-24h'!F45,'03.08 Palabek-Atiak-24h'!F45,'04.08 Palabek-Atiak'!F45)</f>
        <v>0.42857142857142855</v>
      </c>
      <c r="G45" s="49">
        <f>AVERAGE('31.07 Palabek-Atiak'!G45,'01.08 Palabek-Atiak'!G45,'05.08 Palabek-Atiak'!G45,'06.08 Palabek-Atiak'!G45,'02.08 Palabek-Atiak-24h'!G45,'03.08 Palabek-Atiak-24h'!G45,'04.08 Palabek-Atiak'!G45)</f>
        <v>0</v>
      </c>
      <c r="H45" s="49">
        <f>AVERAGE('31.07 Palabek-Atiak'!H45,'01.08 Palabek-Atiak'!H45,'05.08 Palabek-Atiak'!H45,'06.08 Palabek-Atiak'!H45,'02.08 Palabek-Atiak-24h'!H45,'03.08 Palabek-Atiak-24h'!H45,'04.08 Palabek-Atiak'!H45)</f>
        <v>0.2857142857142857</v>
      </c>
      <c r="I45" s="49">
        <f>AVERAGE('31.07 Palabek-Atiak'!I45,'01.08 Palabek-Atiak'!I45,'05.08 Palabek-Atiak'!I45,'06.08 Palabek-Atiak'!I45,'02.08 Palabek-Atiak-24h'!I45,'03.08 Palabek-Atiak-24h'!I45,'04.08 Palabek-Atiak'!I45)</f>
        <v>0.42857142857142855</v>
      </c>
      <c r="J45" s="49">
        <f>AVERAGE('31.07 Palabek-Atiak'!J45,'01.08 Palabek-Atiak'!J45,'05.08 Palabek-Atiak'!J45,'06.08 Palabek-Atiak'!J45,'02.08 Palabek-Atiak-24h'!J45,'03.08 Palabek-Atiak-24h'!J45,'04.08 Palabek-Atiak'!J45)</f>
        <v>0.2857142857142857</v>
      </c>
      <c r="K45" s="49">
        <f>AVERAGE('31.07 Palabek-Atiak'!K45,'01.08 Palabek-Atiak'!K45,'05.08 Palabek-Atiak'!K45,'06.08 Palabek-Atiak'!K45,'02.08 Palabek-Atiak-24h'!K45,'03.08 Palabek-Atiak-24h'!K45,'04.08 Palabek-Atiak'!K45)</f>
        <v>0</v>
      </c>
      <c r="L45" s="49">
        <f>AVERAGE('31.07 Palabek-Atiak'!L45,'01.08 Palabek-Atiak'!L45,'05.08 Palabek-Atiak'!L45,'06.08 Palabek-Atiak'!L45,'02.08 Palabek-Atiak-24h'!L45,'03.08 Palabek-Atiak-24h'!L45,'04.08 Palabek-Atiak'!L45)</f>
        <v>0.7142857142857143</v>
      </c>
      <c r="M45" s="49">
        <f>AVERAGE('31.07 Palabek-Atiak'!M45,'01.08 Palabek-Atiak'!M45,'05.08 Palabek-Atiak'!M45,'06.08 Palabek-Atiak'!M45,'02.08 Palabek-Atiak-24h'!M45,'03.08 Palabek-Atiak-24h'!M45,'04.08 Palabek-Atiak'!M45)</f>
        <v>2.8571428571428572</v>
      </c>
      <c r="N45" s="49">
        <f>AVERAGE('31.07 Palabek-Atiak'!N45,'01.08 Palabek-Atiak'!N45,'05.08 Palabek-Atiak'!N45,'06.08 Palabek-Atiak'!N45,'02.08 Palabek-Atiak-24h'!N45,'03.08 Palabek-Atiak-24h'!N45,'04.08 Palabek-Atiak'!N45)</f>
        <v>0</v>
      </c>
      <c r="O45" s="15">
        <f t="shared" si="0"/>
        <v>2.1428571428571428</v>
      </c>
      <c r="P45" s="15">
        <f t="shared" si="1"/>
        <v>5</v>
      </c>
    </row>
    <row r="46" spans="2:32" ht="23.1" customHeight="1" x14ac:dyDescent="0.25">
      <c r="B46" s="24" t="s">
        <v>73</v>
      </c>
      <c r="C46" s="49">
        <f>AVERAGE('31.07 Palabek-Atiak'!C46,'01.08 Palabek-Atiak'!C46,'05.08 Palabek-Atiak'!C46,'06.08 Palabek-Atiak'!C46,'02.08 Palabek-Atiak-24h'!C46,'03.08 Palabek-Atiak-24h'!C46,'04.08 Palabek-Atiak'!C46)</f>
        <v>0.14285714285714285</v>
      </c>
      <c r="D46" s="49">
        <f>AVERAGE('31.07 Palabek-Atiak'!D46,'01.08 Palabek-Atiak'!D46,'05.08 Palabek-Atiak'!D46,'06.08 Palabek-Atiak'!D46,'02.08 Palabek-Atiak-24h'!D46,'03.08 Palabek-Atiak-24h'!D46,'04.08 Palabek-Atiak'!D46)</f>
        <v>0</v>
      </c>
      <c r="E46" s="49">
        <f>AVERAGE('31.07 Palabek-Atiak'!E46,'01.08 Palabek-Atiak'!E46,'05.08 Palabek-Atiak'!E46,'06.08 Palabek-Atiak'!E46,'02.08 Palabek-Atiak-24h'!E46,'03.08 Palabek-Atiak-24h'!E46,'04.08 Palabek-Atiak'!E46)</f>
        <v>0.14285714285714285</v>
      </c>
      <c r="F46" s="49">
        <f>AVERAGE('31.07 Palabek-Atiak'!F46,'01.08 Palabek-Atiak'!F46,'05.08 Palabek-Atiak'!F46,'06.08 Palabek-Atiak'!F46,'02.08 Palabek-Atiak-24h'!F46,'03.08 Palabek-Atiak-24h'!F46,'04.08 Palabek-Atiak'!F46)</f>
        <v>0</v>
      </c>
      <c r="G46" s="49">
        <f>AVERAGE('31.07 Palabek-Atiak'!G46,'01.08 Palabek-Atiak'!G46,'05.08 Palabek-Atiak'!G46,'06.08 Palabek-Atiak'!G46,'02.08 Palabek-Atiak-24h'!G46,'03.08 Palabek-Atiak-24h'!G46,'04.08 Palabek-Atiak'!G46)</f>
        <v>0</v>
      </c>
      <c r="H46" s="49">
        <f>AVERAGE('31.07 Palabek-Atiak'!H46,'01.08 Palabek-Atiak'!H46,'05.08 Palabek-Atiak'!H46,'06.08 Palabek-Atiak'!H46,'02.08 Palabek-Atiak-24h'!H46,'03.08 Palabek-Atiak-24h'!H46,'04.08 Palabek-Atiak'!H46)</f>
        <v>0</v>
      </c>
      <c r="I46" s="49">
        <f>AVERAGE('31.07 Palabek-Atiak'!I46,'01.08 Palabek-Atiak'!I46,'05.08 Palabek-Atiak'!I46,'06.08 Palabek-Atiak'!I46,'02.08 Palabek-Atiak-24h'!I46,'03.08 Palabek-Atiak-24h'!I46,'04.08 Palabek-Atiak'!I46)</f>
        <v>0.2857142857142857</v>
      </c>
      <c r="J46" s="49">
        <f>AVERAGE('31.07 Palabek-Atiak'!J46,'01.08 Palabek-Atiak'!J46,'05.08 Palabek-Atiak'!J46,'06.08 Palabek-Atiak'!J46,'02.08 Palabek-Atiak-24h'!J46,'03.08 Palabek-Atiak-24h'!J46,'04.08 Palabek-Atiak'!J46)</f>
        <v>0</v>
      </c>
      <c r="K46" s="49">
        <f>AVERAGE('31.07 Palabek-Atiak'!K46,'01.08 Palabek-Atiak'!K46,'05.08 Palabek-Atiak'!K46,'06.08 Palabek-Atiak'!K46,'02.08 Palabek-Atiak-24h'!K46,'03.08 Palabek-Atiak-24h'!K46,'04.08 Palabek-Atiak'!K46)</f>
        <v>0.14285714285714285</v>
      </c>
      <c r="L46" s="49">
        <f>AVERAGE('31.07 Palabek-Atiak'!L46,'01.08 Palabek-Atiak'!L46,'05.08 Palabek-Atiak'!L46,'06.08 Palabek-Atiak'!L46,'02.08 Palabek-Atiak-24h'!L46,'03.08 Palabek-Atiak-24h'!L46,'04.08 Palabek-Atiak'!L46)</f>
        <v>0</v>
      </c>
      <c r="M46" s="49">
        <f>AVERAGE('31.07 Palabek-Atiak'!M46,'01.08 Palabek-Atiak'!M46,'05.08 Palabek-Atiak'!M46,'06.08 Palabek-Atiak'!M46,'02.08 Palabek-Atiak-24h'!M46,'03.08 Palabek-Atiak-24h'!M46,'04.08 Palabek-Atiak'!M46)</f>
        <v>3.2857142857142856</v>
      </c>
      <c r="N46" s="49">
        <f>AVERAGE('31.07 Palabek-Atiak'!N46,'01.08 Palabek-Atiak'!N46,'05.08 Palabek-Atiak'!N46,'06.08 Palabek-Atiak'!N46,'02.08 Palabek-Atiak-24h'!N46,'03.08 Palabek-Atiak-24h'!N46,'04.08 Palabek-Atiak'!N46)</f>
        <v>0</v>
      </c>
      <c r="O46" s="15">
        <f t="shared" si="0"/>
        <v>0.71428571428571419</v>
      </c>
      <c r="P46" s="15">
        <f t="shared" si="1"/>
        <v>4</v>
      </c>
      <c r="R46" s="8"/>
      <c r="T46"/>
    </row>
    <row r="47" spans="2:32" ht="23.1" customHeight="1" x14ac:dyDescent="0.25">
      <c r="B47" s="24" t="s">
        <v>74</v>
      </c>
      <c r="C47" s="49">
        <f>AVERAGE('31.07 Palabek-Atiak'!C47,'01.08 Palabek-Atiak'!C47,'05.08 Palabek-Atiak'!C47,'06.08 Palabek-Atiak'!C47,'02.08 Palabek-Atiak-24h'!C47,'03.08 Palabek-Atiak-24h'!C47,'04.08 Palabek-Atiak'!C47)</f>
        <v>0.14285714285714285</v>
      </c>
      <c r="D47" s="49">
        <f>AVERAGE('31.07 Palabek-Atiak'!D47,'01.08 Palabek-Atiak'!D47,'05.08 Palabek-Atiak'!D47,'06.08 Palabek-Atiak'!D47,'02.08 Palabek-Atiak-24h'!D47,'03.08 Palabek-Atiak-24h'!D47,'04.08 Palabek-Atiak'!D47)</f>
        <v>0</v>
      </c>
      <c r="E47" s="49">
        <f>AVERAGE('31.07 Palabek-Atiak'!E47,'01.08 Palabek-Atiak'!E47,'05.08 Palabek-Atiak'!E47,'06.08 Palabek-Atiak'!E47,'02.08 Palabek-Atiak-24h'!E47,'03.08 Palabek-Atiak-24h'!E47,'04.08 Palabek-Atiak'!E47)</f>
        <v>0</v>
      </c>
      <c r="F47" s="49">
        <f>AVERAGE('31.07 Palabek-Atiak'!F47,'01.08 Palabek-Atiak'!F47,'05.08 Palabek-Atiak'!F47,'06.08 Palabek-Atiak'!F47,'02.08 Palabek-Atiak-24h'!F47,'03.08 Palabek-Atiak-24h'!F47,'04.08 Palabek-Atiak'!F47)</f>
        <v>0.2857142857142857</v>
      </c>
      <c r="G47" s="49">
        <f>AVERAGE('31.07 Palabek-Atiak'!G47,'01.08 Palabek-Atiak'!G47,'05.08 Palabek-Atiak'!G47,'06.08 Palabek-Atiak'!G47,'02.08 Palabek-Atiak-24h'!G47,'03.08 Palabek-Atiak-24h'!G47,'04.08 Palabek-Atiak'!G47)</f>
        <v>0</v>
      </c>
      <c r="H47" s="49">
        <f>AVERAGE('31.07 Palabek-Atiak'!H47,'01.08 Palabek-Atiak'!H47,'05.08 Palabek-Atiak'!H47,'06.08 Palabek-Atiak'!H47,'02.08 Palabek-Atiak-24h'!H47,'03.08 Palabek-Atiak-24h'!H47,'04.08 Palabek-Atiak'!H47)</f>
        <v>0</v>
      </c>
      <c r="I47" s="49">
        <f>AVERAGE('31.07 Palabek-Atiak'!I47,'01.08 Palabek-Atiak'!I47,'05.08 Palabek-Atiak'!I47,'06.08 Palabek-Atiak'!I47,'02.08 Palabek-Atiak-24h'!I47,'03.08 Palabek-Atiak-24h'!I47,'04.08 Palabek-Atiak'!I47)</f>
        <v>0.2857142857142857</v>
      </c>
      <c r="J47" s="49">
        <f>AVERAGE('31.07 Palabek-Atiak'!J47,'01.08 Palabek-Atiak'!J47,'05.08 Palabek-Atiak'!J47,'06.08 Palabek-Atiak'!J47,'02.08 Palabek-Atiak-24h'!J47,'03.08 Palabek-Atiak-24h'!J47,'04.08 Palabek-Atiak'!J47)</f>
        <v>0</v>
      </c>
      <c r="K47" s="49">
        <f>AVERAGE('31.07 Palabek-Atiak'!K47,'01.08 Palabek-Atiak'!K47,'05.08 Palabek-Atiak'!K47,'06.08 Palabek-Atiak'!K47,'02.08 Palabek-Atiak-24h'!K47,'03.08 Palabek-Atiak-24h'!K47,'04.08 Palabek-Atiak'!K47)</f>
        <v>0</v>
      </c>
      <c r="L47" s="49">
        <f>AVERAGE('31.07 Palabek-Atiak'!L47,'01.08 Palabek-Atiak'!L47,'05.08 Palabek-Atiak'!L47,'06.08 Palabek-Atiak'!L47,'02.08 Palabek-Atiak-24h'!L47,'03.08 Palabek-Atiak-24h'!L47,'04.08 Palabek-Atiak'!L47)</f>
        <v>0</v>
      </c>
      <c r="M47" s="49">
        <f>AVERAGE('31.07 Palabek-Atiak'!M47,'01.08 Palabek-Atiak'!M47,'05.08 Palabek-Atiak'!M47,'06.08 Palabek-Atiak'!M47,'02.08 Palabek-Atiak-24h'!M47,'03.08 Palabek-Atiak-24h'!M47,'04.08 Palabek-Atiak'!M47)</f>
        <v>2.7142857142857144</v>
      </c>
      <c r="N47" s="49">
        <f>AVERAGE('31.07 Palabek-Atiak'!N47,'01.08 Palabek-Atiak'!N47,'05.08 Palabek-Atiak'!N47,'06.08 Palabek-Atiak'!N47,'02.08 Palabek-Atiak-24h'!N47,'03.08 Palabek-Atiak-24h'!N47,'04.08 Palabek-Atiak'!N47)</f>
        <v>0</v>
      </c>
      <c r="O47" s="15">
        <f t="shared" si="0"/>
        <v>0.71428571428571419</v>
      </c>
      <c r="P47" s="15">
        <f t="shared" si="1"/>
        <v>3.4285714285714288</v>
      </c>
      <c r="R47" s="8"/>
      <c r="T47"/>
    </row>
    <row r="48" spans="2:32" ht="23.1" customHeight="1" x14ac:dyDescent="0.25">
      <c r="B48" s="24" t="s">
        <v>75</v>
      </c>
      <c r="C48" s="49">
        <f>AVERAGE('31.07 Palabek-Atiak'!C48,'01.08 Palabek-Atiak'!C48,'05.08 Palabek-Atiak'!C48,'06.08 Palabek-Atiak'!C48,'02.08 Palabek-Atiak-24h'!C48,'03.08 Palabek-Atiak-24h'!C48,'04.08 Palabek-Atiak'!C48)</f>
        <v>0.14285714285714285</v>
      </c>
      <c r="D48" s="49">
        <f>AVERAGE('31.07 Palabek-Atiak'!D48,'01.08 Palabek-Atiak'!D48,'05.08 Palabek-Atiak'!D48,'06.08 Palabek-Atiak'!D48,'02.08 Palabek-Atiak-24h'!D48,'03.08 Palabek-Atiak-24h'!D48,'04.08 Palabek-Atiak'!D48)</f>
        <v>0</v>
      </c>
      <c r="E48" s="49">
        <f>AVERAGE('31.07 Palabek-Atiak'!E48,'01.08 Palabek-Atiak'!E48,'05.08 Palabek-Atiak'!E48,'06.08 Palabek-Atiak'!E48,'02.08 Palabek-Atiak-24h'!E48,'03.08 Palabek-Atiak-24h'!E48,'04.08 Palabek-Atiak'!E48)</f>
        <v>0</v>
      </c>
      <c r="F48" s="49">
        <f>AVERAGE('31.07 Palabek-Atiak'!F48,'01.08 Palabek-Atiak'!F48,'05.08 Palabek-Atiak'!F48,'06.08 Palabek-Atiak'!F48,'02.08 Palabek-Atiak-24h'!F48,'03.08 Palabek-Atiak-24h'!F48,'04.08 Palabek-Atiak'!F48)</f>
        <v>0.42857142857142855</v>
      </c>
      <c r="G48" s="49">
        <f>AVERAGE('31.07 Palabek-Atiak'!G48,'01.08 Palabek-Atiak'!G48,'05.08 Palabek-Atiak'!G48,'06.08 Palabek-Atiak'!G48,'02.08 Palabek-Atiak-24h'!G48,'03.08 Palabek-Atiak-24h'!G48,'04.08 Palabek-Atiak'!G48)</f>
        <v>0</v>
      </c>
      <c r="H48" s="49">
        <f>AVERAGE('31.07 Palabek-Atiak'!H48,'01.08 Palabek-Atiak'!H48,'05.08 Palabek-Atiak'!H48,'06.08 Palabek-Atiak'!H48,'02.08 Palabek-Atiak-24h'!H48,'03.08 Palabek-Atiak-24h'!H48,'04.08 Palabek-Atiak'!H48)</f>
        <v>0</v>
      </c>
      <c r="I48" s="49">
        <f>AVERAGE('31.07 Palabek-Atiak'!I48,'01.08 Palabek-Atiak'!I48,'05.08 Palabek-Atiak'!I48,'06.08 Palabek-Atiak'!I48,'02.08 Palabek-Atiak-24h'!I48,'03.08 Palabek-Atiak-24h'!I48,'04.08 Palabek-Atiak'!I48)</f>
        <v>0.14285714285714285</v>
      </c>
      <c r="J48" s="49">
        <f>AVERAGE('31.07 Palabek-Atiak'!J48,'01.08 Palabek-Atiak'!J48,'05.08 Palabek-Atiak'!J48,'06.08 Palabek-Atiak'!J48,'02.08 Palabek-Atiak-24h'!J48,'03.08 Palabek-Atiak-24h'!J48,'04.08 Palabek-Atiak'!J48)</f>
        <v>0</v>
      </c>
      <c r="K48" s="49">
        <f>AVERAGE('31.07 Palabek-Atiak'!K48,'01.08 Palabek-Atiak'!K48,'05.08 Palabek-Atiak'!K48,'06.08 Palabek-Atiak'!K48,'02.08 Palabek-Atiak-24h'!K48,'03.08 Palabek-Atiak-24h'!K48,'04.08 Palabek-Atiak'!K48)</f>
        <v>0</v>
      </c>
      <c r="L48" s="49">
        <f>AVERAGE('31.07 Palabek-Atiak'!L48,'01.08 Palabek-Atiak'!L48,'05.08 Palabek-Atiak'!L48,'06.08 Palabek-Atiak'!L48,'02.08 Palabek-Atiak-24h'!L48,'03.08 Palabek-Atiak-24h'!L48,'04.08 Palabek-Atiak'!L48)</f>
        <v>0.7142857142857143</v>
      </c>
      <c r="M48" s="49">
        <f>AVERAGE('31.07 Palabek-Atiak'!M48,'01.08 Palabek-Atiak'!M48,'05.08 Palabek-Atiak'!M48,'06.08 Palabek-Atiak'!M48,'02.08 Palabek-Atiak-24h'!M48,'03.08 Palabek-Atiak-24h'!M48,'04.08 Palabek-Atiak'!M48)</f>
        <v>3</v>
      </c>
      <c r="N48" s="49">
        <f>AVERAGE('31.07 Palabek-Atiak'!N48,'01.08 Palabek-Atiak'!N48,'05.08 Palabek-Atiak'!N48,'06.08 Palabek-Atiak'!N48,'02.08 Palabek-Atiak-24h'!N48,'03.08 Palabek-Atiak-24h'!N48,'04.08 Palabek-Atiak'!N48)</f>
        <v>0</v>
      </c>
      <c r="O48" s="15">
        <f t="shared" si="0"/>
        <v>1.4285714285714284</v>
      </c>
      <c r="P48" s="15">
        <f t="shared" si="1"/>
        <v>4.4285714285714288</v>
      </c>
      <c r="R48" s="8"/>
      <c r="T48"/>
    </row>
    <row r="49" spans="2:20" ht="23.1" customHeight="1" x14ac:dyDescent="0.25">
      <c r="B49" s="23" t="s">
        <v>76</v>
      </c>
      <c r="C49" s="49">
        <f>AVERAGE('31.07 Palabek-Atiak'!C49,'01.08 Palabek-Atiak'!C49,'05.08 Palabek-Atiak'!C49,'06.08 Palabek-Atiak'!C49,'02.08 Palabek-Atiak-24h'!C49,'03.08 Palabek-Atiak-24h'!C49,'04.08 Palabek-Atiak'!C49)</f>
        <v>0</v>
      </c>
      <c r="D49" s="49">
        <f>AVERAGE('31.07 Palabek-Atiak'!D49,'01.08 Palabek-Atiak'!D49,'05.08 Palabek-Atiak'!D49,'06.08 Palabek-Atiak'!D49,'02.08 Palabek-Atiak-24h'!D49,'03.08 Palabek-Atiak-24h'!D49,'04.08 Palabek-Atiak'!D49)</f>
        <v>0</v>
      </c>
      <c r="E49" s="49">
        <f>AVERAGE('31.07 Palabek-Atiak'!E49,'01.08 Palabek-Atiak'!E49,'05.08 Palabek-Atiak'!E49,'06.08 Palabek-Atiak'!E49,'02.08 Palabek-Atiak-24h'!E49,'03.08 Palabek-Atiak-24h'!E49,'04.08 Palabek-Atiak'!E49)</f>
        <v>0</v>
      </c>
      <c r="F49" s="49">
        <f>AVERAGE('31.07 Palabek-Atiak'!F49,'01.08 Palabek-Atiak'!F49,'05.08 Palabek-Atiak'!F49,'06.08 Palabek-Atiak'!F49,'02.08 Palabek-Atiak-24h'!F49,'03.08 Palabek-Atiak-24h'!F49,'04.08 Palabek-Atiak'!F49)</f>
        <v>0</v>
      </c>
      <c r="G49" s="49">
        <f>AVERAGE('31.07 Palabek-Atiak'!G49,'01.08 Palabek-Atiak'!G49,'05.08 Palabek-Atiak'!G49,'06.08 Palabek-Atiak'!G49,'02.08 Palabek-Atiak-24h'!G49,'03.08 Palabek-Atiak-24h'!G49,'04.08 Palabek-Atiak'!G49)</f>
        <v>0</v>
      </c>
      <c r="H49" s="49">
        <f>AVERAGE('31.07 Palabek-Atiak'!H49,'01.08 Palabek-Atiak'!H49,'05.08 Palabek-Atiak'!H49,'06.08 Palabek-Atiak'!H49,'02.08 Palabek-Atiak-24h'!H49,'03.08 Palabek-Atiak-24h'!H49,'04.08 Palabek-Atiak'!H49)</f>
        <v>0</v>
      </c>
      <c r="I49" s="49">
        <f>AVERAGE('31.07 Palabek-Atiak'!I49,'01.08 Palabek-Atiak'!I49,'05.08 Palabek-Atiak'!I49,'06.08 Palabek-Atiak'!I49,'02.08 Palabek-Atiak-24h'!I49,'03.08 Palabek-Atiak-24h'!I49,'04.08 Palabek-Atiak'!I49)</f>
        <v>0</v>
      </c>
      <c r="J49" s="49">
        <f>AVERAGE('31.07 Palabek-Atiak'!J49,'01.08 Palabek-Atiak'!J49,'05.08 Palabek-Atiak'!J49,'06.08 Palabek-Atiak'!J49,'02.08 Palabek-Atiak-24h'!J49,'03.08 Palabek-Atiak-24h'!J49,'04.08 Palabek-Atiak'!J49)</f>
        <v>0</v>
      </c>
      <c r="K49" s="49">
        <f>AVERAGE('31.07 Palabek-Atiak'!K49,'01.08 Palabek-Atiak'!K49,'05.08 Palabek-Atiak'!K49,'06.08 Palabek-Atiak'!K49,'02.08 Palabek-Atiak-24h'!K49,'03.08 Palabek-Atiak-24h'!K49,'04.08 Palabek-Atiak'!K49)</f>
        <v>0</v>
      </c>
      <c r="L49" s="49">
        <f>AVERAGE('31.07 Palabek-Atiak'!L49,'01.08 Palabek-Atiak'!L49,'05.08 Palabek-Atiak'!L49,'06.08 Palabek-Atiak'!L49,'02.08 Palabek-Atiak-24h'!L49,'03.08 Palabek-Atiak-24h'!L49,'04.08 Palabek-Atiak'!L49)</f>
        <v>0.5714285714285714</v>
      </c>
      <c r="M49" s="49">
        <f>AVERAGE('31.07 Palabek-Atiak'!M49,'01.08 Palabek-Atiak'!M49,'05.08 Palabek-Atiak'!M49,'06.08 Palabek-Atiak'!M49,'02.08 Palabek-Atiak-24h'!M49,'03.08 Palabek-Atiak-24h'!M49,'04.08 Palabek-Atiak'!M49)</f>
        <v>3.8571428571428572</v>
      </c>
      <c r="N49" s="49">
        <f>AVERAGE('31.07 Palabek-Atiak'!N49,'01.08 Palabek-Atiak'!N49,'05.08 Palabek-Atiak'!N49,'06.08 Palabek-Atiak'!N49,'02.08 Palabek-Atiak-24h'!N49,'03.08 Palabek-Atiak-24h'!N49,'04.08 Palabek-Atiak'!N49)</f>
        <v>0</v>
      </c>
      <c r="O49" s="15">
        <f t="shared" si="0"/>
        <v>0.5714285714285714</v>
      </c>
      <c r="P49" s="15">
        <f t="shared" si="1"/>
        <v>4.4285714285714288</v>
      </c>
      <c r="R49" s="8"/>
      <c r="T49"/>
    </row>
    <row r="50" spans="2:20" ht="23.1" customHeight="1" x14ac:dyDescent="0.25">
      <c r="B50" s="24" t="s">
        <v>77</v>
      </c>
      <c r="C50" s="49">
        <f>AVERAGE('31.07 Palabek-Atiak'!C50,'01.08 Palabek-Atiak'!C50,'05.08 Palabek-Atiak'!C50,'06.08 Palabek-Atiak'!C50,'02.08 Palabek-Atiak-24h'!C50,'03.08 Palabek-Atiak-24h'!C50,'04.08 Palabek-Atiak'!C50)</f>
        <v>0</v>
      </c>
      <c r="D50" s="49">
        <f>AVERAGE('31.07 Palabek-Atiak'!D50,'01.08 Palabek-Atiak'!D50,'05.08 Palabek-Atiak'!D50,'06.08 Palabek-Atiak'!D50,'02.08 Palabek-Atiak-24h'!D50,'03.08 Palabek-Atiak-24h'!D50,'04.08 Palabek-Atiak'!D50)</f>
        <v>0</v>
      </c>
      <c r="E50" s="49">
        <f>AVERAGE('31.07 Palabek-Atiak'!E50,'01.08 Palabek-Atiak'!E50,'05.08 Palabek-Atiak'!E50,'06.08 Palabek-Atiak'!E50,'02.08 Palabek-Atiak-24h'!E50,'03.08 Palabek-Atiak-24h'!E50,'04.08 Palabek-Atiak'!E50)</f>
        <v>1</v>
      </c>
      <c r="F50" s="49">
        <f>AVERAGE('31.07 Palabek-Atiak'!F50,'01.08 Palabek-Atiak'!F50,'05.08 Palabek-Atiak'!F50,'06.08 Palabek-Atiak'!F50,'02.08 Palabek-Atiak-24h'!F50,'03.08 Palabek-Atiak-24h'!F50,'04.08 Palabek-Atiak'!F50)</f>
        <v>0.14285714285714285</v>
      </c>
      <c r="G50" s="49">
        <f>AVERAGE('31.07 Palabek-Atiak'!G50,'01.08 Palabek-Atiak'!G50,'05.08 Palabek-Atiak'!G50,'06.08 Palabek-Atiak'!G50,'02.08 Palabek-Atiak-24h'!G50,'03.08 Palabek-Atiak-24h'!G50,'04.08 Palabek-Atiak'!G50)</f>
        <v>0</v>
      </c>
      <c r="H50" s="49">
        <f>AVERAGE('31.07 Palabek-Atiak'!H50,'01.08 Palabek-Atiak'!H50,'05.08 Palabek-Atiak'!H50,'06.08 Palabek-Atiak'!H50,'02.08 Palabek-Atiak-24h'!H50,'03.08 Palabek-Atiak-24h'!H50,'04.08 Palabek-Atiak'!H50)</f>
        <v>0</v>
      </c>
      <c r="I50" s="49">
        <f>AVERAGE('31.07 Palabek-Atiak'!I50,'01.08 Palabek-Atiak'!I50,'05.08 Palabek-Atiak'!I50,'06.08 Palabek-Atiak'!I50,'02.08 Palabek-Atiak-24h'!I50,'03.08 Palabek-Atiak-24h'!I50,'04.08 Palabek-Atiak'!I50)</f>
        <v>0.14285714285714285</v>
      </c>
      <c r="J50" s="49">
        <f>AVERAGE('31.07 Palabek-Atiak'!J50,'01.08 Palabek-Atiak'!J50,'05.08 Palabek-Atiak'!J50,'06.08 Palabek-Atiak'!J50,'02.08 Palabek-Atiak-24h'!J50,'03.08 Palabek-Atiak-24h'!J50,'04.08 Palabek-Atiak'!J50)</f>
        <v>0</v>
      </c>
      <c r="K50" s="49">
        <f>AVERAGE('31.07 Palabek-Atiak'!K50,'01.08 Palabek-Atiak'!K50,'05.08 Palabek-Atiak'!K50,'06.08 Palabek-Atiak'!K50,'02.08 Palabek-Atiak-24h'!K50,'03.08 Palabek-Atiak-24h'!K50,'04.08 Palabek-Atiak'!K50)</f>
        <v>0</v>
      </c>
      <c r="L50" s="49">
        <f>AVERAGE('31.07 Palabek-Atiak'!L50,'01.08 Palabek-Atiak'!L50,'05.08 Palabek-Atiak'!L50,'06.08 Palabek-Atiak'!L50,'02.08 Palabek-Atiak-24h'!L50,'03.08 Palabek-Atiak-24h'!L50,'04.08 Palabek-Atiak'!L50)</f>
        <v>0</v>
      </c>
      <c r="M50" s="49">
        <f>AVERAGE('31.07 Palabek-Atiak'!M50,'01.08 Palabek-Atiak'!M50,'05.08 Palabek-Atiak'!M50,'06.08 Palabek-Atiak'!M50,'02.08 Palabek-Atiak-24h'!M50,'03.08 Palabek-Atiak-24h'!M50,'04.08 Palabek-Atiak'!M50)</f>
        <v>3.5714285714285716</v>
      </c>
      <c r="N50" s="49">
        <f>AVERAGE('31.07 Palabek-Atiak'!N50,'01.08 Palabek-Atiak'!N50,'05.08 Palabek-Atiak'!N50,'06.08 Palabek-Atiak'!N50,'02.08 Palabek-Atiak-24h'!N50,'03.08 Palabek-Atiak-24h'!N50,'04.08 Palabek-Atiak'!N50)</f>
        <v>0</v>
      </c>
      <c r="O50" s="15">
        <f t="shared" si="0"/>
        <v>1.2857142857142856</v>
      </c>
      <c r="P50" s="15">
        <f t="shared" si="1"/>
        <v>4.8571428571428577</v>
      </c>
      <c r="R50" s="8"/>
      <c r="T50"/>
    </row>
    <row r="51" spans="2:20" ht="23.1" customHeight="1" x14ac:dyDescent="0.25">
      <c r="B51" s="24" t="s">
        <v>78</v>
      </c>
      <c r="C51" s="49">
        <f>AVERAGE('31.07 Palabek-Atiak'!C51,'01.08 Palabek-Atiak'!C51,'05.08 Palabek-Atiak'!C51,'06.08 Palabek-Atiak'!C51,'02.08 Palabek-Atiak-24h'!C51,'03.08 Palabek-Atiak-24h'!C51,'04.08 Palabek-Atiak'!C51)</f>
        <v>0.14285714285714285</v>
      </c>
      <c r="D51" s="49">
        <f>AVERAGE('31.07 Palabek-Atiak'!D51,'01.08 Palabek-Atiak'!D51,'05.08 Palabek-Atiak'!D51,'06.08 Palabek-Atiak'!D51,'02.08 Palabek-Atiak-24h'!D51,'03.08 Palabek-Atiak-24h'!D51,'04.08 Palabek-Atiak'!D51)</f>
        <v>0</v>
      </c>
      <c r="E51" s="49">
        <f>AVERAGE('31.07 Palabek-Atiak'!E51,'01.08 Palabek-Atiak'!E51,'05.08 Palabek-Atiak'!E51,'06.08 Palabek-Atiak'!E51,'02.08 Palabek-Atiak-24h'!E51,'03.08 Palabek-Atiak-24h'!E51,'04.08 Palabek-Atiak'!E51)</f>
        <v>0.7142857142857143</v>
      </c>
      <c r="F51" s="49">
        <f>AVERAGE('31.07 Palabek-Atiak'!F51,'01.08 Palabek-Atiak'!F51,'05.08 Palabek-Atiak'!F51,'06.08 Palabek-Atiak'!F51,'02.08 Palabek-Atiak-24h'!F51,'03.08 Palabek-Atiak-24h'!F51,'04.08 Palabek-Atiak'!F51)</f>
        <v>0</v>
      </c>
      <c r="G51" s="49">
        <f>AVERAGE('31.07 Palabek-Atiak'!G51,'01.08 Palabek-Atiak'!G51,'05.08 Palabek-Atiak'!G51,'06.08 Palabek-Atiak'!G51,'02.08 Palabek-Atiak-24h'!G51,'03.08 Palabek-Atiak-24h'!G51,'04.08 Palabek-Atiak'!G51)</f>
        <v>0</v>
      </c>
      <c r="H51" s="49">
        <f>AVERAGE('31.07 Palabek-Atiak'!H51,'01.08 Palabek-Atiak'!H51,'05.08 Palabek-Atiak'!H51,'06.08 Palabek-Atiak'!H51,'02.08 Palabek-Atiak-24h'!H51,'03.08 Palabek-Atiak-24h'!H51,'04.08 Palabek-Atiak'!H51)</f>
        <v>0</v>
      </c>
      <c r="I51" s="49">
        <f>AVERAGE('31.07 Palabek-Atiak'!I51,'01.08 Palabek-Atiak'!I51,'05.08 Palabek-Atiak'!I51,'06.08 Palabek-Atiak'!I51,'02.08 Palabek-Atiak-24h'!I51,'03.08 Palabek-Atiak-24h'!I51,'04.08 Palabek-Atiak'!I51)</f>
        <v>0.2857142857142857</v>
      </c>
      <c r="J51" s="49">
        <f>AVERAGE('31.07 Palabek-Atiak'!J51,'01.08 Palabek-Atiak'!J51,'05.08 Palabek-Atiak'!J51,'06.08 Palabek-Atiak'!J51,'02.08 Palabek-Atiak-24h'!J51,'03.08 Palabek-Atiak-24h'!J51,'04.08 Palabek-Atiak'!J51)</f>
        <v>0</v>
      </c>
      <c r="K51" s="49">
        <f>AVERAGE('31.07 Palabek-Atiak'!K51,'01.08 Palabek-Atiak'!K51,'05.08 Palabek-Atiak'!K51,'06.08 Palabek-Atiak'!K51,'02.08 Palabek-Atiak-24h'!K51,'03.08 Palabek-Atiak-24h'!K51,'04.08 Palabek-Atiak'!K51)</f>
        <v>0</v>
      </c>
      <c r="L51" s="49">
        <f>AVERAGE('31.07 Palabek-Atiak'!L51,'01.08 Palabek-Atiak'!L51,'05.08 Palabek-Atiak'!L51,'06.08 Palabek-Atiak'!L51,'02.08 Palabek-Atiak-24h'!L51,'03.08 Palabek-Atiak-24h'!L51,'04.08 Palabek-Atiak'!L51)</f>
        <v>0.8571428571428571</v>
      </c>
      <c r="M51" s="49">
        <f>AVERAGE('31.07 Palabek-Atiak'!M51,'01.08 Palabek-Atiak'!M51,'05.08 Palabek-Atiak'!M51,'06.08 Palabek-Atiak'!M51,'02.08 Palabek-Atiak-24h'!M51,'03.08 Palabek-Atiak-24h'!M51,'04.08 Palabek-Atiak'!M51)</f>
        <v>3.5714285714285716</v>
      </c>
      <c r="N51" s="49">
        <f>AVERAGE('31.07 Palabek-Atiak'!N51,'01.08 Palabek-Atiak'!N51,'05.08 Palabek-Atiak'!N51,'06.08 Palabek-Atiak'!N51,'02.08 Palabek-Atiak-24h'!N51,'03.08 Palabek-Atiak-24h'!N51,'04.08 Palabek-Atiak'!N51)</f>
        <v>0</v>
      </c>
      <c r="O51" s="15">
        <f t="shared" si="0"/>
        <v>2</v>
      </c>
      <c r="P51" s="15">
        <f t="shared" si="1"/>
        <v>5.5714285714285712</v>
      </c>
      <c r="R51" s="8"/>
      <c r="T51"/>
    </row>
    <row r="52" spans="2:20" ht="23.1" customHeight="1" x14ac:dyDescent="0.25">
      <c r="B52" s="24" t="s">
        <v>79</v>
      </c>
      <c r="C52" s="49">
        <f>AVERAGE('31.07 Palabek-Atiak'!C52,'01.08 Palabek-Atiak'!C52,'05.08 Palabek-Atiak'!C52,'06.08 Palabek-Atiak'!C52,'02.08 Palabek-Atiak-24h'!C52,'03.08 Palabek-Atiak-24h'!C52,'04.08 Palabek-Atiak'!C52)</f>
        <v>0</v>
      </c>
      <c r="D52" s="49">
        <f>AVERAGE('31.07 Palabek-Atiak'!D52,'01.08 Palabek-Atiak'!D52,'05.08 Palabek-Atiak'!D52,'06.08 Palabek-Atiak'!D52,'02.08 Palabek-Atiak-24h'!D52,'03.08 Palabek-Atiak-24h'!D52,'04.08 Palabek-Atiak'!D52)</f>
        <v>0</v>
      </c>
      <c r="E52" s="49">
        <f>AVERAGE('31.07 Palabek-Atiak'!E52,'01.08 Palabek-Atiak'!E52,'05.08 Palabek-Atiak'!E52,'06.08 Palabek-Atiak'!E52,'02.08 Palabek-Atiak-24h'!E52,'03.08 Palabek-Atiak-24h'!E52,'04.08 Palabek-Atiak'!E52)</f>
        <v>0.14285714285714285</v>
      </c>
      <c r="F52" s="49">
        <f>AVERAGE('31.07 Palabek-Atiak'!F52,'01.08 Palabek-Atiak'!F52,'05.08 Palabek-Atiak'!F52,'06.08 Palabek-Atiak'!F52,'02.08 Palabek-Atiak-24h'!F52,'03.08 Palabek-Atiak-24h'!F52,'04.08 Palabek-Atiak'!F52)</f>
        <v>0.2857142857142857</v>
      </c>
      <c r="G52" s="49">
        <f>AVERAGE('31.07 Palabek-Atiak'!G52,'01.08 Palabek-Atiak'!G52,'05.08 Palabek-Atiak'!G52,'06.08 Palabek-Atiak'!G52,'02.08 Palabek-Atiak-24h'!G52,'03.08 Palabek-Atiak-24h'!G52,'04.08 Palabek-Atiak'!G52)</f>
        <v>0</v>
      </c>
      <c r="H52" s="49">
        <f>AVERAGE('31.07 Palabek-Atiak'!H52,'01.08 Palabek-Atiak'!H52,'05.08 Palabek-Atiak'!H52,'06.08 Palabek-Atiak'!H52,'02.08 Palabek-Atiak-24h'!H52,'03.08 Palabek-Atiak-24h'!H52,'04.08 Palabek-Atiak'!H52)</f>
        <v>0</v>
      </c>
      <c r="I52" s="49">
        <f>AVERAGE('31.07 Palabek-Atiak'!I52,'01.08 Palabek-Atiak'!I52,'05.08 Palabek-Atiak'!I52,'06.08 Palabek-Atiak'!I52,'02.08 Palabek-Atiak-24h'!I52,'03.08 Palabek-Atiak-24h'!I52,'04.08 Palabek-Atiak'!I52)</f>
        <v>0.8571428571428571</v>
      </c>
      <c r="J52" s="49">
        <f>AVERAGE('31.07 Palabek-Atiak'!J52,'01.08 Palabek-Atiak'!J52,'05.08 Palabek-Atiak'!J52,'06.08 Palabek-Atiak'!J52,'02.08 Palabek-Atiak-24h'!J52,'03.08 Palabek-Atiak-24h'!J52,'04.08 Palabek-Atiak'!J52)</f>
        <v>0</v>
      </c>
      <c r="K52" s="49">
        <f>AVERAGE('31.07 Palabek-Atiak'!K52,'01.08 Palabek-Atiak'!K52,'05.08 Palabek-Atiak'!K52,'06.08 Palabek-Atiak'!K52,'02.08 Palabek-Atiak-24h'!K52,'03.08 Palabek-Atiak-24h'!K52,'04.08 Palabek-Atiak'!K52)</f>
        <v>0</v>
      </c>
      <c r="L52" s="49">
        <f>AVERAGE('31.07 Palabek-Atiak'!L52,'01.08 Palabek-Atiak'!L52,'05.08 Palabek-Atiak'!L52,'06.08 Palabek-Atiak'!L52,'02.08 Palabek-Atiak-24h'!L52,'03.08 Palabek-Atiak-24h'!L52,'04.08 Palabek-Atiak'!L52)</f>
        <v>0.42857142857142855</v>
      </c>
      <c r="M52" s="49">
        <f>AVERAGE('31.07 Palabek-Atiak'!M52,'01.08 Palabek-Atiak'!M52,'05.08 Palabek-Atiak'!M52,'06.08 Palabek-Atiak'!M52,'02.08 Palabek-Atiak-24h'!M52,'03.08 Palabek-Atiak-24h'!M52,'04.08 Palabek-Atiak'!M52)</f>
        <v>3.1428571428571428</v>
      </c>
      <c r="N52" s="49">
        <f>AVERAGE('31.07 Palabek-Atiak'!N52,'01.08 Palabek-Atiak'!N52,'05.08 Palabek-Atiak'!N52,'06.08 Palabek-Atiak'!N52,'02.08 Palabek-Atiak-24h'!N52,'03.08 Palabek-Atiak-24h'!N52,'04.08 Palabek-Atiak'!N52)</f>
        <v>0</v>
      </c>
      <c r="O52" s="15">
        <f t="shared" si="0"/>
        <v>1.7142857142857142</v>
      </c>
      <c r="P52" s="15">
        <f t="shared" si="1"/>
        <v>4.8571428571428568</v>
      </c>
      <c r="R52" s="8"/>
      <c r="T52"/>
    </row>
    <row r="53" spans="2:20" ht="23.1" customHeight="1" x14ac:dyDescent="0.25">
      <c r="B53" s="23" t="s">
        <v>80</v>
      </c>
      <c r="C53" s="49">
        <f>AVERAGE('31.07 Palabek-Atiak'!C53,'01.08 Palabek-Atiak'!C53,'05.08 Palabek-Atiak'!C53,'06.08 Palabek-Atiak'!C53,'02.08 Palabek-Atiak-24h'!C53,'03.08 Palabek-Atiak-24h'!C53,'04.08 Palabek-Atiak'!C53)</f>
        <v>0.2857142857142857</v>
      </c>
      <c r="D53" s="49">
        <f>AVERAGE('31.07 Palabek-Atiak'!D53,'01.08 Palabek-Atiak'!D53,'05.08 Palabek-Atiak'!D53,'06.08 Palabek-Atiak'!D53,'02.08 Palabek-Atiak-24h'!D53,'03.08 Palabek-Atiak-24h'!D53,'04.08 Palabek-Atiak'!D53)</f>
        <v>0</v>
      </c>
      <c r="E53" s="49">
        <f>AVERAGE('31.07 Palabek-Atiak'!E53,'01.08 Palabek-Atiak'!E53,'05.08 Palabek-Atiak'!E53,'06.08 Palabek-Atiak'!E53,'02.08 Palabek-Atiak-24h'!E53,'03.08 Palabek-Atiak-24h'!E53,'04.08 Palabek-Atiak'!E53)</f>
        <v>0.2857142857142857</v>
      </c>
      <c r="F53" s="49">
        <f>AVERAGE('31.07 Palabek-Atiak'!F53,'01.08 Palabek-Atiak'!F53,'05.08 Palabek-Atiak'!F53,'06.08 Palabek-Atiak'!F53,'02.08 Palabek-Atiak-24h'!F53,'03.08 Palabek-Atiak-24h'!F53,'04.08 Palabek-Atiak'!F53)</f>
        <v>0.14285714285714285</v>
      </c>
      <c r="G53" s="49">
        <f>AVERAGE('31.07 Palabek-Atiak'!G53,'01.08 Palabek-Atiak'!G53,'05.08 Palabek-Atiak'!G53,'06.08 Palabek-Atiak'!G53,'02.08 Palabek-Atiak-24h'!G53,'03.08 Palabek-Atiak-24h'!G53,'04.08 Palabek-Atiak'!G53)</f>
        <v>0</v>
      </c>
      <c r="H53" s="49">
        <f>AVERAGE('31.07 Palabek-Atiak'!H53,'01.08 Palabek-Atiak'!H53,'05.08 Palabek-Atiak'!H53,'06.08 Palabek-Atiak'!H53,'02.08 Palabek-Atiak-24h'!H53,'03.08 Palabek-Atiak-24h'!H53,'04.08 Palabek-Atiak'!H53)</f>
        <v>0</v>
      </c>
      <c r="I53" s="49">
        <f>AVERAGE('31.07 Palabek-Atiak'!I53,'01.08 Palabek-Atiak'!I53,'05.08 Palabek-Atiak'!I53,'06.08 Palabek-Atiak'!I53,'02.08 Palabek-Atiak-24h'!I53,'03.08 Palabek-Atiak-24h'!I53,'04.08 Palabek-Atiak'!I53)</f>
        <v>0</v>
      </c>
      <c r="J53" s="49">
        <f>AVERAGE('31.07 Palabek-Atiak'!J53,'01.08 Palabek-Atiak'!J53,'05.08 Palabek-Atiak'!J53,'06.08 Palabek-Atiak'!J53,'02.08 Palabek-Atiak-24h'!J53,'03.08 Palabek-Atiak-24h'!J53,'04.08 Palabek-Atiak'!J53)</f>
        <v>0</v>
      </c>
      <c r="K53" s="49">
        <f>AVERAGE('31.07 Palabek-Atiak'!K53,'01.08 Palabek-Atiak'!K53,'05.08 Palabek-Atiak'!K53,'06.08 Palabek-Atiak'!K53,'02.08 Palabek-Atiak-24h'!K53,'03.08 Palabek-Atiak-24h'!K53,'04.08 Palabek-Atiak'!K53)</f>
        <v>0</v>
      </c>
      <c r="L53" s="49">
        <f>AVERAGE('31.07 Palabek-Atiak'!L53,'01.08 Palabek-Atiak'!L53,'05.08 Palabek-Atiak'!L53,'06.08 Palabek-Atiak'!L53,'02.08 Palabek-Atiak-24h'!L53,'03.08 Palabek-Atiak-24h'!L53,'04.08 Palabek-Atiak'!L53)</f>
        <v>0</v>
      </c>
      <c r="M53" s="49">
        <f>AVERAGE('31.07 Palabek-Atiak'!M53,'01.08 Palabek-Atiak'!M53,'05.08 Palabek-Atiak'!M53,'06.08 Palabek-Atiak'!M53,'02.08 Palabek-Atiak-24h'!M53,'03.08 Palabek-Atiak-24h'!M53,'04.08 Palabek-Atiak'!M53)</f>
        <v>4.2857142857142856</v>
      </c>
      <c r="N53" s="49">
        <f>AVERAGE('31.07 Palabek-Atiak'!N53,'01.08 Palabek-Atiak'!N53,'05.08 Palabek-Atiak'!N53,'06.08 Palabek-Atiak'!N53,'02.08 Palabek-Atiak-24h'!N53,'03.08 Palabek-Atiak-24h'!N53,'04.08 Palabek-Atiak'!N53)</f>
        <v>0</v>
      </c>
      <c r="O53" s="15">
        <f t="shared" si="0"/>
        <v>0.71428571428571419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49">
        <f>AVERAGE('31.07 Palabek-Atiak'!C54,'01.08 Palabek-Atiak'!C54,'05.08 Palabek-Atiak'!C54,'06.08 Palabek-Atiak'!C54,'02.08 Palabek-Atiak-24h'!C54,'03.08 Palabek-Atiak-24h'!C54,'04.08 Palabek-Atiak'!C54)</f>
        <v>0</v>
      </c>
      <c r="D54" s="49">
        <f>AVERAGE('31.07 Palabek-Atiak'!D54,'01.08 Palabek-Atiak'!D54,'05.08 Palabek-Atiak'!D54,'06.08 Palabek-Atiak'!D54,'02.08 Palabek-Atiak-24h'!D54,'03.08 Palabek-Atiak-24h'!D54,'04.08 Palabek-Atiak'!D54)</f>
        <v>0</v>
      </c>
      <c r="E54" s="49">
        <f>AVERAGE('31.07 Palabek-Atiak'!E54,'01.08 Palabek-Atiak'!E54,'05.08 Palabek-Atiak'!E54,'06.08 Palabek-Atiak'!E54,'02.08 Palabek-Atiak-24h'!E54,'03.08 Palabek-Atiak-24h'!E54,'04.08 Palabek-Atiak'!E54)</f>
        <v>0</v>
      </c>
      <c r="F54" s="49">
        <f>AVERAGE('31.07 Palabek-Atiak'!F54,'01.08 Palabek-Atiak'!F54,'05.08 Palabek-Atiak'!F54,'06.08 Palabek-Atiak'!F54,'02.08 Palabek-Atiak-24h'!F54,'03.08 Palabek-Atiak-24h'!F54,'04.08 Palabek-Atiak'!F54)</f>
        <v>0.42857142857142855</v>
      </c>
      <c r="G54" s="49">
        <f>AVERAGE('31.07 Palabek-Atiak'!G54,'01.08 Palabek-Atiak'!G54,'05.08 Palabek-Atiak'!G54,'06.08 Palabek-Atiak'!G54,'02.08 Palabek-Atiak-24h'!G54,'03.08 Palabek-Atiak-24h'!G54,'04.08 Palabek-Atiak'!G54)</f>
        <v>0</v>
      </c>
      <c r="H54" s="49">
        <f>AVERAGE('31.07 Palabek-Atiak'!H54,'01.08 Palabek-Atiak'!H54,'05.08 Palabek-Atiak'!H54,'06.08 Palabek-Atiak'!H54,'02.08 Palabek-Atiak-24h'!H54,'03.08 Palabek-Atiak-24h'!H54,'04.08 Palabek-Atiak'!H54)</f>
        <v>0</v>
      </c>
      <c r="I54" s="49">
        <f>AVERAGE('31.07 Palabek-Atiak'!I54,'01.08 Palabek-Atiak'!I54,'05.08 Palabek-Atiak'!I54,'06.08 Palabek-Atiak'!I54,'02.08 Palabek-Atiak-24h'!I54,'03.08 Palabek-Atiak-24h'!I54,'04.08 Palabek-Atiak'!I54)</f>
        <v>0</v>
      </c>
      <c r="J54" s="49">
        <f>AVERAGE('31.07 Palabek-Atiak'!J54,'01.08 Palabek-Atiak'!J54,'05.08 Palabek-Atiak'!J54,'06.08 Palabek-Atiak'!J54,'02.08 Palabek-Atiak-24h'!J54,'03.08 Palabek-Atiak-24h'!J54,'04.08 Palabek-Atiak'!J54)</f>
        <v>0</v>
      </c>
      <c r="K54" s="49">
        <f>AVERAGE('31.07 Palabek-Atiak'!K54,'01.08 Palabek-Atiak'!K54,'05.08 Palabek-Atiak'!K54,'06.08 Palabek-Atiak'!K54,'02.08 Palabek-Atiak-24h'!K54,'03.08 Palabek-Atiak-24h'!K54,'04.08 Palabek-Atiak'!K54)</f>
        <v>0</v>
      </c>
      <c r="L54" s="49">
        <f>AVERAGE('31.07 Palabek-Atiak'!L54,'01.08 Palabek-Atiak'!L54,'05.08 Palabek-Atiak'!L54,'06.08 Palabek-Atiak'!L54,'02.08 Palabek-Atiak-24h'!L54,'03.08 Palabek-Atiak-24h'!L54,'04.08 Palabek-Atiak'!L54)</f>
        <v>0.2857142857142857</v>
      </c>
      <c r="M54" s="49">
        <f>AVERAGE('31.07 Palabek-Atiak'!M54,'01.08 Palabek-Atiak'!M54,'05.08 Palabek-Atiak'!M54,'06.08 Palabek-Atiak'!M54,'02.08 Palabek-Atiak-24h'!M54,'03.08 Palabek-Atiak-24h'!M54,'04.08 Palabek-Atiak'!M54)</f>
        <v>3.1428571428571428</v>
      </c>
      <c r="N54" s="49">
        <f>AVERAGE('31.07 Palabek-Atiak'!N54,'01.08 Palabek-Atiak'!N54,'05.08 Palabek-Atiak'!N54,'06.08 Palabek-Atiak'!N54,'02.08 Palabek-Atiak-24h'!N54,'03.08 Palabek-Atiak-24h'!N54,'04.08 Palabek-Atiak'!N54)</f>
        <v>0</v>
      </c>
      <c r="O54" s="15">
        <f t="shared" si="0"/>
        <v>0.71428571428571419</v>
      </c>
      <c r="P54" s="15">
        <f t="shared" si="1"/>
        <v>3.8571428571428568</v>
      </c>
      <c r="R54" s="8"/>
      <c r="T54"/>
    </row>
    <row r="55" spans="2:20" ht="23.1" customHeight="1" x14ac:dyDescent="0.25">
      <c r="B55" s="23" t="s">
        <v>82</v>
      </c>
      <c r="C55" s="49">
        <f>AVERAGE('31.07 Palabek-Atiak'!C55,'01.08 Palabek-Atiak'!C55,'05.08 Palabek-Atiak'!C55,'06.08 Palabek-Atiak'!C55,'02.08 Palabek-Atiak-24h'!C55,'03.08 Palabek-Atiak-24h'!C55,'04.08 Palabek-Atiak'!C55)</f>
        <v>0</v>
      </c>
      <c r="D55" s="49">
        <f>AVERAGE('31.07 Palabek-Atiak'!D55,'01.08 Palabek-Atiak'!D55,'05.08 Palabek-Atiak'!D55,'06.08 Palabek-Atiak'!D55,'02.08 Palabek-Atiak-24h'!D55,'03.08 Palabek-Atiak-24h'!D55,'04.08 Palabek-Atiak'!D55)</f>
        <v>0</v>
      </c>
      <c r="E55" s="49">
        <f>AVERAGE('31.07 Palabek-Atiak'!E55,'01.08 Palabek-Atiak'!E55,'05.08 Palabek-Atiak'!E55,'06.08 Palabek-Atiak'!E55,'02.08 Palabek-Atiak-24h'!E55,'03.08 Palabek-Atiak-24h'!E55,'04.08 Palabek-Atiak'!E55)</f>
        <v>0.14285714285714285</v>
      </c>
      <c r="F55" s="49">
        <f>AVERAGE('31.07 Palabek-Atiak'!F55,'01.08 Palabek-Atiak'!F55,'05.08 Palabek-Atiak'!F55,'06.08 Palabek-Atiak'!F55,'02.08 Palabek-Atiak-24h'!F55,'03.08 Palabek-Atiak-24h'!F55,'04.08 Palabek-Atiak'!F55)</f>
        <v>0.2857142857142857</v>
      </c>
      <c r="G55" s="49">
        <f>AVERAGE('31.07 Palabek-Atiak'!G55,'01.08 Palabek-Atiak'!G55,'05.08 Palabek-Atiak'!G55,'06.08 Palabek-Atiak'!G55,'02.08 Palabek-Atiak-24h'!G55,'03.08 Palabek-Atiak-24h'!G55,'04.08 Palabek-Atiak'!G55)</f>
        <v>0</v>
      </c>
      <c r="H55" s="49">
        <f>AVERAGE('31.07 Palabek-Atiak'!H55,'01.08 Palabek-Atiak'!H55,'05.08 Palabek-Atiak'!H55,'06.08 Palabek-Atiak'!H55,'02.08 Palabek-Atiak-24h'!H55,'03.08 Palabek-Atiak-24h'!H55,'04.08 Palabek-Atiak'!H55)</f>
        <v>0</v>
      </c>
      <c r="I55" s="49">
        <f>AVERAGE('31.07 Palabek-Atiak'!I55,'01.08 Palabek-Atiak'!I55,'05.08 Palabek-Atiak'!I55,'06.08 Palabek-Atiak'!I55,'02.08 Palabek-Atiak-24h'!I55,'03.08 Palabek-Atiak-24h'!I55,'04.08 Palabek-Atiak'!I55)</f>
        <v>0</v>
      </c>
      <c r="J55" s="49">
        <f>AVERAGE('31.07 Palabek-Atiak'!J55,'01.08 Palabek-Atiak'!J55,'05.08 Palabek-Atiak'!J55,'06.08 Palabek-Atiak'!J55,'02.08 Palabek-Atiak-24h'!J55,'03.08 Palabek-Atiak-24h'!J55,'04.08 Palabek-Atiak'!J55)</f>
        <v>0</v>
      </c>
      <c r="K55" s="49">
        <f>AVERAGE('31.07 Palabek-Atiak'!K55,'01.08 Palabek-Atiak'!K55,'05.08 Palabek-Atiak'!K55,'06.08 Palabek-Atiak'!K55,'02.08 Palabek-Atiak-24h'!K55,'03.08 Palabek-Atiak-24h'!K55,'04.08 Palabek-Atiak'!K55)</f>
        <v>0</v>
      </c>
      <c r="L55" s="49">
        <f>AVERAGE('31.07 Palabek-Atiak'!L55,'01.08 Palabek-Atiak'!L55,'05.08 Palabek-Atiak'!L55,'06.08 Palabek-Atiak'!L55,'02.08 Palabek-Atiak-24h'!L55,'03.08 Palabek-Atiak-24h'!L55,'04.08 Palabek-Atiak'!L55)</f>
        <v>0.14285714285714285</v>
      </c>
      <c r="M55" s="49">
        <f>AVERAGE('31.07 Palabek-Atiak'!M55,'01.08 Palabek-Atiak'!M55,'05.08 Palabek-Atiak'!M55,'06.08 Palabek-Atiak'!M55,'02.08 Palabek-Atiak-24h'!M55,'03.08 Palabek-Atiak-24h'!M55,'04.08 Palabek-Atiak'!M55)</f>
        <v>2.1428571428571428</v>
      </c>
      <c r="N55" s="49">
        <f>AVERAGE('31.07 Palabek-Atiak'!N55,'01.08 Palabek-Atiak'!N55,'05.08 Palabek-Atiak'!N55,'06.08 Palabek-Atiak'!N55,'02.08 Palabek-Atiak-24h'!N55,'03.08 Palabek-Atiak-24h'!N55,'04.08 Palabek-Atiak'!N55)</f>
        <v>0</v>
      </c>
      <c r="O55" s="15">
        <f t="shared" si="0"/>
        <v>0.5714285714285714</v>
      </c>
      <c r="P55" s="15">
        <f t="shared" si="1"/>
        <v>2.7142857142857144</v>
      </c>
      <c r="R55" s="8"/>
      <c r="T55"/>
    </row>
    <row r="56" spans="2:20" ht="23.1" customHeight="1" x14ac:dyDescent="0.25">
      <c r="B56" s="23" t="s">
        <v>83</v>
      </c>
      <c r="C56" s="49">
        <f>AVERAGE('31.07 Palabek-Atiak'!C56,'01.08 Palabek-Atiak'!C56,'05.08 Palabek-Atiak'!C56,'06.08 Palabek-Atiak'!C56,'02.08 Palabek-Atiak-24h'!C56,'03.08 Palabek-Atiak-24h'!C56,'04.08 Palabek-Atiak'!C56)</f>
        <v>0</v>
      </c>
      <c r="D56" s="49">
        <f>AVERAGE('31.07 Palabek-Atiak'!D56,'01.08 Palabek-Atiak'!D56,'05.08 Palabek-Atiak'!D56,'06.08 Palabek-Atiak'!D56,'02.08 Palabek-Atiak-24h'!D56,'03.08 Palabek-Atiak-24h'!D56,'04.08 Palabek-Atiak'!D56)</f>
        <v>0</v>
      </c>
      <c r="E56" s="49">
        <f>AVERAGE('31.07 Palabek-Atiak'!E56,'01.08 Palabek-Atiak'!E56,'05.08 Palabek-Atiak'!E56,'06.08 Palabek-Atiak'!E56,'02.08 Palabek-Atiak-24h'!E56,'03.08 Palabek-Atiak-24h'!E56,'04.08 Palabek-Atiak'!E56)</f>
        <v>0.14285714285714285</v>
      </c>
      <c r="F56" s="49">
        <f>AVERAGE('31.07 Palabek-Atiak'!F56,'01.08 Palabek-Atiak'!F56,'05.08 Palabek-Atiak'!F56,'06.08 Palabek-Atiak'!F56,'02.08 Palabek-Atiak-24h'!F56,'03.08 Palabek-Atiak-24h'!F56,'04.08 Palabek-Atiak'!F56)</f>
        <v>0</v>
      </c>
      <c r="G56" s="49">
        <f>AVERAGE('31.07 Palabek-Atiak'!G56,'01.08 Palabek-Atiak'!G56,'05.08 Palabek-Atiak'!G56,'06.08 Palabek-Atiak'!G56,'02.08 Palabek-Atiak-24h'!G56,'03.08 Palabek-Atiak-24h'!G56,'04.08 Palabek-Atiak'!G56)</f>
        <v>0</v>
      </c>
      <c r="H56" s="49">
        <f>AVERAGE('31.07 Palabek-Atiak'!H56,'01.08 Palabek-Atiak'!H56,'05.08 Palabek-Atiak'!H56,'06.08 Palabek-Atiak'!H56,'02.08 Palabek-Atiak-24h'!H56,'03.08 Palabek-Atiak-24h'!H56,'04.08 Palabek-Atiak'!H56)</f>
        <v>0</v>
      </c>
      <c r="I56" s="49">
        <f>AVERAGE('31.07 Palabek-Atiak'!I56,'01.08 Palabek-Atiak'!I56,'05.08 Palabek-Atiak'!I56,'06.08 Palabek-Atiak'!I56,'02.08 Palabek-Atiak-24h'!I56,'03.08 Palabek-Atiak-24h'!I56,'04.08 Palabek-Atiak'!I56)</f>
        <v>0.2857142857142857</v>
      </c>
      <c r="J56" s="49">
        <f>AVERAGE('31.07 Palabek-Atiak'!J56,'01.08 Palabek-Atiak'!J56,'05.08 Palabek-Atiak'!J56,'06.08 Palabek-Atiak'!J56,'02.08 Palabek-Atiak-24h'!J56,'03.08 Palabek-Atiak-24h'!J56,'04.08 Palabek-Atiak'!J56)</f>
        <v>0</v>
      </c>
      <c r="K56" s="49">
        <f>AVERAGE('31.07 Palabek-Atiak'!K56,'01.08 Palabek-Atiak'!K56,'05.08 Palabek-Atiak'!K56,'06.08 Palabek-Atiak'!K56,'02.08 Palabek-Atiak-24h'!K56,'03.08 Palabek-Atiak-24h'!K56,'04.08 Palabek-Atiak'!K56)</f>
        <v>0</v>
      </c>
      <c r="L56" s="49">
        <f>AVERAGE('31.07 Palabek-Atiak'!L56,'01.08 Palabek-Atiak'!L56,'05.08 Palabek-Atiak'!L56,'06.08 Palabek-Atiak'!L56,'02.08 Palabek-Atiak-24h'!L56,'03.08 Palabek-Atiak-24h'!L56,'04.08 Palabek-Atiak'!L56)</f>
        <v>0.2857142857142857</v>
      </c>
      <c r="M56" s="49">
        <f>AVERAGE('31.07 Palabek-Atiak'!M56,'01.08 Palabek-Atiak'!M56,'05.08 Palabek-Atiak'!M56,'06.08 Palabek-Atiak'!M56,'02.08 Palabek-Atiak-24h'!M56,'03.08 Palabek-Atiak-24h'!M56,'04.08 Palabek-Atiak'!M56)</f>
        <v>1.7142857142857142</v>
      </c>
      <c r="N56" s="49">
        <f>AVERAGE('31.07 Palabek-Atiak'!N56,'01.08 Palabek-Atiak'!N56,'05.08 Palabek-Atiak'!N56,'06.08 Palabek-Atiak'!N56,'02.08 Palabek-Atiak-24h'!N56,'03.08 Palabek-Atiak-24h'!N56,'04.08 Palabek-Atiak'!N56)</f>
        <v>0</v>
      </c>
      <c r="O56" s="15">
        <f t="shared" si="0"/>
        <v>0.71428571428571419</v>
      </c>
      <c r="P56" s="15">
        <f t="shared" si="1"/>
        <v>2.4285714285714284</v>
      </c>
      <c r="R56" s="8"/>
      <c r="T56"/>
    </row>
    <row r="57" spans="2:20" ht="23.1" customHeight="1" x14ac:dyDescent="0.25">
      <c r="B57" s="23" t="s">
        <v>84</v>
      </c>
      <c r="C57" s="49">
        <f>AVERAGE('31.07 Palabek-Atiak'!C57,'01.08 Palabek-Atiak'!C57,'05.08 Palabek-Atiak'!C57,'06.08 Palabek-Atiak'!C57,'02.08 Palabek-Atiak-24h'!C57,'03.08 Palabek-Atiak-24h'!C57,'04.08 Palabek-Atiak'!C57)</f>
        <v>0</v>
      </c>
      <c r="D57" s="49">
        <f>AVERAGE('31.07 Palabek-Atiak'!D57,'01.08 Palabek-Atiak'!D57,'05.08 Palabek-Atiak'!D57,'06.08 Palabek-Atiak'!D57,'02.08 Palabek-Atiak-24h'!D57,'03.08 Palabek-Atiak-24h'!D57,'04.08 Palabek-Atiak'!D57)</f>
        <v>0</v>
      </c>
      <c r="E57" s="49">
        <f>AVERAGE('31.07 Palabek-Atiak'!E57,'01.08 Palabek-Atiak'!E57,'05.08 Palabek-Atiak'!E57,'06.08 Palabek-Atiak'!E57,'02.08 Palabek-Atiak-24h'!E57,'03.08 Palabek-Atiak-24h'!E57,'04.08 Palabek-Atiak'!E57)</f>
        <v>0</v>
      </c>
      <c r="F57" s="49">
        <f>AVERAGE('31.07 Palabek-Atiak'!F57,'01.08 Palabek-Atiak'!F57,'05.08 Palabek-Atiak'!F57,'06.08 Palabek-Atiak'!F57,'02.08 Palabek-Atiak-24h'!F57,'03.08 Palabek-Atiak-24h'!F57,'04.08 Palabek-Atiak'!F57)</f>
        <v>0.8571428571428571</v>
      </c>
      <c r="G57" s="49">
        <f>AVERAGE('31.07 Palabek-Atiak'!G57,'01.08 Palabek-Atiak'!G57,'05.08 Palabek-Atiak'!G57,'06.08 Palabek-Atiak'!G57,'02.08 Palabek-Atiak-24h'!G57,'03.08 Palabek-Atiak-24h'!G57,'04.08 Palabek-Atiak'!G57)</f>
        <v>0.14285714285714285</v>
      </c>
      <c r="H57" s="49">
        <f>AVERAGE('31.07 Palabek-Atiak'!H57,'01.08 Palabek-Atiak'!H57,'05.08 Palabek-Atiak'!H57,'06.08 Palabek-Atiak'!H57,'02.08 Palabek-Atiak-24h'!H57,'03.08 Palabek-Atiak-24h'!H57,'04.08 Palabek-Atiak'!H57)</f>
        <v>0</v>
      </c>
      <c r="I57" s="49">
        <f>AVERAGE('31.07 Palabek-Atiak'!I57,'01.08 Palabek-Atiak'!I57,'05.08 Palabek-Atiak'!I57,'06.08 Palabek-Atiak'!I57,'02.08 Palabek-Atiak-24h'!I57,'03.08 Palabek-Atiak-24h'!I57,'04.08 Palabek-Atiak'!I57)</f>
        <v>0.2857142857142857</v>
      </c>
      <c r="J57" s="49">
        <f>AVERAGE('31.07 Palabek-Atiak'!J57,'01.08 Palabek-Atiak'!J57,'05.08 Palabek-Atiak'!J57,'06.08 Palabek-Atiak'!J57,'02.08 Palabek-Atiak-24h'!J57,'03.08 Palabek-Atiak-24h'!J57,'04.08 Palabek-Atiak'!J57)</f>
        <v>0</v>
      </c>
      <c r="K57" s="49">
        <f>AVERAGE('31.07 Palabek-Atiak'!K57,'01.08 Palabek-Atiak'!K57,'05.08 Palabek-Atiak'!K57,'06.08 Palabek-Atiak'!K57,'02.08 Palabek-Atiak-24h'!K57,'03.08 Palabek-Atiak-24h'!K57,'04.08 Palabek-Atiak'!K57)</f>
        <v>0</v>
      </c>
      <c r="L57" s="49">
        <f>AVERAGE('31.07 Palabek-Atiak'!L57,'01.08 Palabek-Atiak'!L57,'05.08 Palabek-Atiak'!L57,'06.08 Palabek-Atiak'!L57,'02.08 Palabek-Atiak-24h'!L57,'03.08 Palabek-Atiak-24h'!L57,'04.08 Palabek-Atiak'!L57)</f>
        <v>0.2857142857142857</v>
      </c>
      <c r="M57" s="49">
        <f>AVERAGE('31.07 Palabek-Atiak'!M57,'01.08 Palabek-Atiak'!M57,'05.08 Palabek-Atiak'!M57,'06.08 Palabek-Atiak'!M57,'02.08 Palabek-Atiak-24h'!M57,'03.08 Palabek-Atiak-24h'!M57,'04.08 Palabek-Atiak'!M57)</f>
        <v>3.7142857142857144</v>
      </c>
      <c r="N57" s="49">
        <f>AVERAGE('31.07 Palabek-Atiak'!N57,'01.08 Palabek-Atiak'!N57,'05.08 Palabek-Atiak'!N57,'06.08 Palabek-Atiak'!N57,'02.08 Palabek-Atiak-24h'!N57,'03.08 Palabek-Atiak-24h'!N57,'04.08 Palabek-Atiak'!N57)</f>
        <v>0</v>
      </c>
      <c r="O57" s="15">
        <f t="shared" si="0"/>
        <v>1.5714285714285712</v>
      </c>
      <c r="P57" s="15">
        <f t="shared" si="1"/>
        <v>5.2857142857142856</v>
      </c>
      <c r="R57" s="8"/>
      <c r="T57"/>
    </row>
    <row r="58" spans="2:20" ht="23.1" customHeight="1" x14ac:dyDescent="0.25">
      <c r="B58" s="23" t="s">
        <v>99</v>
      </c>
      <c r="C58" s="49">
        <f>AVERAGE('02.08 Palabek-Atiak-24h'!C58,'03.08 Palabek-Atiak-24h'!C58)</f>
        <v>0</v>
      </c>
      <c r="D58" s="49">
        <f>AVERAGE('02.08 Palabek-Atiak-24h'!D58,'03.08 Palabek-Atiak-24h'!D58)</f>
        <v>0</v>
      </c>
      <c r="E58" s="49">
        <f>AVERAGE('02.08 Palabek-Atiak-24h'!E58,'03.08 Palabek-Atiak-24h'!E58)</f>
        <v>0</v>
      </c>
      <c r="F58" s="49">
        <f>AVERAGE('02.08 Palabek-Atiak-24h'!F58,'03.08 Palabek-Atiak-24h'!F58)</f>
        <v>0.5</v>
      </c>
      <c r="G58" s="49">
        <f>AVERAGE('02.08 Palabek-Atiak-24h'!G58,'03.08 Palabek-Atiak-24h'!G58)</f>
        <v>0</v>
      </c>
      <c r="H58" s="49">
        <f>AVERAGE('02.08 Palabek-Atiak-24h'!H58,'03.08 Palabek-Atiak-24h'!H58)</f>
        <v>0</v>
      </c>
      <c r="I58" s="49">
        <f>AVERAGE('02.08 Palabek-Atiak-24h'!I58,'03.08 Palabek-Atiak-24h'!I58)</f>
        <v>0</v>
      </c>
      <c r="J58" s="49">
        <f>AVERAGE('02.08 Palabek-Atiak-24h'!J58,'03.08 Palabek-Atiak-24h'!J58)</f>
        <v>0</v>
      </c>
      <c r="K58" s="49">
        <f>AVERAGE('02.08 Palabek-Atiak-24h'!K58,'03.08 Palabek-Atiak-24h'!K58)</f>
        <v>0</v>
      </c>
      <c r="L58" s="49">
        <f>AVERAGE('02.08 Palabek-Atiak-24h'!L58,'03.08 Palabek-Atiak-24h'!L58)</f>
        <v>0</v>
      </c>
      <c r="M58" s="49">
        <f>AVERAGE('02.08 Palabek-Atiak-24h'!M58,'03.08 Palabek-Atiak-24h'!M58)</f>
        <v>5</v>
      </c>
      <c r="N58" s="49">
        <f>AVERAGE('02.08 Palabek-Atiak-24h'!N58,'03.08 Palabek-Atiak-24h'!N58)</f>
        <v>0</v>
      </c>
      <c r="O58" s="15">
        <f t="shared" si="0"/>
        <v>0.5</v>
      </c>
      <c r="P58" s="15">
        <f t="shared" si="1"/>
        <v>5.5</v>
      </c>
      <c r="R58" s="8"/>
      <c r="T58"/>
    </row>
    <row r="59" spans="2:20" ht="23.1" customHeight="1" x14ac:dyDescent="0.25">
      <c r="B59" s="23" t="s">
        <v>100</v>
      </c>
      <c r="C59" s="49">
        <f>AVERAGE('02.08 Palabek-Atiak-24h'!C59,'03.08 Palabek-Atiak-24h'!C59)</f>
        <v>0</v>
      </c>
      <c r="D59" s="49">
        <f>AVERAGE('02.08 Palabek-Atiak-24h'!D59,'03.08 Palabek-Atiak-24h'!D59)</f>
        <v>0</v>
      </c>
      <c r="E59" s="49">
        <f>AVERAGE('02.08 Palabek-Atiak-24h'!E59,'03.08 Palabek-Atiak-24h'!E59)</f>
        <v>0</v>
      </c>
      <c r="F59" s="49">
        <f>AVERAGE('02.08 Palabek-Atiak-24h'!F59,'03.08 Palabek-Atiak-24h'!F59)</f>
        <v>0.5</v>
      </c>
      <c r="G59" s="49">
        <f>AVERAGE('02.08 Palabek-Atiak-24h'!G59,'03.08 Palabek-Atiak-24h'!G59)</f>
        <v>0</v>
      </c>
      <c r="H59" s="49">
        <f>AVERAGE('02.08 Palabek-Atiak-24h'!H59,'03.08 Palabek-Atiak-24h'!H59)</f>
        <v>0</v>
      </c>
      <c r="I59" s="49">
        <f>AVERAGE('02.08 Palabek-Atiak-24h'!I59,'03.08 Palabek-Atiak-24h'!I59)</f>
        <v>0.5</v>
      </c>
      <c r="J59" s="49">
        <f>AVERAGE('02.08 Palabek-Atiak-24h'!J59,'03.08 Palabek-Atiak-24h'!J59)</f>
        <v>0</v>
      </c>
      <c r="K59" s="49">
        <f>AVERAGE('02.08 Palabek-Atiak-24h'!K59,'03.08 Palabek-Atiak-24h'!K59)</f>
        <v>0</v>
      </c>
      <c r="L59" s="49">
        <f>AVERAGE('02.08 Palabek-Atiak-24h'!L59,'03.08 Palabek-Atiak-24h'!L59)</f>
        <v>0</v>
      </c>
      <c r="M59" s="49">
        <f>AVERAGE('02.08 Palabek-Atiak-24h'!M59,'03.08 Palabek-Atiak-24h'!M59)</f>
        <v>4.5</v>
      </c>
      <c r="N59" s="49">
        <f>AVERAGE('02.08 Palabek-Atiak-24h'!N59,'03.08 Palabek-Atiak-24h'!N59)</f>
        <v>0</v>
      </c>
      <c r="O59" s="15">
        <f t="shared" si="0"/>
        <v>1</v>
      </c>
      <c r="P59" s="15">
        <f t="shared" si="1"/>
        <v>5.5</v>
      </c>
      <c r="R59" s="8"/>
      <c r="T59"/>
    </row>
    <row r="60" spans="2:20" ht="23.1" customHeight="1" x14ac:dyDescent="0.25">
      <c r="B60" s="23" t="s">
        <v>101</v>
      </c>
      <c r="C60" s="49">
        <f>AVERAGE('02.08 Palabek-Atiak-24h'!C60,'03.08 Palabek-Atiak-24h'!C60)</f>
        <v>0</v>
      </c>
      <c r="D60" s="49">
        <f>AVERAGE('02.08 Palabek-Atiak-24h'!D60,'03.08 Palabek-Atiak-24h'!D60)</f>
        <v>0</v>
      </c>
      <c r="E60" s="49">
        <f>AVERAGE('02.08 Palabek-Atiak-24h'!E60,'03.08 Palabek-Atiak-24h'!E60)</f>
        <v>0.5</v>
      </c>
      <c r="F60" s="49">
        <f>AVERAGE('02.08 Palabek-Atiak-24h'!F60,'03.08 Palabek-Atiak-24h'!F60)</f>
        <v>0.5</v>
      </c>
      <c r="G60" s="49">
        <f>AVERAGE('02.08 Palabek-Atiak-24h'!G60,'03.08 Palabek-Atiak-24h'!G60)</f>
        <v>0</v>
      </c>
      <c r="H60" s="49">
        <f>AVERAGE('02.08 Palabek-Atiak-24h'!H60,'03.08 Palabek-Atiak-24h'!H60)</f>
        <v>0</v>
      </c>
      <c r="I60" s="49">
        <f>AVERAGE('02.08 Palabek-Atiak-24h'!I60,'03.08 Palabek-Atiak-24h'!I60)</f>
        <v>0.5</v>
      </c>
      <c r="J60" s="49">
        <f>AVERAGE('02.08 Palabek-Atiak-24h'!J60,'03.08 Palabek-Atiak-24h'!J60)</f>
        <v>0</v>
      </c>
      <c r="K60" s="49">
        <f>AVERAGE('02.08 Palabek-Atiak-24h'!K60,'03.08 Palabek-Atiak-24h'!K60)</f>
        <v>0</v>
      </c>
      <c r="L60" s="49">
        <f>AVERAGE('02.08 Palabek-Atiak-24h'!L60,'03.08 Palabek-Atiak-24h'!L60)</f>
        <v>0</v>
      </c>
      <c r="M60" s="49">
        <f>AVERAGE('02.08 Palabek-Atiak-24h'!M60,'03.08 Palabek-Atiak-24h'!M60)</f>
        <v>3</v>
      </c>
      <c r="N60" s="49">
        <f>AVERAGE('02.08 Palabek-Atiak-24h'!N60,'03.08 Palabek-Atiak-24h'!N60)</f>
        <v>0</v>
      </c>
      <c r="O60" s="15">
        <f t="shared" si="0"/>
        <v>1.5</v>
      </c>
      <c r="P60" s="15">
        <f t="shared" si="1"/>
        <v>4.5</v>
      </c>
      <c r="R60" s="8"/>
      <c r="T60"/>
    </row>
    <row r="61" spans="2:20" ht="23.1" customHeight="1" x14ac:dyDescent="0.25">
      <c r="B61" s="23" t="s">
        <v>102</v>
      </c>
      <c r="C61" s="49">
        <f>AVERAGE('02.08 Palabek-Atiak-24h'!C61,'03.08 Palabek-Atiak-24h'!C61)</f>
        <v>0</v>
      </c>
      <c r="D61" s="49">
        <f>AVERAGE('02.08 Palabek-Atiak-24h'!D61,'03.08 Palabek-Atiak-24h'!D61)</f>
        <v>0</v>
      </c>
      <c r="E61" s="49">
        <f>AVERAGE('02.08 Palabek-Atiak-24h'!E61,'03.08 Palabek-Atiak-24h'!E61)</f>
        <v>0.5</v>
      </c>
      <c r="F61" s="49">
        <f>AVERAGE('02.08 Palabek-Atiak-24h'!F61,'03.08 Palabek-Atiak-24h'!F61)</f>
        <v>0</v>
      </c>
      <c r="G61" s="49">
        <f>AVERAGE('02.08 Palabek-Atiak-24h'!G61,'03.08 Palabek-Atiak-24h'!G61)</f>
        <v>0</v>
      </c>
      <c r="H61" s="49">
        <f>AVERAGE('02.08 Palabek-Atiak-24h'!H61,'03.08 Palabek-Atiak-24h'!H61)</f>
        <v>0</v>
      </c>
      <c r="I61" s="49">
        <f>AVERAGE('02.08 Palabek-Atiak-24h'!I61,'03.08 Palabek-Atiak-24h'!I61)</f>
        <v>0</v>
      </c>
      <c r="J61" s="49">
        <f>AVERAGE('02.08 Palabek-Atiak-24h'!J61,'03.08 Palabek-Atiak-24h'!J61)</f>
        <v>0</v>
      </c>
      <c r="K61" s="49">
        <f>AVERAGE('02.08 Palabek-Atiak-24h'!K61,'03.08 Palabek-Atiak-24h'!K61)</f>
        <v>0</v>
      </c>
      <c r="L61" s="49">
        <f>AVERAGE('02.08 Palabek-Atiak-24h'!L61,'03.08 Palabek-Atiak-24h'!L61)</f>
        <v>0</v>
      </c>
      <c r="M61" s="49">
        <f>AVERAGE('02.08 Palabek-Atiak-24h'!M61,'03.08 Palabek-Atiak-24h'!M61)</f>
        <v>1.5</v>
      </c>
      <c r="N61" s="49">
        <f>AVERAGE('02.08 Palabek-Atiak-24h'!N61,'03.08 Palabek-Atiak-24h'!N61)</f>
        <v>0</v>
      </c>
      <c r="O61" s="15">
        <f t="shared" si="0"/>
        <v>0.5</v>
      </c>
      <c r="P61" s="15">
        <f t="shared" si="1"/>
        <v>2</v>
      </c>
      <c r="R61" s="8"/>
      <c r="T61"/>
    </row>
    <row r="62" spans="2:20" ht="23.1" customHeight="1" x14ac:dyDescent="0.25">
      <c r="B62" s="23" t="s">
        <v>107</v>
      </c>
      <c r="C62" s="49">
        <f>AVERAGE('02.08 Palabek-Atiak-24h'!C62,'03.08 Palabek-Atiak-24h'!C62)</f>
        <v>0</v>
      </c>
      <c r="D62" s="49">
        <f>AVERAGE('02.08 Palabek-Atiak-24h'!D62,'03.08 Palabek-Atiak-24h'!D62)</f>
        <v>0</v>
      </c>
      <c r="E62" s="49">
        <f>AVERAGE('02.08 Palabek-Atiak-24h'!E62,'03.08 Palabek-Atiak-24h'!E62)</f>
        <v>0.5</v>
      </c>
      <c r="F62" s="49">
        <f>AVERAGE('02.08 Palabek-Atiak-24h'!F62,'03.08 Palabek-Atiak-24h'!F62)</f>
        <v>0</v>
      </c>
      <c r="G62" s="49">
        <f>AVERAGE('02.08 Palabek-Atiak-24h'!G62,'03.08 Palabek-Atiak-24h'!G62)</f>
        <v>0</v>
      </c>
      <c r="H62" s="49">
        <f>AVERAGE('02.08 Palabek-Atiak-24h'!H62,'03.08 Palabek-Atiak-24h'!H62)</f>
        <v>0</v>
      </c>
      <c r="I62" s="49">
        <f>AVERAGE('02.08 Palabek-Atiak-24h'!I62,'03.08 Palabek-Atiak-24h'!I62)</f>
        <v>0.5</v>
      </c>
      <c r="J62" s="49">
        <f>AVERAGE('02.08 Palabek-Atiak-24h'!J62,'03.08 Palabek-Atiak-24h'!J62)</f>
        <v>0</v>
      </c>
      <c r="K62" s="49">
        <f>AVERAGE('02.08 Palabek-Atiak-24h'!K62,'03.08 Palabek-Atiak-24h'!K62)</f>
        <v>0</v>
      </c>
      <c r="L62" s="49">
        <f>AVERAGE('02.08 Palabek-Atiak-24h'!L62,'03.08 Palabek-Atiak-24h'!L62)</f>
        <v>0</v>
      </c>
      <c r="M62" s="49">
        <f>AVERAGE('02.08 Palabek-Atiak-24h'!M62,'03.08 Palabek-Atiak-24h'!M62)</f>
        <v>2.5</v>
      </c>
      <c r="N62" s="49">
        <f>AVERAGE('02.08 Palabek-Atiak-24h'!N62,'03.08 Palabek-Atiak-24h'!N62)</f>
        <v>0</v>
      </c>
      <c r="O62" s="15">
        <f t="shared" si="0"/>
        <v>1</v>
      </c>
      <c r="P62" s="15">
        <f t="shared" si="1"/>
        <v>3.5</v>
      </c>
      <c r="R62" s="8"/>
      <c r="T62"/>
    </row>
    <row r="63" spans="2:20" ht="23.1" customHeight="1" x14ac:dyDescent="0.25">
      <c r="B63" s="23" t="s">
        <v>108</v>
      </c>
      <c r="C63" s="49">
        <f>AVERAGE('02.08 Palabek-Atiak-24h'!C63,'03.08 Palabek-Atiak-24h'!C63)</f>
        <v>0</v>
      </c>
      <c r="D63" s="49">
        <f>AVERAGE('02.08 Palabek-Atiak-24h'!D63,'03.08 Palabek-Atiak-24h'!D63)</f>
        <v>0</v>
      </c>
      <c r="E63" s="49">
        <f>AVERAGE('02.08 Palabek-Atiak-24h'!E63,'03.08 Palabek-Atiak-24h'!E63)</f>
        <v>0</v>
      </c>
      <c r="F63" s="49">
        <f>AVERAGE('02.08 Palabek-Atiak-24h'!F63,'03.08 Palabek-Atiak-24h'!F63)</f>
        <v>0</v>
      </c>
      <c r="G63" s="49">
        <f>AVERAGE('02.08 Palabek-Atiak-24h'!G63,'03.08 Palabek-Atiak-24h'!G63)</f>
        <v>0</v>
      </c>
      <c r="H63" s="49">
        <f>AVERAGE('02.08 Palabek-Atiak-24h'!H63,'03.08 Palabek-Atiak-24h'!H63)</f>
        <v>0</v>
      </c>
      <c r="I63" s="49">
        <f>AVERAGE('02.08 Palabek-Atiak-24h'!I63,'03.08 Palabek-Atiak-24h'!I63)</f>
        <v>0</v>
      </c>
      <c r="J63" s="49">
        <f>AVERAGE('02.08 Palabek-Atiak-24h'!J63,'03.08 Palabek-Atiak-24h'!J63)</f>
        <v>0</v>
      </c>
      <c r="K63" s="49">
        <f>AVERAGE('02.08 Palabek-Atiak-24h'!K63,'03.08 Palabek-Atiak-24h'!K63)</f>
        <v>0</v>
      </c>
      <c r="L63" s="49">
        <f>AVERAGE('02.08 Palabek-Atiak-24h'!L63,'03.08 Palabek-Atiak-24h'!L63)</f>
        <v>0</v>
      </c>
      <c r="M63" s="49">
        <f>AVERAGE('02.08 Palabek-Atiak-24h'!M63,'03.08 Palabek-Atiak-24h'!M63)</f>
        <v>3.5</v>
      </c>
      <c r="N63" s="49">
        <f>AVERAGE('02.08 Palabek-Atiak-24h'!N63,'03.08 Palabek-Atiak-24h'!N63)</f>
        <v>0</v>
      </c>
      <c r="O63" s="15">
        <f t="shared" si="0"/>
        <v>0</v>
      </c>
      <c r="P63" s="15">
        <f t="shared" si="1"/>
        <v>3.5</v>
      </c>
      <c r="R63" s="8"/>
      <c r="T63"/>
    </row>
    <row r="64" spans="2:20" ht="23.1" customHeight="1" x14ac:dyDescent="0.25">
      <c r="B64" s="23" t="s">
        <v>109</v>
      </c>
      <c r="C64" s="49">
        <f>AVERAGE('02.08 Palabek-Atiak-24h'!C64,'03.08 Palabek-Atiak-24h'!C64)</f>
        <v>0.5</v>
      </c>
      <c r="D64" s="49">
        <f>AVERAGE('02.08 Palabek-Atiak-24h'!D64,'03.08 Palabek-Atiak-24h'!D64)</f>
        <v>0</v>
      </c>
      <c r="E64" s="49">
        <f>AVERAGE('02.08 Palabek-Atiak-24h'!E64,'03.08 Palabek-Atiak-24h'!E64)</f>
        <v>0</v>
      </c>
      <c r="F64" s="49">
        <f>AVERAGE('02.08 Palabek-Atiak-24h'!F64,'03.08 Palabek-Atiak-24h'!F64)</f>
        <v>0</v>
      </c>
      <c r="G64" s="49">
        <f>AVERAGE('02.08 Palabek-Atiak-24h'!G64,'03.08 Palabek-Atiak-24h'!G64)</f>
        <v>0</v>
      </c>
      <c r="H64" s="49">
        <f>AVERAGE('02.08 Palabek-Atiak-24h'!H64,'03.08 Palabek-Atiak-24h'!H64)</f>
        <v>0</v>
      </c>
      <c r="I64" s="49">
        <f>AVERAGE('02.08 Palabek-Atiak-24h'!I64,'03.08 Palabek-Atiak-24h'!I64)</f>
        <v>0.5</v>
      </c>
      <c r="J64" s="49">
        <f>AVERAGE('02.08 Palabek-Atiak-24h'!J64,'03.08 Palabek-Atiak-24h'!J64)</f>
        <v>0</v>
      </c>
      <c r="K64" s="49">
        <f>AVERAGE('02.08 Palabek-Atiak-24h'!K64,'03.08 Palabek-Atiak-24h'!K64)</f>
        <v>0</v>
      </c>
      <c r="L64" s="49">
        <f>AVERAGE('02.08 Palabek-Atiak-24h'!L64,'03.08 Palabek-Atiak-24h'!L64)</f>
        <v>0</v>
      </c>
      <c r="M64" s="49">
        <f>AVERAGE('02.08 Palabek-Atiak-24h'!M64,'03.08 Palabek-Atiak-24h'!M64)</f>
        <v>3.5</v>
      </c>
      <c r="N64" s="49">
        <f>AVERAGE('02.08 Palabek-Atiak-24h'!N64,'03.08 Palabek-Atiak-24h'!N64)</f>
        <v>0</v>
      </c>
      <c r="O64" s="15">
        <f t="shared" si="0"/>
        <v>1</v>
      </c>
      <c r="P64" s="15">
        <f t="shared" si="1"/>
        <v>4.5</v>
      </c>
      <c r="R64" s="8"/>
      <c r="T64"/>
    </row>
    <row r="65" spans="2:20" ht="23.1" customHeight="1" x14ac:dyDescent="0.25">
      <c r="B65" s="23" t="s">
        <v>158</v>
      </c>
      <c r="C65" s="49">
        <f>AVERAGE('02.08 Palabek-Atiak-24h'!C65,'03.08 Palabek-Atiak-24h'!C65)</f>
        <v>0</v>
      </c>
      <c r="D65" s="49">
        <f>AVERAGE('02.08 Palabek-Atiak-24h'!D65,'03.08 Palabek-Atiak-24h'!D65)</f>
        <v>0</v>
      </c>
      <c r="E65" s="49">
        <f>AVERAGE('02.08 Palabek-Atiak-24h'!E65,'03.08 Palabek-Atiak-24h'!E65)</f>
        <v>0</v>
      </c>
      <c r="F65" s="49">
        <f>AVERAGE('02.08 Palabek-Atiak-24h'!F65,'03.08 Palabek-Atiak-24h'!F65)</f>
        <v>0.5</v>
      </c>
      <c r="G65" s="49">
        <f>AVERAGE('02.08 Palabek-Atiak-24h'!G65,'03.08 Palabek-Atiak-24h'!G65)</f>
        <v>0</v>
      </c>
      <c r="H65" s="49">
        <f>AVERAGE('02.08 Palabek-Atiak-24h'!H65,'03.08 Palabek-Atiak-24h'!H65)</f>
        <v>0</v>
      </c>
      <c r="I65" s="49">
        <f>AVERAGE('02.08 Palabek-Atiak-24h'!I65,'03.08 Palabek-Atiak-24h'!I65)</f>
        <v>0.5</v>
      </c>
      <c r="J65" s="49">
        <f>AVERAGE('02.08 Palabek-Atiak-24h'!J65,'03.08 Palabek-Atiak-24h'!J65)</f>
        <v>0</v>
      </c>
      <c r="K65" s="49">
        <f>AVERAGE('02.08 Palabek-Atiak-24h'!K65,'03.08 Palabek-Atiak-24h'!K65)</f>
        <v>0</v>
      </c>
      <c r="L65" s="49">
        <f>AVERAGE('02.08 Palabek-Atiak-24h'!L65,'03.08 Palabek-Atiak-24h'!L65)</f>
        <v>0</v>
      </c>
      <c r="M65" s="49">
        <f>AVERAGE('02.08 Palabek-Atiak-24h'!M65,'03.08 Palabek-Atiak-24h'!M65)</f>
        <v>3.5</v>
      </c>
      <c r="N65" s="49">
        <f>AVERAGE('02.08 Palabek-Atiak-24h'!N65,'03.08 Palabek-Atiak-24h'!N65)</f>
        <v>0</v>
      </c>
      <c r="O65" s="15">
        <f t="shared" si="0"/>
        <v>1</v>
      </c>
      <c r="P65" s="15">
        <f t="shared" si="1"/>
        <v>4.5</v>
      </c>
      <c r="R65" s="8"/>
      <c r="T65"/>
    </row>
    <row r="66" spans="2:20" ht="23.1" customHeight="1" x14ac:dyDescent="0.25">
      <c r="B66" s="23" t="s">
        <v>103</v>
      </c>
      <c r="C66" s="49">
        <f>AVERAGE('02.08 Palabek-Atiak-24h'!C66,'03.08 Palabek-Atiak-24h'!C66)</f>
        <v>0</v>
      </c>
      <c r="D66" s="49">
        <f>AVERAGE('02.08 Palabek-Atiak-24h'!D66,'03.08 Palabek-Atiak-24h'!D66)</f>
        <v>0</v>
      </c>
      <c r="E66" s="49">
        <f>AVERAGE('02.08 Palabek-Atiak-24h'!E66,'03.08 Palabek-Atiak-24h'!E66)</f>
        <v>0</v>
      </c>
      <c r="F66" s="49">
        <f>AVERAGE('02.08 Palabek-Atiak-24h'!F66,'03.08 Palabek-Atiak-24h'!F66)</f>
        <v>0</v>
      </c>
      <c r="G66" s="49">
        <f>AVERAGE('02.08 Palabek-Atiak-24h'!G66,'03.08 Palabek-Atiak-24h'!G66)</f>
        <v>0</v>
      </c>
      <c r="H66" s="49">
        <f>AVERAGE('02.08 Palabek-Atiak-24h'!H66,'03.08 Palabek-Atiak-24h'!H66)</f>
        <v>0</v>
      </c>
      <c r="I66" s="49">
        <f>AVERAGE('02.08 Palabek-Atiak-24h'!I66,'03.08 Palabek-Atiak-24h'!I66)</f>
        <v>0</v>
      </c>
      <c r="J66" s="49">
        <f>AVERAGE('02.08 Palabek-Atiak-24h'!J66,'03.08 Palabek-Atiak-24h'!J66)</f>
        <v>0</v>
      </c>
      <c r="K66" s="49">
        <f>AVERAGE('02.08 Palabek-Atiak-24h'!K66,'03.08 Palabek-Atiak-24h'!K66)</f>
        <v>0</v>
      </c>
      <c r="L66" s="49">
        <f>AVERAGE('02.08 Palabek-Atiak-24h'!L66,'03.08 Palabek-Atiak-24h'!L66)</f>
        <v>0</v>
      </c>
      <c r="M66" s="49">
        <f>AVERAGE('02.08 Palabek-Atiak-24h'!M66,'03.08 Palabek-Atiak-24h'!M66)</f>
        <v>3.5</v>
      </c>
      <c r="N66" s="49">
        <f>AVERAGE('02.08 Palabek-Atiak-24h'!N66,'03.08 Palabek-Atiak-24h'!N66)</f>
        <v>0</v>
      </c>
      <c r="O66" s="15">
        <f t="shared" si="0"/>
        <v>0</v>
      </c>
      <c r="P66" s="15">
        <f t="shared" si="1"/>
        <v>3.5</v>
      </c>
      <c r="R66" s="8"/>
      <c r="T66"/>
    </row>
    <row r="67" spans="2:20" ht="23.1" customHeight="1" x14ac:dyDescent="0.25">
      <c r="B67" s="23" t="s">
        <v>104</v>
      </c>
      <c r="C67" s="49">
        <f>AVERAGE('02.08 Palabek-Atiak-24h'!C67,'03.08 Palabek-Atiak-24h'!C67)</f>
        <v>0</v>
      </c>
      <c r="D67" s="49">
        <f>AVERAGE('02.08 Palabek-Atiak-24h'!D67,'03.08 Palabek-Atiak-24h'!D67)</f>
        <v>0</v>
      </c>
      <c r="E67" s="49">
        <f>AVERAGE('02.08 Palabek-Atiak-24h'!E67,'03.08 Palabek-Atiak-24h'!E67)</f>
        <v>0</v>
      </c>
      <c r="F67" s="49">
        <f>AVERAGE('02.08 Palabek-Atiak-24h'!F67,'03.08 Palabek-Atiak-24h'!F67)</f>
        <v>0</v>
      </c>
      <c r="G67" s="49">
        <f>AVERAGE('02.08 Palabek-Atiak-24h'!G67,'03.08 Palabek-Atiak-24h'!G67)</f>
        <v>0</v>
      </c>
      <c r="H67" s="49">
        <f>AVERAGE('02.08 Palabek-Atiak-24h'!H67,'03.08 Palabek-Atiak-24h'!H67)</f>
        <v>0</v>
      </c>
      <c r="I67" s="49">
        <f>AVERAGE('02.08 Palabek-Atiak-24h'!I67,'03.08 Palabek-Atiak-24h'!I67)</f>
        <v>0</v>
      </c>
      <c r="J67" s="49">
        <f>AVERAGE('02.08 Palabek-Atiak-24h'!J67,'03.08 Palabek-Atiak-24h'!J67)</f>
        <v>0</v>
      </c>
      <c r="K67" s="49">
        <f>AVERAGE('02.08 Palabek-Atiak-24h'!K67,'03.08 Palabek-Atiak-24h'!K67)</f>
        <v>0</v>
      </c>
      <c r="L67" s="49">
        <f>AVERAGE('02.08 Palabek-Atiak-24h'!L67,'03.08 Palabek-Atiak-24h'!L67)</f>
        <v>0</v>
      </c>
      <c r="M67" s="49">
        <f>AVERAGE('02.08 Palabek-Atiak-24h'!M67,'03.08 Palabek-Atiak-24h'!M67)</f>
        <v>1.5</v>
      </c>
      <c r="N67" s="49">
        <f>AVERAGE('02.08 Palabek-Atiak-24h'!N67,'03.08 Palabek-Atiak-24h'!N67)</f>
        <v>0</v>
      </c>
      <c r="O67" s="15">
        <f t="shared" si="0"/>
        <v>0</v>
      </c>
      <c r="P67" s="15">
        <f t="shared" si="1"/>
        <v>1.5</v>
      </c>
      <c r="R67" s="8"/>
      <c r="T67"/>
    </row>
    <row r="68" spans="2:20" ht="23.1" customHeight="1" x14ac:dyDescent="0.25">
      <c r="B68" s="23" t="s">
        <v>105</v>
      </c>
      <c r="C68" s="49">
        <f>AVERAGE('02.08 Palabek-Atiak-24h'!C68,'03.08 Palabek-Atiak-24h'!C68)</f>
        <v>0</v>
      </c>
      <c r="D68" s="49">
        <f>AVERAGE('02.08 Palabek-Atiak-24h'!D68,'03.08 Palabek-Atiak-24h'!D68)</f>
        <v>0</v>
      </c>
      <c r="E68" s="49">
        <f>AVERAGE('02.08 Palabek-Atiak-24h'!E68,'03.08 Palabek-Atiak-24h'!E68)</f>
        <v>0</v>
      </c>
      <c r="F68" s="49">
        <f>AVERAGE('02.08 Palabek-Atiak-24h'!F68,'03.08 Palabek-Atiak-24h'!F68)</f>
        <v>0</v>
      </c>
      <c r="G68" s="49">
        <f>AVERAGE('02.08 Palabek-Atiak-24h'!G68,'03.08 Palabek-Atiak-24h'!G68)</f>
        <v>0</v>
      </c>
      <c r="H68" s="49">
        <f>AVERAGE('02.08 Palabek-Atiak-24h'!H68,'03.08 Palabek-Atiak-24h'!H68)</f>
        <v>0</v>
      </c>
      <c r="I68" s="49">
        <f>AVERAGE('02.08 Palabek-Atiak-24h'!I68,'03.08 Palabek-Atiak-24h'!I68)</f>
        <v>0</v>
      </c>
      <c r="J68" s="49">
        <f>AVERAGE('02.08 Palabek-Atiak-24h'!J68,'03.08 Palabek-Atiak-24h'!J68)</f>
        <v>0</v>
      </c>
      <c r="K68" s="49">
        <f>AVERAGE('02.08 Palabek-Atiak-24h'!K68,'03.08 Palabek-Atiak-24h'!K68)</f>
        <v>0</v>
      </c>
      <c r="L68" s="49">
        <f>AVERAGE('02.08 Palabek-Atiak-24h'!L68,'03.08 Palabek-Atiak-24h'!L68)</f>
        <v>0</v>
      </c>
      <c r="M68" s="49">
        <f>AVERAGE('02.08 Palabek-Atiak-24h'!M68,'03.08 Palabek-Atiak-24h'!M68)</f>
        <v>2</v>
      </c>
      <c r="N68" s="49">
        <f>AVERAGE('02.08 Palabek-Atiak-24h'!N68,'03.08 Palabek-Atiak-24h'!N68)</f>
        <v>0</v>
      </c>
      <c r="O68" s="15">
        <f t="shared" si="0"/>
        <v>0</v>
      </c>
      <c r="P68" s="15">
        <f t="shared" si="1"/>
        <v>2</v>
      </c>
      <c r="R68" s="8"/>
      <c r="T68"/>
    </row>
    <row r="69" spans="2:20" ht="23.1" customHeight="1" x14ac:dyDescent="0.25">
      <c r="B69" s="23" t="s">
        <v>106</v>
      </c>
      <c r="C69" s="49">
        <f>AVERAGE('02.08 Palabek-Atiak-24h'!C69,'03.08 Palabek-Atiak-24h'!C69)</f>
        <v>0</v>
      </c>
      <c r="D69" s="49">
        <f>AVERAGE('02.08 Palabek-Atiak-24h'!D69,'03.08 Palabek-Atiak-24h'!D69)</f>
        <v>0</v>
      </c>
      <c r="E69" s="49">
        <f>AVERAGE('02.08 Palabek-Atiak-24h'!E69,'03.08 Palabek-Atiak-24h'!E69)</f>
        <v>0</v>
      </c>
      <c r="F69" s="49">
        <f>AVERAGE('02.08 Palabek-Atiak-24h'!F69,'03.08 Palabek-Atiak-24h'!F69)</f>
        <v>0</v>
      </c>
      <c r="G69" s="49">
        <f>AVERAGE('02.08 Palabek-Atiak-24h'!G69,'03.08 Palabek-Atiak-24h'!G69)</f>
        <v>0</v>
      </c>
      <c r="H69" s="49">
        <f>AVERAGE('02.08 Palabek-Atiak-24h'!H69,'03.08 Palabek-Atiak-24h'!H69)</f>
        <v>0</v>
      </c>
      <c r="I69" s="49">
        <f>AVERAGE('02.08 Palabek-Atiak-24h'!I69,'03.08 Palabek-Atiak-24h'!I69)</f>
        <v>0</v>
      </c>
      <c r="J69" s="49">
        <f>AVERAGE('02.08 Palabek-Atiak-24h'!J69,'03.08 Palabek-Atiak-24h'!J69)</f>
        <v>0</v>
      </c>
      <c r="K69" s="49">
        <f>AVERAGE('02.08 Palabek-Atiak-24h'!K69,'03.08 Palabek-Atiak-24h'!K69)</f>
        <v>0</v>
      </c>
      <c r="L69" s="49">
        <f>AVERAGE('02.08 Palabek-Atiak-24h'!L69,'03.08 Palabek-Atiak-24h'!L69)</f>
        <v>0</v>
      </c>
      <c r="M69" s="49">
        <f>AVERAGE('02.08 Palabek-Atiak-24h'!M69,'03.08 Palabek-Atiak-24h'!M69)</f>
        <v>1</v>
      </c>
      <c r="N69" s="49">
        <f>AVERAGE('02.08 Palabek-Atiak-24h'!N69,'03.08 Palabek-Atiak-24h'!N69)</f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23" t="s">
        <v>110</v>
      </c>
      <c r="C70" s="49">
        <f>AVERAGE('02.08 Palabek-Atiak-24h'!C70,'03.08 Palabek-Atiak-24h'!C70)</f>
        <v>0</v>
      </c>
      <c r="D70" s="49">
        <f>AVERAGE('02.08 Palabek-Atiak-24h'!D70,'03.08 Palabek-Atiak-24h'!D70)</f>
        <v>0</v>
      </c>
      <c r="E70" s="49">
        <f>AVERAGE('02.08 Palabek-Atiak-24h'!E70,'03.08 Palabek-Atiak-24h'!E70)</f>
        <v>0</v>
      </c>
      <c r="F70" s="49">
        <f>AVERAGE('02.08 Palabek-Atiak-24h'!F70,'03.08 Palabek-Atiak-24h'!F70)</f>
        <v>0</v>
      </c>
      <c r="G70" s="49">
        <f>AVERAGE('02.08 Palabek-Atiak-24h'!G70,'03.08 Palabek-Atiak-24h'!G70)</f>
        <v>0</v>
      </c>
      <c r="H70" s="49">
        <f>AVERAGE('02.08 Palabek-Atiak-24h'!H70,'03.08 Palabek-Atiak-24h'!H70)</f>
        <v>0</v>
      </c>
      <c r="I70" s="49">
        <f>AVERAGE('02.08 Palabek-Atiak-24h'!I70,'03.08 Palabek-Atiak-24h'!I70)</f>
        <v>0</v>
      </c>
      <c r="J70" s="49">
        <f>AVERAGE('02.08 Palabek-Atiak-24h'!J70,'03.08 Palabek-Atiak-24h'!J70)</f>
        <v>0</v>
      </c>
      <c r="K70" s="49">
        <f>AVERAGE('02.08 Palabek-Atiak-24h'!K70,'03.08 Palabek-Atiak-24h'!K70)</f>
        <v>0</v>
      </c>
      <c r="L70" s="49">
        <f>AVERAGE('02.08 Palabek-Atiak-24h'!L70,'03.08 Palabek-Atiak-24h'!L70)</f>
        <v>0</v>
      </c>
      <c r="M70" s="49">
        <f>AVERAGE('02.08 Palabek-Atiak-24h'!M70,'03.08 Palabek-Atiak-24h'!M70)</f>
        <v>1</v>
      </c>
      <c r="N70" s="49">
        <f>AVERAGE('02.08 Palabek-Atiak-24h'!N70,'03.08 Palabek-Atiak-24h'!N70)</f>
        <v>0</v>
      </c>
      <c r="O70" s="15">
        <f t="shared" si="0"/>
        <v>0</v>
      </c>
      <c r="P70" s="15">
        <f t="shared" si="1"/>
        <v>1</v>
      </c>
      <c r="R70" s="8"/>
      <c r="T70"/>
    </row>
    <row r="71" spans="2:20" ht="23.1" customHeight="1" x14ac:dyDescent="0.25">
      <c r="B71" s="23" t="s">
        <v>111</v>
      </c>
      <c r="C71" s="49">
        <f>AVERAGE('02.08 Palabek-Atiak-24h'!C71,'03.08 Palabek-Atiak-24h'!C71)</f>
        <v>0</v>
      </c>
      <c r="D71" s="49">
        <f>AVERAGE('02.08 Palabek-Atiak-24h'!D71,'03.08 Palabek-Atiak-24h'!D71)</f>
        <v>0</v>
      </c>
      <c r="E71" s="49">
        <f>AVERAGE('02.08 Palabek-Atiak-24h'!E71,'03.08 Palabek-Atiak-24h'!E71)</f>
        <v>0</v>
      </c>
      <c r="F71" s="49">
        <f>AVERAGE('02.08 Palabek-Atiak-24h'!F71,'03.08 Palabek-Atiak-24h'!F71)</f>
        <v>0</v>
      </c>
      <c r="G71" s="49">
        <f>AVERAGE('02.08 Palabek-Atiak-24h'!G71,'03.08 Palabek-Atiak-24h'!G71)</f>
        <v>0</v>
      </c>
      <c r="H71" s="49">
        <f>AVERAGE('02.08 Palabek-Atiak-24h'!H71,'03.08 Palabek-Atiak-24h'!H71)</f>
        <v>0</v>
      </c>
      <c r="I71" s="49">
        <f>AVERAGE('02.08 Palabek-Atiak-24h'!I71,'03.08 Palabek-Atiak-24h'!I71)</f>
        <v>1</v>
      </c>
      <c r="J71" s="49">
        <f>AVERAGE('02.08 Palabek-Atiak-24h'!J71,'03.08 Palabek-Atiak-24h'!J71)</f>
        <v>0</v>
      </c>
      <c r="K71" s="49">
        <f>AVERAGE('02.08 Palabek-Atiak-24h'!K71,'03.08 Palabek-Atiak-24h'!K71)</f>
        <v>0</v>
      </c>
      <c r="L71" s="49">
        <f>AVERAGE('02.08 Palabek-Atiak-24h'!L71,'03.08 Palabek-Atiak-24h'!L71)</f>
        <v>0</v>
      </c>
      <c r="M71" s="49">
        <f>AVERAGE('02.08 Palabek-Atiak-24h'!M71,'03.08 Palabek-Atiak-24h'!M71)</f>
        <v>2</v>
      </c>
      <c r="N71" s="49">
        <f>AVERAGE('02.08 Palabek-Atiak-24h'!N71,'03.08 Palabek-Atiak-24h'!N71)</f>
        <v>0</v>
      </c>
      <c r="O71" s="15">
        <f t="shared" si="0"/>
        <v>1</v>
      </c>
      <c r="P71" s="15">
        <f t="shared" si="1"/>
        <v>3</v>
      </c>
      <c r="R71" s="8"/>
      <c r="T71"/>
    </row>
    <row r="72" spans="2:20" ht="23.1" customHeight="1" x14ac:dyDescent="0.25">
      <c r="B72" s="23" t="s">
        <v>112</v>
      </c>
      <c r="C72" s="49">
        <f>AVERAGE('02.08 Palabek-Atiak-24h'!C72,'03.08 Palabek-Atiak-24h'!C72)</f>
        <v>0</v>
      </c>
      <c r="D72" s="49">
        <f>AVERAGE('02.08 Palabek-Atiak-24h'!D72,'03.08 Palabek-Atiak-24h'!D72)</f>
        <v>0</v>
      </c>
      <c r="E72" s="49">
        <f>AVERAGE('02.08 Palabek-Atiak-24h'!E72,'03.08 Palabek-Atiak-24h'!E72)</f>
        <v>0</v>
      </c>
      <c r="F72" s="49">
        <f>AVERAGE('02.08 Palabek-Atiak-24h'!F72,'03.08 Palabek-Atiak-24h'!F72)</f>
        <v>0.5</v>
      </c>
      <c r="G72" s="49">
        <f>AVERAGE('02.08 Palabek-Atiak-24h'!G72,'03.08 Palabek-Atiak-24h'!G72)</f>
        <v>0</v>
      </c>
      <c r="H72" s="49">
        <f>AVERAGE('02.08 Palabek-Atiak-24h'!H72,'03.08 Palabek-Atiak-24h'!H72)</f>
        <v>0.5</v>
      </c>
      <c r="I72" s="49">
        <f>AVERAGE('02.08 Palabek-Atiak-24h'!I72,'03.08 Palabek-Atiak-24h'!I72)</f>
        <v>0</v>
      </c>
      <c r="J72" s="49">
        <f>AVERAGE('02.08 Palabek-Atiak-24h'!J72,'03.08 Palabek-Atiak-24h'!J72)</f>
        <v>0</v>
      </c>
      <c r="K72" s="49">
        <f>AVERAGE('02.08 Palabek-Atiak-24h'!K72,'03.08 Palabek-Atiak-24h'!K72)</f>
        <v>0</v>
      </c>
      <c r="L72" s="49">
        <f>AVERAGE('02.08 Palabek-Atiak-24h'!L72,'03.08 Palabek-Atiak-24h'!L72)</f>
        <v>0</v>
      </c>
      <c r="M72" s="49">
        <f>AVERAGE('02.08 Palabek-Atiak-24h'!M72,'03.08 Palabek-Atiak-24h'!M72)</f>
        <v>0</v>
      </c>
      <c r="N72" s="49">
        <f>AVERAGE('02.08 Palabek-Atiak-24h'!N72,'03.08 Palabek-Atiak-24h'!N72)</f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23" t="s">
        <v>113</v>
      </c>
      <c r="C73" s="49">
        <f>AVERAGE('02.08 Palabek-Atiak-24h'!C73,'03.08 Palabek-Atiak-24h'!C73)</f>
        <v>0</v>
      </c>
      <c r="D73" s="49">
        <f>AVERAGE('02.08 Palabek-Atiak-24h'!D73,'03.08 Palabek-Atiak-24h'!D73)</f>
        <v>0</v>
      </c>
      <c r="E73" s="49">
        <f>AVERAGE('02.08 Palabek-Atiak-24h'!E73,'03.08 Palabek-Atiak-24h'!E73)</f>
        <v>0</v>
      </c>
      <c r="F73" s="49">
        <f>AVERAGE('02.08 Palabek-Atiak-24h'!F73,'03.08 Palabek-Atiak-24h'!F73)</f>
        <v>0</v>
      </c>
      <c r="G73" s="49">
        <f>AVERAGE('02.08 Palabek-Atiak-24h'!G73,'03.08 Palabek-Atiak-24h'!G73)</f>
        <v>0</v>
      </c>
      <c r="H73" s="49">
        <f>AVERAGE('02.08 Palabek-Atiak-24h'!H73,'03.08 Palabek-Atiak-24h'!H73)</f>
        <v>0</v>
      </c>
      <c r="I73" s="49">
        <f>AVERAGE('02.08 Palabek-Atiak-24h'!I73,'03.08 Palabek-Atiak-24h'!I73)</f>
        <v>0</v>
      </c>
      <c r="J73" s="49">
        <f>AVERAGE('02.08 Palabek-Atiak-24h'!J73,'03.08 Palabek-Atiak-24h'!J73)</f>
        <v>0</v>
      </c>
      <c r="K73" s="49">
        <f>AVERAGE('02.08 Palabek-Atiak-24h'!K73,'03.08 Palabek-Atiak-24h'!K73)</f>
        <v>0</v>
      </c>
      <c r="L73" s="49">
        <f>AVERAGE('02.08 Palabek-Atiak-24h'!L73,'03.08 Palabek-Atiak-24h'!L73)</f>
        <v>0</v>
      </c>
      <c r="M73" s="49">
        <f>AVERAGE('02.08 Palabek-Atiak-24h'!M73,'03.08 Palabek-Atiak-24h'!M73)</f>
        <v>1.5</v>
      </c>
      <c r="N73" s="49">
        <f>AVERAGE('02.08 Palabek-Atiak-24h'!N73,'03.08 Palabek-Atiak-24h'!N73)</f>
        <v>0</v>
      </c>
      <c r="O73" s="15">
        <f t="shared" si="0"/>
        <v>0</v>
      </c>
      <c r="P73" s="15">
        <f t="shared" si="1"/>
        <v>1.5</v>
      </c>
      <c r="R73" s="8"/>
      <c r="T73"/>
    </row>
    <row r="74" spans="2:20" ht="23.1" customHeight="1" x14ac:dyDescent="0.25">
      <c r="B74" s="23" t="s">
        <v>114</v>
      </c>
      <c r="C74" s="49">
        <f>AVERAGE('02.08 Palabek-Atiak-24h'!C74,'03.08 Palabek-Atiak-24h'!C74)</f>
        <v>0</v>
      </c>
      <c r="D74" s="49">
        <f>AVERAGE('02.08 Palabek-Atiak-24h'!D74,'03.08 Palabek-Atiak-24h'!D74)</f>
        <v>0</v>
      </c>
      <c r="E74" s="49">
        <f>AVERAGE('02.08 Palabek-Atiak-24h'!E74,'03.08 Palabek-Atiak-24h'!E74)</f>
        <v>1</v>
      </c>
      <c r="F74" s="49">
        <f>AVERAGE('02.08 Palabek-Atiak-24h'!F74,'03.08 Palabek-Atiak-24h'!F74)</f>
        <v>0</v>
      </c>
      <c r="G74" s="49">
        <f>AVERAGE('02.08 Palabek-Atiak-24h'!G74,'03.08 Palabek-Atiak-24h'!G74)</f>
        <v>0</v>
      </c>
      <c r="H74" s="49">
        <f>AVERAGE('02.08 Palabek-Atiak-24h'!H74,'03.08 Palabek-Atiak-24h'!H74)</f>
        <v>0</v>
      </c>
      <c r="I74" s="49">
        <f>AVERAGE('02.08 Palabek-Atiak-24h'!I74,'03.08 Palabek-Atiak-24h'!I74)</f>
        <v>0</v>
      </c>
      <c r="J74" s="49">
        <f>AVERAGE('02.08 Palabek-Atiak-24h'!J74,'03.08 Palabek-Atiak-24h'!J74)</f>
        <v>0</v>
      </c>
      <c r="K74" s="49">
        <f>AVERAGE('02.08 Palabek-Atiak-24h'!K74,'03.08 Palabek-Atiak-24h'!K74)</f>
        <v>0</v>
      </c>
      <c r="L74" s="49">
        <f>AVERAGE('02.08 Palabek-Atiak-24h'!L74,'03.08 Palabek-Atiak-24h'!L74)</f>
        <v>0</v>
      </c>
      <c r="M74" s="49">
        <f>AVERAGE('02.08 Palabek-Atiak-24h'!M74,'03.08 Palabek-Atiak-24h'!M74)</f>
        <v>1</v>
      </c>
      <c r="N74" s="49">
        <f>AVERAGE('02.08 Palabek-Atiak-24h'!N74,'03.08 Palabek-Atiak-24h'!N74)</f>
        <v>0</v>
      </c>
      <c r="O74" s="15">
        <f t="shared" ref="O74:O105" si="35">SUM(C74:L74,N74)</f>
        <v>1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23" t="s">
        <v>115</v>
      </c>
      <c r="C75" s="49">
        <f>AVERAGE('02.08 Palabek-Atiak-24h'!C75,'03.08 Palabek-Atiak-24h'!C75)</f>
        <v>0</v>
      </c>
      <c r="D75" s="49">
        <f>AVERAGE('02.08 Palabek-Atiak-24h'!D75,'03.08 Palabek-Atiak-24h'!D75)</f>
        <v>0</v>
      </c>
      <c r="E75" s="49">
        <f>AVERAGE('02.08 Palabek-Atiak-24h'!E75,'03.08 Palabek-Atiak-24h'!E75)</f>
        <v>0</v>
      </c>
      <c r="F75" s="49">
        <f>AVERAGE('02.08 Palabek-Atiak-24h'!F75,'03.08 Palabek-Atiak-24h'!F75)</f>
        <v>0</v>
      </c>
      <c r="G75" s="49">
        <f>AVERAGE('02.08 Palabek-Atiak-24h'!G75,'03.08 Palabek-Atiak-24h'!G75)</f>
        <v>0</v>
      </c>
      <c r="H75" s="49">
        <f>AVERAGE('02.08 Palabek-Atiak-24h'!H75,'03.08 Palabek-Atiak-24h'!H75)</f>
        <v>0</v>
      </c>
      <c r="I75" s="49">
        <f>AVERAGE('02.08 Palabek-Atiak-24h'!I75,'03.08 Palabek-Atiak-24h'!I75)</f>
        <v>1</v>
      </c>
      <c r="J75" s="49">
        <f>AVERAGE('02.08 Palabek-Atiak-24h'!J75,'03.08 Palabek-Atiak-24h'!J75)</f>
        <v>0</v>
      </c>
      <c r="K75" s="49">
        <f>AVERAGE('02.08 Palabek-Atiak-24h'!K75,'03.08 Palabek-Atiak-24h'!K75)</f>
        <v>0</v>
      </c>
      <c r="L75" s="49">
        <f>AVERAGE('02.08 Palabek-Atiak-24h'!L75,'03.08 Palabek-Atiak-24h'!L75)</f>
        <v>0</v>
      </c>
      <c r="M75" s="49">
        <f>AVERAGE('02.08 Palabek-Atiak-24h'!M75,'03.08 Palabek-Atiak-24h'!M75)</f>
        <v>0</v>
      </c>
      <c r="N75" s="49">
        <f>AVERAGE('02.08 Palabek-Atiak-24h'!N75,'03.08 Palabek-Atiak-24h'!N75)</f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23" t="s">
        <v>116</v>
      </c>
      <c r="C76" s="49">
        <f>AVERAGE('02.08 Palabek-Atiak-24h'!C76,'03.08 Palabek-Atiak-24h'!C76)</f>
        <v>0</v>
      </c>
      <c r="D76" s="49">
        <f>AVERAGE('02.08 Palabek-Atiak-24h'!D76,'03.08 Palabek-Atiak-24h'!D76)</f>
        <v>0</v>
      </c>
      <c r="E76" s="49">
        <f>AVERAGE('02.08 Palabek-Atiak-24h'!E76,'03.08 Palabek-Atiak-24h'!E76)</f>
        <v>0</v>
      </c>
      <c r="F76" s="49">
        <f>AVERAGE('02.08 Palabek-Atiak-24h'!F76,'03.08 Palabek-Atiak-24h'!F76)</f>
        <v>0</v>
      </c>
      <c r="G76" s="49">
        <f>AVERAGE('02.08 Palabek-Atiak-24h'!G76,'03.08 Palabek-Atiak-24h'!G76)</f>
        <v>0</v>
      </c>
      <c r="H76" s="49">
        <f>AVERAGE('02.08 Palabek-Atiak-24h'!H76,'03.08 Palabek-Atiak-24h'!H76)</f>
        <v>0</v>
      </c>
      <c r="I76" s="49">
        <f>AVERAGE('02.08 Palabek-Atiak-24h'!I76,'03.08 Palabek-Atiak-24h'!I76)</f>
        <v>0.5</v>
      </c>
      <c r="J76" s="49">
        <f>AVERAGE('02.08 Palabek-Atiak-24h'!J76,'03.08 Palabek-Atiak-24h'!J76)</f>
        <v>0</v>
      </c>
      <c r="K76" s="49">
        <f>AVERAGE('02.08 Palabek-Atiak-24h'!K76,'03.08 Palabek-Atiak-24h'!K76)</f>
        <v>0</v>
      </c>
      <c r="L76" s="49">
        <f>AVERAGE('02.08 Palabek-Atiak-24h'!L76,'03.08 Palabek-Atiak-24h'!L76)</f>
        <v>0</v>
      </c>
      <c r="M76" s="49">
        <f>AVERAGE('02.08 Palabek-Atiak-24h'!M76,'03.08 Palabek-Atiak-24h'!M76)</f>
        <v>1.5</v>
      </c>
      <c r="N76" s="49">
        <f>AVERAGE('02.08 Palabek-Atiak-24h'!N76,'03.08 Palabek-Atiak-24h'!N76)</f>
        <v>0</v>
      </c>
      <c r="O76" s="15">
        <f t="shared" si="35"/>
        <v>0.5</v>
      </c>
      <c r="P76" s="15">
        <f t="shared" si="36"/>
        <v>2</v>
      </c>
      <c r="R76" s="8"/>
      <c r="T76"/>
    </row>
    <row r="77" spans="2:20" ht="23.1" customHeight="1" x14ac:dyDescent="0.25">
      <c r="B77" s="23" t="s">
        <v>117</v>
      </c>
      <c r="C77" s="49">
        <f>AVERAGE('02.08 Palabek-Atiak-24h'!C77,'03.08 Palabek-Atiak-24h'!C77)</f>
        <v>0</v>
      </c>
      <c r="D77" s="49">
        <f>AVERAGE('02.08 Palabek-Atiak-24h'!D77,'03.08 Palabek-Atiak-24h'!D77)</f>
        <v>0</v>
      </c>
      <c r="E77" s="49">
        <f>AVERAGE('02.08 Palabek-Atiak-24h'!E77,'03.08 Palabek-Atiak-24h'!E77)</f>
        <v>0</v>
      </c>
      <c r="F77" s="49">
        <f>AVERAGE('02.08 Palabek-Atiak-24h'!F77,'03.08 Palabek-Atiak-24h'!F77)</f>
        <v>0</v>
      </c>
      <c r="G77" s="49">
        <f>AVERAGE('02.08 Palabek-Atiak-24h'!G77,'03.08 Palabek-Atiak-24h'!G77)</f>
        <v>0</v>
      </c>
      <c r="H77" s="49">
        <f>AVERAGE('02.08 Palabek-Atiak-24h'!H77,'03.08 Palabek-Atiak-24h'!H77)</f>
        <v>0</v>
      </c>
      <c r="I77" s="49">
        <f>AVERAGE('02.08 Palabek-Atiak-24h'!I77,'03.08 Palabek-Atiak-24h'!I77)</f>
        <v>0</v>
      </c>
      <c r="J77" s="49">
        <f>AVERAGE('02.08 Palabek-Atiak-24h'!J77,'03.08 Palabek-Atiak-24h'!J77)</f>
        <v>0</v>
      </c>
      <c r="K77" s="49">
        <f>AVERAGE('02.08 Palabek-Atiak-24h'!K77,'03.08 Palabek-Atiak-24h'!K77)</f>
        <v>0</v>
      </c>
      <c r="L77" s="49">
        <f>AVERAGE('02.08 Palabek-Atiak-24h'!L77,'03.08 Palabek-Atiak-24h'!L77)</f>
        <v>0</v>
      </c>
      <c r="M77" s="49">
        <f>AVERAGE('02.08 Palabek-Atiak-24h'!M77,'03.08 Palabek-Atiak-24h'!M77)</f>
        <v>1</v>
      </c>
      <c r="N77" s="49">
        <f>AVERAGE('02.08 Palabek-Atiak-24h'!N77,'03.08 Palabek-Atiak-24h'!N77)</f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24" t="s">
        <v>118</v>
      </c>
      <c r="C78" s="49">
        <f>AVERAGE('02.08 Palabek-Atiak-24h'!C78,'03.08 Palabek-Atiak-24h'!C78)</f>
        <v>0</v>
      </c>
      <c r="D78" s="49">
        <f>AVERAGE('02.08 Palabek-Atiak-24h'!D78,'03.08 Palabek-Atiak-24h'!D78)</f>
        <v>0</v>
      </c>
      <c r="E78" s="49">
        <f>AVERAGE('02.08 Palabek-Atiak-24h'!E78,'03.08 Palabek-Atiak-24h'!E78)</f>
        <v>0</v>
      </c>
      <c r="F78" s="49">
        <f>AVERAGE('02.08 Palabek-Atiak-24h'!F78,'03.08 Palabek-Atiak-24h'!F78)</f>
        <v>0</v>
      </c>
      <c r="G78" s="49">
        <f>AVERAGE('02.08 Palabek-Atiak-24h'!G78,'03.08 Palabek-Atiak-24h'!G78)</f>
        <v>0</v>
      </c>
      <c r="H78" s="49">
        <f>AVERAGE('02.08 Palabek-Atiak-24h'!H78,'03.08 Palabek-Atiak-24h'!H78)</f>
        <v>0</v>
      </c>
      <c r="I78" s="49">
        <f>AVERAGE('02.08 Palabek-Atiak-24h'!I78,'03.08 Palabek-Atiak-24h'!I78)</f>
        <v>0</v>
      </c>
      <c r="J78" s="49">
        <f>AVERAGE('02.08 Palabek-Atiak-24h'!J78,'03.08 Palabek-Atiak-24h'!J78)</f>
        <v>0</v>
      </c>
      <c r="K78" s="49">
        <f>AVERAGE('02.08 Palabek-Atiak-24h'!K78,'03.08 Palabek-Atiak-24h'!K78)</f>
        <v>0</v>
      </c>
      <c r="L78" s="49">
        <f>AVERAGE('02.08 Palabek-Atiak-24h'!L78,'03.08 Palabek-Atiak-24h'!L78)</f>
        <v>0</v>
      </c>
      <c r="M78" s="49">
        <f>AVERAGE('02.08 Palabek-Atiak-24h'!M78,'03.08 Palabek-Atiak-24h'!M78)</f>
        <v>0</v>
      </c>
      <c r="N78" s="49">
        <f>AVERAGE('02.08 Palabek-Atiak-24h'!N78,'03.08 Palabek-Atiak-24h'!N78)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AVERAGE('02.08 Palabek-Atiak-24h'!C79,'03.08 Palabek-Atiak-24h'!C79)</f>
        <v>0</v>
      </c>
      <c r="D79" s="49">
        <f>AVERAGE('02.08 Palabek-Atiak-24h'!D79,'03.08 Palabek-Atiak-24h'!D79)</f>
        <v>0</v>
      </c>
      <c r="E79" s="49">
        <f>AVERAGE('02.08 Palabek-Atiak-24h'!E79,'03.08 Palabek-Atiak-24h'!E79)</f>
        <v>0</v>
      </c>
      <c r="F79" s="49">
        <f>AVERAGE('02.08 Palabek-Atiak-24h'!F79,'03.08 Palabek-Atiak-24h'!F79)</f>
        <v>0</v>
      </c>
      <c r="G79" s="49">
        <f>AVERAGE('02.08 Palabek-Atiak-24h'!G79,'03.08 Palabek-Atiak-24h'!G79)</f>
        <v>0</v>
      </c>
      <c r="H79" s="49">
        <f>AVERAGE('02.08 Palabek-Atiak-24h'!H79,'03.08 Palabek-Atiak-24h'!H79)</f>
        <v>0</v>
      </c>
      <c r="I79" s="49">
        <f>AVERAGE('02.08 Palabek-Atiak-24h'!I79,'03.08 Palabek-Atiak-24h'!I79)</f>
        <v>0</v>
      </c>
      <c r="J79" s="49">
        <f>AVERAGE('02.08 Palabek-Atiak-24h'!J79,'03.08 Palabek-Atiak-24h'!J79)</f>
        <v>0</v>
      </c>
      <c r="K79" s="49">
        <f>AVERAGE('02.08 Palabek-Atiak-24h'!K79,'03.08 Palabek-Atiak-24h'!K79)</f>
        <v>0</v>
      </c>
      <c r="L79" s="49">
        <f>AVERAGE('02.08 Palabek-Atiak-24h'!L79,'03.08 Palabek-Atiak-24h'!L79)</f>
        <v>0</v>
      </c>
      <c r="M79" s="49">
        <f>AVERAGE('02.08 Palabek-Atiak-24h'!M79,'03.08 Palabek-Atiak-24h'!M79)</f>
        <v>0</v>
      </c>
      <c r="N79" s="49">
        <f>AVERAGE('02.08 Palabek-Atiak-24h'!N79,'03.08 Palabek-Atiak-24h'!N79)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AVERAGE('02.08 Palabek-Atiak-24h'!C80,'03.08 Palabek-Atiak-24h'!C80)</f>
        <v>0</v>
      </c>
      <c r="D80" s="49">
        <f>AVERAGE('02.08 Palabek-Atiak-24h'!D80,'03.08 Palabek-Atiak-24h'!D80)</f>
        <v>0</v>
      </c>
      <c r="E80" s="49">
        <f>AVERAGE('02.08 Palabek-Atiak-24h'!E80,'03.08 Palabek-Atiak-24h'!E80)</f>
        <v>0</v>
      </c>
      <c r="F80" s="49">
        <f>AVERAGE('02.08 Palabek-Atiak-24h'!F80,'03.08 Palabek-Atiak-24h'!F80)</f>
        <v>0</v>
      </c>
      <c r="G80" s="49">
        <f>AVERAGE('02.08 Palabek-Atiak-24h'!G80,'03.08 Palabek-Atiak-24h'!G80)</f>
        <v>0</v>
      </c>
      <c r="H80" s="49">
        <f>AVERAGE('02.08 Palabek-Atiak-24h'!H80,'03.08 Palabek-Atiak-24h'!H80)</f>
        <v>0</v>
      </c>
      <c r="I80" s="49">
        <f>AVERAGE('02.08 Palabek-Atiak-24h'!I80,'03.08 Palabek-Atiak-24h'!I80)</f>
        <v>0</v>
      </c>
      <c r="J80" s="49">
        <f>AVERAGE('02.08 Palabek-Atiak-24h'!J80,'03.08 Palabek-Atiak-24h'!J80)</f>
        <v>0</v>
      </c>
      <c r="K80" s="49">
        <f>AVERAGE('02.08 Palabek-Atiak-24h'!K80,'03.08 Palabek-Atiak-24h'!K80)</f>
        <v>0</v>
      </c>
      <c r="L80" s="49">
        <f>AVERAGE('02.08 Palabek-Atiak-24h'!L80,'03.08 Palabek-Atiak-24h'!L80)</f>
        <v>0</v>
      </c>
      <c r="M80" s="49">
        <f>AVERAGE('02.08 Palabek-Atiak-24h'!M80,'03.08 Palabek-Atiak-24h'!M80)</f>
        <v>0</v>
      </c>
      <c r="N80" s="49">
        <f>AVERAGE('02.08 Palabek-Atiak-24h'!N80,'03.08 Palabek-Atiak-24h'!N80)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AVERAGE('02.08 Palabek-Atiak-24h'!C81,'03.08 Palabek-Atiak-24h'!C81)</f>
        <v>0</v>
      </c>
      <c r="D81" s="49">
        <f>AVERAGE('02.08 Palabek-Atiak-24h'!D81,'03.08 Palabek-Atiak-24h'!D81)</f>
        <v>0</v>
      </c>
      <c r="E81" s="49">
        <f>AVERAGE('02.08 Palabek-Atiak-24h'!E81,'03.08 Palabek-Atiak-24h'!E81)</f>
        <v>0</v>
      </c>
      <c r="F81" s="49">
        <f>AVERAGE('02.08 Palabek-Atiak-24h'!F81,'03.08 Palabek-Atiak-24h'!F81)</f>
        <v>0</v>
      </c>
      <c r="G81" s="49">
        <f>AVERAGE('02.08 Palabek-Atiak-24h'!G81,'03.08 Palabek-Atiak-24h'!G81)</f>
        <v>0</v>
      </c>
      <c r="H81" s="49">
        <f>AVERAGE('02.08 Palabek-Atiak-24h'!H81,'03.08 Palabek-Atiak-24h'!H81)</f>
        <v>0</v>
      </c>
      <c r="I81" s="49">
        <f>AVERAGE('02.08 Palabek-Atiak-24h'!I81,'03.08 Palabek-Atiak-24h'!I81)</f>
        <v>0</v>
      </c>
      <c r="J81" s="49">
        <f>AVERAGE('02.08 Palabek-Atiak-24h'!J81,'03.08 Palabek-Atiak-24h'!J81)</f>
        <v>0</v>
      </c>
      <c r="K81" s="49">
        <f>AVERAGE('02.08 Palabek-Atiak-24h'!K81,'03.08 Palabek-Atiak-24h'!K81)</f>
        <v>0</v>
      </c>
      <c r="L81" s="49">
        <f>AVERAGE('02.08 Palabek-Atiak-24h'!L81,'03.08 Palabek-Atiak-24h'!L81)</f>
        <v>0</v>
      </c>
      <c r="M81" s="49">
        <f>AVERAGE('02.08 Palabek-Atiak-24h'!M81,'03.08 Palabek-Atiak-24h'!M81)</f>
        <v>0</v>
      </c>
      <c r="N81" s="49">
        <f>AVERAGE('02.08 Palabek-Atiak-24h'!N81,'03.08 Palabek-Atiak-24h'!N81)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AVERAGE('02.08 Palabek-Atiak-24h'!C82,'03.08 Palabek-Atiak-24h'!C82)</f>
        <v>0</v>
      </c>
      <c r="D82" s="49">
        <f>AVERAGE('02.08 Palabek-Atiak-24h'!D82,'03.08 Palabek-Atiak-24h'!D82)</f>
        <v>0</v>
      </c>
      <c r="E82" s="49">
        <f>AVERAGE('02.08 Palabek-Atiak-24h'!E82,'03.08 Palabek-Atiak-24h'!E82)</f>
        <v>0</v>
      </c>
      <c r="F82" s="49">
        <f>AVERAGE('02.08 Palabek-Atiak-24h'!F82,'03.08 Palabek-Atiak-24h'!F82)</f>
        <v>0</v>
      </c>
      <c r="G82" s="49">
        <f>AVERAGE('02.08 Palabek-Atiak-24h'!G82,'03.08 Palabek-Atiak-24h'!G82)</f>
        <v>0</v>
      </c>
      <c r="H82" s="49">
        <f>AVERAGE('02.08 Palabek-Atiak-24h'!H82,'03.08 Palabek-Atiak-24h'!H82)</f>
        <v>0</v>
      </c>
      <c r="I82" s="49">
        <f>AVERAGE('02.08 Palabek-Atiak-24h'!I82,'03.08 Palabek-Atiak-24h'!I82)</f>
        <v>0</v>
      </c>
      <c r="J82" s="49">
        <f>AVERAGE('02.08 Palabek-Atiak-24h'!J82,'03.08 Palabek-Atiak-24h'!J82)</f>
        <v>0</v>
      </c>
      <c r="K82" s="49">
        <f>AVERAGE('02.08 Palabek-Atiak-24h'!K82,'03.08 Palabek-Atiak-24h'!K82)</f>
        <v>0</v>
      </c>
      <c r="L82" s="49">
        <f>AVERAGE('02.08 Palabek-Atiak-24h'!L82,'03.08 Palabek-Atiak-24h'!L82)</f>
        <v>0</v>
      </c>
      <c r="M82" s="49">
        <f>AVERAGE('02.08 Palabek-Atiak-24h'!M82,'03.08 Palabek-Atiak-24h'!M82)</f>
        <v>0</v>
      </c>
      <c r="N82" s="49">
        <f>AVERAGE('02.08 Palabek-Atiak-24h'!N82,'03.08 Palabek-Atiak-24h'!N82)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AVERAGE('02.08 Palabek-Atiak-24h'!C83,'03.08 Palabek-Atiak-24h'!C83)</f>
        <v>0</v>
      </c>
      <c r="D83" s="49">
        <f>AVERAGE('02.08 Palabek-Atiak-24h'!D83,'03.08 Palabek-Atiak-24h'!D83)</f>
        <v>0</v>
      </c>
      <c r="E83" s="49">
        <f>AVERAGE('02.08 Palabek-Atiak-24h'!E83,'03.08 Palabek-Atiak-24h'!E83)</f>
        <v>0</v>
      </c>
      <c r="F83" s="49">
        <f>AVERAGE('02.08 Palabek-Atiak-24h'!F83,'03.08 Palabek-Atiak-24h'!F83)</f>
        <v>0</v>
      </c>
      <c r="G83" s="49">
        <f>AVERAGE('02.08 Palabek-Atiak-24h'!G83,'03.08 Palabek-Atiak-24h'!G83)</f>
        <v>0</v>
      </c>
      <c r="H83" s="49">
        <f>AVERAGE('02.08 Palabek-Atiak-24h'!H83,'03.08 Palabek-Atiak-24h'!H83)</f>
        <v>0</v>
      </c>
      <c r="I83" s="49">
        <f>AVERAGE('02.08 Palabek-Atiak-24h'!I83,'03.08 Palabek-Atiak-24h'!I83)</f>
        <v>0</v>
      </c>
      <c r="J83" s="49">
        <f>AVERAGE('02.08 Palabek-Atiak-24h'!J83,'03.08 Palabek-Atiak-24h'!J83)</f>
        <v>0</v>
      </c>
      <c r="K83" s="49">
        <f>AVERAGE('02.08 Palabek-Atiak-24h'!K83,'03.08 Palabek-Atiak-24h'!K83)</f>
        <v>0</v>
      </c>
      <c r="L83" s="49">
        <f>AVERAGE('02.08 Palabek-Atiak-24h'!L83,'03.08 Palabek-Atiak-24h'!L83)</f>
        <v>0</v>
      </c>
      <c r="M83" s="49">
        <f>AVERAGE('02.08 Palabek-Atiak-24h'!M83,'03.08 Palabek-Atiak-24h'!M83)</f>
        <v>0</v>
      </c>
      <c r="N83" s="49">
        <f>AVERAGE('02.08 Palabek-Atiak-24h'!N83,'03.08 Palabek-Atiak-24h'!N83)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AVERAGE('02.08 Palabek-Atiak-24h'!C84,'03.08 Palabek-Atiak-24h'!C84)</f>
        <v>0</v>
      </c>
      <c r="D84" s="49">
        <f>AVERAGE('02.08 Palabek-Atiak-24h'!D84,'03.08 Palabek-Atiak-24h'!D84)</f>
        <v>0</v>
      </c>
      <c r="E84" s="49">
        <f>AVERAGE('02.08 Palabek-Atiak-24h'!E84,'03.08 Palabek-Atiak-24h'!E84)</f>
        <v>0</v>
      </c>
      <c r="F84" s="49">
        <f>AVERAGE('02.08 Palabek-Atiak-24h'!F84,'03.08 Palabek-Atiak-24h'!F84)</f>
        <v>0</v>
      </c>
      <c r="G84" s="49">
        <f>AVERAGE('02.08 Palabek-Atiak-24h'!G84,'03.08 Palabek-Atiak-24h'!G84)</f>
        <v>0</v>
      </c>
      <c r="H84" s="49">
        <f>AVERAGE('02.08 Palabek-Atiak-24h'!H84,'03.08 Palabek-Atiak-24h'!H84)</f>
        <v>0</v>
      </c>
      <c r="I84" s="49">
        <f>AVERAGE('02.08 Palabek-Atiak-24h'!I84,'03.08 Palabek-Atiak-24h'!I84)</f>
        <v>0</v>
      </c>
      <c r="J84" s="49">
        <f>AVERAGE('02.08 Palabek-Atiak-24h'!J84,'03.08 Palabek-Atiak-24h'!J84)</f>
        <v>0</v>
      </c>
      <c r="K84" s="49">
        <f>AVERAGE('02.08 Palabek-Atiak-24h'!K84,'03.08 Palabek-Atiak-24h'!K84)</f>
        <v>0</v>
      </c>
      <c r="L84" s="49">
        <f>AVERAGE('02.08 Palabek-Atiak-24h'!L84,'03.08 Palabek-Atiak-24h'!L84)</f>
        <v>0</v>
      </c>
      <c r="M84" s="49">
        <f>AVERAGE('02.08 Palabek-Atiak-24h'!M84,'03.08 Palabek-Atiak-24h'!M84)</f>
        <v>0</v>
      </c>
      <c r="N84" s="49">
        <f>AVERAGE('02.08 Palabek-Atiak-24h'!N84,'03.08 Palabek-Atiak-24h'!N84)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AVERAGE('02.08 Palabek-Atiak-24h'!C85,'03.08 Palabek-Atiak-24h'!C85)</f>
        <v>0</v>
      </c>
      <c r="D85" s="49">
        <f>AVERAGE('02.08 Palabek-Atiak-24h'!D85,'03.08 Palabek-Atiak-24h'!D85)</f>
        <v>0</v>
      </c>
      <c r="E85" s="49">
        <f>AVERAGE('02.08 Palabek-Atiak-24h'!E85,'03.08 Palabek-Atiak-24h'!E85)</f>
        <v>0</v>
      </c>
      <c r="F85" s="49">
        <f>AVERAGE('02.08 Palabek-Atiak-24h'!F85,'03.08 Palabek-Atiak-24h'!F85)</f>
        <v>0</v>
      </c>
      <c r="G85" s="49">
        <f>AVERAGE('02.08 Palabek-Atiak-24h'!G85,'03.08 Palabek-Atiak-24h'!G85)</f>
        <v>0</v>
      </c>
      <c r="H85" s="49">
        <f>AVERAGE('02.08 Palabek-Atiak-24h'!H85,'03.08 Palabek-Atiak-24h'!H85)</f>
        <v>0</v>
      </c>
      <c r="I85" s="49">
        <f>AVERAGE('02.08 Palabek-Atiak-24h'!I85,'03.08 Palabek-Atiak-24h'!I85)</f>
        <v>0</v>
      </c>
      <c r="J85" s="49">
        <f>AVERAGE('02.08 Palabek-Atiak-24h'!J85,'03.08 Palabek-Atiak-24h'!J85)</f>
        <v>0</v>
      </c>
      <c r="K85" s="49">
        <f>AVERAGE('02.08 Palabek-Atiak-24h'!K85,'03.08 Palabek-Atiak-24h'!K85)</f>
        <v>0</v>
      </c>
      <c r="L85" s="49">
        <f>AVERAGE('02.08 Palabek-Atiak-24h'!L85,'03.08 Palabek-Atiak-24h'!L85)</f>
        <v>0</v>
      </c>
      <c r="M85" s="49">
        <f>AVERAGE('02.08 Palabek-Atiak-24h'!M85,'03.08 Palabek-Atiak-24h'!M85)</f>
        <v>0</v>
      </c>
      <c r="N85" s="49">
        <f>AVERAGE('02.08 Palabek-Atiak-24h'!N85,'03.08 Palabek-Atiak-24h'!N85)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AVERAGE('02.08 Palabek-Atiak-24h'!C86,'03.08 Palabek-Atiak-24h'!C86)</f>
        <v>0</v>
      </c>
      <c r="D86" s="49">
        <f>AVERAGE('02.08 Palabek-Atiak-24h'!D86,'03.08 Palabek-Atiak-24h'!D86)</f>
        <v>0</v>
      </c>
      <c r="E86" s="49">
        <f>AVERAGE('02.08 Palabek-Atiak-24h'!E86,'03.08 Palabek-Atiak-24h'!E86)</f>
        <v>0</v>
      </c>
      <c r="F86" s="49">
        <f>AVERAGE('02.08 Palabek-Atiak-24h'!F86,'03.08 Palabek-Atiak-24h'!F86)</f>
        <v>0</v>
      </c>
      <c r="G86" s="49">
        <f>AVERAGE('02.08 Palabek-Atiak-24h'!G86,'03.08 Palabek-Atiak-24h'!G86)</f>
        <v>0</v>
      </c>
      <c r="H86" s="49">
        <f>AVERAGE('02.08 Palabek-Atiak-24h'!H86,'03.08 Palabek-Atiak-24h'!H86)</f>
        <v>0</v>
      </c>
      <c r="I86" s="49">
        <f>AVERAGE('02.08 Palabek-Atiak-24h'!I86,'03.08 Palabek-Atiak-24h'!I86)</f>
        <v>0</v>
      </c>
      <c r="J86" s="49">
        <f>AVERAGE('02.08 Palabek-Atiak-24h'!J86,'03.08 Palabek-Atiak-24h'!J86)</f>
        <v>0</v>
      </c>
      <c r="K86" s="49">
        <f>AVERAGE('02.08 Palabek-Atiak-24h'!K86,'03.08 Palabek-Atiak-24h'!K86)</f>
        <v>0</v>
      </c>
      <c r="L86" s="49">
        <f>AVERAGE('02.08 Palabek-Atiak-24h'!L86,'03.08 Palabek-Atiak-24h'!L86)</f>
        <v>0</v>
      </c>
      <c r="M86" s="49">
        <f>AVERAGE('02.08 Palabek-Atiak-24h'!M86,'03.08 Palabek-Atiak-24h'!M86)</f>
        <v>0</v>
      </c>
      <c r="N86" s="49">
        <f>AVERAGE('02.08 Palabek-Atiak-24h'!N86,'03.08 Palabek-Atiak-24h'!N86)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AVERAGE('02.08 Palabek-Atiak-24h'!C87,'03.08 Palabek-Atiak-24h'!C87)</f>
        <v>0</v>
      </c>
      <c r="D87" s="49">
        <f>AVERAGE('02.08 Palabek-Atiak-24h'!D87,'03.08 Palabek-Atiak-24h'!D87)</f>
        <v>0</v>
      </c>
      <c r="E87" s="49">
        <f>AVERAGE('02.08 Palabek-Atiak-24h'!E87,'03.08 Palabek-Atiak-24h'!E87)</f>
        <v>0</v>
      </c>
      <c r="F87" s="49">
        <f>AVERAGE('02.08 Palabek-Atiak-24h'!F87,'03.08 Palabek-Atiak-24h'!F87)</f>
        <v>0</v>
      </c>
      <c r="G87" s="49">
        <f>AVERAGE('02.08 Palabek-Atiak-24h'!G87,'03.08 Palabek-Atiak-24h'!G87)</f>
        <v>0</v>
      </c>
      <c r="H87" s="49">
        <f>AVERAGE('02.08 Palabek-Atiak-24h'!H87,'03.08 Palabek-Atiak-24h'!H87)</f>
        <v>0</v>
      </c>
      <c r="I87" s="49">
        <f>AVERAGE('02.08 Palabek-Atiak-24h'!I87,'03.08 Palabek-Atiak-24h'!I87)</f>
        <v>0</v>
      </c>
      <c r="J87" s="49">
        <f>AVERAGE('02.08 Palabek-Atiak-24h'!J87,'03.08 Palabek-Atiak-24h'!J87)</f>
        <v>0</v>
      </c>
      <c r="K87" s="49">
        <f>AVERAGE('02.08 Palabek-Atiak-24h'!K87,'03.08 Palabek-Atiak-24h'!K87)</f>
        <v>0</v>
      </c>
      <c r="L87" s="49">
        <f>AVERAGE('02.08 Palabek-Atiak-24h'!L87,'03.08 Palabek-Atiak-24h'!L87)</f>
        <v>0</v>
      </c>
      <c r="M87" s="49">
        <f>AVERAGE('02.08 Palabek-Atiak-24h'!M87,'03.08 Palabek-Atiak-24h'!M87)</f>
        <v>0</v>
      </c>
      <c r="N87" s="49">
        <f>AVERAGE('02.08 Palabek-Atiak-24h'!N87,'03.08 Palabek-Atiak-24h'!N87)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AVERAGE('02.08 Palabek-Atiak-24h'!C88,'03.08 Palabek-Atiak-24h'!C88)</f>
        <v>0</v>
      </c>
      <c r="D88" s="49">
        <f>AVERAGE('02.08 Palabek-Atiak-24h'!D88,'03.08 Palabek-Atiak-24h'!D88)</f>
        <v>0</v>
      </c>
      <c r="E88" s="49">
        <f>AVERAGE('02.08 Palabek-Atiak-24h'!E88,'03.08 Palabek-Atiak-24h'!E88)</f>
        <v>0</v>
      </c>
      <c r="F88" s="49">
        <f>AVERAGE('02.08 Palabek-Atiak-24h'!F88,'03.08 Palabek-Atiak-24h'!F88)</f>
        <v>0</v>
      </c>
      <c r="G88" s="49">
        <f>AVERAGE('02.08 Palabek-Atiak-24h'!G88,'03.08 Palabek-Atiak-24h'!G88)</f>
        <v>0</v>
      </c>
      <c r="H88" s="49">
        <f>AVERAGE('02.08 Palabek-Atiak-24h'!H88,'03.08 Palabek-Atiak-24h'!H88)</f>
        <v>0</v>
      </c>
      <c r="I88" s="49">
        <f>AVERAGE('02.08 Palabek-Atiak-24h'!I88,'03.08 Palabek-Atiak-24h'!I88)</f>
        <v>0</v>
      </c>
      <c r="J88" s="49">
        <f>AVERAGE('02.08 Palabek-Atiak-24h'!J88,'03.08 Palabek-Atiak-24h'!J88)</f>
        <v>0</v>
      </c>
      <c r="K88" s="49">
        <f>AVERAGE('02.08 Palabek-Atiak-24h'!K88,'03.08 Palabek-Atiak-24h'!K88)</f>
        <v>0</v>
      </c>
      <c r="L88" s="49">
        <f>AVERAGE('02.08 Palabek-Atiak-24h'!L88,'03.08 Palabek-Atiak-24h'!L88)</f>
        <v>0</v>
      </c>
      <c r="M88" s="49">
        <f>AVERAGE('02.08 Palabek-Atiak-24h'!M88,'03.08 Palabek-Atiak-24h'!M88)</f>
        <v>0</v>
      </c>
      <c r="N88" s="49">
        <f>AVERAGE('02.08 Palabek-Atiak-24h'!N88,'03.08 Palabek-Atiak-24h'!N88)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AVERAGE('02.08 Palabek-Atiak-24h'!C89,'03.08 Palabek-Atiak-24h'!C89)</f>
        <v>0</v>
      </c>
      <c r="D89" s="49">
        <f>AVERAGE('02.08 Palabek-Atiak-24h'!D89,'03.08 Palabek-Atiak-24h'!D89)</f>
        <v>0</v>
      </c>
      <c r="E89" s="49">
        <f>AVERAGE('02.08 Palabek-Atiak-24h'!E89,'03.08 Palabek-Atiak-24h'!E89)</f>
        <v>0</v>
      </c>
      <c r="F89" s="49">
        <f>AVERAGE('02.08 Palabek-Atiak-24h'!F89,'03.08 Palabek-Atiak-24h'!F89)</f>
        <v>0</v>
      </c>
      <c r="G89" s="49">
        <f>AVERAGE('02.08 Palabek-Atiak-24h'!G89,'03.08 Palabek-Atiak-24h'!G89)</f>
        <v>0</v>
      </c>
      <c r="H89" s="49">
        <f>AVERAGE('02.08 Palabek-Atiak-24h'!H89,'03.08 Palabek-Atiak-24h'!H89)</f>
        <v>0</v>
      </c>
      <c r="I89" s="49">
        <f>AVERAGE('02.08 Palabek-Atiak-24h'!I89,'03.08 Palabek-Atiak-24h'!I89)</f>
        <v>0</v>
      </c>
      <c r="J89" s="49">
        <f>AVERAGE('02.08 Palabek-Atiak-24h'!J89,'03.08 Palabek-Atiak-24h'!J89)</f>
        <v>0</v>
      </c>
      <c r="K89" s="49">
        <f>AVERAGE('02.08 Palabek-Atiak-24h'!K89,'03.08 Palabek-Atiak-24h'!K89)</f>
        <v>0</v>
      </c>
      <c r="L89" s="49">
        <f>AVERAGE('02.08 Palabek-Atiak-24h'!L89,'03.08 Palabek-Atiak-24h'!L89)</f>
        <v>0</v>
      </c>
      <c r="M89" s="49">
        <f>AVERAGE('02.08 Palabek-Atiak-24h'!M89,'03.08 Palabek-Atiak-24h'!M89)</f>
        <v>0</v>
      </c>
      <c r="N89" s="49">
        <f>AVERAGE('02.08 Palabek-Atiak-24h'!N89,'03.08 Palabek-Atiak-24h'!N89)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AVERAGE('02.08 Palabek-Atiak-24h'!C90,'03.08 Palabek-Atiak-24h'!C90)</f>
        <v>0</v>
      </c>
      <c r="D90" s="49">
        <f>AVERAGE('02.08 Palabek-Atiak-24h'!D90,'03.08 Palabek-Atiak-24h'!D90)</f>
        <v>0</v>
      </c>
      <c r="E90" s="49">
        <f>AVERAGE('02.08 Palabek-Atiak-24h'!E90,'03.08 Palabek-Atiak-24h'!E90)</f>
        <v>0</v>
      </c>
      <c r="F90" s="49">
        <f>AVERAGE('02.08 Palabek-Atiak-24h'!F90,'03.08 Palabek-Atiak-24h'!F90)</f>
        <v>0</v>
      </c>
      <c r="G90" s="49">
        <f>AVERAGE('02.08 Palabek-Atiak-24h'!G90,'03.08 Palabek-Atiak-24h'!G90)</f>
        <v>0</v>
      </c>
      <c r="H90" s="49">
        <f>AVERAGE('02.08 Palabek-Atiak-24h'!H90,'03.08 Palabek-Atiak-24h'!H90)</f>
        <v>0</v>
      </c>
      <c r="I90" s="49">
        <f>AVERAGE('02.08 Palabek-Atiak-24h'!I90,'03.08 Palabek-Atiak-24h'!I90)</f>
        <v>0</v>
      </c>
      <c r="J90" s="49">
        <f>AVERAGE('02.08 Palabek-Atiak-24h'!J90,'03.08 Palabek-Atiak-24h'!J90)</f>
        <v>0</v>
      </c>
      <c r="K90" s="49">
        <f>AVERAGE('02.08 Palabek-Atiak-24h'!K90,'03.08 Palabek-Atiak-24h'!K90)</f>
        <v>0</v>
      </c>
      <c r="L90" s="49">
        <f>AVERAGE('02.08 Palabek-Atiak-24h'!L90,'03.08 Palabek-Atiak-24h'!L90)</f>
        <v>0</v>
      </c>
      <c r="M90" s="49">
        <f>AVERAGE('02.08 Palabek-Atiak-24h'!M90,'03.08 Palabek-Atiak-24h'!M90)</f>
        <v>0</v>
      </c>
      <c r="N90" s="49">
        <f>AVERAGE('02.08 Palabek-Atiak-24h'!N90,'03.08 Palabek-Atiak-24h'!N90)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AVERAGE('02.08 Palabek-Atiak-24h'!C91,'03.08 Palabek-Atiak-24h'!C91)</f>
        <v>0</v>
      </c>
      <c r="D91" s="49">
        <f>AVERAGE('02.08 Palabek-Atiak-24h'!D91,'03.08 Palabek-Atiak-24h'!D91)</f>
        <v>0</v>
      </c>
      <c r="E91" s="49">
        <f>AVERAGE('02.08 Palabek-Atiak-24h'!E91,'03.08 Palabek-Atiak-24h'!E91)</f>
        <v>0</v>
      </c>
      <c r="F91" s="49">
        <f>AVERAGE('02.08 Palabek-Atiak-24h'!F91,'03.08 Palabek-Atiak-24h'!F91)</f>
        <v>0</v>
      </c>
      <c r="G91" s="49">
        <f>AVERAGE('02.08 Palabek-Atiak-24h'!G91,'03.08 Palabek-Atiak-24h'!G91)</f>
        <v>0</v>
      </c>
      <c r="H91" s="49">
        <f>AVERAGE('02.08 Palabek-Atiak-24h'!H91,'03.08 Palabek-Atiak-24h'!H91)</f>
        <v>0</v>
      </c>
      <c r="I91" s="49">
        <f>AVERAGE('02.08 Palabek-Atiak-24h'!I91,'03.08 Palabek-Atiak-24h'!I91)</f>
        <v>0</v>
      </c>
      <c r="J91" s="49">
        <f>AVERAGE('02.08 Palabek-Atiak-24h'!J91,'03.08 Palabek-Atiak-24h'!J91)</f>
        <v>0</v>
      </c>
      <c r="K91" s="49">
        <f>AVERAGE('02.08 Palabek-Atiak-24h'!K91,'03.08 Palabek-Atiak-24h'!K91)</f>
        <v>0</v>
      </c>
      <c r="L91" s="49">
        <f>AVERAGE('02.08 Palabek-Atiak-24h'!L91,'03.08 Palabek-Atiak-24h'!L91)</f>
        <v>0</v>
      </c>
      <c r="M91" s="49">
        <f>AVERAGE('02.08 Palabek-Atiak-24h'!M91,'03.08 Palabek-Atiak-24h'!M91)</f>
        <v>0</v>
      </c>
      <c r="N91" s="49">
        <f>AVERAGE('02.08 Palabek-Atiak-24h'!N91,'03.08 Palabek-Atiak-24h'!N91)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AVERAGE('02.08 Palabek-Atiak-24h'!C92,'03.08 Palabek-Atiak-24h'!C92)</f>
        <v>0</v>
      </c>
      <c r="D92" s="49">
        <f>AVERAGE('02.08 Palabek-Atiak-24h'!D92,'03.08 Palabek-Atiak-24h'!D92)</f>
        <v>0</v>
      </c>
      <c r="E92" s="49">
        <f>AVERAGE('02.08 Palabek-Atiak-24h'!E92,'03.08 Palabek-Atiak-24h'!E92)</f>
        <v>0</v>
      </c>
      <c r="F92" s="49">
        <f>AVERAGE('02.08 Palabek-Atiak-24h'!F92,'03.08 Palabek-Atiak-24h'!F92)</f>
        <v>0</v>
      </c>
      <c r="G92" s="49">
        <f>AVERAGE('02.08 Palabek-Atiak-24h'!G92,'03.08 Palabek-Atiak-24h'!G92)</f>
        <v>0</v>
      </c>
      <c r="H92" s="49">
        <f>AVERAGE('02.08 Palabek-Atiak-24h'!H92,'03.08 Palabek-Atiak-24h'!H92)</f>
        <v>0</v>
      </c>
      <c r="I92" s="49">
        <f>AVERAGE('02.08 Palabek-Atiak-24h'!I92,'03.08 Palabek-Atiak-24h'!I92)</f>
        <v>0</v>
      </c>
      <c r="J92" s="49">
        <f>AVERAGE('02.08 Palabek-Atiak-24h'!J92,'03.08 Palabek-Atiak-24h'!J92)</f>
        <v>0</v>
      </c>
      <c r="K92" s="49">
        <f>AVERAGE('02.08 Palabek-Atiak-24h'!K92,'03.08 Palabek-Atiak-24h'!K92)</f>
        <v>0</v>
      </c>
      <c r="L92" s="49">
        <f>AVERAGE('02.08 Palabek-Atiak-24h'!L92,'03.08 Palabek-Atiak-24h'!L92)</f>
        <v>0</v>
      </c>
      <c r="M92" s="49">
        <f>AVERAGE('02.08 Palabek-Atiak-24h'!M92,'03.08 Palabek-Atiak-24h'!M92)</f>
        <v>0</v>
      </c>
      <c r="N92" s="49">
        <f>AVERAGE('02.08 Palabek-Atiak-24h'!N92,'03.08 Palabek-Atiak-24h'!N92)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AVERAGE('02.08 Palabek-Atiak-24h'!C93,'03.08 Palabek-Atiak-24h'!C93)</f>
        <v>0</v>
      </c>
      <c r="D93" s="49">
        <f>AVERAGE('02.08 Palabek-Atiak-24h'!D93,'03.08 Palabek-Atiak-24h'!D93)</f>
        <v>0</v>
      </c>
      <c r="E93" s="49">
        <f>AVERAGE('02.08 Palabek-Atiak-24h'!E93,'03.08 Palabek-Atiak-24h'!E93)</f>
        <v>0</v>
      </c>
      <c r="F93" s="49">
        <f>AVERAGE('02.08 Palabek-Atiak-24h'!F93,'03.08 Palabek-Atiak-24h'!F93)</f>
        <v>0</v>
      </c>
      <c r="G93" s="49">
        <f>AVERAGE('02.08 Palabek-Atiak-24h'!G93,'03.08 Palabek-Atiak-24h'!G93)</f>
        <v>0</v>
      </c>
      <c r="H93" s="49">
        <f>AVERAGE('02.08 Palabek-Atiak-24h'!H93,'03.08 Palabek-Atiak-24h'!H93)</f>
        <v>0</v>
      </c>
      <c r="I93" s="49">
        <f>AVERAGE('02.08 Palabek-Atiak-24h'!I93,'03.08 Palabek-Atiak-24h'!I93)</f>
        <v>0</v>
      </c>
      <c r="J93" s="49">
        <f>AVERAGE('02.08 Palabek-Atiak-24h'!J93,'03.08 Palabek-Atiak-24h'!J93)</f>
        <v>0</v>
      </c>
      <c r="K93" s="49">
        <f>AVERAGE('02.08 Palabek-Atiak-24h'!K93,'03.08 Palabek-Atiak-24h'!K93)</f>
        <v>0</v>
      </c>
      <c r="L93" s="49">
        <f>AVERAGE('02.08 Palabek-Atiak-24h'!L93,'03.08 Palabek-Atiak-24h'!L93)</f>
        <v>0</v>
      </c>
      <c r="M93" s="49">
        <f>AVERAGE('02.08 Palabek-Atiak-24h'!M93,'03.08 Palabek-Atiak-24h'!M93)</f>
        <v>0</v>
      </c>
      <c r="N93" s="49">
        <f>AVERAGE('02.08 Palabek-Atiak-24h'!N93,'03.08 Palabek-Atiak-24h'!N93)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AVERAGE('02.08 Palabek-Atiak-24h'!C94,'03.08 Palabek-Atiak-24h'!C94)</f>
        <v>0</v>
      </c>
      <c r="D94" s="49">
        <f>AVERAGE('02.08 Palabek-Atiak-24h'!D94,'03.08 Palabek-Atiak-24h'!D94)</f>
        <v>0</v>
      </c>
      <c r="E94" s="49">
        <f>AVERAGE('02.08 Palabek-Atiak-24h'!E94,'03.08 Palabek-Atiak-24h'!E94)</f>
        <v>0</v>
      </c>
      <c r="F94" s="49">
        <f>AVERAGE('02.08 Palabek-Atiak-24h'!F94,'03.08 Palabek-Atiak-24h'!F94)</f>
        <v>0</v>
      </c>
      <c r="G94" s="49">
        <f>AVERAGE('02.08 Palabek-Atiak-24h'!G94,'03.08 Palabek-Atiak-24h'!G94)</f>
        <v>0</v>
      </c>
      <c r="H94" s="49">
        <f>AVERAGE('02.08 Palabek-Atiak-24h'!H94,'03.08 Palabek-Atiak-24h'!H94)</f>
        <v>0</v>
      </c>
      <c r="I94" s="49">
        <f>AVERAGE('02.08 Palabek-Atiak-24h'!I94,'03.08 Palabek-Atiak-24h'!I94)</f>
        <v>0</v>
      </c>
      <c r="J94" s="49">
        <f>AVERAGE('02.08 Palabek-Atiak-24h'!J94,'03.08 Palabek-Atiak-24h'!J94)</f>
        <v>0</v>
      </c>
      <c r="K94" s="49">
        <f>AVERAGE('02.08 Palabek-Atiak-24h'!K94,'03.08 Palabek-Atiak-24h'!K94)</f>
        <v>0</v>
      </c>
      <c r="L94" s="49">
        <f>AVERAGE('02.08 Palabek-Atiak-24h'!L94,'03.08 Palabek-Atiak-24h'!L94)</f>
        <v>0</v>
      </c>
      <c r="M94" s="49">
        <f>AVERAGE('02.08 Palabek-Atiak-24h'!M94,'03.08 Palabek-Atiak-24h'!M94)</f>
        <v>0</v>
      </c>
      <c r="N94" s="49">
        <f>AVERAGE('02.08 Palabek-Atiak-24h'!N94,'03.08 Palabek-Atiak-24h'!N94)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AVERAGE('02.08 Palabek-Atiak-24h'!C95,'03.08 Palabek-Atiak-24h'!C95)</f>
        <v>0</v>
      </c>
      <c r="D95" s="49">
        <f>AVERAGE('02.08 Palabek-Atiak-24h'!D95,'03.08 Palabek-Atiak-24h'!D95)</f>
        <v>0</v>
      </c>
      <c r="E95" s="49">
        <f>AVERAGE('02.08 Palabek-Atiak-24h'!E95,'03.08 Palabek-Atiak-24h'!E95)</f>
        <v>0</v>
      </c>
      <c r="F95" s="49">
        <f>AVERAGE('02.08 Palabek-Atiak-24h'!F95,'03.08 Palabek-Atiak-24h'!F95)</f>
        <v>0</v>
      </c>
      <c r="G95" s="49">
        <f>AVERAGE('02.08 Palabek-Atiak-24h'!G95,'03.08 Palabek-Atiak-24h'!G95)</f>
        <v>0</v>
      </c>
      <c r="H95" s="49">
        <f>AVERAGE('02.08 Palabek-Atiak-24h'!H95,'03.08 Palabek-Atiak-24h'!H95)</f>
        <v>0</v>
      </c>
      <c r="I95" s="49">
        <f>AVERAGE('02.08 Palabek-Atiak-24h'!I95,'03.08 Palabek-Atiak-24h'!I95)</f>
        <v>0</v>
      </c>
      <c r="J95" s="49">
        <f>AVERAGE('02.08 Palabek-Atiak-24h'!J95,'03.08 Palabek-Atiak-24h'!J95)</f>
        <v>0</v>
      </c>
      <c r="K95" s="49">
        <f>AVERAGE('02.08 Palabek-Atiak-24h'!K95,'03.08 Palabek-Atiak-24h'!K95)</f>
        <v>0</v>
      </c>
      <c r="L95" s="49">
        <f>AVERAGE('02.08 Palabek-Atiak-24h'!L95,'03.08 Palabek-Atiak-24h'!L95)</f>
        <v>0</v>
      </c>
      <c r="M95" s="49">
        <f>AVERAGE('02.08 Palabek-Atiak-24h'!M95,'03.08 Palabek-Atiak-24h'!M95)</f>
        <v>0</v>
      </c>
      <c r="N95" s="49">
        <f>AVERAGE('02.08 Palabek-Atiak-24h'!N95,'03.08 Palabek-Atiak-24h'!N95)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AVERAGE('02.08 Palabek-Atiak-24h'!C96,'03.08 Palabek-Atiak-24h'!C96)</f>
        <v>0</v>
      </c>
      <c r="D96" s="49">
        <f>AVERAGE('02.08 Palabek-Atiak-24h'!D96,'03.08 Palabek-Atiak-24h'!D96)</f>
        <v>0</v>
      </c>
      <c r="E96" s="49">
        <f>AVERAGE('02.08 Palabek-Atiak-24h'!E96,'03.08 Palabek-Atiak-24h'!E96)</f>
        <v>0</v>
      </c>
      <c r="F96" s="49">
        <f>AVERAGE('02.08 Palabek-Atiak-24h'!F96,'03.08 Palabek-Atiak-24h'!F96)</f>
        <v>0</v>
      </c>
      <c r="G96" s="49">
        <f>AVERAGE('02.08 Palabek-Atiak-24h'!G96,'03.08 Palabek-Atiak-24h'!G96)</f>
        <v>0</v>
      </c>
      <c r="H96" s="49">
        <f>AVERAGE('02.08 Palabek-Atiak-24h'!H96,'03.08 Palabek-Atiak-24h'!H96)</f>
        <v>0</v>
      </c>
      <c r="I96" s="49">
        <f>AVERAGE('02.08 Palabek-Atiak-24h'!I96,'03.08 Palabek-Atiak-24h'!I96)</f>
        <v>0</v>
      </c>
      <c r="J96" s="49">
        <f>AVERAGE('02.08 Palabek-Atiak-24h'!J96,'03.08 Palabek-Atiak-24h'!J96)</f>
        <v>0</v>
      </c>
      <c r="K96" s="49">
        <f>AVERAGE('02.08 Palabek-Atiak-24h'!K96,'03.08 Palabek-Atiak-24h'!K96)</f>
        <v>0</v>
      </c>
      <c r="L96" s="49">
        <f>AVERAGE('02.08 Palabek-Atiak-24h'!L96,'03.08 Palabek-Atiak-24h'!L96)</f>
        <v>0</v>
      </c>
      <c r="M96" s="49">
        <f>AVERAGE('02.08 Palabek-Atiak-24h'!M96,'03.08 Palabek-Atiak-24h'!M96)</f>
        <v>0</v>
      </c>
      <c r="N96" s="49">
        <f>AVERAGE('02.08 Palabek-Atiak-24h'!N96,'03.08 Palabek-Atiak-24h'!N96)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AVERAGE('02.08 Palabek-Atiak-24h'!C97,'03.08 Palabek-Atiak-24h'!C97)</f>
        <v>0</v>
      </c>
      <c r="D97" s="49">
        <f>AVERAGE('02.08 Palabek-Atiak-24h'!D97,'03.08 Palabek-Atiak-24h'!D97)</f>
        <v>0</v>
      </c>
      <c r="E97" s="49">
        <f>AVERAGE('02.08 Palabek-Atiak-24h'!E97,'03.08 Palabek-Atiak-24h'!E97)</f>
        <v>0</v>
      </c>
      <c r="F97" s="49">
        <f>AVERAGE('02.08 Palabek-Atiak-24h'!F97,'03.08 Palabek-Atiak-24h'!F97)</f>
        <v>0</v>
      </c>
      <c r="G97" s="49">
        <f>AVERAGE('02.08 Palabek-Atiak-24h'!G97,'03.08 Palabek-Atiak-24h'!G97)</f>
        <v>0</v>
      </c>
      <c r="H97" s="49">
        <f>AVERAGE('02.08 Palabek-Atiak-24h'!H97,'03.08 Palabek-Atiak-24h'!H97)</f>
        <v>0</v>
      </c>
      <c r="I97" s="49">
        <f>AVERAGE('02.08 Palabek-Atiak-24h'!I97,'03.08 Palabek-Atiak-24h'!I97)</f>
        <v>0</v>
      </c>
      <c r="J97" s="49">
        <f>AVERAGE('02.08 Palabek-Atiak-24h'!J97,'03.08 Palabek-Atiak-24h'!J97)</f>
        <v>0</v>
      </c>
      <c r="K97" s="49">
        <f>AVERAGE('02.08 Palabek-Atiak-24h'!K97,'03.08 Palabek-Atiak-24h'!K97)</f>
        <v>0</v>
      </c>
      <c r="L97" s="49">
        <f>AVERAGE('02.08 Palabek-Atiak-24h'!L97,'03.08 Palabek-Atiak-24h'!L97)</f>
        <v>0</v>
      </c>
      <c r="M97" s="49">
        <f>AVERAGE('02.08 Palabek-Atiak-24h'!M97,'03.08 Palabek-Atiak-24h'!M97)</f>
        <v>0</v>
      </c>
      <c r="N97" s="49">
        <f>AVERAGE('02.08 Palabek-Atiak-24h'!N97,'03.08 Palabek-Atiak-24h'!N97)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AVERAGE('02.08 Palabek-Atiak-24h'!C98,'03.08 Palabek-Atiak-24h'!C98)</f>
        <v>0</v>
      </c>
      <c r="D98" s="49">
        <f>AVERAGE('02.08 Palabek-Atiak-24h'!D98,'03.08 Palabek-Atiak-24h'!D98)</f>
        <v>0</v>
      </c>
      <c r="E98" s="49">
        <f>AVERAGE('02.08 Palabek-Atiak-24h'!E98,'03.08 Palabek-Atiak-24h'!E98)</f>
        <v>0</v>
      </c>
      <c r="F98" s="49">
        <f>AVERAGE('02.08 Palabek-Atiak-24h'!F98,'03.08 Palabek-Atiak-24h'!F98)</f>
        <v>0</v>
      </c>
      <c r="G98" s="49">
        <f>AVERAGE('02.08 Palabek-Atiak-24h'!G98,'03.08 Palabek-Atiak-24h'!G98)</f>
        <v>0</v>
      </c>
      <c r="H98" s="49">
        <f>AVERAGE('02.08 Palabek-Atiak-24h'!H98,'03.08 Palabek-Atiak-24h'!H98)</f>
        <v>0</v>
      </c>
      <c r="I98" s="49">
        <f>AVERAGE('02.08 Palabek-Atiak-24h'!I98,'03.08 Palabek-Atiak-24h'!I98)</f>
        <v>0</v>
      </c>
      <c r="J98" s="49">
        <f>AVERAGE('02.08 Palabek-Atiak-24h'!J98,'03.08 Palabek-Atiak-24h'!J98)</f>
        <v>0</v>
      </c>
      <c r="K98" s="49">
        <f>AVERAGE('02.08 Palabek-Atiak-24h'!K98,'03.08 Palabek-Atiak-24h'!K98)</f>
        <v>0</v>
      </c>
      <c r="L98" s="49">
        <f>AVERAGE('02.08 Palabek-Atiak-24h'!L98,'03.08 Palabek-Atiak-24h'!L98)</f>
        <v>0</v>
      </c>
      <c r="M98" s="49">
        <f>AVERAGE('02.08 Palabek-Atiak-24h'!M98,'03.08 Palabek-Atiak-24h'!M98)</f>
        <v>0</v>
      </c>
      <c r="N98" s="49">
        <f>AVERAGE('02.08 Palabek-Atiak-24h'!N98,'03.08 Palabek-Atiak-24h'!N98)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AVERAGE('02.08 Palabek-Atiak-24h'!C99,'03.08 Palabek-Atiak-24h'!C99)</f>
        <v>0</v>
      </c>
      <c r="D99" s="49">
        <f>AVERAGE('02.08 Palabek-Atiak-24h'!D99,'03.08 Palabek-Atiak-24h'!D99)</f>
        <v>0</v>
      </c>
      <c r="E99" s="49">
        <f>AVERAGE('02.08 Palabek-Atiak-24h'!E99,'03.08 Palabek-Atiak-24h'!E99)</f>
        <v>0</v>
      </c>
      <c r="F99" s="49">
        <f>AVERAGE('02.08 Palabek-Atiak-24h'!F99,'03.08 Palabek-Atiak-24h'!F99)</f>
        <v>0</v>
      </c>
      <c r="G99" s="49">
        <f>AVERAGE('02.08 Palabek-Atiak-24h'!G99,'03.08 Palabek-Atiak-24h'!G99)</f>
        <v>0</v>
      </c>
      <c r="H99" s="49">
        <f>AVERAGE('02.08 Palabek-Atiak-24h'!H99,'03.08 Palabek-Atiak-24h'!H99)</f>
        <v>0</v>
      </c>
      <c r="I99" s="49">
        <f>AVERAGE('02.08 Palabek-Atiak-24h'!I99,'03.08 Palabek-Atiak-24h'!I99)</f>
        <v>0</v>
      </c>
      <c r="J99" s="49">
        <f>AVERAGE('02.08 Palabek-Atiak-24h'!J99,'03.08 Palabek-Atiak-24h'!J99)</f>
        <v>0</v>
      </c>
      <c r="K99" s="49">
        <f>AVERAGE('02.08 Palabek-Atiak-24h'!K99,'03.08 Palabek-Atiak-24h'!K99)</f>
        <v>0</v>
      </c>
      <c r="L99" s="49">
        <f>AVERAGE('02.08 Palabek-Atiak-24h'!L99,'03.08 Palabek-Atiak-24h'!L99)</f>
        <v>0</v>
      </c>
      <c r="M99" s="49">
        <f>AVERAGE('02.08 Palabek-Atiak-24h'!M99,'03.08 Palabek-Atiak-24h'!M99)</f>
        <v>0</v>
      </c>
      <c r="N99" s="49">
        <f>AVERAGE('02.08 Palabek-Atiak-24h'!N99,'03.08 Palabek-Atiak-24h'!N99)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AVERAGE('02.08 Palabek-Atiak-24h'!C100,'03.08 Palabek-Atiak-24h'!C100)</f>
        <v>0</v>
      </c>
      <c r="D100" s="49">
        <f>AVERAGE('02.08 Palabek-Atiak-24h'!D100,'03.08 Palabek-Atiak-24h'!D100)</f>
        <v>0</v>
      </c>
      <c r="E100" s="49">
        <f>AVERAGE('02.08 Palabek-Atiak-24h'!E100,'03.08 Palabek-Atiak-24h'!E100)</f>
        <v>0</v>
      </c>
      <c r="F100" s="49">
        <f>AVERAGE('02.08 Palabek-Atiak-24h'!F100,'03.08 Palabek-Atiak-24h'!F100)</f>
        <v>0</v>
      </c>
      <c r="G100" s="49">
        <f>AVERAGE('02.08 Palabek-Atiak-24h'!G100,'03.08 Palabek-Atiak-24h'!G100)</f>
        <v>0</v>
      </c>
      <c r="H100" s="49">
        <f>AVERAGE('02.08 Palabek-Atiak-24h'!H100,'03.08 Palabek-Atiak-24h'!H100)</f>
        <v>0</v>
      </c>
      <c r="I100" s="49">
        <f>AVERAGE('02.08 Palabek-Atiak-24h'!I100,'03.08 Palabek-Atiak-24h'!I100)</f>
        <v>0</v>
      </c>
      <c r="J100" s="49">
        <f>AVERAGE('02.08 Palabek-Atiak-24h'!J100,'03.08 Palabek-Atiak-24h'!J100)</f>
        <v>0</v>
      </c>
      <c r="K100" s="49">
        <f>AVERAGE('02.08 Palabek-Atiak-24h'!K100,'03.08 Palabek-Atiak-24h'!K100)</f>
        <v>0</v>
      </c>
      <c r="L100" s="49">
        <f>AVERAGE('02.08 Palabek-Atiak-24h'!L100,'03.08 Palabek-Atiak-24h'!L100)</f>
        <v>0</v>
      </c>
      <c r="M100" s="49">
        <f>AVERAGE('02.08 Palabek-Atiak-24h'!M100,'03.08 Palabek-Atiak-24h'!M100)</f>
        <v>0.5</v>
      </c>
      <c r="N100" s="49">
        <f>AVERAGE('02.08 Palabek-Atiak-24h'!N100,'03.08 Palabek-Atiak-24h'!N100)</f>
        <v>0</v>
      </c>
      <c r="O100" s="15">
        <f t="shared" si="35"/>
        <v>0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AVERAGE('02.08 Palabek-Atiak-24h'!C101,'03.08 Palabek-Atiak-24h'!C101)</f>
        <v>0</v>
      </c>
      <c r="D101" s="49">
        <f>AVERAGE('02.08 Palabek-Atiak-24h'!D101,'03.08 Palabek-Atiak-24h'!D101)</f>
        <v>0</v>
      </c>
      <c r="E101" s="49">
        <f>AVERAGE('02.08 Palabek-Atiak-24h'!E101,'03.08 Palabek-Atiak-24h'!E101)</f>
        <v>0</v>
      </c>
      <c r="F101" s="49">
        <f>AVERAGE('02.08 Palabek-Atiak-24h'!F101,'03.08 Palabek-Atiak-24h'!F101)</f>
        <v>0</v>
      </c>
      <c r="G101" s="49">
        <f>AVERAGE('02.08 Palabek-Atiak-24h'!G101,'03.08 Palabek-Atiak-24h'!G101)</f>
        <v>0</v>
      </c>
      <c r="H101" s="49">
        <f>AVERAGE('02.08 Palabek-Atiak-24h'!H101,'03.08 Palabek-Atiak-24h'!H101)</f>
        <v>0</v>
      </c>
      <c r="I101" s="49">
        <f>AVERAGE('02.08 Palabek-Atiak-24h'!I101,'03.08 Palabek-Atiak-24h'!I101)</f>
        <v>0</v>
      </c>
      <c r="J101" s="49">
        <f>AVERAGE('02.08 Palabek-Atiak-24h'!J101,'03.08 Palabek-Atiak-24h'!J101)</f>
        <v>0</v>
      </c>
      <c r="K101" s="49">
        <f>AVERAGE('02.08 Palabek-Atiak-24h'!K101,'03.08 Palabek-Atiak-24h'!K101)</f>
        <v>0</v>
      </c>
      <c r="L101" s="49">
        <f>AVERAGE('02.08 Palabek-Atiak-24h'!L101,'03.08 Palabek-Atiak-24h'!L101)</f>
        <v>0</v>
      </c>
      <c r="M101" s="49">
        <f>AVERAGE('02.08 Palabek-Atiak-24h'!M101,'03.08 Palabek-Atiak-24h'!M101)</f>
        <v>1</v>
      </c>
      <c r="N101" s="49">
        <f>AVERAGE('02.08 Palabek-Atiak-24h'!N101,'03.08 Palabek-Atiak-24h'!N101)</f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24" t="s">
        <v>142</v>
      </c>
      <c r="C102" s="49">
        <f>AVERAGE('02.08 Palabek-Atiak-24h'!C102,'03.08 Palabek-Atiak-24h'!C102)</f>
        <v>0</v>
      </c>
      <c r="D102" s="49">
        <f>AVERAGE('02.08 Palabek-Atiak-24h'!D102,'03.08 Palabek-Atiak-24h'!D102)</f>
        <v>0</v>
      </c>
      <c r="E102" s="49">
        <f>AVERAGE('02.08 Palabek-Atiak-24h'!E102,'03.08 Palabek-Atiak-24h'!E102)</f>
        <v>0</v>
      </c>
      <c r="F102" s="49">
        <f>AVERAGE('02.08 Palabek-Atiak-24h'!F102,'03.08 Palabek-Atiak-24h'!F102)</f>
        <v>0</v>
      </c>
      <c r="G102" s="49">
        <f>AVERAGE('02.08 Palabek-Atiak-24h'!G102,'03.08 Palabek-Atiak-24h'!G102)</f>
        <v>0</v>
      </c>
      <c r="H102" s="49">
        <f>AVERAGE('02.08 Palabek-Atiak-24h'!H102,'03.08 Palabek-Atiak-24h'!H102)</f>
        <v>0</v>
      </c>
      <c r="I102" s="49">
        <f>AVERAGE('02.08 Palabek-Atiak-24h'!I102,'03.08 Palabek-Atiak-24h'!I102)</f>
        <v>0</v>
      </c>
      <c r="J102" s="49">
        <f>AVERAGE('02.08 Palabek-Atiak-24h'!J102,'03.08 Palabek-Atiak-24h'!J102)</f>
        <v>0</v>
      </c>
      <c r="K102" s="49">
        <f>AVERAGE('02.08 Palabek-Atiak-24h'!K102,'03.08 Palabek-Atiak-24h'!K102)</f>
        <v>0</v>
      </c>
      <c r="L102" s="49">
        <f>AVERAGE('02.08 Palabek-Atiak-24h'!L102,'03.08 Palabek-Atiak-24h'!L102)</f>
        <v>0</v>
      </c>
      <c r="M102" s="49">
        <f>AVERAGE('02.08 Palabek-Atiak-24h'!M102,'03.08 Palabek-Atiak-24h'!M102)</f>
        <v>0</v>
      </c>
      <c r="N102" s="49">
        <f>AVERAGE('02.08 Palabek-Atiak-24h'!N102,'03.08 Palabek-Atiak-24h'!N102)</f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23" t="s">
        <v>143</v>
      </c>
      <c r="C103" s="49">
        <f>AVERAGE('02.08 Palabek-Atiak-24h'!C103,'03.08 Palabek-Atiak-24h'!C103)</f>
        <v>0.5</v>
      </c>
      <c r="D103" s="49">
        <f>AVERAGE('02.08 Palabek-Atiak-24h'!D103,'03.08 Palabek-Atiak-24h'!D103)</f>
        <v>0</v>
      </c>
      <c r="E103" s="49">
        <f>AVERAGE('02.08 Palabek-Atiak-24h'!E103,'03.08 Palabek-Atiak-24h'!E103)</f>
        <v>0</v>
      </c>
      <c r="F103" s="49">
        <f>AVERAGE('02.08 Palabek-Atiak-24h'!F103,'03.08 Palabek-Atiak-24h'!F103)</f>
        <v>0</v>
      </c>
      <c r="G103" s="49">
        <f>AVERAGE('02.08 Palabek-Atiak-24h'!G103,'03.08 Palabek-Atiak-24h'!G103)</f>
        <v>0</v>
      </c>
      <c r="H103" s="49">
        <f>AVERAGE('02.08 Palabek-Atiak-24h'!H103,'03.08 Palabek-Atiak-24h'!H103)</f>
        <v>0</v>
      </c>
      <c r="I103" s="49">
        <f>AVERAGE('02.08 Palabek-Atiak-24h'!I103,'03.08 Palabek-Atiak-24h'!I103)</f>
        <v>0</v>
      </c>
      <c r="J103" s="49">
        <f>AVERAGE('02.08 Palabek-Atiak-24h'!J103,'03.08 Palabek-Atiak-24h'!J103)</f>
        <v>0</v>
      </c>
      <c r="K103" s="49">
        <f>AVERAGE('02.08 Palabek-Atiak-24h'!K103,'03.08 Palabek-Atiak-24h'!K103)</f>
        <v>0</v>
      </c>
      <c r="L103" s="49">
        <f>AVERAGE('02.08 Palabek-Atiak-24h'!L103,'03.08 Palabek-Atiak-24h'!L103)</f>
        <v>0</v>
      </c>
      <c r="M103" s="49">
        <f>AVERAGE('02.08 Palabek-Atiak-24h'!M103,'03.08 Palabek-Atiak-24h'!M103)</f>
        <v>1</v>
      </c>
      <c r="N103" s="49">
        <f>AVERAGE('02.08 Palabek-Atiak-24h'!N103,'03.08 Palabek-Atiak-24h'!N103)</f>
        <v>0</v>
      </c>
      <c r="O103" s="15">
        <f t="shared" si="35"/>
        <v>0.5</v>
      </c>
      <c r="P103" s="15">
        <f t="shared" si="36"/>
        <v>1.5</v>
      </c>
      <c r="R103" s="8"/>
      <c r="T103"/>
    </row>
    <row r="104" spans="2:20" ht="23.1" customHeight="1" x14ac:dyDescent="0.25">
      <c r="B104" s="25" t="s">
        <v>144</v>
      </c>
      <c r="C104" s="49">
        <f>AVERAGE('02.08 Palabek-Atiak-24h'!C104,'03.08 Palabek-Atiak-24h'!C104)</f>
        <v>0</v>
      </c>
      <c r="D104" s="49">
        <f>AVERAGE('02.08 Palabek-Atiak-24h'!D104,'03.08 Palabek-Atiak-24h'!D104)</f>
        <v>0</v>
      </c>
      <c r="E104" s="49">
        <f>AVERAGE('02.08 Palabek-Atiak-24h'!E104,'03.08 Palabek-Atiak-24h'!E104)</f>
        <v>0.5</v>
      </c>
      <c r="F104" s="49">
        <f>AVERAGE('02.08 Palabek-Atiak-24h'!F104,'03.08 Palabek-Atiak-24h'!F104)</f>
        <v>0</v>
      </c>
      <c r="G104" s="49">
        <f>AVERAGE('02.08 Palabek-Atiak-24h'!G104,'03.08 Palabek-Atiak-24h'!G104)</f>
        <v>0</v>
      </c>
      <c r="H104" s="49">
        <f>AVERAGE('02.08 Palabek-Atiak-24h'!H104,'03.08 Palabek-Atiak-24h'!H104)</f>
        <v>0</v>
      </c>
      <c r="I104" s="49">
        <f>AVERAGE('02.08 Palabek-Atiak-24h'!I104,'03.08 Palabek-Atiak-24h'!I104)</f>
        <v>0</v>
      </c>
      <c r="J104" s="49">
        <f>AVERAGE('02.08 Palabek-Atiak-24h'!J104,'03.08 Palabek-Atiak-24h'!J104)</f>
        <v>0</v>
      </c>
      <c r="K104" s="49">
        <f>AVERAGE('02.08 Palabek-Atiak-24h'!K104,'03.08 Palabek-Atiak-24h'!K104)</f>
        <v>0</v>
      </c>
      <c r="L104" s="49">
        <f>AVERAGE('02.08 Palabek-Atiak-24h'!L104,'03.08 Palabek-Atiak-24h'!L104)</f>
        <v>0</v>
      </c>
      <c r="M104" s="49">
        <f>AVERAGE('02.08 Palabek-Atiak-24h'!M104,'03.08 Palabek-Atiak-24h'!M104)</f>
        <v>0.5</v>
      </c>
      <c r="N104" s="49">
        <f>AVERAGE('02.08 Palabek-Atiak-24h'!N104,'03.08 Palabek-Atiak-24h'!N104)</f>
        <v>0</v>
      </c>
      <c r="O104" s="15">
        <f t="shared" si="35"/>
        <v>0.5</v>
      </c>
      <c r="P104" s="15">
        <f t="shared" si="36"/>
        <v>1</v>
      </c>
      <c r="R104" s="8"/>
      <c r="T104"/>
    </row>
    <row r="105" spans="2:20" ht="23.1" customHeight="1" x14ac:dyDescent="0.25">
      <c r="B105" s="23" t="s">
        <v>145</v>
      </c>
      <c r="C105" s="49">
        <f>AVERAGE('02.08 Palabek-Atiak-24h'!C105,'03.08 Palabek-Atiak-24h'!C105)</f>
        <v>0</v>
      </c>
      <c r="D105" s="49">
        <f>AVERAGE('02.08 Palabek-Atiak-24h'!D105,'03.08 Palabek-Atiak-24h'!D105)</f>
        <v>0</v>
      </c>
      <c r="E105" s="49">
        <f>AVERAGE('02.08 Palabek-Atiak-24h'!E105,'03.08 Palabek-Atiak-24h'!E105)</f>
        <v>0</v>
      </c>
      <c r="F105" s="49">
        <f>AVERAGE('02.08 Palabek-Atiak-24h'!F105,'03.08 Palabek-Atiak-24h'!F105)</f>
        <v>0</v>
      </c>
      <c r="G105" s="49">
        <f>AVERAGE('02.08 Palabek-Atiak-24h'!G105,'03.08 Palabek-Atiak-24h'!G105)</f>
        <v>0</v>
      </c>
      <c r="H105" s="49">
        <f>AVERAGE('02.08 Palabek-Atiak-24h'!H105,'03.08 Palabek-Atiak-24h'!H105)</f>
        <v>0</v>
      </c>
      <c r="I105" s="49">
        <f>AVERAGE('02.08 Palabek-Atiak-24h'!I105,'03.08 Palabek-Atiak-24h'!I105)</f>
        <v>0</v>
      </c>
      <c r="J105" s="49">
        <f>AVERAGE('02.08 Palabek-Atiak-24h'!J105,'03.08 Palabek-Atiak-24h'!J105)</f>
        <v>0</v>
      </c>
      <c r="K105" s="49">
        <f>AVERAGE('02.08 Palabek-Atiak-24h'!K105,'03.08 Palabek-Atiak-24h'!K105)</f>
        <v>0</v>
      </c>
      <c r="L105" s="49">
        <f>AVERAGE('02.08 Palabek-Atiak-24h'!L105,'03.08 Palabek-Atiak-24h'!L105)</f>
        <v>0</v>
      </c>
      <c r="M105" s="49">
        <f>AVERAGE('02.08 Palabek-Atiak-24h'!M105,'03.08 Palabek-Atiak-24h'!M105)</f>
        <v>0.5</v>
      </c>
      <c r="N105" s="49">
        <f>AVERAGE('02.08 Palabek-Atiak-24h'!N105,'03.08 Palabek-Atiak-24h'!N105)</f>
        <v>0</v>
      </c>
      <c r="O105" s="15">
        <f t="shared" si="35"/>
        <v>0</v>
      </c>
      <c r="P105" s="15">
        <f t="shared" si="36"/>
        <v>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4.1428571428571423</v>
      </c>
      <c r="D106" s="16">
        <f t="shared" ref="D106:P106" si="37">SUM(D10:D105)</f>
        <v>0</v>
      </c>
      <c r="E106" s="16">
        <f t="shared" si="37"/>
        <v>12.142857142857142</v>
      </c>
      <c r="F106" s="16">
        <f t="shared" si="37"/>
        <v>11.642857142857146</v>
      </c>
      <c r="G106" s="16">
        <f t="shared" si="37"/>
        <v>0.14285714285714285</v>
      </c>
      <c r="H106" s="16">
        <f t="shared" si="37"/>
        <v>0.9285714285714286</v>
      </c>
      <c r="I106" s="16">
        <f t="shared" si="37"/>
        <v>18.571428571428577</v>
      </c>
      <c r="J106" s="16">
        <f t="shared" si="37"/>
        <v>0.5714285714285714</v>
      </c>
      <c r="K106" s="16">
        <f t="shared" si="37"/>
        <v>0.2857142857142857</v>
      </c>
      <c r="L106" s="16">
        <f t="shared" si="37"/>
        <v>16.857142857142854</v>
      </c>
      <c r="M106" s="16">
        <f t="shared" si="37"/>
        <v>193.5</v>
      </c>
      <c r="N106" s="16">
        <f t="shared" si="37"/>
        <v>0</v>
      </c>
      <c r="O106" s="16">
        <f t="shared" si="37"/>
        <v>65.285714285714278</v>
      </c>
      <c r="P106" s="16">
        <f t="shared" si="37"/>
        <v>258.78571428571422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1.6008832459287886E-2</v>
      </c>
      <c r="D107" s="43">
        <f t="shared" si="38"/>
        <v>0</v>
      </c>
      <c r="E107" s="43">
        <f t="shared" si="38"/>
        <v>4.6922439966878289E-2</v>
      </c>
      <c r="F107" s="43">
        <f t="shared" si="38"/>
        <v>4.4990339497653901E-2</v>
      </c>
      <c r="G107" s="43">
        <f t="shared" si="38"/>
        <v>5.5202870549268574E-4</v>
      </c>
      <c r="H107" s="43">
        <f t="shared" si="38"/>
        <v>3.5881865857024576E-3</v>
      </c>
      <c r="I107" s="43">
        <f t="shared" si="38"/>
        <v>7.1763731714049164E-2</v>
      </c>
      <c r="J107" s="43">
        <f t="shared" si="38"/>
        <v>2.2081148219707429E-3</v>
      </c>
      <c r="K107" s="43">
        <f t="shared" si="38"/>
        <v>1.1040574109853715E-3</v>
      </c>
      <c r="L107" s="43">
        <f t="shared" si="38"/>
        <v>6.5139387248136907E-2</v>
      </c>
      <c r="M107" s="43">
        <f t="shared" si="38"/>
        <v>0.7477228815898429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6.3457330415754923E-2</v>
      </c>
      <c r="D108" s="44">
        <f t="shared" ref="D108:N108" si="39">D106/$O$106</f>
        <v>0</v>
      </c>
      <c r="E108" s="44">
        <f t="shared" si="39"/>
        <v>0.18599562363238514</v>
      </c>
      <c r="F108" s="44">
        <f t="shared" si="39"/>
        <v>0.17833698030634579</v>
      </c>
      <c r="G108" s="44">
        <f t="shared" si="39"/>
        <v>2.1881838074398253E-3</v>
      </c>
      <c r="H108" s="44">
        <f t="shared" si="39"/>
        <v>1.4223194748358864E-2</v>
      </c>
      <c r="I108" s="44">
        <f t="shared" si="39"/>
        <v>0.28446389496717733</v>
      </c>
      <c r="J108" s="44">
        <f t="shared" si="39"/>
        <v>8.7527352297593012E-3</v>
      </c>
      <c r="K108" s="44">
        <f t="shared" si="39"/>
        <v>4.3763676148796506E-3</v>
      </c>
      <c r="L108" s="44">
        <f t="shared" si="39"/>
        <v>0.25820568927789933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view="pageBreakPreview" topLeftCell="M31" zoomScale="60" workbookViewId="0">
      <selection activeCell="AF84" sqref="AF8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Palabek-Atiak'!C3:G3</f>
        <v>MCC - C5 - STN130 - ATIAK-PALABEK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163</v>
      </c>
      <c r="E5" s="66"/>
      <c r="F5" s="41" t="s">
        <v>1</v>
      </c>
      <c r="G5" s="63" t="str">
        <f>'Avg Week Palabek-Atiak'!G5:H5</f>
        <v>xxx</v>
      </c>
      <c r="H5" s="64"/>
      <c r="I5" s="14"/>
      <c r="J5" s="2" t="s">
        <v>5</v>
      </c>
      <c r="K5" s="63" t="str">
        <f>'Avg Week Palabek-Atiak'!K5:L5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Palabek-Atiak'!K6:L6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Atiak-Palabek'!C10+'Avg Week Palabek-Atiak'!C10</f>
        <v>0</v>
      </c>
      <c r="D10" s="49">
        <f>'Avg Week Atiak-Palabek'!D10+'Avg Week Palabek-Atiak'!D10</f>
        <v>0</v>
      </c>
      <c r="E10" s="49">
        <f>'Avg Week Atiak-Palabek'!E10+'Avg Week Palabek-Atiak'!E10</f>
        <v>0</v>
      </c>
      <c r="F10" s="49">
        <f>'Avg Week Atiak-Palabek'!F10+'Avg Week Palabek-Atiak'!F10</f>
        <v>0</v>
      </c>
      <c r="G10" s="49">
        <f>'Avg Week Atiak-Palabek'!G10+'Avg Week Palabek-Atiak'!G10</f>
        <v>0</v>
      </c>
      <c r="H10" s="49">
        <f>'Avg Week Atiak-Palabek'!H10+'Avg Week Palabek-Atiak'!H10</f>
        <v>0</v>
      </c>
      <c r="I10" s="49">
        <f>'Avg Week Atiak-Palabek'!I10+'Avg Week Palabek-Atiak'!I10</f>
        <v>0</v>
      </c>
      <c r="J10" s="49">
        <f>'Avg Week Atiak-Palabek'!J10+'Avg Week Palabek-Atiak'!J10</f>
        <v>0</v>
      </c>
      <c r="K10" s="49">
        <f>'Avg Week Atiak-Palabek'!K10+'Avg Week Palabek-Atiak'!K10</f>
        <v>0</v>
      </c>
      <c r="L10" s="49">
        <f>'Avg Week Atiak-Palabek'!L10+'Avg Week Palabek-Atiak'!L10</f>
        <v>0.2857142857142857</v>
      </c>
      <c r="M10" s="49">
        <f>'Avg Week Atiak-Palabek'!M10+'Avg Week Palabek-Atiak'!M10</f>
        <v>2.8571428571428572</v>
      </c>
      <c r="N10" s="49">
        <f>'Avg Week Atiak-Palabek'!N10+'Avg Week Palabek-Atiak'!N10</f>
        <v>0</v>
      </c>
      <c r="O10" s="15">
        <f t="shared" ref="O10:O73" si="0">SUM(C10:L10,N10)</f>
        <v>0.2857142857142857</v>
      </c>
      <c r="P10" s="15">
        <f t="shared" ref="P10:P73" si="1">SUM(C10:N10)</f>
        <v>3.1428571428571428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0.2857142857142857</v>
      </c>
      <c r="Z10" s="17">
        <f t="shared" si="2"/>
        <v>0</v>
      </c>
      <c r="AA10" s="17">
        <f t="shared" si="2"/>
        <v>0</v>
      </c>
      <c r="AB10" s="17">
        <f t="shared" si="2"/>
        <v>0.5714285714285714</v>
      </c>
      <c r="AC10" s="17">
        <f t="shared" si="2"/>
        <v>11.285714285714286</v>
      </c>
      <c r="AD10" s="17">
        <f t="shared" si="2"/>
        <v>0</v>
      </c>
      <c r="AE10" s="31">
        <f t="shared" si="2"/>
        <v>0.8571428571428571</v>
      </c>
      <c r="AF10" s="31">
        <f t="shared" si="2"/>
        <v>12.142857142857142</v>
      </c>
    </row>
    <row r="11" spans="2:32" s="6" customFormat="1" ht="23.1" customHeight="1" x14ac:dyDescent="0.25">
      <c r="B11" s="23" t="s">
        <v>38</v>
      </c>
      <c r="C11" s="49">
        <f>'Avg Week Atiak-Palabek'!C11+'Avg Week Palabek-Atiak'!C11</f>
        <v>0</v>
      </c>
      <c r="D11" s="49">
        <f>'Avg Week Atiak-Palabek'!D11+'Avg Week Palabek-Atiak'!D11</f>
        <v>0</v>
      </c>
      <c r="E11" s="49">
        <f>'Avg Week Atiak-Palabek'!E11+'Avg Week Palabek-Atiak'!E11</f>
        <v>0</v>
      </c>
      <c r="F11" s="49">
        <f>'Avg Week Atiak-Palabek'!F11+'Avg Week Palabek-Atiak'!F11</f>
        <v>0</v>
      </c>
      <c r="G11" s="49">
        <f>'Avg Week Atiak-Palabek'!G11+'Avg Week Palabek-Atiak'!G11</f>
        <v>0</v>
      </c>
      <c r="H11" s="49">
        <f>'Avg Week Atiak-Palabek'!H11+'Avg Week Palabek-Atiak'!H11</f>
        <v>0</v>
      </c>
      <c r="I11" s="49">
        <f>'Avg Week Atiak-Palabek'!I11+'Avg Week Palabek-Atiak'!I11</f>
        <v>0.2857142857142857</v>
      </c>
      <c r="J11" s="49">
        <f>'Avg Week Atiak-Palabek'!J11+'Avg Week Palabek-Atiak'!J11</f>
        <v>0</v>
      </c>
      <c r="K11" s="49">
        <f>'Avg Week Atiak-Palabek'!K11+'Avg Week Palabek-Atiak'!K11</f>
        <v>0</v>
      </c>
      <c r="L11" s="49">
        <f>'Avg Week Atiak-Palabek'!L11+'Avg Week Palabek-Atiak'!L11</f>
        <v>0</v>
      </c>
      <c r="M11" s="49">
        <f>'Avg Week Atiak-Palabek'!M11+'Avg Week Palabek-Atiak'!M11</f>
        <v>3.4285714285714288</v>
      </c>
      <c r="N11" s="49">
        <f>'Avg Week Atiak-Palabek'!N11+'Avg Week Palabek-Atiak'!N11</f>
        <v>0</v>
      </c>
      <c r="O11" s="15">
        <f t="shared" si="0"/>
        <v>0.2857142857142857</v>
      </c>
      <c r="P11" s="15">
        <f t="shared" si="1"/>
        <v>3.7142857142857144</v>
      </c>
      <c r="R11" s="1" t="s">
        <v>7</v>
      </c>
      <c r="S11" s="17">
        <f t="shared" ref="S11:AF11" si="3">SUM(C14:C17)</f>
        <v>0.2857142857142857</v>
      </c>
      <c r="T11" s="17">
        <f t="shared" si="3"/>
        <v>0</v>
      </c>
      <c r="U11" s="17">
        <f t="shared" si="3"/>
        <v>0.2857142857142857</v>
      </c>
      <c r="V11" s="17">
        <f t="shared" si="3"/>
        <v>0.5714285714285714</v>
      </c>
      <c r="W11" s="17">
        <f t="shared" si="3"/>
        <v>0</v>
      </c>
      <c r="X11" s="17">
        <f t="shared" si="3"/>
        <v>0</v>
      </c>
      <c r="Y11" s="17">
        <f t="shared" si="3"/>
        <v>1.857142857142857</v>
      </c>
      <c r="Z11" s="17">
        <f t="shared" si="3"/>
        <v>0</v>
      </c>
      <c r="AA11" s="17">
        <f t="shared" si="3"/>
        <v>0</v>
      </c>
      <c r="AB11" s="17">
        <f t="shared" si="3"/>
        <v>0.5714285714285714</v>
      </c>
      <c r="AC11" s="17">
        <f t="shared" si="3"/>
        <v>22.714285714285712</v>
      </c>
      <c r="AD11" s="17">
        <f t="shared" si="3"/>
        <v>0</v>
      </c>
      <c r="AE11" s="31">
        <f t="shared" si="3"/>
        <v>3.5714285714285712</v>
      </c>
      <c r="AF11" s="31">
        <f t="shared" si="3"/>
        <v>26.285714285714285</v>
      </c>
    </row>
    <row r="12" spans="2:32" ht="23.1" customHeight="1" x14ac:dyDescent="0.25">
      <c r="B12" s="23" t="s">
        <v>39</v>
      </c>
      <c r="C12" s="49">
        <f>'Avg Week Atiak-Palabek'!C12+'Avg Week Palabek-Atiak'!C12</f>
        <v>0</v>
      </c>
      <c r="D12" s="49">
        <f>'Avg Week Atiak-Palabek'!D12+'Avg Week Palabek-Atiak'!D12</f>
        <v>0</v>
      </c>
      <c r="E12" s="49">
        <f>'Avg Week Atiak-Palabek'!E12+'Avg Week Palabek-Atiak'!E12</f>
        <v>0</v>
      </c>
      <c r="F12" s="49">
        <f>'Avg Week Atiak-Palabek'!F12+'Avg Week Palabek-Atiak'!F12</f>
        <v>0</v>
      </c>
      <c r="G12" s="49">
        <f>'Avg Week Atiak-Palabek'!G12+'Avg Week Palabek-Atiak'!G12</f>
        <v>0</v>
      </c>
      <c r="H12" s="49">
        <f>'Avg Week Atiak-Palabek'!H12+'Avg Week Palabek-Atiak'!H12</f>
        <v>0</v>
      </c>
      <c r="I12" s="49">
        <f>'Avg Week Atiak-Palabek'!I12+'Avg Week Palabek-Atiak'!I12</f>
        <v>0</v>
      </c>
      <c r="J12" s="49">
        <f>'Avg Week Atiak-Palabek'!J12+'Avg Week Palabek-Atiak'!J12</f>
        <v>0</v>
      </c>
      <c r="K12" s="49">
        <f>'Avg Week Atiak-Palabek'!K12+'Avg Week Palabek-Atiak'!K12</f>
        <v>0</v>
      </c>
      <c r="L12" s="49">
        <f>'Avg Week Atiak-Palabek'!L12+'Avg Week Palabek-Atiak'!L12</f>
        <v>0.2857142857142857</v>
      </c>
      <c r="M12" s="49">
        <f>'Avg Week Atiak-Palabek'!M12+'Avg Week Palabek-Atiak'!M12</f>
        <v>2.2857142857142856</v>
      </c>
      <c r="N12" s="49">
        <f>'Avg Week Atiak-Palabek'!N12+'Avg Week Palabek-Atiak'!N12</f>
        <v>0</v>
      </c>
      <c r="O12" s="15">
        <f t="shared" si="0"/>
        <v>0.2857142857142857</v>
      </c>
      <c r="P12" s="15">
        <f t="shared" si="1"/>
        <v>2.5714285714285712</v>
      </c>
      <c r="R12" s="1" t="s">
        <v>8</v>
      </c>
      <c r="S12" s="17">
        <f t="shared" ref="S12:AF12" si="4">SUM(C18:C21)</f>
        <v>0.14285714285714285</v>
      </c>
      <c r="T12" s="17">
        <f t="shared" si="4"/>
        <v>0</v>
      </c>
      <c r="U12" s="17">
        <f t="shared" si="4"/>
        <v>1.1428571428571428</v>
      </c>
      <c r="V12" s="17">
        <f t="shared" si="4"/>
        <v>1.714285714285714</v>
      </c>
      <c r="W12" s="17">
        <f t="shared" si="4"/>
        <v>0</v>
      </c>
      <c r="X12" s="17">
        <f t="shared" si="4"/>
        <v>0.2857142857142857</v>
      </c>
      <c r="Y12" s="17">
        <f t="shared" si="4"/>
        <v>2.1428571428571428</v>
      </c>
      <c r="Z12" s="17">
        <f t="shared" si="4"/>
        <v>0</v>
      </c>
      <c r="AA12" s="17">
        <f t="shared" si="4"/>
        <v>0</v>
      </c>
      <c r="AB12" s="17">
        <f t="shared" si="4"/>
        <v>1.7142857142857142</v>
      </c>
      <c r="AC12" s="17">
        <f t="shared" si="4"/>
        <v>36.571428571428569</v>
      </c>
      <c r="AD12" s="17">
        <f t="shared" si="4"/>
        <v>0</v>
      </c>
      <c r="AE12" s="31">
        <f t="shared" si="4"/>
        <v>7.1428571428571432</v>
      </c>
      <c r="AF12" s="31">
        <f t="shared" si="4"/>
        <v>43.714285714285708</v>
      </c>
    </row>
    <row r="13" spans="2:32" ht="23.1" customHeight="1" x14ac:dyDescent="0.25">
      <c r="B13" s="23" t="s">
        <v>40</v>
      </c>
      <c r="C13" s="49">
        <f>'Avg Week Atiak-Palabek'!C13+'Avg Week Palabek-Atiak'!C13</f>
        <v>0</v>
      </c>
      <c r="D13" s="49">
        <f>'Avg Week Atiak-Palabek'!D13+'Avg Week Palabek-Atiak'!D13</f>
        <v>0</v>
      </c>
      <c r="E13" s="49">
        <f>'Avg Week Atiak-Palabek'!E13+'Avg Week Palabek-Atiak'!E13</f>
        <v>0</v>
      </c>
      <c r="F13" s="49">
        <f>'Avg Week Atiak-Palabek'!F13+'Avg Week Palabek-Atiak'!F13</f>
        <v>0</v>
      </c>
      <c r="G13" s="49">
        <f>'Avg Week Atiak-Palabek'!G13+'Avg Week Palabek-Atiak'!G13</f>
        <v>0</v>
      </c>
      <c r="H13" s="49">
        <f>'Avg Week Atiak-Palabek'!H13+'Avg Week Palabek-Atiak'!H13</f>
        <v>0</v>
      </c>
      <c r="I13" s="49">
        <f>'Avg Week Atiak-Palabek'!I13+'Avg Week Palabek-Atiak'!I13</f>
        <v>0</v>
      </c>
      <c r="J13" s="49">
        <f>'Avg Week Atiak-Palabek'!J13+'Avg Week Palabek-Atiak'!J13</f>
        <v>0</v>
      </c>
      <c r="K13" s="49">
        <f>'Avg Week Atiak-Palabek'!K13+'Avg Week Palabek-Atiak'!K13</f>
        <v>0</v>
      </c>
      <c r="L13" s="49">
        <f>'Avg Week Atiak-Palabek'!L13+'Avg Week Palabek-Atiak'!L13</f>
        <v>0</v>
      </c>
      <c r="M13" s="49">
        <f>'Avg Week Atiak-Palabek'!M13+'Avg Week Palabek-Atiak'!M13</f>
        <v>2.714285714285714</v>
      </c>
      <c r="N13" s="49">
        <f>'Avg Week Atiak-Palabek'!N13+'Avg Week Palabek-Atiak'!N13</f>
        <v>0</v>
      </c>
      <c r="O13" s="15">
        <f t="shared" si="0"/>
        <v>0</v>
      </c>
      <c r="P13" s="15">
        <f t="shared" si="1"/>
        <v>2.714285714285714</v>
      </c>
      <c r="R13" s="1" t="s">
        <v>9</v>
      </c>
      <c r="S13" s="17">
        <f t="shared" ref="S13:AF13" si="5">SUM(C22:C25)</f>
        <v>0.2857142857142857</v>
      </c>
      <c r="T13" s="17">
        <f t="shared" si="5"/>
        <v>0</v>
      </c>
      <c r="U13" s="17">
        <f t="shared" si="5"/>
        <v>3.1428571428571428</v>
      </c>
      <c r="V13" s="17">
        <f t="shared" si="5"/>
        <v>0.5714285714285714</v>
      </c>
      <c r="W13" s="17">
        <f t="shared" si="5"/>
        <v>0</v>
      </c>
      <c r="X13" s="17">
        <f t="shared" si="5"/>
        <v>0</v>
      </c>
      <c r="Y13" s="17">
        <f t="shared" si="5"/>
        <v>3.714285714285714</v>
      </c>
      <c r="Z13" s="17">
        <f t="shared" si="5"/>
        <v>0</v>
      </c>
      <c r="AA13" s="17">
        <f t="shared" si="5"/>
        <v>0.14285714285714285</v>
      </c>
      <c r="AB13" s="17">
        <f t="shared" si="5"/>
        <v>2.4285714285714284</v>
      </c>
      <c r="AC13" s="17">
        <f t="shared" si="5"/>
        <v>33.714285714285715</v>
      </c>
      <c r="AD13" s="17">
        <f t="shared" si="5"/>
        <v>0</v>
      </c>
      <c r="AE13" s="31">
        <f t="shared" si="5"/>
        <v>10.285714285714285</v>
      </c>
      <c r="AF13" s="31">
        <f t="shared" si="5"/>
        <v>44</v>
      </c>
    </row>
    <row r="14" spans="2:32" ht="23.1" customHeight="1" x14ac:dyDescent="0.25">
      <c r="B14" s="23" t="s">
        <v>41</v>
      </c>
      <c r="C14" s="49">
        <f>'Avg Week Atiak-Palabek'!C14+'Avg Week Palabek-Atiak'!C14</f>
        <v>0</v>
      </c>
      <c r="D14" s="49">
        <f>'Avg Week Atiak-Palabek'!D14+'Avg Week Palabek-Atiak'!D14</f>
        <v>0</v>
      </c>
      <c r="E14" s="49">
        <f>'Avg Week Atiak-Palabek'!E14+'Avg Week Palabek-Atiak'!E14</f>
        <v>0</v>
      </c>
      <c r="F14" s="49">
        <f>'Avg Week Atiak-Palabek'!F14+'Avg Week Palabek-Atiak'!F14</f>
        <v>0</v>
      </c>
      <c r="G14" s="49">
        <f>'Avg Week Atiak-Palabek'!G14+'Avg Week Palabek-Atiak'!G14</f>
        <v>0</v>
      </c>
      <c r="H14" s="49">
        <f>'Avg Week Atiak-Palabek'!H14+'Avg Week Palabek-Atiak'!H14</f>
        <v>0</v>
      </c>
      <c r="I14" s="49">
        <f>'Avg Week Atiak-Palabek'!I14+'Avg Week Palabek-Atiak'!I14</f>
        <v>0.8571428571428571</v>
      </c>
      <c r="J14" s="49">
        <f>'Avg Week Atiak-Palabek'!J14+'Avg Week Palabek-Atiak'!J14</f>
        <v>0</v>
      </c>
      <c r="K14" s="49">
        <f>'Avg Week Atiak-Palabek'!K14+'Avg Week Palabek-Atiak'!K14</f>
        <v>0</v>
      </c>
      <c r="L14" s="49">
        <f>'Avg Week Atiak-Palabek'!L14+'Avg Week Palabek-Atiak'!L14</f>
        <v>0</v>
      </c>
      <c r="M14" s="49">
        <f>'Avg Week Atiak-Palabek'!M14+'Avg Week Palabek-Atiak'!M14</f>
        <v>5.1428571428571423</v>
      </c>
      <c r="N14" s="49">
        <f>'Avg Week Atiak-Palabek'!N14+'Avg Week Palabek-Atiak'!N14</f>
        <v>0</v>
      </c>
      <c r="O14" s="15">
        <f t="shared" si="0"/>
        <v>0.8571428571428571</v>
      </c>
      <c r="P14" s="15">
        <f t="shared" si="1"/>
        <v>5.9999999999999991</v>
      </c>
      <c r="R14" s="1" t="s">
        <v>10</v>
      </c>
      <c r="S14" s="17">
        <f t="shared" ref="S14:AF14" si="6">SUM(C26:C29)</f>
        <v>0.8571428571428571</v>
      </c>
      <c r="T14" s="17">
        <f t="shared" si="6"/>
        <v>0</v>
      </c>
      <c r="U14" s="17">
        <f t="shared" si="6"/>
        <v>1.9999999999999998</v>
      </c>
      <c r="V14" s="17">
        <f t="shared" si="6"/>
        <v>3.7142857142857144</v>
      </c>
      <c r="W14" s="17">
        <f t="shared" si="6"/>
        <v>0</v>
      </c>
      <c r="X14" s="17">
        <f t="shared" si="6"/>
        <v>0</v>
      </c>
      <c r="Y14" s="17">
        <f t="shared" si="6"/>
        <v>4.1428571428571423</v>
      </c>
      <c r="Z14" s="17">
        <f t="shared" si="6"/>
        <v>0</v>
      </c>
      <c r="AA14" s="17">
        <f t="shared" si="6"/>
        <v>0.14285714285714285</v>
      </c>
      <c r="AB14" s="17">
        <f t="shared" si="6"/>
        <v>1.2857142857142856</v>
      </c>
      <c r="AC14" s="17">
        <f t="shared" si="6"/>
        <v>32.714285714285708</v>
      </c>
      <c r="AD14" s="17">
        <f t="shared" si="6"/>
        <v>0</v>
      </c>
      <c r="AE14" s="31">
        <f t="shared" si="6"/>
        <v>12.142857142857142</v>
      </c>
      <c r="AF14" s="31">
        <f t="shared" si="6"/>
        <v>44.857142857142847</v>
      </c>
    </row>
    <row r="15" spans="2:32" ht="23.1" customHeight="1" x14ac:dyDescent="0.25">
      <c r="B15" s="23" t="s">
        <v>42</v>
      </c>
      <c r="C15" s="49">
        <f>'Avg Week Atiak-Palabek'!C15+'Avg Week Palabek-Atiak'!C15</f>
        <v>0.14285714285714285</v>
      </c>
      <c r="D15" s="49">
        <f>'Avg Week Atiak-Palabek'!D15+'Avg Week Palabek-Atiak'!D15</f>
        <v>0</v>
      </c>
      <c r="E15" s="49">
        <f>'Avg Week Atiak-Palabek'!E15+'Avg Week Palabek-Atiak'!E15</f>
        <v>0</v>
      </c>
      <c r="F15" s="49">
        <f>'Avg Week Atiak-Palabek'!F15+'Avg Week Palabek-Atiak'!F15</f>
        <v>0</v>
      </c>
      <c r="G15" s="49">
        <f>'Avg Week Atiak-Palabek'!G15+'Avg Week Palabek-Atiak'!G15</f>
        <v>0</v>
      </c>
      <c r="H15" s="49">
        <f>'Avg Week Atiak-Palabek'!H15+'Avg Week Palabek-Atiak'!H15</f>
        <v>0</v>
      </c>
      <c r="I15" s="49">
        <f>'Avg Week Atiak-Palabek'!I15+'Avg Week Palabek-Atiak'!I15</f>
        <v>0.42857142857142855</v>
      </c>
      <c r="J15" s="49">
        <f>'Avg Week Atiak-Palabek'!J15+'Avg Week Palabek-Atiak'!J15</f>
        <v>0</v>
      </c>
      <c r="K15" s="49">
        <f>'Avg Week Atiak-Palabek'!K15+'Avg Week Palabek-Atiak'!K15</f>
        <v>0</v>
      </c>
      <c r="L15" s="49">
        <f>'Avg Week Atiak-Palabek'!L15+'Avg Week Palabek-Atiak'!L15</f>
        <v>0</v>
      </c>
      <c r="M15" s="49">
        <f>'Avg Week Atiak-Palabek'!M15+'Avg Week Palabek-Atiak'!M15</f>
        <v>6.2857142857142865</v>
      </c>
      <c r="N15" s="49">
        <f>'Avg Week Atiak-Palabek'!N15+'Avg Week Palabek-Atiak'!N15</f>
        <v>0</v>
      </c>
      <c r="O15" s="15">
        <f t="shared" si="0"/>
        <v>0.5714285714285714</v>
      </c>
      <c r="P15" s="15">
        <f t="shared" si="1"/>
        <v>6.8571428571428577</v>
      </c>
      <c r="R15" s="1" t="s">
        <v>11</v>
      </c>
      <c r="S15" s="17">
        <f t="shared" ref="S15:AF15" si="7">SUM(C30:C33)</f>
        <v>0.42857142857142855</v>
      </c>
      <c r="T15" s="17">
        <f t="shared" si="7"/>
        <v>0</v>
      </c>
      <c r="U15" s="17">
        <f t="shared" si="7"/>
        <v>2</v>
      </c>
      <c r="V15" s="17">
        <f t="shared" si="7"/>
        <v>2.1428571428571428</v>
      </c>
      <c r="W15" s="17">
        <f t="shared" si="7"/>
        <v>0</v>
      </c>
      <c r="X15" s="17">
        <f t="shared" si="7"/>
        <v>0</v>
      </c>
      <c r="Y15" s="17">
        <f t="shared" si="7"/>
        <v>1.857142857142857</v>
      </c>
      <c r="Z15" s="17">
        <f t="shared" si="7"/>
        <v>0</v>
      </c>
      <c r="AA15" s="17">
        <f t="shared" si="7"/>
        <v>0</v>
      </c>
      <c r="AB15" s="17">
        <f t="shared" si="7"/>
        <v>2.714285714285714</v>
      </c>
      <c r="AC15" s="17">
        <f t="shared" si="7"/>
        <v>31.571428571428573</v>
      </c>
      <c r="AD15" s="17">
        <f t="shared" si="7"/>
        <v>0</v>
      </c>
      <c r="AE15" s="31">
        <f t="shared" si="7"/>
        <v>9.1428571428571423</v>
      </c>
      <c r="AF15" s="31">
        <f t="shared" si="7"/>
        <v>40.714285714285715</v>
      </c>
    </row>
    <row r="16" spans="2:32" ht="23.1" customHeight="1" x14ac:dyDescent="0.25">
      <c r="B16" s="23" t="s">
        <v>43</v>
      </c>
      <c r="C16" s="49">
        <f>'Avg Week Atiak-Palabek'!C16+'Avg Week Palabek-Atiak'!C16</f>
        <v>0.14285714285714285</v>
      </c>
      <c r="D16" s="49">
        <f>'Avg Week Atiak-Palabek'!D16+'Avg Week Palabek-Atiak'!D16</f>
        <v>0</v>
      </c>
      <c r="E16" s="49">
        <f>'Avg Week Atiak-Palabek'!E16+'Avg Week Palabek-Atiak'!E16</f>
        <v>0.2857142857142857</v>
      </c>
      <c r="F16" s="49">
        <f>'Avg Week Atiak-Palabek'!F16+'Avg Week Palabek-Atiak'!F16</f>
        <v>0.2857142857142857</v>
      </c>
      <c r="G16" s="49">
        <f>'Avg Week Atiak-Palabek'!G16+'Avg Week Palabek-Atiak'!G16</f>
        <v>0</v>
      </c>
      <c r="H16" s="49">
        <f>'Avg Week Atiak-Palabek'!H16+'Avg Week Palabek-Atiak'!H16</f>
        <v>0</v>
      </c>
      <c r="I16" s="49">
        <f>'Avg Week Atiak-Palabek'!I16+'Avg Week Palabek-Atiak'!I16</f>
        <v>0</v>
      </c>
      <c r="J16" s="49">
        <f>'Avg Week Atiak-Palabek'!J16+'Avg Week Palabek-Atiak'!J16</f>
        <v>0</v>
      </c>
      <c r="K16" s="49">
        <f>'Avg Week Atiak-Palabek'!K16+'Avg Week Palabek-Atiak'!K16</f>
        <v>0</v>
      </c>
      <c r="L16" s="49">
        <f>'Avg Week Atiak-Palabek'!L16+'Avg Week Palabek-Atiak'!L16</f>
        <v>0.2857142857142857</v>
      </c>
      <c r="M16" s="49">
        <f>'Avg Week Atiak-Palabek'!M16+'Avg Week Palabek-Atiak'!M16</f>
        <v>5.1428571428571423</v>
      </c>
      <c r="N16" s="49">
        <f>'Avg Week Atiak-Palabek'!N16+'Avg Week Palabek-Atiak'!N16</f>
        <v>0</v>
      </c>
      <c r="O16" s="15">
        <f t="shared" si="0"/>
        <v>0.99999999999999989</v>
      </c>
      <c r="P16" s="15">
        <f t="shared" si="1"/>
        <v>6.1428571428571423</v>
      </c>
      <c r="R16" s="1" t="s">
        <v>12</v>
      </c>
      <c r="S16" s="17">
        <f t="shared" ref="S16:AF16" si="8">SUM(C34:C37)</f>
        <v>0.42857142857142855</v>
      </c>
      <c r="T16" s="17">
        <f t="shared" si="8"/>
        <v>0</v>
      </c>
      <c r="U16" s="17">
        <f t="shared" si="8"/>
        <v>2.4285714285714284</v>
      </c>
      <c r="V16" s="17">
        <f t="shared" si="8"/>
        <v>1.1428571428571428</v>
      </c>
      <c r="W16" s="17">
        <f t="shared" si="8"/>
        <v>0</v>
      </c>
      <c r="X16" s="17">
        <f t="shared" si="8"/>
        <v>0</v>
      </c>
      <c r="Y16" s="17">
        <f t="shared" si="8"/>
        <v>2.2857142857142856</v>
      </c>
      <c r="Z16" s="17">
        <f t="shared" si="8"/>
        <v>0.2857142857142857</v>
      </c>
      <c r="AA16" s="17">
        <f t="shared" si="8"/>
        <v>0</v>
      </c>
      <c r="AB16" s="17">
        <f t="shared" si="8"/>
        <v>1</v>
      </c>
      <c r="AC16" s="17">
        <f t="shared" si="8"/>
        <v>31.428571428571431</v>
      </c>
      <c r="AD16" s="17">
        <f t="shared" si="8"/>
        <v>0</v>
      </c>
      <c r="AE16" s="31">
        <f t="shared" si="8"/>
        <v>7.5714285714285712</v>
      </c>
      <c r="AF16" s="31">
        <f t="shared" si="8"/>
        <v>39</v>
      </c>
    </row>
    <row r="17" spans="2:32" ht="23.1" customHeight="1" x14ac:dyDescent="0.25">
      <c r="B17" s="23" t="s">
        <v>44</v>
      </c>
      <c r="C17" s="49">
        <f>'Avg Week Atiak-Palabek'!C17+'Avg Week Palabek-Atiak'!C17</f>
        <v>0</v>
      </c>
      <c r="D17" s="49">
        <f>'Avg Week Atiak-Palabek'!D17+'Avg Week Palabek-Atiak'!D17</f>
        <v>0</v>
      </c>
      <c r="E17" s="49">
        <f>'Avg Week Atiak-Palabek'!E17+'Avg Week Palabek-Atiak'!E17</f>
        <v>0</v>
      </c>
      <c r="F17" s="49">
        <f>'Avg Week Atiak-Palabek'!F17+'Avg Week Palabek-Atiak'!F17</f>
        <v>0.2857142857142857</v>
      </c>
      <c r="G17" s="49">
        <f>'Avg Week Atiak-Palabek'!G17+'Avg Week Palabek-Atiak'!G17</f>
        <v>0</v>
      </c>
      <c r="H17" s="49">
        <f>'Avg Week Atiak-Palabek'!H17+'Avg Week Palabek-Atiak'!H17</f>
        <v>0</v>
      </c>
      <c r="I17" s="49">
        <f>'Avg Week Atiak-Palabek'!I17+'Avg Week Palabek-Atiak'!I17</f>
        <v>0.5714285714285714</v>
      </c>
      <c r="J17" s="49">
        <f>'Avg Week Atiak-Palabek'!J17+'Avg Week Palabek-Atiak'!J17</f>
        <v>0</v>
      </c>
      <c r="K17" s="49">
        <f>'Avg Week Atiak-Palabek'!K17+'Avg Week Palabek-Atiak'!K17</f>
        <v>0</v>
      </c>
      <c r="L17" s="49">
        <f>'Avg Week Atiak-Palabek'!L17+'Avg Week Palabek-Atiak'!L17</f>
        <v>0.2857142857142857</v>
      </c>
      <c r="M17" s="49">
        <f>'Avg Week Atiak-Palabek'!M17+'Avg Week Palabek-Atiak'!M17</f>
        <v>6.1428571428571423</v>
      </c>
      <c r="N17" s="49">
        <f>'Avg Week Atiak-Palabek'!N17+'Avg Week Palabek-Atiak'!N17</f>
        <v>0</v>
      </c>
      <c r="O17" s="15">
        <f t="shared" si="0"/>
        <v>1.1428571428571428</v>
      </c>
      <c r="P17" s="15">
        <f t="shared" si="1"/>
        <v>7.2857142857142847</v>
      </c>
      <c r="R17" s="1" t="s">
        <v>13</v>
      </c>
      <c r="S17" s="17">
        <f t="shared" ref="S17:AF17" si="9">SUM(C38:C41)</f>
        <v>1.1428571428571428</v>
      </c>
      <c r="T17" s="17">
        <f t="shared" si="9"/>
        <v>0</v>
      </c>
      <c r="U17" s="17">
        <f t="shared" si="9"/>
        <v>1.9999999999999998</v>
      </c>
      <c r="V17" s="17">
        <f t="shared" si="9"/>
        <v>1.714285714285714</v>
      </c>
      <c r="W17" s="17">
        <f t="shared" si="9"/>
        <v>0</v>
      </c>
      <c r="X17" s="17">
        <f t="shared" si="9"/>
        <v>0</v>
      </c>
      <c r="Y17" s="17">
        <f t="shared" si="9"/>
        <v>4.4285714285714288</v>
      </c>
      <c r="Z17" s="17">
        <f t="shared" si="9"/>
        <v>0</v>
      </c>
      <c r="AA17" s="17">
        <f t="shared" si="9"/>
        <v>0</v>
      </c>
      <c r="AB17" s="17">
        <f t="shared" si="9"/>
        <v>1.2857142857142858</v>
      </c>
      <c r="AC17" s="17">
        <f t="shared" si="9"/>
        <v>36.714285714285715</v>
      </c>
      <c r="AD17" s="17">
        <f t="shared" si="9"/>
        <v>0</v>
      </c>
      <c r="AE17" s="31">
        <f t="shared" si="9"/>
        <v>10.571428571428571</v>
      </c>
      <c r="AF17" s="31">
        <f t="shared" si="9"/>
        <v>47.285714285714285</v>
      </c>
    </row>
    <row r="18" spans="2:32" ht="23.1" customHeight="1" x14ac:dyDescent="0.25">
      <c r="B18" s="23" t="s">
        <v>45</v>
      </c>
      <c r="C18" s="49">
        <f>'Avg Week Atiak-Palabek'!C18+'Avg Week Palabek-Atiak'!C18</f>
        <v>0</v>
      </c>
      <c r="D18" s="49">
        <f>'Avg Week Atiak-Palabek'!D18+'Avg Week Palabek-Atiak'!D18</f>
        <v>0</v>
      </c>
      <c r="E18" s="49">
        <f>'Avg Week Atiak-Palabek'!E18+'Avg Week Palabek-Atiak'!E18</f>
        <v>0.2857142857142857</v>
      </c>
      <c r="F18" s="49">
        <f>'Avg Week Atiak-Palabek'!F18+'Avg Week Palabek-Atiak'!F18</f>
        <v>0.8571428571428571</v>
      </c>
      <c r="G18" s="49">
        <f>'Avg Week Atiak-Palabek'!G18+'Avg Week Palabek-Atiak'!G18</f>
        <v>0</v>
      </c>
      <c r="H18" s="49">
        <f>'Avg Week Atiak-Palabek'!H18+'Avg Week Palabek-Atiak'!H18</f>
        <v>0</v>
      </c>
      <c r="I18" s="49">
        <f>'Avg Week Atiak-Palabek'!I18+'Avg Week Palabek-Atiak'!I18</f>
        <v>0.2857142857142857</v>
      </c>
      <c r="J18" s="49">
        <f>'Avg Week Atiak-Palabek'!J18+'Avg Week Palabek-Atiak'!J18</f>
        <v>0</v>
      </c>
      <c r="K18" s="49">
        <f>'Avg Week Atiak-Palabek'!K18+'Avg Week Palabek-Atiak'!K18</f>
        <v>0</v>
      </c>
      <c r="L18" s="49">
        <f>'Avg Week Atiak-Palabek'!L18+'Avg Week Palabek-Atiak'!L18</f>
        <v>0.42857142857142855</v>
      </c>
      <c r="M18" s="49">
        <f>'Avg Week Atiak-Palabek'!M18+'Avg Week Palabek-Atiak'!M18</f>
        <v>8.2857142857142847</v>
      </c>
      <c r="N18" s="49">
        <f>'Avg Week Atiak-Palabek'!N18+'Avg Week Palabek-Atiak'!N18</f>
        <v>0</v>
      </c>
      <c r="O18" s="15">
        <f t="shared" si="0"/>
        <v>1.857142857142857</v>
      </c>
      <c r="P18" s="15">
        <f t="shared" si="1"/>
        <v>10.142857142857142</v>
      </c>
      <c r="R18" s="1" t="s">
        <v>14</v>
      </c>
      <c r="S18" s="17">
        <f t="shared" ref="S18:AF18" si="10">SUM(C42:C45)</f>
        <v>0.2857142857142857</v>
      </c>
      <c r="T18" s="17">
        <f t="shared" si="10"/>
        <v>0</v>
      </c>
      <c r="U18" s="17">
        <f t="shared" si="10"/>
        <v>1.2857142857142856</v>
      </c>
      <c r="V18" s="17">
        <f t="shared" si="10"/>
        <v>1.5714285714285712</v>
      </c>
      <c r="W18" s="17">
        <f t="shared" si="10"/>
        <v>0</v>
      </c>
      <c r="X18" s="17">
        <f t="shared" si="10"/>
        <v>0.71428571428571419</v>
      </c>
      <c r="Y18" s="17">
        <f t="shared" si="10"/>
        <v>2.0952380952380953</v>
      </c>
      <c r="Z18" s="17">
        <f t="shared" si="10"/>
        <v>0.71428571428571419</v>
      </c>
      <c r="AA18" s="17">
        <f t="shared" si="10"/>
        <v>0</v>
      </c>
      <c r="AB18" s="17">
        <f t="shared" si="10"/>
        <v>1.7142857142857144</v>
      </c>
      <c r="AC18" s="17">
        <f t="shared" si="10"/>
        <v>28.857142857142854</v>
      </c>
      <c r="AD18" s="17">
        <f t="shared" si="10"/>
        <v>0</v>
      </c>
      <c r="AE18" s="31">
        <f t="shared" si="10"/>
        <v>8.3809523809523796</v>
      </c>
      <c r="AF18" s="31">
        <f t="shared" si="10"/>
        <v>37.238095238095241</v>
      </c>
    </row>
    <row r="19" spans="2:32" ht="23.1" customHeight="1" x14ac:dyDescent="0.25">
      <c r="B19" s="23" t="s">
        <v>46</v>
      </c>
      <c r="C19" s="49">
        <f>'Avg Week Atiak-Palabek'!C19+'Avg Week Palabek-Atiak'!C19</f>
        <v>0.14285714285714285</v>
      </c>
      <c r="D19" s="49">
        <f>'Avg Week Atiak-Palabek'!D19+'Avg Week Palabek-Atiak'!D19</f>
        <v>0</v>
      </c>
      <c r="E19" s="49">
        <f>'Avg Week Atiak-Palabek'!E19+'Avg Week Palabek-Atiak'!E19</f>
        <v>0</v>
      </c>
      <c r="F19" s="49">
        <f>'Avg Week Atiak-Palabek'!F19+'Avg Week Palabek-Atiak'!F19</f>
        <v>0.2857142857142857</v>
      </c>
      <c r="G19" s="49">
        <f>'Avg Week Atiak-Palabek'!G19+'Avg Week Palabek-Atiak'!G19</f>
        <v>0</v>
      </c>
      <c r="H19" s="49">
        <f>'Avg Week Atiak-Palabek'!H19+'Avg Week Palabek-Atiak'!H19</f>
        <v>0</v>
      </c>
      <c r="I19" s="49">
        <f>'Avg Week Atiak-Palabek'!I19+'Avg Week Palabek-Atiak'!I19</f>
        <v>0</v>
      </c>
      <c r="J19" s="49">
        <f>'Avg Week Atiak-Palabek'!J19+'Avg Week Palabek-Atiak'!J19</f>
        <v>0</v>
      </c>
      <c r="K19" s="49">
        <f>'Avg Week Atiak-Palabek'!K19+'Avg Week Palabek-Atiak'!K19</f>
        <v>0</v>
      </c>
      <c r="L19" s="49">
        <f>'Avg Week Atiak-Palabek'!L19+'Avg Week Palabek-Atiak'!L19</f>
        <v>0</v>
      </c>
      <c r="M19" s="49">
        <f>'Avg Week Atiak-Palabek'!M19+'Avg Week Palabek-Atiak'!M19</f>
        <v>11.285714285714285</v>
      </c>
      <c r="N19" s="49">
        <f>'Avg Week Atiak-Palabek'!N19+'Avg Week Palabek-Atiak'!N19</f>
        <v>0</v>
      </c>
      <c r="O19" s="15">
        <f t="shared" si="0"/>
        <v>0.42857142857142855</v>
      </c>
      <c r="P19" s="15">
        <f t="shared" si="1"/>
        <v>11.714285714285714</v>
      </c>
      <c r="R19" s="1" t="s">
        <v>15</v>
      </c>
      <c r="S19" s="17">
        <f t="shared" ref="S19:AF19" si="11">SUM(C46:C49)</f>
        <v>0.71428571428571419</v>
      </c>
      <c r="T19" s="17">
        <f t="shared" si="11"/>
        <v>0</v>
      </c>
      <c r="U19" s="17">
        <f t="shared" si="11"/>
        <v>0.71428571428571419</v>
      </c>
      <c r="V19" s="17">
        <f t="shared" si="11"/>
        <v>1.4285714285714284</v>
      </c>
      <c r="W19" s="17">
        <f t="shared" si="11"/>
        <v>0</v>
      </c>
      <c r="X19" s="17">
        <f t="shared" si="11"/>
        <v>0</v>
      </c>
      <c r="Y19" s="17">
        <f t="shared" si="11"/>
        <v>1.5714285714285712</v>
      </c>
      <c r="Z19" s="17">
        <f t="shared" si="11"/>
        <v>0</v>
      </c>
      <c r="AA19" s="17">
        <f t="shared" si="11"/>
        <v>0.2857142857142857</v>
      </c>
      <c r="AB19" s="17">
        <f t="shared" si="11"/>
        <v>1.2857142857142856</v>
      </c>
      <c r="AC19" s="17">
        <f t="shared" si="11"/>
        <v>34.285714285714292</v>
      </c>
      <c r="AD19" s="17">
        <f t="shared" si="11"/>
        <v>0</v>
      </c>
      <c r="AE19" s="31">
        <f t="shared" si="11"/>
        <v>5.9999999999999991</v>
      </c>
      <c r="AF19" s="31">
        <f t="shared" si="11"/>
        <v>40.285714285714285</v>
      </c>
    </row>
    <row r="20" spans="2:32" ht="23.1" customHeight="1" x14ac:dyDescent="0.25">
      <c r="B20" s="23" t="s">
        <v>47</v>
      </c>
      <c r="C20" s="49">
        <f>'Avg Week Atiak-Palabek'!C20+'Avg Week Palabek-Atiak'!C20</f>
        <v>0</v>
      </c>
      <c r="D20" s="49">
        <f>'Avg Week Atiak-Palabek'!D20+'Avg Week Palabek-Atiak'!D20</f>
        <v>0</v>
      </c>
      <c r="E20" s="49">
        <f>'Avg Week Atiak-Palabek'!E20+'Avg Week Palabek-Atiak'!E20</f>
        <v>0.5714285714285714</v>
      </c>
      <c r="F20" s="49">
        <f>'Avg Week Atiak-Palabek'!F20+'Avg Week Palabek-Atiak'!F20</f>
        <v>0.2857142857142857</v>
      </c>
      <c r="G20" s="49">
        <f>'Avg Week Atiak-Palabek'!G20+'Avg Week Palabek-Atiak'!G20</f>
        <v>0</v>
      </c>
      <c r="H20" s="49">
        <f>'Avg Week Atiak-Palabek'!H20+'Avg Week Palabek-Atiak'!H20</f>
        <v>0</v>
      </c>
      <c r="I20" s="49">
        <f>'Avg Week Atiak-Palabek'!I20+'Avg Week Palabek-Atiak'!I20</f>
        <v>1</v>
      </c>
      <c r="J20" s="49">
        <f>'Avg Week Atiak-Palabek'!J20+'Avg Week Palabek-Atiak'!J20</f>
        <v>0</v>
      </c>
      <c r="K20" s="49">
        <f>'Avg Week Atiak-Palabek'!K20+'Avg Week Palabek-Atiak'!K20</f>
        <v>0</v>
      </c>
      <c r="L20" s="49">
        <f>'Avg Week Atiak-Palabek'!L20+'Avg Week Palabek-Atiak'!L20</f>
        <v>0.7142857142857143</v>
      </c>
      <c r="M20" s="49">
        <f>'Avg Week Atiak-Palabek'!M20+'Avg Week Palabek-Atiak'!M20</f>
        <v>7.5714285714285712</v>
      </c>
      <c r="N20" s="49">
        <f>'Avg Week Atiak-Palabek'!N20+'Avg Week Palabek-Atiak'!N20</f>
        <v>0</v>
      </c>
      <c r="O20" s="15">
        <f t="shared" si="0"/>
        <v>2.5714285714285716</v>
      </c>
      <c r="P20" s="15">
        <f t="shared" si="1"/>
        <v>10.142857142857142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4.5714285714285712</v>
      </c>
      <c r="V20" s="17">
        <f t="shared" si="12"/>
        <v>1.1428571428571428</v>
      </c>
      <c r="W20" s="17">
        <f t="shared" si="12"/>
        <v>0</v>
      </c>
      <c r="X20" s="17">
        <f t="shared" si="12"/>
        <v>0</v>
      </c>
      <c r="Y20" s="17">
        <f t="shared" si="12"/>
        <v>2.2857142857142856</v>
      </c>
      <c r="Z20" s="17">
        <f t="shared" si="12"/>
        <v>0.14285714285714285</v>
      </c>
      <c r="AA20" s="17">
        <f t="shared" si="12"/>
        <v>0</v>
      </c>
      <c r="AB20" s="17">
        <f t="shared" si="12"/>
        <v>1.2857142857142856</v>
      </c>
      <c r="AC20" s="17">
        <f t="shared" si="12"/>
        <v>33.714285714285708</v>
      </c>
      <c r="AD20" s="17">
        <f t="shared" si="12"/>
        <v>0</v>
      </c>
      <c r="AE20" s="31">
        <f t="shared" si="12"/>
        <v>10.428571428571427</v>
      </c>
      <c r="AF20" s="31">
        <f t="shared" si="12"/>
        <v>44.142857142857139</v>
      </c>
    </row>
    <row r="21" spans="2:32" ht="23.1" customHeight="1" x14ac:dyDescent="0.25">
      <c r="B21" s="23" t="s">
        <v>48</v>
      </c>
      <c r="C21" s="49">
        <f>'Avg Week Atiak-Palabek'!C21+'Avg Week Palabek-Atiak'!C21</f>
        <v>0</v>
      </c>
      <c r="D21" s="49">
        <f>'Avg Week Atiak-Palabek'!D21+'Avg Week Palabek-Atiak'!D21</f>
        <v>0</v>
      </c>
      <c r="E21" s="49">
        <f>'Avg Week Atiak-Palabek'!E21+'Avg Week Palabek-Atiak'!E21</f>
        <v>0.2857142857142857</v>
      </c>
      <c r="F21" s="49">
        <f>'Avg Week Atiak-Palabek'!F21+'Avg Week Palabek-Atiak'!F21</f>
        <v>0.2857142857142857</v>
      </c>
      <c r="G21" s="49">
        <f>'Avg Week Atiak-Palabek'!G21+'Avg Week Palabek-Atiak'!G21</f>
        <v>0</v>
      </c>
      <c r="H21" s="49">
        <f>'Avg Week Atiak-Palabek'!H21+'Avg Week Palabek-Atiak'!H21</f>
        <v>0.2857142857142857</v>
      </c>
      <c r="I21" s="49">
        <f>'Avg Week Atiak-Palabek'!I21+'Avg Week Palabek-Atiak'!I21</f>
        <v>0.8571428571428571</v>
      </c>
      <c r="J21" s="49">
        <f>'Avg Week Atiak-Palabek'!J21+'Avg Week Palabek-Atiak'!J21</f>
        <v>0</v>
      </c>
      <c r="K21" s="49">
        <f>'Avg Week Atiak-Palabek'!K21+'Avg Week Palabek-Atiak'!K21</f>
        <v>0</v>
      </c>
      <c r="L21" s="49">
        <f>'Avg Week Atiak-Palabek'!L21+'Avg Week Palabek-Atiak'!L21</f>
        <v>0.5714285714285714</v>
      </c>
      <c r="M21" s="49">
        <f>'Avg Week Atiak-Palabek'!M21+'Avg Week Palabek-Atiak'!M21</f>
        <v>9.4285714285714288</v>
      </c>
      <c r="N21" s="49">
        <f>'Avg Week Atiak-Palabek'!N21+'Avg Week Palabek-Atiak'!N21</f>
        <v>0</v>
      </c>
      <c r="O21" s="15">
        <f t="shared" si="0"/>
        <v>2.2857142857142856</v>
      </c>
      <c r="P21" s="15">
        <f t="shared" si="1"/>
        <v>11.714285714285715</v>
      </c>
      <c r="R21" s="1" t="s">
        <v>20</v>
      </c>
      <c r="S21" s="34">
        <f t="shared" ref="S21:AF21" si="13">SUM(C54:C57)</f>
        <v>0.14285714285714285</v>
      </c>
      <c r="T21" s="17">
        <f t="shared" si="13"/>
        <v>0</v>
      </c>
      <c r="U21" s="17">
        <f t="shared" si="13"/>
        <v>0.71428571428571419</v>
      </c>
      <c r="V21" s="17">
        <f t="shared" si="13"/>
        <v>3</v>
      </c>
      <c r="W21" s="17">
        <f t="shared" si="13"/>
        <v>0.2857142857142857</v>
      </c>
      <c r="X21" s="17">
        <f t="shared" si="13"/>
        <v>0</v>
      </c>
      <c r="Y21" s="17">
        <f t="shared" si="13"/>
        <v>1.1428571428571428</v>
      </c>
      <c r="Z21" s="17">
        <f t="shared" si="13"/>
        <v>0</v>
      </c>
      <c r="AA21" s="17">
        <f t="shared" si="13"/>
        <v>0</v>
      </c>
      <c r="AB21" s="17">
        <f t="shared" si="13"/>
        <v>0.99999999999999989</v>
      </c>
      <c r="AC21" s="17">
        <f t="shared" si="13"/>
        <v>29.142857142857146</v>
      </c>
      <c r="AD21" s="17">
        <f t="shared" si="13"/>
        <v>0</v>
      </c>
      <c r="AE21" s="31">
        <f t="shared" si="13"/>
        <v>6.2857142857142847</v>
      </c>
      <c r="AF21" s="31">
        <f t="shared" si="13"/>
        <v>35.428571428571423</v>
      </c>
    </row>
    <row r="22" spans="2:32" ht="23.1" customHeight="1" x14ac:dyDescent="0.25">
      <c r="B22" s="23" t="s">
        <v>49</v>
      </c>
      <c r="C22" s="49">
        <f>'Avg Week Atiak-Palabek'!C22+'Avg Week Palabek-Atiak'!C22</f>
        <v>0</v>
      </c>
      <c r="D22" s="49">
        <f>'Avg Week Atiak-Palabek'!D22+'Avg Week Palabek-Atiak'!D22</f>
        <v>0</v>
      </c>
      <c r="E22" s="49">
        <f>'Avg Week Atiak-Palabek'!E22+'Avg Week Palabek-Atiak'!E22</f>
        <v>0.8571428571428571</v>
      </c>
      <c r="F22" s="49">
        <f>'Avg Week Atiak-Palabek'!F22+'Avg Week Palabek-Atiak'!F22</f>
        <v>0.5714285714285714</v>
      </c>
      <c r="G22" s="49">
        <f>'Avg Week Atiak-Palabek'!G22+'Avg Week Palabek-Atiak'!G22</f>
        <v>0</v>
      </c>
      <c r="H22" s="49">
        <f>'Avg Week Atiak-Palabek'!H22+'Avg Week Palabek-Atiak'!H22</f>
        <v>0</v>
      </c>
      <c r="I22" s="49">
        <f>'Avg Week Atiak-Palabek'!I22+'Avg Week Palabek-Atiak'!I22</f>
        <v>0.5714285714285714</v>
      </c>
      <c r="J22" s="49">
        <f>'Avg Week Atiak-Palabek'!J22+'Avg Week Palabek-Atiak'!J22</f>
        <v>0</v>
      </c>
      <c r="K22" s="49">
        <f>'Avg Week Atiak-Palabek'!K22+'Avg Week Palabek-Atiak'!K22</f>
        <v>0</v>
      </c>
      <c r="L22" s="49">
        <f>'Avg Week Atiak-Palabek'!L22+'Avg Week Palabek-Atiak'!L22</f>
        <v>0.5714285714285714</v>
      </c>
      <c r="M22" s="49">
        <f>'Avg Week Atiak-Palabek'!M22+'Avg Week Palabek-Atiak'!M22</f>
        <v>8.2857142857142847</v>
      </c>
      <c r="N22" s="49">
        <f>'Avg Week Atiak-Palabek'!N22+'Avg Week Palabek-Atiak'!N22</f>
        <v>0</v>
      </c>
      <c r="O22" s="15">
        <f t="shared" si="0"/>
        <v>2.5714285714285712</v>
      </c>
      <c r="P22" s="15">
        <f t="shared" si="1"/>
        <v>10.857142857142856</v>
      </c>
      <c r="R22" s="1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36</v>
      </c>
      <c r="AD22" s="34">
        <f t="shared" si="14"/>
        <v>0</v>
      </c>
      <c r="AE22" s="31">
        <f t="shared" si="14"/>
        <v>7</v>
      </c>
      <c r="AF22" s="31">
        <f t="shared" si="14"/>
        <v>43</v>
      </c>
    </row>
    <row r="23" spans="2:32" ht="23.1" customHeight="1" x14ac:dyDescent="0.25">
      <c r="B23" s="23" t="s">
        <v>50</v>
      </c>
      <c r="C23" s="49">
        <f>'Avg Week Atiak-Palabek'!C23+'Avg Week Palabek-Atiak'!C23</f>
        <v>0.2857142857142857</v>
      </c>
      <c r="D23" s="49">
        <f>'Avg Week Atiak-Palabek'!D23+'Avg Week Palabek-Atiak'!D23</f>
        <v>0</v>
      </c>
      <c r="E23" s="49">
        <f>'Avg Week Atiak-Palabek'!E23+'Avg Week Palabek-Atiak'!E23</f>
        <v>0.2857142857142857</v>
      </c>
      <c r="F23" s="49">
        <f>'Avg Week Atiak-Palabek'!F23+'Avg Week Palabek-Atiak'!F23</f>
        <v>0</v>
      </c>
      <c r="G23" s="49">
        <f>'Avg Week Atiak-Palabek'!G23+'Avg Week Palabek-Atiak'!G23</f>
        <v>0</v>
      </c>
      <c r="H23" s="49">
        <f>'Avg Week Atiak-Palabek'!H23+'Avg Week Palabek-Atiak'!H23</f>
        <v>0</v>
      </c>
      <c r="I23" s="49">
        <f>'Avg Week Atiak-Palabek'!I23+'Avg Week Palabek-Atiak'!I23</f>
        <v>0.71428571428571419</v>
      </c>
      <c r="J23" s="49">
        <f>'Avg Week Atiak-Palabek'!J23+'Avg Week Palabek-Atiak'!J23</f>
        <v>0</v>
      </c>
      <c r="K23" s="49">
        <f>'Avg Week Atiak-Palabek'!K23+'Avg Week Palabek-Atiak'!K23</f>
        <v>0</v>
      </c>
      <c r="L23" s="49">
        <f>'Avg Week Atiak-Palabek'!L23+'Avg Week Palabek-Atiak'!L23</f>
        <v>0.7142857142857143</v>
      </c>
      <c r="M23" s="49">
        <f>'Avg Week Atiak-Palabek'!M23+'Avg Week Palabek-Atiak'!M23</f>
        <v>8.8571428571428577</v>
      </c>
      <c r="N23" s="49">
        <f>'Avg Week Atiak-Palabek'!N23+'Avg Week Palabek-Atiak'!N23</f>
        <v>0</v>
      </c>
      <c r="O23" s="15">
        <f t="shared" si="0"/>
        <v>2</v>
      </c>
      <c r="P23" s="15">
        <f t="shared" si="1"/>
        <v>10.857142857142858</v>
      </c>
      <c r="R23" s="1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36</v>
      </c>
      <c r="AD23" s="34">
        <f t="shared" si="15"/>
        <v>0</v>
      </c>
      <c r="AE23" s="31">
        <f t="shared" si="15"/>
        <v>6</v>
      </c>
      <c r="AF23" s="31">
        <f t="shared" si="15"/>
        <v>42</v>
      </c>
    </row>
    <row r="24" spans="2:32" ht="23.1" customHeight="1" x14ac:dyDescent="0.25">
      <c r="B24" s="23" t="s">
        <v>51</v>
      </c>
      <c r="C24" s="49">
        <f>'Avg Week Atiak-Palabek'!C24+'Avg Week Palabek-Atiak'!C24</f>
        <v>0</v>
      </c>
      <c r="D24" s="49">
        <f>'Avg Week Atiak-Palabek'!D24+'Avg Week Palabek-Atiak'!D24</f>
        <v>0</v>
      </c>
      <c r="E24" s="49">
        <f>'Avg Week Atiak-Palabek'!E24+'Avg Week Palabek-Atiak'!E24</f>
        <v>0.8571428571428571</v>
      </c>
      <c r="F24" s="49">
        <f>'Avg Week Atiak-Palabek'!F24+'Avg Week Palabek-Atiak'!F24</f>
        <v>0</v>
      </c>
      <c r="G24" s="49">
        <f>'Avg Week Atiak-Palabek'!G24+'Avg Week Palabek-Atiak'!G24</f>
        <v>0</v>
      </c>
      <c r="H24" s="49">
        <f>'Avg Week Atiak-Palabek'!H24+'Avg Week Palabek-Atiak'!H24</f>
        <v>0</v>
      </c>
      <c r="I24" s="49">
        <f>'Avg Week Atiak-Palabek'!I24+'Avg Week Palabek-Atiak'!I24</f>
        <v>2</v>
      </c>
      <c r="J24" s="49">
        <f>'Avg Week Atiak-Palabek'!J24+'Avg Week Palabek-Atiak'!J24</f>
        <v>0</v>
      </c>
      <c r="K24" s="49">
        <f>'Avg Week Atiak-Palabek'!K24+'Avg Week Palabek-Atiak'!K24</f>
        <v>0.14285714285714285</v>
      </c>
      <c r="L24" s="49">
        <f>'Avg Week Atiak-Palabek'!L24+'Avg Week Palabek-Atiak'!L24</f>
        <v>0.2857142857142857</v>
      </c>
      <c r="M24" s="49">
        <f>'Avg Week Atiak-Palabek'!M24+'Avg Week Palabek-Atiak'!M24</f>
        <v>6.1428571428571432</v>
      </c>
      <c r="N24" s="49">
        <f>'Avg Week Atiak-Palabek'!N24+'Avg Week Palabek-Atiak'!N24</f>
        <v>0</v>
      </c>
      <c r="O24" s="15">
        <f t="shared" si="0"/>
        <v>3.2857142857142856</v>
      </c>
      <c r="P24" s="15">
        <f t="shared" si="1"/>
        <v>9.4285714285714288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22</v>
      </c>
      <c r="AD24" s="34">
        <f t="shared" si="16"/>
        <v>0</v>
      </c>
      <c r="AE24" s="31">
        <f t="shared" si="16"/>
        <v>0</v>
      </c>
      <c r="AF24" s="31">
        <f t="shared" si="16"/>
        <v>22</v>
      </c>
    </row>
    <row r="25" spans="2:32" ht="23.1" customHeight="1" x14ac:dyDescent="0.25">
      <c r="B25" s="23" t="s">
        <v>52</v>
      </c>
      <c r="C25" s="49">
        <f>'Avg Week Atiak-Palabek'!C25+'Avg Week Palabek-Atiak'!C25</f>
        <v>0</v>
      </c>
      <c r="D25" s="49">
        <f>'Avg Week Atiak-Palabek'!D25+'Avg Week Palabek-Atiak'!D25</f>
        <v>0</v>
      </c>
      <c r="E25" s="49">
        <f>'Avg Week Atiak-Palabek'!E25+'Avg Week Palabek-Atiak'!E25</f>
        <v>1.1428571428571428</v>
      </c>
      <c r="F25" s="49">
        <f>'Avg Week Atiak-Palabek'!F25+'Avg Week Palabek-Atiak'!F25</f>
        <v>0</v>
      </c>
      <c r="G25" s="49">
        <f>'Avg Week Atiak-Palabek'!G25+'Avg Week Palabek-Atiak'!G25</f>
        <v>0</v>
      </c>
      <c r="H25" s="49">
        <f>'Avg Week Atiak-Palabek'!H25+'Avg Week Palabek-Atiak'!H25</f>
        <v>0</v>
      </c>
      <c r="I25" s="49">
        <f>'Avg Week Atiak-Palabek'!I25+'Avg Week Palabek-Atiak'!I25</f>
        <v>0.42857142857142855</v>
      </c>
      <c r="J25" s="49">
        <f>'Avg Week Atiak-Palabek'!J25+'Avg Week Palabek-Atiak'!J25</f>
        <v>0</v>
      </c>
      <c r="K25" s="49">
        <f>'Avg Week Atiak-Palabek'!K25+'Avg Week Palabek-Atiak'!K25</f>
        <v>0</v>
      </c>
      <c r="L25" s="49">
        <f>'Avg Week Atiak-Palabek'!L25+'Avg Week Palabek-Atiak'!L25</f>
        <v>0.8571428571428571</v>
      </c>
      <c r="M25" s="49">
        <f>'Avg Week Atiak-Palabek'!M25+'Avg Week Palabek-Atiak'!M25</f>
        <v>10.428571428571429</v>
      </c>
      <c r="N25" s="49">
        <f>'Avg Week Atiak-Palabek'!N25+'Avg Week Palabek-Atiak'!N25</f>
        <v>0</v>
      </c>
      <c r="O25" s="15">
        <f t="shared" si="0"/>
        <v>2.4285714285714284</v>
      </c>
      <c r="P25" s="15">
        <f t="shared" si="1"/>
        <v>12.857142857142858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1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14</v>
      </c>
      <c r="AD25" s="34">
        <f t="shared" si="17"/>
        <v>0</v>
      </c>
      <c r="AE25" s="31">
        <f t="shared" si="17"/>
        <v>4</v>
      </c>
      <c r="AF25" s="31">
        <f t="shared" si="17"/>
        <v>18</v>
      </c>
    </row>
    <row r="26" spans="2:32" ht="23.1" customHeight="1" x14ac:dyDescent="0.25">
      <c r="B26" s="23" t="s">
        <v>53</v>
      </c>
      <c r="C26" s="49">
        <f>'Avg Week Atiak-Palabek'!C26+'Avg Week Palabek-Atiak'!C26</f>
        <v>0</v>
      </c>
      <c r="D26" s="49">
        <f>'Avg Week Atiak-Palabek'!D26+'Avg Week Palabek-Atiak'!D26</f>
        <v>0</v>
      </c>
      <c r="E26" s="49">
        <f>'Avg Week Atiak-Palabek'!E26+'Avg Week Palabek-Atiak'!E26</f>
        <v>0.5714285714285714</v>
      </c>
      <c r="F26" s="49">
        <f>'Avg Week Atiak-Palabek'!F26+'Avg Week Palabek-Atiak'!F26</f>
        <v>0.5714285714285714</v>
      </c>
      <c r="G26" s="49">
        <f>'Avg Week Atiak-Palabek'!G26+'Avg Week Palabek-Atiak'!G26</f>
        <v>0</v>
      </c>
      <c r="H26" s="49">
        <f>'Avg Week Atiak-Palabek'!H26+'Avg Week Palabek-Atiak'!H26</f>
        <v>0</v>
      </c>
      <c r="I26" s="49">
        <f>'Avg Week Atiak-Palabek'!I26+'Avg Week Palabek-Atiak'!I26</f>
        <v>1</v>
      </c>
      <c r="J26" s="49">
        <f>'Avg Week Atiak-Palabek'!J26+'Avg Week Palabek-Atiak'!J26</f>
        <v>0</v>
      </c>
      <c r="K26" s="49">
        <f>'Avg Week Atiak-Palabek'!K26+'Avg Week Palabek-Atiak'!K26</f>
        <v>0</v>
      </c>
      <c r="L26" s="49">
        <f>'Avg Week Atiak-Palabek'!L26+'Avg Week Palabek-Atiak'!L26</f>
        <v>0.42857142857142855</v>
      </c>
      <c r="M26" s="49">
        <f>'Avg Week Atiak-Palabek'!M26+'Avg Week Palabek-Atiak'!M26</f>
        <v>8</v>
      </c>
      <c r="N26" s="49">
        <f>'Avg Week Atiak-Palabek'!N26+'Avg Week Palabek-Atiak'!N26</f>
        <v>0</v>
      </c>
      <c r="O26" s="15">
        <f t="shared" si="0"/>
        <v>2.5714285714285712</v>
      </c>
      <c r="P26" s="15">
        <f t="shared" si="1"/>
        <v>10.571428571428571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9.5</v>
      </c>
      <c r="AD26" s="34">
        <f t="shared" si="18"/>
        <v>0</v>
      </c>
      <c r="AE26" s="31">
        <f t="shared" si="18"/>
        <v>5</v>
      </c>
      <c r="AF26" s="31">
        <f t="shared" si="18"/>
        <v>14.5</v>
      </c>
    </row>
    <row r="27" spans="2:32" ht="23.1" customHeight="1" x14ac:dyDescent="0.25">
      <c r="B27" s="23" t="s">
        <v>54</v>
      </c>
      <c r="C27" s="49">
        <f>'Avg Week Atiak-Palabek'!C27+'Avg Week Palabek-Atiak'!C27</f>
        <v>0</v>
      </c>
      <c r="D27" s="49">
        <f>'Avg Week Atiak-Palabek'!D27+'Avg Week Palabek-Atiak'!D27</f>
        <v>0</v>
      </c>
      <c r="E27" s="49">
        <f>'Avg Week Atiak-Palabek'!E27+'Avg Week Palabek-Atiak'!E27</f>
        <v>0.8571428571428571</v>
      </c>
      <c r="F27" s="49">
        <f>'Avg Week Atiak-Palabek'!F27+'Avg Week Palabek-Atiak'!F27</f>
        <v>0.71428571428571419</v>
      </c>
      <c r="G27" s="49">
        <f>'Avg Week Atiak-Palabek'!G27+'Avg Week Palabek-Atiak'!G27</f>
        <v>0</v>
      </c>
      <c r="H27" s="49">
        <f>'Avg Week Atiak-Palabek'!H27+'Avg Week Palabek-Atiak'!H27</f>
        <v>0</v>
      </c>
      <c r="I27" s="49">
        <f>'Avg Week Atiak-Palabek'!I27+'Avg Week Palabek-Atiak'!I27</f>
        <v>0.5714285714285714</v>
      </c>
      <c r="J27" s="49">
        <f>'Avg Week Atiak-Palabek'!J27+'Avg Week Palabek-Atiak'!J27</f>
        <v>0</v>
      </c>
      <c r="K27" s="49">
        <f>'Avg Week Atiak-Palabek'!K27+'Avg Week Palabek-Atiak'!K27</f>
        <v>0</v>
      </c>
      <c r="L27" s="49">
        <f>'Avg Week Atiak-Palabek'!L27+'Avg Week Palabek-Atiak'!L27</f>
        <v>0.5714285714285714</v>
      </c>
      <c r="M27" s="49">
        <f>'Avg Week Atiak-Palabek'!M27+'Avg Week Palabek-Atiak'!M27</f>
        <v>8.5714285714285712</v>
      </c>
      <c r="N27" s="49">
        <f>'Avg Week Atiak-Palabek'!N27+'Avg Week Palabek-Atiak'!N27</f>
        <v>0</v>
      </c>
      <c r="O27" s="15">
        <f t="shared" si="0"/>
        <v>2.7142857142857135</v>
      </c>
      <c r="P27" s="15">
        <f t="shared" si="1"/>
        <v>11.285714285714285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23" t="s">
        <v>55</v>
      </c>
      <c r="C28" s="49">
        <f>'Avg Week Atiak-Palabek'!C28+'Avg Week Palabek-Atiak'!C28</f>
        <v>0</v>
      </c>
      <c r="D28" s="49">
        <f>'Avg Week Atiak-Palabek'!D28+'Avg Week Palabek-Atiak'!D28</f>
        <v>0</v>
      </c>
      <c r="E28" s="49">
        <f>'Avg Week Atiak-Palabek'!E28+'Avg Week Palabek-Atiak'!E28</f>
        <v>0.5714285714285714</v>
      </c>
      <c r="F28" s="49">
        <f>'Avg Week Atiak-Palabek'!F28+'Avg Week Palabek-Atiak'!F28</f>
        <v>1.4285714285714286</v>
      </c>
      <c r="G28" s="49">
        <f>'Avg Week Atiak-Palabek'!G28+'Avg Week Palabek-Atiak'!G28</f>
        <v>0</v>
      </c>
      <c r="H28" s="49">
        <f>'Avg Week Atiak-Palabek'!H28+'Avg Week Palabek-Atiak'!H28</f>
        <v>0</v>
      </c>
      <c r="I28" s="49">
        <f>'Avg Week Atiak-Palabek'!I28+'Avg Week Palabek-Atiak'!I28</f>
        <v>0.8571428571428571</v>
      </c>
      <c r="J28" s="49">
        <f>'Avg Week Atiak-Palabek'!J28+'Avg Week Palabek-Atiak'!J28</f>
        <v>0</v>
      </c>
      <c r="K28" s="49">
        <f>'Avg Week Atiak-Palabek'!K28+'Avg Week Palabek-Atiak'!K28</f>
        <v>0</v>
      </c>
      <c r="L28" s="49">
        <f>'Avg Week Atiak-Palabek'!L28+'Avg Week Palabek-Atiak'!L28</f>
        <v>0</v>
      </c>
      <c r="M28" s="49">
        <f>'Avg Week Atiak-Palabek'!M28+'Avg Week Palabek-Atiak'!M28</f>
        <v>9</v>
      </c>
      <c r="N28" s="49">
        <f>'Avg Week Atiak-Palabek'!N28+'Avg Week Palabek-Atiak'!N28</f>
        <v>0</v>
      </c>
      <c r="O28" s="15">
        <f t="shared" si="0"/>
        <v>2.8571428571428572</v>
      </c>
      <c r="P28" s="15">
        <f t="shared" si="1"/>
        <v>11.857142857142858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23" t="s">
        <v>56</v>
      </c>
      <c r="C29" s="49">
        <f>'Avg Week Atiak-Palabek'!C29+'Avg Week Palabek-Atiak'!C29</f>
        <v>0.8571428571428571</v>
      </c>
      <c r="D29" s="49">
        <f>'Avg Week Atiak-Palabek'!D29+'Avg Week Palabek-Atiak'!D29</f>
        <v>0</v>
      </c>
      <c r="E29" s="49">
        <f>'Avg Week Atiak-Palabek'!E29+'Avg Week Palabek-Atiak'!E29</f>
        <v>0</v>
      </c>
      <c r="F29" s="49">
        <f>'Avg Week Atiak-Palabek'!F29+'Avg Week Palabek-Atiak'!F29</f>
        <v>1</v>
      </c>
      <c r="G29" s="49">
        <f>'Avg Week Atiak-Palabek'!G29+'Avg Week Palabek-Atiak'!G29</f>
        <v>0</v>
      </c>
      <c r="H29" s="49">
        <f>'Avg Week Atiak-Palabek'!H29+'Avg Week Palabek-Atiak'!H29</f>
        <v>0</v>
      </c>
      <c r="I29" s="49">
        <f>'Avg Week Atiak-Palabek'!I29+'Avg Week Palabek-Atiak'!I29</f>
        <v>1.7142857142857142</v>
      </c>
      <c r="J29" s="49">
        <f>'Avg Week Atiak-Palabek'!J29+'Avg Week Palabek-Atiak'!J29</f>
        <v>0</v>
      </c>
      <c r="K29" s="49">
        <f>'Avg Week Atiak-Palabek'!K29+'Avg Week Palabek-Atiak'!K29</f>
        <v>0.14285714285714285</v>
      </c>
      <c r="L29" s="49">
        <f>'Avg Week Atiak-Palabek'!L29+'Avg Week Palabek-Atiak'!L29</f>
        <v>0.2857142857142857</v>
      </c>
      <c r="M29" s="49">
        <f>'Avg Week Atiak-Palabek'!M29+'Avg Week Palabek-Atiak'!M29</f>
        <v>7.1428571428571423</v>
      </c>
      <c r="N29" s="49">
        <f>'Avg Week Atiak-Palabek'!N29+'Avg Week Palabek-Atiak'!N29</f>
        <v>0</v>
      </c>
      <c r="O29" s="15">
        <f t="shared" si="0"/>
        <v>3.9999999999999996</v>
      </c>
      <c r="P29" s="15">
        <f t="shared" si="1"/>
        <v>11.142857142857142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'Avg Week Atiak-Palabek'!C30+'Avg Week Palabek-Atiak'!C30</f>
        <v>0</v>
      </c>
      <c r="D30" s="49">
        <f>'Avg Week Atiak-Palabek'!D30+'Avg Week Palabek-Atiak'!D30</f>
        <v>0</v>
      </c>
      <c r="E30" s="49">
        <f>'Avg Week Atiak-Palabek'!E30+'Avg Week Palabek-Atiak'!E30</f>
        <v>1.1428571428571428</v>
      </c>
      <c r="F30" s="49">
        <f>'Avg Week Atiak-Palabek'!F30+'Avg Week Palabek-Atiak'!F30</f>
        <v>0.2857142857142857</v>
      </c>
      <c r="G30" s="49">
        <f>'Avg Week Atiak-Palabek'!G30+'Avg Week Palabek-Atiak'!G30</f>
        <v>0</v>
      </c>
      <c r="H30" s="49">
        <f>'Avg Week Atiak-Palabek'!H30+'Avg Week Palabek-Atiak'!H30</f>
        <v>0</v>
      </c>
      <c r="I30" s="49">
        <f>'Avg Week Atiak-Palabek'!I30+'Avg Week Palabek-Atiak'!I30</f>
        <v>0.42857142857142855</v>
      </c>
      <c r="J30" s="49">
        <f>'Avg Week Atiak-Palabek'!J30+'Avg Week Palabek-Atiak'!J30</f>
        <v>0</v>
      </c>
      <c r="K30" s="49">
        <f>'Avg Week Atiak-Palabek'!K30+'Avg Week Palabek-Atiak'!K30</f>
        <v>0</v>
      </c>
      <c r="L30" s="49">
        <f>'Avg Week Atiak-Palabek'!L30+'Avg Week Palabek-Atiak'!L30</f>
        <v>0.5714285714285714</v>
      </c>
      <c r="M30" s="49">
        <f>'Avg Week Atiak-Palabek'!M30+'Avg Week Palabek-Atiak'!M30</f>
        <v>6</v>
      </c>
      <c r="N30" s="49">
        <f>'Avg Week Atiak-Palabek'!N30+'Avg Week Palabek-Atiak'!N30</f>
        <v>0</v>
      </c>
      <c r="O30" s="15">
        <f t="shared" si="0"/>
        <v>2.4285714285714284</v>
      </c>
      <c r="P30" s="15">
        <f t="shared" si="1"/>
        <v>8.4285714285714288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24" t="s">
        <v>58</v>
      </c>
      <c r="C31" s="49">
        <f>'Avg Week Atiak-Palabek'!C31+'Avg Week Palabek-Atiak'!C31</f>
        <v>0.14285714285714285</v>
      </c>
      <c r="D31" s="49">
        <f>'Avg Week Atiak-Palabek'!D31+'Avg Week Palabek-Atiak'!D31</f>
        <v>0</v>
      </c>
      <c r="E31" s="49">
        <f>'Avg Week Atiak-Palabek'!E31+'Avg Week Palabek-Atiak'!E31</f>
        <v>0</v>
      </c>
      <c r="F31" s="49">
        <f>'Avg Week Atiak-Palabek'!F31+'Avg Week Palabek-Atiak'!F31</f>
        <v>0.71428571428571419</v>
      </c>
      <c r="G31" s="49">
        <f>'Avg Week Atiak-Palabek'!G31+'Avg Week Palabek-Atiak'!G31</f>
        <v>0</v>
      </c>
      <c r="H31" s="49">
        <f>'Avg Week Atiak-Palabek'!H31+'Avg Week Palabek-Atiak'!H31</f>
        <v>0</v>
      </c>
      <c r="I31" s="49">
        <f>'Avg Week Atiak-Palabek'!I31+'Avg Week Palabek-Atiak'!I31</f>
        <v>0.2857142857142857</v>
      </c>
      <c r="J31" s="49">
        <f>'Avg Week Atiak-Palabek'!J31+'Avg Week Palabek-Atiak'!J31</f>
        <v>0</v>
      </c>
      <c r="K31" s="49">
        <f>'Avg Week Atiak-Palabek'!K31+'Avg Week Palabek-Atiak'!K31</f>
        <v>0</v>
      </c>
      <c r="L31" s="49">
        <f>'Avg Week Atiak-Palabek'!L31+'Avg Week Palabek-Atiak'!L31</f>
        <v>0.8571428571428571</v>
      </c>
      <c r="M31" s="49">
        <f>'Avg Week Atiak-Palabek'!M31+'Avg Week Palabek-Atiak'!M31</f>
        <v>8.4285714285714288</v>
      </c>
      <c r="N31" s="49">
        <f>'Avg Week Atiak-Palabek'!N31+'Avg Week Palabek-Atiak'!N31</f>
        <v>0</v>
      </c>
      <c r="O31" s="15">
        <f t="shared" si="0"/>
        <v>2</v>
      </c>
      <c r="P31" s="15">
        <f t="shared" si="1"/>
        <v>10.428571428571429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'Avg Week Atiak-Palabek'!C32+'Avg Week Palabek-Atiak'!C32</f>
        <v>0</v>
      </c>
      <c r="D32" s="49">
        <f>'Avg Week Atiak-Palabek'!D32+'Avg Week Palabek-Atiak'!D32</f>
        <v>0</v>
      </c>
      <c r="E32" s="49">
        <f>'Avg Week Atiak-Palabek'!E32+'Avg Week Palabek-Atiak'!E32</f>
        <v>0.5714285714285714</v>
      </c>
      <c r="F32" s="49">
        <f>'Avg Week Atiak-Palabek'!F32+'Avg Week Palabek-Atiak'!F32</f>
        <v>0.8571428571428571</v>
      </c>
      <c r="G32" s="49">
        <f>'Avg Week Atiak-Palabek'!G32+'Avg Week Palabek-Atiak'!G32</f>
        <v>0</v>
      </c>
      <c r="H32" s="49">
        <f>'Avg Week Atiak-Palabek'!H32+'Avg Week Palabek-Atiak'!H32</f>
        <v>0</v>
      </c>
      <c r="I32" s="49">
        <f>'Avg Week Atiak-Palabek'!I32+'Avg Week Palabek-Atiak'!I32</f>
        <v>0.71428571428571419</v>
      </c>
      <c r="J32" s="49">
        <f>'Avg Week Atiak-Palabek'!J32+'Avg Week Palabek-Atiak'!J32</f>
        <v>0</v>
      </c>
      <c r="K32" s="49">
        <f>'Avg Week Atiak-Palabek'!K32+'Avg Week Palabek-Atiak'!K32</f>
        <v>0</v>
      </c>
      <c r="L32" s="49">
        <f>'Avg Week Atiak-Palabek'!L32+'Avg Week Palabek-Atiak'!L32</f>
        <v>0.8571428571428571</v>
      </c>
      <c r="M32" s="49">
        <f>'Avg Week Atiak-Palabek'!M32+'Avg Week Palabek-Atiak'!M32</f>
        <v>8.4285714285714288</v>
      </c>
      <c r="N32" s="49">
        <f>'Avg Week Atiak-Palabek'!N32+'Avg Week Palabek-Atiak'!N32</f>
        <v>0</v>
      </c>
      <c r="O32" s="15">
        <f t="shared" si="0"/>
        <v>2.9999999999999996</v>
      </c>
      <c r="P32" s="15">
        <f t="shared" si="1"/>
        <v>11.428571428571429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1.5</v>
      </c>
      <c r="AD32" s="34">
        <f t="shared" si="24"/>
        <v>0</v>
      </c>
      <c r="AE32" s="31">
        <f t="shared" si="24"/>
        <v>0</v>
      </c>
      <c r="AF32" s="31">
        <f t="shared" si="24"/>
        <v>1.5</v>
      </c>
    </row>
    <row r="33" spans="2:32" ht="23.1" customHeight="1" x14ac:dyDescent="0.25">
      <c r="B33" s="23" t="s">
        <v>60</v>
      </c>
      <c r="C33" s="49">
        <f>'Avg Week Atiak-Palabek'!C33+'Avg Week Palabek-Atiak'!C33</f>
        <v>0.2857142857142857</v>
      </c>
      <c r="D33" s="49">
        <f>'Avg Week Atiak-Palabek'!D33+'Avg Week Palabek-Atiak'!D33</f>
        <v>0</v>
      </c>
      <c r="E33" s="49">
        <f>'Avg Week Atiak-Palabek'!E33+'Avg Week Palabek-Atiak'!E33</f>
        <v>0.2857142857142857</v>
      </c>
      <c r="F33" s="49">
        <f>'Avg Week Atiak-Palabek'!F33+'Avg Week Palabek-Atiak'!F33</f>
        <v>0.2857142857142857</v>
      </c>
      <c r="G33" s="49">
        <f>'Avg Week Atiak-Palabek'!G33+'Avg Week Palabek-Atiak'!G33</f>
        <v>0</v>
      </c>
      <c r="H33" s="49">
        <f>'Avg Week Atiak-Palabek'!H33+'Avg Week Palabek-Atiak'!H33</f>
        <v>0</v>
      </c>
      <c r="I33" s="49">
        <f>'Avg Week Atiak-Palabek'!I33+'Avg Week Palabek-Atiak'!I33</f>
        <v>0.42857142857142855</v>
      </c>
      <c r="J33" s="49">
        <f>'Avg Week Atiak-Palabek'!J33+'Avg Week Palabek-Atiak'!J33</f>
        <v>0</v>
      </c>
      <c r="K33" s="49">
        <f>'Avg Week Atiak-Palabek'!K33+'Avg Week Palabek-Atiak'!K33</f>
        <v>0</v>
      </c>
      <c r="L33" s="49">
        <f>'Avg Week Atiak-Palabek'!L33+'Avg Week Palabek-Atiak'!L33</f>
        <v>0.42857142857142855</v>
      </c>
      <c r="M33" s="49">
        <f>'Avg Week Atiak-Palabek'!M33+'Avg Week Palabek-Atiak'!M33</f>
        <v>8.7142857142857153</v>
      </c>
      <c r="N33" s="49">
        <f>'Avg Week Atiak-Palabek'!N33+'Avg Week Palabek-Atiak'!N33</f>
        <v>0</v>
      </c>
      <c r="O33" s="15">
        <f t="shared" si="0"/>
        <v>1.7142857142857142</v>
      </c>
      <c r="P33" s="15">
        <f t="shared" si="1"/>
        <v>10.428571428571429</v>
      </c>
      <c r="R33" s="1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</v>
      </c>
      <c r="AD33" s="34">
        <f t="shared" si="25"/>
        <v>0</v>
      </c>
      <c r="AE33" s="31">
        <f t="shared" si="25"/>
        <v>2</v>
      </c>
      <c r="AF33" s="31">
        <f t="shared" si="25"/>
        <v>6</v>
      </c>
    </row>
    <row r="34" spans="2:32" ht="23.1" customHeight="1" x14ac:dyDescent="0.25">
      <c r="B34" s="24" t="s">
        <v>61</v>
      </c>
      <c r="C34" s="49">
        <f>'Avg Week Atiak-Palabek'!C34+'Avg Week Palabek-Atiak'!C34</f>
        <v>0.2857142857142857</v>
      </c>
      <c r="D34" s="49">
        <f>'Avg Week Atiak-Palabek'!D34+'Avg Week Palabek-Atiak'!D34</f>
        <v>0</v>
      </c>
      <c r="E34" s="49">
        <f>'Avg Week Atiak-Palabek'!E34+'Avg Week Palabek-Atiak'!E34</f>
        <v>0.2857142857142857</v>
      </c>
      <c r="F34" s="49">
        <f>'Avg Week Atiak-Palabek'!F34+'Avg Week Palabek-Atiak'!F34</f>
        <v>0.2857142857142857</v>
      </c>
      <c r="G34" s="49">
        <f>'Avg Week Atiak-Palabek'!G34+'Avg Week Palabek-Atiak'!G34</f>
        <v>0</v>
      </c>
      <c r="H34" s="49">
        <f>'Avg Week Atiak-Palabek'!H34+'Avg Week Palabek-Atiak'!H34</f>
        <v>0</v>
      </c>
      <c r="I34" s="49">
        <f>'Avg Week Atiak-Palabek'!I34+'Avg Week Palabek-Atiak'!I34</f>
        <v>1.1428571428571428</v>
      </c>
      <c r="J34" s="49">
        <f>'Avg Week Atiak-Palabek'!J34+'Avg Week Palabek-Atiak'!J34</f>
        <v>0</v>
      </c>
      <c r="K34" s="49">
        <f>'Avg Week Atiak-Palabek'!K34+'Avg Week Palabek-Atiak'!K34</f>
        <v>0</v>
      </c>
      <c r="L34" s="49">
        <f>'Avg Week Atiak-Palabek'!L34+'Avg Week Palabek-Atiak'!L34</f>
        <v>0</v>
      </c>
      <c r="M34" s="49">
        <f>'Avg Week Atiak-Palabek'!M34+'Avg Week Palabek-Atiak'!M34</f>
        <v>9</v>
      </c>
      <c r="N34" s="49">
        <f>'Avg Week Atiak-Palabek'!N34+'Avg Week Palabek-Atiak'!N34</f>
        <v>0</v>
      </c>
      <c r="O34" s="15">
        <f t="shared" si="0"/>
        <v>2</v>
      </c>
      <c r="P34" s="15">
        <f t="shared" si="1"/>
        <v>11</v>
      </c>
      <c r="R34" s="51" t="s">
        <v>90</v>
      </c>
      <c r="S34" s="52">
        <f t="shared" ref="S34:AF34" si="26">MAX(S10:S12)</f>
        <v>0.2857142857142857</v>
      </c>
      <c r="T34" s="52">
        <f t="shared" si="26"/>
        <v>0</v>
      </c>
      <c r="U34" s="52">
        <f t="shared" si="26"/>
        <v>1.1428571428571428</v>
      </c>
      <c r="V34" s="52">
        <f t="shared" si="26"/>
        <v>1.714285714285714</v>
      </c>
      <c r="W34" s="52">
        <f t="shared" si="26"/>
        <v>0</v>
      </c>
      <c r="X34" s="52">
        <f t="shared" si="26"/>
        <v>0.2857142857142857</v>
      </c>
      <c r="Y34" s="52">
        <f t="shared" si="26"/>
        <v>2.1428571428571428</v>
      </c>
      <c r="Z34" s="52">
        <f t="shared" si="26"/>
        <v>0</v>
      </c>
      <c r="AA34" s="52">
        <f t="shared" si="26"/>
        <v>0</v>
      </c>
      <c r="AB34" s="52">
        <f t="shared" si="26"/>
        <v>1.7142857142857142</v>
      </c>
      <c r="AC34" s="52">
        <f t="shared" si="26"/>
        <v>36.571428571428569</v>
      </c>
      <c r="AD34" s="52">
        <f t="shared" si="26"/>
        <v>0</v>
      </c>
      <c r="AE34" s="40">
        <f t="shared" si="26"/>
        <v>7.1428571428571432</v>
      </c>
      <c r="AF34" s="40">
        <f t="shared" si="26"/>
        <v>43.714285714285708</v>
      </c>
    </row>
    <row r="35" spans="2:32" ht="23.1" customHeight="1" x14ac:dyDescent="0.25">
      <c r="B35" s="24" t="s">
        <v>62</v>
      </c>
      <c r="C35" s="49">
        <f>'Avg Week Atiak-Palabek'!C35+'Avg Week Palabek-Atiak'!C35</f>
        <v>0</v>
      </c>
      <c r="D35" s="49">
        <f>'Avg Week Atiak-Palabek'!D35+'Avg Week Palabek-Atiak'!D35</f>
        <v>0</v>
      </c>
      <c r="E35" s="49">
        <f>'Avg Week Atiak-Palabek'!E35+'Avg Week Palabek-Atiak'!E35</f>
        <v>0</v>
      </c>
      <c r="F35" s="49">
        <f>'Avg Week Atiak-Palabek'!F35+'Avg Week Palabek-Atiak'!F35</f>
        <v>0.5714285714285714</v>
      </c>
      <c r="G35" s="49">
        <f>'Avg Week Atiak-Palabek'!G35+'Avg Week Palabek-Atiak'!G35</f>
        <v>0</v>
      </c>
      <c r="H35" s="49">
        <f>'Avg Week Atiak-Palabek'!H35+'Avg Week Palabek-Atiak'!H35</f>
        <v>0</v>
      </c>
      <c r="I35" s="49">
        <f>'Avg Week Atiak-Palabek'!I35+'Avg Week Palabek-Atiak'!I35</f>
        <v>0.5714285714285714</v>
      </c>
      <c r="J35" s="49">
        <f>'Avg Week Atiak-Palabek'!J35+'Avg Week Palabek-Atiak'!J35</f>
        <v>0.2857142857142857</v>
      </c>
      <c r="K35" s="49">
        <f>'Avg Week Atiak-Palabek'!K35+'Avg Week Palabek-Atiak'!K35</f>
        <v>0</v>
      </c>
      <c r="L35" s="49">
        <f>'Avg Week Atiak-Palabek'!L35+'Avg Week Palabek-Atiak'!L35</f>
        <v>0.5714285714285714</v>
      </c>
      <c r="M35" s="49">
        <f>'Avg Week Atiak-Palabek'!M35+'Avg Week Palabek-Atiak'!M35</f>
        <v>7</v>
      </c>
      <c r="N35" s="49">
        <f>'Avg Week Atiak-Palabek'!N35+'Avg Week Palabek-Atiak'!N35</f>
        <v>0</v>
      </c>
      <c r="O35" s="15">
        <f t="shared" si="0"/>
        <v>1.9999999999999998</v>
      </c>
      <c r="P35" s="15">
        <f t="shared" si="1"/>
        <v>9</v>
      </c>
      <c r="R35" s="51" t="s">
        <v>91</v>
      </c>
      <c r="S35" s="52">
        <f t="shared" ref="S35:AF35" si="27">MAX(S13:S18)</f>
        <v>1.1428571428571428</v>
      </c>
      <c r="T35" s="52">
        <f t="shared" si="27"/>
        <v>0</v>
      </c>
      <c r="U35" s="52">
        <f t="shared" si="27"/>
        <v>3.1428571428571428</v>
      </c>
      <c r="V35" s="52">
        <f t="shared" si="27"/>
        <v>3.7142857142857144</v>
      </c>
      <c r="W35" s="52">
        <f t="shared" si="27"/>
        <v>0</v>
      </c>
      <c r="X35" s="52">
        <f t="shared" si="27"/>
        <v>0.71428571428571419</v>
      </c>
      <c r="Y35" s="52">
        <f t="shared" si="27"/>
        <v>4.4285714285714288</v>
      </c>
      <c r="Z35" s="52">
        <f t="shared" si="27"/>
        <v>0.71428571428571419</v>
      </c>
      <c r="AA35" s="52">
        <f t="shared" si="27"/>
        <v>0.14285714285714285</v>
      </c>
      <c r="AB35" s="52">
        <f t="shared" si="27"/>
        <v>2.714285714285714</v>
      </c>
      <c r="AC35" s="52">
        <f t="shared" si="27"/>
        <v>36.714285714285715</v>
      </c>
      <c r="AD35" s="52">
        <f t="shared" si="27"/>
        <v>0</v>
      </c>
      <c r="AE35" s="40">
        <f t="shared" si="27"/>
        <v>12.142857142857142</v>
      </c>
      <c r="AF35" s="40">
        <f t="shared" si="27"/>
        <v>47.285714285714285</v>
      </c>
    </row>
    <row r="36" spans="2:32" ht="23.1" customHeight="1" x14ac:dyDescent="0.25">
      <c r="B36" s="24" t="s">
        <v>63</v>
      </c>
      <c r="C36" s="49">
        <f>'Avg Week Atiak-Palabek'!C36+'Avg Week Palabek-Atiak'!C36</f>
        <v>0</v>
      </c>
      <c r="D36" s="49">
        <f>'Avg Week Atiak-Palabek'!D36+'Avg Week Palabek-Atiak'!D36</f>
        <v>0</v>
      </c>
      <c r="E36" s="49">
        <f>'Avg Week Atiak-Palabek'!E36+'Avg Week Palabek-Atiak'!E36</f>
        <v>2.1428571428571428</v>
      </c>
      <c r="F36" s="49">
        <f>'Avg Week Atiak-Palabek'!F36+'Avg Week Palabek-Atiak'!F36</f>
        <v>0</v>
      </c>
      <c r="G36" s="49">
        <f>'Avg Week Atiak-Palabek'!G36+'Avg Week Palabek-Atiak'!G36</f>
        <v>0</v>
      </c>
      <c r="H36" s="49">
        <f>'Avg Week Atiak-Palabek'!H36+'Avg Week Palabek-Atiak'!H36</f>
        <v>0</v>
      </c>
      <c r="I36" s="49">
        <f>'Avg Week Atiak-Palabek'!I36+'Avg Week Palabek-Atiak'!I36</f>
        <v>0</v>
      </c>
      <c r="J36" s="49">
        <f>'Avg Week Atiak-Palabek'!J36+'Avg Week Palabek-Atiak'!J36</f>
        <v>0</v>
      </c>
      <c r="K36" s="49">
        <f>'Avg Week Atiak-Palabek'!K36+'Avg Week Palabek-Atiak'!K36</f>
        <v>0</v>
      </c>
      <c r="L36" s="49">
        <f>'Avg Week Atiak-Palabek'!L36+'Avg Week Palabek-Atiak'!L36</f>
        <v>0.2857142857142857</v>
      </c>
      <c r="M36" s="49">
        <f>'Avg Week Atiak-Palabek'!M36+'Avg Week Palabek-Atiak'!M36</f>
        <v>8.1428571428571423</v>
      </c>
      <c r="N36" s="49">
        <f>'Avg Week Atiak-Palabek'!N36+'Avg Week Palabek-Atiak'!N36</f>
        <v>0</v>
      </c>
      <c r="O36" s="15">
        <f t="shared" si="0"/>
        <v>2.4285714285714284</v>
      </c>
      <c r="P36" s="15">
        <f t="shared" si="1"/>
        <v>10.571428571428571</v>
      </c>
      <c r="R36" s="51" t="s">
        <v>92</v>
      </c>
      <c r="S36" s="52">
        <f t="shared" ref="S36:AF36" si="28">MAX(S19:S21)</f>
        <v>1</v>
      </c>
      <c r="T36" s="52">
        <f t="shared" si="28"/>
        <v>0</v>
      </c>
      <c r="U36" s="52">
        <f t="shared" si="28"/>
        <v>4.5714285714285712</v>
      </c>
      <c r="V36" s="52">
        <f t="shared" si="28"/>
        <v>3</v>
      </c>
      <c r="W36" s="52">
        <f t="shared" si="28"/>
        <v>0.2857142857142857</v>
      </c>
      <c r="X36" s="52">
        <f t="shared" si="28"/>
        <v>0</v>
      </c>
      <c r="Y36" s="52">
        <f t="shared" si="28"/>
        <v>2.2857142857142856</v>
      </c>
      <c r="Z36" s="52">
        <f t="shared" si="28"/>
        <v>0.14285714285714285</v>
      </c>
      <c r="AA36" s="52">
        <f t="shared" si="28"/>
        <v>0.2857142857142857</v>
      </c>
      <c r="AB36" s="52">
        <f t="shared" si="28"/>
        <v>1.2857142857142856</v>
      </c>
      <c r="AC36" s="52">
        <f t="shared" si="28"/>
        <v>34.285714285714292</v>
      </c>
      <c r="AD36" s="52">
        <f t="shared" si="28"/>
        <v>0</v>
      </c>
      <c r="AE36" s="40">
        <f t="shared" si="28"/>
        <v>10.428571428571427</v>
      </c>
      <c r="AF36" s="40">
        <f t="shared" si="28"/>
        <v>44.142857142857139</v>
      </c>
    </row>
    <row r="37" spans="2:32" ht="23.1" customHeight="1" x14ac:dyDescent="0.25">
      <c r="B37" s="23" t="s">
        <v>64</v>
      </c>
      <c r="C37" s="49">
        <f>'Avg Week Atiak-Palabek'!C37+'Avg Week Palabek-Atiak'!C37</f>
        <v>0.14285714285714285</v>
      </c>
      <c r="D37" s="49">
        <f>'Avg Week Atiak-Palabek'!D37+'Avg Week Palabek-Atiak'!D37</f>
        <v>0</v>
      </c>
      <c r="E37" s="49">
        <f>'Avg Week Atiak-Palabek'!E37+'Avg Week Palabek-Atiak'!E37</f>
        <v>0</v>
      </c>
      <c r="F37" s="49">
        <f>'Avg Week Atiak-Palabek'!F37+'Avg Week Palabek-Atiak'!F37</f>
        <v>0.2857142857142857</v>
      </c>
      <c r="G37" s="49">
        <f>'Avg Week Atiak-Palabek'!G37+'Avg Week Palabek-Atiak'!G37</f>
        <v>0</v>
      </c>
      <c r="H37" s="49">
        <f>'Avg Week Atiak-Palabek'!H37+'Avg Week Palabek-Atiak'!H37</f>
        <v>0</v>
      </c>
      <c r="I37" s="49">
        <f>'Avg Week Atiak-Palabek'!I37+'Avg Week Palabek-Atiak'!I37</f>
        <v>0.5714285714285714</v>
      </c>
      <c r="J37" s="49">
        <f>'Avg Week Atiak-Palabek'!J37+'Avg Week Palabek-Atiak'!J37</f>
        <v>0</v>
      </c>
      <c r="K37" s="49">
        <f>'Avg Week Atiak-Palabek'!K37+'Avg Week Palabek-Atiak'!K37</f>
        <v>0</v>
      </c>
      <c r="L37" s="49">
        <f>'Avg Week Atiak-Palabek'!L37+'Avg Week Palabek-Atiak'!L37</f>
        <v>0.14285714285714285</v>
      </c>
      <c r="M37" s="49">
        <f>'Avg Week Atiak-Palabek'!M37+'Avg Week Palabek-Atiak'!M37</f>
        <v>7.2857142857142865</v>
      </c>
      <c r="N37" s="49">
        <f>'Avg Week Atiak-Palabek'!N37+'Avg Week Palabek-Atiak'!N37</f>
        <v>0</v>
      </c>
      <c r="O37" s="15">
        <f t="shared" si="0"/>
        <v>1.1428571428571428</v>
      </c>
      <c r="P37" s="15">
        <f t="shared" si="1"/>
        <v>8.4285714285714288</v>
      </c>
      <c r="R37" s="37" t="s">
        <v>85</v>
      </c>
      <c r="S37" s="35">
        <f t="shared" ref="S37:AF37" si="29">SUM(S10:S12)</f>
        <v>0.42857142857142855</v>
      </c>
      <c r="T37" s="16">
        <f t="shared" si="29"/>
        <v>0</v>
      </c>
      <c r="U37" s="16">
        <f t="shared" si="29"/>
        <v>1.4285714285714284</v>
      </c>
      <c r="V37" s="16">
        <f t="shared" si="29"/>
        <v>2.2857142857142856</v>
      </c>
      <c r="W37" s="16">
        <f t="shared" si="29"/>
        <v>0</v>
      </c>
      <c r="X37" s="16">
        <f t="shared" si="29"/>
        <v>0.2857142857142857</v>
      </c>
      <c r="Y37" s="16">
        <f t="shared" si="29"/>
        <v>4.2857142857142856</v>
      </c>
      <c r="Z37" s="16">
        <f t="shared" si="29"/>
        <v>0</v>
      </c>
      <c r="AA37" s="16">
        <f t="shared" si="29"/>
        <v>0</v>
      </c>
      <c r="AB37" s="16">
        <f t="shared" si="29"/>
        <v>2.8571428571428568</v>
      </c>
      <c r="AC37" s="16">
        <f t="shared" si="29"/>
        <v>70.571428571428569</v>
      </c>
      <c r="AD37" s="16">
        <f t="shared" si="29"/>
        <v>0</v>
      </c>
      <c r="AE37" s="32">
        <f t="shared" si="29"/>
        <v>11.571428571428571</v>
      </c>
      <c r="AF37" s="32">
        <f t="shared" si="29"/>
        <v>82.142857142857139</v>
      </c>
    </row>
    <row r="38" spans="2:32" ht="23.1" customHeight="1" x14ac:dyDescent="0.25">
      <c r="B38" s="24" t="s">
        <v>65</v>
      </c>
      <c r="C38" s="49">
        <f>'Avg Week Atiak-Palabek'!C38+'Avg Week Palabek-Atiak'!C38</f>
        <v>0.2857142857142857</v>
      </c>
      <c r="D38" s="49">
        <f>'Avg Week Atiak-Palabek'!D38+'Avg Week Palabek-Atiak'!D38</f>
        <v>0</v>
      </c>
      <c r="E38" s="49">
        <f>'Avg Week Atiak-Palabek'!E38+'Avg Week Palabek-Atiak'!E38</f>
        <v>0.2857142857142857</v>
      </c>
      <c r="F38" s="49">
        <f>'Avg Week Atiak-Palabek'!F38+'Avg Week Palabek-Atiak'!F38</f>
        <v>0.5714285714285714</v>
      </c>
      <c r="G38" s="49">
        <f>'Avg Week Atiak-Palabek'!G38+'Avg Week Palabek-Atiak'!G38</f>
        <v>0</v>
      </c>
      <c r="H38" s="49">
        <f>'Avg Week Atiak-Palabek'!H38+'Avg Week Palabek-Atiak'!H38</f>
        <v>0</v>
      </c>
      <c r="I38" s="49">
        <f>'Avg Week Atiak-Palabek'!I38+'Avg Week Palabek-Atiak'!I38</f>
        <v>1</v>
      </c>
      <c r="J38" s="49">
        <f>'Avg Week Atiak-Palabek'!J38+'Avg Week Palabek-Atiak'!J38</f>
        <v>0</v>
      </c>
      <c r="K38" s="49">
        <f>'Avg Week Atiak-Palabek'!K38+'Avg Week Palabek-Atiak'!K38</f>
        <v>0</v>
      </c>
      <c r="L38" s="49">
        <f>'Avg Week Atiak-Palabek'!L38+'Avg Week Palabek-Atiak'!L38</f>
        <v>0</v>
      </c>
      <c r="M38" s="49">
        <f>'Avg Week Atiak-Palabek'!M38+'Avg Week Palabek-Atiak'!M38</f>
        <v>10.428571428571429</v>
      </c>
      <c r="N38" s="49">
        <f>'Avg Week Atiak-Palabek'!N38+'Avg Week Palabek-Atiak'!N38</f>
        <v>0</v>
      </c>
      <c r="O38" s="15">
        <f t="shared" si="0"/>
        <v>2.1428571428571428</v>
      </c>
      <c r="P38" s="15">
        <f t="shared" si="1"/>
        <v>12.571428571428571</v>
      </c>
      <c r="R38" s="28" t="s">
        <v>86</v>
      </c>
      <c r="S38" s="16">
        <f t="shared" ref="S38:AF38" si="30">SUM(S13:S18)</f>
        <v>3.4285714285714284</v>
      </c>
      <c r="T38" s="16">
        <f t="shared" si="30"/>
        <v>0</v>
      </c>
      <c r="U38" s="16">
        <f t="shared" si="30"/>
        <v>12.857142857142858</v>
      </c>
      <c r="V38" s="16">
        <f t="shared" si="30"/>
        <v>10.857142857142856</v>
      </c>
      <c r="W38" s="16">
        <f t="shared" si="30"/>
        <v>0</v>
      </c>
      <c r="X38" s="16">
        <f t="shared" si="30"/>
        <v>0.71428571428571419</v>
      </c>
      <c r="Y38" s="16">
        <f t="shared" si="30"/>
        <v>18.523809523809526</v>
      </c>
      <c r="Z38" s="16">
        <f t="shared" si="30"/>
        <v>0.99999999999999989</v>
      </c>
      <c r="AA38" s="16">
        <f t="shared" si="30"/>
        <v>0.2857142857142857</v>
      </c>
      <c r="AB38" s="16">
        <f t="shared" si="30"/>
        <v>10.428571428571427</v>
      </c>
      <c r="AC38" s="16">
        <f t="shared" si="30"/>
        <v>195</v>
      </c>
      <c r="AD38" s="16">
        <f t="shared" si="30"/>
        <v>0</v>
      </c>
      <c r="AE38" s="32">
        <f t="shared" si="30"/>
        <v>58.095238095238088</v>
      </c>
      <c r="AF38" s="32">
        <f t="shared" si="30"/>
        <v>253.09523809523807</v>
      </c>
    </row>
    <row r="39" spans="2:32" ht="23.1" customHeight="1" x14ac:dyDescent="0.25">
      <c r="B39" s="24" t="s">
        <v>66</v>
      </c>
      <c r="C39" s="49">
        <f>'Avg Week Atiak-Palabek'!C39+'Avg Week Palabek-Atiak'!C39</f>
        <v>0.2857142857142857</v>
      </c>
      <c r="D39" s="49">
        <f>'Avg Week Atiak-Palabek'!D39+'Avg Week Palabek-Atiak'!D39</f>
        <v>0</v>
      </c>
      <c r="E39" s="49">
        <f>'Avg Week Atiak-Palabek'!E39+'Avg Week Palabek-Atiak'!E39</f>
        <v>0.71428571428571419</v>
      </c>
      <c r="F39" s="49">
        <f>'Avg Week Atiak-Palabek'!F39+'Avg Week Palabek-Atiak'!F39</f>
        <v>0.8571428571428571</v>
      </c>
      <c r="G39" s="49">
        <f>'Avg Week Atiak-Palabek'!G39+'Avg Week Palabek-Atiak'!G39</f>
        <v>0</v>
      </c>
      <c r="H39" s="49">
        <f>'Avg Week Atiak-Palabek'!H39+'Avg Week Palabek-Atiak'!H39</f>
        <v>0</v>
      </c>
      <c r="I39" s="49">
        <f>'Avg Week Atiak-Palabek'!I39+'Avg Week Palabek-Atiak'!I39</f>
        <v>0.2857142857142857</v>
      </c>
      <c r="J39" s="49">
        <f>'Avg Week Atiak-Palabek'!J39+'Avg Week Palabek-Atiak'!J39</f>
        <v>0</v>
      </c>
      <c r="K39" s="49">
        <f>'Avg Week Atiak-Palabek'!K39+'Avg Week Palabek-Atiak'!K39</f>
        <v>0</v>
      </c>
      <c r="L39" s="49">
        <f>'Avg Week Atiak-Palabek'!L39+'Avg Week Palabek-Atiak'!L39</f>
        <v>1.2857142857142858</v>
      </c>
      <c r="M39" s="49">
        <f>'Avg Week Atiak-Palabek'!M39+'Avg Week Palabek-Atiak'!M39</f>
        <v>8.5714285714285712</v>
      </c>
      <c r="N39" s="49">
        <f>'Avg Week Atiak-Palabek'!N39+'Avg Week Palabek-Atiak'!N39</f>
        <v>0</v>
      </c>
      <c r="O39" s="15">
        <f t="shared" si="0"/>
        <v>3.4285714285714288</v>
      </c>
      <c r="P39" s="15">
        <f t="shared" si="1"/>
        <v>12</v>
      </c>
      <c r="R39" s="29" t="s">
        <v>87</v>
      </c>
      <c r="S39" s="16">
        <f t="shared" ref="S39:AF39" si="31">SUM(S19:S21)</f>
        <v>1.857142857142857</v>
      </c>
      <c r="T39" s="16">
        <f t="shared" si="31"/>
        <v>0</v>
      </c>
      <c r="U39" s="16">
        <f t="shared" si="31"/>
        <v>6</v>
      </c>
      <c r="V39" s="16">
        <f t="shared" si="31"/>
        <v>5.5714285714285712</v>
      </c>
      <c r="W39" s="16">
        <f t="shared" si="31"/>
        <v>0.2857142857142857</v>
      </c>
      <c r="X39" s="16">
        <f t="shared" si="31"/>
        <v>0</v>
      </c>
      <c r="Y39" s="16">
        <f t="shared" si="31"/>
        <v>5</v>
      </c>
      <c r="Z39" s="16">
        <f t="shared" si="31"/>
        <v>0.14285714285714285</v>
      </c>
      <c r="AA39" s="16">
        <f t="shared" si="31"/>
        <v>0.2857142857142857</v>
      </c>
      <c r="AB39" s="16">
        <f t="shared" si="31"/>
        <v>3.5714285714285712</v>
      </c>
      <c r="AC39" s="16">
        <f t="shared" si="31"/>
        <v>97.142857142857139</v>
      </c>
      <c r="AD39" s="16">
        <f t="shared" si="31"/>
        <v>0</v>
      </c>
      <c r="AE39" s="32">
        <f t="shared" si="31"/>
        <v>22.714285714285712</v>
      </c>
      <c r="AF39" s="32">
        <f t="shared" si="31"/>
        <v>119.85714285714283</v>
      </c>
    </row>
    <row r="40" spans="2:32" ht="23.1" customHeight="1" x14ac:dyDescent="0.25">
      <c r="B40" s="24" t="s">
        <v>67</v>
      </c>
      <c r="C40" s="49">
        <f>'Avg Week Atiak-Palabek'!C40+'Avg Week Palabek-Atiak'!C40</f>
        <v>0.2857142857142857</v>
      </c>
      <c r="D40" s="49">
        <f>'Avg Week Atiak-Palabek'!D40+'Avg Week Palabek-Atiak'!D40</f>
        <v>0</v>
      </c>
      <c r="E40" s="49">
        <f>'Avg Week Atiak-Palabek'!E40+'Avg Week Palabek-Atiak'!E40</f>
        <v>0.5714285714285714</v>
      </c>
      <c r="F40" s="49">
        <f>'Avg Week Atiak-Palabek'!F40+'Avg Week Palabek-Atiak'!F40</f>
        <v>0.2857142857142857</v>
      </c>
      <c r="G40" s="49">
        <f>'Avg Week Atiak-Palabek'!G40+'Avg Week Palabek-Atiak'!G40</f>
        <v>0</v>
      </c>
      <c r="H40" s="49">
        <f>'Avg Week Atiak-Palabek'!H40+'Avg Week Palabek-Atiak'!H40</f>
        <v>0</v>
      </c>
      <c r="I40" s="49">
        <f>'Avg Week Atiak-Palabek'!I40+'Avg Week Palabek-Atiak'!I40</f>
        <v>2.1428571428571428</v>
      </c>
      <c r="J40" s="49">
        <f>'Avg Week Atiak-Palabek'!J40+'Avg Week Palabek-Atiak'!J40</f>
        <v>0</v>
      </c>
      <c r="K40" s="49">
        <f>'Avg Week Atiak-Palabek'!K40+'Avg Week Palabek-Atiak'!K40</f>
        <v>0</v>
      </c>
      <c r="L40" s="49">
        <f>'Avg Week Atiak-Palabek'!L40+'Avg Week Palabek-Atiak'!L40</f>
        <v>0</v>
      </c>
      <c r="M40" s="49">
        <f>'Avg Week Atiak-Palabek'!M40+'Avg Week Palabek-Atiak'!M40</f>
        <v>9.1428571428571423</v>
      </c>
      <c r="N40" s="49">
        <f>'Avg Week Atiak-Palabek'!N40+'Avg Week Palabek-Atiak'!N40</f>
        <v>0</v>
      </c>
      <c r="O40" s="15">
        <f t="shared" si="0"/>
        <v>3.2857142857142856</v>
      </c>
      <c r="P40" s="15">
        <f t="shared" si="1"/>
        <v>12.428571428571427</v>
      </c>
      <c r="R40" s="5" t="s">
        <v>17</v>
      </c>
      <c r="S40" s="16">
        <f t="shared" ref="S40:AF40" si="32">SUM(S10:S21)</f>
        <v>5.7142857142857144</v>
      </c>
      <c r="T40" s="16">
        <f t="shared" si="32"/>
        <v>0</v>
      </c>
      <c r="U40" s="16">
        <f t="shared" si="32"/>
        <v>20.285714285714285</v>
      </c>
      <c r="V40" s="16">
        <f t="shared" si="32"/>
        <v>18.714285714285712</v>
      </c>
      <c r="W40" s="16">
        <f t="shared" si="32"/>
        <v>0.2857142857142857</v>
      </c>
      <c r="X40" s="16">
        <f t="shared" si="32"/>
        <v>0.99999999999999989</v>
      </c>
      <c r="Y40" s="16">
        <f t="shared" si="32"/>
        <v>27.809523809523807</v>
      </c>
      <c r="Z40" s="16">
        <f t="shared" si="32"/>
        <v>1.1428571428571428</v>
      </c>
      <c r="AA40" s="16">
        <f t="shared" si="32"/>
        <v>0.5714285714285714</v>
      </c>
      <c r="AB40" s="16">
        <f t="shared" si="32"/>
        <v>16.857142857142854</v>
      </c>
      <c r="AC40" s="16">
        <f t="shared" si="32"/>
        <v>362.71428571428572</v>
      </c>
      <c r="AD40" s="16">
        <f t="shared" si="32"/>
        <v>0</v>
      </c>
      <c r="AE40" s="32">
        <f t="shared" si="32"/>
        <v>92.38095238095238</v>
      </c>
      <c r="AF40" s="32">
        <f t="shared" si="32"/>
        <v>455.09523809523807</v>
      </c>
    </row>
    <row r="41" spans="2:32" ht="23.1" customHeight="1" x14ac:dyDescent="0.25">
      <c r="B41" s="23" t="s">
        <v>68</v>
      </c>
      <c r="C41" s="49">
        <f>'Avg Week Atiak-Palabek'!C41+'Avg Week Palabek-Atiak'!C41</f>
        <v>0.2857142857142857</v>
      </c>
      <c r="D41" s="49">
        <f>'Avg Week Atiak-Palabek'!D41+'Avg Week Palabek-Atiak'!D41</f>
        <v>0</v>
      </c>
      <c r="E41" s="49">
        <f>'Avg Week Atiak-Palabek'!E41+'Avg Week Palabek-Atiak'!E41</f>
        <v>0.42857142857142855</v>
      </c>
      <c r="F41" s="49">
        <f>'Avg Week Atiak-Palabek'!F41+'Avg Week Palabek-Atiak'!F41</f>
        <v>0</v>
      </c>
      <c r="G41" s="49">
        <f>'Avg Week Atiak-Palabek'!G41+'Avg Week Palabek-Atiak'!G41</f>
        <v>0</v>
      </c>
      <c r="H41" s="49">
        <f>'Avg Week Atiak-Palabek'!H41+'Avg Week Palabek-Atiak'!H41</f>
        <v>0</v>
      </c>
      <c r="I41" s="49">
        <f>'Avg Week Atiak-Palabek'!I41+'Avg Week Palabek-Atiak'!I41</f>
        <v>1</v>
      </c>
      <c r="J41" s="49">
        <f>'Avg Week Atiak-Palabek'!J41+'Avg Week Palabek-Atiak'!J41</f>
        <v>0</v>
      </c>
      <c r="K41" s="49">
        <f>'Avg Week Atiak-Palabek'!K41+'Avg Week Palabek-Atiak'!K41</f>
        <v>0</v>
      </c>
      <c r="L41" s="49">
        <f>'Avg Week Atiak-Palabek'!L41+'Avg Week Palabek-Atiak'!L41</f>
        <v>0</v>
      </c>
      <c r="M41" s="49">
        <f>'Avg Week Atiak-Palabek'!M41+'Avg Week Palabek-Atiak'!M41</f>
        <v>8.5714285714285712</v>
      </c>
      <c r="N41" s="49">
        <f>'Avg Week Atiak-Palabek'!N41+'Avg Week Palabek-Atiak'!N41</f>
        <v>0</v>
      </c>
      <c r="O41" s="15">
        <f t="shared" si="0"/>
        <v>1.7142857142857142</v>
      </c>
      <c r="P41" s="15">
        <f t="shared" si="1"/>
        <v>10.285714285714285</v>
      </c>
      <c r="R41" s="5" t="s">
        <v>174</v>
      </c>
      <c r="S41" s="16">
        <f>SUM(S10:S33)</f>
        <v>7.7142857142857144</v>
      </c>
      <c r="T41" s="16">
        <f t="shared" ref="T41:AD41" si="33">SUM(T10:T33)</f>
        <v>0</v>
      </c>
      <c r="U41" s="16">
        <f t="shared" si="33"/>
        <v>26.285714285714285</v>
      </c>
      <c r="V41" s="16">
        <f t="shared" si="33"/>
        <v>23.714285714285712</v>
      </c>
      <c r="W41" s="16">
        <f t="shared" si="33"/>
        <v>0.2857142857142857</v>
      </c>
      <c r="X41" s="16">
        <f t="shared" si="33"/>
        <v>2</v>
      </c>
      <c r="Y41" s="16">
        <f t="shared" si="33"/>
        <v>37.80952380952381</v>
      </c>
      <c r="Z41" s="16">
        <f t="shared" si="33"/>
        <v>1.1428571428571428</v>
      </c>
      <c r="AA41" s="16">
        <f t="shared" si="33"/>
        <v>0.5714285714285714</v>
      </c>
      <c r="AB41" s="16">
        <f t="shared" si="33"/>
        <v>16.857142857142854</v>
      </c>
      <c r="AC41" s="16">
        <f t="shared" si="33"/>
        <v>485.71428571428572</v>
      </c>
      <c r="AD41" s="16">
        <f t="shared" si="33"/>
        <v>0</v>
      </c>
      <c r="AE41" s="32">
        <f>SUM(AE10:AE33)</f>
        <v>116.38095238095238</v>
      </c>
      <c r="AF41" s="32">
        <f>SUM(AF10:AF33)</f>
        <v>602.09523809523807</v>
      </c>
    </row>
    <row r="42" spans="2:32" ht="23.1" customHeight="1" x14ac:dyDescent="0.25">
      <c r="B42" s="24" t="s">
        <v>69</v>
      </c>
      <c r="C42" s="49">
        <f>'Avg Week Atiak-Palabek'!C42+'Avg Week Palabek-Atiak'!C42</f>
        <v>0</v>
      </c>
      <c r="D42" s="49">
        <f>'Avg Week Atiak-Palabek'!D42+'Avg Week Palabek-Atiak'!D42</f>
        <v>0</v>
      </c>
      <c r="E42" s="49">
        <f>'Avg Week Atiak-Palabek'!E42+'Avg Week Palabek-Atiak'!E42</f>
        <v>0.71428571428571419</v>
      </c>
      <c r="F42" s="49">
        <f>'Avg Week Atiak-Palabek'!F42+'Avg Week Palabek-Atiak'!F42</f>
        <v>0.2857142857142857</v>
      </c>
      <c r="G42" s="49">
        <f>'Avg Week Atiak-Palabek'!G42+'Avg Week Palabek-Atiak'!G42</f>
        <v>0</v>
      </c>
      <c r="H42" s="49">
        <f>'Avg Week Atiak-Palabek'!H42+'Avg Week Palabek-Atiak'!H42</f>
        <v>0</v>
      </c>
      <c r="I42" s="49">
        <f>'Avg Week Atiak-Palabek'!I42+'Avg Week Palabek-Atiak'!I42</f>
        <v>0</v>
      </c>
      <c r="J42" s="49">
        <f>'Avg Week Atiak-Palabek'!J42+'Avg Week Palabek-Atiak'!J42</f>
        <v>0</v>
      </c>
      <c r="K42" s="49">
        <f>'Avg Week Atiak-Palabek'!K42+'Avg Week Palabek-Atiak'!K42</f>
        <v>0</v>
      </c>
      <c r="L42" s="49">
        <f>'Avg Week Atiak-Palabek'!L42+'Avg Week Palabek-Atiak'!L42</f>
        <v>0.42857142857142855</v>
      </c>
      <c r="M42" s="49">
        <f>'Avg Week Atiak-Palabek'!M42+'Avg Week Palabek-Atiak'!M42</f>
        <v>6.7142857142857144</v>
      </c>
      <c r="N42" s="49">
        <f>'Avg Week Atiak-Palabek'!N42+'Avg Week Palabek-Atiak'!N42</f>
        <v>0</v>
      </c>
      <c r="O42" s="15">
        <f t="shared" si="0"/>
        <v>1.4285714285714284</v>
      </c>
      <c r="P42" s="15">
        <f t="shared" si="1"/>
        <v>8.1428571428571423</v>
      </c>
      <c r="R42" s="5" t="s">
        <v>160</v>
      </c>
      <c r="S42" s="48">
        <f>S41/S40</f>
        <v>1.35</v>
      </c>
      <c r="T42" s="48" t="e">
        <f t="shared" ref="T42:AF42" si="34">T41/T40</f>
        <v>#DIV/0!</v>
      </c>
      <c r="U42" s="48">
        <f t="shared" si="34"/>
        <v>1.295774647887324</v>
      </c>
      <c r="V42" s="48">
        <f t="shared" si="34"/>
        <v>1.2671755725190841</v>
      </c>
      <c r="W42" s="48">
        <f t="shared" si="34"/>
        <v>1</v>
      </c>
      <c r="X42" s="48">
        <f t="shared" si="34"/>
        <v>2.0000000000000004</v>
      </c>
      <c r="Y42" s="48">
        <f t="shared" si="34"/>
        <v>1.3595890410958906</v>
      </c>
      <c r="Z42" s="48">
        <f t="shared" si="34"/>
        <v>1</v>
      </c>
      <c r="AA42" s="48">
        <f t="shared" si="34"/>
        <v>1</v>
      </c>
      <c r="AB42" s="48">
        <f t="shared" si="34"/>
        <v>1</v>
      </c>
      <c r="AC42" s="48">
        <f t="shared" si="34"/>
        <v>1.3391098857818038</v>
      </c>
      <c r="AD42" s="48" t="e">
        <f t="shared" si="34"/>
        <v>#DIV/0!</v>
      </c>
      <c r="AE42" s="53">
        <f t="shared" si="34"/>
        <v>1.2597938144329897</v>
      </c>
      <c r="AF42" s="53">
        <f t="shared" si="34"/>
        <v>1.323009312545778</v>
      </c>
    </row>
    <row r="43" spans="2:32" ht="23.1" customHeight="1" x14ac:dyDescent="0.25">
      <c r="B43" s="23" t="s">
        <v>70</v>
      </c>
      <c r="C43" s="49">
        <f>'Avg Week Atiak-Palabek'!C43+'Avg Week Palabek-Atiak'!C43</f>
        <v>0</v>
      </c>
      <c r="D43" s="49">
        <f>'Avg Week Atiak-Palabek'!D43+'Avg Week Palabek-Atiak'!D43</f>
        <v>0</v>
      </c>
      <c r="E43" s="49">
        <f>'Avg Week Atiak-Palabek'!E43+'Avg Week Palabek-Atiak'!E43</f>
        <v>0.42857142857142855</v>
      </c>
      <c r="F43" s="49">
        <f>'Avg Week Atiak-Palabek'!F43+'Avg Week Palabek-Atiak'!F43</f>
        <v>0.42857142857142855</v>
      </c>
      <c r="G43" s="49">
        <f>'Avg Week Atiak-Palabek'!G43+'Avg Week Palabek-Atiak'!G43</f>
        <v>0</v>
      </c>
      <c r="H43" s="49">
        <f>'Avg Week Atiak-Palabek'!H43+'Avg Week Palabek-Atiak'!H43</f>
        <v>0</v>
      </c>
      <c r="I43" s="49">
        <f>'Avg Week Atiak-Palabek'!I43+'Avg Week Palabek-Atiak'!I43</f>
        <v>0.80952380952380953</v>
      </c>
      <c r="J43" s="49">
        <f>'Avg Week Atiak-Palabek'!J43+'Avg Week Palabek-Atiak'!J43</f>
        <v>0</v>
      </c>
      <c r="K43" s="49">
        <f>'Avg Week Atiak-Palabek'!K43+'Avg Week Palabek-Atiak'!K43</f>
        <v>0</v>
      </c>
      <c r="L43" s="49">
        <f>'Avg Week Atiak-Palabek'!L43+'Avg Week Palabek-Atiak'!L43</f>
        <v>0</v>
      </c>
      <c r="M43" s="49">
        <f>'Avg Week Atiak-Palabek'!M43+'Avg Week Palabek-Atiak'!M43</f>
        <v>8.4285714285714288</v>
      </c>
      <c r="N43" s="49">
        <f>'Avg Week Atiak-Palabek'!N43+'Avg Week Palabek-Atiak'!N43</f>
        <v>0</v>
      </c>
      <c r="O43" s="15">
        <f t="shared" si="0"/>
        <v>1.6666666666666665</v>
      </c>
      <c r="P43" s="15">
        <f t="shared" si="1"/>
        <v>10.095238095238095</v>
      </c>
    </row>
    <row r="44" spans="2:32" ht="23.1" customHeight="1" x14ac:dyDescent="0.25">
      <c r="B44" s="25" t="s">
        <v>71</v>
      </c>
      <c r="C44" s="49">
        <f>'Avg Week Atiak-Palabek'!C44+'Avg Week Palabek-Atiak'!C44</f>
        <v>0.2857142857142857</v>
      </c>
      <c r="D44" s="49">
        <f>'Avg Week Atiak-Palabek'!D44+'Avg Week Palabek-Atiak'!D44</f>
        <v>0</v>
      </c>
      <c r="E44" s="49">
        <f>'Avg Week Atiak-Palabek'!E44+'Avg Week Palabek-Atiak'!E44</f>
        <v>0</v>
      </c>
      <c r="F44" s="49">
        <f>'Avg Week Atiak-Palabek'!F44+'Avg Week Palabek-Atiak'!F44</f>
        <v>0</v>
      </c>
      <c r="G44" s="49">
        <f>'Avg Week Atiak-Palabek'!G44+'Avg Week Palabek-Atiak'!G44</f>
        <v>0</v>
      </c>
      <c r="H44" s="49">
        <f>'Avg Week Atiak-Palabek'!H44+'Avg Week Palabek-Atiak'!H44</f>
        <v>0</v>
      </c>
      <c r="I44" s="49">
        <f>'Avg Week Atiak-Palabek'!I44+'Avg Week Palabek-Atiak'!I44</f>
        <v>0.42857142857142855</v>
      </c>
      <c r="J44" s="49">
        <f>'Avg Week Atiak-Palabek'!J44+'Avg Week Palabek-Atiak'!J44</f>
        <v>0.42857142857142855</v>
      </c>
      <c r="K44" s="49">
        <f>'Avg Week Atiak-Palabek'!K44+'Avg Week Palabek-Atiak'!K44</f>
        <v>0</v>
      </c>
      <c r="L44" s="49">
        <f>'Avg Week Atiak-Palabek'!L44+'Avg Week Palabek-Atiak'!L44</f>
        <v>0.5714285714285714</v>
      </c>
      <c r="M44" s="49">
        <f>'Avg Week Atiak-Palabek'!M44+'Avg Week Palabek-Atiak'!M44</f>
        <v>6.1428571428571423</v>
      </c>
      <c r="N44" s="49">
        <f>'Avg Week Atiak-Palabek'!N44+'Avg Week Palabek-Atiak'!N44</f>
        <v>0</v>
      </c>
      <c r="O44" s="15">
        <f t="shared" si="0"/>
        <v>1.7142857142857142</v>
      </c>
      <c r="P44" s="15">
        <f t="shared" si="1"/>
        <v>7.8571428571428568</v>
      </c>
    </row>
    <row r="45" spans="2:32" ht="23.1" customHeight="1" x14ac:dyDescent="0.25">
      <c r="B45" s="23" t="s">
        <v>72</v>
      </c>
      <c r="C45" s="49">
        <f>'Avg Week Atiak-Palabek'!C45+'Avg Week Palabek-Atiak'!C45</f>
        <v>0</v>
      </c>
      <c r="D45" s="49">
        <f>'Avg Week Atiak-Palabek'!D45+'Avg Week Palabek-Atiak'!D45</f>
        <v>0</v>
      </c>
      <c r="E45" s="49">
        <f>'Avg Week Atiak-Palabek'!E45+'Avg Week Palabek-Atiak'!E45</f>
        <v>0.14285714285714285</v>
      </c>
      <c r="F45" s="49">
        <f>'Avg Week Atiak-Palabek'!F45+'Avg Week Palabek-Atiak'!F45</f>
        <v>0.8571428571428571</v>
      </c>
      <c r="G45" s="49">
        <f>'Avg Week Atiak-Palabek'!G45+'Avg Week Palabek-Atiak'!G45</f>
        <v>0</v>
      </c>
      <c r="H45" s="49">
        <f>'Avg Week Atiak-Palabek'!H45+'Avg Week Palabek-Atiak'!H45</f>
        <v>0.71428571428571419</v>
      </c>
      <c r="I45" s="49">
        <f>'Avg Week Atiak-Palabek'!I45+'Avg Week Palabek-Atiak'!I45</f>
        <v>0.8571428571428571</v>
      </c>
      <c r="J45" s="49">
        <f>'Avg Week Atiak-Palabek'!J45+'Avg Week Palabek-Atiak'!J45</f>
        <v>0.2857142857142857</v>
      </c>
      <c r="K45" s="49">
        <f>'Avg Week Atiak-Palabek'!K45+'Avg Week Palabek-Atiak'!K45</f>
        <v>0</v>
      </c>
      <c r="L45" s="49">
        <f>'Avg Week Atiak-Palabek'!L45+'Avg Week Palabek-Atiak'!L45</f>
        <v>0.7142857142857143</v>
      </c>
      <c r="M45" s="49">
        <f>'Avg Week Atiak-Palabek'!M45+'Avg Week Palabek-Atiak'!M45</f>
        <v>7.5714285714285712</v>
      </c>
      <c r="N45" s="49">
        <f>'Avg Week Atiak-Palabek'!N45+'Avg Week Palabek-Atiak'!N45</f>
        <v>0</v>
      </c>
      <c r="O45" s="15">
        <f t="shared" si="0"/>
        <v>3.5714285714285712</v>
      </c>
      <c r="P45" s="15">
        <f t="shared" si="1"/>
        <v>11.142857142857142</v>
      </c>
    </row>
    <row r="46" spans="2:32" ht="23.1" customHeight="1" x14ac:dyDescent="0.25">
      <c r="B46" s="24" t="s">
        <v>73</v>
      </c>
      <c r="C46" s="49">
        <f>'Avg Week Atiak-Palabek'!C46+'Avg Week Palabek-Atiak'!C46</f>
        <v>0.2857142857142857</v>
      </c>
      <c r="D46" s="49">
        <f>'Avg Week Atiak-Palabek'!D46+'Avg Week Palabek-Atiak'!D46</f>
        <v>0</v>
      </c>
      <c r="E46" s="49">
        <f>'Avg Week Atiak-Palabek'!E46+'Avg Week Palabek-Atiak'!E46</f>
        <v>0.5714285714285714</v>
      </c>
      <c r="F46" s="49">
        <f>'Avg Week Atiak-Palabek'!F46+'Avg Week Palabek-Atiak'!F46</f>
        <v>0</v>
      </c>
      <c r="G46" s="49">
        <f>'Avg Week Atiak-Palabek'!G46+'Avg Week Palabek-Atiak'!G46</f>
        <v>0</v>
      </c>
      <c r="H46" s="49">
        <f>'Avg Week Atiak-Palabek'!H46+'Avg Week Palabek-Atiak'!H46</f>
        <v>0</v>
      </c>
      <c r="I46" s="49">
        <f>'Avg Week Atiak-Palabek'!I46+'Avg Week Palabek-Atiak'!I46</f>
        <v>0.5714285714285714</v>
      </c>
      <c r="J46" s="49">
        <f>'Avg Week Atiak-Palabek'!J46+'Avg Week Palabek-Atiak'!J46</f>
        <v>0</v>
      </c>
      <c r="K46" s="49">
        <f>'Avg Week Atiak-Palabek'!K46+'Avg Week Palabek-Atiak'!K46</f>
        <v>0.2857142857142857</v>
      </c>
      <c r="L46" s="49">
        <f>'Avg Week Atiak-Palabek'!L46+'Avg Week Palabek-Atiak'!L46</f>
        <v>0</v>
      </c>
      <c r="M46" s="49">
        <f>'Avg Week Atiak-Palabek'!M46+'Avg Week Palabek-Atiak'!M46</f>
        <v>9.5714285714285712</v>
      </c>
      <c r="N46" s="49">
        <f>'Avg Week Atiak-Palabek'!N46+'Avg Week Palabek-Atiak'!N46</f>
        <v>0</v>
      </c>
      <c r="O46" s="15">
        <f t="shared" si="0"/>
        <v>1.714285714285714</v>
      </c>
      <c r="P46" s="15">
        <f t="shared" si="1"/>
        <v>11.285714285714285</v>
      </c>
      <c r="R46" s="8"/>
      <c r="T46"/>
    </row>
    <row r="47" spans="2:32" ht="23.1" customHeight="1" x14ac:dyDescent="0.25">
      <c r="B47" s="24" t="s">
        <v>74</v>
      </c>
      <c r="C47" s="49">
        <f>'Avg Week Atiak-Palabek'!C47+'Avg Week Palabek-Atiak'!C47</f>
        <v>0.2857142857142857</v>
      </c>
      <c r="D47" s="49">
        <f>'Avg Week Atiak-Palabek'!D47+'Avg Week Palabek-Atiak'!D47</f>
        <v>0</v>
      </c>
      <c r="E47" s="49">
        <f>'Avg Week Atiak-Palabek'!E47+'Avg Week Palabek-Atiak'!E47</f>
        <v>0</v>
      </c>
      <c r="F47" s="49">
        <f>'Avg Week Atiak-Palabek'!F47+'Avg Week Palabek-Atiak'!F47</f>
        <v>0.5714285714285714</v>
      </c>
      <c r="G47" s="49">
        <f>'Avg Week Atiak-Palabek'!G47+'Avg Week Palabek-Atiak'!G47</f>
        <v>0</v>
      </c>
      <c r="H47" s="49">
        <f>'Avg Week Atiak-Palabek'!H47+'Avg Week Palabek-Atiak'!H47</f>
        <v>0</v>
      </c>
      <c r="I47" s="49">
        <f>'Avg Week Atiak-Palabek'!I47+'Avg Week Palabek-Atiak'!I47</f>
        <v>0.5714285714285714</v>
      </c>
      <c r="J47" s="49">
        <f>'Avg Week Atiak-Palabek'!J47+'Avg Week Palabek-Atiak'!J47</f>
        <v>0</v>
      </c>
      <c r="K47" s="49">
        <f>'Avg Week Atiak-Palabek'!K47+'Avg Week Palabek-Atiak'!K47</f>
        <v>0</v>
      </c>
      <c r="L47" s="49">
        <f>'Avg Week Atiak-Palabek'!L47+'Avg Week Palabek-Atiak'!L47</f>
        <v>0</v>
      </c>
      <c r="M47" s="49">
        <f>'Avg Week Atiak-Palabek'!M47+'Avg Week Palabek-Atiak'!M47</f>
        <v>7.1428571428571432</v>
      </c>
      <c r="N47" s="49">
        <f>'Avg Week Atiak-Palabek'!N47+'Avg Week Palabek-Atiak'!N47</f>
        <v>0</v>
      </c>
      <c r="O47" s="15">
        <f t="shared" si="0"/>
        <v>1.4285714285714284</v>
      </c>
      <c r="P47" s="15">
        <f t="shared" si="1"/>
        <v>8.5714285714285712</v>
      </c>
      <c r="R47" s="8"/>
      <c r="T47"/>
    </row>
    <row r="48" spans="2:32" ht="23.1" customHeight="1" x14ac:dyDescent="0.25">
      <c r="B48" s="24" t="s">
        <v>75</v>
      </c>
      <c r="C48" s="49">
        <f>'Avg Week Atiak-Palabek'!C48+'Avg Week Palabek-Atiak'!C48</f>
        <v>0.14285714285714285</v>
      </c>
      <c r="D48" s="49">
        <f>'Avg Week Atiak-Palabek'!D48+'Avg Week Palabek-Atiak'!D48</f>
        <v>0</v>
      </c>
      <c r="E48" s="49">
        <f>'Avg Week Atiak-Palabek'!E48+'Avg Week Palabek-Atiak'!E48</f>
        <v>0.14285714285714285</v>
      </c>
      <c r="F48" s="49">
        <f>'Avg Week Atiak-Palabek'!F48+'Avg Week Palabek-Atiak'!F48</f>
        <v>0.8571428571428571</v>
      </c>
      <c r="G48" s="49">
        <f>'Avg Week Atiak-Palabek'!G48+'Avg Week Palabek-Atiak'!G48</f>
        <v>0</v>
      </c>
      <c r="H48" s="49">
        <f>'Avg Week Atiak-Palabek'!H48+'Avg Week Palabek-Atiak'!H48</f>
        <v>0</v>
      </c>
      <c r="I48" s="49">
        <f>'Avg Week Atiak-Palabek'!I48+'Avg Week Palabek-Atiak'!I48</f>
        <v>0.2857142857142857</v>
      </c>
      <c r="J48" s="49">
        <f>'Avg Week Atiak-Palabek'!J48+'Avg Week Palabek-Atiak'!J48</f>
        <v>0</v>
      </c>
      <c r="K48" s="49">
        <f>'Avg Week Atiak-Palabek'!K48+'Avg Week Palabek-Atiak'!K48</f>
        <v>0</v>
      </c>
      <c r="L48" s="49">
        <f>'Avg Week Atiak-Palabek'!L48+'Avg Week Palabek-Atiak'!L48</f>
        <v>0.7142857142857143</v>
      </c>
      <c r="M48" s="49">
        <f>'Avg Week Atiak-Palabek'!M48+'Avg Week Palabek-Atiak'!M48</f>
        <v>8.7142857142857153</v>
      </c>
      <c r="N48" s="49">
        <f>'Avg Week Atiak-Palabek'!N48+'Avg Week Palabek-Atiak'!N48</f>
        <v>0</v>
      </c>
      <c r="O48" s="15">
        <f t="shared" si="0"/>
        <v>2.1428571428571428</v>
      </c>
      <c r="P48" s="15">
        <f t="shared" si="1"/>
        <v>10.857142857142858</v>
      </c>
      <c r="R48" s="8"/>
      <c r="T48"/>
    </row>
    <row r="49" spans="2:20" ht="23.1" customHeight="1" x14ac:dyDescent="0.25">
      <c r="B49" s="23" t="s">
        <v>76</v>
      </c>
      <c r="C49" s="49">
        <f>'Avg Week Atiak-Palabek'!C49+'Avg Week Palabek-Atiak'!C49</f>
        <v>0</v>
      </c>
      <c r="D49" s="49">
        <f>'Avg Week Atiak-Palabek'!D49+'Avg Week Palabek-Atiak'!D49</f>
        <v>0</v>
      </c>
      <c r="E49" s="49">
        <f>'Avg Week Atiak-Palabek'!E49+'Avg Week Palabek-Atiak'!E49</f>
        <v>0</v>
      </c>
      <c r="F49" s="49">
        <f>'Avg Week Atiak-Palabek'!F49+'Avg Week Palabek-Atiak'!F49</f>
        <v>0</v>
      </c>
      <c r="G49" s="49">
        <f>'Avg Week Atiak-Palabek'!G49+'Avg Week Palabek-Atiak'!G49</f>
        <v>0</v>
      </c>
      <c r="H49" s="49">
        <f>'Avg Week Atiak-Palabek'!H49+'Avg Week Palabek-Atiak'!H49</f>
        <v>0</v>
      </c>
      <c r="I49" s="49">
        <f>'Avg Week Atiak-Palabek'!I49+'Avg Week Palabek-Atiak'!I49</f>
        <v>0.14285714285714285</v>
      </c>
      <c r="J49" s="49">
        <f>'Avg Week Atiak-Palabek'!J49+'Avg Week Palabek-Atiak'!J49</f>
        <v>0</v>
      </c>
      <c r="K49" s="49">
        <f>'Avg Week Atiak-Palabek'!K49+'Avg Week Palabek-Atiak'!K49</f>
        <v>0</v>
      </c>
      <c r="L49" s="49">
        <f>'Avg Week Atiak-Palabek'!L49+'Avg Week Palabek-Atiak'!L49</f>
        <v>0.5714285714285714</v>
      </c>
      <c r="M49" s="49">
        <f>'Avg Week Atiak-Palabek'!M49+'Avg Week Palabek-Atiak'!M49</f>
        <v>8.8571428571428577</v>
      </c>
      <c r="N49" s="49">
        <f>'Avg Week Atiak-Palabek'!N49+'Avg Week Palabek-Atiak'!N49</f>
        <v>0</v>
      </c>
      <c r="O49" s="15">
        <f t="shared" si="0"/>
        <v>0.71428571428571419</v>
      </c>
      <c r="P49" s="15">
        <f t="shared" si="1"/>
        <v>9.5714285714285712</v>
      </c>
      <c r="R49" s="8"/>
      <c r="T49"/>
    </row>
    <row r="50" spans="2:20" ht="23.1" customHeight="1" x14ac:dyDescent="0.25">
      <c r="B50" s="24" t="s">
        <v>77</v>
      </c>
      <c r="C50" s="49">
        <f>'Avg Week Atiak-Palabek'!C50+'Avg Week Palabek-Atiak'!C50</f>
        <v>0</v>
      </c>
      <c r="D50" s="49">
        <f>'Avg Week Atiak-Palabek'!D50+'Avg Week Palabek-Atiak'!D50</f>
        <v>0</v>
      </c>
      <c r="E50" s="49">
        <f>'Avg Week Atiak-Palabek'!E50+'Avg Week Palabek-Atiak'!E50</f>
        <v>2</v>
      </c>
      <c r="F50" s="49">
        <f>'Avg Week Atiak-Palabek'!F50+'Avg Week Palabek-Atiak'!F50</f>
        <v>0.2857142857142857</v>
      </c>
      <c r="G50" s="49">
        <f>'Avg Week Atiak-Palabek'!G50+'Avg Week Palabek-Atiak'!G50</f>
        <v>0</v>
      </c>
      <c r="H50" s="49">
        <f>'Avg Week Atiak-Palabek'!H50+'Avg Week Palabek-Atiak'!H50</f>
        <v>0</v>
      </c>
      <c r="I50" s="49">
        <f>'Avg Week Atiak-Palabek'!I50+'Avg Week Palabek-Atiak'!I50</f>
        <v>0.2857142857142857</v>
      </c>
      <c r="J50" s="49">
        <f>'Avg Week Atiak-Palabek'!J50+'Avg Week Palabek-Atiak'!J50</f>
        <v>0.14285714285714285</v>
      </c>
      <c r="K50" s="49">
        <f>'Avg Week Atiak-Palabek'!K50+'Avg Week Palabek-Atiak'!K50</f>
        <v>0</v>
      </c>
      <c r="L50" s="49">
        <f>'Avg Week Atiak-Palabek'!L50+'Avg Week Palabek-Atiak'!L50</f>
        <v>0</v>
      </c>
      <c r="M50" s="49">
        <f>'Avg Week Atiak-Palabek'!M50+'Avg Week Palabek-Atiak'!M50</f>
        <v>8.5714285714285712</v>
      </c>
      <c r="N50" s="49">
        <f>'Avg Week Atiak-Palabek'!N50+'Avg Week Palabek-Atiak'!N50</f>
        <v>0</v>
      </c>
      <c r="O50" s="15">
        <f t="shared" si="0"/>
        <v>2.714285714285714</v>
      </c>
      <c r="P50" s="15">
        <f t="shared" si="1"/>
        <v>11.285714285714285</v>
      </c>
      <c r="R50" s="8"/>
      <c r="T50"/>
    </row>
    <row r="51" spans="2:20" ht="23.1" customHeight="1" x14ac:dyDescent="0.25">
      <c r="B51" s="24" t="s">
        <v>78</v>
      </c>
      <c r="C51" s="49">
        <f>'Avg Week Atiak-Palabek'!C51+'Avg Week Palabek-Atiak'!C51</f>
        <v>0.14285714285714285</v>
      </c>
      <c r="D51" s="49">
        <f>'Avg Week Atiak-Palabek'!D51+'Avg Week Palabek-Atiak'!D51</f>
        <v>0</v>
      </c>
      <c r="E51" s="49">
        <f>'Avg Week Atiak-Palabek'!E51+'Avg Week Palabek-Atiak'!E51</f>
        <v>1.5714285714285714</v>
      </c>
      <c r="F51" s="49">
        <f>'Avg Week Atiak-Palabek'!F51+'Avg Week Palabek-Atiak'!F51</f>
        <v>0</v>
      </c>
      <c r="G51" s="49">
        <f>'Avg Week Atiak-Palabek'!G51+'Avg Week Palabek-Atiak'!G51</f>
        <v>0</v>
      </c>
      <c r="H51" s="49">
        <f>'Avg Week Atiak-Palabek'!H51+'Avg Week Palabek-Atiak'!H51</f>
        <v>0</v>
      </c>
      <c r="I51" s="49">
        <f>'Avg Week Atiak-Palabek'!I51+'Avg Week Palabek-Atiak'!I51</f>
        <v>0.5714285714285714</v>
      </c>
      <c r="J51" s="49">
        <f>'Avg Week Atiak-Palabek'!J51+'Avg Week Palabek-Atiak'!J51</f>
        <v>0</v>
      </c>
      <c r="K51" s="49">
        <f>'Avg Week Atiak-Palabek'!K51+'Avg Week Palabek-Atiak'!K51</f>
        <v>0</v>
      </c>
      <c r="L51" s="49">
        <f>'Avg Week Atiak-Palabek'!L51+'Avg Week Palabek-Atiak'!L51</f>
        <v>0.8571428571428571</v>
      </c>
      <c r="M51" s="49">
        <f>'Avg Week Atiak-Palabek'!M51+'Avg Week Palabek-Atiak'!M51</f>
        <v>7.7142857142857153</v>
      </c>
      <c r="N51" s="49">
        <f>'Avg Week Atiak-Palabek'!N51+'Avg Week Palabek-Atiak'!N51</f>
        <v>0</v>
      </c>
      <c r="O51" s="15">
        <f t="shared" si="0"/>
        <v>3.1428571428571428</v>
      </c>
      <c r="P51" s="15">
        <f t="shared" si="1"/>
        <v>10.857142857142858</v>
      </c>
      <c r="R51" s="8"/>
      <c r="T51"/>
    </row>
    <row r="52" spans="2:20" ht="23.1" customHeight="1" x14ac:dyDescent="0.25">
      <c r="B52" s="24" t="s">
        <v>79</v>
      </c>
      <c r="C52" s="49">
        <f>'Avg Week Atiak-Palabek'!C52+'Avg Week Palabek-Atiak'!C52</f>
        <v>0</v>
      </c>
      <c r="D52" s="49">
        <f>'Avg Week Atiak-Palabek'!D52+'Avg Week Palabek-Atiak'!D52</f>
        <v>0</v>
      </c>
      <c r="E52" s="49">
        <f>'Avg Week Atiak-Palabek'!E52+'Avg Week Palabek-Atiak'!E52</f>
        <v>0.2857142857142857</v>
      </c>
      <c r="F52" s="49">
        <f>'Avg Week Atiak-Palabek'!F52+'Avg Week Palabek-Atiak'!F52</f>
        <v>0.5714285714285714</v>
      </c>
      <c r="G52" s="49">
        <f>'Avg Week Atiak-Palabek'!G52+'Avg Week Palabek-Atiak'!G52</f>
        <v>0</v>
      </c>
      <c r="H52" s="49">
        <f>'Avg Week Atiak-Palabek'!H52+'Avg Week Palabek-Atiak'!H52</f>
        <v>0</v>
      </c>
      <c r="I52" s="49">
        <f>'Avg Week Atiak-Palabek'!I52+'Avg Week Palabek-Atiak'!I52</f>
        <v>1.1428571428571428</v>
      </c>
      <c r="J52" s="49">
        <f>'Avg Week Atiak-Palabek'!J52+'Avg Week Palabek-Atiak'!J52</f>
        <v>0</v>
      </c>
      <c r="K52" s="49">
        <f>'Avg Week Atiak-Palabek'!K52+'Avg Week Palabek-Atiak'!K52</f>
        <v>0</v>
      </c>
      <c r="L52" s="49">
        <f>'Avg Week Atiak-Palabek'!L52+'Avg Week Palabek-Atiak'!L52</f>
        <v>0.42857142857142855</v>
      </c>
      <c r="M52" s="49">
        <f>'Avg Week Atiak-Palabek'!M52+'Avg Week Palabek-Atiak'!M52</f>
        <v>8.1428571428571423</v>
      </c>
      <c r="N52" s="49">
        <f>'Avg Week Atiak-Palabek'!N52+'Avg Week Palabek-Atiak'!N52</f>
        <v>0</v>
      </c>
      <c r="O52" s="15">
        <f t="shared" si="0"/>
        <v>2.4285714285714284</v>
      </c>
      <c r="P52" s="15">
        <f t="shared" si="1"/>
        <v>10.571428571428571</v>
      </c>
      <c r="R52" s="8"/>
      <c r="T52"/>
    </row>
    <row r="53" spans="2:20" ht="23.1" customHeight="1" x14ac:dyDescent="0.25">
      <c r="B53" s="23" t="s">
        <v>80</v>
      </c>
      <c r="C53" s="49">
        <f>'Avg Week Atiak-Palabek'!C53+'Avg Week Palabek-Atiak'!C53</f>
        <v>0.8571428571428571</v>
      </c>
      <c r="D53" s="49">
        <f>'Avg Week Atiak-Palabek'!D53+'Avg Week Palabek-Atiak'!D53</f>
        <v>0</v>
      </c>
      <c r="E53" s="49">
        <f>'Avg Week Atiak-Palabek'!E53+'Avg Week Palabek-Atiak'!E53</f>
        <v>0.71428571428571419</v>
      </c>
      <c r="F53" s="49">
        <f>'Avg Week Atiak-Palabek'!F53+'Avg Week Palabek-Atiak'!F53</f>
        <v>0.2857142857142857</v>
      </c>
      <c r="G53" s="49">
        <f>'Avg Week Atiak-Palabek'!G53+'Avg Week Palabek-Atiak'!G53</f>
        <v>0</v>
      </c>
      <c r="H53" s="49">
        <f>'Avg Week Atiak-Palabek'!H53+'Avg Week Palabek-Atiak'!H53</f>
        <v>0</v>
      </c>
      <c r="I53" s="49">
        <f>'Avg Week Atiak-Palabek'!I53+'Avg Week Palabek-Atiak'!I53</f>
        <v>0.2857142857142857</v>
      </c>
      <c r="J53" s="49">
        <f>'Avg Week Atiak-Palabek'!J53+'Avg Week Palabek-Atiak'!J53</f>
        <v>0</v>
      </c>
      <c r="K53" s="49">
        <f>'Avg Week Atiak-Palabek'!K53+'Avg Week Palabek-Atiak'!K53</f>
        <v>0</v>
      </c>
      <c r="L53" s="49">
        <f>'Avg Week Atiak-Palabek'!L53+'Avg Week Palabek-Atiak'!L53</f>
        <v>0</v>
      </c>
      <c r="M53" s="49">
        <f>'Avg Week Atiak-Palabek'!M53+'Avg Week Palabek-Atiak'!M53</f>
        <v>9.2857142857142847</v>
      </c>
      <c r="N53" s="49">
        <f>'Avg Week Atiak-Palabek'!N53+'Avg Week Palabek-Atiak'!N53</f>
        <v>0</v>
      </c>
      <c r="O53" s="15">
        <f t="shared" si="0"/>
        <v>2.1428571428571423</v>
      </c>
      <c r="P53" s="15">
        <f t="shared" si="1"/>
        <v>11.428571428571427</v>
      </c>
      <c r="R53" s="8"/>
      <c r="T53"/>
    </row>
    <row r="54" spans="2:20" ht="23.1" customHeight="1" x14ac:dyDescent="0.25">
      <c r="B54" s="23" t="s">
        <v>81</v>
      </c>
      <c r="C54" s="49">
        <f>'Avg Week Atiak-Palabek'!C54+'Avg Week Palabek-Atiak'!C54</f>
        <v>0.14285714285714285</v>
      </c>
      <c r="D54" s="49">
        <f>'Avg Week Atiak-Palabek'!D54+'Avg Week Palabek-Atiak'!D54</f>
        <v>0</v>
      </c>
      <c r="E54" s="49">
        <f>'Avg Week Atiak-Palabek'!E54+'Avg Week Palabek-Atiak'!E54</f>
        <v>0</v>
      </c>
      <c r="F54" s="49">
        <f>'Avg Week Atiak-Palabek'!F54+'Avg Week Palabek-Atiak'!F54</f>
        <v>0.8571428571428571</v>
      </c>
      <c r="G54" s="49">
        <f>'Avg Week Atiak-Palabek'!G54+'Avg Week Palabek-Atiak'!G54</f>
        <v>0</v>
      </c>
      <c r="H54" s="49">
        <f>'Avg Week Atiak-Palabek'!H54+'Avg Week Palabek-Atiak'!H54</f>
        <v>0</v>
      </c>
      <c r="I54" s="49">
        <f>'Avg Week Atiak-Palabek'!I54+'Avg Week Palabek-Atiak'!I54</f>
        <v>0</v>
      </c>
      <c r="J54" s="49">
        <f>'Avg Week Atiak-Palabek'!J54+'Avg Week Palabek-Atiak'!J54</f>
        <v>0</v>
      </c>
      <c r="K54" s="49">
        <f>'Avg Week Atiak-Palabek'!K54+'Avg Week Palabek-Atiak'!K54</f>
        <v>0</v>
      </c>
      <c r="L54" s="49">
        <f>'Avg Week Atiak-Palabek'!L54+'Avg Week Palabek-Atiak'!L54</f>
        <v>0.2857142857142857</v>
      </c>
      <c r="M54" s="49">
        <f>'Avg Week Atiak-Palabek'!M54+'Avg Week Palabek-Atiak'!M54</f>
        <v>7.8571428571428577</v>
      </c>
      <c r="N54" s="49">
        <f>'Avg Week Atiak-Palabek'!N54+'Avg Week Palabek-Atiak'!N54</f>
        <v>0</v>
      </c>
      <c r="O54" s="15">
        <f t="shared" si="0"/>
        <v>1.2857142857142856</v>
      </c>
      <c r="P54" s="15">
        <f t="shared" si="1"/>
        <v>9.1428571428571423</v>
      </c>
      <c r="R54" s="8"/>
      <c r="T54"/>
    </row>
    <row r="55" spans="2:20" ht="23.1" customHeight="1" x14ac:dyDescent="0.25">
      <c r="B55" s="23" t="s">
        <v>82</v>
      </c>
      <c r="C55" s="49">
        <f>'Avg Week Atiak-Palabek'!C55+'Avg Week Palabek-Atiak'!C55</f>
        <v>0</v>
      </c>
      <c r="D55" s="49">
        <f>'Avg Week Atiak-Palabek'!D55+'Avg Week Palabek-Atiak'!D55</f>
        <v>0</v>
      </c>
      <c r="E55" s="49">
        <f>'Avg Week Atiak-Palabek'!E55+'Avg Week Palabek-Atiak'!E55</f>
        <v>0.2857142857142857</v>
      </c>
      <c r="F55" s="49">
        <f>'Avg Week Atiak-Palabek'!F55+'Avg Week Palabek-Atiak'!F55</f>
        <v>0.5714285714285714</v>
      </c>
      <c r="G55" s="49">
        <f>'Avg Week Atiak-Palabek'!G55+'Avg Week Palabek-Atiak'!G55</f>
        <v>0</v>
      </c>
      <c r="H55" s="49">
        <f>'Avg Week Atiak-Palabek'!H55+'Avg Week Palabek-Atiak'!H55</f>
        <v>0</v>
      </c>
      <c r="I55" s="49">
        <f>'Avg Week Atiak-Palabek'!I55+'Avg Week Palabek-Atiak'!I55</f>
        <v>0.14285714285714285</v>
      </c>
      <c r="J55" s="49">
        <f>'Avg Week Atiak-Palabek'!J55+'Avg Week Palabek-Atiak'!J55</f>
        <v>0</v>
      </c>
      <c r="K55" s="49">
        <f>'Avg Week Atiak-Palabek'!K55+'Avg Week Palabek-Atiak'!K55</f>
        <v>0</v>
      </c>
      <c r="L55" s="49">
        <f>'Avg Week Atiak-Palabek'!L55+'Avg Week Palabek-Atiak'!L55</f>
        <v>0.14285714285714285</v>
      </c>
      <c r="M55" s="49">
        <f>'Avg Week Atiak-Palabek'!M55+'Avg Week Palabek-Atiak'!M55</f>
        <v>7.2857142857142865</v>
      </c>
      <c r="N55" s="49">
        <f>'Avg Week Atiak-Palabek'!N55+'Avg Week Palabek-Atiak'!N55</f>
        <v>0</v>
      </c>
      <c r="O55" s="15">
        <f t="shared" si="0"/>
        <v>1.1428571428571428</v>
      </c>
      <c r="P55" s="15">
        <f t="shared" si="1"/>
        <v>8.4285714285714288</v>
      </c>
      <c r="R55" s="8"/>
      <c r="T55"/>
    </row>
    <row r="56" spans="2:20" ht="23.1" customHeight="1" x14ac:dyDescent="0.25">
      <c r="B56" s="23" t="s">
        <v>83</v>
      </c>
      <c r="C56" s="49">
        <f>'Avg Week Atiak-Palabek'!C56+'Avg Week Palabek-Atiak'!C56</f>
        <v>0</v>
      </c>
      <c r="D56" s="49">
        <f>'Avg Week Atiak-Palabek'!D56+'Avg Week Palabek-Atiak'!D56</f>
        <v>0</v>
      </c>
      <c r="E56" s="49">
        <f>'Avg Week Atiak-Palabek'!E56+'Avg Week Palabek-Atiak'!E56</f>
        <v>0.2857142857142857</v>
      </c>
      <c r="F56" s="49">
        <f>'Avg Week Atiak-Palabek'!F56+'Avg Week Palabek-Atiak'!F56</f>
        <v>0</v>
      </c>
      <c r="G56" s="49">
        <f>'Avg Week Atiak-Palabek'!G56+'Avg Week Palabek-Atiak'!G56</f>
        <v>0</v>
      </c>
      <c r="H56" s="49">
        <f>'Avg Week Atiak-Palabek'!H56+'Avg Week Palabek-Atiak'!H56</f>
        <v>0</v>
      </c>
      <c r="I56" s="49">
        <f>'Avg Week Atiak-Palabek'!I56+'Avg Week Palabek-Atiak'!I56</f>
        <v>0.5714285714285714</v>
      </c>
      <c r="J56" s="49">
        <f>'Avg Week Atiak-Palabek'!J56+'Avg Week Palabek-Atiak'!J56</f>
        <v>0</v>
      </c>
      <c r="K56" s="49">
        <f>'Avg Week Atiak-Palabek'!K56+'Avg Week Palabek-Atiak'!K56</f>
        <v>0</v>
      </c>
      <c r="L56" s="49">
        <f>'Avg Week Atiak-Palabek'!L56+'Avg Week Palabek-Atiak'!L56</f>
        <v>0.2857142857142857</v>
      </c>
      <c r="M56" s="49">
        <f>'Avg Week Atiak-Palabek'!M56+'Avg Week Palabek-Atiak'!M56</f>
        <v>6.1428571428571432</v>
      </c>
      <c r="N56" s="49">
        <f>'Avg Week Atiak-Palabek'!N56+'Avg Week Palabek-Atiak'!N56</f>
        <v>0</v>
      </c>
      <c r="O56" s="15">
        <f t="shared" si="0"/>
        <v>1.1428571428571428</v>
      </c>
      <c r="P56" s="15">
        <f t="shared" si="1"/>
        <v>7.2857142857142865</v>
      </c>
      <c r="R56" s="8"/>
      <c r="T56"/>
    </row>
    <row r="57" spans="2:20" ht="23.1" customHeight="1" x14ac:dyDescent="0.25">
      <c r="B57" s="23" t="s">
        <v>84</v>
      </c>
      <c r="C57" s="49">
        <f>'Avg Week Atiak-Palabek'!C57+'Avg Week Palabek-Atiak'!C57</f>
        <v>0</v>
      </c>
      <c r="D57" s="49">
        <f>'Avg Week Atiak-Palabek'!D57+'Avg Week Palabek-Atiak'!D57</f>
        <v>0</v>
      </c>
      <c r="E57" s="49">
        <f>'Avg Week Atiak-Palabek'!E57+'Avg Week Palabek-Atiak'!E57</f>
        <v>0.14285714285714285</v>
      </c>
      <c r="F57" s="49">
        <f>'Avg Week Atiak-Palabek'!F57+'Avg Week Palabek-Atiak'!F57</f>
        <v>1.5714285714285714</v>
      </c>
      <c r="G57" s="49">
        <f>'Avg Week Atiak-Palabek'!G57+'Avg Week Palabek-Atiak'!G57</f>
        <v>0.2857142857142857</v>
      </c>
      <c r="H57" s="49">
        <f>'Avg Week Atiak-Palabek'!H57+'Avg Week Palabek-Atiak'!H57</f>
        <v>0</v>
      </c>
      <c r="I57" s="49">
        <f>'Avg Week Atiak-Palabek'!I57+'Avg Week Palabek-Atiak'!I57</f>
        <v>0.42857142857142855</v>
      </c>
      <c r="J57" s="49">
        <f>'Avg Week Atiak-Palabek'!J57+'Avg Week Palabek-Atiak'!J57</f>
        <v>0</v>
      </c>
      <c r="K57" s="49">
        <f>'Avg Week Atiak-Palabek'!K57+'Avg Week Palabek-Atiak'!K57</f>
        <v>0</v>
      </c>
      <c r="L57" s="49">
        <f>'Avg Week Atiak-Palabek'!L57+'Avg Week Palabek-Atiak'!L57</f>
        <v>0.2857142857142857</v>
      </c>
      <c r="M57" s="49">
        <f>'Avg Week Atiak-Palabek'!M57+'Avg Week Palabek-Atiak'!M57</f>
        <v>7.8571428571428577</v>
      </c>
      <c r="N57" s="49">
        <f>'Avg Week Atiak-Palabek'!N57+'Avg Week Palabek-Atiak'!N57</f>
        <v>0</v>
      </c>
      <c r="O57" s="15">
        <f t="shared" si="0"/>
        <v>2.714285714285714</v>
      </c>
      <c r="P57" s="15">
        <f t="shared" si="1"/>
        <v>10.571428571428571</v>
      </c>
      <c r="R57" s="8"/>
      <c r="T57"/>
    </row>
    <row r="58" spans="2:20" ht="23.1" customHeight="1" x14ac:dyDescent="0.25">
      <c r="B58" s="23" t="s">
        <v>99</v>
      </c>
      <c r="C58" s="49">
        <f>'Avg Week Atiak-Palabek'!C58+'Avg Week Palabek-Atiak'!C58</f>
        <v>0</v>
      </c>
      <c r="D58" s="49">
        <f>'Avg Week Atiak-Palabek'!D58+'Avg Week Palabek-Atiak'!D58</f>
        <v>0</v>
      </c>
      <c r="E58" s="49">
        <f>'Avg Week Atiak-Palabek'!E58+'Avg Week Palabek-Atiak'!E58</f>
        <v>0</v>
      </c>
      <c r="F58" s="49">
        <f>'Avg Week Atiak-Palabek'!F58+'Avg Week Palabek-Atiak'!F58</f>
        <v>1</v>
      </c>
      <c r="G58" s="49">
        <f>'Avg Week Atiak-Palabek'!G58+'Avg Week Palabek-Atiak'!G58</f>
        <v>0</v>
      </c>
      <c r="H58" s="49">
        <f>'Avg Week Atiak-Palabek'!H58+'Avg Week Palabek-Atiak'!H58</f>
        <v>0</v>
      </c>
      <c r="I58" s="49">
        <f>'Avg Week Atiak-Palabek'!I58+'Avg Week Palabek-Atiak'!I58</f>
        <v>0</v>
      </c>
      <c r="J58" s="49">
        <f>'Avg Week Atiak-Palabek'!J58+'Avg Week Palabek-Atiak'!J58</f>
        <v>0</v>
      </c>
      <c r="K58" s="49">
        <f>'Avg Week Atiak-Palabek'!K58+'Avg Week Palabek-Atiak'!K58</f>
        <v>0</v>
      </c>
      <c r="L58" s="49">
        <f>'Avg Week Atiak-Palabek'!L58+'Avg Week Palabek-Atiak'!L58</f>
        <v>0</v>
      </c>
      <c r="M58" s="49">
        <f>'Avg Week Atiak-Palabek'!M58+'Avg Week Palabek-Atiak'!M58</f>
        <v>9</v>
      </c>
      <c r="N58" s="49">
        <f>'Avg Week Atiak-Palabek'!N58+'Avg Week Palabek-Atiak'!N58</f>
        <v>0</v>
      </c>
      <c r="O58" s="15">
        <f t="shared" si="0"/>
        <v>1</v>
      </c>
      <c r="P58" s="15">
        <f t="shared" si="1"/>
        <v>10</v>
      </c>
      <c r="R58" s="8"/>
      <c r="T58"/>
    </row>
    <row r="59" spans="2:20" ht="23.1" customHeight="1" x14ac:dyDescent="0.25">
      <c r="B59" s="23" t="s">
        <v>100</v>
      </c>
      <c r="C59" s="49">
        <f>'Avg Week Atiak-Palabek'!C59+'Avg Week Palabek-Atiak'!C59</f>
        <v>0</v>
      </c>
      <c r="D59" s="49">
        <f>'Avg Week Atiak-Palabek'!D59+'Avg Week Palabek-Atiak'!D59</f>
        <v>0</v>
      </c>
      <c r="E59" s="49">
        <f>'Avg Week Atiak-Palabek'!E59+'Avg Week Palabek-Atiak'!E59</f>
        <v>0</v>
      </c>
      <c r="F59" s="49">
        <f>'Avg Week Atiak-Palabek'!F59+'Avg Week Palabek-Atiak'!F59</f>
        <v>1</v>
      </c>
      <c r="G59" s="49">
        <f>'Avg Week Atiak-Palabek'!G59+'Avg Week Palabek-Atiak'!G59</f>
        <v>0</v>
      </c>
      <c r="H59" s="49">
        <f>'Avg Week Atiak-Palabek'!H59+'Avg Week Palabek-Atiak'!H59</f>
        <v>0</v>
      </c>
      <c r="I59" s="49">
        <f>'Avg Week Atiak-Palabek'!I59+'Avg Week Palabek-Atiak'!I59</f>
        <v>1</v>
      </c>
      <c r="J59" s="49">
        <f>'Avg Week Atiak-Palabek'!J59+'Avg Week Palabek-Atiak'!J59</f>
        <v>0</v>
      </c>
      <c r="K59" s="49">
        <f>'Avg Week Atiak-Palabek'!K59+'Avg Week Palabek-Atiak'!K59</f>
        <v>0</v>
      </c>
      <c r="L59" s="49">
        <f>'Avg Week Atiak-Palabek'!L59+'Avg Week Palabek-Atiak'!L59</f>
        <v>0</v>
      </c>
      <c r="M59" s="49">
        <f>'Avg Week Atiak-Palabek'!M59+'Avg Week Palabek-Atiak'!M59</f>
        <v>11.5</v>
      </c>
      <c r="N59" s="49">
        <f>'Avg Week Atiak-Palabek'!N59+'Avg Week Palabek-Atiak'!N59</f>
        <v>0</v>
      </c>
      <c r="O59" s="15">
        <f t="shared" si="0"/>
        <v>2</v>
      </c>
      <c r="P59" s="15">
        <f t="shared" si="1"/>
        <v>13.5</v>
      </c>
      <c r="R59" s="8"/>
      <c r="T59"/>
    </row>
    <row r="60" spans="2:20" ht="23.1" customHeight="1" x14ac:dyDescent="0.25">
      <c r="B60" s="23" t="s">
        <v>101</v>
      </c>
      <c r="C60" s="49">
        <f>'Avg Week Atiak-Palabek'!C60+'Avg Week Palabek-Atiak'!C60</f>
        <v>0</v>
      </c>
      <c r="D60" s="49">
        <f>'Avg Week Atiak-Palabek'!D60+'Avg Week Palabek-Atiak'!D60</f>
        <v>0</v>
      </c>
      <c r="E60" s="49">
        <f>'Avg Week Atiak-Palabek'!E60+'Avg Week Palabek-Atiak'!E60</f>
        <v>1</v>
      </c>
      <c r="F60" s="49">
        <f>'Avg Week Atiak-Palabek'!F60+'Avg Week Palabek-Atiak'!F60</f>
        <v>1</v>
      </c>
      <c r="G60" s="49">
        <f>'Avg Week Atiak-Palabek'!G60+'Avg Week Palabek-Atiak'!G60</f>
        <v>0</v>
      </c>
      <c r="H60" s="49">
        <f>'Avg Week Atiak-Palabek'!H60+'Avg Week Palabek-Atiak'!H60</f>
        <v>0</v>
      </c>
      <c r="I60" s="49">
        <f>'Avg Week Atiak-Palabek'!I60+'Avg Week Palabek-Atiak'!I60</f>
        <v>1</v>
      </c>
      <c r="J60" s="49">
        <f>'Avg Week Atiak-Palabek'!J60+'Avg Week Palabek-Atiak'!J60</f>
        <v>0</v>
      </c>
      <c r="K60" s="49">
        <f>'Avg Week Atiak-Palabek'!K60+'Avg Week Palabek-Atiak'!K60</f>
        <v>0</v>
      </c>
      <c r="L60" s="49">
        <f>'Avg Week Atiak-Palabek'!L60+'Avg Week Palabek-Atiak'!L60</f>
        <v>0</v>
      </c>
      <c r="M60" s="49">
        <f>'Avg Week Atiak-Palabek'!M60+'Avg Week Palabek-Atiak'!M60</f>
        <v>9.5</v>
      </c>
      <c r="N60" s="49">
        <f>'Avg Week Atiak-Palabek'!N60+'Avg Week Palabek-Atiak'!N60</f>
        <v>0</v>
      </c>
      <c r="O60" s="15">
        <f t="shared" si="0"/>
        <v>3</v>
      </c>
      <c r="P60" s="15">
        <f t="shared" si="1"/>
        <v>12.5</v>
      </c>
      <c r="R60" s="8"/>
      <c r="T60"/>
    </row>
    <row r="61" spans="2:20" ht="23.1" customHeight="1" x14ac:dyDescent="0.25">
      <c r="B61" s="23" t="s">
        <v>102</v>
      </c>
      <c r="C61" s="49">
        <f>'Avg Week Atiak-Palabek'!C61+'Avg Week Palabek-Atiak'!C61</f>
        <v>0</v>
      </c>
      <c r="D61" s="49">
        <f>'Avg Week Atiak-Palabek'!D61+'Avg Week Palabek-Atiak'!D61</f>
        <v>0</v>
      </c>
      <c r="E61" s="49">
        <f>'Avg Week Atiak-Palabek'!E61+'Avg Week Palabek-Atiak'!E61</f>
        <v>1</v>
      </c>
      <c r="F61" s="49">
        <f>'Avg Week Atiak-Palabek'!F61+'Avg Week Palabek-Atiak'!F61</f>
        <v>0</v>
      </c>
      <c r="G61" s="49">
        <f>'Avg Week Atiak-Palabek'!G61+'Avg Week Palabek-Atiak'!G61</f>
        <v>0</v>
      </c>
      <c r="H61" s="49">
        <f>'Avg Week Atiak-Palabek'!H61+'Avg Week Palabek-Atiak'!H61</f>
        <v>0</v>
      </c>
      <c r="I61" s="49">
        <f>'Avg Week Atiak-Palabek'!I61+'Avg Week Palabek-Atiak'!I61</f>
        <v>0</v>
      </c>
      <c r="J61" s="49">
        <f>'Avg Week Atiak-Palabek'!J61+'Avg Week Palabek-Atiak'!J61</f>
        <v>0</v>
      </c>
      <c r="K61" s="49">
        <f>'Avg Week Atiak-Palabek'!K61+'Avg Week Palabek-Atiak'!K61</f>
        <v>0</v>
      </c>
      <c r="L61" s="49">
        <f>'Avg Week Atiak-Palabek'!L61+'Avg Week Palabek-Atiak'!L61</f>
        <v>0</v>
      </c>
      <c r="M61" s="49">
        <f>'Avg Week Atiak-Palabek'!M61+'Avg Week Palabek-Atiak'!M61</f>
        <v>6</v>
      </c>
      <c r="N61" s="49">
        <f>'Avg Week Atiak-Palabek'!N61+'Avg Week Palabek-Atiak'!N61</f>
        <v>0</v>
      </c>
      <c r="O61" s="15">
        <f t="shared" si="0"/>
        <v>1</v>
      </c>
      <c r="P61" s="15">
        <f t="shared" si="1"/>
        <v>7</v>
      </c>
      <c r="R61" s="8"/>
      <c r="T61"/>
    </row>
    <row r="62" spans="2:20" ht="23.1" customHeight="1" x14ac:dyDescent="0.25">
      <c r="B62" s="23" t="s">
        <v>107</v>
      </c>
      <c r="C62" s="49">
        <f>'Avg Week Atiak-Palabek'!C62+'Avg Week Palabek-Atiak'!C62</f>
        <v>0</v>
      </c>
      <c r="D62" s="49">
        <f>'Avg Week Atiak-Palabek'!D62+'Avg Week Palabek-Atiak'!D62</f>
        <v>0</v>
      </c>
      <c r="E62" s="49">
        <f>'Avg Week Atiak-Palabek'!E62+'Avg Week Palabek-Atiak'!E62</f>
        <v>1</v>
      </c>
      <c r="F62" s="49">
        <f>'Avg Week Atiak-Palabek'!F62+'Avg Week Palabek-Atiak'!F62</f>
        <v>0</v>
      </c>
      <c r="G62" s="49">
        <f>'Avg Week Atiak-Palabek'!G62+'Avg Week Palabek-Atiak'!G62</f>
        <v>0</v>
      </c>
      <c r="H62" s="49">
        <f>'Avg Week Atiak-Palabek'!H62+'Avg Week Palabek-Atiak'!H62</f>
        <v>0</v>
      </c>
      <c r="I62" s="49">
        <f>'Avg Week Atiak-Palabek'!I62+'Avg Week Palabek-Atiak'!I62</f>
        <v>1</v>
      </c>
      <c r="J62" s="49">
        <f>'Avg Week Atiak-Palabek'!J62+'Avg Week Palabek-Atiak'!J62</f>
        <v>0</v>
      </c>
      <c r="K62" s="49">
        <f>'Avg Week Atiak-Palabek'!K62+'Avg Week Palabek-Atiak'!K62</f>
        <v>0</v>
      </c>
      <c r="L62" s="49">
        <f>'Avg Week Atiak-Palabek'!L62+'Avg Week Palabek-Atiak'!L62</f>
        <v>0</v>
      </c>
      <c r="M62" s="49">
        <f>'Avg Week Atiak-Palabek'!M62+'Avg Week Palabek-Atiak'!M62</f>
        <v>5.5</v>
      </c>
      <c r="N62" s="49">
        <f>'Avg Week Atiak-Palabek'!N62+'Avg Week Palabek-Atiak'!N62</f>
        <v>0</v>
      </c>
      <c r="O62" s="15">
        <f t="shared" si="0"/>
        <v>2</v>
      </c>
      <c r="P62" s="15">
        <f t="shared" si="1"/>
        <v>7.5</v>
      </c>
      <c r="R62" s="8"/>
      <c r="T62"/>
    </row>
    <row r="63" spans="2:20" ht="23.1" customHeight="1" x14ac:dyDescent="0.25">
      <c r="B63" s="23" t="s">
        <v>108</v>
      </c>
      <c r="C63" s="49">
        <f>'Avg Week Atiak-Palabek'!C63+'Avg Week Palabek-Atiak'!C63</f>
        <v>0</v>
      </c>
      <c r="D63" s="49">
        <f>'Avg Week Atiak-Palabek'!D63+'Avg Week Palabek-Atiak'!D63</f>
        <v>0</v>
      </c>
      <c r="E63" s="49">
        <f>'Avg Week Atiak-Palabek'!E63+'Avg Week Palabek-Atiak'!E63</f>
        <v>0</v>
      </c>
      <c r="F63" s="49">
        <f>'Avg Week Atiak-Palabek'!F63+'Avg Week Palabek-Atiak'!F63</f>
        <v>0</v>
      </c>
      <c r="G63" s="49">
        <f>'Avg Week Atiak-Palabek'!G63+'Avg Week Palabek-Atiak'!G63</f>
        <v>0</v>
      </c>
      <c r="H63" s="49">
        <f>'Avg Week Atiak-Palabek'!H63+'Avg Week Palabek-Atiak'!H63</f>
        <v>0</v>
      </c>
      <c r="I63" s="49">
        <f>'Avg Week Atiak-Palabek'!I63+'Avg Week Palabek-Atiak'!I63</f>
        <v>0</v>
      </c>
      <c r="J63" s="49">
        <f>'Avg Week Atiak-Palabek'!J63+'Avg Week Palabek-Atiak'!J63</f>
        <v>0</v>
      </c>
      <c r="K63" s="49">
        <f>'Avg Week Atiak-Palabek'!K63+'Avg Week Palabek-Atiak'!K63</f>
        <v>0</v>
      </c>
      <c r="L63" s="49">
        <f>'Avg Week Atiak-Palabek'!L63+'Avg Week Palabek-Atiak'!L63</f>
        <v>0</v>
      </c>
      <c r="M63" s="49">
        <f>'Avg Week Atiak-Palabek'!M63+'Avg Week Palabek-Atiak'!M63</f>
        <v>10.5</v>
      </c>
      <c r="N63" s="49">
        <f>'Avg Week Atiak-Palabek'!N63+'Avg Week Palabek-Atiak'!N63</f>
        <v>0</v>
      </c>
      <c r="O63" s="15">
        <f t="shared" si="0"/>
        <v>0</v>
      </c>
      <c r="P63" s="15">
        <f t="shared" si="1"/>
        <v>10.5</v>
      </c>
      <c r="R63" s="8"/>
      <c r="T63"/>
    </row>
    <row r="64" spans="2:20" ht="23.1" customHeight="1" x14ac:dyDescent="0.25">
      <c r="B64" s="23" t="s">
        <v>109</v>
      </c>
      <c r="C64" s="49">
        <f>'Avg Week Atiak-Palabek'!C64+'Avg Week Palabek-Atiak'!C64</f>
        <v>1</v>
      </c>
      <c r="D64" s="49">
        <f>'Avg Week Atiak-Palabek'!D64+'Avg Week Palabek-Atiak'!D64</f>
        <v>0</v>
      </c>
      <c r="E64" s="49">
        <f>'Avg Week Atiak-Palabek'!E64+'Avg Week Palabek-Atiak'!E64</f>
        <v>0</v>
      </c>
      <c r="F64" s="49">
        <f>'Avg Week Atiak-Palabek'!F64+'Avg Week Palabek-Atiak'!F64</f>
        <v>0</v>
      </c>
      <c r="G64" s="49">
        <f>'Avg Week Atiak-Palabek'!G64+'Avg Week Palabek-Atiak'!G64</f>
        <v>0</v>
      </c>
      <c r="H64" s="49">
        <f>'Avg Week Atiak-Palabek'!H64+'Avg Week Palabek-Atiak'!H64</f>
        <v>0</v>
      </c>
      <c r="I64" s="49">
        <f>'Avg Week Atiak-Palabek'!I64+'Avg Week Palabek-Atiak'!I64</f>
        <v>1</v>
      </c>
      <c r="J64" s="49">
        <f>'Avg Week Atiak-Palabek'!J64+'Avg Week Palabek-Atiak'!J64</f>
        <v>0</v>
      </c>
      <c r="K64" s="49">
        <f>'Avg Week Atiak-Palabek'!K64+'Avg Week Palabek-Atiak'!K64</f>
        <v>0</v>
      </c>
      <c r="L64" s="49">
        <f>'Avg Week Atiak-Palabek'!L64+'Avg Week Palabek-Atiak'!L64</f>
        <v>0</v>
      </c>
      <c r="M64" s="49">
        <f>'Avg Week Atiak-Palabek'!M64+'Avg Week Palabek-Atiak'!M64</f>
        <v>10.5</v>
      </c>
      <c r="N64" s="49">
        <f>'Avg Week Atiak-Palabek'!N64+'Avg Week Palabek-Atiak'!N64</f>
        <v>0</v>
      </c>
      <c r="O64" s="15">
        <f t="shared" si="0"/>
        <v>2</v>
      </c>
      <c r="P64" s="15">
        <f t="shared" si="1"/>
        <v>12.5</v>
      </c>
      <c r="R64" s="8"/>
      <c r="T64"/>
    </row>
    <row r="65" spans="2:20" ht="23.1" customHeight="1" x14ac:dyDescent="0.25">
      <c r="B65" s="23" t="s">
        <v>158</v>
      </c>
      <c r="C65" s="49">
        <f>'Avg Week Atiak-Palabek'!C65+'Avg Week Palabek-Atiak'!C65</f>
        <v>0</v>
      </c>
      <c r="D65" s="49">
        <f>'Avg Week Atiak-Palabek'!D65+'Avg Week Palabek-Atiak'!D65</f>
        <v>0</v>
      </c>
      <c r="E65" s="49">
        <f>'Avg Week Atiak-Palabek'!E65+'Avg Week Palabek-Atiak'!E65</f>
        <v>0</v>
      </c>
      <c r="F65" s="49">
        <f>'Avg Week Atiak-Palabek'!F65+'Avg Week Palabek-Atiak'!F65</f>
        <v>1</v>
      </c>
      <c r="G65" s="49">
        <f>'Avg Week Atiak-Palabek'!G65+'Avg Week Palabek-Atiak'!G65</f>
        <v>0</v>
      </c>
      <c r="H65" s="49">
        <f>'Avg Week Atiak-Palabek'!H65+'Avg Week Palabek-Atiak'!H65</f>
        <v>0</v>
      </c>
      <c r="I65" s="49">
        <f>'Avg Week Atiak-Palabek'!I65+'Avg Week Palabek-Atiak'!I65</f>
        <v>1</v>
      </c>
      <c r="J65" s="49">
        <f>'Avg Week Atiak-Palabek'!J65+'Avg Week Palabek-Atiak'!J65</f>
        <v>0</v>
      </c>
      <c r="K65" s="49">
        <f>'Avg Week Atiak-Palabek'!K65+'Avg Week Palabek-Atiak'!K65</f>
        <v>0</v>
      </c>
      <c r="L65" s="49">
        <f>'Avg Week Atiak-Palabek'!L65+'Avg Week Palabek-Atiak'!L65</f>
        <v>0</v>
      </c>
      <c r="M65" s="49">
        <f>'Avg Week Atiak-Palabek'!M65+'Avg Week Palabek-Atiak'!M65</f>
        <v>9.5</v>
      </c>
      <c r="N65" s="49">
        <f>'Avg Week Atiak-Palabek'!N65+'Avg Week Palabek-Atiak'!N65</f>
        <v>0</v>
      </c>
      <c r="O65" s="15">
        <f t="shared" si="0"/>
        <v>2</v>
      </c>
      <c r="P65" s="15">
        <f t="shared" si="1"/>
        <v>11.5</v>
      </c>
      <c r="R65" s="8"/>
      <c r="T65"/>
    </row>
    <row r="66" spans="2:20" ht="23.1" customHeight="1" x14ac:dyDescent="0.25">
      <c r="B66" s="23" t="s">
        <v>103</v>
      </c>
      <c r="C66" s="49">
        <f>'Avg Week Atiak-Palabek'!C66+'Avg Week Palabek-Atiak'!C66</f>
        <v>0</v>
      </c>
      <c r="D66" s="49">
        <f>'Avg Week Atiak-Palabek'!D66+'Avg Week Palabek-Atiak'!D66</f>
        <v>0</v>
      </c>
      <c r="E66" s="49">
        <f>'Avg Week Atiak-Palabek'!E66+'Avg Week Palabek-Atiak'!E66</f>
        <v>0</v>
      </c>
      <c r="F66" s="49">
        <f>'Avg Week Atiak-Palabek'!F66+'Avg Week Palabek-Atiak'!F66</f>
        <v>0</v>
      </c>
      <c r="G66" s="49">
        <f>'Avg Week Atiak-Palabek'!G66+'Avg Week Palabek-Atiak'!G66</f>
        <v>0</v>
      </c>
      <c r="H66" s="49">
        <f>'Avg Week Atiak-Palabek'!H66+'Avg Week Palabek-Atiak'!H66</f>
        <v>0</v>
      </c>
      <c r="I66" s="49">
        <f>'Avg Week Atiak-Palabek'!I66+'Avg Week Palabek-Atiak'!I66</f>
        <v>0</v>
      </c>
      <c r="J66" s="49">
        <f>'Avg Week Atiak-Palabek'!J66+'Avg Week Palabek-Atiak'!J66</f>
        <v>0</v>
      </c>
      <c r="K66" s="49">
        <f>'Avg Week Atiak-Palabek'!K66+'Avg Week Palabek-Atiak'!K66</f>
        <v>0</v>
      </c>
      <c r="L66" s="49">
        <f>'Avg Week Atiak-Palabek'!L66+'Avg Week Palabek-Atiak'!L66</f>
        <v>0</v>
      </c>
      <c r="M66" s="49">
        <f>'Avg Week Atiak-Palabek'!M66+'Avg Week Palabek-Atiak'!M66</f>
        <v>6.5</v>
      </c>
      <c r="N66" s="49">
        <f>'Avg Week Atiak-Palabek'!N66+'Avg Week Palabek-Atiak'!N66</f>
        <v>0</v>
      </c>
      <c r="O66" s="15">
        <f t="shared" si="0"/>
        <v>0</v>
      </c>
      <c r="P66" s="15">
        <f t="shared" si="1"/>
        <v>6.5</v>
      </c>
      <c r="R66" s="8"/>
      <c r="T66"/>
    </row>
    <row r="67" spans="2:20" ht="23.1" customHeight="1" x14ac:dyDescent="0.25">
      <c r="B67" s="23" t="s">
        <v>104</v>
      </c>
      <c r="C67" s="49">
        <f>'Avg Week Atiak-Palabek'!C67+'Avg Week Palabek-Atiak'!C67</f>
        <v>0</v>
      </c>
      <c r="D67" s="49">
        <f>'Avg Week Atiak-Palabek'!D67+'Avg Week Palabek-Atiak'!D67</f>
        <v>0</v>
      </c>
      <c r="E67" s="49">
        <f>'Avg Week Atiak-Palabek'!E67+'Avg Week Palabek-Atiak'!E67</f>
        <v>0</v>
      </c>
      <c r="F67" s="49">
        <f>'Avg Week Atiak-Palabek'!F67+'Avg Week Palabek-Atiak'!F67</f>
        <v>0</v>
      </c>
      <c r="G67" s="49">
        <f>'Avg Week Atiak-Palabek'!G67+'Avg Week Palabek-Atiak'!G67</f>
        <v>0</v>
      </c>
      <c r="H67" s="49">
        <f>'Avg Week Atiak-Palabek'!H67+'Avg Week Palabek-Atiak'!H67</f>
        <v>0</v>
      </c>
      <c r="I67" s="49">
        <f>'Avg Week Atiak-Palabek'!I67+'Avg Week Palabek-Atiak'!I67</f>
        <v>0</v>
      </c>
      <c r="J67" s="49">
        <f>'Avg Week Atiak-Palabek'!J67+'Avg Week Palabek-Atiak'!J67</f>
        <v>0</v>
      </c>
      <c r="K67" s="49">
        <f>'Avg Week Atiak-Palabek'!K67+'Avg Week Palabek-Atiak'!K67</f>
        <v>0</v>
      </c>
      <c r="L67" s="49">
        <f>'Avg Week Atiak-Palabek'!L67+'Avg Week Palabek-Atiak'!L67</f>
        <v>0</v>
      </c>
      <c r="M67" s="49">
        <f>'Avg Week Atiak-Palabek'!M67+'Avg Week Palabek-Atiak'!M67</f>
        <v>7</v>
      </c>
      <c r="N67" s="49">
        <f>'Avg Week Atiak-Palabek'!N67+'Avg Week Palabek-Atiak'!N67</f>
        <v>0</v>
      </c>
      <c r="O67" s="15">
        <f t="shared" si="0"/>
        <v>0</v>
      </c>
      <c r="P67" s="15">
        <f t="shared" si="1"/>
        <v>7</v>
      </c>
      <c r="R67" s="8"/>
      <c r="T67"/>
    </row>
    <row r="68" spans="2:20" ht="23.1" customHeight="1" x14ac:dyDescent="0.25">
      <c r="B68" s="23" t="s">
        <v>105</v>
      </c>
      <c r="C68" s="49">
        <f>'Avg Week Atiak-Palabek'!C68+'Avg Week Palabek-Atiak'!C68</f>
        <v>0</v>
      </c>
      <c r="D68" s="49">
        <f>'Avg Week Atiak-Palabek'!D68+'Avg Week Palabek-Atiak'!D68</f>
        <v>0</v>
      </c>
      <c r="E68" s="49">
        <f>'Avg Week Atiak-Palabek'!E68+'Avg Week Palabek-Atiak'!E68</f>
        <v>0</v>
      </c>
      <c r="F68" s="49">
        <f>'Avg Week Atiak-Palabek'!F68+'Avg Week Palabek-Atiak'!F68</f>
        <v>0</v>
      </c>
      <c r="G68" s="49">
        <f>'Avg Week Atiak-Palabek'!G68+'Avg Week Palabek-Atiak'!G68</f>
        <v>0</v>
      </c>
      <c r="H68" s="49">
        <f>'Avg Week Atiak-Palabek'!H68+'Avg Week Palabek-Atiak'!H68</f>
        <v>0</v>
      </c>
      <c r="I68" s="49">
        <f>'Avg Week Atiak-Palabek'!I68+'Avg Week Palabek-Atiak'!I68</f>
        <v>0</v>
      </c>
      <c r="J68" s="49">
        <f>'Avg Week Atiak-Palabek'!J68+'Avg Week Palabek-Atiak'!J68</f>
        <v>0</v>
      </c>
      <c r="K68" s="49">
        <f>'Avg Week Atiak-Palabek'!K68+'Avg Week Palabek-Atiak'!K68</f>
        <v>0</v>
      </c>
      <c r="L68" s="49">
        <f>'Avg Week Atiak-Palabek'!L68+'Avg Week Palabek-Atiak'!L68</f>
        <v>0</v>
      </c>
      <c r="M68" s="49">
        <f>'Avg Week Atiak-Palabek'!M68+'Avg Week Palabek-Atiak'!M68</f>
        <v>4.5</v>
      </c>
      <c r="N68" s="49">
        <f>'Avg Week Atiak-Palabek'!N68+'Avg Week Palabek-Atiak'!N68</f>
        <v>0</v>
      </c>
      <c r="O68" s="15">
        <f t="shared" si="0"/>
        <v>0</v>
      </c>
      <c r="P68" s="15">
        <f t="shared" si="1"/>
        <v>4.5</v>
      </c>
      <c r="R68" s="8"/>
      <c r="T68"/>
    </row>
    <row r="69" spans="2:20" ht="23.1" customHeight="1" x14ac:dyDescent="0.25">
      <c r="B69" s="23" t="s">
        <v>106</v>
      </c>
      <c r="C69" s="49">
        <f>'Avg Week Atiak-Palabek'!C69+'Avg Week Palabek-Atiak'!C69</f>
        <v>0</v>
      </c>
      <c r="D69" s="49">
        <f>'Avg Week Atiak-Palabek'!D69+'Avg Week Palabek-Atiak'!D69</f>
        <v>0</v>
      </c>
      <c r="E69" s="49">
        <f>'Avg Week Atiak-Palabek'!E69+'Avg Week Palabek-Atiak'!E69</f>
        <v>0</v>
      </c>
      <c r="F69" s="49">
        <f>'Avg Week Atiak-Palabek'!F69+'Avg Week Palabek-Atiak'!F69</f>
        <v>0</v>
      </c>
      <c r="G69" s="49">
        <f>'Avg Week Atiak-Palabek'!G69+'Avg Week Palabek-Atiak'!G69</f>
        <v>0</v>
      </c>
      <c r="H69" s="49">
        <f>'Avg Week Atiak-Palabek'!H69+'Avg Week Palabek-Atiak'!H69</f>
        <v>0</v>
      </c>
      <c r="I69" s="49">
        <f>'Avg Week Atiak-Palabek'!I69+'Avg Week Palabek-Atiak'!I69</f>
        <v>0</v>
      </c>
      <c r="J69" s="49">
        <f>'Avg Week Atiak-Palabek'!J69+'Avg Week Palabek-Atiak'!J69</f>
        <v>0</v>
      </c>
      <c r="K69" s="49">
        <f>'Avg Week Atiak-Palabek'!K69+'Avg Week Palabek-Atiak'!K69</f>
        <v>0</v>
      </c>
      <c r="L69" s="49">
        <f>'Avg Week Atiak-Palabek'!L69+'Avg Week Palabek-Atiak'!L69</f>
        <v>0</v>
      </c>
      <c r="M69" s="49">
        <f>'Avg Week Atiak-Palabek'!M69+'Avg Week Palabek-Atiak'!M69</f>
        <v>4</v>
      </c>
      <c r="N69" s="49">
        <f>'Avg Week Atiak-Palabek'!N69+'Avg Week Palabek-Atiak'!N69</f>
        <v>0</v>
      </c>
      <c r="O69" s="15">
        <f t="shared" si="0"/>
        <v>0</v>
      </c>
      <c r="P69" s="15">
        <f t="shared" si="1"/>
        <v>4</v>
      </c>
      <c r="R69" s="8"/>
      <c r="T69"/>
    </row>
    <row r="70" spans="2:20" ht="23.1" customHeight="1" x14ac:dyDescent="0.25">
      <c r="B70" s="23" t="s">
        <v>110</v>
      </c>
      <c r="C70" s="49">
        <f>'Avg Week Atiak-Palabek'!C70+'Avg Week Palabek-Atiak'!C70</f>
        <v>0</v>
      </c>
      <c r="D70" s="49">
        <f>'Avg Week Atiak-Palabek'!D70+'Avg Week Palabek-Atiak'!D70</f>
        <v>0</v>
      </c>
      <c r="E70" s="49">
        <f>'Avg Week Atiak-Palabek'!E70+'Avg Week Palabek-Atiak'!E70</f>
        <v>0</v>
      </c>
      <c r="F70" s="49">
        <f>'Avg Week Atiak-Palabek'!F70+'Avg Week Palabek-Atiak'!F70</f>
        <v>0</v>
      </c>
      <c r="G70" s="49">
        <f>'Avg Week Atiak-Palabek'!G70+'Avg Week Palabek-Atiak'!G70</f>
        <v>0</v>
      </c>
      <c r="H70" s="49">
        <f>'Avg Week Atiak-Palabek'!H70+'Avg Week Palabek-Atiak'!H70</f>
        <v>0</v>
      </c>
      <c r="I70" s="49">
        <f>'Avg Week Atiak-Palabek'!I70+'Avg Week Palabek-Atiak'!I70</f>
        <v>0</v>
      </c>
      <c r="J70" s="49">
        <f>'Avg Week Atiak-Palabek'!J70+'Avg Week Palabek-Atiak'!J70</f>
        <v>0</v>
      </c>
      <c r="K70" s="49">
        <f>'Avg Week Atiak-Palabek'!K70+'Avg Week Palabek-Atiak'!K70</f>
        <v>0</v>
      </c>
      <c r="L70" s="49">
        <f>'Avg Week Atiak-Palabek'!L70+'Avg Week Palabek-Atiak'!L70</f>
        <v>0</v>
      </c>
      <c r="M70" s="49">
        <f>'Avg Week Atiak-Palabek'!M70+'Avg Week Palabek-Atiak'!M70</f>
        <v>5.5</v>
      </c>
      <c r="N70" s="49">
        <f>'Avg Week Atiak-Palabek'!N70+'Avg Week Palabek-Atiak'!N70</f>
        <v>0</v>
      </c>
      <c r="O70" s="15">
        <f t="shared" si="0"/>
        <v>0</v>
      </c>
      <c r="P70" s="15">
        <f t="shared" si="1"/>
        <v>5.5</v>
      </c>
      <c r="R70" s="8"/>
      <c r="T70"/>
    </row>
    <row r="71" spans="2:20" ht="23.1" customHeight="1" x14ac:dyDescent="0.25">
      <c r="B71" s="23" t="s">
        <v>111</v>
      </c>
      <c r="C71" s="49">
        <f>'Avg Week Atiak-Palabek'!C71+'Avg Week Palabek-Atiak'!C71</f>
        <v>0</v>
      </c>
      <c r="D71" s="49">
        <f>'Avg Week Atiak-Palabek'!D71+'Avg Week Palabek-Atiak'!D71</f>
        <v>0</v>
      </c>
      <c r="E71" s="49">
        <f>'Avg Week Atiak-Palabek'!E71+'Avg Week Palabek-Atiak'!E71</f>
        <v>0</v>
      </c>
      <c r="F71" s="49">
        <f>'Avg Week Atiak-Palabek'!F71+'Avg Week Palabek-Atiak'!F71</f>
        <v>0</v>
      </c>
      <c r="G71" s="49">
        <f>'Avg Week Atiak-Palabek'!G71+'Avg Week Palabek-Atiak'!G71</f>
        <v>0</v>
      </c>
      <c r="H71" s="49">
        <f>'Avg Week Atiak-Palabek'!H71+'Avg Week Palabek-Atiak'!H71</f>
        <v>0</v>
      </c>
      <c r="I71" s="49">
        <f>'Avg Week Atiak-Palabek'!I71+'Avg Week Palabek-Atiak'!I71</f>
        <v>2</v>
      </c>
      <c r="J71" s="49">
        <f>'Avg Week Atiak-Palabek'!J71+'Avg Week Palabek-Atiak'!J71</f>
        <v>0</v>
      </c>
      <c r="K71" s="49">
        <f>'Avg Week Atiak-Palabek'!K71+'Avg Week Palabek-Atiak'!K71</f>
        <v>0</v>
      </c>
      <c r="L71" s="49">
        <f>'Avg Week Atiak-Palabek'!L71+'Avg Week Palabek-Atiak'!L71</f>
        <v>0</v>
      </c>
      <c r="M71" s="49">
        <f>'Avg Week Atiak-Palabek'!M71+'Avg Week Palabek-Atiak'!M71</f>
        <v>5</v>
      </c>
      <c r="N71" s="49">
        <f>'Avg Week Atiak-Palabek'!N71+'Avg Week Palabek-Atiak'!N71</f>
        <v>0</v>
      </c>
      <c r="O71" s="15">
        <f t="shared" si="0"/>
        <v>2</v>
      </c>
      <c r="P71" s="15">
        <f t="shared" si="1"/>
        <v>7</v>
      </c>
      <c r="R71" s="8"/>
      <c r="T71"/>
    </row>
    <row r="72" spans="2:20" ht="23.1" customHeight="1" x14ac:dyDescent="0.25">
      <c r="B72" s="23" t="s">
        <v>112</v>
      </c>
      <c r="C72" s="49">
        <f>'Avg Week Atiak-Palabek'!C72+'Avg Week Palabek-Atiak'!C72</f>
        <v>0</v>
      </c>
      <c r="D72" s="49">
        <f>'Avg Week Atiak-Palabek'!D72+'Avg Week Palabek-Atiak'!D72</f>
        <v>0</v>
      </c>
      <c r="E72" s="49">
        <f>'Avg Week Atiak-Palabek'!E72+'Avg Week Palabek-Atiak'!E72</f>
        <v>0</v>
      </c>
      <c r="F72" s="49">
        <f>'Avg Week Atiak-Palabek'!F72+'Avg Week Palabek-Atiak'!F72</f>
        <v>1</v>
      </c>
      <c r="G72" s="49">
        <f>'Avg Week Atiak-Palabek'!G72+'Avg Week Palabek-Atiak'!G72</f>
        <v>0</v>
      </c>
      <c r="H72" s="49">
        <f>'Avg Week Atiak-Palabek'!H72+'Avg Week Palabek-Atiak'!H72</f>
        <v>1</v>
      </c>
      <c r="I72" s="49">
        <f>'Avg Week Atiak-Palabek'!I72+'Avg Week Palabek-Atiak'!I72</f>
        <v>0</v>
      </c>
      <c r="J72" s="49">
        <f>'Avg Week Atiak-Palabek'!J72+'Avg Week Palabek-Atiak'!J72</f>
        <v>0</v>
      </c>
      <c r="K72" s="49">
        <f>'Avg Week Atiak-Palabek'!K72+'Avg Week Palabek-Atiak'!K72</f>
        <v>0</v>
      </c>
      <c r="L72" s="49">
        <f>'Avg Week Atiak-Palabek'!L72+'Avg Week Palabek-Atiak'!L72</f>
        <v>0</v>
      </c>
      <c r="M72" s="49">
        <f>'Avg Week Atiak-Palabek'!M72+'Avg Week Palabek-Atiak'!M72</f>
        <v>0</v>
      </c>
      <c r="N72" s="49">
        <f>'Avg Week Atiak-Palabek'!N72+'Avg Week Palabek-Atiak'!N72</f>
        <v>0</v>
      </c>
      <c r="O72" s="15">
        <f t="shared" si="0"/>
        <v>2</v>
      </c>
      <c r="P72" s="15">
        <f t="shared" si="1"/>
        <v>2</v>
      </c>
      <c r="R72" s="8"/>
      <c r="T72"/>
    </row>
    <row r="73" spans="2:20" ht="23.1" customHeight="1" x14ac:dyDescent="0.25">
      <c r="B73" s="23" t="s">
        <v>113</v>
      </c>
      <c r="C73" s="49">
        <f>'Avg Week Atiak-Palabek'!C73+'Avg Week Palabek-Atiak'!C73</f>
        <v>0</v>
      </c>
      <c r="D73" s="49">
        <f>'Avg Week Atiak-Palabek'!D73+'Avg Week Palabek-Atiak'!D73</f>
        <v>0</v>
      </c>
      <c r="E73" s="49">
        <f>'Avg Week Atiak-Palabek'!E73+'Avg Week Palabek-Atiak'!E73</f>
        <v>0</v>
      </c>
      <c r="F73" s="49">
        <f>'Avg Week Atiak-Palabek'!F73+'Avg Week Palabek-Atiak'!F73</f>
        <v>0</v>
      </c>
      <c r="G73" s="49">
        <f>'Avg Week Atiak-Palabek'!G73+'Avg Week Palabek-Atiak'!G73</f>
        <v>0</v>
      </c>
      <c r="H73" s="49">
        <f>'Avg Week Atiak-Palabek'!H73+'Avg Week Palabek-Atiak'!H73</f>
        <v>0</v>
      </c>
      <c r="I73" s="49">
        <f>'Avg Week Atiak-Palabek'!I73+'Avg Week Palabek-Atiak'!I73</f>
        <v>0</v>
      </c>
      <c r="J73" s="49">
        <f>'Avg Week Atiak-Palabek'!J73+'Avg Week Palabek-Atiak'!J73</f>
        <v>0</v>
      </c>
      <c r="K73" s="49">
        <f>'Avg Week Atiak-Palabek'!K73+'Avg Week Palabek-Atiak'!K73</f>
        <v>0</v>
      </c>
      <c r="L73" s="49">
        <f>'Avg Week Atiak-Palabek'!L73+'Avg Week Palabek-Atiak'!L73</f>
        <v>0</v>
      </c>
      <c r="M73" s="49">
        <f>'Avg Week Atiak-Palabek'!M73+'Avg Week Palabek-Atiak'!M73</f>
        <v>3.5</v>
      </c>
      <c r="N73" s="49">
        <f>'Avg Week Atiak-Palabek'!N73+'Avg Week Palabek-Atiak'!N73</f>
        <v>0</v>
      </c>
      <c r="O73" s="15">
        <f t="shared" si="0"/>
        <v>0</v>
      </c>
      <c r="P73" s="15">
        <f t="shared" si="1"/>
        <v>3.5</v>
      </c>
      <c r="R73" s="8"/>
      <c r="T73"/>
    </row>
    <row r="74" spans="2:20" ht="23.1" customHeight="1" x14ac:dyDescent="0.25">
      <c r="B74" s="23" t="s">
        <v>114</v>
      </c>
      <c r="C74" s="49">
        <f>'Avg Week Atiak-Palabek'!C74+'Avg Week Palabek-Atiak'!C74</f>
        <v>0</v>
      </c>
      <c r="D74" s="49">
        <f>'Avg Week Atiak-Palabek'!D74+'Avg Week Palabek-Atiak'!D74</f>
        <v>0</v>
      </c>
      <c r="E74" s="49">
        <f>'Avg Week Atiak-Palabek'!E74+'Avg Week Palabek-Atiak'!E74</f>
        <v>2</v>
      </c>
      <c r="F74" s="49">
        <f>'Avg Week Atiak-Palabek'!F74+'Avg Week Palabek-Atiak'!F74</f>
        <v>0</v>
      </c>
      <c r="G74" s="49">
        <f>'Avg Week Atiak-Palabek'!G74+'Avg Week Palabek-Atiak'!G74</f>
        <v>0</v>
      </c>
      <c r="H74" s="49">
        <f>'Avg Week Atiak-Palabek'!H74+'Avg Week Palabek-Atiak'!H74</f>
        <v>0</v>
      </c>
      <c r="I74" s="49">
        <f>'Avg Week Atiak-Palabek'!I74+'Avg Week Palabek-Atiak'!I74</f>
        <v>0</v>
      </c>
      <c r="J74" s="49">
        <f>'Avg Week Atiak-Palabek'!J74+'Avg Week Palabek-Atiak'!J74</f>
        <v>0</v>
      </c>
      <c r="K74" s="49">
        <f>'Avg Week Atiak-Palabek'!K74+'Avg Week Palabek-Atiak'!K74</f>
        <v>0</v>
      </c>
      <c r="L74" s="49">
        <f>'Avg Week Atiak-Palabek'!L74+'Avg Week Palabek-Atiak'!L74</f>
        <v>0</v>
      </c>
      <c r="M74" s="49">
        <f>'Avg Week Atiak-Palabek'!M74+'Avg Week Palabek-Atiak'!M74</f>
        <v>2</v>
      </c>
      <c r="N74" s="49">
        <f>'Avg Week Atiak-Palabek'!N74+'Avg Week Palabek-Atiak'!N74</f>
        <v>0</v>
      </c>
      <c r="O74" s="15">
        <f t="shared" ref="O74:O105" si="35">SUM(C74:L74,N74)</f>
        <v>2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'Avg Week Atiak-Palabek'!C75+'Avg Week Palabek-Atiak'!C75</f>
        <v>0</v>
      </c>
      <c r="D75" s="49">
        <f>'Avg Week Atiak-Palabek'!D75+'Avg Week Palabek-Atiak'!D75</f>
        <v>0</v>
      </c>
      <c r="E75" s="49">
        <f>'Avg Week Atiak-Palabek'!E75+'Avg Week Palabek-Atiak'!E75</f>
        <v>0</v>
      </c>
      <c r="F75" s="49">
        <f>'Avg Week Atiak-Palabek'!F75+'Avg Week Palabek-Atiak'!F75</f>
        <v>0</v>
      </c>
      <c r="G75" s="49">
        <f>'Avg Week Atiak-Palabek'!G75+'Avg Week Palabek-Atiak'!G75</f>
        <v>0</v>
      </c>
      <c r="H75" s="49">
        <f>'Avg Week Atiak-Palabek'!H75+'Avg Week Palabek-Atiak'!H75</f>
        <v>0</v>
      </c>
      <c r="I75" s="49">
        <f>'Avg Week Atiak-Palabek'!I75+'Avg Week Palabek-Atiak'!I75</f>
        <v>2</v>
      </c>
      <c r="J75" s="49">
        <f>'Avg Week Atiak-Palabek'!J75+'Avg Week Palabek-Atiak'!J75</f>
        <v>0</v>
      </c>
      <c r="K75" s="49">
        <f>'Avg Week Atiak-Palabek'!K75+'Avg Week Palabek-Atiak'!K75</f>
        <v>0</v>
      </c>
      <c r="L75" s="49">
        <f>'Avg Week Atiak-Palabek'!L75+'Avg Week Palabek-Atiak'!L75</f>
        <v>0</v>
      </c>
      <c r="M75" s="49">
        <f>'Avg Week Atiak-Palabek'!M75+'Avg Week Palabek-Atiak'!M75</f>
        <v>0</v>
      </c>
      <c r="N75" s="49">
        <f>'Avg Week Atiak-Palabek'!N75+'Avg Week Palabek-Atiak'!N75</f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23" t="s">
        <v>116</v>
      </c>
      <c r="C76" s="49">
        <f>'Avg Week Atiak-Palabek'!C76+'Avg Week Palabek-Atiak'!C76</f>
        <v>0</v>
      </c>
      <c r="D76" s="49">
        <f>'Avg Week Atiak-Palabek'!D76+'Avg Week Palabek-Atiak'!D76</f>
        <v>0</v>
      </c>
      <c r="E76" s="49">
        <f>'Avg Week Atiak-Palabek'!E76+'Avg Week Palabek-Atiak'!E76</f>
        <v>0</v>
      </c>
      <c r="F76" s="49">
        <f>'Avg Week Atiak-Palabek'!F76+'Avg Week Palabek-Atiak'!F76</f>
        <v>0</v>
      </c>
      <c r="G76" s="49">
        <f>'Avg Week Atiak-Palabek'!G76+'Avg Week Palabek-Atiak'!G76</f>
        <v>0</v>
      </c>
      <c r="H76" s="49">
        <f>'Avg Week Atiak-Palabek'!H76+'Avg Week Palabek-Atiak'!H76</f>
        <v>0</v>
      </c>
      <c r="I76" s="49">
        <f>'Avg Week Atiak-Palabek'!I76+'Avg Week Palabek-Atiak'!I76</f>
        <v>1</v>
      </c>
      <c r="J76" s="49">
        <f>'Avg Week Atiak-Palabek'!J76+'Avg Week Palabek-Atiak'!J76</f>
        <v>0</v>
      </c>
      <c r="K76" s="49">
        <f>'Avg Week Atiak-Palabek'!K76+'Avg Week Palabek-Atiak'!K76</f>
        <v>0</v>
      </c>
      <c r="L76" s="49">
        <f>'Avg Week Atiak-Palabek'!L76+'Avg Week Palabek-Atiak'!L76</f>
        <v>0</v>
      </c>
      <c r="M76" s="49">
        <f>'Avg Week Atiak-Palabek'!M76+'Avg Week Palabek-Atiak'!M76</f>
        <v>5.5</v>
      </c>
      <c r="N76" s="49">
        <f>'Avg Week Atiak-Palabek'!N76+'Avg Week Palabek-Atiak'!N76</f>
        <v>0</v>
      </c>
      <c r="O76" s="15">
        <f t="shared" si="35"/>
        <v>1</v>
      </c>
      <c r="P76" s="15">
        <f t="shared" si="36"/>
        <v>6.5</v>
      </c>
      <c r="R76" s="8"/>
      <c r="T76"/>
    </row>
    <row r="77" spans="2:20" ht="23.1" customHeight="1" x14ac:dyDescent="0.25">
      <c r="B77" s="23" t="s">
        <v>117</v>
      </c>
      <c r="C77" s="49">
        <f>'Avg Week Atiak-Palabek'!C77+'Avg Week Palabek-Atiak'!C77</f>
        <v>0</v>
      </c>
      <c r="D77" s="49">
        <f>'Avg Week Atiak-Palabek'!D77+'Avg Week Palabek-Atiak'!D77</f>
        <v>0</v>
      </c>
      <c r="E77" s="49">
        <f>'Avg Week Atiak-Palabek'!E77+'Avg Week Palabek-Atiak'!E77</f>
        <v>0</v>
      </c>
      <c r="F77" s="49">
        <f>'Avg Week Atiak-Palabek'!F77+'Avg Week Palabek-Atiak'!F77</f>
        <v>0</v>
      </c>
      <c r="G77" s="49">
        <f>'Avg Week Atiak-Palabek'!G77+'Avg Week Palabek-Atiak'!G77</f>
        <v>0</v>
      </c>
      <c r="H77" s="49">
        <f>'Avg Week Atiak-Palabek'!H77+'Avg Week Palabek-Atiak'!H77</f>
        <v>0</v>
      </c>
      <c r="I77" s="49">
        <f>'Avg Week Atiak-Palabek'!I77+'Avg Week Palabek-Atiak'!I77</f>
        <v>0</v>
      </c>
      <c r="J77" s="49">
        <f>'Avg Week Atiak-Palabek'!J77+'Avg Week Palabek-Atiak'!J77</f>
        <v>0</v>
      </c>
      <c r="K77" s="49">
        <f>'Avg Week Atiak-Palabek'!K77+'Avg Week Palabek-Atiak'!K77</f>
        <v>0</v>
      </c>
      <c r="L77" s="49">
        <f>'Avg Week Atiak-Palabek'!L77+'Avg Week Palabek-Atiak'!L77</f>
        <v>0</v>
      </c>
      <c r="M77" s="49">
        <f>'Avg Week Atiak-Palabek'!M77+'Avg Week Palabek-Atiak'!M77</f>
        <v>2</v>
      </c>
      <c r="N77" s="49">
        <f>'Avg Week Atiak-Palabek'!N77+'Avg Week Palabek-Atiak'!N77</f>
        <v>0</v>
      </c>
      <c r="O77" s="15">
        <f t="shared" si="35"/>
        <v>0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'Avg Week Atiak-Palabek'!C78+'Avg Week Palabek-Atiak'!C78</f>
        <v>0</v>
      </c>
      <c r="D78" s="49">
        <f>'Avg Week Atiak-Palabek'!D78+'Avg Week Palabek-Atiak'!D78</f>
        <v>0</v>
      </c>
      <c r="E78" s="49">
        <f>'Avg Week Atiak-Palabek'!E78+'Avg Week Palabek-Atiak'!E78</f>
        <v>0</v>
      </c>
      <c r="F78" s="49">
        <f>'Avg Week Atiak-Palabek'!F78+'Avg Week Palabek-Atiak'!F78</f>
        <v>0</v>
      </c>
      <c r="G78" s="49">
        <f>'Avg Week Atiak-Palabek'!G78+'Avg Week Palabek-Atiak'!G78</f>
        <v>0</v>
      </c>
      <c r="H78" s="49">
        <f>'Avg Week Atiak-Palabek'!H78+'Avg Week Palabek-Atiak'!H78</f>
        <v>0</v>
      </c>
      <c r="I78" s="49">
        <f>'Avg Week Atiak-Palabek'!I78+'Avg Week Palabek-Atiak'!I78</f>
        <v>0</v>
      </c>
      <c r="J78" s="49">
        <f>'Avg Week Atiak-Palabek'!J78+'Avg Week Palabek-Atiak'!J78</f>
        <v>0</v>
      </c>
      <c r="K78" s="49">
        <f>'Avg Week Atiak-Palabek'!K78+'Avg Week Palabek-Atiak'!K78</f>
        <v>0</v>
      </c>
      <c r="L78" s="49">
        <f>'Avg Week Atiak-Palabek'!L78+'Avg Week Palabek-Atiak'!L78</f>
        <v>0</v>
      </c>
      <c r="M78" s="49">
        <f>'Avg Week Atiak-Palabek'!M78+'Avg Week Palabek-Atiak'!M78</f>
        <v>0</v>
      </c>
      <c r="N78" s="49">
        <f>'Avg Week Atiak-Palabek'!N78+'Avg Week Palabek-Atiak'!N78</f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23" t="s">
        <v>119</v>
      </c>
      <c r="C79" s="49">
        <f>'Avg Week Atiak-Palabek'!C79+'Avg Week Palabek-Atiak'!C79</f>
        <v>0</v>
      </c>
      <c r="D79" s="49">
        <f>'Avg Week Atiak-Palabek'!D79+'Avg Week Palabek-Atiak'!D79</f>
        <v>0</v>
      </c>
      <c r="E79" s="49">
        <f>'Avg Week Atiak-Palabek'!E79+'Avg Week Palabek-Atiak'!E79</f>
        <v>0</v>
      </c>
      <c r="F79" s="49">
        <f>'Avg Week Atiak-Palabek'!F79+'Avg Week Palabek-Atiak'!F79</f>
        <v>0</v>
      </c>
      <c r="G79" s="49">
        <f>'Avg Week Atiak-Palabek'!G79+'Avg Week Palabek-Atiak'!G79</f>
        <v>0</v>
      </c>
      <c r="H79" s="49">
        <f>'Avg Week Atiak-Palabek'!H79+'Avg Week Palabek-Atiak'!H79</f>
        <v>0</v>
      </c>
      <c r="I79" s="49">
        <f>'Avg Week Atiak-Palabek'!I79+'Avg Week Palabek-Atiak'!I79</f>
        <v>0</v>
      </c>
      <c r="J79" s="49">
        <f>'Avg Week Atiak-Palabek'!J79+'Avg Week Palabek-Atiak'!J79</f>
        <v>0</v>
      </c>
      <c r="K79" s="49">
        <f>'Avg Week Atiak-Palabek'!K79+'Avg Week Palabek-Atiak'!K79</f>
        <v>0</v>
      </c>
      <c r="L79" s="49">
        <f>'Avg Week Atiak-Palabek'!L79+'Avg Week Palabek-Atiak'!L79</f>
        <v>0</v>
      </c>
      <c r="M79" s="49">
        <f>'Avg Week Atiak-Palabek'!M79+'Avg Week Palabek-Atiak'!M79</f>
        <v>0</v>
      </c>
      <c r="N79" s="49">
        <f>'Avg Week Atiak-Palabek'!N79+'Avg Week Palabek-Atiak'!N79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'Avg Week Atiak-Palabek'!C80+'Avg Week Palabek-Atiak'!C80</f>
        <v>0</v>
      </c>
      <c r="D80" s="49">
        <f>'Avg Week Atiak-Palabek'!D80+'Avg Week Palabek-Atiak'!D80</f>
        <v>0</v>
      </c>
      <c r="E80" s="49">
        <f>'Avg Week Atiak-Palabek'!E80+'Avg Week Palabek-Atiak'!E80</f>
        <v>0</v>
      </c>
      <c r="F80" s="49">
        <f>'Avg Week Atiak-Palabek'!F80+'Avg Week Palabek-Atiak'!F80</f>
        <v>0</v>
      </c>
      <c r="G80" s="49">
        <f>'Avg Week Atiak-Palabek'!G80+'Avg Week Palabek-Atiak'!G80</f>
        <v>0</v>
      </c>
      <c r="H80" s="49">
        <f>'Avg Week Atiak-Palabek'!H80+'Avg Week Palabek-Atiak'!H80</f>
        <v>0</v>
      </c>
      <c r="I80" s="49">
        <f>'Avg Week Atiak-Palabek'!I80+'Avg Week Palabek-Atiak'!I80</f>
        <v>0</v>
      </c>
      <c r="J80" s="49">
        <f>'Avg Week Atiak-Palabek'!J80+'Avg Week Palabek-Atiak'!J80</f>
        <v>0</v>
      </c>
      <c r="K80" s="49">
        <f>'Avg Week Atiak-Palabek'!K80+'Avg Week Palabek-Atiak'!K80</f>
        <v>0</v>
      </c>
      <c r="L80" s="49">
        <f>'Avg Week Atiak-Palabek'!L80+'Avg Week Palabek-Atiak'!L80</f>
        <v>0</v>
      </c>
      <c r="M80" s="49">
        <f>'Avg Week Atiak-Palabek'!M80+'Avg Week Palabek-Atiak'!M80</f>
        <v>0</v>
      </c>
      <c r="N80" s="49">
        <f>'Avg Week Atiak-Palabek'!N80+'Avg Week Palabek-Atiak'!N80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'Avg Week Atiak-Palabek'!C81+'Avg Week Palabek-Atiak'!C81</f>
        <v>0</v>
      </c>
      <c r="D81" s="49">
        <f>'Avg Week Atiak-Palabek'!D81+'Avg Week Palabek-Atiak'!D81</f>
        <v>0</v>
      </c>
      <c r="E81" s="49">
        <f>'Avg Week Atiak-Palabek'!E81+'Avg Week Palabek-Atiak'!E81</f>
        <v>0</v>
      </c>
      <c r="F81" s="49">
        <f>'Avg Week Atiak-Palabek'!F81+'Avg Week Palabek-Atiak'!F81</f>
        <v>0</v>
      </c>
      <c r="G81" s="49">
        <f>'Avg Week Atiak-Palabek'!G81+'Avg Week Palabek-Atiak'!G81</f>
        <v>0</v>
      </c>
      <c r="H81" s="49">
        <f>'Avg Week Atiak-Palabek'!H81+'Avg Week Palabek-Atiak'!H81</f>
        <v>0</v>
      </c>
      <c r="I81" s="49">
        <f>'Avg Week Atiak-Palabek'!I81+'Avg Week Palabek-Atiak'!I81</f>
        <v>0</v>
      </c>
      <c r="J81" s="49">
        <f>'Avg Week Atiak-Palabek'!J81+'Avg Week Palabek-Atiak'!J81</f>
        <v>0</v>
      </c>
      <c r="K81" s="49">
        <f>'Avg Week Atiak-Palabek'!K81+'Avg Week Palabek-Atiak'!K81</f>
        <v>0</v>
      </c>
      <c r="L81" s="49">
        <f>'Avg Week Atiak-Palabek'!L81+'Avg Week Palabek-Atiak'!L81</f>
        <v>0</v>
      </c>
      <c r="M81" s="49">
        <f>'Avg Week Atiak-Palabek'!M81+'Avg Week Palabek-Atiak'!M81</f>
        <v>0</v>
      </c>
      <c r="N81" s="49">
        <f>'Avg Week Atiak-Palabek'!N81+'Avg Week Palabek-Atiak'!N81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'Avg Week Atiak-Palabek'!C82+'Avg Week Palabek-Atiak'!C82</f>
        <v>0</v>
      </c>
      <c r="D82" s="49">
        <f>'Avg Week Atiak-Palabek'!D82+'Avg Week Palabek-Atiak'!D82</f>
        <v>0</v>
      </c>
      <c r="E82" s="49">
        <f>'Avg Week Atiak-Palabek'!E82+'Avg Week Palabek-Atiak'!E82</f>
        <v>0</v>
      </c>
      <c r="F82" s="49">
        <f>'Avg Week Atiak-Palabek'!F82+'Avg Week Palabek-Atiak'!F82</f>
        <v>0</v>
      </c>
      <c r="G82" s="49">
        <f>'Avg Week Atiak-Palabek'!G82+'Avg Week Palabek-Atiak'!G82</f>
        <v>0</v>
      </c>
      <c r="H82" s="49">
        <f>'Avg Week Atiak-Palabek'!H82+'Avg Week Palabek-Atiak'!H82</f>
        <v>0</v>
      </c>
      <c r="I82" s="49">
        <f>'Avg Week Atiak-Palabek'!I82+'Avg Week Palabek-Atiak'!I82</f>
        <v>0</v>
      </c>
      <c r="J82" s="49">
        <f>'Avg Week Atiak-Palabek'!J82+'Avg Week Palabek-Atiak'!J82</f>
        <v>0</v>
      </c>
      <c r="K82" s="49">
        <f>'Avg Week Atiak-Palabek'!K82+'Avg Week Palabek-Atiak'!K82</f>
        <v>0</v>
      </c>
      <c r="L82" s="49">
        <f>'Avg Week Atiak-Palabek'!L82+'Avg Week Palabek-Atiak'!L82</f>
        <v>0</v>
      </c>
      <c r="M82" s="49">
        <f>'Avg Week Atiak-Palabek'!M82+'Avg Week Palabek-Atiak'!M82</f>
        <v>0</v>
      </c>
      <c r="N82" s="49">
        <f>'Avg Week Atiak-Palabek'!N82+'Avg Week Palabek-Atiak'!N82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'Avg Week Atiak-Palabek'!C83+'Avg Week Palabek-Atiak'!C83</f>
        <v>0</v>
      </c>
      <c r="D83" s="49">
        <f>'Avg Week Atiak-Palabek'!D83+'Avg Week Palabek-Atiak'!D83</f>
        <v>0</v>
      </c>
      <c r="E83" s="49">
        <f>'Avg Week Atiak-Palabek'!E83+'Avg Week Palabek-Atiak'!E83</f>
        <v>0</v>
      </c>
      <c r="F83" s="49">
        <f>'Avg Week Atiak-Palabek'!F83+'Avg Week Palabek-Atiak'!F83</f>
        <v>0</v>
      </c>
      <c r="G83" s="49">
        <f>'Avg Week Atiak-Palabek'!G83+'Avg Week Palabek-Atiak'!G83</f>
        <v>0</v>
      </c>
      <c r="H83" s="49">
        <f>'Avg Week Atiak-Palabek'!H83+'Avg Week Palabek-Atiak'!H83</f>
        <v>0</v>
      </c>
      <c r="I83" s="49">
        <f>'Avg Week Atiak-Palabek'!I83+'Avg Week Palabek-Atiak'!I83</f>
        <v>0</v>
      </c>
      <c r="J83" s="49">
        <f>'Avg Week Atiak-Palabek'!J83+'Avg Week Palabek-Atiak'!J83</f>
        <v>0</v>
      </c>
      <c r="K83" s="49">
        <f>'Avg Week Atiak-Palabek'!K83+'Avg Week Palabek-Atiak'!K83</f>
        <v>0</v>
      </c>
      <c r="L83" s="49">
        <f>'Avg Week Atiak-Palabek'!L83+'Avg Week Palabek-Atiak'!L83</f>
        <v>0</v>
      </c>
      <c r="M83" s="49">
        <f>'Avg Week Atiak-Palabek'!M83+'Avg Week Palabek-Atiak'!M83</f>
        <v>0</v>
      </c>
      <c r="N83" s="49">
        <f>'Avg Week Atiak-Palabek'!N83+'Avg Week Palabek-Atiak'!N83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'Avg Week Atiak-Palabek'!C84+'Avg Week Palabek-Atiak'!C84</f>
        <v>0</v>
      </c>
      <c r="D84" s="49">
        <f>'Avg Week Atiak-Palabek'!D84+'Avg Week Palabek-Atiak'!D84</f>
        <v>0</v>
      </c>
      <c r="E84" s="49">
        <f>'Avg Week Atiak-Palabek'!E84+'Avg Week Palabek-Atiak'!E84</f>
        <v>0</v>
      </c>
      <c r="F84" s="49">
        <f>'Avg Week Atiak-Palabek'!F84+'Avg Week Palabek-Atiak'!F84</f>
        <v>0</v>
      </c>
      <c r="G84" s="49">
        <f>'Avg Week Atiak-Palabek'!G84+'Avg Week Palabek-Atiak'!G84</f>
        <v>0</v>
      </c>
      <c r="H84" s="49">
        <f>'Avg Week Atiak-Palabek'!H84+'Avg Week Palabek-Atiak'!H84</f>
        <v>0</v>
      </c>
      <c r="I84" s="49">
        <f>'Avg Week Atiak-Palabek'!I84+'Avg Week Palabek-Atiak'!I84</f>
        <v>0</v>
      </c>
      <c r="J84" s="49">
        <f>'Avg Week Atiak-Palabek'!J84+'Avg Week Palabek-Atiak'!J84</f>
        <v>0</v>
      </c>
      <c r="K84" s="49">
        <f>'Avg Week Atiak-Palabek'!K84+'Avg Week Palabek-Atiak'!K84</f>
        <v>0</v>
      </c>
      <c r="L84" s="49">
        <f>'Avg Week Atiak-Palabek'!L84+'Avg Week Palabek-Atiak'!L84</f>
        <v>0</v>
      </c>
      <c r="M84" s="49">
        <f>'Avg Week Atiak-Palabek'!M84+'Avg Week Palabek-Atiak'!M84</f>
        <v>0</v>
      </c>
      <c r="N84" s="49">
        <f>'Avg Week Atiak-Palabek'!N84+'Avg Week Palabek-Atiak'!N84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'Avg Week Atiak-Palabek'!C85+'Avg Week Palabek-Atiak'!C85</f>
        <v>0</v>
      </c>
      <c r="D85" s="49">
        <f>'Avg Week Atiak-Palabek'!D85+'Avg Week Palabek-Atiak'!D85</f>
        <v>0</v>
      </c>
      <c r="E85" s="49">
        <f>'Avg Week Atiak-Palabek'!E85+'Avg Week Palabek-Atiak'!E85</f>
        <v>0</v>
      </c>
      <c r="F85" s="49">
        <f>'Avg Week Atiak-Palabek'!F85+'Avg Week Palabek-Atiak'!F85</f>
        <v>0</v>
      </c>
      <c r="G85" s="49">
        <f>'Avg Week Atiak-Palabek'!G85+'Avg Week Palabek-Atiak'!G85</f>
        <v>0</v>
      </c>
      <c r="H85" s="49">
        <f>'Avg Week Atiak-Palabek'!H85+'Avg Week Palabek-Atiak'!H85</f>
        <v>0</v>
      </c>
      <c r="I85" s="49">
        <f>'Avg Week Atiak-Palabek'!I85+'Avg Week Palabek-Atiak'!I85</f>
        <v>0</v>
      </c>
      <c r="J85" s="49">
        <f>'Avg Week Atiak-Palabek'!J85+'Avg Week Palabek-Atiak'!J85</f>
        <v>0</v>
      </c>
      <c r="K85" s="49">
        <f>'Avg Week Atiak-Palabek'!K85+'Avg Week Palabek-Atiak'!K85</f>
        <v>0</v>
      </c>
      <c r="L85" s="49">
        <f>'Avg Week Atiak-Palabek'!L85+'Avg Week Palabek-Atiak'!L85</f>
        <v>0</v>
      </c>
      <c r="M85" s="49">
        <f>'Avg Week Atiak-Palabek'!M85+'Avg Week Palabek-Atiak'!M85</f>
        <v>0</v>
      </c>
      <c r="N85" s="49">
        <f>'Avg Week Atiak-Palabek'!N85+'Avg Week Palabek-Atiak'!N85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'Avg Week Atiak-Palabek'!C86+'Avg Week Palabek-Atiak'!C86</f>
        <v>0</v>
      </c>
      <c r="D86" s="49">
        <f>'Avg Week Atiak-Palabek'!D86+'Avg Week Palabek-Atiak'!D86</f>
        <v>0</v>
      </c>
      <c r="E86" s="49">
        <f>'Avg Week Atiak-Palabek'!E86+'Avg Week Palabek-Atiak'!E86</f>
        <v>0</v>
      </c>
      <c r="F86" s="49">
        <f>'Avg Week Atiak-Palabek'!F86+'Avg Week Palabek-Atiak'!F86</f>
        <v>0</v>
      </c>
      <c r="G86" s="49">
        <f>'Avg Week Atiak-Palabek'!G86+'Avg Week Palabek-Atiak'!G86</f>
        <v>0</v>
      </c>
      <c r="H86" s="49">
        <f>'Avg Week Atiak-Palabek'!H86+'Avg Week Palabek-Atiak'!H86</f>
        <v>0</v>
      </c>
      <c r="I86" s="49">
        <f>'Avg Week Atiak-Palabek'!I86+'Avg Week Palabek-Atiak'!I86</f>
        <v>0</v>
      </c>
      <c r="J86" s="49">
        <f>'Avg Week Atiak-Palabek'!J86+'Avg Week Palabek-Atiak'!J86</f>
        <v>0</v>
      </c>
      <c r="K86" s="49">
        <f>'Avg Week Atiak-Palabek'!K86+'Avg Week Palabek-Atiak'!K86</f>
        <v>0</v>
      </c>
      <c r="L86" s="49">
        <f>'Avg Week Atiak-Palabek'!L86+'Avg Week Palabek-Atiak'!L86</f>
        <v>0</v>
      </c>
      <c r="M86" s="49">
        <f>'Avg Week Atiak-Palabek'!M86+'Avg Week Palabek-Atiak'!M86</f>
        <v>0</v>
      </c>
      <c r="N86" s="49">
        <f>'Avg Week Atiak-Palabek'!N86+'Avg Week Palabek-Atiak'!N86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'Avg Week Atiak-Palabek'!C87+'Avg Week Palabek-Atiak'!C87</f>
        <v>0</v>
      </c>
      <c r="D87" s="49">
        <f>'Avg Week Atiak-Palabek'!D87+'Avg Week Palabek-Atiak'!D87</f>
        <v>0</v>
      </c>
      <c r="E87" s="49">
        <f>'Avg Week Atiak-Palabek'!E87+'Avg Week Palabek-Atiak'!E87</f>
        <v>0</v>
      </c>
      <c r="F87" s="49">
        <f>'Avg Week Atiak-Palabek'!F87+'Avg Week Palabek-Atiak'!F87</f>
        <v>0</v>
      </c>
      <c r="G87" s="49">
        <f>'Avg Week Atiak-Palabek'!G87+'Avg Week Palabek-Atiak'!G87</f>
        <v>0</v>
      </c>
      <c r="H87" s="49">
        <f>'Avg Week Atiak-Palabek'!H87+'Avg Week Palabek-Atiak'!H87</f>
        <v>0</v>
      </c>
      <c r="I87" s="49">
        <f>'Avg Week Atiak-Palabek'!I87+'Avg Week Palabek-Atiak'!I87</f>
        <v>0</v>
      </c>
      <c r="J87" s="49">
        <f>'Avg Week Atiak-Palabek'!J87+'Avg Week Palabek-Atiak'!J87</f>
        <v>0</v>
      </c>
      <c r="K87" s="49">
        <f>'Avg Week Atiak-Palabek'!K87+'Avg Week Palabek-Atiak'!K87</f>
        <v>0</v>
      </c>
      <c r="L87" s="49">
        <f>'Avg Week Atiak-Palabek'!L87+'Avg Week Palabek-Atiak'!L87</f>
        <v>0</v>
      </c>
      <c r="M87" s="49">
        <f>'Avg Week Atiak-Palabek'!M87+'Avg Week Palabek-Atiak'!M87</f>
        <v>0</v>
      </c>
      <c r="N87" s="49">
        <f>'Avg Week Atiak-Palabek'!N87+'Avg Week Palabek-Atiak'!N87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Atiak-Palabek'!C88+'Avg Week Palabek-Atiak'!C88</f>
        <v>0</v>
      </c>
      <c r="D88" s="49">
        <f>'Avg Week Atiak-Palabek'!D88+'Avg Week Palabek-Atiak'!D88</f>
        <v>0</v>
      </c>
      <c r="E88" s="49">
        <f>'Avg Week Atiak-Palabek'!E88+'Avg Week Palabek-Atiak'!E88</f>
        <v>0</v>
      </c>
      <c r="F88" s="49">
        <f>'Avg Week Atiak-Palabek'!F88+'Avg Week Palabek-Atiak'!F88</f>
        <v>0</v>
      </c>
      <c r="G88" s="49">
        <f>'Avg Week Atiak-Palabek'!G88+'Avg Week Palabek-Atiak'!G88</f>
        <v>0</v>
      </c>
      <c r="H88" s="49">
        <f>'Avg Week Atiak-Palabek'!H88+'Avg Week Palabek-Atiak'!H88</f>
        <v>0</v>
      </c>
      <c r="I88" s="49">
        <f>'Avg Week Atiak-Palabek'!I88+'Avg Week Palabek-Atiak'!I88</f>
        <v>0</v>
      </c>
      <c r="J88" s="49">
        <f>'Avg Week Atiak-Palabek'!J88+'Avg Week Palabek-Atiak'!J88</f>
        <v>0</v>
      </c>
      <c r="K88" s="49">
        <f>'Avg Week Atiak-Palabek'!K88+'Avg Week Palabek-Atiak'!K88</f>
        <v>0</v>
      </c>
      <c r="L88" s="49">
        <f>'Avg Week Atiak-Palabek'!L88+'Avg Week Palabek-Atiak'!L88</f>
        <v>0</v>
      </c>
      <c r="M88" s="49">
        <f>'Avg Week Atiak-Palabek'!M88+'Avg Week Palabek-Atiak'!M88</f>
        <v>0</v>
      </c>
      <c r="N88" s="49">
        <f>'Avg Week Atiak-Palabek'!N88+'Avg Week Palabek-Atiak'!N88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Week Atiak-Palabek'!C89+'Avg Week Palabek-Atiak'!C89</f>
        <v>0</v>
      </c>
      <c r="D89" s="49">
        <f>'Avg Week Atiak-Palabek'!D89+'Avg Week Palabek-Atiak'!D89</f>
        <v>0</v>
      </c>
      <c r="E89" s="49">
        <f>'Avg Week Atiak-Palabek'!E89+'Avg Week Palabek-Atiak'!E89</f>
        <v>0</v>
      </c>
      <c r="F89" s="49">
        <f>'Avg Week Atiak-Palabek'!F89+'Avg Week Palabek-Atiak'!F89</f>
        <v>0</v>
      </c>
      <c r="G89" s="49">
        <f>'Avg Week Atiak-Palabek'!G89+'Avg Week Palabek-Atiak'!G89</f>
        <v>0</v>
      </c>
      <c r="H89" s="49">
        <f>'Avg Week Atiak-Palabek'!H89+'Avg Week Palabek-Atiak'!H89</f>
        <v>0</v>
      </c>
      <c r="I89" s="49">
        <f>'Avg Week Atiak-Palabek'!I89+'Avg Week Palabek-Atiak'!I89</f>
        <v>0</v>
      </c>
      <c r="J89" s="49">
        <f>'Avg Week Atiak-Palabek'!J89+'Avg Week Palabek-Atiak'!J89</f>
        <v>0</v>
      </c>
      <c r="K89" s="49">
        <f>'Avg Week Atiak-Palabek'!K89+'Avg Week Palabek-Atiak'!K89</f>
        <v>0</v>
      </c>
      <c r="L89" s="49">
        <f>'Avg Week Atiak-Palabek'!L89+'Avg Week Palabek-Atiak'!L89</f>
        <v>0</v>
      </c>
      <c r="M89" s="49">
        <f>'Avg Week Atiak-Palabek'!M89+'Avg Week Palabek-Atiak'!M89</f>
        <v>0</v>
      </c>
      <c r="N89" s="49">
        <f>'Avg Week Atiak-Palabek'!N89+'Avg Week Palabek-Atiak'!N89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'Avg Week Atiak-Palabek'!C90+'Avg Week Palabek-Atiak'!C90</f>
        <v>0</v>
      </c>
      <c r="D90" s="49">
        <f>'Avg Week Atiak-Palabek'!D90+'Avg Week Palabek-Atiak'!D90</f>
        <v>0</v>
      </c>
      <c r="E90" s="49">
        <f>'Avg Week Atiak-Palabek'!E90+'Avg Week Palabek-Atiak'!E90</f>
        <v>0</v>
      </c>
      <c r="F90" s="49">
        <f>'Avg Week Atiak-Palabek'!F90+'Avg Week Palabek-Atiak'!F90</f>
        <v>0</v>
      </c>
      <c r="G90" s="49">
        <f>'Avg Week Atiak-Palabek'!G90+'Avg Week Palabek-Atiak'!G90</f>
        <v>0</v>
      </c>
      <c r="H90" s="49">
        <f>'Avg Week Atiak-Palabek'!H90+'Avg Week Palabek-Atiak'!H90</f>
        <v>0</v>
      </c>
      <c r="I90" s="49">
        <f>'Avg Week Atiak-Palabek'!I90+'Avg Week Palabek-Atiak'!I90</f>
        <v>0</v>
      </c>
      <c r="J90" s="49">
        <f>'Avg Week Atiak-Palabek'!J90+'Avg Week Palabek-Atiak'!J90</f>
        <v>0</v>
      </c>
      <c r="K90" s="49">
        <f>'Avg Week Atiak-Palabek'!K90+'Avg Week Palabek-Atiak'!K90</f>
        <v>0</v>
      </c>
      <c r="L90" s="49">
        <f>'Avg Week Atiak-Palabek'!L90+'Avg Week Palabek-Atiak'!L90</f>
        <v>0</v>
      </c>
      <c r="M90" s="49">
        <f>'Avg Week Atiak-Palabek'!M90+'Avg Week Palabek-Atiak'!M90</f>
        <v>0</v>
      </c>
      <c r="N90" s="49">
        <f>'Avg Week Atiak-Palabek'!N90+'Avg Week Palabek-Atiak'!N90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'Avg Week Atiak-Palabek'!C91+'Avg Week Palabek-Atiak'!C91</f>
        <v>0</v>
      </c>
      <c r="D91" s="49">
        <f>'Avg Week Atiak-Palabek'!D91+'Avg Week Palabek-Atiak'!D91</f>
        <v>0</v>
      </c>
      <c r="E91" s="49">
        <f>'Avg Week Atiak-Palabek'!E91+'Avg Week Palabek-Atiak'!E91</f>
        <v>0</v>
      </c>
      <c r="F91" s="49">
        <f>'Avg Week Atiak-Palabek'!F91+'Avg Week Palabek-Atiak'!F91</f>
        <v>0</v>
      </c>
      <c r="G91" s="49">
        <f>'Avg Week Atiak-Palabek'!G91+'Avg Week Palabek-Atiak'!G91</f>
        <v>0</v>
      </c>
      <c r="H91" s="49">
        <f>'Avg Week Atiak-Palabek'!H91+'Avg Week Palabek-Atiak'!H91</f>
        <v>0</v>
      </c>
      <c r="I91" s="49">
        <f>'Avg Week Atiak-Palabek'!I91+'Avg Week Palabek-Atiak'!I91</f>
        <v>0</v>
      </c>
      <c r="J91" s="49">
        <f>'Avg Week Atiak-Palabek'!J91+'Avg Week Palabek-Atiak'!J91</f>
        <v>0</v>
      </c>
      <c r="K91" s="49">
        <f>'Avg Week Atiak-Palabek'!K91+'Avg Week Palabek-Atiak'!K91</f>
        <v>0</v>
      </c>
      <c r="L91" s="49">
        <f>'Avg Week Atiak-Palabek'!L91+'Avg Week Palabek-Atiak'!L91</f>
        <v>0</v>
      </c>
      <c r="M91" s="49">
        <f>'Avg Week Atiak-Palabek'!M91+'Avg Week Palabek-Atiak'!M91</f>
        <v>0</v>
      </c>
      <c r="N91" s="49">
        <f>'Avg Week Atiak-Palabek'!N91+'Avg Week Palabek-Atiak'!N91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Week Atiak-Palabek'!C92+'Avg Week Palabek-Atiak'!C92</f>
        <v>0</v>
      </c>
      <c r="D92" s="49">
        <f>'Avg Week Atiak-Palabek'!D92+'Avg Week Palabek-Atiak'!D92</f>
        <v>0</v>
      </c>
      <c r="E92" s="49">
        <f>'Avg Week Atiak-Palabek'!E92+'Avg Week Palabek-Atiak'!E92</f>
        <v>0</v>
      </c>
      <c r="F92" s="49">
        <f>'Avg Week Atiak-Palabek'!F92+'Avg Week Palabek-Atiak'!F92</f>
        <v>0</v>
      </c>
      <c r="G92" s="49">
        <f>'Avg Week Atiak-Palabek'!G92+'Avg Week Palabek-Atiak'!G92</f>
        <v>0</v>
      </c>
      <c r="H92" s="49">
        <f>'Avg Week Atiak-Palabek'!H92+'Avg Week Palabek-Atiak'!H92</f>
        <v>0</v>
      </c>
      <c r="I92" s="49">
        <f>'Avg Week Atiak-Palabek'!I92+'Avg Week Palabek-Atiak'!I92</f>
        <v>0</v>
      </c>
      <c r="J92" s="49">
        <f>'Avg Week Atiak-Palabek'!J92+'Avg Week Palabek-Atiak'!J92</f>
        <v>0</v>
      </c>
      <c r="K92" s="49">
        <f>'Avg Week Atiak-Palabek'!K92+'Avg Week Palabek-Atiak'!K92</f>
        <v>0</v>
      </c>
      <c r="L92" s="49">
        <f>'Avg Week Atiak-Palabek'!L92+'Avg Week Palabek-Atiak'!L92</f>
        <v>0</v>
      </c>
      <c r="M92" s="49">
        <f>'Avg Week Atiak-Palabek'!M92+'Avg Week Palabek-Atiak'!M92</f>
        <v>0</v>
      </c>
      <c r="N92" s="49">
        <f>'Avg Week Atiak-Palabek'!N92+'Avg Week Palabek-Atiak'!N92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Atiak-Palabek'!C93+'Avg Week Palabek-Atiak'!C93</f>
        <v>0</v>
      </c>
      <c r="D93" s="49">
        <f>'Avg Week Atiak-Palabek'!D93+'Avg Week Palabek-Atiak'!D93</f>
        <v>0</v>
      </c>
      <c r="E93" s="49">
        <f>'Avg Week Atiak-Palabek'!E93+'Avg Week Palabek-Atiak'!E93</f>
        <v>0</v>
      </c>
      <c r="F93" s="49">
        <f>'Avg Week Atiak-Palabek'!F93+'Avg Week Palabek-Atiak'!F93</f>
        <v>0</v>
      </c>
      <c r="G93" s="49">
        <f>'Avg Week Atiak-Palabek'!G93+'Avg Week Palabek-Atiak'!G93</f>
        <v>0</v>
      </c>
      <c r="H93" s="49">
        <f>'Avg Week Atiak-Palabek'!H93+'Avg Week Palabek-Atiak'!H93</f>
        <v>0</v>
      </c>
      <c r="I93" s="49">
        <f>'Avg Week Atiak-Palabek'!I93+'Avg Week Palabek-Atiak'!I93</f>
        <v>0</v>
      </c>
      <c r="J93" s="49">
        <f>'Avg Week Atiak-Palabek'!J93+'Avg Week Palabek-Atiak'!J93</f>
        <v>0</v>
      </c>
      <c r="K93" s="49">
        <f>'Avg Week Atiak-Palabek'!K93+'Avg Week Palabek-Atiak'!K93</f>
        <v>0</v>
      </c>
      <c r="L93" s="49">
        <f>'Avg Week Atiak-Palabek'!L93+'Avg Week Palabek-Atiak'!L93</f>
        <v>0</v>
      </c>
      <c r="M93" s="49">
        <f>'Avg Week Atiak-Palabek'!M93+'Avg Week Palabek-Atiak'!M93</f>
        <v>0</v>
      </c>
      <c r="N93" s="49">
        <f>'Avg Week Atiak-Palabek'!N93+'Avg Week Palabek-Atiak'!N93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'Avg Week Atiak-Palabek'!C94+'Avg Week Palabek-Atiak'!C94</f>
        <v>0</v>
      </c>
      <c r="D94" s="49">
        <f>'Avg Week Atiak-Palabek'!D94+'Avg Week Palabek-Atiak'!D94</f>
        <v>0</v>
      </c>
      <c r="E94" s="49">
        <f>'Avg Week Atiak-Palabek'!E94+'Avg Week Palabek-Atiak'!E94</f>
        <v>0</v>
      </c>
      <c r="F94" s="49">
        <f>'Avg Week Atiak-Palabek'!F94+'Avg Week Palabek-Atiak'!F94</f>
        <v>0</v>
      </c>
      <c r="G94" s="49">
        <f>'Avg Week Atiak-Palabek'!G94+'Avg Week Palabek-Atiak'!G94</f>
        <v>0</v>
      </c>
      <c r="H94" s="49">
        <f>'Avg Week Atiak-Palabek'!H94+'Avg Week Palabek-Atiak'!H94</f>
        <v>0</v>
      </c>
      <c r="I94" s="49">
        <f>'Avg Week Atiak-Palabek'!I94+'Avg Week Palabek-Atiak'!I94</f>
        <v>0</v>
      </c>
      <c r="J94" s="49">
        <f>'Avg Week Atiak-Palabek'!J94+'Avg Week Palabek-Atiak'!J94</f>
        <v>0</v>
      </c>
      <c r="K94" s="49">
        <f>'Avg Week Atiak-Palabek'!K94+'Avg Week Palabek-Atiak'!K94</f>
        <v>0</v>
      </c>
      <c r="L94" s="49">
        <f>'Avg Week Atiak-Palabek'!L94+'Avg Week Palabek-Atiak'!L94</f>
        <v>0</v>
      </c>
      <c r="M94" s="49">
        <f>'Avg Week Atiak-Palabek'!M94+'Avg Week Palabek-Atiak'!M94</f>
        <v>0</v>
      </c>
      <c r="N94" s="49">
        <f>'Avg Week Atiak-Palabek'!N94+'Avg Week Palabek-Atiak'!N94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'Avg Week Atiak-Palabek'!C95+'Avg Week Palabek-Atiak'!C95</f>
        <v>0</v>
      </c>
      <c r="D95" s="49">
        <f>'Avg Week Atiak-Palabek'!D95+'Avg Week Palabek-Atiak'!D95</f>
        <v>0</v>
      </c>
      <c r="E95" s="49">
        <f>'Avg Week Atiak-Palabek'!E95+'Avg Week Palabek-Atiak'!E95</f>
        <v>0</v>
      </c>
      <c r="F95" s="49">
        <f>'Avg Week Atiak-Palabek'!F95+'Avg Week Palabek-Atiak'!F95</f>
        <v>0</v>
      </c>
      <c r="G95" s="49">
        <f>'Avg Week Atiak-Palabek'!G95+'Avg Week Palabek-Atiak'!G95</f>
        <v>0</v>
      </c>
      <c r="H95" s="49">
        <f>'Avg Week Atiak-Palabek'!H95+'Avg Week Palabek-Atiak'!H95</f>
        <v>0</v>
      </c>
      <c r="I95" s="49">
        <f>'Avg Week Atiak-Palabek'!I95+'Avg Week Palabek-Atiak'!I95</f>
        <v>0</v>
      </c>
      <c r="J95" s="49">
        <f>'Avg Week Atiak-Palabek'!J95+'Avg Week Palabek-Atiak'!J95</f>
        <v>0</v>
      </c>
      <c r="K95" s="49">
        <f>'Avg Week Atiak-Palabek'!K95+'Avg Week Palabek-Atiak'!K95</f>
        <v>0</v>
      </c>
      <c r="L95" s="49">
        <f>'Avg Week Atiak-Palabek'!L95+'Avg Week Palabek-Atiak'!L95</f>
        <v>0</v>
      </c>
      <c r="M95" s="49">
        <f>'Avg Week Atiak-Palabek'!M95+'Avg Week Palabek-Atiak'!M95</f>
        <v>0</v>
      </c>
      <c r="N95" s="49">
        <f>'Avg Week Atiak-Palabek'!N95+'Avg Week Palabek-Atiak'!N95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'Avg Week Atiak-Palabek'!C96+'Avg Week Palabek-Atiak'!C96</f>
        <v>0</v>
      </c>
      <c r="D96" s="49">
        <f>'Avg Week Atiak-Palabek'!D96+'Avg Week Palabek-Atiak'!D96</f>
        <v>0</v>
      </c>
      <c r="E96" s="49">
        <f>'Avg Week Atiak-Palabek'!E96+'Avg Week Palabek-Atiak'!E96</f>
        <v>0</v>
      </c>
      <c r="F96" s="49">
        <f>'Avg Week Atiak-Palabek'!F96+'Avg Week Palabek-Atiak'!F96</f>
        <v>0</v>
      </c>
      <c r="G96" s="49">
        <f>'Avg Week Atiak-Palabek'!G96+'Avg Week Palabek-Atiak'!G96</f>
        <v>0</v>
      </c>
      <c r="H96" s="49">
        <f>'Avg Week Atiak-Palabek'!H96+'Avg Week Palabek-Atiak'!H96</f>
        <v>0</v>
      </c>
      <c r="I96" s="49">
        <f>'Avg Week Atiak-Palabek'!I96+'Avg Week Palabek-Atiak'!I96</f>
        <v>0</v>
      </c>
      <c r="J96" s="49">
        <f>'Avg Week Atiak-Palabek'!J96+'Avg Week Palabek-Atiak'!J96</f>
        <v>0</v>
      </c>
      <c r="K96" s="49">
        <f>'Avg Week Atiak-Palabek'!K96+'Avg Week Palabek-Atiak'!K96</f>
        <v>0</v>
      </c>
      <c r="L96" s="49">
        <f>'Avg Week Atiak-Palabek'!L96+'Avg Week Palabek-Atiak'!L96</f>
        <v>0</v>
      </c>
      <c r="M96" s="49">
        <f>'Avg Week Atiak-Palabek'!M96+'Avg Week Palabek-Atiak'!M96</f>
        <v>0</v>
      </c>
      <c r="N96" s="49">
        <f>'Avg Week Atiak-Palabek'!N96+'Avg Week Palabek-Atiak'!N96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'Avg Week Atiak-Palabek'!C97+'Avg Week Palabek-Atiak'!C97</f>
        <v>0</v>
      </c>
      <c r="D97" s="49">
        <f>'Avg Week Atiak-Palabek'!D97+'Avg Week Palabek-Atiak'!D97</f>
        <v>0</v>
      </c>
      <c r="E97" s="49">
        <f>'Avg Week Atiak-Palabek'!E97+'Avg Week Palabek-Atiak'!E97</f>
        <v>0</v>
      </c>
      <c r="F97" s="49">
        <f>'Avg Week Atiak-Palabek'!F97+'Avg Week Palabek-Atiak'!F97</f>
        <v>0</v>
      </c>
      <c r="G97" s="49">
        <f>'Avg Week Atiak-Palabek'!G97+'Avg Week Palabek-Atiak'!G97</f>
        <v>0</v>
      </c>
      <c r="H97" s="49">
        <f>'Avg Week Atiak-Palabek'!H97+'Avg Week Palabek-Atiak'!H97</f>
        <v>0</v>
      </c>
      <c r="I97" s="49">
        <f>'Avg Week Atiak-Palabek'!I97+'Avg Week Palabek-Atiak'!I97</f>
        <v>0</v>
      </c>
      <c r="J97" s="49">
        <f>'Avg Week Atiak-Palabek'!J97+'Avg Week Palabek-Atiak'!J97</f>
        <v>0</v>
      </c>
      <c r="K97" s="49">
        <f>'Avg Week Atiak-Palabek'!K97+'Avg Week Palabek-Atiak'!K97</f>
        <v>0</v>
      </c>
      <c r="L97" s="49">
        <f>'Avg Week Atiak-Palabek'!L97+'Avg Week Palabek-Atiak'!L97</f>
        <v>0</v>
      </c>
      <c r="M97" s="49">
        <f>'Avg Week Atiak-Palabek'!M97+'Avg Week Palabek-Atiak'!M97</f>
        <v>0</v>
      </c>
      <c r="N97" s="49">
        <f>'Avg Week Atiak-Palabek'!N97+'Avg Week Palabek-Atiak'!N97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'Avg Week Atiak-Palabek'!C98+'Avg Week Palabek-Atiak'!C98</f>
        <v>0</v>
      </c>
      <c r="D98" s="49">
        <f>'Avg Week Atiak-Palabek'!D98+'Avg Week Palabek-Atiak'!D98</f>
        <v>0</v>
      </c>
      <c r="E98" s="49">
        <f>'Avg Week Atiak-Palabek'!E98+'Avg Week Palabek-Atiak'!E98</f>
        <v>0</v>
      </c>
      <c r="F98" s="49">
        <f>'Avg Week Atiak-Palabek'!F98+'Avg Week Palabek-Atiak'!F98</f>
        <v>0</v>
      </c>
      <c r="G98" s="49">
        <f>'Avg Week Atiak-Palabek'!G98+'Avg Week Palabek-Atiak'!G98</f>
        <v>0</v>
      </c>
      <c r="H98" s="49">
        <f>'Avg Week Atiak-Palabek'!H98+'Avg Week Palabek-Atiak'!H98</f>
        <v>0</v>
      </c>
      <c r="I98" s="49">
        <f>'Avg Week Atiak-Palabek'!I98+'Avg Week Palabek-Atiak'!I98</f>
        <v>0</v>
      </c>
      <c r="J98" s="49">
        <f>'Avg Week Atiak-Palabek'!J98+'Avg Week Palabek-Atiak'!J98</f>
        <v>0</v>
      </c>
      <c r="K98" s="49">
        <f>'Avg Week Atiak-Palabek'!K98+'Avg Week Palabek-Atiak'!K98</f>
        <v>0</v>
      </c>
      <c r="L98" s="49">
        <f>'Avg Week Atiak-Palabek'!L98+'Avg Week Palabek-Atiak'!L98</f>
        <v>0</v>
      </c>
      <c r="M98" s="49">
        <f>'Avg Week Atiak-Palabek'!M98+'Avg Week Palabek-Atiak'!M98</f>
        <v>0</v>
      </c>
      <c r="N98" s="49">
        <f>'Avg Week Atiak-Palabek'!N98+'Avg Week Palabek-Atiak'!N98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'Avg Week Atiak-Palabek'!C99+'Avg Week Palabek-Atiak'!C99</f>
        <v>0</v>
      </c>
      <c r="D99" s="49">
        <f>'Avg Week Atiak-Palabek'!D99+'Avg Week Palabek-Atiak'!D99</f>
        <v>0</v>
      </c>
      <c r="E99" s="49">
        <f>'Avg Week Atiak-Palabek'!E99+'Avg Week Palabek-Atiak'!E99</f>
        <v>0</v>
      </c>
      <c r="F99" s="49">
        <f>'Avg Week Atiak-Palabek'!F99+'Avg Week Palabek-Atiak'!F99</f>
        <v>0</v>
      </c>
      <c r="G99" s="49">
        <f>'Avg Week Atiak-Palabek'!G99+'Avg Week Palabek-Atiak'!G99</f>
        <v>0</v>
      </c>
      <c r="H99" s="49">
        <f>'Avg Week Atiak-Palabek'!H99+'Avg Week Palabek-Atiak'!H99</f>
        <v>0</v>
      </c>
      <c r="I99" s="49">
        <f>'Avg Week Atiak-Palabek'!I99+'Avg Week Palabek-Atiak'!I99</f>
        <v>0</v>
      </c>
      <c r="J99" s="49">
        <f>'Avg Week Atiak-Palabek'!J99+'Avg Week Palabek-Atiak'!J99</f>
        <v>0</v>
      </c>
      <c r="K99" s="49">
        <f>'Avg Week Atiak-Palabek'!K99+'Avg Week Palabek-Atiak'!K99</f>
        <v>0</v>
      </c>
      <c r="L99" s="49">
        <f>'Avg Week Atiak-Palabek'!L99+'Avg Week Palabek-Atiak'!L99</f>
        <v>0</v>
      </c>
      <c r="M99" s="49">
        <f>'Avg Week Atiak-Palabek'!M99+'Avg Week Palabek-Atiak'!M99</f>
        <v>0</v>
      </c>
      <c r="N99" s="49">
        <f>'Avg Week Atiak-Palabek'!N99+'Avg Week Palabek-Atiak'!N99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'Avg Week Atiak-Palabek'!C100+'Avg Week Palabek-Atiak'!C100</f>
        <v>0</v>
      </c>
      <c r="D100" s="49">
        <f>'Avg Week Atiak-Palabek'!D100+'Avg Week Palabek-Atiak'!D100</f>
        <v>0</v>
      </c>
      <c r="E100" s="49">
        <f>'Avg Week Atiak-Palabek'!E100+'Avg Week Palabek-Atiak'!E100</f>
        <v>0</v>
      </c>
      <c r="F100" s="49">
        <f>'Avg Week Atiak-Palabek'!F100+'Avg Week Palabek-Atiak'!F100</f>
        <v>0</v>
      </c>
      <c r="G100" s="49">
        <f>'Avg Week Atiak-Palabek'!G100+'Avg Week Palabek-Atiak'!G100</f>
        <v>0</v>
      </c>
      <c r="H100" s="49">
        <f>'Avg Week Atiak-Palabek'!H100+'Avg Week Palabek-Atiak'!H100</f>
        <v>0</v>
      </c>
      <c r="I100" s="49">
        <f>'Avg Week Atiak-Palabek'!I100+'Avg Week Palabek-Atiak'!I100</f>
        <v>0</v>
      </c>
      <c r="J100" s="49">
        <f>'Avg Week Atiak-Palabek'!J100+'Avg Week Palabek-Atiak'!J100</f>
        <v>0</v>
      </c>
      <c r="K100" s="49">
        <f>'Avg Week Atiak-Palabek'!K100+'Avg Week Palabek-Atiak'!K100</f>
        <v>0</v>
      </c>
      <c r="L100" s="49">
        <f>'Avg Week Atiak-Palabek'!L100+'Avg Week Palabek-Atiak'!L100</f>
        <v>0</v>
      </c>
      <c r="M100" s="49">
        <f>'Avg Week Atiak-Palabek'!M100+'Avg Week Palabek-Atiak'!M100</f>
        <v>0.5</v>
      </c>
      <c r="N100" s="49">
        <f>'Avg Week Atiak-Palabek'!N100+'Avg Week Palabek-Atiak'!N100</f>
        <v>0</v>
      </c>
      <c r="O100" s="15">
        <f t="shared" si="35"/>
        <v>0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'Avg Week Atiak-Palabek'!C101+'Avg Week Palabek-Atiak'!C101</f>
        <v>0</v>
      </c>
      <c r="D101" s="49">
        <f>'Avg Week Atiak-Palabek'!D101+'Avg Week Palabek-Atiak'!D101</f>
        <v>0</v>
      </c>
      <c r="E101" s="49">
        <f>'Avg Week Atiak-Palabek'!E101+'Avg Week Palabek-Atiak'!E101</f>
        <v>0</v>
      </c>
      <c r="F101" s="49">
        <f>'Avg Week Atiak-Palabek'!F101+'Avg Week Palabek-Atiak'!F101</f>
        <v>0</v>
      </c>
      <c r="G101" s="49">
        <f>'Avg Week Atiak-Palabek'!G101+'Avg Week Palabek-Atiak'!G101</f>
        <v>0</v>
      </c>
      <c r="H101" s="49">
        <f>'Avg Week Atiak-Palabek'!H101+'Avg Week Palabek-Atiak'!H101</f>
        <v>0</v>
      </c>
      <c r="I101" s="49">
        <f>'Avg Week Atiak-Palabek'!I101+'Avg Week Palabek-Atiak'!I101</f>
        <v>0</v>
      </c>
      <c r="J101" s="49">
        <f>'Avg Week Atiak-Palabek'!J101+'Avg Week Palabek-Atiak'!J101</f>
        <v>0</v>
      </c>
      <c r="K101" s="49">
        <f>'Avg Week Atiak-Palabek'!K101+'Avg Week Palabek-Atiak'!K101</f>
        <v>0</v>
      </c>
      <c r="L101" s="49">
        <f>'Avg Week Atiak-Palabek'!L101+'Avg Week Palabek-Atiak'!L101</f>
        <v>0</v>
      </c>
      <c r="M101" s="49">
        <f>'Avg Week Atiak-Palabek'!M101+'Avg Week Palabek-Atiak'!M101</f>
        <v>1</v>
      </c>
      <c r="N101" s="49">
        <f>'Avg Week Atiak-Palabek'!N101+'Avg Week Palabek-Atiak'!N101</f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24" t="s">
        <v>142</v>
      </c>
      <c r="C102" s="49">
        <f>'Avg Week Atiak-Palabek'!C102+'Avg Week Palabek-Atiak'!C102</f>
        <v>0</v>
      </c>
      <c r="D102" s="49">
        <f>'Avg Week Atiak-Palabek'!D102+'Avg Week Palabek-Atiak'!D102</f>
        <v>0</v>
      </c>
      <c r="E102" s="49">
        <f>'Avg Week Atiak-Palabek'!E102+'Avg Week Palabek-Atiak'!E102</f>
        <v>0</v>
      </c>
      <c r="F102" s="49">
        <f>'Avg Week Atiak-Palabek'!F102+'Avg Week Palabek-Atiak'!F102</f>
        <v>0</v>
      </c>
      <c r="G102" s="49">
        <f>'Avg Week Atiak-Palabek'!G102+'Avg Week Palabek-Atiak'!G102</f>
        <v>0</v>
      </c>
      <c r="H102" s="49">
        <f>'Avg Week Atiak-Palabek'!H102+'Avg Week Palabek-Atiak'!H102</f>
        <v>0</v>
      </c>
      <c r="I102" s="49">
        <f>'Avg Week Atiak-Palabek'!I102+'Avg Week Palabek-Atiak'!I102</f>
        <v>0</v>
      </c>
      <c r="J102" s="49">
        <f>'Avg Week Atiak-Palabek'!J102+'Avg Week Palabek-Atiak'!J102</f>
        <v>0</v>
      </c>
      <c r="K102" s="49">
        <f>'Avg Week Atiak-Palabek'!K102+'Avg Week Palabek-Atiak'!K102</f>
        <v>0</v>
      </c>
      <c r="L102" s="49">
        <f>'Avg Week Atiak-Palabek'!L102+'Avg Week Palabek-Atiak'!L102</f>
        <v>0</v>
      </c>
      <c r="M102" s="49">
        <f>'Avg Week Atiak-Palabek'!M102+'Avg Week Palabek-Atiak'!M102</f>
        <v>0</v>
      </c>
      <c r="N102" s="49">
        <f>'Avg Week Atiak-Palabek'!N102+'Avg Week Palabek-Atiak'!N102</f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23" t="s">
        <v>143</v>
      </c>
      <c r="C103" s="49">
        <f>'Avg Week Atiak-Palabek'!C103+'Avg Week Palabek-Atiak'!C103</f>
        <v>1</v>
      </c>
      <c r="D103" s="49">
        <f>'Avg Week Atiak-Palabek'!D103+'Avg Week Palabek-Atiak'!D103</f>
        <v>0</v>
      </c>
      <c r="E103" s="49">
        <f>'Avg Week Atiak-Palabek'!E103+'Avg Week Palabek-Atiak'!E103</f>
        <v>0</v>
      </c>
      <c r="F103" s="49">
        <f>'Avg Week Atiak-Palabek'!F103+'Avg Week Palabek-Atiak'!F103</f>
        <v>0</v>
      </c>
      <c r="G103" s="49">
        <f>'Avg Week Atiak-Palabek'!G103+'Avg Week Palabek-Atiak'!G103</f>
        <v>0</v>
      </c>
      <c r="H103" s="49">
        <f>'Avg Week Atiak-Palabek'!H103+'Avg Week Palabek-Atiak'!H103</f>
        <v>0</v>
      </c>
      <c r="I103" s="49">
        <f>'Avg Week Atiak-Palabek'!I103+'Avg Week Palabek-Atiak'!I103</f>
        <v>0</v>
      </c>
      <c r="J103" s="49">
        <f>'Avg Week Atiak-Palabek'!J103+'Avg Week Palabek-Atiak'!J103</f>
        <v>0</v>
      </c>
      <c r="K103" s="49">
        <f>'Avg Week Atiak-Palabek'!K103+'Avg Week Palabek-Atiak'!K103</f>
        <v>0</v>
      </c>
      <c r="L103" s="49">
        <f>'Avg Week Atiak-Palabek'!L103+'Avg Week Palabek-Atiak'!L103</f>
        <v>0</v>
      </c>
      <c r="M103" s="49">
        <f>'Avg Week Atiak-Palabek'!M103+'Avg Week Palabek-Atiak'!M103</f>
        <v>2</v>
      </c>
      <c r="N103" s="49">
        <f>'Avg Week Atiak-Palabek'!N103+'Avg Week Palabek-Atiak'!N103</f>
        <v>0</v>
      </c>
      <c r="O103" s="15">
        <f t="shared" si="35"/>
        <v>1</v>
      </c>
      <c r="P103" s="15">
        <f t="shared" si="36"/>
        <v>3</v>
      </c>
      <c r="R103" s="8"/>
      <c r="T103"/>
    </row>
    <row r="104" spans="2:20" ht="23.1" customHeight="1" x14ac:dyDescent="0.25">
      <c r="B104" s="25" t="s">
        <v>144</v>
      </c>
      <c r="C104" s="49">
        <f>'Avg Week Atiak-Palabek'!C104+'Avg Week Palabek-Atiak'!C104</f>
        <v>0</v>
      </c>
      <c r="D104" s="49">
        <f>'Avg Week Atiak-Palabek'!D104+'Avg Week Palabek-Atiak'!D104</f>
        <v>0</v>
      </c>
      <c r="E104" s="49">
        <f>'Avg Week Atiak-Palabek'!E104+'Avg Week Palabek-Atiak'!E104</f>
        <v>1</v>
      </c>
      <c r="F104" s="49">
        <f>'Avg Week Atiak-Palabek'!F104+'Avg Week Palabek-Atiak'!F104</f>
        <v>0</v>
      </c>
      <c r="G104" s="49">
        <f>'Avg Week Atiak-Palabek'!G104+'Avg Week Palabek-Atiak'!G104</f>
        <v>0</v>
      </c>
      <c r="H104" s="49">
        <f>'Avg Week Atiak-Palabek'!H104+'Avg Week Palabek-Atiak'!H104</f>
        <v>0</v>
      </c>
      <c r="I104" s="49">
        <f>'Avg Week Atiak-Palabek'!I104+'Avg Week Palabek-Atiak'!I104</f>
        <v>0</v>
      </c>
      <c r="J104" s="49">
        <f>'Avg Week Atiak-Palabek'!J104+'Avg Week Palabek-Atiak'!J104</f>
        <v>0</v>
      </c>
      <c r="K104" s="49">
        <f>'Avg Week Atiak-Palabek'!K104+'Avg Week Palabek-Atiak'!K104</f>
        <v>0</v>
      </c>
      <c r="L104" s="49">
        <f>'Avg Week Atiak-Palabek'!L104+'Avg Week Palabek-Atiak'!L104</f>
        <v>0</v>
      </c>
      <c r="M104" s="49">
        <f>'Avg Week Atiak-Palabek'!M104+'Avg Week Palabek-Atiak'!M104</f>
        <v>1</v>
      </c>
      <c r="N104" s="49">
        <f>'Avg Week Atiak-Palabek'!N104+'Avg Week Palabek-Atiak'!N104</f>
        <v>0</v>
      </c>
      <c r="O104" s="15">
        <f t="shared" si="35"/>
        <v>1</v>
      </c>
      <c r="P104" s="15">
        <f t="shared" si="36"/>
        <v>2</v>
      </c>
      <c r="R104" s="8"/>
      <c r="T104"/>
    </row>
    <row r="105" spans="2:20" ht="23.1" customHeight="1" x14ac:dyDescent="0.25">
      <c r="B105" s="23" t="s">
        <v>145</v>
      </c>
      <c r="C105" s="49">
        <f>'Avg Week Atiak-Palabek'!C105+'Avg Week Palabek-Atiak'!C105</f>
        <v>0</v>
      </c>
      <c r="D105" s="49">
        <f>'Avg Week Atiak-Palabek'!D105+'Avg Week Palabek-Atiak'!D105</f>
        <v>0</v>
      </c>
      <c r="E105" s="49">
        <f>'Avg Week Atiak-Palabek'!E105+'Avg Week Palabek-Atiak'!E105</f>
        <v>0</v>
      </c>
      <c r="F105" s="49">
        <f>'Avg Week Atiak-Palabek'!F105+'Avg Week Palabek-Atiak'!F105</f>
        <v>0</v>
      </c>
      <c r="G105" s="49">
        <f>'Avg Week Atiak-Palabek'!G105+'Avg Week Palabek-Atiak'!G105</f>
        <v>0</v>
      </c>
      <c r="H105" s="49">
        <f>'Avg Week Atiak-Palabek'!H105+'Avg Week Palabek-Atiak'!H105</f>
        <v>0</v>
      </c>
      <c r="I105" s="49">
        <f>'Avg Week Atiak-Palabek'!I105+'Avg Week Palabek-Atiak'!I105</f>
        <v>0</v>
      </c>
      <c r="J105" s="49">
        <f>'Avg Week Atiak-Palabek'!J105+'Avg Week Palabek-Atiak'!J105</f>
        <v>0</v>
      </c>
      <c r="K105" s="49">
        <f>'Avg Week Atiak-Palabek'!K105+'Avg Week Palabek-Atiak'!K105</f>
        <v>0</v>
      </c>
      <c r="L105" s="49">
        <f>'Avg Week Atiak-Palabek'!L105+'Avg Week Palabek-Atiak'!L105</f>
        <v>0</v>
      </c>
      <c r="M105" s="49">
        <f>'Avg Week Atiak-Palabek'!M105+'Avg Week Palabek-Atiak'!M105</f>
        <v>1</v>
      </c>
      <c r="N105" s="49">
        <f>'Avg Week Atiak-Palabek'!N105+'Avg Week Palabek-Atiak'!N105</f>
        <v>0</v>
      </c>
      <c r="O105" s="15">
        <f t="shared" si="35"/>
        <v>0</v>
      </c>
      <c r="P105" s="15">
        <f t="shared" si="36"/>
        <v>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7.7142857142857135</v>
      </c>
      <c r="D106" s="16">
        <f t="shared" ref="D106:P106" si="37">SUM(D10:D105)</f>
        <v>0</v>
      </c>
      <c r="E106" s="16">
        <f t="shared" si="37"/>
        <v>26.285714285714285</v>
      </c>
      <c r="F106" s="16">
        <f t="shared" si="37"/>
        <v>23.714285714285722</v>
      </c>
      <c r="G106" s="16">
        <f t="shared" si="37"/>
        <v>0.2857142857142857</v>
      </c>
      <c r="H106" s="16">
        <f t="shared" si="37"/>
        <v>2</v>
      </c>
      <c r="I106" s="16">
        <f t="shared" si="37"/>
        <v>37.80952380952381</v>
      </c>
      <c r="J106" s="16">
        <f t="shared" si="37"/>
        <v>1.1428571428571428</v>
      </c>
      <c r="K106" s="16">
        <f t="shared" si="37"/>
        <v>0.5714285714285714</v>
      </c>
      <c r="L106" s="16">
        <f t="shared" si="37"/>
        <v>16.857142857142854</v>
      </c>
      <c r="M106" s="16">
        <f t="shared" si="37"/>
        <v>485.71428571428567</v>
      </c>
      <c r="N106" s="16">
        <f t="shared" si="37"/>
        <v>0</v>
      </c>
      <c r="O106" s="16">
        <f t="shared" si="37"/>
        <v>116.38095238095235</v>
      </c>
      <c r="P106" s="16">
        <f t="shared" si="37"/>
        <v>602.09523809523796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1.2812401138880103E-2</v>
      </c>
      <c r="D107" s="43">
        <f t="shared" si="38"/>
        <v>0</v>
      </c>
      <c r="E107" s="43">
        <f t="shared" si="38"/>
        <v>4.3657070547295167E-2</v>
      </c>
      <c r="F107" s="43">
        <f t="shared" si="38"/>
        <v>3.9386270167668484E-2</v>
      </c>
      <c r="G107" s="43">
        <f t="shared" si="38"/>
        <v>4.7453337551407791E-4</v>
      </c>
      <c r="H107" s="43">
        <f t="shared" si="38"/>
        <v>3.3217336285985455E-3</v>
      </c>
      <c r="I107" s="43">
        <f t="shared" si="38"/>
        <v>6.2796583359696317E-2</v>
      </c>
      <c r="J107" s="43">
        <f t="shared" si="38"/>
        <v>1.8981335020563117E-3</v>
      </c>
      <c r="K107" s="43">
        <f t="shared" si="38"/>
        <v>9.4906675102815583E-4</v>
      </c>
      <c r="L107" s="43">
        <f t="shared" si="38"/>
        <v>2.7997469155330593E-2</v>
      </c>
      <c r="M107" s="43">
        <f t="shared" si="38"/>
        <v>0.80670673837393236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6.6284779050736514E-2</v>
      </c>
      <c r="D108" s="44">
        <f t="shared" ref="D108:N108" si="39">D106/$O$106</f>
        <v>0</v>
      </c>
      <c r="E108" s="44">
        <f t="shared" si="39"/>
        <v>0.22585924713584293</v>
      </c>
      <c r="F108" s="44">
        <f t="shared" si="39"/>
        <v>0.2037643207855975</v>
      </c>
      <c r="G108" s="44">
        <f t="shared" si="39"/>
        <v>2.4549918166939448E-3</v>
      </c>
      <c r="H108" s="44">
        <f t="shared" si="39"/>
        <v>1.7184942716857617E-2</v>
      </c>
      <c r="I108" s="44">
        <f t="shared" si="39"/>
        <v>0.32487725040916537</v>
      </c>
      <c r="J108" s="44">
        <f t="shared" si="39"/>
        <v>9.8199672667757792E-3</v>
      </c>
      <c r="K108" s="44">
        <f t="shared" si="39"/>
        <v>4.9099836333878896E-3</v>
      </c>
      <c r="L108" s="44">
        <f t="shared" si="39"/>
        <v>0.14484451718494273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31.07 Atiak-Palabek</vt:lpstr>
      <vt:lpstr>31.07 Palabek-Atiak</vt:lpstr>
      <vt:lpstr>01.08 Atiak-Palabek</vt:lpstr>
      <vt:lpstr>01.08 Palabek-Atiak</vt:lpstr>
      <vt:lpstr>02.08 Atiak-Palabek-24h</vt:lpstr>
      <vt:lpstr>02.08 Palabek-Atiak-24h</vt:lpstr>
      <vt:lpstr>03.08 Atiak-Palabek-24h</vt:lpstr>
      <vt:lpstr>03.08 Palabek-Atiak-24h</vt:lpstr>
      <vt:lpstr>04.08 Atiak-Palabek</vt:lpstr>
      <vt:lpstr>04.08 Palabek-Atiak</vt:lpstr>
      <vt:lpstr>05.08 Atiak-Palabek</vt:lpstr>
      <vt:lpstr>05.08 Palabek-Atiak</vt:lpstr>
      <vt:lpstr>06.08 Atiak-Palabek</vt:lpstr>
      <vt:lpstr>06.08 Palabek-Atiak</vt:lpstr>
      <vt:lpstr>Avg Week Atiak-Palabek</vt:lpstr>
      <vt:lpstr>Avg Week Palabek-Atiak</vt:lpstr>
      <vt:lpstr>Avg Week Atiak-Palabek-2Dir</vt:lpstr>
      <vt:lpstr>'01.08 Atiak-Palabek'!Print_Area</vt:lpstr>
      <vt:lpstr>'01.08 Palabek-Atiak'!Print_Area</vt:lpstr>
      <vt:lpstr>'02.08 Atiak-Palabek-24h'!Print_Area</vt:lpstr>
      <vt:lpstr>'02.08 Palabek-Atiak-24h'!Print_Area</vt:lpstr>
      <vt:lpstr>'03.08 Atiak-Palabek-24h'!Print_Area</vt:lpstr>
      <vt:lpstr>'03.08 Palabek-Atiak-24h'!Print_Area</vt:lpstr>
      <vt:lpstr>'04.08 Atiak-Palabek'!Print_Area</vt:lpstr>
      <vt:lpstr>'04.08 Palabek-Atiak'!Print_Area</vt:lpstr>
      <vt:lpstr>'05.08 Atiak-Palabek'!Print_Area</vt:lpstr>
      <vt:lpstr>'05.08 Palabek-Atiak'!Print_Area</vt:lpstr>
      <vt:lpstr>'06.08 Atiak-Palabek'!Print_Area</vt:lpstr>
      <vt:lpstr>'06.08 Palabek-Atiak'!Print_Area</vt:lpstr>
      <vt:lpstr>'31.07 Atiak-Palabek'!Print_Area</vt:lpstr>
      <vt:lpstr>'31.07 Palabek-Atiak'!Print_Area</vt:lpstr>
      <vt:lpstr>'Avg Week Atiak-Palabek'!Print_Area</vt:lpstr>
      <vt:lpstr>'Avg Week Atiak-Palabek-2Dir'!Print_Area</vt:lpstr>
      <vt:lpstr>'Avg Week Palabek-Atiak'!Print_Area</vt:lpstr>
      <vt:lpstr>'01.08 Atiak-Palabek'!Print_Titles</vt:lpstr>
      <vt:lpstr>'01.08 Palabek-Atiak'!Print_Titles</vt:lpstr>
      <vt:lpstr>'02.08 Atiak-Palabek-24h'!Print_Titles</vt:lpstr>
      <vt:lpstr>'02.08 Palabek-Atiak-24h'!Print_Titles</vt:lpstr>
      <vt:lpstr>'03.08 Atiak-Palabek-24h'!Print_Titles</vt:lpstr>
      <vt:lpstr>'03.08 Palabek-Atiak-24h'!Print_Titles</vt:lpstr>
      <vt:lpstr>'04.08 Atiak-Palabek'!Print_Titles</vt:lpstr>
      <vt:lpstr>'04.08 Palabek-Atiak'!Print_Titles</vt:lpstr>
      <vt:lpstr>'05.08 Atiak-Palabek'!Print_Titles</vt:lpstr>
      <vt:lpstr>'05.08 Palabek-Atiak'!Print_Titles</vt:lpstr>
      <vt:lpstr>'06.08 Atiak-Palabek'!Print_Titles</vt:lpstr>
      <vt:lpstr>'06.08 Palabek-Atiak'!Print_Titles</vt:lpstr>
      <vt:lpstr>'31.07 Atiak-Palabek'!Print_Titles</vt:lpstr>
      <vt:lpstr>'31.07 Palabek-Atiak'!Print_Titles</vt:lpstr>
      <vt:lpstr>'Avg Week Atiak-Palabek'!Print_Titles</vt:lpstr>
      <vt:lpstr>'Avg Week Atiak-Palabek-2Dir'!Print_Titles</vt:lpstr>
      <vt:lpstr>'Avg Week Palabek-Atiak'!Print_Titles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2020-04-06T10:25:05Z</dcterms:modified>
</cp:coreProperties>
</file>